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8_{8F4E77ED-6A92-41D1-A55C-DDA08FF3DF98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E16" i="113"/>
  <c r="E15" i="113"/>
  <c r="E14" i="113"/>
  <c r="E13" i="113"/>
  <c r="E12" i="113"/>
  <c r="E11" i="113"/>
  <c r="K96" i="113"/>
  <c r="R95" i="113"/>
  <c r="F95" i="113"/>
  <c r="M94" i="113"/>
  <c r="T93" i="113"/>
  <c r="H93" i="113"/>
  <c r="O92" i="113"/>
  <c r="V91" i="113"/>
  <c r="J91" i="113"/>
  <c r="Q90" i="113"/>
  <c r="L89" i="113"/>
  <c r="S88" i="113"/>
  <c r="G88" i="113"/>
  <c r="N87" i="113"/>
  <c r="U86" i="113"/>
  <c r="I86" i="113"/>
  <c r="P85" i="113"/>
  <c r="D85" i="113"/>
  <c r="K84" i="113"/>
  <c r="R83" i="113"/>
  <c r="F83" i="113"/>
  <c r="M82" i="113"/>
  <c r="T81" i="113"/>
  <c r="H81" i="113"/>
  <c r="O80" i="113"/>
  <c r="V79" i="113"/>
  <c r="J79" i="113"/>
  <c r="Q78" i="113"/>
  <c r="L77" i="113"/>
  <c r="S76" i="113"/>
  <c r="G76" i="113"/>
  <c r="N75" i="113"/>
  <c r="U74" i="113"/>
  <c r="I74" i="113"/>
  <c r="P73" i="113"/>
  <c r="D73" i="113"/>
  <c r="K72" i="113"/>
  <c r="R71" i="113"/>
  <c r="F71" i="113"/>
  <c r="R76" i="113"/>
  <c r="O73" i="113"/>
  <c r="J72" i="113"/>
  <c r="T79" i="113"/>
  <c r="L75" i="113"/>
  <c r="N73" i="113"/>
  <c r="D71" i="113"/>
  <c r="V96" i="113"/>
  <c r="J96" i="113"/>
  <c r="Q95" i="113"/>
  <c r="L94" i="113"/>
  <c r="S93" i="113"/>
  <c r="G93" i="113"/>
  <c r="N92" i="113"/>
  <c r="U91" i="113"/>
  <c r="I91" i="113"/>
  <c r="P90" i="113"/>
  <c r="D90" i="113"/>
  <c r="K89" i="113"/>
  <c r="R88" i="113"/>
  <c r="F88" i="113"/>
  <c r="M87" i="113"/>
  <c r="T86" i="113"/>
  <c r="H86" i="113"/>
  <c r="O85" i="113"/>
  <c r="V84" i="113"/>
  <c r="J84" i="113"/>
  <c r="Q83" i="113"/>
  <c r="L82" i="113"/>
  <c r="S81" i="113"/>
  <c r="G81" i="113"/>
  <c r="N80" i="113"/>
  <c r="U79" i="113"/>
  <c r="I79" i="113"/>
  <c r="P78" i="113"/>
  <c r="D78" i="113"/>
  <c r="K77" i="113"/>
  <c r="F76" i="113"/>
  <c r="M75" i="113"/>
  <c r="T74" i="113"/>
  <c r="H74" i="113"/>
  <c r="V72" i="113"/>
  <c r="Q71" i="113"/>
  <c r="H79" i="113"/>
  <c r="S74" i="113"/>
  <c r="I72" i="113"/>
  <c r="U96" i="113"/>
  <c r="I96" i="113"/>
  <c r="P95" i="113"/>
  <c r="D95" i="113"/>
  <c r="K94" i="113"/>
  <c r="R93" i="113"/>
  <c r="F93" i="113"/>
  <c r="M92" i="113"/>
  <c r="T91" i="113"/>
  <c r="H91" i="113"/>
  <c r="O90" i="113"/>
  <c r="V89" i="113"/>
  <c r="J89" i="113"/>
  <c r="Q88" i="113"/>
  <c r="L87" i="113"/>
  <c r="S86" i="113"/>
  <c r="G86" i="113"/>
  <c r="N85" i="113"/>
  <c r="U84" i="113"/>
  <c r="I84" i="113"/>
  <c r="P83" i="113"/>
  <c r="D83" i="113"/>
  <c r="K82" i="113"/>
  <c r="R81" i="113"/>
  <c r="F81" i="113"/>
  <c r="M80" i="113"/>
  <c r="O78" i="113"/>
  <c r="V77" i="113"/>
  <c r="J77" i="113"/>
  <c r="Q76" i="113"/>
  <c r="G74" i="113"/>
  <c r="U72" i="113"/>
  <c r="P71" i="113"/>
  <c r="T96" i="113"/>
  <c r="H96" i="113"/>
  <c r="O95" i="113"/>
  <c r="V94" i="113"/>
  <c r="J94" i="113"/>
  <c r="Q93" i="113"/>
  <c r="L92" i="113"/>
  <c r="S91" i="113"/>
  <c r="G91" i="113"/>
  <c r="N90" i="113"/>
  <c r="U89" i="113"/>
  <c r="I89" i="113"/>
  <c r="P88" i="113"/>
  <c r="D88" i="113"/>
  <c r="K87" i="113"/>
  <c r="R86" i="113"/>
  <c r="F86" i="113"/>
  <c r="M85" i="113"/>
  <c r="T84" i="113"/>
  <c r="H84" i="113"/>
  <c r="O83" i="113"/>
  <c r="V82" i="113"/>
  <c r="J82" i="113"/>
  <c r="Q81" i="113"/>
  <c r="L80" i="113"/>
  <c r="S79" i="113"/>
  <c r="G79" i="113"/>
  <c r="N78" i="113"/>
  <c r="U77" i="113"/>
  <c r="I77" i="113"/>
  <c r="P76" i="113"/>
  <c r="D76" i="113"/>
  <c r="K75" i="113"/>
  <c r="R74" i="113"/>
  <c r="F74" i="113"/>
  <c r="M73" i="113"/>
  <c r="T72" i="113"/>
  <c r="H72" i="113"/>
  <c r="O71" i="113"/>
  <c r="R72" i="113"/>
  <c r="T88" i="113"/>
  <c r="P80" i="113"/>
  <c r="O75" i="113"/>
  <c r="S96" i="113"/>
  <c r="G96" i="113"/>
  <c r="N95" i="113"/>
  <c r="U94" i="113"/>
  <c r="I94" i="113"/>
  <c r="P93" i="113"/>
  <c r="D93" i="113"/>
  <c r="K92" i="113"/>
  <c r="R91" i="113"/>
  <c r="F91" i="113"/>
  <c r="M90" i="113"/>
  <c r="T89" i="113"/>
  <c r="H89" i="113"/>
  <c r="O88" i="113"/>
  <c r="V87" i="113"/>
  <c r="J87" i="113"/>
  <c r="Q86" i="113"/>
  <c r="L85" i="113"/>
  <c r="S84" i="113"/>
  <c r="G84" i="113"/>
  <c r="N83" i="113"/>
  <c r="U82" i="113"/>
  <c r="I82" i="113"/>
  <c r="P81" i="113"/>
  <c r="D81" i="113"/>
  <c r="K80" i="113"/>
  <c r="R79" i="113"/>
  <c r="F79" i="113"/>
  <c r="M78" i="113"/>
  <c r="T77" i="113"/>
  <c r="H77" i="113"/>
  <c r="O76" i="113"/>
  <c r="V75" i="113"/>
  <c r="J75" i="113"/>
  <c r="Q74" i="113"/>
  <c r="L73" i="113"/>
  <c r="S72" i="113"/>
  <c r="G72" i="113"/>
  <c r="N71" i="113"/>
  <c r="F72" i="113"/>
  <c r="M89" i="113"/>
  <c r="K79" i="113"/>
  <c r="R96" i="113"/>
  <c r="F96" i="113"/>
  <c r="M95" i="113"/>
  <c r="T94" i="113"/>
  <c r="H94" i="113"/>
  <c r="O93" i="113"/>
  <c r="V92" i="113"/>
  <c r="J92" i="113"/>
  <c r="Q91" i="113"/>
  <c r="L90" i="113"/>
  <c r="S89" i="113"/>
  <c r="G89" i="113"/>
  <c r="N88" i="113"/>
  <c r="U87" i="113"/>
  <c r="I87" i="113"/>
  <c r="P86" i="113"/>
  <c r="D86" i="113"/>
  <c r="K85" i="113"/>
  <c r="R84" i="113"/>
  <c r="F84" i="113"/>
  <c r="M83" i="113"/>
  <c r="T82" i="113"/>
  <c r="H82" i="113"/>
  <c r="O81" i="113"/>
  <c r="V80" i="113"/>
  <c r="J80" i="113"/>
  <c r="Q79" i="113"/>
  <c r="L78" i="113"/>
  <c r="S77" i="113"/>
  <c r="G77" i="113"/>
  <c r="N76" i="113"/>
  <c r="U75" i="113"/>
  <c r="I75" i="113"/>
  <c r="P74" i="113"/>
  <c r="D74" i="113"/>
  <c r="K73" i="113"/>
  <c r="M71" i="113"/>
  <c r="F90" i="113"/>
  <c r="D80" i="113"/>
  <c r="Q73" i="113"/>
  <c r="Q96" i="113"/>
  <c r="L95" i="113"/>
  <c r="S94" i="113"/>
  <c r="G94" i="113"/>
  <c r="N93" i="113"/>
  <c r="U92" i="113"/>
  <c r="I92" i="113"/>
  <c r="P91" i="113"/>
  <c r="D91" i="113"/>
  <c r="K90" i="113"/>
  <c r="R89" i="113"/>
  <c r="F89" i="113"/>
  <c r="M88" i="113"/>
  <c r="T87" i="113"/>
  <c r="H87" i="113"/>
  <c r="O86" i="113"/>
  <c r="V85" i="113"/>
  <c r="J85" i="113"/>
  <c r="Q84" i="113"/>
  <c r="L83" i="113"/>
  <c r="S82" i="113"/>
  <c r="G82" i="113"/>
  <c r="N81" i="113"/>
  <c r="U80" i="113"/>
  <c r="I80" i="113"/>
  <c r="P79" i="113"/>
  <c r="D79" i="113"/>
  <c r="K78" i="113"/>
  <c r="R77" i="113"/>
  <c r="F77" i="113"/>
  <c r="M76" i="113"/>
  <c r="T75" i="113"/>
  <c r="H75" i="113"/>
  <c r="O74" i="113"/>
  <c r="V73" i="113"/>
  <c r="J73" i="113"/>
  <c r="Q72" i="113"/>
  <c r="L71" i="113"/>
  <c r="R6" i="113" a="1"/>
  <c r="H88" i="113"/>
  <c r="I81" i="113"/>
  <c r="H76" i="113"/>
  <c r="G71" i="113"/>
  <c r="P96" i="113"/>
  <c r="D96" i="113"/>
  <c r="K95" i="113"/>
  <c r="R94" i="113"/>
  <c r="F94" i="113"/>
  <c r="M93" i="113"/>
  <c r="T92" i="113"/>
  <c r="H92" i="113"/>
  <c r="O91" i="113"/>
  <c r="V90" i="113"/>
  <c r="J90" i="113"/>
  <c r="Q89" i="113"/>
  <c r="L88" i="113"/>
  <c r="S87" i="113"/>
  <c r="G87" i="113"/>
  <c r="N86" i="113"/>
  <c r="U85" i="113"/>
  <c r="I85" i="113"/>
  <c r="P84" i="113"/>
  <c r="D84" i="113"/>
  <c r="K83" i="113"/>
  <c r="R82" i="113"/>
  <c r="F82" i="113"/>
  <c r="M81" i="113"/>
  <c r="T80" i="113"/>
  <c r="H80" i="113"/>
  <c r="O79" i="113"/>
  <c r="V78" i="113"/>
  <c r="J78" i="113"/>
  <c r="Q77" i="113"/>
  <c r="L76" i="113"/>
  <c r="S75" i="113"/>
  <c r="G75" i="113"/>
  <c r="N74" i="113"/>
  <c r="U73" i="113"/>
  <c r="I73" i="113"/>
  <c r="P72" i="113"/>
  <c r="D72" i="113"/>
  <c r="K71" i="113"/>
  <c r="G83" i="113"/>
  <c r="O96" i="113"/>
  <c r="V95" i="113"/>
  <c r="J95" i="113"/>
  <c r="Q94" i="113"/>
  <c r="L93" i="113"/>
  <c r="S92" i="113"/>
  <c r="G92" i="113"/>
  <c r="N91" i="113"/>
  <c r="U90" i="113"/>
  <c r="I90" i="113"/>
  <c r="P89" i="113"/>
  <c r="D89" i="113"/>
  <c r="K88" i="113"/>
  <c r="R87" i="113"/>
  <c r="F87" i="113"/>
  <c r="M86" i="113"/>
  <c r="T85" i="113"/>
  <c r="H85" i="113"/>
  <c r="O84" i="113"/>
  <c r="V83" i="113"/>
  <c r="J83" i="113"/>
  <c r="Q82" i="113"/>
  <c r="L81" i="113"/>
  <c r="S80" i="113"/>
  <c r="G80" i="113"/>
  <c r="N79" i="113"/>
  <c r="U78" i="113"/>
  <c r="I78" i="113"/>
  <c r="P77" i="113"/>
  <c r="D77" i="113"/>
  <c r="K76" i="113"/>
  <c r="R75" i="113"/>
  <c r="F75" i="113"/>
  <c r="M74" i="113"/>
  <c r="T73" i="113"/>
  <c r="H73" i="113"/>
  <c r="O72" i="113"/>
  <c r="V71" i="113"/>
  <c r="J71" i="113"/>
  <c r="D26" i="113"/>
  <c r="R17" i="113" s="1" a="1"/>
  <c r="V86" i="113"/>
  <c r="F78" i="113"/>
  <c r="V74" i="113"/>
  <c r="N96" i="113"/>
  <c r="U95" i="113"/>
  <c r="I95" i="113"/>
  <c r="P94" i="113"/>
  <c r="D94" i="113"/>
  <c r="K93" i="113"/>
  <c r="R92" i="113"/>
  <c r="F92" i="113"/>
  <c r="M91" i="113"/>
  <c r="T90" i="113"/>
  <c r="H90" i="113"/>
  <c r="O89" i="113"/>
  <c r="V88" i="113"/>
  <c r="J88" i="113"/>
  <c r="Q87" i="113"/>
  <c r="E87" i="113"/>
  <c r="L86" i="113"/>
  <c r="S85" i="113"/>
  <c r="G85" i="113"/>
  <c r="N84" i="113"/>
  <c r="U83" i="113"/>
  <c r="I83" i="113"/>
  <c r="P82" i="113"/>
  <c r="D82" i="113"/>
  <c r="K81" i="113"/>
  <c r="R80" i="113"/>
  <c r="F80" i="113"/>
  <c r="M79" i="113"/>
  <c r="T78" i="113"/>
  <c r="H78" i="113"/>
  <c r="O77" i="113"/>
  <c r="V76" i="113"/>
  <c r="J76" i="113"/>
  <c r="Q75" i="113"/>
  <c r="E75" i="113"/>
  <c r="L74" i="113"/>
  <c r="S73" i="113"/>
  <c r="G73" i="113"/>
  <c r="N72" i="113"/>
  <c r="U71" i="113"/>
  <c r="I71" i="113"/>
  <c r="D21" i="113" a="1"/>
  <c r="G1" i="113"/>
  <c r="L96" i="113"/>
  <c r="G95" i="113"/>
  <c r="N94" i="113"/>
  <c r="I93" i="113"/>
  <c r="D92" i="113"/>
  <c r="K91" i="113"/>
  <c r="O87" i="113"/>
  <c r="Q85" i="113"/>
  <c r="L84" i="113"/>
  <c r="N82" i="113"/>
  <c r="R78" i="113"/>
  <c r="T76" i="113"/>
  <c r="L72" i="113"/>
  <c r="M96" i="113"/>
  <c r="T95" i="113"/>
  <c r="H95" i="113"/>
  <c r="O94" i="113"/>
  <c r="V93" i="113"/>
  <c r="J93" i="113"/>
  <c r="Q92" i="113"/>
  <c r="E92" i="113"/>
  <c r="L91" i="113"/>
  <c r="S90" i="113"/>
  <c r="G90" i="113"/>
  <c r="N89" i="113"/>
  <c r="U88" i="113"/>
  <c r="I88" i="113"/>
  <c r="P87" i="113"/>
  <c r="D87" i="113"/>
  <c r="K86" i="113"/>
  <c r="R85" i="113"/>
  <c r="F85" i="113"/>
  <c r="M84" i="113"/>
  <c r="T83" i="113"/>
  <c r="H83" i="113"/>
  <c r="O82" i="113"/>
  <c r="V81" i="113"/>
  <c r="J81" i="113"/>
  <c r="Q80" i="113"/>
  <c r="E80" i="113"/>
  <c r="L79" i="113"/>
  <c r="S78" i="113"/>
  <c r="G78" i="113"/>
  <c r="N77" i="113"/>
  <c r="U76" i="113"/>
  <c r="I76" i="113"/>
  <c r="P75" i="113"/>
  <c r="D75" i="113"/>
  <c r="K74" i="113"/>
  <c r="R73" i="113"/>
  <c r="F73" i="113"/>
  <c r="M72" i="113"/>
  <c r="T71" i="113"/>
  <c r="H71" i="113"/>
  <c r="S95" i="113"/>
  <c r="U93" i="113"/>
  <c r="P92" i="113"/>
  <c r="R90" i="113"/>
  <c r="J86" i="113"/>
  <c r="E85" i="113"/>
  <c r="S83" i="113"/>
  <c r="U81" i="113"/>
  <c r="M77" i="113"/>
  <c r="J74" i="113"/>
  <c r="S71" i="113"/>
  <c r="E82" i="113"/>
  <c r="E94" i="113"/>
  <c r="E77" i="113"/>
  <c r="E89" i="113"/>
  <c r="E72" i="113"/>
  <c r="E84" i="113"/>
  <c r="E96" i="113"/>
  <c r="E79" i="113"/>
  <c r="E91" i="113"/>
  <c r="E73" i="113"/>
  <c r="E86" i="113"/>
  <c r="E81" i="113"/>
  <c r="E93" i="113"/>
  <c r="E76" i="113"/>
  <c r="E88" i="113"/>
  <c r="E83" i="113"/>
  <c r="E95" i="113"/>
  <c r="E71" i="113"/>
  <c r="E78" i="113"/>
  <c r="E90" i="113"/>
  <c r="E74" i="113"/>
  <c r="R17" i="113" l="1"/>
  <c r="D21" i="113"/>
  <c r="R6" i="113"/>
  <c r="D29" i="113" a="1"/>
  <c r="D44" i="113" a="1"/>
  <c r="D56" i="113" a="1"/>
  <c r="D45" i="113" a="1"/>
  <c r="D57" i="113" a="1"/>
  <c r="D43" i="113" a="1"/>
  <c r="D46" i="113" a="1"/>
  <c r="D58" i="113" a="1"/>
  <c r="D47" i="113" a="1"/>
  <c r="D59" i="113" a="1"/>
  <c r="D48" i="113" a="1"/>
  <c r="D60" i="113" a="1"/>
  <c r="D33" i="113" a="1"/>
  <c r="D49" i="113" a="1"/>
  <c r="D61" i="113" a="1"/>
  <c r="D38" i="113" a="1"/>
  <c r="D50" i="113" a="1"/>
  <c r="D62" i="113" a="1"/>
  <c r="D55" i="113" a="1"/>
  <c r="R14" i="113" a="1"/>
  <c r="D39" i="113" a="1"/>
  <c r="D51" i="113" a="1"/>
  <c r="D63" i="113" a="1"/>
  <c r="D40" i="113" a="1"/>
  <c r="D52" i="113" a="1"/>
  <c r="D53" i="113" a="1"/>
  <c r="D41" i="113" a="1"/>
  <c r="D42" i="113" a="1"/>
  <c r="D54" i="113" a="1"/>
  <c r="D29" i="113" l="1"/>
  <c r="R23" i="113" s="1"/>
  <c r="D54" i="113"/>
  <c r="D42" i="113"/>
  <c r="D41" i="113"/>
  <c r="D53" i="113"/>
  <c r="D52" i="113"/>
  <c r="D40" i="113"/>
  <c r="D63" i="113"/>
  <c r="D51" i="113"/>
  <c r="D39" i="113"/>
  <c r="R14" i="113"/>
  <c r="D55" i="113"/>
  <c r="D62" i="113"/>
  <c r="D50" i="113"/>
  <c r="D38" i="113"/>
  <c r="D61" i="113"/>
  <c r="D49" i="113"/>
  <c r="D33" i="113"/>
  <c r="D60" i="113"/>
  <c r="D48" i="113"/>
  <c r="D59" i="113"/>
  <c r="D47" i="113"/>
  <c r="D58" i="113"/>
  <c r="D46" i="113"/>
  <c r="D43" i="113"/>
  <c r="D57" i="113"/>
  <c r="D45" i="113"/>
  <c r="D56" i="113"/>
  <c r="D44" i="113"/>
  <c r="R20" i="113" a="1"/>
  <c r="F29" i="113" a="1"/>
  <c r="S37" i="113" l="1"/>
  <c r="E37" i="113"/>
  <c r="G37" i="113"/>
  <c r="Q37" i="113"/>
  <c r="K37" i="113"/>
  <c r="U37" i="113"/>
  <c r="I37" i="113"/>
  <c r="V37" i="113"/>
  <c r="N37" i="113"/>
  <c r="W37" i="113"/>
  <c r="T37" i="113"/>
  <c r="O37" i="113"/>
  <c r="X37" i="113"/>
  <c r="R37" i="113"/>
  <c r="J37" i="113"/>
  <c r="Y37" i="113"/>
  <c r="L37" i="113"/>
  <c r="H37" i="113"/>
  <c r="F37" i="113"/>
  <c r="M37" i="113"/>
  <c r="Z37" i="113"/>
  <c r="P37" i="113"/>
  <c r="F29" i="113"/>
  <c r="D37" i="113" s="1"/>
  <c r="R20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<sst xmlns="http://schemas.openxmlformats.org/spreadsheetml/2006/main" count="74" uniqueCount="60">
  <si>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</si>
  <si>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</si>
  <si>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</si>
  <si>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</si>
  <si>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</si>
  <si>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</si>
  <si>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</si>
  <si>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</si>
  <si>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</si>
  <si>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</si>
  <si>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</si>
  <si>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</si>
  <si>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</si>
  <si>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</si>
  <si>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</si>
  <si>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</si>
  <si>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</si>
  <si>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</si>
  <si>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</si>
  <si>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</si>
  <si>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</si>
  <si>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</si>
  <si>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</si>
  <si>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</si>
  <si>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</si>
  <si>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</si>
  <si>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</si>
  <si>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</si>
  <si>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</si>
  <si>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</si>
  <si>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</si>
  <si>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</si>
  <si>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</si>
  <si>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</si>
  <si>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</si>
  <si>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</si>
  <si>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</si>
  <si>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</si>
  <si>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</si>
  <si>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</si>
  <si>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</si>
  <si>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</si>
  <si>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</si>
  <si>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</si>
  <si>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</si>
  <si>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</si>
  <si>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</si>
  <si>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</si>
  <si>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</si>
  <si>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</si>
  <si>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</si>
  <si>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</si>
  <si>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</si>
  <si>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</si>
  <si>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</si>
  <si>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</si>
  <si>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</si>
  <si>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</si>
  <si>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</si>
  <si>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t>Расшифровка лога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</si>
</sst>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0" fillId="4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  <xf numFmtId="0" fontId="0" fillId="4" borderId="8" xfId="0" applyFill="1" applyBorder="1"/>
    <xf numFmtId="0" fontId="0" fillId="4" borderId="13" xfId="0" applyFill="1" applyBorder="1"/>
    <xf numFmtId="0" fontId="0" fillId="4" borderId="15" xfId="0" applyFill="1" applyBorder="1"/>
    <xf numFmtId="0" fontId="0" fillId="0" borderId="0" xfId="0" applyFill="1" applyBorder="1"/>
    <xf numFmtId="0" fontId="18" fillId="3" borderId="16" xfId="0" applyFont="1" applyFill="1" applyBorder="1" applyAlignment="1">
      <alignment wrapText="1"/>
    </xf>
    <xf numFmtId="0" fontId="0" fillId="3" borderId="4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5.8817089283756099</c:v>
                </c:pt>
                <c:pt idx="1">
                  <c:v>4.3614318264026997</c:v>
                </c:pt>
                <c:pt idx="2">
                  <c:v>3.86523611398637</c:v>
                </c:pt>
                <c:pt idx="3">
                  <c:v>3.3298018270592502</c:v>
                </c:pt>
                <c:pt idx="4">
                  <c:v>2.74751104782864</c:v>
                </c:pt>
                <c:pt idx="5">
                  <c:v>2.3833798490418201</c:v>
                </c:pt>
                <c:pt idx="6">
                  <c:v>2.1144840427529599</c:v>
                </c:pt>
                <c:pt idx="7">
                  <c:v>1.9006398144438601</c:v>
                </c:pt>
                <c:pt idx="8">
                  <c:v>1.7234904651246299</c:v>
                </c:pt>
                <c:pt idx="9">
                  <c:v>1.5730301289491899</c:v>
                </c:pt>
                <c:pt idx="10">
                  <c:v>1.44314579802133</c:v>
                </c:pt>
                <c:pt idx="11">
                  <c:v>1.32978593899882</c:v>
                </c:pt>
                <c:pt idx="12">
                  <c:v>1.2730498856894299</c:v>
                </c:pt>
                <c:pt idx="13">
                  <c:v>1.29606054553033</c:v>
                </c:pt>
                <c:pt idx="14">
                  <c:v>1.3190712053712399</c:v>
                </c:pt>
                <c:pt idx="15">
                  <c:v>1.34208186521215</c:v>
                </c:pt>
                <c:pt idx="16">
                  <c:v>1.3650925250530499</c:v>
                </c:pt>
                <c:pt idx="17">
                  <c:v>1.38810318489396</c:v>
                </c:pt>
                <c:pt idx="18">
                  <c:v>1.4111138447348699</c:v>
                </c:pt>
                <c:pt idx="19">
                  <c:v>1.43412450457577</c:v>
                </c:pt>
                <c:pt idx="20">
                  <c:v>1.4571351644166799</c:v>
                </c:pt>
                <c:pt idx="21">
                  <c:v>1.48014582425758</c:v>
                </c:pt>
                <c:pt idx="22">
                  <c:v>1.5031564840984899</c:v>
                </c:pt>
                <c:pt idx="23">
                  <c:v>1.5261671439394</c:v>
                </c:pt>
                <c:pt idx="24">
                  <c:v>1.5491778037802999</c:v>
                </c:pt>
                <c:pt idx="25">
                  <c:v>1.57218846362121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</c:formatCode>
                <c:ptCount val="26"/>
                <c:pt idx="0">
                  <c:v>853.23409663014002</c:v>
                </c:pt>
                <c:pt idx="1">
                  <c:v>839.64708194673199</c:v>
                </c:pt>
                <c:pt idx="2">
                  <c:v>833.50901217482703</c:v>
                </c:pt>
                <c:pt idx="3">
                  <c:v>825.45464852416796</c:v>
                </c:pt>
                <c:pt idx="4">
                  <c:v>814.33601694639799</c:v>
                </c:pt>
                <c:pt idx="5">
                  <c:v>805.579823812173</c:v>
                </c:pt>
                <c:pt idx="6">
                  <c:v>797.83614859835302</c:v>
                </c:pt>
                <c:pt idx="7">
                  <c:v>790.63151319097904</c:v>
                </c:pt>
                <c:pt idx="8">
                  <c:v>783.745513235472</c:v>
                </c:pt>
                <c:pt idx="9">
                  <c:v>777.06121982833099</c:v>
                </c:pt>
                <c:pt idx="10">
                  <c:v>770.51256356465501</c:v>
                </c:pt>
                <c:pt idx="11">
                  <c:v>764.06155842617204</c:v>
                </c:pt>
                <c:pt idx="12">
                  <c:v>761.13617178977904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768.25248165063897</c:v>
                </c:pt>
                <c:pt idx="16">
                  <c:v>769.95662463306303</c:v>
                </c:pt>
                <c:pt idx="17">
                  <c:v>771.43660596458801</c:v>
                </c:pt>
                <c:pt idx="18">
                  <c:v>772.733923038189</c:v>
                </c:pt>
                <c:pt idx="19">
                  <c:v>773.88042623413401</c:v>
                </c:pt>
                <c:pt idx="20">
                  <c:v>774.900968161067</c:v>
                </c:pt>
                <c:pt idx="21">
                  <c:v>775.81522534967996</c:v>
                </c:pt>
                <c:pt idx="22">
                  <c:v>776.63897905019201</c:v>
                </c:pt>
                <c:pt idx="23">
                  <c:v>777.38503366233795</c:v>
                </c:pt>
                <c:pt idx="24">
                  <c:v>778.06388701759704</c:v>
                </c:pt>
                <c:pt idx="25">
                  <c:v>778.68422736170305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2561.5</c:v>
                </c:pt>
                <c:pt idx="1">
                  <c:v>2561.5</c:v>
                </c:pt>
                <c:pt idx="2">
                  <c:v>2561.5</c:v>
                </c:pt>
                <c:pt idx="3">
                  <c:v>2561.5</c:v>
                </c:pt>
                <c:pt idx="4">
                  <c:v>2561.5</c:v>
                </c:pt>
                <c:pt idx="5">
                  <c:v>2561.5</c:v>
                </c:pt>
                <c:pt idx="6">
                  <c:v>2561.5</c:v>
                </c:pt>
                <c:pt idx="7">
                  <c:v>2561.5</c:v>
                </c:pt>
                <c:pt idx="8">
                  <c:v>2561.5</c:v>
                </c:pt>
                <c:pt idx="9">
                  <c:v>2561.5</c:v>
                </c:pt>
                <c:pt idx="10">
                  <c:v>2561.5</c:v>
                </c:pt>
                <c:pt idx="11">
                  <c:v>2561.5</c:v>
                </c:pt>
                <c:pt idx="12">
                  <c:v>2561.5</c:v>
                </c:pt>
                <c:pt idx="13">
                  <c:v>2561.5</c:v>
                </c:pt>
                <c:pt idx="14">
                  <c:v>2561.5</c:v>
                </c:pt>
                <c:pt idx="15">
                  <c:v>2561.5</c:v>
                </c:pt>
                <c:pt idx="16">
                  <c:v>2561.5</c:v>
                </c:pt>
                <c:pt idx="17">
                  <c:v>2561.5</c:v>
                </c:pt>
                <c:pt idx="18">
                  <c:v>2561.5</c:v>
                </c:pt>
                <c:pt idx="19">
                  <c:v>2561.5</c:v>
                </c:pt>
                <c:pt idx="20">
                  <c:v>2561.5</c:v>
                </c:pt>
                <c:pt idx="21">
                  <c:v>2561.5</c:v>
                </c:pt>
                <c:pt idx="22">
                  <c:v>2561.5</c:v>
                </c:pt>
                <c:pt idx="23">
                  <c:v>2561.5</c:v>
                </c:pt>
                <c:pt idx="24">
                  <c:v>2561.5</c:v>
                </c:pt>
                <c:pt idx="25">
                  <c:v>2561.5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1925.7003792225805</c:v>
                </c:pt>
                <c:pt idx="1">
                  <c:v>1907.2056510380505</c:v>
                </c:pt>
                <c:pt idx="2">
                  <c:v>1883.5679707657052</c:v>
                </c:pt>
                <c:pt idx="3">
                  <c:v>1833.6727413526064</c:v>
                </c:pt>
                <c:pt idx="4">
                  <c:v>1722.3948137387415</c:v>
                </c:pt>
                <c:pt idx="5">
                  <c:v>1605.6274265025404</c:v>
                </c:pt>
                <c:pt idx="6">
                  <c:v>1502.9546426222566</c:v>
                </c:pt>
                <c:pt idx="7">
                  <c:v>1429.1681252534001</c:v>
                </c:pt>
                <c:pt idx="8">
                  <c:v>1388.3281949026382</c:v>
                </c:pt>
                <c:pt idx="9">
                  <c:v>1376.8396712413103</c:v>
                </c:pt>
                <c:pt idx="10">
                  <c:v>1388.2835529406143</c:v>
                </c:pt>
                <c:pt idx="11">
                  <c:v>1416.3711538520051</c:v>
                </c:pt>
                <c:pt idx="12">
                  <c:v>1456.0516587639254</c:v>
                </c:pt>
                <c:pt idx="13">
                  <c:v>1503.6454745372969</c:v>
                </c:pt>
                <c:pt idx="14">
                  <c:v>1556.6158008161776</c:v>
                </c:pt>
                <c:pt idx="15">
                  <c:v>1613.2707216995911</c:v>
                </c:pt>
                <c:pt idx="16">
                  <c:v>1672.5039274812323</c:v>
                </c:pt>
                <c:pt idx="17">
                  <c:v>1733.5991597636048</c:v>
                </c:pt>
                <c:pt idx="18">
                  <c:v>1796.0927634973086</c:v>
                </c:pt>
                <c:pt idx="19">
                  <c:v>1859.6808350175158</c:v>
                </c:pt>
                <c:pt idx="20">
                  <c:v>1924.1580017926196</c:v>
                </c:pt>
                <c:pt idx="21">
                  <c:v>1989.3777260142526</c:v>
                </c:pt>
                <c:pt idx="22">
                  <c:v>2055.2269253041095</c:v>
                </c:pt>
                <c:pt idx="23">
                  <c:v>2121.6100038142217</c:v>
                </c:pt>
                <c:pt idx="24">
                  <c:v>2188.439036541658</c:v>
                </c:pt>
                <c:pt idx="25">
                  <c:v>2255.6279746367131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0.43838494718684901</c:v>
                </c:pt>
                <c:pt idx="1">
                  <c:v>4.2496105065731003E-2</c:v>
                </c:pt>
                <c:pt idx="2">
                  <c:v>1.55544848900348E-2</c:v>
                </c:pt>
                <c:pt idx="3">
                  <c:v>5.6932747088255702E-3</c:v>
                </c:pt>
                <c:pt idx="4">
                  <c:v>2.0838605160701301E-3</c:v>
                </c:pt>
                <c:pt idx="5">
                  <c:v>1.1575408339028401E-3</c:v>
                </c:pt>
                <c:pt idx="6">
                  <c:v>7.62737593481036E-4</c:v>
                </c:pt>
                <c:pt idx="7">
                  <c:v>5.5189395016156805E-4</c:v>
                </c:pt>
                <c:pt idx="8">
                  <c:v>4.2368474434752997E-4</c:v>
                </c:pt>
                <c:pt idx="9">
                  <c:v>3.3882073609868199E-4</c:v>
                </c:pt>
                <c:pt idx="10">
                  <c:v>2.7917830009389298E-4</c:v>
                </c:pt>
                <c:pt idx="11">
                  <c:v>2.3534799402449399E-4</c:v>
                </c:pt>
                <c:pt idx="12">
                  <c:v>2.0920111111111101E-4</c:v>
                </c:pt>
                <c:pt idx="13">
                  <c:v>1.9018282828282799E-4</c:v>
                </c:pt>
                <c:pt idx="14">
                  <c:v>1.74334259259259E-4</c:v>
                </c:pt>
                <c:pt idx="15">
                  <c:v>1.6092393162393199E-4</c:v>
                </c:pt>
                <c:pt idx="16">
                  <c:v>1.4942936507936501E-4</c:v>
                </c:pt>
                <c:pt idx="17">
                  <c:v>1.3946740740740699E-4</c:v>
                </c:pt>
                <c:pt idx="18">
                  <c:v>1.3075069444444401E-4</c:v>
                </c:pt>
                <c:pt idx="19">
                  <c:v>1.2305947712418301E-4</c:v>
                </c:pt>
                <c:pt idx="20">
                  <c:v>1.1622283950617301E-4</c:v>
                </c:pt>
                <c:pt idx="21">
                  <c:v>1.10105847953216E-4</c:v>
                </c:pt>
                <c:pt idx="22">
                  <c:v>1.0460055555555599E-4</c:v>
                </c:pt>
                <c:pt idx="23">
                  <c:v>9.96195767195767E-5</c:v>
                </c:pt>
                <c:pt idx="24">
                  <c:v>9.5091414141414198E-5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1.0556111252312994</c:v>
                </c:pt>
                <c:pt idx="1">
                  <c:v>1.0921604322983123</c:v>
                </c:pt>
                <c:pt idx="2">
                  <c:v>1.1093843017264917</c:v>
                </c:pt>
                <c:pt idx="3">
                  <c:v>1.132746941917969</c:v>
                </c:pt>
                <c:pt idx="4">
                  <c:v>1.1665038885476338</c:v>
                </c:pt>
                <c:pt idx="5">
                  <c:v>1.194346661943962</c:v>
                </c:pt>
                <c:pt idx="6">
                  <c:v>1.2198955050630811</c:v>
                </c:pt>
                <c:pt idx="7">
                  <c:v>1.2444494388296186</c:v>
                </c:pt>
                <c:pt idx="8">
                  <c:v>1.2686350266784816</c:v>
                </c:pt>
                <c:pt idx="9">
                  <c:v>1.2928028403701328</c:v>
                </c:pt>
                <c:pt idx="10">
                  <c:v>1.3171669749430699</c:v>
                </c:pt>
                <c:pt idx="11">
                  <c:v>1.3418653455103544</c:v>
                </c:pt>
                <c:pt idx="12">
                  <c:v>1.355793665111761</c:v>
                </c:pt>
                <c:pt idx="13">
                  <c:v>1.3508323444499564</c:v>
                </c:pt>
                <c:pt idx="14">
                  <c:v>1.3467117819417511</c:v>
                </c:pt>
                <c:pt idx="15">
                  <c:v>1.3432349711162719</c:v>
                </c:pt>
                <c:pt idx="16">
                  <c:v>1.3402619926697708</c:v>
                </c:pt>
                <c:pt idx="17">
                  <c:v>1.3376907344313524</c:v>
                </c:pt>
                <c:pt idx="18">
                  <c:v>1.3354449303101192</c:v>
                </c:pt>
                <c:pt idx="19">
                  <c:v>1.333466469777064</c:v>
                </c:pt>
                <c:pt idx="20">
                  <c:v>1.3317102989933356</c:v>
                </c:pt>
                <c:pt idx="21">
                  <c:v>1.3301409488771978</c:v>
                </c:pt>
                <c:pt idx="22">
                  <c:v>1.3287301150684432</c:v>
                </c:pt>
                <c:pt idx="23">
                  <c:v>1.3274549358615921</c:v>
                </c:pt>
                <c:pt idx="24">
                  <c:v>1.3262967440315871</c:v>
                </c:pt>
                <c:pt idx="25">
                  <c:v>1.325240147082954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0.62154268592315998</c:v>
                </c:pt>
                <c:pt idx="1">
                  <c:v>15.487817519266899</c:v>
                </c:pt>
                <c:pt idx="2">
                  <c:v>22.4476034799494</c:v>
                </c:pt>
                <c:pt idx="3">
                  <c:v>31.8601846313639</c:v>
                </c:pt>
                <c:pt idx="4">
                  <c:v>45.406792313410797</c:v>
                </c:pt>
                <c:pt idx="5">
                  <c:v>56.516487498725901</c:v>
                </c:pt>
                <c:pt idx="6">
                  <c:v>66.643685440116201</c:v>
                </c:pt>
                <c:pt idx="7">
                  <c:v>76.306188018086303</c:v>
                </c:pt>
                <c:pt idx="8">
                  <c:v>85.752103255594307</c:v>
                </c:pt>
                <c:pt idx="9">
                  <c:v>95.119689445078095</c:v>
                </c:pt>
                <c:pt idx="10">
                  <c:v>104.493467668992</c:v>
                </c:pt>
                <c:pt idx="11">
                  <c:v>113.928430410008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exercise_PVT!$F$38:$F$63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100</xdr:row>
      <xdr:rowOff>90368</xdr:rowOff>
    </xdr:from>
    <xdr:to>
      <xdr:col>19</xdr:col>
      <xdr:colOff>478972</xdr:colOff>
      <xdr:row>123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100</xdr:row>
      <xdr:rowOff>78547</xdr:rowOff>
    </xdr:from>
    <xdr:to>
      <xdr:col>27</xdr:col>
      <xdr:colOff>65314</xdr:colOff>
      <xdr:row>123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19</xdr:col>
      <xdr:colOff>531281</xdr:colOff>
      <xdr:row>123</xdr:row>
      <xdr:rowOff>157143</xdr:rowOff>
    </xdr:from>
    <xdr:to>
      <xdr:col>26</xdr:col>
      <xdr:colOff>68647</xdr:colOff>
      <xdr:row>146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124</xdr:row>
      <xdr:rowOff>7336</xdr:rowOff>
    </xdr:from>
    <xdr:to>
      <xdr:col>19</xdr:col>
      <xdr:colOff>450892</xdr:colOff>
      <xdr:row>146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100</xdr:row>
      <xdr:rowOff>66589</xdr:rowOff>
    </xdr:from>
    <xdr:to>
      <xdr:col>34</xdr:col>
      <xdr:colOff>431546</xdr:colOff>
      <xdr:row>123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100</xdr:row>
      <xdr:rowOff>84162</xdr:rowOff>
    </xdr:from>
    <xdr:to>
      <xdr:col>12</xdr:col>
      <xdr:colOff>419778</xdr:colOff>
      <xdr:row>123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B166"/>
  <sheetViews>
    <sheetView tabSelected="1" zoomScale="85" zoomScaleNormal="85" workbookViewId="0">
      <selection activeCell="R17" sqref="R17"/>
    </sheetView>
  </sheetViews>
  <sheetFormatPr defaultRowHeight="13.2" x14ac:dyDescent="0.25"/>
  <cols>
    <col min="1" max="1" width="12.33203125" customWidth="1"/>
    <col min="2" max="2" width="13.109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7" width="9" bestFit="1" customWidth="1"/>
    <col min="18" max="18" width="21" customWidth="1"/>
    <col min="19" max="19" width="12.6640625" bestFit="1" customWidth="1"/>
    <col min="20" max="21" width="10.5546875" bestFit="1" customWidth="1"/>
    <col min="22" max="25" width="9.109375" customWidth="1"/>
    <col min="26" max="26" width="11.21875" customWidth="1"/>
    <col min="27" max="32" width="9.109375" customWidth="1"/>
  </cols>
  <sheetData>
    <row r="1" spans="1:19" x14ac:dyDescent="0.25">
      <c r="A1" s="1" t="s">
        <v>20</v>
      </c>
      <c r="F1" t="s">
        <v>30</v>
      </c>
      <c r="G1" t="str">
        <f>[1]!unf_Version()</f>
        <v>7.27</v>
      </c>
      <c r="H1" s="21" t="s">
        <v>44</v>
      </c>
      <c r="I1" s="25">
        <v>44296</v>
      </c>
      <c r="J1" s="26"/>
      <c r="K1" s="26"/>
      <c r="L1" s="27"/>
    </row>
    <row r="2" spans="1:19" x14ac:dyDescent="0.25">
      <c r="A2" t="s">
        <v>21</v>
      </c>
      <c r="H2" s="21" t="s">
        <v>45</v>
      </c>
      <c r="I2" s="28">
        <v>7.27</v>
      </c>
      <c r="J2" s="23"/>
      <c r="K2" s="23"/>
      <c r="L2" s="24"/>
    </row>
    <row r="3" spans="1:19" ht="14.4" x14ac:dyDescent="0.3">
      <c r="A3" s="22" t="s">
        <v>37</v>
      </c>
      <c r="B3" s="53" t="s">
        <v>39</v>
      </c>
      <c r="C3" s="53"/>
      <c r="D3" s="53"/>
      <c r="E3" s="54"/>
      <c r="H3" s="22" t="s">
        <v>37</v>
      </c>
      <c r="I3" s="55" t="s">
        <v>39</v>
      </c>
      <c r="J3" s="55"/>
      <c r="K3" s="55"/>
      <c r="L3" s="55"/>
    </row>
    <row r="4" spans="1:19" ht="14.4" x14ac:dyDescent="0.3">
      <c r="A4" s="22" t="s">
        <v>41</v>
      </c>
      <c r="B4" s="53" t="s">
        <v>42</v>
      </c>
      <c r="C4" s="53"/>
      <c r="D4" s="53"/>
      <c r="E4" s="54"/>
      <c r="H4" s="22" t="s">
        <v>41</v>
      </c>
      <c r="I4" s="56" t="s">
        <v>42</v>
      </c>
      <c r="J4" s="56"/>
      <c r="K4" s="56"/>
      <c r="L4" s="56"/>
      <c r="R4" t="s">
        <v>59</v>
      </c>
    </row>
    <row r="5" spans="1:19" ht="14.4" x14ac:dyDescent="0.3">
      <c r="A5" s="22" t="s">
        <v>46</v>
      </c>
      <c r="B5" s="53" t="s">
        <v>40</v>
      </c>
      <c r="C5" s="53"/>
      <c r="D5" s="53"/>
      <c r="E5" s="54"/>
      <c r="H5" s="22" t="s">
        <v>46</v>
      </c>
      <c r="I5" s="56" t="s">
        <v>40</v>
      </c>
      <c r="J5" s="56"/>
      <c r="K5" s="56"/>
      <c r="L5" s="56"/>
    </row>
    <row r="6" spans="1:19" x14ac:dyDescent="0.25">
      <c r="A6" s="59" t="s">
        <v>38</v>
      </c>
      <c r="B6" s="62" t="s">
        <v>43</v>
      </c>
      <c r="C6" s="63"/>
      <c r="D6" s="63"/>
      <c r="E6" s="64"/>
      <c r="H6" s="71" t="s">
        <v>38</v>
      </c>
      <c r="I6" s="72" t="s">
        <v>43</v>
      </c>
      <c r="J6" s="72"/>
      <c r="K6" s="72"/>
      <c r="L6" s="72"/>
      <c r="R6" t="str" cm="1">
        <f t="array" ref="R6">[1]!decode_json(D31)</f>
        <v>error</v>
      </c>
    </row>
    <row r="7" spans="1:19" x14ac:dyDescent="0.25">
      <c r="A7" s="60"/>
      <c r="B7" s="65"/>
      <c r="C7" s="66"/>
      <c r="D7" s="66"/>
      <c r="E7" s="67"/>
      <c r="H7" s="71"/>
      <c r="I7" s="72"/>
      <c r="J7" s="72"/>
      <c r="K7" s="72"/>
      <c r="L7" s="72"/>
    </row>
    <row r="8" spans="1:19" x14ac:dyDescent="0.25">
      <c r="A8" s="61"/>
      <c r="B8" s="68"/>
      <c r="C8" s="69"/>
      <c r="D8" s="69"/>
      <c r="E8" s="70"/>
      <c r="H8" s="71"/>
      <c r="I8" s="72"/>
      <c r="J8" s="72"/>
      <c r="K8" s="72"/>
      <c r="L8" s="72"/>
    </row>
    <row r="10" spans="1:19" x14ac:dyDescent="0.25">
      <c r="A10" s="1" t="s">
        <v>1</v>
      </c>
    </row>
    <row r="11" spans="1:19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9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9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9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  <c r="R14" t="str" cm="1">
        <f t="array" ref="R14:S15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  <c r="S14" t="str">
        <v>["CPVT object created "]</v>
      </c>
    </row>
    <row r="15" spans="1:19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  <c r="R15" t="str">
        <v>json</v>
      </c>
      <c r="S15" t="str">
        <v>log</v>
      </c>
    </row>
    <row r="16" spans="1:19" ht="15.6" x14ac:dyDescent="0.35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8" ht="15.6" x14ac:dyDescent="0.35">
      <c r="B17" s="7" t="s">
        <v>17</v>
      </c>
      <c r="C17" s="2"/>
      <c r="D17" s="4" t="s">
        <v>2</v>
      </c>
      <c r="E17" s="19"/>
      <c r="F17" s="6"/>
      <c r="R17" cm="1">
        <f t="array" ref="R17">[1]!PVT_bg_m3m3(B29,C29,PVT_str_)</f>
        <v>3.5204376471127123E-3</v>
      </c>
    </row>
    <row r="18" spans="2:28" ht="15.6" x14ac:dyDescent="0.35">
      <c r="B18" s="8" t="s">
        <v>18</v>
      </c>
      <c r="C18" s="2"/>
      <c r="D18" s="4" t="s">
        <v>6</v>
      </c>
      <c r="E18" s="19"/>
      <c r="F18" s="6"/>
    </row>
    <row r="20" spans="2:28" x14ac:dyDescent="0.25">
      <c r="R20" cm="1">
        <f t="array" ref="R20">[1]!decode_json(D29,,"bg_m3m3",1)</f>
        <v>3.5204376471127102E-3</v>
      </c>
    </row>
    <row r="21" spans="2:28" x14ac:dyDescent="0.25">
      <c r="B21" s="57" t="s">
        <v>54</v>
      </c>
      <c r="C21" s="58"/>
      <c r="D21" s="39" t="str" cm="1">
        <f t="array" ref="D21">[1]!encode_json(B22:C24)</f>
        <v>{"show_log":1,"PVT_correlation":1}</v>
      </c>
      <c r="E21" s="18"/>
      <c r="F21" s="18"/>
    </row>
    <row r="22" spans="2:28" x14ac:dyDescent="0.25">
      <c r="B22" s="38" t="s">
        <v>55</v>
      </c>
      <c r="C22" s="38">
        <v>1</v>
      </c>
    </row>
    <row r="23" spans="2:28" x14ac:dyDescent="0.25">
      <c r="B23" s="38" t="s">
        <v>58</v>
      </c>
      <c r="C23" s="38">
        <v>1</v>
      </c>
      <c r="R23" t="str">
        <f>D29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</row>
    <row r="24" spans="2:28" x14ac:dyDescent="0.25">
      <c r="B24" s="38"/>
      <c r="C24" s="38"/>
    </row>
    <row r="26" spans="2:28" ht="15" customHeight="1" x14ac:dyDescent="0.25">
      <c r="B26" s="51" t="s">
        <v>31</v>
      </c>
      <c r="C26" s="52"/>
      <c r="D26" s="40" t="str">
        <f>[1]!encode_PVT(gamma_gas_,gamma_oil_,gamma_wat_,Rsb_,Pb_,Tres_,Bob_,muob_,C23)</f>
        <v>{"gamma_gas":0.9,"gamma_oil":0.9,"gamma_wat":1.1,"rsb_m3m3":120,"t_res_C":100,"PVT_corr_set":1}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8" x14ac:dyDescent="0.25">
      <c r="B28" s="9" t="s">
        <v>0</v>
      </c>
      <c r="C28" s="9" t="s">
        <v>4</v>
      </c>
    </row>
    <row r="29" spans="2:28" x14ac:dyDescent="0.25">
      <c r="B29" s="12">
        <v>240</v>
      </c>
      <c r="C29" s="41">
        <v>50</v>
      </c>
      <c r="D29" s="47" t="str" cm="1">
        <f t="array" ref="D29:E30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  <c r="E29" s="27" t="str">
        <v>["CPVT object created "]</v>
      </c>
      <c r="F29" s="42" t="str" cm="1">
        <f t="array" ref="F29:AB30">[1]!decode_json(D29,1,)</f>
        <v>rs_m3m3</v>
      </c>
      <c r="G29" s="42" t="str">
        <v>pb_atma</v>
      </c>
      <c r="H29" s="42" t="str">
        <v>bo_m3m3</v>
      </c>
      <c r="I29" s="42" t="str">
        <v>bg_m3m3</v>
      </c>
      <c r="J29" s="42" t="str">
        <v>bw_m3m3</v>
      </c>
      <c r="K29" s="42" t="str">
        <v>mu_oil_cP</v>
      </c>
      <c r="L29" s="42" t="str">
        <v>mu_gas_cP</v>
      </c>
      <c r="M29" s="42" t="str">
        <v>mu_wat_cP</v>
      </c>
      <c r="N29" s="42" t="str">
        <v>rho_oil_rc_kgm3</v>
      </c>
      <c r="O29" s="42" t="str">
        <v>rho_gas_rc_kgm3</v>
      </c>
      <c r="P29" s="42" t="str">
        <v>rho_wat_rc_kgm3</v>
      </c>
      <c r="Q29" s="42" t="str">
        <v>compressibility_oil_1atm</v>
      </c>
      <c r="R29" s="42" t="str">
        <v>compressibility_gas_1atm</v>
      </c>
      <c r="S29" s="42" t="str">
        <v>compressibility_wat_1atm</v>
      </c>
      <c r="T29" s="42" t="str">
        <v>sigma_liq_Nm</v>
      </c>
      <c r="U29" s="42" t="str">
        <v>sigma_oil_gas_Nm</v>
      </c>
      <c r="V29" s="42" t="str">
        <v>sigma_wat_gas_Nm</v>
      </c>
      <c r="W29" s="42" t="str">
        <v>cp_oil_JkgC</v>
      </c>
      <c r="X29" s="42" t="str">
        <v>cp_gas_JkgC</v>
      </c>
      <c r="Y29" s="42" t="str">
        <v>cv_gas_JkgC</v>
      </c>
      <c r="Z29" s="42" t="str">
        <v>cp_wat_JkgC</v>
      </c>
      <c r="AA29" s="42" t="str">
        <v>z</v>
      </c>
      <c r="AB29" s="43" t="str">
        <v>sal_ppm</v>
      </c>
    </row>
    <row r="30" spans="2:28" x14ac:dyDescent="0.25">
      <c r="D30" s="48" t="str">
        <v>json</v>
      </c>
      <c r="E30" s="49" t="str">
        <v>log</v>
      </c>
      <c r="F30" s="44">
        <v>120</v>
      </c>
      <c r="G30" s="44">
        <v>169.55790619854201</v>
      </c>
      <c r="H30" s="44">
        <v>1.3073279268703599</v>
      </c>
      <c r="I30" s="44">
        <v>3.5204376471127102E-3</v>
      </c>
      <c r="J30" s="44">
        <v>1.00906772183023</v>
      </c>
      <c r="K30" s="44">
        <v>2.3744493712355901</v>
      </c>
      <c r="L30" s="44">
        <v>3.7317782657639999E-2</v>
      </c>
      <c r="M30" s="44">
        <v>0.83496697383839202</v>
      </c>
      <c r="N30" s="44">
        <v>789.35328985925798</v>
      </c>
      <c r="O30" s="44">
        <v>312.32764508747402</v>
      </c>
      <c r="P30" s="44">
        <v>1090.11513915522</v>
      </c>
      <c r="Q30" s="44">
        <v>1.3608425925925899E-4</v>
      </c>
      <c r="R30" s="44">
        <v>1.7817046839307001E-3</v>
      </c>
      <c r="S30" s="44">
        <v>3.31880766327554E-5</v>
      </c>
      <c r="T30" s="44">
        <v>3.1682108569122602E-3</v>
      </c>
      <c r="U30" s="44">
        <v>3.1682108569122602E-3</v>
      </c>
      <c r="V30" s="44">
        <v>3.7153522909717303E-2</v>
      </c>
      <c r="W30" s="44">
        <v>2427.4</v>
      </c>
      <c r="X30" s="44">
        <v>1408.5329495710801</v>
      </c>
      <c r="Y30" s="44">
        <v>1165.4929408359999</v>
      </c>
      <c r="Z30" s="44">
        <v>4176</v>
      </c>
      <c r="AA30" s="44">
        <v>0.76333865559390501</v>
      </c>
      <c r="AB30" s="45">
        <v>136861.03231316101</v>
      </c>
    </row>
    <row r="31" spans="2:28" x14ac:dyDescent="0.25">
      <c r="D31" s="50"/>
      <c r="E31" s="50"/>
    </row>
    <row r="33" spans="2:26" x14ac:dyDescent="0.25">
      <c r="D33" t="str" cm="1">
        <f t="array" ref="D33:Z34">[1]!decode_json([1]!PVT_calc(B38,C38,PVT_str_,param),1,,)</f>
        <v>rs_m3m3</v>
      </c>
      <c r="E33" t="str">
        <v>pb_atma</v>
      </c>
      <c r="F33" t="str">
        <v>bo_m3m3</v>
      </c>
      <c r="G33" t="str">
        <v>bg_m3m3</v>
      </c>
      <c r="H33" t="str">
        <v>bw_m3m3</v>
      </c>
      <c r="I33" t="str">
        <v>mu_oil_cP</v>
      </c>
      <c r="J33" t="str">
        <v>mu_gas_cP</v>
      </c>
      <c r="K33" t="str">
        <v>mu_wat_cP</v>
      </c>
      <c r="L33" t="str">
        <v>rho_oil_rc_kgm3</v>
      </c>
      <c r="M33" t="str">
        <v>rho_gas_rc_kgm3</v>
      </c>
      <c r="N33" t="str">
        <v>rho_wat_rc_kgm3</v>
      </c>
      <c r="O33" t="str">
        <v>compressibility_oil_1atm</v>
      </c>
      <c r="P33" t="str">
        <v>compressibility_gas_1atm</v>
      </c>
      <c r="Q33" t="str">
        <v>compressibility_wat_1atm</v>
      </c>
      <c r="R33" t="str">
        <v>sigma_liq_Nm</v>
      </c>
      <c r="S33" t="str">
        <v>sigma_oil_gas_Nm</v>
      </c>
      <c r="T33" t="str">
        <v>sigma_wat_gas_Nm</v>
      </c>
      <c r="U33" t="str">
        <v>cp_oil_JkgC</v>
      </c>
      <c r="V33" t="str">
        <v>cp_gas_JkgC</v>
      </c>
      <c r="W33" t="str">
        <v>cv_gas_JkgC</v>
      </c>
      <c r="X33" t="str">
        <v>cp_wat_JkgC</v>
      </c>
      <c r="Y33" t="str">
        <v>z</v>
      </c>
      <c r="Z33" t="str">
        <v>sal_ppm</v>
      </c>
    </row>
    <row r="34" spans="2:26" x14ac:dyDescent="0.25">
      <c r="D34">
        <v>0.62154268592315998</v>
      </c>
      <c r="E34">
        <v>192.76501965387601</v>
      </c>
      <c r="F34">
        <v>1.0556111252313001</v>
      </c>
      <c r="G34">
        <v>1.20678289749209</v>
      </c>
      <c r="H34">
        <v>1.0303260611056</v>
      </c>
      <c r="I34">
        <v>5.8817089283756099</v>
      </c>
      <c r="J34">
        <v>1.1660919395050101E-2</v>
      </c>
      <c r="K34">
        <v>0.49450516561346203</v>
      </c>
      <c r="L34">
        <v>853.23409663014002</v>
      </c>
      <c r="M34">
        <v>0.91112494408482303</v>
      </c>
      <c r="N34">
        <v>1067.62319378745</v>
      </c>
      <c r="O34">
        <v>0.43838494718684901</v>
      </c>
      <c r="P34">
        <v>1.0023857707950601</v>
      </c>
      <c r="Q34">
        <v>3.78374620279512E-5</v>
      </c>
      <c r="R34">
        <v>6.5661875063976596E-2</v>
      </c>
      <c r="S34">
        <v>6.5661875063976596E-2</v>
      </c>
      <c r="T34">
        <v>6.4416926551517706E-2</v>
      </c>
      <c r="U34">
        <v>2561.5</v>
      </c>
      <c r="V34">
        <v>1925.7003792225801</v>
      </c>
      <c r="W34">
        <v>1608.06648621774</v>
      </c>
      <c r="X34">
        <v>4176</v>
      </c>
      <c r="Y34">
        <v>0.99762269644121004</v>
      </c>
      <c r="Z34">
        <v>136861.03231316101</v>
      </c>
    </row>
    <row r="35" spans="2:26" x14ac:dyDescent="0.25">
      <c r="B35" t="s">
        <v>56</v>
      </c>
    </row>
    <row r="37" spans="2:26" s="31" customFormat="1" ht="39.6" x14ac:dyDescent="0.25">
      <c r="B37" s="32" t="s">
        <v>0</v>
      </c>
      <c r="C37" s="32" t="s">
        <v>4</v>
      </c>
      <c r="D37" s="32" t="str">
        <f t="shared" ref="D37:Z37" si="0">F29</f>
        <v>rs_m3m3</v>
      </c>
      <c r="E37" s="32" t="str">
        <f t="shared" si="0"/>
        <v>pb_atma</v>
      </c>
      <c r="F37" s="32" t="str">
        <f t="shared" si="0"/>
        <v>bo_m3m3</v>
      </c>
      <c r="G37" s="32" t="str">
        <f t="shared" si="0"/>
        <v>bg_m3m3</v>
      </c>
      <c r="H37" s="32" t="str">
        <f t="shared" si="0"/>
        <v>bw_m3m3</v>
      </c>
      <c r="I37" s="32" t="str">
        <f t="shared" si="0"/>
        <v>mu_oil_cP</v>
      </c>
      <c r="J37" s="32" t="str">
        <f t="shared" si="0"/>
        <v>mu_gas_cP</v>
      </c>
      <c r="K37" s="32" t="str">
        <f t="shared" si="0"/>
        <v>mu_wat_cP</v>
      </c>
      <c r="L37" s="32" t="str">
        <f t="shared" si="0"/>
        <v>rho_oil_rc_kgm3</v>
      </c>
      <c r="M37" s="32" t="str">
        <f t="shared" si="0"/>
        <v>rho_gas_rc_kgm3</v>
      </c>
      <c r="N37" s="32" t="str">
        <f t="shared" si="0"/>
        <v>rho_wat_rc_kgm3</v>
      </c>
      <c r="O37" s="32" t="str">
        <f t="shared" si="0"/>
        <v>compressibility_oil_1atm</v>
      </c>
      <c r="P37" s="32" t="str">
        <f t="shared" si="0"/>
        <v>compressibility_gas_1atm</v>
      </c>
      <c r="Q37" s="32" t="str">
        <f t="shared" si="0"/>
        <v>compressibility_wat_1atm</v>
      </c>
      <c r="R37" s="32" t="str">
        <f t="shared" si="0"/>
        <v>sigma_liq_Nm</v>
      </c>
      <c r="S37" s="32" t="str">
        <f t="shared" si="0"/>
        <v>sigma_oil_gas_Nm</v>
      </c>
      <c r="T37" s="32" t="str">
        <f t="shared" si="0"/>
        <v>sigma_wat_gas_Nm</v>
      </c>
      <c r="U37" s="32" t="str">
        <f t="shared" si="0"/>
        <v>cp_oil_JkgC</v>
      </c>
      <c r="V37" s="32" t="str">
        <f t="shared" si="0"/>
        <v>cp_gas_JkgC</v>
      </c>
      <c r="W37" s="32" t="str">
        <f t="shared" si="0"/>
        <v>cv_gas_JkgC</v>
      </c>
      <c r="X37" s="32" t="str">
        <f t="shared" si="0"/>
        <v>cp_wat_JkgC</v>
      </c>
      <c r="Y37" s="32" t="str">
        <f t="shared" si="0"/>
        <v>z</v>
      </c>
      <c r="Z37" s="32" t="str">
        <f t="shared" si="0"/>
        <v>sal_ppm</v>
      </c>
    </row>
    <row r="38" spans="2:26" x14ac:dyDescent="0.25">
      <c r="B38" s="12">
        <v>1</v>
      </c>
      <c r="C38" s="12">
        <v>80</v>
      </c>
      <c r="D38" s="33" cm="1">
        <f t="array" ref="D38:Z38">[1]!decode_json([1]!PVT_calc(B38,C38,PVT_str_,param),1,,1)</f>
        <v>0.62154268592315998</v>
      </c>
      <c r="E38" s="33">
        <v>192.76501965387601</v>
      </c>
      <c r="F38" s="34">
        <v>1.0556111252313001</v>
      </c>
      <c r="G38" s="34">
        <v>1.20678289749209</v>
      </c>
      <c r="H38" s="34">
        <v>1.0303260611056</v>
      </c>
      <c r="I38" s="34">
        <v>5.8817089283756099</v>
      </c>
      <c r="J38" s="34">
        <v>1.1660919395050101E-2</v>
      </c>
      <c r="K38" s="34">
        <v>0.49450516561346203</v>
      </c>
      <c r="L38" s="33">
        <v>853.23409663014002</v>
      </c>
      <c r="M38" s="33">
        <v>0.91112494408482303</v>
      </c>
      <c r="N38" s="33">
        <v>1067.62319378745</v>
      </c>
      <c r="O38" s="33">
        <v>0.43838494718684901</v>
      </c>
      <c r="P38" s="36">
        <v>1.0023857707950601</v>
      </c>
      <c r="Q38" s="36">
        <v>3.78374620279512E-5</v>
      </c>
      <c r="R38" s="36">
        <v>6.5661875063976596E-2</v>
      </c>
      <c r="S38" s="35">
        <v>6.5661875063976596E-2</v>
      </c>
      <c r="T38" s="35">
        <v>6.4416926551517706E-2</v>
      </c>
      <c r="U38" s="33">
        <v>2561.5</v>
      </c>
      <c r="V38" s="33">
        <v>1925.7003792225801</v>
      </c>
      <c r="W38" s="33">
        <v>1608.06648621774</v>
      </c>
      <c r="X38" s="33">
        <v>4176</v>
      </c>
      <c r="Y38" s="37">
        <v>0.99762269644121004</v>
      </c>
      <c r="Z38" s="33">
        <v>136861.03231316101</v>
      </c>
    </row>
    <row r="39" spans="2:26" x14ac:dyDescent="0.25">
      <c r="B39" s="12">
        <v>5</v>
      </c>
      <c r="C39" s="12">
        <v>80</v>
      </c>
      <c r="D39" s="33" cm="1">
        <f t="array" ref="D39:Z39">[1]!decode_json([1]!PVT_calc(B39,C39,PVT_str_,param),1,,1)</f>
        <v>15.487817519266899</v>
      </c>
      <c r="E39" s="33">
        <v>192.76501965387601</v>
      </c>
      <c r="F39" s="34">
        <v>1.0921604322983101</v>
      </c>
      <c r="G39" s="34">
        <v>0.23903855309019001</v>
      </c>
      <c r="H39" s="34">
        <v>1.0302822084479599</v>
      </c>
      <c r="I39" s="34">
        <v>4.3614318264026997</v>
      </c>
      <c r="J39" s="34">
        <v>1.1716093611280801E-2</v>
      </c>
      <c r="K39" s="34">
        <v>0.49568448521335701</v>
      </c>
      <c r="L39" s="33">
        <v>839.64708194673199</v>
      </c>
      <c r="M39" s="33">
        <v>4.59980193899995</v>
      </c>
      <c r="N39" s="33">
        <v>1067.6686358168499</v>
      </c>
      <c r="O39" s="33">
        <v>4.2496105065731003E-2</v>
      </c>
      <c r="P39" s="36">
        <v>0.20244469970579701</v>
      </c>
      <c r="Q39" s="36">
        <v>3.7796696500802801E-5</v>
      </c>
      <c r="R39" s="36">
        <v>6.2413684458147198E-2</v>
      </c>
      <c r="S39" s="35">
        <v>6.2413684458147198E-2</v>
      </c>
      <c r="T39" s="35">
        <v>6.3826348619054896E-2</v>
      </c>
      <c r="U39" s="33">
        <v>2561.5</v>
      </c>
      <c r="V39" s="33">
        <v>1907.2056510380501</v>
      </c>
      <c r="W39" s="33">
        <v>1592.6223637124201</v>
      </c>
      <c r="X39" s="33">
        <v>4176</v>
      </c>
      <c r="Y39" s="37">
        <v>0.98804137174476503</v>
      </c>
      <c r="Z39" s="33">
        <v>136861.03231316101</v>
      </c>
    </row>
    <row r="40" spans="2:26" x14ac:dyDescent="0.25">
      <c r="B40" s="12">
        <v>10</v>
      </c>
      <c r="C40" s="12">
        <v>80</v>
      </c>
      <c r="D40" s="33" cm="1">
        <f t="array" ref="D40:Z40">[1]!decode_json([1]!PVT_calc(B40,C40,PVT_str_,param),1,,1)</f>
        <v>22.4476034799494</v>
      </c>
      <c r="E40" s="33">
        <v>192.76501965387601</v>
      </c>
      <c r="F40" s="34">
        <v>1.1093843017264899</v>
      </c>
      <c r="G40" s="34">
        <v>0.11803796882989601</v>
      </c>
      <c r="H40" s="34">
        <v>1.03022483252763</v>
      </c>
      <c r="I40" s="34">
        <v>3.86523611398637</v>
      </c>
      <c r="J40" s="34">
        <v>1.1808987320130899E-2</v>
      </c>
      <c r="K40" s="34">
        <v>0.49717356350540998</v>
      </c>
      <c r="L40" s="33">
        <v>833.50901217482703</v>
      </c>
      <c r="M40" s="33">
        <v>9.3150535450549103</v>
      </c>
      <c r="N40" s="33">
        <v>1067.7280970806901</v>
      </c>
      <c r="O40" s="33">
        <v>1.55544848900348E-2</v>
      </c>
      <c r="P40" s="36">
        <v>0.102550553019295</v>
      </c>
      <c r="Q40" s="36">
        <v>3.7745862951246003E-5</v>
      </c>
      <c r="R40" s="36">
        <v>5.8578466280318202E-2</v>
      </c>
      <c r="S40" s="35">
        <v>5.8578466280318202E-2</v>
      </c>
      <c r="T40" s="35">
        <v>6.3095734448019303E-2</v>
      </c>
      <c r="U40" s="33">
        <v>2561.5</v>
      </c>
      <c r="V40" s="33">
        <v>1883.56797076571</v>
      </c>
      <c r="W40" s="33">
        <v>1572.88359133224</v>
      </c>
      <c r="X40" s="33">
        <v>4176</v>
      </c>
      <c r="Y40" s="37">
        <v>0.97579570435780005</v>
      </c>
      <c r="Z40" s="33">
        <v>136861.03231316101</v>
      </c>
    </row>
    <row r="41" spans="2:26" x14ac:dyDescent="0.25">
      <c r="B41" s="12">
        <v>20</v>
      </c>
      <c r="C41" s="12">
        <v>80</v>
      </c>
      <c r="D41" s="33" cm="1">
        <f t="array" ref="D41:Z41">[1]!decode_json([1]!PVT_calc(B41,C41,PVT_str_,param),1,,1)</f>
        <v>31.8601846313639</v>
      </c>
      <c r="E41" s="33">
        <v>192.76501965387601</v>
      </c>
      <c r="F41" s="34">
        <v>1.1327469419179701</v>
      </c>
      <c r="G41" s="34">
        <v>5.7455586750081597E-2</v>
      </c>
      <c r="H41" s="34">
        <v>1.03010154702602</v>
      </c>
      <c r="I41" s="34">
        <v>3.3298018270592502</v>
      </c>
      <c r="J41" s="34">
        <v>1.20480710401587E-2</v>
      </c>
      <c r="K41" s="34">
        <v>0.50020148273013199</v>
      </c>
      <c r="L41" s="33">
        <v>825.45464852416796</v>
      </c>
      <c r="M41" s="33">
        <v>19.137042404295698</v>
      </c>
      <c r="N41" s="33">
        <v>1067.85588583551</v>
      </c>
      <c r="O41" s="33">
        <v>5.6932747088255702E-3</v>
      </c>
      <c r="P41" s="36">
        <v>5.2831960881571098E-2</v>
      </c>
      <c r="Q41" s="36">
        <v>3.7644604954190997E-5</v>
      </c>
      <c r="R41" s="36">
        <v>5.1600552056456798E-2</v>
      </c>
      <c r="S41" s="35">
        <v>5.1600552056456798E-2</v>
      </c>
      <c r="T41" s="35">
        <v>6.16595001861482E-2</v>
      </c>
      <c r="U41" s="33">
        <v>2561.5</v>
      </c>
      <c r="V41" s="33">
        <v>1833.67274135261</v>
      </c>
      <c r="W41" s="33">
        <v>1531.2183109454099</v>
      </c>
      <c r="X41" s="33">
        <v>4176</v>
      </c>
      <c r="Y41" s="37">
        <v>0.94994712799373304</v>
      </c>
      <c r="Z41" s="33">
        <v>136861.03231316101</v>
      </c>
    </row>
    <row r="42" spans="2:26" x14ac:dyDescent="0.25">
      <c r="B42" s="12">
        <v>40</v>
      </c>
      <c r="C42" s="12">
        <v>80</v>
      </c>
      <c r="D42" s="33" cm="1">
        <f t="array" ref="D42:Z42">[1]!decode_json([1]!PVT_calc(B42,C42,PVT_str_,param),1,,1)</f>
        <v>45.406792313410797</v>
      </c>
      <c r="E42" s="33">
        <v>192.76501965387601</v>
      </c>
      <c r="F42" s="34">
        <v>1.16650388854763</v>
      </c>
      <c r="G42" s="34">
        <v>2.6984423776092701E-2</v>
      </c>
      <c r="H42" s="34">
        <v>1.029820841379</v>
      </c>
      <c r="I42" s="34">
        <v>2.74751104782864</v>
      </c>
      <c r="J42" s="34">
        <v>1.27184512770108E-2</v>
      </c>
      <c r="K42" s="34">
        <v>0.50645637174203595</v>
      </c>
      <c r="L42" s="33">
        <v>814.33601694639799</v>
      </c>
      <c r="M42" s="33">
        <v>40.746840070535299</v>
      </c>
      <c r="N42" s="33">
        <v>1068.1469589671799</v>
      </c>
      <c r="O42" s="33">
        <v>2.0838605160701301E-3</v>
      </c>
      <c r="P42" s="36">
        <v>2.8396434090459399E-2</v>
      </c>
      <c r="Q42" s="36">
        <v>3.7443710085765802E-5</v>
      </c>
      <c r="R42" s="36">
        <v>4.0039352970392503E-2</v>
      </c>
      <c r="S42" s="35">
        <v>4.0039352970392503E-2</v>
      </c>
      <c r="T42" s="35">
        <v>5.8884365535558897E-2</v>
      </c>
      <c r="U42" s="33">
        <v>2561.5</v>
      </c>
      <c r="V42" s="33">
        <v>1722.3948137387399</v>
      </c>
      <c r="W42" s="33">
        <v>1438.29507741317</v>
      </c>
      <c r="X42" s="33">
        <v>4176</v>
      </c>
      <c r="Y42" s="37">
        <v>0.89229881084205298</v>
      </c>
      <c r="Z42" s="33">
        <v>136861.03231316101</v>
      </c>
    </row>
    <row r="43" spans="2:26" x14ac:dyDescent="0.25">
      <c r="B43" s="12">
        <v>60</v>
      </c>
      <c r="C43" s="12">
        <v>80</v>
      </c>
      <c r="D43" s="33" cm="1">
        <f t="array" ref="D43:Z43">[1]!decode_json([1]!PVT_calc(B43,C43,PVT_str_,param),1,,1)</f>
        <v>56.516487498725901</v>
      </c>
      <c r="E43" s="33">
        <v>192.76501965387601</v>
      </c>
      <c r="F43" s="34">
        <v>1.19434666194396</v>
      </c>
      <c r="G43" s="34">
        <v>1.67700345889196E-2</v>
      </c>
      <c r="H43" s="34">
        <v>1.02949462287358</v>
      </c>
      <c r="I43" s="34">
        <v>2.3833798490418201</v>
      </c>
      <c r="J43" s="34">
        <v>1.3682645275706401E-2</v>
      </c>
      <c r="K43" s="34">
        <v>0.51297666150388799</v>
      </c>
      <c r="L43" s="33">
        <v>805.579823812173</v>
      </c>
      <c r="M43" s="33">
        <v>65.565159938697207</v>
      </c>
      <c r="N43" s="33">
        <v>1068.4854253338599</v>
      </c>
      <c r="O43" s="33">
        <v>1.1575408339028401E-3</v>
      </c>
      <c r="P43" s="36">
        <v>2.0184164865056101E-2</v>
      </c>
      <c r="Q43" s="36">
        <v>3.7244948033572399E-5</v>
      </c>
      <c r="R43" s="36">
        <v>3.1068461913617899E-2</v>
      </c>
      <c r="S43" s="35">
        <v>3.1068461913617899E-2</v>
      </c>
      <c r="T43" s="35">
        <v>5.6234132519034898E-2</v>
      </c>
      <c r="U43" s="33">
        <v>2561.5</v>
      </c>
      <c r="V43" s="33">
        <v>1605.6274265025399</v>
      </c>
      <c r="W43" s="33">
        <v>1340.78784102079</v>
      </c>
      <c r="X43" s="33">
        <v>4176</v>
      </c>
      <c r="Y43" s="37">
        <v>0.83180664032173401</v>
      </c>
      <c r="Z43" s="33">
        <v>136861.03231316101</v>
      </c>
    </row>
    <row r="44" spans="2:26" x14ac:dyDescent="0.25">
      <c r="B44" s="12">
        <v>80</v>
      </c>
      <c r="C44" s="12">
        <v>80</v>
      </c>
      <c r="D44" s="33" cm="1">
        <f t="array" ref="D44:Z44">[1]!decode_json([1]!PVT_calc(B44,C44,PVT_str_,param),1,,1)</f>
        <v>66.643685440116201</v>
      </c>
      <c r="E44" s="33">
        <v>192.76501965387601</v>
      </c>
      <c r="F44" s="34">
        <v>1.21989550506308</v>
      </c>
      <c r="G44" s="34">
        <v>1.17732486968916E-2</v>
      </c>
      <c r="H44" s="34">
        <v>1.0291228915097701</v>
      </c>
      <c r="I44" s="34">
        <v>2.1144840427529599</v>
      </c>
      <c r="J44" s="34">
        <v>1.49958249568269E-2</v>
      </c>
      <c r="K44" s="34">
        <v>0.51976235201568799</v>
      </c>
      <c r="L44" s="33">
        <v>797.83614859835302</v>
      </c>
      <c r="M44" s="33">
        <v>93.392234234404697</v>
      </c>
      <c r="N44" s="33">
        <v>1068.87137491058</v>
      </c>
      <c r="O44" s="33">
        <v>7.62737593481036E-4</v>
      </c>
      <c r="P44" s="36">
        <v>1.5484849037100601E-2</v>
      </c>
      <c r="Q44" s="36">
        <v>3.7048285012135802E-5</v>
      </c>
      <c r="R44" s="36">
        <v>2.4107515583273401E-2</v>
      </c>
      <c r="S44" s="35">
        <v>2.4107515583273401E-2</v>
      </c>
      <c r="T44" s="35">
        <v>5.3703179637025297E-2</v>
      </c>
      <c r="U44" s="33">
        <v>2561.5</v>
      </c>
      <c r="V44" s="33">
        <v>1502.9546426222601</v>
      </c>
      <c r="W44" s="33">
        <v>1255.05037916745</v>
      </c>
      <c r="X44" s="33">
        <v>4176</v>
      </c>
      <c r="Y44" s="37">
        <v>0.77861627872086803</v>
      </c>
      <c r="Z44" s="33">
        <v>136861.03231316101</v>
      </c>
    </row>
    <row r="45" spans="2:26" x14ac:dyDescent="0.25">
      <c r="B45" s="12">
        <v>100</v>
      </c>
      <c r="C45" s="12">
        <v>80</v>
      </c>
      <c r="D45" s="33" cm="1">
        <f t="array" ref="D45:Z45">[1]!decode_json([1]!PVT_calc(B45,C45,PVT_str_,param),1,,1)</f>
        <v>76.306188018086303</v>
      </c>
      <c r="E45" s="33">
        <v>192.76501965387601</v>
      </c>
      <c r="F45" s="34">
        <v>1.2444494388296199</v>
      </c>
      <c r="G45" s="34">
        <v>8.9561993641654007E-3</v>
      </c>
      <c r="H45" s="34">
        <v>1.02870564728755</v>
      </c>
      <c r="I45" s="34">
        <v>1.9006398144438601</v>
      </c>
      <c r="J45" s="34">
        <v>1.6662090323001599E-2</v>
      </c>
      <c r="K45" s="34">
        <v>0.52681344327743596</v>
      </c>
      <c r="L45" s="33">
        <v>790.63151319097904</v>
      </c>
      <c r="M45" s="33">
        <v>122.767477061679</v>
      </c>
      <c r="N45" s="33">
        <v>1069.30491039923</v>
      </c>
      <c r="O45" s="33">
        <v>5.5189395016156805E-4</v>
      </c>
      <c r="P45" s="36">
        <v>1.1997369744629199E-2</v>
      </c>
      <c r="Q45" s="36">
        <v>3.6853687945817697E-5</v>
      </c>
      <c r="R45" s="36">
        <v>1.8706182147466801E-2</v>
      </c>
      <c r="S45" s="35">
        <v>1.8706182147466801E-2</v>
      </c>
      <c r="T45" s="35">
        <v>5.1286138399136497E-2</v>
      </c>
      <c r="U45" s="33">
        <v>2561.5</v>
      </c>
      <c r="V45" s="33">
        <v>1429.1681252533999</v>
      </c>
      <c r="W45" s="33">
        <v>1193.4345499368001</v>
      </c>
      <c r="X45" s="33">
        <v>4176</v>
      </c>
      <c r="Y45" s="37">
        <v>0.74039065171639995</v>
      </c>
      <c r="Z45" s="33">
        <v>136861.03231316101</v>
      </c>
    </row>
    <row r="46" spans="2:26" x14ac:dyDescent="0.25">
      <c r="B46" s="12">
        <v>120</v>
      </c>
      <c r="C46" s="12">
        <v>80</v>
      </c>
      <c r="D46" s="33" cm="1">
        <f t="array" ref="D46:Z46">[1]!decode_json([1]!PVT_calc(B46,C46,PVT_str_,param),1,,1)</f>
        <v>85.752103255594307</v>
      </c>
      <c r="E46" s="33">
        <v>192.76501965387601</v>
      </c>
      <c r="F46" s="34">
        <v>1.26863502667848</v>
      </c>
      <c r="G46" s="34">
        <v>7.2502223943708803E-3</v>
      </c>
      <c r="H46" s="34">
        <v>1.02824289020694</v>
      </c>
      <c r="I46" s="34">
        <v>1.7234904651246299</v>
      </c>
      <c r="J46" s="34">
        <v>1.8612671003194099E-2</v>
      </c>
      <c r="K46" s="34">
        <v>0.534129935289131</v>
      </c>
      <c r="L46" s="33">
        <v>783.745513235472</v>
      </c>
      <c r="M46" s="33">
        <v>151.65465832519601</v>
      </c>
      <c r="N46" s="33">
        <v>1069.7861472969801</v>
      </c>
      <c r="O46" s="33">
        <v>4.2368474434752997E-4</v>
      </c>
      <c r="P46" s="36">
        <v>9.2380104232467897E-3</v>
      </c>
      <c r="Q46" s="36">
        <v>3.6661124450270998E-5</v>
      </c>
      <c r="R46" s="36">
        <v>1.4515027453803399E-2</v>
      </c>
      <c r="S46" s="35">
        <v>1.4515027453803399E-2</v>
      </c>
      <c r="T46" s="35">
        <v>4.8977881936844603E-2</v>
      </c>
      <c r="U46" s="33">
        <v>2561.5</v>
      </c>
      <c r="V46" s="33">
        <v>1388.32819490264</v>
      </c>
      <c r="W46" s="33">
        <v>1159.33094586365</v>
      </c>
      <c r="X46" s="33">
        <v>4176</v>
      </c>
      <c r="Y46" s="37">
        <v>0.71923323705387299</v>
      </c>
      <c r="Z46" s="33">
        <v>136861.03231316101</v>
      </c>
    </row>
    <row r="47" spans="2:26" x14ac:dyDescent="0.25">
      <c r="B47" s="12">
        <v>140</v>
      </c>
      <c r="C47" s="12">
        <v>80</v>
      </c>
      <c r="D47" s="33" cm="1">
        <f t="array" ref="D47:Z47">[1]!decode_json([1]!PVT_calc(B47,C47,PVT_str_,param),1,,1)</f>
        <v>95.119689445078095</v>
      </c>
      <c r="E47" s="33">
        <v>192.76501965387601</v>
      </c>
      <c r="F47" s="34">
        <v>1.2928028403701299</v>
      </c>
      <c r="G47" s="34">
        <v>6.1630510635802402E-3</v>
      </c>
      <c r="H47" s="34">
        <v>1.02773462026794</v>
      </c>
      <c r="I47" s="34">
        <v>1.5730301289491899</v>
      </c>
      <c r="J47" s="34">
        <v>2.0733492057591601E-2</v>
      </c>
      <c r="K47" s="34">
        <v>0.541711828050775</v>
      </c>
      <c r="L47" s="33">
        <v>777.06121982833099</v>
      </c>
      <c r="M47" s="33">
        <v>178.40676454841201</v>
      </c>
      <c r="N47" s="33">
        <v>1070.31521397345</v>
      </c>
      <c r="O47" s="33">
        <v>3.3882073609868199E-4</v>
      </c>
      <c r="P47" s="36">
        <v>7.1009336693922996E-3</v>
      </c>
      <c r="Q47" s="36">
        <v>3.6470562814473901E-5</v>
      </c>
      <c r="R47" s="36">
        <v>1.12629087177576E-2</v>
      </c>
      <c r="S47" s="35">
        <v>1.12629087177576E-2</v>
      </c>
      <c r="T47" s="35">
        <v>4.6773514128719801E-2</v>
      </c>
      <c r="U47" s="33">
        <v>2561.5</v>
      </c>
      <c r="V47" s="33">
        <v>1376.83967124131</v>
      </c>
      <c r="W47" s="33">
        <v>1149.7373922271499</v>
      </c>
      <c r="X47" s="33">
        <v>4176</v>
      </c>
      <c r="Y47" s="37">
        <v>0.71328152614557006</v>
      </c>
      <c r="Z47" s="33">
        <v>136861.03231316101</v>
      </c>
    </row>
    <row r="48" spans="2:26" x14ac:dyDescent="0.25">
      <c r="B48" s="12">
        <v>160</v>
      </c>
      <c r="C48" s="12">
        <v>80</v>
      </c>
      <c r="D48" s="33" cm="1">
        <f t="array" ref="D48:Z48">[1]!decode_json([1]!PVT_calc(B48,C48,PVT_str_,param),1,,1)</f>
        <v>104.493467668992</v>
      </c>
      <c r="E48" s="33">
        <v>192.76501965387601</v>
      </c>
      <c r="F48" s="34">
        <v>1.3171669749430699</v>
      </c>
      <c r="G48" s="34">
        <v>5.4374919465490796E-3</v>
      </c>
      <c r="H48" s="34">
        <v>1.02718083747053</v>
      </c>
      <c r="I48" s="34">
        <v>1.44314579802133</v>
      </c>
      <c r="J48" s="34">
        <v>2.2911561151152698E-2</v>
      </c>
      <c r="K48" s="34">
        <v>0.54955912156236597</v>
      </c>
      <c r="L48" s="33">
        <v>770.51256356465501</v>
      </c>
      <c r="M48" s="33">
        <v>202.21271328922501</v>
      </c>
      <c r="N48" s="33">
        <v>1070.89225175655</v>
      </c>
      <c r="O48" s="33">
        <v>2.7917830009389298E-4</v>
      </c>
      <c r="P48" s="36">
        <v>5.50208439050409E-3</v>
      </c>
      <c r="Q48" s="36">
        <v>3.6281971983320802E-5</v>
      </c>
      <c r="R48" s="36">
        <v>8.7394331969589591E-3</v>
      </c>
      <c r="S48" s="35">
        <v>8.7394331969589591E-3</v>
      </c>
      <c r="T48" s="35">
        <v>4.46683592150963E-2</v>
      </c>
      <c r="U48" s="33">
        <v>2561.5</v>
      </c>
      <c r="V48" s="33">
        <v>1388.28355294061</v>
      </c>
      <c r="W48" s="33">
        <v>1159.2936673525201</v>
      </c>
      <c r="X48" s="33">
        <v>4176</v>
      </c>
      <c r="Y48" s="37">
        <v>0.71921010996982104</v>
      </c>
      <c r="Z48" s="33">
        <v>136861.03231316101</v>
      </c>
    </row>
    <row r="49" spans="2:26" x14ac:dyDescent="0.25">
      <c r="B49" s="12">
        <v>180</v>
      </c>
      <c r="C49" s="12">
        <v>80</v>
      </c>
      <c r="D49" s="33" cm="1">
        <f t="array" ref="D49:Z49">[1]!decode_json([1]!PVT_calc(B49,C49,PVT_str_,param),1,,1)</f>
        <v>113.928430410008</v>
      </c>
      <c r="E49" s="33">
        <v>192.76501965387601</v>
      </c>
      <c r="F49" s="34">
        <v>1.34186534551035</v>
      </c>
      <c r="G49" s="34">
        <v>4.9311135009249404E-3</v>
      </c>
      <c r="H49" s="34">
        <v>1.0265815418147299</v>
      </c>
      <c r="I49" s="34">
        <v>1.32978593899882</v>
      </c>
      <c r="J49" s="34">
        <v>2.5065367115478101E-2</v>
      </c>
      <c r="K49" s="34">
        <v>0.55767181582390601</v>
      </c>
      <c r="L49" s="33">
        <v>764.06155842617204</v>
      </c>
      <c r="M49" s="33">
        <v>222.978035243715</v>
      </c>
      <c r="N49" s="33">
        <v>1071.5174150272401</v>
      </c>
      <c r="O49" s="33">
        <v>2.3534799402449399E-4</v>
      </c>
      <c r="P49" s="36">
        <v>4.33287881754486E-3</v>
      </c>
      <c r="Q49" s="36">
        <v>3.60953215407505E-5</v>
      </c>
      <c r="R49" s="36">
        <v>6.7813470319339399E-3</v>
      </c>
      <c r="S49" s="35">
        <v>6.7813470319339399E-3</v>
      </c>
      <c r="T49" s="35">
        <v>4.2657951880159299E-2</v>
      </c>
      <c r="U49" s="33">
        <v>2561.5</v>
      </c>
      <c r="V49" s="33">
        <v>1416.3711538520099</v>
      </c>
      <c r="W49" s="33">
        <v>1182.74836995901</v>
      </c>
      <c r="X49" s="33">
        <v>4176</v>
      </c>
      <c r="Y49" s="37">
        <v>0.73376109020543701</v>
      </c>
      <c r="Z49" s="33">
        <v>136861.03231316101</v>
      </c>
    </row>
    <row r="50" spans="2:26" x14ac:dyDescent="0.25">
      <c r="B50" s="12">
        <v>200</v>
      </c>
      <c r="C50" s="12">
        <v>80</v>
      </c>
      <c r="D50" s="33" cm="1">
        <f t="array" ref="D50:Z50">[1]!decode_json([1]!PVT_calc(B50,C50,PVT_str_,param),1,,1)</f>
        <v>120</v>
      </c>
      <c r="E50" s="33">
        <v>192.76501965387601</v>
      </c>
      <c r="F50" s="34">
        <v>1.3557936651117599</v>
      </c>
      <c r="G50" s="34">
        <v>4.5623354978271899E-3</v>
      </c>
      <c r="H50" s="34">
        <v>1.02593673330054</v>
      </c>
      <c r="I50" s="34">
        <v>1.2730498856894299</v>
      </c>
      <c r="J50" s="34">
        <v>2.7149989853059699E-2</v>
      </c>
      <c r="K50" s="34">
        <v>0.56604991083539302</v>
      </c>
      <c r="L50" s="33">
        <v>761.13617178977904</v>
      </c>
      <c r="M50" s="33">
        <v>241.00156608904601</v>
      </c>
      <c r="N50" s="33">
        <v>1072.1908713232201</v>
      </c>
      <c r="O50" s="33">
        <v>2.0920111111111101E-4</v>
      </c>
      <c r="P50" s="36">
        <v>3.4834166523360801E-3</v>
      </c>
      <c r="Q50" s="36">
        <v>3.5910581693392998E-5</v>
      </c>
      <c r="R50" s="36">
        <v>5.26197369224369E-3</v>
      </c>
      <c r="S50" s="35">
        <v>5.26197369224369E-3</v>
      </c>
      <c r="T50" s="35">
        <v>4.0738027780411301E-2</v>
      </c>
      <c r="U50" s="33">
        <v>2561.5</v>
      </c>
      <c r="V50" s="33">
        <v>1456.0516587639299</v>
      </c>
      <c r="W50" s="33">
        <v>1215.88378956713</v>
      </c>
      <c r="X50" s="33">
        <v>4176</v>
      </c>
      <c r="Y50" s="37">
        <v>0.75431785632206405</v>
      </c>
      <c r="Z50" s="33">
        <v>136861.03231316101</v>
      </c>
    </row>
    <row r="51" spans="2:26" x14ac:dyDescent="0.25">
      <c r="B51" s="12">
        <v>220</v>
      </c>
      <c r="C51" s="12">
        <v>80</v>
      </c>
      <c r="D51" s="33" cm="1">
        <f t="array" ref="D51:Z51">[1]!decode_json([1]!PVT_calc(B51,C51,PVT_str_,param),1,,1)</f>
        <v>120</v>
      </c>
      <c r="E51" s="33">
        <v>192.76501965387601</v>
      </c>
      <c r="F51" s="34">
        <v>1.3508323444499599</v>
      </c>
      <c r="G51" s="34">
        <v>4.28314918594955E-3</v>
      </c>
      <c r="H51" s="34">
        <v>1.0252464119279401</v>
      </c>
      <c r="I51" s="34">
        <v>1.29606054553033</v>
      </c>
      <c r="J51" s="34">
        <v>2.9147599743131501E-2</v>
      </c>
      <c r="K51" s="34">
        <v>0.57469340659682799</v>
      </c>
      <c r="L51" s="33">
        <v>763.93166349610601</v>
      </c>
      <c r="M51" s="33">
        <v>256.71064729823098</v>
      </c>
      <c r="N51" s="33">
        <v>1072.9128014517901</v>
      </c>
      <c r="O51" s="33">
        <v>1.9018282828282799E-4</v>
      </c>
      <c r="P51" s="36">
        <v>2.8616167448859099E-3</v>
      </c>
      <c r="Q51" s="36">
        <v>3.5727723254715299E-5</v>
      </c>
      <c r="R51" s="36">
        <v>4.0830187582906298E-3</v>
      </c>
      <c r="S51" s="35">
        <v>4.0830187582906298E-3</v>
      </c>
      <c r="T51" s="35">
        <v>3.8904514499428097E-2</v>
      </c>
      <c r="U51" s="33">
        <v>2561.5</v>
      </c>
      <c r="V51" s="33">
        <v>1503.6454745373001</v>
      </c>
      <c r="W51" s="33">
        <v>1255.62726208349</v>
      </c>
      <c r="X51" s="33">
        <v>4176</v>
      </c>
      <c r="Y51" s="37">
        <v>0.77897416907873795</v>
      </c>
      <c r="Z51" s="33">
        <v>136861.03231316101</v>
      </c>
    </row>
    <row r="52" spans="2:26" x14ac:dyDescent="0.25">
      <c r="B52" s="12">
        <v>240</v>
      </c>
      <c r="C52" s="12">
        <v>80</v>
      </c>
      <c r="D52" s="33" cm="1">
        <f t="array" ref="D52:Z52">[1]!decode_json([1]!PVT_calc(B52,C52,PVT_str_,param),1,,1)</f>
        <v>120</v>
      </c>
      <c r="E52" s="33">
        <v>192.76501965387601</v>
      </c>
      <c r="F52" s="34">
        <v>1.34671178194175</v>
      </c>
      <c r="G52" s="34">
        <v>4.0645327163799597E-3</v>
      </c>
      <c r="H52" s="34">
        <v>1.0245105776969501</v>
      </c>
      <c r="I52" s="34">
        <v>1.3190712053712399</v>
      </c>
      <c r="J52" s="34">
        <v>3.10555308872686E-2</v>
      </c>
      <c r="K52" s="34">
        <v>0.58360230310821104</v>
      </c>
      <c r="L52" s="33">
        <v>766.26908135614303</v>
      </c>
      <c r="M52" s="33">
        <v>270.51818172576702</v>
      </c>
      <c r="N52" s="33">
        <v>1073.6833996118901</v>
      </c>
      <c r="O52" s="33">
        <v>1.74334259259259E-4</v>
      </c>
      <c r="P52" s="36">
        <v>2.3984982248809999E-3</v>
      </c>
      <c r="Q52" s="36">
        <v>3.5546717629650001E-5</v>
      </c>
      <c r="R52" s="36">
        <v>3.1682108569122602E-3</v>
      </c>
      <c r="S52" s="35">
        <v>3.1682108569122602E-3</v>
      </c>
      <c r="T52" s="35">
        <v>3.7153522909717303E-2</v>
      </c>
      <c r="U52" s="33">
        <v>2561.5</v>
      </c>
      <c r="V52" s="33">
        <v>1556.6158008161799</v>
      </c>
      <c r="W52" s="33">
        <v>1299.8604186908899</v>
      </c>
      <c r="X52" s="33">
        <v>4176</v>
      </c>
      <c r="Y52" s="37">
        <v>0.80641582111551102</v>
      </c>
      <c r="Z52" s="33">
        <v>136861.03231316101</v>
      </c>
    </row>
    <row r="53" spans="2:26" x14ac:dyDescent="0.25">
      <c r="B53" s="12">
        <v>260</v>
      </c>
      <c r="C53" s="12">
        <v>80</v>
      </c>
      <c r="D53" s="33" cm="1">
        <f t="array" ref="D53:Z53">[1]!decode_json([1]!PVT_calc(B53,C53,PVT_str_,param),1,,1)</f>
        <v>120</v>
      </c>
      <c r="E53" s="33">
        <v>192.76501965387601</v>
      </c>
      <c r="F53" s="34">
        <v>1.3432349711162701</v>
      </c>
      <c r="G53" s="34">
        <v>3.8884304460332498E-3</v>
      </c>
      <c r="H53" s="34">
        <v>1.02372923060756</v>
      </c>
      <c r="I53" s="34">
        <v>1.34208186521215</v>
      </c>
      <c r="J53" s="34">
        <v>3.2877589940684501E-2</v>
      </c>
      <c r="K53" s="34">
        <v>0.59277660036954205</v>
      </c>
      <c r="L53" s="33">
        <v>768.25248165063897</v>
      </c>
      <c r="M53" s="33">
        <v>282.76962009740299</v>
      </c>
      <c r="N53" s="33">
        <v>1074.5028735256301</v>
      </c>
      <c r="O53" s="33">
        <v>1.6092393162393199E-4</v>
      </c>
      <c r="P53" s="36">
        <v>2.0455644724820198E-3</v>
      </c>
      <c r="Q53" s="36">
        <v>3.5367536799687602E-5</v>
      </c>
      <c r="R53" s="36">
        <v>2.4583673571117702E-3</v>
      </c>
      <c r="S53" s="35">
        <v>2.4583673571117702E-3</v>
      </c>
      <c r="T53" s="35">
        <v>3.54813389233576E-2</v>
      </c>
      <c r="U53" s="33">
        <v>2561.5</v>
      </c>
      <c r="V53" s="33">
        <v>1613.27072169959</v>
      </c>
      <c r="W53" s="33">
        <v>1347.1704158923901</v>
      </c>
      <c r="X53" s="33">
        <v>4176</v>
      </c>
      <c r="Y53" s="37">
        <v>0.83576630343778802</v>
      </c>
      <c r="Z53" s="33">
        <v>136861.03231316101</v>
      </c>
    </row>
    <row r="54" spans="2:26" x14ac:dyDescent="0.25">
      <c r="B54" s="12">
        <v>280</v>
      </c>
      <c r="C54" s="12">
        <v>80</v>
      </c>
      <c r="D54" s="33" cm="1">
        <f t="array" ref="D54:Z54">[1]!decode_json([1]!PVT_calc(B54,C54,PVT_str_,param),1,,1)</f>
        <v>120</v>
      </c>
      <c r="E54" s="33">
        <v>192.76501965387601</v>
      </c>
      <c r="F54" s="34">
        <v>1.3402619926697701</v>
      </c>
      <c r="G54" s="34">
        <v>3.7432561410045101E-3</v>
      </c>
      <c r="H54" s="34">
        <v>1.02290237065977</v>
      </c>
      <c r="I54" s="34">
        <v>1.3650925250530499</v>
      </c>
      <c r="J54" s="34">
        <v>3.4619250690228802E-2</v>
      </c>
      <c r="K54" s="34">
        <v>0.60221629838082102</v>
      </c>
      <c r="L54" s="33">
        <v>769.95662463306303</v>
      </c>
      <c r="M54" s="33">
        <v>293.736244216763</v>
      </c>
      <c r="N54" s="33">
        <v>1075.37144457931</v>
      </c>
      <c r="O54" s="33">
        <v>1.4942936507936501E-4</v>
      </c>
      <c r="P54" s="36">
        <v>1.76983791015114E-3</v>
      </c>
      <c r="Q54" s="36">
        <v>3.5190153308418302E-5</v>
      </c>
      <c r="R54" s="36">
        <v>1.9075656057825499E-3</v>
      </c>
      <c r="S54" s="35">
        <v>1.9075656057825499E-3</v>
      </c>
      <c r="T54" s="35">
        <v>3.3884415613920298E-2</v>
      </c>
      <c r="U54" s="33">
        <v>2561.5</v>
      </c>
      <c r="V54" s="33">
        <v>1672.50392748123</v>
      </c>
      <c r="W54" s="33">
        <v>1396.6334238018301</v>
      </c>
      <c r="X54" s="33">
        <v>4176</v>
      </c>
      <c r="Y54" s="37">
        <v>0.86645248448044498</v>
      </c>
      <c r="Z54" s="33">
        <v>136861.03231316101</v>
      </c>
    </row>
    <row r="55" spans="2:26" x14ac:dyDescent="0.25">
      <c r="B55" s="12">
        <v>300</v>
      </c>
      <c r="C55" s="12">
        <v>80</v>
      </c>
      <c r="D55" s="33" cm="1">
        <f t="array" ref="D55:Z55">[1]!decode_json([1]!PVT_calc(B55,C55,PVT_str_,param),1,,1)</f>
        <v>120</v>
      </c>
      <c r="E55" s="33">
        <v>192.76501965387601</v>
      </c>
      <c r="F55" s="34">
        <v>1.33769073443135</v>
      </c>
      <c r="G55" s="34">
        <v>3.6213280108057101E-3</v>
      </c>
      <c r="H55" s="34">
        <v>1.0220299978535801</v>
      </c>
      <c r="I55" s="34">
        <v>1.38810318489396</v>
      </c>
      <c r="J55" s="34">
        <v>3.6285578432125397E-2</v>
      </c>
      <c r="K55" s="34">
        <v>0.61192139714204796</v>
      </c>
      <c r="L55" s="33">
        <v>771.43660596458801</v>
      </c>
      <c r="M55" s="33">
        <v>303.62618263772401</v>
      </c>
      <c r="N55" s="33">
        <v>1076.28934797429</v>
      </c>
      <c r="O55" s="33">
        <v>1.3946740740740699E-4</v>
      </c>
      <c r="P55" s="36">
        <v>1.5492036754003299E-3</v>
      </c>
      <c r="Q55" s="36">
        <v>3.5014540247507002E-5</v>
      </c>
      <c r="R55" s="36">
        <v>1.4801720051472E-3</v>
      </c>
      <c r="S55" s="35">
        <v>1.4801720051472E-3</v>
      </c>
      <c r="T55" s="35">
        <v>3.2359365692962799E-2</v>
      </c>
      <c r="U55" s="33">
        <v>2561.5</v>
      </c>
      <c r="V55" s="33">
        <v>1733.5991597636</v>
      </c>
      <c r="W55" s="33">
        <v>1447.6513269818799</v>
      </c>
      <c r="X55" s="33">
        <v>4176</v>
      </c>
      <c r="Y55" s="37">
        <v>0.898103301516608</v>
      </c>
      <c r="Z55" s="33">
        <v>136861.03231316101</v>
      </c>
    </row>
    <row r="56" spans="2:26" x14ac:dyDescent="0.25">
      <c r="B56" s="12">
        <v>320</v>
      </c>
      <c r="C56" s="12">
        <v>80</v>
      </c>
      <c r="D56" s="33" cm="1">
        <f t="array" ref="D56:Z56">[1]!decode_json([1]!PVT_calc(B56,C56,PVT_str_,param),1,,1)</f>
        <v>120</v>
      </c>
      <c r="E56" s="33">
        <v>192.76501965387601</v>
      </c>
      <c r="F56" s="34">
        <v>1.3354449303101199</v>
      </c>
      <c r="G56" s="34">
        <v>3.5173793984972202E-3</v>
      </c>
      <c r="H56" s="34">
        <v>1.0211121121890001</v>
      </c>
      <c r="I56" s="34">
        <v>1.4111138447348699</v>
      </c>
      <c r="J56" s="34">
        <v>3.7880656112842699E-2</v>
      </c>
      <c r="K56" s="34">
        <v>0.62189189665322298</v>
      </c>
      <c r="L56" s="33">
        <v>772.733923038189</v>
      </c>
      <c r="M56" s="33">
        <v>312.59920396126898</v>
      </c>
      <c r="N56" s="33">
        <v>1077.2568328877101</v>
      </c>
      <c r="O56" s="33">
        <v>1.3075069444444401E-4</v>
      </c>
      <c r="P56" s="36">
        <v>1.36884526687346E-3</v>
      </c>
      <c r="Q56" s="36">
        <v>3.4840671243084599E-5</v>
      </c>
      <c r="R56" s="36">
        <v>1.14853673088885E-3</v>
      </c>
      <c r="S56" s="35">
        <v>1.14853673088885E-3</v>
      </c>
      <c r="T56" s="35">
        <v>3.0902954325135901E-2</v>
      </c>
      <c r="U56" s="33">
        <v>2561.5</v>
      </c>
      <c r="V56" s="33">
        <v>1796.09276349731</v>
      </c>
      <c r="W56" s="33">
        <v>1499.83694778324</v>
      </c>
      <c r="X56" s="33">
        <v>4176</v>
      </c>
      <c r="Y56" s="37">
        <v>0.930478554769824</v>
      </c>
      <c r="Z56" s="33">
        <v>136861.03231316101</v>
      </c>
    </row>
    <row r="57" spans="2:26" x14ac:dyDescent="0.25">
      <c r="B57" s="12">
        <v>340</v>
      </c>
      <c r="C57" s="12">
        <v>80</v>
      </c>
      <c r="D57" s="33" cm="1">
        <f t="array" ref="D57:Z57">[1]!decode_json([1]!PVT_calc(B57,C57,PVT_str_,param),1,,1)</f>
        <v>120</v>
      </c>
      <c r="E57" s="33">
        <v>192.76501965387601</v>
      </c>
      <c r="F57" s="34">
        <v>1.33346646977706</v>
      </c>
      <c r="G57" s="34">
        <v>3.4276773068663302E-3</v>
      </c>
      <c r="H57" s="34">
        <v>1.0201487136660199</v>
      </c>
      <c r="I57" s="34">
        <v>1.43412450457577</v>
      </c>
      <c r="J57" s="34">
        <v>3.9407689305848002E-2</v>
      </c>
      <c r="K57" s="34">
        <v>0.63212779691434595</v>
      </c>
      <c r="L57" s="33">
        <v>773.88042623413401</v>
      </c>
      <c r="M57" s="33">
        <v>320.77990474698998</v>
      </c>
      <c r="N57" s="33">
        <v>1078.2741626434299</v>
      </c>
      <c r="O57" s="33">
        <v>1.2305947712418301E-4</v>
      </c>
      <c r="P57" s="36">
        <v>1.21875500329505E-3</v>
      </c>
      <c r="Q57" s="36">
        <v>3.4668520442544801E-5</v>
      </c>
      <c r="R57" s="36">
        <v>8.9120495294710603E-4</v>
      </c>
      <c r="S57" s="35">
        <v>8.9120495294710603E-4</v>
      </c>
      <c r="T57" s="35">
        <v>2.9512092266663899E-2</v>
      </c>
      <c r="U57" s="33">
        <v>2561.5</v>
      </c>
      <c r="V57" s="33">
        <v>1859.6808350175199</v>
      </c>
      <c r="W57" s="33">
        <v>1552.9365098117501</v>
      </c>
      <c r="X57" s="33">
        <v>4176</v>
      </c>
      <c r="Y57" s="37">
        <v>0.96342080479788705</v>
      </c>
      <c r="Z57" s="33">
        <v>136861.03231316101</v>
      </c>
    </row>
    <row r="58" spans="2:26" x14ac:dyDescent="0.25">
      <c r="B58" s="12">
        <v>360</v>
      </c>
      <c r="C58" s="12">
        <v>80</v>
      </c>
      <c r="D58" s="33" cm="1">
        <f t="array" ref="D58:Z58">[1]!decode_json([1]!PVT_calc(B58,C58,PVT_str_,param),1,,1)</f>
        <v>120</v>
      </c>
      <c r="E58" s="33">
        <v>192.76501965387601</v>
      </c>
      <c r="F58" s="34">
        <v>1.33171029899334</v>
      </c>
      <c r="G58" s="34">
        <v>3.3494898123093801E-3</v>
      </c>
      <c r="H58" s="34">
        <v>1.0191398022846501</v>
      </c>
      <c r="I58" s="34">
        <v>1.4571351644166799</v>
      </c>
      <c r="J58" s="34">
        <v>4.0869339901965202E-2</v>
      </c>
      <c r="K58" s="34">
        <v>0.642629097925416</v>
      </c>
      <c r="L58" s="33">
        <v>774.900968161067</v>
      </c>
      <c r="M58" s="33">
        <v>328.26790395338003</v>
      </c>
      <c r="N58" s="33">
        <v>1079.34161489335</v>
      </c>
      <c r="O58" s="33">
        <v>1.1622283950617301E-4</v>
      </c>
      <c r="P58" s="36">
        <v>1.0920730564827699E-3</v>
      </c>
      <c r="Q58" s="36">
        <v>3.4498062501728701E-5</v>
      </c>
      <c r="R58" s="36">
        <v>6.9152883560179301E-4</v>
      </c>
      <c r="S58" s="35">
        <v>6.9152883560179301E-4</v>
      </c>
      <c r="T58" s="35">
        <v>2.8183829312644501E-2</v>
      </c>
      <c r="U58" s="33">
        <v>2561.5</v>
      </c>
      <c r="V58" s="33">
        <v>1924.1580017926201</v>
      </c>
      <c r="W58" s="33">
        <v>1606.7785156274099</v>
      </c>
      <c r="X58" s="33">
        <v>4176</v>
      </c>
      <c r="Y58" s="37">
        <v>0.99682365690878305</v>
      </c>
      <c r="Z58" s="33">
        <v>136861.03231316101</v>
      </c>
    </row>
    <row r="59" spans="2:26" x14ac:dyDescent="0.25">
      <c r="B59" s="12">
        <v>380</v>
      </c>
      <c r="C59" s="12">
        <v>80</v>
      </c>
      <c r="D59" s="33" cm="1">
        <f t="array" ref="D59:Z59">[1]!decode_json([1]!PVT_calc(B59,C59,PVT_str_,param),1,,1)</f>
        <v>120</v>
      </c>
      <c r="E59" s="33">
        <v>192.76501965387601</v>
      </c>
      <c r="F59" s="34">
        <v>1.3301409488772</v>
      </c>
      <c r="G59" s="34">
        <v>3.2807571595750099E-3</v>
      </c>
      <c r="H59" s="34">
        <v>1.01808537804487</v>
      </c>
      <c r="I59" s="34">
        <v>1.48014582425758</v>
      </c>
      <c r="J59" s="34">
        <v>4.2268075916358401E-2</v>
      </c>
      <c r="K59" s="34">
        <v>0.65339579968643502</v>
      </c>
      <c r="L59" s="33">
        <v>775.81522534967996</v>
      </c>
      <c r="M59" s="33">
        <v>335.14519561162302</v>
      </c>
      <c r="N59" s="33">
        <v>1080.4594818093101</v>
      </c>
      <c r="O59" s="33">
        <v>1.10105847953216E-4</v>
      </c>
      <c r="P59" s="36">
        <v>9.8400370785263003E-4</v>
      </c>
      <c r="Q59" s="36">
        <v>3.4329272572486801E-5</v>
      </c>
      <c r="R59" s="36">
        <v>5.3659052150392802E-4</v>
      </c>
      <c r="S59" s="35">
        <v>5.3659052150392802E-4</v>
      </c>
      <c r="T59" s="35">
        <v>2.6915348039269201E-2</v>
      </c>
      <c r="U59" s="33">
        <v>2561.5</v>
      </c>
      <c r="V59" s="33">
        <v>1989.3777260142499</v>
      </c>
      <c r="W59" s="33">
        <v>1661.2405980431099</v>
      </c>
      <c r="X59" s="33">
        <v>4176</v>
      </c>
      <c r="Y59" s="37">
        <v>1.0306111961548401</v>
      </c>
      <c r="Z59" s="33">
        <v>136861.03231316101</v>
      </c>
    </row>
    <row r="60" spans="2:26" x14ac:dyDescent="0.25">
      <c r="B60" s="12">
        <v>400</v>
      </c>
      <c r="C60" s="12">
        <v>80</v>
      </c>
      <c r="D60" s="33" cm="1">
        <f t="array" ref="D60:Z60">[1]!decode_json([1]!PVT_calc(B60,C60,PVT_str_,param),1,,1)</f>
        <v>120</v>
      </c>
      <c r="E60" s="33">
        <v>192.76501965387601</v>
      </c>
      <c r="F60" s="34">
        <v>1.3287301150684401</v>
      </c>
      <c r="G60" s="34">
        <v>3.2198839584322201E-3</v>
      </c>
      <c r="H60" s="34">
        <v>1.0169854409467001</v>
      </c>
      <c r="I60" s="34">
        <v>1.5031564840984899</v>
      </c>
      <c r="J60" s="34">
        <v>4.3606453351793903E-2</v>
      </c>
      <c r="K60" s="34">
        <v>0.664427902197401</v>
      </c>
      <c r="L60" s="33">
        <v>776.63897905019201</v>
      </c>
      <c r="M60" s="33">
        <v>341.48125031666302</v>
      </c>
      <c r="N60" s="33">
        <v>1081.6280702858701</v>
      </c>
      <c r="O60" s="33">
        <v>1.0460055555555599E-4</v>
      </c>
      <c r="P60" s="36">
        <v>8.9111441181083004E-4</v>
      </c>
      <c r="Q60" s="36">
        <v>3.41621262906035E-5</v>
      </c>
      <c r="R60" s="36">
        <v>4.1636642312578597E-4</v>
      </c>
      <c r="S60" s="35">
        <v>4.1636642312578597E-4</v>
      </c>
      <c r="T60" s="35">
        <v>2.5703957827688601E-2</v>
      </c>
      <c r="U60" s="33">
        <v>2561.5</v>
      </c>
      <c r="V60" s="33">
        <v>2055.22692530411</v>
      </c>
      <c r="W60" s="33">
        <v>1716.22832700905</v>
      </c>
      <c r="X60" s="33">
        <v>4176</v>
      </c>
      <c r="Y60" s="37">
        <v>1.06472483941048</v>
      </c>
      <c r="Z60" s="33">
        <v>136861.03231316101</v>
      </c>
    </row>
    <row r="61" spans="2:26" x14ac:dyDescent="0.25">
      <c r="B61" s="12">
        <v>420</v>
      </c>
      <c r="C61" s="12">
        <v>80</v>
      </c>
      <c r="D61" s="33" cm="1">
        <f t="array" ref="D61:Z61">[1]!decode_json([1]!PVT_calc(B61,C61,PVT_str_,param),1,,1)</f>
        <v>120</v>
      </c>
      <c r="E61" s="33">
        <v>192.76501965387601</v>
      </c>
      <c r="F61" s="34">
        <v>1.3274549358615899</v>
      </c>
      <c r="G61" s="34">
        <v>3.1656047937475098E-3</v>
      </c>
      <c r="H61" s="34">
        <v>1.0158399909901299</v>
      </c>
      <c r="I61" s="34">
        <v>1.5261671439394</v>
      </c>
      <c r="J61" s="34">
        <v>4.4887308467026897E-2</v>
      </c>
      <c r="K61" s="34">
        <v>0.67572540545831505</v>
      </c>
      <c r="L61" s="33">
        <v>777.38503366233795</v>
      </c>
      <c r="M61" s="33">
        <v>347.33647174521502</v>
      </c>
      <c r="N61" s="33">
        <v>1082.8477021541901</v>
      </c>
      <c r="O61" s="33">
        <v>9.96195767195767E-5</v>
      </c>
      <c r="P61" s="36">
        <v>8.1088268028920699E-4</v>
      </c>
      <c r="Q61" s="36">
        <v>3.3996599764072998E-5</v>
      </c>
      <c r="R61" s="36">
        <v>3.2307875625658402E-4</v>
      </c>
      <c r="S61" s="35">
        <v>3.2307875625658402E-4</v>
      </c>
      <c r="T61" s="35">
        <v>2.4547089156850301E-2</v>
      </c>
      <c r="U61" s="33">
        <v>2561.5</v>
      </c>
      <c r="V61" s="33">
        <v>2121.6100038142199</v>
      </c>
      <c r="W61" s="33">
        <v>1771.66187469686</v>
      </c>
      <c r="X61" s="33">
        <v>4176</v>
      </c>
      <c r="Y61" s="37">
        <v>1.09911506257077</v>
      </c>
      <c r="Z61" s="33">
        <v>136861.03231316101</v>
      </c>
    </row>
    <row r="62" spans="2:26" x14ac:dyDescent="0.25">
      <c r="B62" s="12">
        <v>440</v>
      </c>
      <c r="C62" s="12">
        <v>80</v>
      </c>
      <c r="D62" s="33" cm="1">
        <f t="array" ref="D62:Z62">[1]!decode_json([1]!PVT_calc(B62,C62,PVT_str_,param),1,,1)</f>
        <v>120</v>
      </c>
      <c r="E62" s="33">
        <v>192.76501965387601</v>
      </c>
      <c r="F62" s="34">
        <v>1.32629674403159</v>
      </c>
      <c r="G62" s="34">
        <v>3.1168952511056499E-3</v>
      </c>
      <c r="H62" s="34">
        <v>1.0146490281751701</v>
      </c>
      <c r="I62" s="34">
        <v>1.5491778037802999</v>
      </c>
      <c r="J62" s="34">
        <v>4.6113865949030899E-2</v>
      </c>
      <c r="K62" s="34">
        <v>0.68728830946917696</v>
      </c>
      <c r="L62" s="33">
        <v>778.06388701759704</v>
      </c>
      <c r="M62" s="33">
        <v>352.76450166554798</v>
      </c>
      <c r="N62" s="33">
        <v>1084.1187144074199</v>
      </c>
      <c r="O62" s="33">
        <v>9.5091414141414198E-5</v>
      </c>
      <c r="P62" s="36">
        <v>7.4140176232851405E-4</v>
      </c>
      <c r="Q62" s="36">
        <v>3.3832669561714799E-5</v>
      </c>
      <c r="R62" s="36">
        <v>2.5069236361734099E-4</v>
      </c>
      <c r="S62" s="35">
        <v>2.5069236361734099E-4</v>
      </c>
      <c r="T62" s="35">
        <v>2.3442288153199198E-2</v>
      </c>
      <c r="U62" s="33">
        <v>2561.5</v>
      </c>
      <c r="V62" s="33">
        <v>2188.4390365416598</v>
      </c>
      <c r="W62" s="33">
        <v>1827.46781885871</v>
      </c>
      <c r="X62" s="33">
        <v>4176</v>
      </c>
      <c r="Y62" s="37">
        <v>1.13373631546631</v>
      </c>
      <c r="Z62" s="33">
        <v>136861.03231316101</v>
      </c>
    </row>
    <row r="63" spans="2:26" x14ac:dyDescent="0.25">
      <c r="B63" s="12">
        <v>460</v>
      </c>
      <c r="C63" s="12">
        <v>80</v>
      </c>
      <c r="D63" s="33" cm="1">
        <f t="array" ref="D63:Z63">[1]!decode_json([1]!PVT_calc(B63,C63,PVT_str_,param),1,,1)</f>
        <v>120</v>
      </c>
      <c r="E63" s="33">
        <v>192.76501965387601</v>
      </c>
      <c r="F63" s="34">
        <v>1.32524014708295</v>
      </c>
      <c r="G63" s="34">
        <v>3.0729116310616198E-3</v>
      </c>
      <c r="H63" s="34">
        <v>1.0134125525018001</v>
      </c>
      <c r="I63" s="34">
        <v>1.57218846362121</v>
      </c>
      <c r="J63" s="34">
        <v>4.7289778277559397E-2</v>
      </c>
      <c r="K63" s="34">
        <v>0.69911661422998705</v>
      </c>
      <c r="L63" s="33">
        <v>778.68422736170305</v>
      </c>
      <c r="M63" s="33">
        <v>357.81373889366898</v>
      </c>
      <c r="N63" s="33">
        <v>1085.4414594376599</v>
      </c>
      <c r="O63" s="33">
        <v>9.0957004830917896E-5</v>
      </c>
      <c r="P63" s="36">
        <v>6.8118786493963303E-4</v>
      </c>
      <c r="Q63" s="36">
        <v>3.3670312702116297E-5</v>
      </c>
      <c r="R63" s="36">
        <v>1.9452427607507901E-4</v>
      </c>
      <c r="S63" s="35">
        <v>1.9452427607507901E-4</v>
      </c>
      <c r="T63" s="35">
        <v>2.2387211385683399E-2</v>
      </c>
      <c r="U63" s="33">
        <v>2561.5</v>
      </c>
      <c r="V63" s="33">
        <v>2255.62797463671</v>
      </c>
      <c r="W63" s="33">
        <v>1883.57430393861</v>
      </c>
      <c r="X63" s="33">
        <v>4176</v>
      </c>
      <c r="Y63" s="37">
        <v>1.16854401988213</v>
      </c>
      <c r="Z63" s="33">
        <v>136861.03231316101</v>
      </c>
    </row>
    <row r="68" spans="2:22" x14ac:dyDescent="0.25">
      <c r="B68" t="s">
        <v>57</v>
      </c>
    </row>
    <row r="70" spans="2:22" ht="15.6" x14ac:dyDescent="0.2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25">
      <c r="B71" s="12">
        <v>1</v>
      </c>
      <c r="C71" s="12">
        <v>80</v>
      </c>
      <c r="D71" s="13">
        <f>[1]!PVT_rs_m3m3(B71,C71,[1]!encode_PVT(gamma_gas_,gamma_oil_,gamma_wat_,Rsb_,Pb_,Tres_,Bob_,muob_))</f>
        <v>0.19472831372300234</v>
      </c>
      <c r="E71" s="14">
        <f>[1]!PVT_bo_m3m3(B71,C71,PVT_str_)</f>
        <v>1.0556111252312994</v>
      </c>
      <c r="F71" s="46">
        <f>[1]!PVT_mu_oil_cP(B71,C71,[1]!encode_PVT(gamma_gas_,gamma_oil_,gamma_wat_,Rsb_,Pb_,Tres_,Bob_,muob_))</f>
        <v>5.242778416694331</v>
      </c>
      <c r="G71" s="15">
        <f>[1]!PVT_mu_gas_cP(B71,C71,[1]!encode_PVT(gamma_gas_,gamma_oil_,gamma_wat_,Rsb_,Pb_,Tres_,Bob_,muob_))</f>
        <v>1.1660919395050064E-2</v>
      </c>
      <c r="H71" s="14">
        <f>[1]!PVT_mu_wat_cP(B71,C71,[1]!encode_PVT(gamma_gas_,gamma_oil_,gamma_wat_,Rsb_,Pb_,Tres_,Bob_,muob_))</f>
        <v>0.49450516561346208</v>
      </c>
      <c r="I71" s="46">
        <f>[1]!PVT_rho_gas_kgm3(B71,C71,[1]!encode_PVT(gamma_gas_,gamma_oil_,gamma_wat_,Rsb_,Pb_,Tres_,Bob_,muob_))</f>
        <v>0.91112494408482325</v>
      </c>
      <c r="J71" s="46">
        <f>[1]!PVT_rho_wat_kgm3(B71,C71,[1]!encode_PVT(gamma_gas_,gamma_oil_,gamma_wat_,Rsb_,Pb_,Tres_,Bob_,muob_))</f>
        <v>1067.6231937874506</v>
      </c>
      <c r="K71" s="46">
        <f>[1]!PVT_rho_oil_kgm3(B71,C71,[1]!encode_PVT(gamma_gas_,gamma_oil_,gamma_wat_,Rsb_,Pb_,Tres_,Bob_,muob_))</f>
        <v>853.069640864804</v>
      </c>
      <c r="L71" s="20">
        <f>[1]!PVT_bg_m3m3(B71,C71,[1]!encode_PVT(gamma_gas_,gamma_oil_,gamma_wat_,Rsb_,Pb_,Tres_,Bob_,muob_))</f>
        <v>1.2067828974920884</v>
      </c>
      <c r="M71" s="20">
        <f>[1]!PVT_bw_m3m3(B71,C71,[1]!encode_PVT(gamma_gas_,gamma_oil_,gamma_wat_,Rsb_,Pb_,Tres_,Bob_,muob_))</f>
        <v>1.0303260611055958</v>
      </c>
      <c r="N71" s="15">
        <f>[1]!PVT_ST_liqgas_Nm(B71,C71,[1]!encode_PVT(gamma_gas_,gamma_oil_,gamma_wat_,Rsb_,Pb_,Tres_,Bob_,muob_))</f>
        <v>6.5661875063976624E-2</v>
      </c>
      <c r="O71" s="15">
        <f>[1]!PVT_ST_oilgas_Nm(B71,C71,[1]!encode_PVT(gamma_gas_,gamma_oil_,gamma_wat_,Rsb_,Pb_,Tres_,Bob_,muob_))</f>
        <v>6.5661875063976624E-2</v>
      </c>
      <c r="P71" s="20">
        <f>[1]!PVT_ST_watgas_Nm(B71,C71,[1]!encode_PVT(gamma_gas_,gamma_oil_,gamma_wat_,Rsb_,Pb_,Tres_,Bob_,muob_))</f>
        <v>6.4416926551517747E-2</v>
      </c>
      <c r="Q71" s="29">
        <f>[1]!PVT_cp_oil_JkgC(B71,C71,[1]!encode_PVT(gamma_gas_,gamma_oil_,gamma_wat_,Rsb_,Pb_,Tres_,Bob_,muob_))</f>
        <v>2561.5</v>
      </c>
      <c r="R71" s="29">
        <f>[1]!PVT_cp_gas_JkgC(B71,C71,[1]!encode_PVT(gamma_gas_,gamma_oil_,gamma_wat_,Rsb_,Pb_,Tres_,Bob_,muob_))</f>
        <v>1925.7003792225805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3.7837462027951241E-5</v>
      </c>
      <c r="U71" s="30">
        <f>[1]!PVT_compressibility_oil_1atm(B71,C71,[1]!encode_PVT(gamma_gas_,gamma_oil_,gamma_wat_,Rsb_,Pb_,Tres_,Bob_,muob_))</f>
        <v>0.2675625041183507</v>
      </c>
      <c r="V71" s="30">
        <f>[1]!PVT_compressibility_gas_1atm(B71,C71,[1]!encode_PVT(gamma_gas_,gamma_oil_,gamma_wat_,Rsb_,Pb_,Tres_,Bob_,muob_))</f>
        <v>1.0023857707950601</v>
      </c>
    </row>
    <row r="72" spans="2:22" x14ac:dyDescent="0.25">
      <c r="B72" s="12">
        <v>5</v>
      </c>
      <c r="C72" s="12">
        <v>80</v>
      </c>
      <c r="D72" s="13">
        <f>[1]!PVT_rs_m3m3(B72,C72,[1]!encode_PVT(gamma_gas_,gamma_oil_,gamma_wat_,Rsb_,Pb_,Tres_,Bob_,muob_))</f>
        <v>1.3520382811770602</v>
      </c>
      <c r="E72" s="14">
        <f>[1]!PVT_bo_m3m3(B72,C72,PVT_str_)</f>
        <v>1.0921604322983123</v>
      </c>
      <c r="F72" s="46">
        <f>[1]!PVT_mu_oil_cP(B72,C72,[1]!encode_PVT(gamma_gas_,gamma_oil_,gamma_wat_,Rsb_,Pb_,Tres_,Bob_,muob_))</f>
        <v>4.9593443922187861</v>
      </c>
      <c r="G72" s="15">
        <f>[1]!PVT_mu_gas_cP(B72,C72,[1]!encode_PVT(gamma_gas_,gamma_oil_,gamma_wat_,Rsb_,Pb_,Tres_,Bob_,muob_))</f>
        <v>1.1716093611280813E-2</v>
      </c>
      <c r="H72" s="14">
        <f>[1]!PVT_mu_wat_cP(B72,C72,[1]!encode_PVT(gamma_gas_,gamma_oil_,gamma_wat_,Rsb_,Pb_,Tres_,Bob_,muob_))</f>
        <v>0.49568448521335695</v>
      </c>
      <c r="I72" s="46">
        <f>[1]!PVT_rho_gas_kgm3(B72,C72,[1]!encode_PVT(gamma_gas_,gamma_oil_,gamma_wat_,Rsb_,Pb_,Tres_,Bob_,muob_))</f>
        <v>4.5998019389999483</v>
      </c>
      <c r="J72" s="46">
        <f>[1]!PVT_rho_wat_kgm3(B72,C72,[1]!encode_PVT(gamma_gas_,gamma_oil_,gamma_wat_,Rsb_,Pb_,Tres_,Bob_,muob_))</f>
        <v>1067.6686358168463</v>
      </c>
      <c r="K72" s="46">
        <f>[1]!PVT_rho_oil_kgm3(B72,C72,[1]!encode_PVT(gamma_gas_,gamma_oil_,gamma_wat_,Rsb_,Pb_,Tres_,Bob_,muob_))</f>
        <v>851.94012939133302</v>
      </c>
      <c r="L72" s="20">
        <f>[1]!PVT_bg_m3m3(B72,C72,[1]!encode_PVT(gamma_gas_,gamma_oil_,gamma_wat_,Rsb_,Pb_,Tres_,Bob_,muob_))</f>
        <v>0.23903855309019043</v>
      </c>
      <c r="M72" s="20">
        <f>[1]!PVT_bw_m3m3(B72,C72,[1]!encode_PVT(gamma_gas_,gamma_oil_,gamma_wat_,Rsb_,Pb_,Tres_,Bob_,muob_))</f>
        <v>1.030282208447959</v>
      </c>
      <c r="N72" s="15">
        <f>[1]!PVT_ST_liqgas_Nm(B72,C72,[1]!encode_PVT(gamma_gas_,gamma_oil_,gamma_wat_,Rsb_,Pb_,Tres_,Bob_,muob_))</f>
        <v>6.2413684458147156E-2</v>
      </c>
      <c r="O72" s="15">
        <f>[1]!PVT_ST_oilgas_Nm(B72,C72,[1]!encode_PVT(gamma_gas_,gamma_oil_,gamma_wat_,Rsb_,Pb_,Tres_,Bob_,muob_))</f>
        <v>6.2413684458147156E-2</v>
      </c>
      <c r="P72" s="20">
        <f>[1]!PVT_ST_watgas_Nm(B72,C72,[1]!encode_PVT(gamma_gas_,gamma_oil_,gamma_wat_,Rsb_,Pb_,Tres_,Bob_,muob_))</f>
        <v>6.3826348619054896E-2</v>
      </c>
      <c r="Q72" s="29">
        <f>[1]!PVT_cp_oil_JkgC(B72,C72,[1]!encode_PVT(gamma_gas_,gamma_oil_,gamma_wat_,Rsb_,Pb_,Tres_,Bob_,muob_))</f>
        <v>2561.5</v>
      </c>
      <c r="R72" s="29">
        <f>[1]!PVT_cp_gas_JkgC(B72,C72,[1]!encode_PVT(gamma_gas_,gamma_oil_,gamma_wat_,Rsb_,Pb_,Tres_,Bob_,muob_))</f>
        <v>1907.2056510380505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3.7796696500802808E-5</v>
      </c>
      <c r="U72" s="30">
        <f>[1]!PVT_compressibility_oil_1atm(B72,C72,[1]!encode_PVT(gamma_gas_,gamma_oil_,gamma_wat_,Rsb_,Pb_,Tres_,Bob_,muob_))</f>
        <v>7.2775709427816707E-2</v>
      </c>
      <c r="V72" s="30">
        <f>[1]!PVT_compressibility_gas_1atm(B72,C72,[1]!encode_PVT(gamma_gas_,gamma_oil_,gamma_wat_,Rsb_,Pb_,Tres_,Bob_,muob_))</f>
        <v>0.20244469970579745</v>
      </c>
    </row>
    <row r="73" spans="2:22" x14ac:dyDescent="0.25">
      <c r="B73" s="12">
        <v>10</v>
      </c>
      <c r="C73" s="12">
        <v>80</v>
      </c>
      <c r="D73" s="13">
        <f>[1]!PVT_rs_m3m3(B73,C73,[1]!encode_PVT(gamma_gas_,gamma_oil_,gamma_wat_,Rsb_,Pb_,Tres_,Bob_,muob_))</f>
        <v>3.1147923761422436</v>
      </c>
      <c r="E73" s="14">
        <f>[1]!PVT_bo_m3m3(B73,C73,PVT_str_)</f>
        <v>1.1093843017264917</v>
      </c>
      <c r="F73" s="46">
        <f>[1]!PVT_mu_oil_cP(B73,C73,[1]!encode_PVT(gamma_gas_,gamma_oil_,gamma_wat_,Rsb_,Pb_,Tres_,Bob_,muob_))</f>
        <v>4.5839036449172914</v>
      </c>
      <c r="G73" s="15">
        <f>[1]!PVT_mu_gas_cP(B73,C73,[1]!encode_PVT(gamma_gas_,gamma_oil_,gamma_wat_,Rsb_,Pb_,Tres_,Bob_,muob_))</f>
        <v>1.1808987320130901E-2</v>
      </c>
      <c r="H73" s="14">
        <f>[1]!PVT_mu_wat_cP(B73,C73,[1]!encode_PVT(gamma_gas_,gamma_oil_,gamma_wat_,Rsb_,Pb_,Tres_,Bob_,muob_))</f>
        <v>0.49717356350541014</v>
      </c>
      <c r="I73" s="46">
        <f>[1]!PVT_rho_gas_kgm3(B73,C73,[1]!encode_PVT(gamma_gas_,gamma_oil_,gamma_wat_,Rsb_,Pb_,Tres_,Bob_,muob_))</f>
        <v>9.3150535450549121</v>
      </c>
      <c r="J73" s="46">
        <f>[1]!PVT_rho_wat_kgm3(B73,C73,[1]!encode_PVT(gamma_gas_,gamma_oil_,gamma_wat_,Rsb_,Pb_,Tres_,Bob_,muob_))</f>
        <v>1067.7280970806928</v>
      </c>
      <c r="K73" s="46">
        <f>[1]!PVT_rho_oil_kgm3(B73,C73,[1]!encode_PVT(gamma_gas_,gamma_oil_,gamma_wat_,Rsb_,Pb_,Tres_,Bob_,muob_))</f>
        <v>850.20926857713846</v>
      </c>
      <c r="L73" s="20">
        <f>[1]!PVT_bg_m3m3(B73,C73,[1]!encode_PVT(gamma_gas_,gamma_oil_,gamma_wat_,Rsb_,Pb_,Tres_,Bob_,muob_))</f>
        <v>0.11803796882989559</v>
      </c>
      <c r="M73" s="20">
        <f>[1]!PVT_bw_m3m3(B73,C73,[1]!encode_PVT(gamma_gas_,gamma_oil_,gamma_wat_,Rsb_,Pb_,Tres_,Bob_,muob_))</f>
        <v>1.0302248325276284</v>
      </c>
      <c r="N73" s="15">
        <f>[1]!PVT_ST_liqgas_Nm(B73,C73,[1]!encode_PVT(gamma_gas_,gamma_oil_,gamma_wat_,Rsb_,Pb_,Tres_,Bob_,muob_))</f>
        <v>5.8578466280318188E-2</v>
      </c>
      <c r="O73" s="15">
        <f>[1]!PVT_ST_oilgas_Nm(B73,C73,[1]!encode_PVT(gamma_gas_,gamma_oil_,gamma_wat_,Rsb_,Pb_,Tres_,Bob_,muob_))</f>
        <v>5.8578466280318188E-2</v>
      </c>
      <c r="P73" s="20">
        <f>[1]!PVT_ST_watgas_Nm(B73,C73,[1]!encode_PVT(gamma_gas_,gamma_oil_,gamma_wat_,Rsb_,Pb_,Tres_,Bob_,muob_))</f>
        <v>6.3095734448019331E-2</v>
      </c>
      <c r="Q73" s="29">
        <f>[1]!PVT_cp_oil_JkgC(B73,C73,[1]!encode_PVT(gamma_gas_,gamma_oil_,gamma_wat_,Rsb_,Pb_,Tres_,Bob_,muob_))</f>
        <v>2561.5</v>
      </c>
      <c r="R73" s="29">
        <f>[1]!PVT_cp_gas_JkgC(B73,C73,[1]!encode_PVT(gamma_gas_,gamma_oil_,gamma_wat_,Rsb_,Pb_,Tres_,Bob_,muob_))</f>
        <v>1883.5679707657052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3.7745862951246043E-5</v>
      </c>
      <c r="U73" s="30">
        <f>[1]!PVT_compressibility_oil_1atm(B73,C73,[1]!encode_PVT(gamma_gas_,gamma_oil_,gamma_wat_,Rsb_,Pb_,Tres_,Bob_,muob_))</f>
        <v>4.0768191769028087E-2</v>
      </c>
      <c r="V73" s="30">
        <f>[1]!PVT_compressibility_gas_1atm(B73,C73,[1]!encode_PVT(gamma_gas_,gamma_oil_,gamma_wat_,Rsb_,Pb_,Tres_,Bob_,muob_))</f>
        <v>0.10255055301929512</v>
      </c>
    </row>
    <row r="74" spans="2:22" x14ac:dyDescent="0.25">
      <c r="B74" s="12">
        <v>20</v>
      </c>
      <c r="C74" s="12">
        <v>80</v>
      </c>
      <c r="D74" s="13">
        <f>[1]!PVT_rs_m3m3(B74,C74,[1]!encode_PVT(gamma_gas_,gamma_oil_,gamma_wat_,Rsb_,Pb_,Tres_,Bob_,muob_))</f>
        <v>7.1757816931244847</v>
      </c>
      <c r="E74" s="14">
        <f>[1]!PVT_bo_m3m3(B74,C74,PVT_str_)</f>
        <v>1.132746941917969</v>
      </c>
      <c r="F74" s="46">
        <f>[1]!PVT_mu_oil_cP(B74,C74,[1]!encode_PVT(gamma_gas_,gamma_oil_,gamma_wat_,Rsb_,Pb_,Tres_,Bob_,muob_))</f>
        <v>3.9094914165022416</v>
      </c>
      <c r="G74" s="15">
        <f>[1]!PVT_mu_gas_cP(B74,C74,[1]!encode_PVT(gamma_gas_,gamma_oil_,gamma_wat_,Rsb_,Pb_,Tres_,Bob_,muob_))</f>
        <v>1.2048071040158715E-2</v>
      </c>
      <c r="H74" s="14">
        <f>[1]!PVT_mu_wat_cP(B74,C74,[1]!encode_PVT(gamma_gas_,gamma_oil_,gamma_wat_,Rsb_,Pb_,Tres_,Bob_,muob_))</f>
        <v>0.50020148273013165</v>
      </c>
      <c r="I74" s="46">
        <f>[1]!PVT_rho_gas_kgm3(B74,C74,[1]!encode_PVT(gamma_gas_,gamma_oil_,gamma_wat_,Rsb_,Pb_,Tres_,Bob_,muob_))</f>
        <v>19.137042404295681</v>
      </c>
      <c r="J74" s="46">
        <f>[1]!PVT_rho_wat_kgm3(B74,C74,[1]!encode_PVT(gamma_gas_,gamma_oil_,gamma_wat_,Rsb_,Pb_,Tres_,Bob_,muob_))</f>
        <v>1067.8558858355127</v>
      </c>
      <c r="K74" s="46">
        <f>[1]!PVT_rho_oil_kgm3(B74,C74,[1]!encode_PVT(gamma_gas_,gamma_oil_,gamma_wat_,Rsb_,Pb_,Tres_,Bob_,muob_))</f>
        <v>846.17984624433427</v>
      </c>
      <c r="L74" s="20">
        <f>[1]!PVT_bg_m3m3(B74,C74,[1]!encode_PVT(gamma_gas_,gamma_oil_,gamma_wat_,Rsb_,Pb_,Tres_,Bob_,muob_))</f>
        <v>5.7455586750081569E-2</v>
      </c>
      <c r="M74" s="20">
        <f>[1]!PVT_bw_m3m3(B74,C74,[1]!encode_PVT(gamma_gas_,gamma_oil_,gamma_wat_,Rsb_,Pb_,Tres_,Bob_,muob_))</f>
        <v>1.0301015470260175</v>
      </c>
      <c r="N74" s="15">
        <f>[1]!PVT_ST_liqgas_Nm(B74,C74,[1]!encode_PVT(gamma_gas_,gamma_oil_,gamma_wat_,Rsb_,Pb_,Tres_,Bob_,muob_))</f>
        <v>5.1600552056456757E-2</v>
      </c>
      <c r="O74" s="15">
        <f>[1]!PVT_ST_oilgas_Nm(B74,C74,[1]!encode_PVT(gamma_gas_,gamma_oil_,gamma_wat_,Rsb_,Pb_,Tres_,Bob_,muob_))</f>
        <v>5.1600552056456757E-2</v>
      </c>
      <c r="P74" s="20">
        <f>[1]!PVT_ST_watgas_Nm(B74,C74,[1]!encode_PVT(gamma_gas_,gamma_oil_,gamma_wat_,Rsb_,Pb_,Tres_,Bob_,muob_))</f>
        <v>6.1659500186148221E-2</v>
      </c>
      <c r="Q74" s="29">
        <f>[1]!PVT_cp_oil_JkgC(B74,C74,[1]!encode_PVT(gamma_gas_,gamma_oil_,gamma_wat_,Rsb_,Pb_,Tres_,Bob_,muob_))</f>
        <v>2561.5</v>
      </c>
      <c r="R74" s="29">
        <f>[1]!PVT_cp_gas_JkgC(B74,C74,[1]!encode_PVT(gamma_gas_,gamma_oil_,gamma_wat_,Rsb_,Pb_,Tres_,Bob_,muob_))</f>
        <v>1833.6727413526064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3.7644604954191038E-5</v>
      </c>
      <c r="U74" s="30">
        <f>[1]!PVT_compressibility_oil_1atm(B74,C74,[1]!encode_PVT(gamma_gas_,gamma_oil_,gamma_wat_,Rsb_,Pb_,Tres_,Bob_,muob_))</f>
        <v>2.2099791468487822E-2</v>
      </c>
      <c r="V74" s="30">
        <f>[1]!PVT_compressibility_gas_1atm(B74,C74,[1]!encode_PVT(gamma_gas_,gamma_oil_,gamma_wat_,Rsb_,Pb_,Tres_,Bob_,muob_))</f>
        <v>5.283196088157114E-2</v>
      </c>
    </row>
    <row r="75" spans="2:22" x14ac:dyDescent="0.25">
      <c r="B75" s="12">
        <v>40</v>
      </c>
      <c r="C75" s="12">
        <v>80</v>
      </c>
      <c r="D75" s="13">
        <f>[1]!PVT_rs_m3m3(B75,C75,[1]!encode_PVT(gamma_gas_,gamma_oil_,gamma_wat_,Rsb_,Pb_,Tres_,Bob_,muob_))</f>
        <v>16.531388513013688</v>
      </c>
      <c r="E75" s="14">
        <f>[1]!PVT_bo_m3m3(B75,C75,PVT_str_)</f>
        <v>1.1665038885476338</v>
      </c>
      <c r="F75" s="46">
        <f>[1]!PVT_mu_oil_cP(B75,C75,[1]!encode_PVT(gamma_gas_,gamma_oil_,gamma_wat_,Rsb_,Pb_,Tres_,Bob_,muob_))</f>
        <v>2.9387473734982326</v>
      </c>
      <c r="G75" s="15">
        <f>[1]!PVT_mu_gas_cP(B75,C75,[1]!encode_PVT(gamma_gas_,gamma_oil_,gamma_wat_,Rsb_,Pb_,Tres_,Bob_,muob_))</f>
        <v>1.2718451277010821E-2</v>
      </c>
      <c r="H75" s="14">
        <f>[1]!PVT_mu_wat_cP(B75,C75,[1]!encode_PVT(gamma_gas_,gamma_oil_,gamma_wat_,Rsb_,Pb_,Tres_,Bob_,muob_))</f>
        <v>0.50645637174203584</v>
      </c>
      <c r="I75" s="46">
        <f>[1]!PVT_rho_gas_kgm3(B75,C75,[1]!encode_PVT(gamma_gas_,gamma_oil_,gamma_wat_,Rsb_,Pb_,Tres_,Bob_,muob_))</f>
        <v>40.746840070535264</v>
      </c>
      <c r="J75" s="46">
        <f>[1]!PVT_rho_wat_kgm3(B75,C75,[1]!encode_PVT(gamma_gas_,gamma_oil_,gamma_wat_,Rsb_,Pb_,Tres_,Bob_,muob_))</f>
        <v>1068.1469589671813</v>
      </c>
      <c r="K75" s="46">
        <f>[1]!PVT_rho_oil_kgm3(B75,C75,[1]!encode_PVT(gamma_gas_,gamma_oil_,gamma_wat_,Rsb_,Pb_,Tres_,Bob_,muob_))</f>
        <v>836.73393162313869</v>
      </c>
      <c r="L75" s="20">
        <f>[1]!PVT_bg_m3m3(B75,C75,[1]!encode_PVT(gamma_gas_,gamma_oil_,gamma_wat_,Rsb_,Pb_,Tres_,Bob_,muob_))</f>
        <v>2.6984423776092736E-2</v>
      </c>
      <c r="M75" s="20">
        <f>[1]!PVT_bw_m3m3(B75,C75,[1]!encode_PVT(gamma_gas_,gamma_oil_,gamma_wat_,Rsb_,Pb_,Tres_,Bob_,muob_))</f>
        <v>1.0298208413789975</v>
      </c>
      <c r="N75" s="15">
        <f>[1]!PVT_ST_liqgas_Nm(B75,C75,[1]!encode_PVT(gamma_gas_,gamma_oil_,gamma_wat_,Rsb_,Pb_,Tres_,Bob_,muob_))</f>
        <v>4.0039352970392544E-2</v>
      </c>
      <c r="O75" s="15">
        <f>[1]!PVT_ST_oilgas_Nm(B75,C75,[1]!encode_PVT(gamma_gas_,gamma_oil_,gamma_wat_,Rsb_,Pb_,Tres_,Bob_,muob_))</f>
        <v>4.0039352970392544E-2</v>
      </c>
      <c r="P75" s="20">
        <f>[1]!PVT_ST_watgas_Nm(B75,C75,[1]!encode_PVT(gamma_gas_,gamma_oil_,gamma_wat_,Rsb_,Pb_,Tres_,Bob_,muob_))</f>
        <v>5.8884365535558904E-2</v>
      </c>
      <c r="Q75" s="29">
        <f>[1]!PVT_cp_oil_JkgC(B75,C75,[1]!encode_PVT(gamma_gas_,gamma_oil_,gamma_wat_,Rsb_,Pb_,Tres_,Bob_,muob_))</f>
        <v>2561.5</v>
      </c>
      <c r="R75" s="29">
        <f>[1]!PVT_cp_gas_JkgC(B75,C75,[1]!encode_PVT(gamma_gas_,gamma_oil_,gamma_wat_,Rsb_,Pb_,Tres_,Bob_,muob_))</f>
        <v>1722.3948137387415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3.7443710085765843E-5</v>
      </c>
      <c r="U75" s="30">
        <f>[1]!PVT_compressibility_oil_1atm(B75,C75,[1]!encode_PVT(gamma_gas_,gamma_oil_,gamma_wat_,Rsb_,Pb_,Tres_,Bob_,muob_))</f>
        <v>1.1034762208619779E-2</v>
      </c>
      <c r="V75" s="30">
        <f>[1]!PVT_compressibility_gas_1atm(B75,C75,[1]!encode_PVT(gamma_gas_,gamma_oil_,gamma_wat_,Rsb_,Pb_,Tres_,Bob_,muob_))</f>
        <v>2.8396434090459444E-2</v>
      </c>
    </row>
    <row r="76" spans="2:22" x14ac:dyDescent="0.25">
      <c r="B76" s="12">
        <v>60</v>
      </c>
      <c r="C76" s="12">
        <v>80</v>
      </c>
      <c r="D76" s="13">
        <f>[1]!PVT_rs_m3m3(B76,C76,[1]!encode_PVT(gamma_gas_,gamma_oil_,gamma_wat_,Rsb_,Pb_,Tres_,Bob_,muob_))</f>
        <v>26.93538630217672</v>
      </c>
      <c r="E76" s="14">
        <f>[1]!PVT_bo_m3m3(B76,C76,PVT_str_)</f>
        <v>1.194346661943962</v>
      </c>
      <c r="F76" s="46">
        <f>[1]!PVT_mu_oil_cP(B76,C76,[1]!encode_PVT(gamma_gas_,gamma_oil_,gamma_wat_,Rsb_,Pb_,Tres_,Bob_,muob_))</f>
        <v>2.321408885245186</v>
      </c>
      <c r="G76" s="15">
        <f>[1]!PVT_mu_gas_cP(B76,C76,[1]!encode_PVT(gamma_gas_,gamma_oil_,gamma_wat_,Rsb_,Pb_,Tres_,Bob_,muob_))</f>
        <v>1.3682645275706399E-2</v>
      </c>
      <c r="H76" s="14">
        <f>[1]!PVT_mu_wat_cP(B76,C76,[1]!encode_PVT(gamma_gas_,gamma_oil_,gamma_wat_,Rsb_,Pb_,Tres_,Bob_,muob_))</f>
        <v>0.51297666150388777</v>
      </c>
      <c r="I76" s="46">
        <f>[1]!PVT_rho_gas_kgm3(B76,C76,[1]!encode_PVT(gamma_gas_,gamma_oil_,gamma_wat_,Rsb_,Pb_,Tres_,Bob_,muob_))</f>
        <v>65.565159938697178</v>
      </c>
      <c r="J76" s="46">
        <f>[1]!PVT_rho_wat_kgm3(B76,C76,[1]!encode_PVT(gamma_gas_,gamma_oil_,gamma_wat_,Rsb_,Pb_,Tres_,Bob_,muob_))</f>
        <v>1068.4854253338608</v>
      </c>
      <c r="K76" s="46">
        <f>[1]!PVT_rho_oil_kgm3(B76,C76,[1]!encode_PVT(gamma_gas_,gamma_oil_,gamma_wat_,Rsb_,Pb_,Tres_,Bob_,muob_))</f>
        <v>826.08180075956534</v>
      </c>
      <c r="L76" s="20">
        <f>[1]!PVT_bg_m3m3(B76,C76,[1]!encode_PVT(gamma_gas_,gamma_oil_,gamma_wat_,Rsb_,Pb_,Tres_,Bob_,muob_))</f>
        <v>1.6770034588919642E-2</v>
      </c>
      <c r="M76" s="20">
        <f>[1]!PVT_bw_m3m3(B76,C76,[1]!encode_PVT(gamma_gas_,gamma_oil_,gamma_wat_,Rsb_,Pb_,Tres_,Bob_,muob_))</f>
        <v>1.0294946228735804</v>
      </c>
      <c r="N76" s="15">
        <f>[1]!PVT_ST_liqgas_Nm(B76,C76,[1]!encode_PVT(gamma_gas_,gamma_oil_,gamma_wat_,Rsb_,Pb_,Tres_,Bob_,muob_))</f>
        <v>3.106846191361785E-2</v>
      </c>
      <c r="O76" s="15">
        <f>[1]!PVT_ST_oilgas_Nm(B76,C76,[1]!encode_PVT(gamma_gas_,gamma_oil_,gamma_wat_,Rsb_,Pb_,Tres_,Bob_,muob_))</f>
        <v>3.106846191361785E-2</v>
      </c>
      <c r="P76" s="20">
        <f>[1]!PVT_ST_watgas_Nm(B76,C76,[1]!encode_PVT(gamma_gas_,gamma_oil_,gamma_wat_,Rsb_,Pb_,Tres_,Bob_,muob_))</f>
        <v>5.6234132519034911E-2</v>
      </c>
      <c r="Q76" s="29">
        <f>[1]!PVT_cp_oil_JkgC(B76,C76,[1]!encode_PVT(gamma_gas_,gamma_oil_,gamma_wat_,Rsb_,Pb_,Tres_,Bob_,muob_))</f>
        <v>2561.5</v>
      </c>
      <c r="R76" s="29">
        <f>[1]!PVT_cp_gas_JkgC(B76,C76,[1]!encode_PVT(gamma_gas_,gamma_oil_,gamma_wat_,Rsb_,Pb_,Tres_,Bob_,muob_))</f>
        <v>1605.6274265025404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3.7244948033572365E-5</v>
      </c>
      <c r="U76" s="30">
        <f>[1]!PVT_compressibility_oil_1atm(B76,C76,[1]!encode_PVT(gamma_gas_,gamma_oil_,gamma_wat_,Rsb_,Pb_,Tres_,Bob_,muob_))</f>
        <v>6.7432718527497037E-3</v>
      </c>
      <c r="V76" s="30">
        <f>[1]!PVT_compressibility_gas_1atm(B76,C76,[1]!encode_PVT(gamma_gas_,gamma_oil_,gamma_wat_,Rsb_,Pb_,Tres_,Bob_,muob_))</f>
        <v>2.0184164865056059E-2</v>
      </c>
    </row>
    <row r="77" spans="2:22" x14ac:dyDescent="0.25">
      <c r="B77" s="12">
        <v>80</v>
      </c>
      <c r="C77" s="12">
        <v>80</v>
      </c>
      <c r="D77" s="13">
        <f>[1]!PVT_rs_m3m3(B77,C77,[1]!encode_PVT(gamma_gas_,gamma_oil_,gamma_wat_,Rsb_,Pb_,Tres_,Bob_,muob_))</f>
        <v>38.084604278033183</v>
      </c>
      <c r="E77" s="14">
        <f>[1]!PVT_bo_m3m3(B77,C77,PVT_str_)</f>
        <v>1.2198955050630811</v>
      </c>
      <c r="F77" s="46">
        <f>[1]!PVT_mu_oil_cP(B77,C77,[1]!encode_PVT(gamma_gas_,gamma_oil_,gamma_wat_,Rsb_,Pb_,Tres_,Bob_,muob_))</f>
        <v>1.9082658015088878</v>
      </c>
      <c r="G77" s="15">
        <f>[1]!PVT_mu_gas_cP(B77,C77,[1]!encode_PVT(gamma_gas_,gamma_oil_,gamma_wat_,Rsb_,Pb_,Tres_,Bob_,muob_))</f>
        <v>1.499582495682693E-2</v>
      </c>
      <c r="H77" s="14">
        <f>[1]!PVT_mu_wat_cP(B77,C77,[1]!encode_PVT(gamma_gas_,gamma_oil_,gamma_wat_,Rsb_,Pb_,Tres_,Bob_,muob_))</f>
        <v>0.51976235201568766</v>
      </c>
      <c r="I77" s="46">
        <f>[1]!PVT_rho_gas_kgm3(B77,C77,[1]!encode_PVT(gamma_gas_,gamma_oil_,gamma_wat_,Rsb_,Pb_,Tres_,Bob_,muob_))</f>
        <v>93.392234234404668</v>
      </c>
      <c r="J77" s="46">
        <f>[1]!PVT_rho_wat_kgm3(B77,C77,[1]!encode_PVT(gamma_gas_,gamma_oil_,gamma_wat_,Rsb_,Pb_,Tres_,Bob_,muob_))</f>
        <v>1068.8713749105848</v>
      </c>
      <c r="K77" s="46">
        <f>[1]!PVT_rho_oil_kgm3(B77,C77,[1]!encode_PVT(gamma_gas_,gamma_oil_,gamma_wat_,Rsb_,Pb_,Tres_,Bob_,muob_))</f>
        <v>814.62608077655022</v>
      </c>
      <c r="L77" s="20">
        <f>[1]!PVT_bg_m3m3(B77,C77,[1]!encode_PVT(gamma_gas_,gamma_oil_,gamma_wat_,Rsb_,Pb_,Tres_,Bob_,muob_))</f>
        <v>1.1773248696891602E-2</v>
      </c>
      <c r="M77" s="20">
        <f>[1]!PVT_bw_m3m3(B77,C77,[1]!encode_PVT(gamma_gas_,gamma_oil_,gamma_wat_,Rsb_,Pb_,Tres_,Bob_,muob_))</f>
        <v>1.0291228915097659</v>
      </c>
      <c r="N77" s="15">
        <f>[1]!PVT_ST_liqgas_Nm(B77,C77,[1]!encode_PVT(gamma_gas_,gamma_oil_,gamma_wat_,Rsb_,Pb_,Tres_,Bob_,muob_))</f>
        <v>2.4107515583273419E-2</v>
      </c>
      <c r="O77" s="15">
        <f>[1]!PVT_ST_oilgas_Nm(B77,C77,[1]!encode_PVT(gamma_gas_,gamma_oil_,gamma_wat_,Rsb_,Pb_,Tres_,Bob_,muob_))</f>
        <v>2.4107515583273419E-2</v>
      </c>
      <c r="P77" s="20">
        <f>[1]!PVT_ST_watgas_Nm(B77,C77,[1]!encode_PVT(gamma_gas_,gamma_oil_,gamma_wat_,Rsb_,Pb_,Tres_,Bob_,muob_))</f>
        <v>5.3703179637025276E-2</v>
      </c>
      <c r="Q77" s="29">
        <f>[1]!PVT_cp_oil_JkgC(B77,C77,[1]!encode_PVT(gamma_gas_,gamma_oil_,gamma_wat_,Rsb_,Pb_,Tres_,Bob_,muob_))</f>
        <v>2561.5</v>
      </c>
      <c r="R77" s="29">
        <f>[1]!PVT_cp_gas_JkgC(B77,C77,[1]!encode_PVT(gamma_gas_,gamma_oil_,gamma_wat_,Rsb_,Pb_,Tres_,Bob_,muob_))</f>
        <v>1502.9546426222566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3.7048285012135808E-5</v>
      </c>
      <c r="U77" s="30">
        <f>[1]!PVT_compressibility_oil_1atm(B77,C77,[1]!encode_PVT(gamma_gas_,gamma_oil_,gamma_wat_,Rsb_,Pb_,Tres_,Bob_,muob_))</f>
        <v>4.4453306338302747E-3</v>
      </c>
      <c r="V77" s="30">
        <f>[1]!PVT_compressibility_gas_1atm(B77,C77,[1]!encode_PVT(gamma_gas_,gamma_oil_,gamma_wat_,Rsb_,Pb_,Tres_,Bob_,muob_))</f>
        <v>1.5484849037100604E-2</v>
      </c>
    </row>
    <row r="78" spans="2:22" x14ac:dyDescent="0.25">
      <c r="B78" s="12">
        <v>100</v>
      </c>
      <c r="C78" s="12">
        <v>80</v>
      </c>
      <c r="D78" s="13">
        <f>[1]!PVT_rs_m3m3(B78,C78,[1]!encode_PVT(gamma_gas_,gamma_oil_,gamma_wat_,Rsb_,Pb_,Tres_,Bob_,muob_))</f>
        <v>49.822911527260871</v>
      </c>
      <c r="E78" s="14">
        <f>[1]!PVT_bo_m3m3(B78,C78,PVT_str_)</f>
        <v>1.2444494388296186</v>
      </c>
      <c r="F78" s="46">
        <f>[1]!PVT_mu_oil_cP(B78,C78,[1]!encode_PVT(gamma_gas_,gamma_oil_,gamma_wat_,Rsb_,Pb_,Tres_,Bob_,muob_))</f>
        <v>1.6167698518945395</v>
      </c>
      <c r="G78" s="15">
        <f>[1]!PVT_mu_gas_cP(B78,C78,[1]!encode_PVT(gamma_gas_,gamma_oil_,gamma_wat_,Rsb_,Pb_,Tres_,Bob_,muob_))</f>
        <v>1.6662090323001578E-2</v>
      </c>
      <c r="H78" s="14">
        <f>[1]!PVT_mu_wat_cP(B78,C78,[1]!encode_PVT(gamma_gas_,gamma_oil_,gamma_wat_,Rsb_,Pb_,Tres_,Bob_,muob_))</f>
        <v>0.52681344327743551</v>
      </c>
      <c r="I78" s="46">
        <f>[1]!PVT_rho_gas_kgm3(B78,C78,[1]!encode_PVT(gamma_gas_,gamma_oil_,gamma_wat_,Rsb_,Pb_,Tres_,Bob_,muob_))</f>
        <v>122.76747706167906</v>
      </c>
      <c r="J78" s="46">
        <f>[1]!PVT_rho_wat_kgm3(B78,C78,[1]!encode_PVT(gamma_gas_,gamma_oil_,gamma_wat_,Rsb_,Pb_,Tres_,Bob_,muob_))</f>
        <v>1069.30491039923</v>
      </c>
      <c r="K78" s="46">
        <f>[1]!PVT_rho_oil_kgm3(B78,C78,[1]!encode_PVT(gamma_gas_,gamma_oil_,gamma_wat_,Rsb_,Pb_,Tres_,Bob_,muob_))</f>
        <v>802.63028328231849</v>
      </c>
      <c r="L78" s="20">
        <f>[1]!PVT_bg_m3m3(B78,C78,[1]!encode_PVT(gamma_gas_,gamma_oil_,gamma_wat_,Rsb_,Pb_,Tres_,Bob_,muob_))</f>
        <v>8.9561993641653972E-3</v>
      </c>
      <c r="M78" s="20">
        <f>[1]!PVT_bw_m3m3(B78,C78,[1]!encode_PVT(gamma_gas_,gamma_oil_,gamma_wat_,Rsb_,Pb_,Tres_,Bob_,muob_))</f>
        <v>1.0287056472875542</v>
      </c>
      <c r="N78" s="15">
        <f>[1]!PVT_ST_liqgas_Nm(B78,C78,[1]!encode_PVT(gamma_gas_,gamma_oil_,gamma_wat_,Rsb_,Pb_,Tres_,Bob_,muob_))</f>
        <v>1.8706182147466801E-2</v>
      </c>
      <c r="O78" s="15">
        <f>[1]!PVT_ST_oilgas_Nm(B78,C78,[1]!encode_PVT(gamma_gas_,gamma_oil_,gamma_wat_,Rsb_,Pb_,Tres_,Bob_,muob_))</f>
        <v>1.8706182147466801E-2</v>
      </c>
      <c r="P78" s="20">
        <f>[1]!PVT_ST_watgas_Nm(B78,C78,[1]!encode_PVT(gamma_gas_,gamma_oil_,gamma_wat_,Rsb_,Pb_,Tres_,Bob_,muob_))</f>
        <v>5.1286138399136483E-2</v>
      </c>
      <c r="Q78" s="29">
        <f>[1]!PVT_cp_oil_JkgC(B78,C78,[1]!encode_PVT(gamma_gas_,gamma_oil_,gamma_wat_,Rsb_,Pb_,Tres_,Bob_,muob_))</f>
        <v>2561.5</v>
      </c>
      <c r="R78" s="29">
        <f>[1]!PVT_cp_gas_JkgC(B78,C78,[1]!encode_PVT(gamma_gas_,gamma_oil_,gamma_wat_,Rsb_,Pb_,Tres_,Bob_,muob_))</f>
        <v>1429.1681252534001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3.6853687945817684E-5</v>
      </c>
      <c r="U78" s="30">
        <f>[1]!PVT_compressibility_oil_1atm(B78,C78,[1]!encode_PVT(gamma_gas_,gamma_oil_,gamma_wat_,Rsb_,Pb_,Tres_,Bob_,muob_))</f>
        <v>3.0658071558473431E-3</v>
      </c>
      <c r="V78" s="30">
        <f>[1]!PVT_compressibility_gas_1atm(B78,C78,[1]!encode_PVT(gamma_gas_,gamma_oil_,gamma_wat_,Rsb_,Pb_,Tres_,Bob_,muob_))</f>
        <v>1.1997369744629205E-2</v>
      </c>
    </row>
    <row r="79" spans="2:22" x14ac:dyDescent="0.25">
      <c r="B79" s="12">
        <v>120</v>
      </c>
      <c r="C79" s="12">
        <v>80</v>
      </c>
      <c r="D79" s="13">
        <f>[1]!PVT_rs_m3m3(B79,C79,[1]!encode_PVT(gamma_gas_,gamma_oil_,gamma_wat_,Rsb_,Pb_,Tres_,Bob_,muob_))</f>
        <v>62.053077246767046</v>
      </c>
      <c r="E79" s="14">
        <f>[1]!PVT_bo_m3m3(B79,C79,PVT_str_)</f>
        <v>1.2686350266784816</v>
      </c>
      <c r="F79" s="46">
        <f>[1]!PVT_mu_oil_cP(B79,C79,[1]!encode_PVT(gamma_gas_,gamma_oil_,gamma_wat_,Rsb_,Pb_,Tres_,Bob_,muob_))</f>
        <v>1.4018076611715624</v>
      </c>
      <c r="G79" s="15">
        <f>[1]!PVT_mu_gas_cP(B79,C79,[1]!encode_PVT(gamma_gas_,gamma_oil_,gamma_wat_,Rsb_,Pb_,Tres_,Bob_,muob_))</f>
        <v>1.8612671003194109E-2</v>
      </c>
      <c r="H79" s="14">
        <f>[1]!PVT_mu_wat_cP(B79,C79,[1]!encode_PVT(gamma_gas_,gamma_oil_,gamma_wat_,Rsb_,Pb_,Tres_,Bob_,muob_))</f>
        <v>0.53412993528913122</v>
      </c>
      <c r="I79" s="46">
        <f>[1]!PVT_rho_gas_kgm3(B79,C79,[1]!encode_PVT(gamma_gas_,gamma_oil_,gamma_wat_,Rsb_,Pb_,Tres_,Bob_,muob_))</f>
        <v>151.6546583251959</v>
      </c>
      <c r="J79" s="46">
        <f>[1]!PVT_rho_wat_kgm3(B79,C79,[1]!encode_PVT(gamma_gas_,gamma_oil_,gamma_wat_,Rsb_,Pb_,Tres_,Bob_,muob_))</f>
        <v>1069.7861472969807</v>
      </c>
      <c r="K79" s="46">
        <f>[1]!PVT_rho_oil_kgm3(B79,C79,[1]!encode_PVT(gamma_gas_,gamma_oil_,gamma_wat_,Rsb_,Pb_,Tres_,Bob_,muob_))</f>
        <v>790.2909121936882</v>
      </c>
      <c r="L79" s="20">
        <f>[1]!PVT_bg_m3m3(B79,C79,[1]!encode_PVT(gamma_gas_,gamma_oil_,gamma_wat_,Rsb_,Pb_,Tres_,Bob_,muob_))</f>
        <v>7.2502223943708829E-3</v>
      </c>
      <c r="M79" s="20">
        <f>[1]!PVT_bw_m3m3(B79,C79,[1]!encode_PVT(gamma_gas_,gamma_oil_,gamma_wat_,Rsb_,Pb_,Tres_,Bob_,muob_))</f>
        <v>1.0282428902069449</v>
      </c>
      <c r="N79" s="15">
        <f>[1]!PVT_ST_liqgas_Nm(B79,C79,[1]!encode_PVT(gamma_gas_,gamma_oil_,gamma_wat_,Rsb_,Pb_,Tres_,Bob_,muob_))</f>
        <v>1.4515027453803352E-2</v>
      </c>
      <c r="O79" s="15">
        <f>[1]!PVT_ST_oilgas_Nm(B79,C79,[1]!encode_PVT(gamma_gas_,gamma_oil_,gamma_wat_,Rsb_,Pb_,Tres_,Bob_,muob_))</f>
        <v>1.4515027453803352E-2</v>
      </c>
      <c r="P79" s="20">
        <f>[1]!PVT_ST_watgas_Nm(B79,C79,[1]!encode_PVT(gamma_gas_,gamma_oil_,gamma_wat_,Rsb_,Pb_,Tres_,Bob_,muob_))</f>
        <v>4.8977881936844617E-2</v>
      </c>
      <c r="Q79" s="29">
        <f>[1]!PVT_cp_oil_JkgC(B79,C79,[1]!encode_PVT(gamma_gas_,gamma_oil_,gamma_wat_,Rsb_,Pb_,Tres_,Bob_,muob_))</f>
        <v>2561.5</v>
      </c>
      <c r="R79" s="29">
        <f>[1]!PVT_cp_gas_JkgC(B79,C79,[1]!encode_PVT(gamma_gas_,gamma_oil_,gamma_wat_,Rsb_,Pb_,Tres_,Bob_,muob_))</f>
        <v>1388.3281949026382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3.6661124450271005E-5</v>
      </c>
      <c r="U79" s="30">
        <f>[1]!PVT_compressibility_oil_1atm(B79,C79,[1]!encode_PVT(gamma_gas_,gamma_oil_,gamma_wat_,Rsb_,Pb_,Tres_,Bob_,muob_))</f>
        <v>2.1892476137987558E-3</v>
      </c>
      <c r="V79" s="30">
        <f>[1]!PVT_compressibility_gas_1atm(B79,C79,[1]!encode_PVT(gamma_gas_,gamma_oil_,gamma_wat_,Rsb_,Pb_,Tres_,Bob_,muob_))</f>
        <v>9.2380104232467862E-3</v>
      </c>
    </row>
    <row r="80" spans="2:22" x14ac:dyDescent="0.25">
      <c r="B80" s="12">
        <v>140</v>
      </c>
      <c r="C80" s="12">
        <v>80</v>
      </c>
      <c r="D80" s="13">
        <f>[1]!PVT_rs_m3m3(B80,C80,[1]!encode_PVT(gamma_gas_,gamma_oil_,gamma_wat_,Rsb_,Pb_,Tres_,Bob_,muob_))</f>
        <v>74.708025438047258</v>
      </c>
      <c r="E80" s="14">
        <f>[1]!PVT_bo_m3m3(B80,C80,PVT_str_)</f>
        <v>1.2928028403701328</v>
      </c>
      <c r="F80" s="46">
        <f>[1]!PVT_mu_oil_cP(B80,C80,[1]!encode_PVT(gamma_gas_,gamma_oil_,gamma_wat_,Rsb_,Pb_,Tres_,Bob_,muob_))</f>
        <v>1.2374997414676407</v>
      </c>
      <c r="G80" s="15">
        <f>[1]!PVT_mu_gas_cP(B80,C80,[1]!encode_PVT(gamma_gas_,gamma_oil_,gamma_wat_,Rsb_,Pb_,Tres_,Bob_,muob_))</f>
        <v>2.0733492057591552E-2</v>
      </c>
      <c r="H80" s="14">
        <f>[1]!PVT_mu_wat_cP(B80,C80,[1]!encode_PVT(gamma_gas_,gamma_oil_,gamma_wat_,Rsb_,Pb_,Tres_,Bob_,muob_))</f>
        <v>0.54171182805077478</v>
      </c>
      <c r="I80" s="46">
        <f>[1]!PVT_rho_gas_kgm3(B80,C80,[1]!encode_PVT(gamma_gas_,gamma_oil_,gamma_wat_,Rsb_,Pb_,Tres_,Bob_,muob_))</f>
        <v>178.40676454841207</v>
      </c>
      <c r="J80" s="46">
        <f>[1]!PVT_rho_wat_kgm3(B80,C80,[1]!encode_PVT(gamma_gas_,gamma_oil_,gamma_wat_,Rsb_,Pb_,Tres_,Bob_,muob_))</f>
        <v>1070.3152139734489</v>
      </c>
      <c r="K80" s="46">
        <f>[1]!PVT_rho_oil_kgm3(B80,C80,[1]!encode_PVT(gamma_gas_,gamma_oil_,gamma_wat_,Rsb_,Pb_,Tres_,Bob_,muob_))</f>
        <v>777.76102234712801</v>
      </c>
      <c r="L80" s="20">
        <f>[1]!PVT_bg_m3m3(B80,C80,[1]!encode_PVT(gamma_gas_,gamma_oil_,gamma_wat_,Rsb_,Pb_,Tres_,Bob_,muob_))</f>
        <v>6.1630510635802375E-3</v>
      </c>
      <c r="M80" s="20">
        <f>[1]!PVT_bw_m3m3(B80,C80,[1]!encode_PVT(gamma_gas_,gamma_oil_,gamma_wat_,Rsb_,Pb_,Tres_,Bob_,muob_))</f>
        <v>1.0277346202679387</v>
      </c>
      <c r="N80" s="15">
        <f>[1]!PVT_ST_liqgas_Nm(B80,C80,[1]!encode_PVT(gamma_gas_,gamma_oil_,gamma_wat_,Rsb_,Pb_,Tres_,Bob_,muob_))</f>
        <v>1.1262908717757576E-2</v>
      </c>
      <c r="O80" s="15">
        <f>[1]!PVT_ST_oilgas_Nm(B80,C80,[1]!encode_PVT(gamma_gas_,gamma_oil_,gamma_wat_,Rsb_,Pb_,Tres_,Bob_,muob_))</f>
        <v>1.1262908717757576E-2</v>
      </c>
      <c r="P80" s="20">
        <f>[1]!PVT_ST_watgas_Nm(B80,C80,[1]!encode_PVT(gamma_gas_,gamma_oil_,gamma_wat_,Rsb_,Pb_,Tres_,Bob_,muob_))</f>
        <v>4.6773514128719842E-2</v>
      </c>
      <c r="Q80" s="29">
        <f>[1]!PVT_cp_oil_JkgC(B80,C80,[1]!encode_PVT(gamma_gas_,gamma_oil_,gamma_wat_,Rsb_,Pb_,Tres_,Bob_,muob_))</f>
        <v>2561.5</v>
      </c>
      <c r="R80" s="29">
        <f>[1]!PVT_cp_gas_JkgC(B80,C80,[1]!encode_PVT(gamma_gas_,gamma_oil_,gamma_wat_,Rsb_,Pb_,Tres_,Bob_,muob_))</f>
        <v>1376.8396712413103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3.6470562814473928E-5</v>
      </c>
      <c r="U80" s="30">
        <f>[1]!PVT_compressibility_oil_1atm(B80,C80,[1]!encode_PVT(gamma_gas_,gamma_oil_,gamma_wat_,Rsb_,Pb_,Tres_,Bob_,muob_))</f>
        <v>1.6075116294202306E-3</v>
      </c>
      <c r="V80" s="30">
        <f>[1]!PVT_compressibility_gas_1atm(B80,C80,[1]!encode_PVT(gamma_gas_,gamma_oil_,gamma_wat_,Rsb_,Pb_,Tres_,Bob_,muob_))</f>
        <v>7.1009336693922962E-3</v>
      </c>
    </row>
    <row r="81" spans="2:22" x14ac:dyDescent="0.25">
      <c r="B81" s="12">
        <v>160</v>
      </c>
      <c r="C81" s="12">
        <v>80</v>
      </c>
      <c r="D81" s="13">
        <f>[1]!PVT_rs_m3m3(B81,C81,[1]!encode_PVT(gamma_gas_,gamma_oil_,gamma_wat_,Rsb_,Pb_,Tres_,Bob_,muob_))</f>
        <v>87.738370063263801</v>
      </c>
      <c r="E81" s="14">
        <f>[1]!PVT_bo_m3m3(B81,C81,PVT_str_)</f>
        <v>1.3171669749430699</v>
      </c>
      <c r="F81" s="46">
        <f>[1]!PVT_mu_oil_cP(B81,C81,[1]!encode_PVT(gamma_gas_,gamma_oil_,gamma_wat_,Rsb_,Pb_,Tres_,Bob_,muob_))</f>
        <v>1.1081973685397559</v>
      </c>
      <c r="G81" s="15">
        <f>[1]!PVT_mu_gas_cP(B81,C81,[1]!encode_PVT(gamma_gas_,gamma_oil_,gamma_wat_,Rsb_,Pb_,Tres_,Bob_,muob_))</f>
        <v>2.2911561151152695E-2</v>
      </c>
      <c r="H81" s="14">
        <f>[1]!PVT_mu_wat_cP(B81,C81,[1]!encode_PVT(gamma_gas_,gamma_oil_,gamma_wat_,Rsb_,Pb_,Tres_,Bob_,muob_))</f>
        <v>0.5495591215623663</v>
      </c>
      <c r="I81" s="46">
        <f>[1]!PVT_rho_gas_kgm3(B81,C81,[1]!encode_PVT(gamma_gas_,gamma_oil_,gamma_wat_,Rsb_,Pb_,Tres_,Bob_,muob_))</f>
        <v>202.21271328922532</v>
      </c>
      <c r="J81" s="46">
        <f>[1]!PVT_rho_wat_kgm3(B81,C81,[1]!encode_PVT(gamma_gas_,gamma_oil_,gamma_wat_,Rsb_,Pb_,Tres_,Bob_,muob_))</f>
        <v>1070.8922517565502</v>
      </c>
      <c r="K81" s="46">
        <f>[1]!PVT_rho_oil_kgm3(B81,C81,[1]!encode_PVT(gamma_gas_,gamma_oil_,gamma_wat_,Rsb_,Pb_,Tres_,Bob_,muob_))</f>
        <v>765.16159674159223</v>
      </c>
      <c r="L81" s="20">
        <f>[1]!PVT_bg_m3m3(B81,C81,[1]!encode_PVT(gamma_gas_,gamma_oil_,gamma_wat_,Rsb_,Pb_,Tres_,Bob_,muob_))</f>
        <v>5.4374919465490761E-3</v>
      </c>
      <c r="M81" s="20">
        <f>[1]!PVT_bw_m3m3(B81,C81,[1]!encode_PVT(gamma_gas_,gamma_oil_,gamma_wat_,Rsb_,Pb_,Tres_,Bob_,muob_))</f>
        <v>1.0271808374705349</v>
      </c>
      <c r="N81" s="15">
        <f>[1]!PVT_ST_liqgas_Nm(B81,C81,[1]!encode_PVT(gamma_gas_,gamma_oil_,gamma_wat_,Rsb_,Pb_,Tres_,Bob_,muob_))</f>
        <v>8.7394331969589574E-3</v>
      </c>
      <c r="O81" s="15">
        <f>[1]!PVT_ST_oilgas_Nm(B81,C81,[1]!encode_PVT(gamma_gas_,gamma_oil_,gamma_wat_,Rsb_,Pb_,Tres_,Bob_,muob_))</f>
        <v>8.7394331969589574E-3</v>
      </c>
      <c r="P81" s="20">
        <f>[1]!PVT_ST_watgas_Nm(B81,C81,[1]!encode_PVT(gamma_gas_,gamma_oil_,gamma_wat_,Rsb_,Pb_,Tres_,Bob_,muob_))</f>
        <v>4.4668359215096334E-2</v>
      </c>
      <c r="Q81" s="29">
        <f>[1]!PVT_cp_oil_JkgC(B81,C81,[1]!encode_PVT(gamma_gas_,gamma_oil_,gamma_wat_,Rsb_,Pb_,Tres_,Bob_,muob_))</f>
        <v>2561.5</v>
      </c>
      <c r="R81" s="29">
        <f>[1]!PVT_cp_gas_JkgC(B81,C81,[1]!encode_PVT(gamma_gas_,gamma_oil_,gamma_wat_,Rsb_,Pb_,Tres_,Bob_,muob_))</f>
        <v>1388.2835529406143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3.6281971983320796E-5</v>
      </c>
      <c r="U81" s="30">
        <f>[1]!PVT_compressibility_oil_1atm(B81,C81,[1]!encode_PVT(gamma_gas_,gamma_oil_,gamma_wat_,Rsb_,Pb_,Tres_,Bob_,muob_))</f>
        <v>1.2047627523541862E-3</v>
      </c>
      <c r="V81" s="30">
        <f>[1]!PVT_compressibility_gas_1atm(B81,C81,[1]!encode_PVT(gamma_gas_,gamma_oil_,gamma_wat_,Rsb_,Pb_,Tres_,Bob_,muob_))</f>
        <v>5.5020843905040934E-3</v>
      </c>
    </row>
    <row r="82" spans="2:22" x14ac:dyDescent="0.25">
      <c r="B82" s="12">
        <v>180</v>
      </c>
      <c r="C82" s="12">
        <v>80</v>
      </c>
      <c r="D82" s="13">
        <f>[1]!PVT_rs_m3m3(B82,C82,[1]!encode_PVT(gamma_gas_,gamma_oil_,gamma_wat_,Rsb_,Pb_,Tres_,Bob_,muob_))</f>
        <v>101.10606290359216</v>
      </c>
      <c r="E82" s="14">
        <f>[1]!PVT_bo_m3m3(B82,C82,PVT_str_)</f>
        <v>1.3418653455103544</v>
      </c>
      <c r="F82" s="46">
        <f>[1]!PVT_mu_oil_cP(B82,C82,[1]!encode_PVT(gamma_gas_,gamma_oil_,gamma_wat_,Rsb_,Pb_,Tres_,Bob_,muob_))</f>
        <v>1.0039784134301895</v>
      </c>
      <c r="G82" s="15">
        <f>[1]!PVT_mu_gas_cP(B82,C82,[1]!encode_PVT(gamma_gas_,gamma_oil_,gamma_wat_,Rsb_,Pb_,Tres_,Bob_,muob_))</f>
        <v>2.5065367115478056E-2</v>
      </c>
      <c r="H82" s="14">
        <f>[1]!PVT_mu_wat_cP(B82,C82,[1]!encode_PVT(gamma_gas_,gamma_oil_,gamma_wat_,Rsb_,Pb_,Tres_,Bob_,muob_))</f>
        <v>0.55767181582390579</v>
      </c>
      <c r="I82" s="46">
        <f>[1]!PVT_rho_gas_kgm3(B82,C82,[1]!encode_PVT(gamma_gas_,gamma_oil_,gamma_wat_,Rsb_,Pb_,Tres_,Bob_,muob_))</f>
        <v>222.97803524371486</v>
      </c>
      <c r="J82" s="46">
        <f>[1]!PVT_rho_wat_kgm3(B82,C82,[1]!encode_PVT(gamma_gas_,gamma_oil_,gamma_wat_,Rsb_,Pb_,Tres_,Bob_,muob_))</f>
        <v>1071.517415027238</v>
      </c>
      <c r="K82" s="46">
        <f>[1]!PVT_rho_oil_kgm3(B82,C82,[1]!encode_PVT(gamma_gas_,gamma_oil_,gamma_wat_,Rsb_,Pb_,Tres_,Bob_,muob_))</f>
        <v>752.58852014990021</v>
      </c>
      <c r="L82" s="20">
        <f>[1]!PVT_bg_m3m3(B82,C82,[1]!encode_PVT(gamma_gas_,gamma_oil_,gamma_wat_,Rsb_,Pb_,Tres_,Bob_,muob_))</f>
        <v>4.931113500924943E-3</v>
      </c>
      <c r="M82" s="20">
        <f>[1]!PVT_bw_m3m3(B82,C82,[1]!encode_PVT(gamma_gas_,gamma_oil_,gamma_wat_,Rsb_,Pb_,Tres_,Bob_,muob_))</f>
        <v>1.0265815418147339</v>
      </c>
      <c r="N82" s="15">
        <f>[1]!PVT_ST_liqgas_Nm(B82,C82,[1]!encode_PVT(gamma_gas_,gamma_oil_,gamma_wat_,Rsb_,Pb_,Tres_,Bob_,muob_))</f>
        <v>6.7813470319339365E-3</v>
      </c>
      <c r="O82" s="15">
        <f>[1]!PVT_ST_oilgas_Nm(B82,C82,[1]!encode_PVT(gamma_gas_,gamma_oil_,gamma_wat_,Rsb_,Pb_,Tres_,Bob_,muob_))</f>
        <v>6.7813470319339365E-3</v>
      </c>
      <c r="P82" s="20">
        <f>[1]!PVT_ST_watgas_Nm(B82,C82,[1]!encode_PVT(gamma_gas_,gamma_oil_,gamma_wat_,Rsb_,Pb_,Tres_,Bob_,muob_))</f>
        <v>4.2657951880159285E-2</v>
      </c>
      <c r="Q82" s="29">
        <f>[1]!PVT_cp_oil_JkgC(B82,C82,[1]!encode_PVT(gamma_gas_,gamma_oil_,gamma_wat_,Rsb_,Pb_,Tres_,Bob_,muob_))</f>
        <v>2561.5</v>
      </c>
      <c r="R82" s="29">
        <f>[1]!PVT_cp_gas_JkgC(B82,C82,[1]!encode_PVT(gamma_gas_,gamma_oil_,gamma_wat_,Rsb_,Pb_,Tres_,Bob_,muob_))</f>
        <v>1416.3711538520051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3.6095321540750486E-5</v>
      </c>
      <c r="U82" s="30">
        <f>[1]!PVT_compressibility_oil_1atm(B82,C82,[1]!encode_PVT(gamma_gas_,gamma_oil_,gamma_wat_,Rsb_,Pb_,Tres_,Bob_,muob_))</f>
        <v>9.1399032133917635E-4</v>
      </c>
      <c r="V82" s="30">
        <f>[1]!PVT_compressibility_gas_1atm(B82,C82,[1]!encode_PVT(gamma_gas_,gamma_oil_,gamma_wat_,Rsb_,Pb_,Tres_,Bob_,muob_))</f>
        <v>4.3328788175448565E-3</v>
      </c>
    </row>
    <row r="83" spans="2:22" x14ac:dyDescent="0.25">
      <c r="B83" s="12">
        <v>200</v>
      </c>
      <c r="C83" s="12">
        <v>80</v>
      </c>
      <c r="D83" s="13">
        <f>[1]!PVT_rs_m3m3(B83,C83,[1]!encode_PVT(gamma_gas_,gamma_oil_,gamma_wat_,Rsb_,Pb_,Tres_,Bob_,muob_))</f>
        <v>114.7807921882343</v>
      </c>
      <c r="E83" s="14">
        <f>[1]!PVT_bo_m3m3(B83,C83,PVT_str_)</f>
        <v>1.355793665111761</v>
      </c>
      <c r="F83" s="46">
        <f>[1]!PVT_mu_oil_cP(B83,C83,[1]!encode_PVT(gamma_gas_,gamma_oil_,gamma_wat_,Rsb_,Pb_,Tres_,Bob_,muob_))</f>
        <v>0.91828840536155909</v>
      </c>
      <c r="G83" s="15">
        <f>[1]!PVT_mu_gas_cP(B83,C83,[1]!encode_PVT(gamma_gas_,gamma_oil_,gamma_wat_,Rsb_,Pb_,Tres_,Bob_,muob_))</f>
        <v>2.7149989853059744E-2</v>
      </c>
      <c r="H83" s="14">
        <f>[1]!PVT_mu_wat_cP(B83,C83,[1]!encode_PVT(gamma_gas_,gamma_oil_,gamma_wat_,Rsb_,Pb_,Tres_,Bob_,muob_))</f>
        <v>0.56604991083539313</v>
      </c>
      <c r="I83" s="46">
        <f>[1]!PVT_rho_gas_kgm3(B83,C83,[1]!encode_PVT(gamma_gas_,gamma_oil_,gamma_wat_,Rsb_,Pb_,Tres_,Bob_,muob_))</f>
        <v>241.00156608904609</v>
      </c>
      <c r="J83" s="46">
        <f>[1]!PVT_rho_wat_kgm3(B83,C83,[1]!encode_PVT(gamma_gas_,gamma_oil_,gamma_wat_,Rsb_,Pb_,Tres_,Bob_,muob_))</f>
        <v>1072.1908713232208</v>
      </c>
      <c r="K83" s="46">
        <f>[1]!PVT_rho_oil_kgm3(B83,C83,[1]!encode_PVT(gamma_gas_,gamma_oil_,gamma_wat_,Rsb_,Pb_,Tres_,Bob_,muob_))</f>
        <v>740.1175001667948</v>
      </c>
      <c r="L83" s="20">
        <f>[1]!PVT_bg_m3m3(B83,C83,[1]!encode_PVT(gamma_gas_,gamma_oil_,gamma_wat_,Rsb_,Pb_,Tres_,Bob_,muob_))</f>
        <v>4.5623354978271882E-3</v>
      </c>
      <c r="M83" s="20">
        <f>[1]!PVT_bw_m3m3(B83,C83,[1]!encode_PVT(gamma_gas_,gamma_oil_,gamma_wat_,Rsb_,Pb_,Tres_,Bob_,muob_))</f>
        <v>1.0259367333005356</v>
      </c>
      <c r="N83" s="15">
        <f>[1]!PVT_ST_liqgas_Nm(B83,C83,[1]!encode_PVT(gamma_gas_,gamma_oil_,gamma_wat_,Rsb_,Pb_,Tres_,Bob_,muob_))</f>
        <v>5.2619736922436943E-3</v>
      </c>
      <c r="O83" s="15">
        <f>[1]!PVT_ST_oilgas_Nm(B83,C83,[1]!encode_PVT(gamma_gas_,gamma_oil_,gamma_wat_,Rsb_,Pb_,Tres_,Bob_,muob_))</f>
        <v>5.2619736922436943E-3</v>
      </c>
      <c r="P83" s="20">
        <f>[1]!PVT_ST_watgas_Nm(B83,C83,[1]!encode_PVT(gamma_gas_,gamma_oil_,gamma_wat_,Rsb_,Pb_,Tres_,Bob_,muob_))</f>
        <v>4.073802778041128E-2</v>
      </c>
      <c r="Q83" s="29">
        <f>[1]!PVT_cp_oil_JkgC(B83,C83,[1]!encode_PVT(gamma_gas_,gamma_oil_,gamma_wat_,Rsb_,Pb_,Tres_,Bob_,muob_))</f>
        <v>2561.5</v>
      </c>
      <c r="R83" s="29">
        <f>[1]!PVT_cp_gas_JkgC(B83,C83,[1]!encode_PVT(gamma_gas_,gamma_oil_,gamma_wat_,Rsb_,Pb_,Tres_,Bob_,muob_))</f>
        <v>1456.0516587639254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3.5910581693392951E-5</v>
      </c>
      <c r="U83" s="30">
        <f>[1]!PVT_compressibility_oil_1atm(B83,C83,[1]!encode_PVT(gamma_gas_,gamma_oil_,gamma_wat_,Rsb_,Pb_,Tres_,Bob_,muob_))</f>
        <v>6.9563706128394768E-4</v>
      </c>
      <c r="V83" s="30">
        <f>[1]!PVT_compressibility_gas_1atm(B83,C83,[1]!encode_PVT(gamma_gas_,gamma_oil_,gamma_wat_,Rsb_,Pb_,Tres_,Bob_,muob_))</f>
        <v>3.4834166523360775E-3</v>
      </c>
    </row>
    <row r="84" spans="2:22" x14ac:dyDescent="0.25">
      <c r="B84" s="12">
        <v>220</v>
      </c>
      <c r="C84" s="12">
        <v>80</v>
      </c>
      <c r="D84" s="13">
        <f>[1]!PVT_rs_m3m3(B84,C84,[1]!encode_PVT(gamma_gas_,gamma_oil_,gamma_wat_,Rsb_,Pb_,Tres_,Bob_,muob_))</f>
        <v>120</v>
      </c>
      <c r="E84" s="14">
        <f>[1]!PVT_bo_m3m3(B84,C84,PVT_str_)</f>
        <v>1.3508323444499564</v>
      </c>
      <c r="F84" s="46">
        <f>[1]!PVT_mu_oil_cP(B84,C84,[1]!encode_PVT(gamma_gas_,gamma_oil_,gamma_wat_,Rsb_,Pb_,Tres_,Bob_,muob_))</f>
        <v>0.90609108577935238</v>
      </c>
      <c r="G84" s="15">
        <f>[1]!PVT_mu_gas_cP(B84,C84,[1]!encode_PVT(gamma_gas_,gamma_oil_,gamma_wat_,Rsb_,Pb_,Tres_,Bob_,muob_))</f>
        <v>2.9147599743131497E-2</v>
      </c>
      <c r="H84" s="14">
        <f>[1]!PVT_mu_wat_cP(B84,C84,[1]!encode_PVT(gamma_gas_,gamma_oil_,gamma_wat_,Rsb_,Pb_,Tres_,Bob_,muob_))</f>
        <v>0.57469340659682833</v>
      </c>
      <c r="I84" s="46">
        <f>[1]!PVT_rho_gas_kgm3(B84,C84,[1]!encode_PVT(gamma_gas_,gamma_oil_,gamma_wat_,Rsb_,Pb_,Tres_,Bob_,muob_))</f>
        <v>256.71064729823104</v>
      </c>
      <c r="J84" s="46">
        <f>[1]!PVT_rho_wat_kgm3(B84,C84,[1]!encode_PVT(gamma_gas_,gamma_oil_,gamma_wat_,Rsb_,Pb_,Tres_,Bob_,muob_))</f>
        <v>1072.912801451788</v>
      </c>
      <c r="K84" s="46">
        <f>[1]!PVT_rho_oil_kgm3(B84,C84,[1]!encode_PVT(gamma_gas_,gamma_oil_,gamma_wat_,Rsb_,Pb_,Tres_,Bob_,muob_))</f>
        <v>737.3549399990095</v>
      </c>
      <c r="L84" s="20">
        <f>[1]!PVT_bg_m3m3(B84,C84,[1]!encode_PVT(gamma_gas_,gamma_oil_,gamma_wat_,Rsb_,Pb_,Tres_,Bob_,muob_))</f>
        <v>4.2831491859495491E-3</v>
      </c>
      <c r="M84" s="20">
        <f>[1]!PVT_bw_m3m3(B84,C84,[1]!encode_PVT(gamma_gas_,gamma_oil_,gamma_wat_,Rsb_,Pb_,Tres_,Bob_,muob_))</f>
        <v>1.0252464119279401</v>
      </c>
      <c r="N84" s="15">
        <f>[1]!PVT_ST_liqgas_Nm(B84,C84,[1]!encode_PVT(gamma_gas_,gamma_oil_,gamma_wat_,Rsb_,Pb_,Tres_,Bob_,muob_))</f>
        <v>4.083018758290629E-3</v>
      </c>
      <c r="O84" s="15">
        <f>[1]!PVT_ST_oilgas_Nm(B84,C84,[1]!encode_PVT(gamma_gas_,gamma_oil_,gamma_wat_,Rsb_,Pb_,Tres_,Bob_,muob_))</f>
        <v>4.083018758290629E-3</v>
      </c>
      <c r="P84" s="20">
        <f>[1]!PVT_ST_watgas_Nm(B84,C84,[1]!encode_PVT(gamma_gas_,gamma_oil_,gamma_wat_,Rsb_,Pb_,Tres_,Bob_,muob_))</f>
        <v>3.8904514499428069E-2</v>
      </c>
      <c r="Q84" s="29">
        <f>[1]!PVT_cp_oil_JkgC(B84,C84,[1]!encode_PVT(gamma_gas_,gamma_oil_,gamma_wat_,Rsb_,Pb_,Tres_,Bob_,muob_))</f>
        <v>2561.5</v>
      </c>
      <c r="R84" s="29">
        <f>[1]!PVT_cp_gas_JkgC(B84,C84,[1]!encode_PVT(gamma_gas_,gamma_oil_,gamma_wat_,Rsb_,Pb_,Tres_,Bob_,muob_))</f>
        <v>1503.6454745372969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3.5727723254715326E-5</v>
      </c>
      <c r="U84" s="30">
        <f>[1]!PVT_compressibility_oil_1atm(B84,C84,[1]!encode_PVT(gamma_gas_,gamma_oil_,gamma_wat_,Rsb_,Pb_,Tres_,Bob_,muob_))</f>
        <v>1.9018282828282831E-4</v>
      </c>
      <c r="V84" s="30">
        <f>[1]!PVT_compressibility_gas_1atm(B84,C84,[1]!encode_PVT(gamma_gas_,gamma_oil_,gamma_wat_,Rsb_,Pb_,Tres_,Bob_,muob_))</f>
        <v>2.8616167448859095E-3</v>
      </c>
    </row>
    <row r="85" spans="2:22" x14ac:dyDescent="0.25">
      <c r="B85" s="12">
        <v>240</v>
      </c>
      <c r="C85" s="12">
        <v>80</v>
      </c>
      <c r="D85" s="13">
        <f>[1]!PVT_rs_m3m3(B85,C85,[1]!encode_PVT(gamma_gas_,gamma_oil_,gamma_wat_,Rsb_,Pb_,Tres_,Bob_,muob_))</f>
        <v>120</v>
      </c>
      <c r="E85" s="14">
        <f>[1]!PVT_bo_m3m3(B85,C85,PVT_str_)</f>
        <v>1.3467117819417511</v>
      </c>
      <c r="F85" s="46">
        <f>[1]!PVT_mu_oil_cP(B85,C85,[1]!encode_PVT(gamma_gas_,gamma_oil_,gamma_wat_,Rsb_,Pb_,Tres_,Bob_,muob_))</f>
        <v>0.9320416613499245</v>
      </c>
      <c r="G85" s="15">
        <f>[1]!PVT_mu_gas_cP(B85,C85,[1]!encode_PVT(gamma_gas_,gamma_oil_,gamma_wat_,Rsb_,Pb_,Tres_,Bob_,muob_))</f>
        <v>3.1055530887268586E-2</v>
      </c>
      <c r="H85" s="14">
        <f>[1]!PVT_mu_wat_cP(B85,C85,[1]!encode_PVT(gamma_gas_,gamma_oil_,gamma_wat_,Rsb_,Pb_,Tres_,Bob_,muob_))</f>
        <v>0.58360230310821137</v>
      </c>
      <c r="I85" s="46">
        <f>[1]!PVT_rho_gas_kgm3(B85,C85,[1]!encode_PVT(gamma_gas_,gamma_oil_,gamma_wat_,Rsb_,Pb_,Tres_,Bob_,muob_))</f>
        <v>270.51818172576708</v>
      </c>
      <c r="J85" s="46">
        <f>[1]!PVT_rho_wat_kgm3(B85,C85,[1]!encode_PVT(gamma_gas_,gamma_oil_,gamma_wat_,Rsb_,Pb_,Tres_,Bob_,muob_))</f>
        <v>1073.6833996118905</v>
      </c>
      <c r="K85" s="46">
        <f>[1]!PVT_rho_oil_kgm3(B85,C85,[1]!encode_PVT(gamma_gas_,gamma_oil_,gamma_wat_,Rsb_,Pb_,Tres_,Bob_,muob_))</f>
        <v>739.77207670800351</v>
      </c>
      <c r="L85" s="20">
        <f>[1]!PVT_bg_m3m3(B85,C85,[1]!encode_PVT(gamma_gas_,gamma_oil_,gamma_wat_,Rsb_,Pb_,Tres_,Bob_,muob_))</f>
        <v>4.0645327163799615E-3</v>
      </c>
      <c r="M85" s="20">
        <f>[1]!PVT_bw_m3m3(B85,C85,[1]!encode_PVT(gamma_gas_,gamma_oil_,gamma_wat_,Rsb_,Pb_,Tres_,Bob_,muob_))</f>
        <v>1.0245105776969472</v>
      </c>
      <c r="N85" s="15">
        <f>[1]!PVT_ST_liqgas_Nm(B85,C85,[1]!encode_PVT(gamma_gas_,gamma_oil_,gamma_wat_,Rsb_,Pb_,Tres_,Bob_,muob_))</f>
        <v>3.1682108569122563E-3</v>
      </c>
      <c r="O85" s="15">
        <f>[1]!PVT_ST_oilgas_Nm(B85,C85,[1]!encode_PVT(gamma_gas_,gamma_oil_,gamma_wat_,Rsb_,Pb_,Tres_,Bob_,muob_))</f>
        <v>3.1682108569122563E-3</v>
      </c>
      <c r="P85" s="20">
        <f>[1]!PVT_ST_watgas_Nm(B85,C85,[1]!encode_PVT(gamma_gas_,gamma_oil_,gamma_wat_,Rsb_,Pb_,Tres_,Bob_,muob_))</f>
        <v>3.7153522909717261E-2</v>
      </c>
      <c r="Q85" s="29">
        <f>[1]!PVT_cp_oil_JkgC(B85,C85,[1]!encode_PVT(gamma_gas_,gamma_oil_,gamma_wat_,Rsb_,Pb_,Tres_,Bob_,muob_))</f>
        <v>2561.5</v>
      </c>
      <c r="R85" s="29">
        <f>[1]!PVT_cp_gas_JkgC(B85,C85,[1]!encode_PVT(gamma_gas_,gamma_oil_,gamma_wat_,Rsb_,Pb_,Tres_,Bob_,muob_))</f>
        <v>1556.6158008161776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3.5546717629650001E-5</v>
      </c>
      <c r="U85" s="30">
        <f>[1]!PVT_compressibility_oil_1atm(B85,C85,[1]!encode_PVT(gamma_gas_,gamma_oil_,gamma_wat_,Rsb_,Pb_,Tres_,Bob_,muob_))</f>
        <v>1.743342592592593E-4</v>
      </c>
      <c r="V85" s="30">
        <f>[1]!PVT_compressibility_gas_1atm(B85,C85,[1]!encode_PVT(gamma_gas_,gamma_oil_,gamma_wat_,Rsb_,Pb_,Tres_,Bob_,muob_))</f>
        <v>2.398498224880996E-3</v>
      </c>
    </row>
    <row r="86" spans="2:22" x14ac:dyDescent="0.25">
      <c r="B86" s="12">
        <v>260</v>
      </c>
      <c r="C86" s="12">
        <v>80</v>
      </c>
      <c r="D86" s="13">
        <f>[1]!PVT_rs_m3m3(B86,C86,[1]!encode_PVT(gamma_gas_,gamma_oil_,gamma_wat_,Rsb_,Pb_,Tres_,Bob_,muob_))</f>
        <v>120</v>
      </c>
      <c r="E86" s="14">
        <f>[1]!PVT_bo_m3m3(B86,C86,PVT_str_)</f>
        <v>1.3432349711162719</v>
      </c>
      <c r="F86" s="46">
        <f>[1]!PVT_mu_oil_cP(B86,C86,[1]!encode_PVT(gamma_gas_,gamma_oil_,gamma_wat_,Rsb_,Pb_,Tres_,Bob_,muob_))</f>
        <v>0.96012684344625387</v>
      </c>
      <c r="G86" s="15">
        <f>[1]!PVT_mu_gas_cP(B86,C86,[1]!encode_PVT(gamma_gas_,gamma_oil_,gamma_wat_,Rsb_,Pb_,Tres_,Bob_,muob_))</f>
        <v>3.2877589940684453E-2</v>
      </c>
      <c r="H86" s="14">
        <f>[1]!PVT_mu_wat_cP(B86,C86,[1]!encode_PVT(gamma_gas_,gamma_oil_,gamma_wat_,Rsb_,Pb_,Tres_,Bob_,muob_))</f>
        <v>0.59277660036954249</v>
      </c>
      <c r="I86" s="46">
        <f>[1]!PVT_rho_gas_kgm3(B86,C86,[1]!encode_PVT(gamma_gas_,gamma_oil_,gamma_wat_,Rsb_,Pb_,Tres_,Bob_,muob_))</f>
        <v>282.76962009740339</v>
      </c>
      <c r="J86" s="46">
        <f>[1]!PVT_rho_wat_kgm3(B86,C86,[1]!encode_PVT(gamma_gas_,gamma_oil_,gamma_wat_,Rsb_,Pb_,Tres_,Bob_,muob_))</f>
        <v>1074.5028735256278</v>
      </c>
      <c r="K86" s="46">
        <f>[1]!PVT_rho_oil_kgm3(B86,C86,[1]!encode_PVT(gamma_gas_,gamma_oil_,gamma_wat_,Rsb_,Pb_,Tres_,Bob_,muob_))</f>
        <v>741.82353408580298</v>
      </c>
      <c r="L86" s="20">
        <f>[1]!PVT_bg_m3m3(B86,C86,[1]!encode_PVT(gamma_gas_,gamma_oil_,gamma_wat_,Rsb_,Pb_,Tres_,Bob_,muob_))</f>
        <v>3.8884304460332542E-3</v>
      </c>
      <c r="M86" s="20">
        <f>[1]!PVT_bw_m3m3(B86,C86,[1]!encode_PVT(gamma_gas_,gamma_oil_,gamma_wat_,Rsb_,Pb_,Tres_,Bob_,muob_))</f>
        <v>1.0237292306075569</v>
      </c>
      <c r="N86" s="15">
        <f>[1]!PVT_ST_liqgas_Nm(B86,C86,[1]!encode_PVT(gamma_gas_,gamma_oil_,gamma_wat_,Rsb_,Pb_,Tres_,Bob_,muob_))</f>
        <v>2.458367357111765E-3</v>
      </c>
      <c r="O86" s="15">
        <f>[1]!PVT_ST_oilgas_Nm(B86,C86,[1]!encode_PVT(gamma_gas_,gamma_oil_,gamma_wat_,Rsb_,Pb_,Tres_,Bob_,muob_))</f>
        <v>2.458367357111765E-3</v>
      </c>
      <c r="P86" s="20">
        <f>[1]!PVT_ST_watgas_Nm(B86,C86,[1]!encode_PVT(gamma_gas_,gamma_oil_,gamma_wat_,Rsb_,Pb_,Tres_,Bob_,muob_))</f>
        <v>3.5481338923357551E-2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1613.2707216995911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3.5367536799687554E-5</v>
      </c>
      <c r="U86" s="30">
        <f>[1]!PVT_compressibility_oil_1atm(B86,C86,[1]!encode_PVT(gamma_gas_,gamma_oil_,gamma_wat_,Rsb_,Pb_,Tres_,Bob_,muob_))</f>
        <v>1.6092393162393164E-4</v>
      </c>
      <c r="V86" s="30">
        <f>[1]!PVT_compressibility_gas_1atm(B86,C86,[1]!encode_PVT(gamma_gas_,gamma_oil_,gamma_wat_,Rsb_,Pb_,Tres_,Bob_,muob_))</f>
        <v>2.0455644724820237E-3</v>
      </c>
    </row>
    <row r="87" spans="2:22" x14ac:dyDescent="0.25">
      <c r="B87" s="12">
        <v>280</v>
      </c>
      <c r="C87" s="12">
        <v>80</v>
      </c>
      <c r="D87" s="13">
        <f>[1]!PVT_rs_m3m3(B87,C87,[1]!encode_PVT(gamma_gas_,gamma_oil_,gamma_wat_,Rsb_,Pb_,Tres_,Bob_,muob_))</f>
        <v>120</v>
      </c>
      <c r="E87" s="14">
        <f>[1]!PVT_bo_m3m3(B87,C87,PVT_str_)</f>
        <v>1.3402619926697708</v>
      </c>
      <c r="F87" s="46">
        <f>[1]!PVT_mu_oil_cP(B87,C87,[1]!encode_PVT(gamma_gas_,gamma_oil_,gamma_wat_,Rsb_,Pb_,Tres_,Bob_,muob_))</f>
        <v>0.99017928933969779</v>
      </c>
      <c r="G87" s="15">
        <f>[1]!PVT_mu_gas_cP(B87,C87,[1]!encode_PVT(gamma_gas_,gamma_oil_,gamma_wat_,Rsb_,Pb_,Tres_,Bob_,muob_))</f>
        <v>3.4619250690228753E-2</v>
      </c>
      <c r="H87" s="14">
        <f>[1]!PVT_mu_wat_cP(B87,C87,[1]!encode_PVT(gamma_gas_,gamma_oil_,gamma_wat_,Rsb_,Pb_,Tres_,Bob_,muob_))</f>
        <v>0.60221629838082136</v>
      </c>
      <c r="I87" s="46">
        <f>[1]!PVT_rho_gas_kgm3(B87,C87,[1]!encode_PVT(gamma_gas_,gamma_oil_,gamma_wat_,Rsb_,Pb_,Tres_,Bob_,muob_))</f>
        <v>293.73624421676334</v>
      </c>
      <c r="J87" s="46">
        <f>[1]!PVT_rho_wat_kgm3(B87,C87,[1]!encode_PVT(gamma_gas_,gamma_oil_,gamma_wat_,Rsb_,Pb_,Tres_,Bob_,muob_))</f>
        <v>1075.3714445793128</v>
      </c>
      <c r="K87" s="46">
        <f>[1]!PVT_rho_oil_kgm3(B87,C87,[1]!encode_PVT(gamma_gas_,gamma_oil_,gamma_wat_,Rsb_,Pb_,Tres_,Bob_,muob_))</f>
        <v>743.58645341356839</v>
      </c>
      <c r="L87" s="20">
        <f>[1]!PVT_bg_m3m3(B87,C87,[1]!encode_PVT(gamma_gas_,gamma_oil_,gamma_wat_,Rsb_,Pb_,Tres_,Bob_,muob_))</f>
        <v>3.7432561410045105E-3</v>
      </c>
      <c r="M87" s="20">
        <f>[1]!PVT_bw_m3m3(B87,C87,[1]!encode_PVT(gamma_gas_,gamma_oil_,gamma_wat_,Rsb_,Pb_,Tres_,Bob_,muob_))</f>
        <v>1.0229023706597695</v>
      </c>
      <c r="N87" s="15">
        <f>[1]!PVT_ST_liqgas_Nm(B87,C87,[1]!encode_PVT(gamma_gas_,gamma_oil_,gamma_wat_,Rsb_,Pb_,Tres_,Bob_,muob_))</f>
        <v>1.9075656057825508E-3</v>
      </c>
      <c r="O87" s="15">
        <f>[1]!PVT_ST_oilgas_Nm(B87,C87,[1]!encode_PVT(gamma_gas_,gamma_oil_,gamma_wat_,Rsb_,Pb_,Tres_,Bob_,muob_))</f>
        <v>1.9075656057825508E-3</v>
      </c>
      <c r="P87" s="20">
        <f>[1]!PVT_ST_watgas_Nm(B87,C87,[1]!encode_PVT(gamma_gas_,gamma_oil_,gamma_wat_,Rsb_,Pb_,Tres_,Bob_,muob_))</f>
        <v>3.3884415613920256E-2</v>
      </c>
      <c r="Q87" s="29">
        <f>[1]!PVT_cp_oil_JkgC(B87,C87,[1]!encode_PVT(gamma_gas_,gamma_oil_,gamma_wat_,Rsb_,Pb_,Tres_,Bob_,muob_))</f>
        <v>2561.5</v>
      </c>
      <c r="R87" s="29">
        <f>[1]!PVT_cp_gas_JkgC(B87,C87,[1]!encode_PVT(gamma_gas_,gamma_oil_,gamma_wat_,Rsb_,Pb_,Tres_,Bob_,muob_))</f>
        <v>1672.5039274812323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3.5190153308418342E-5</v>
      </c>
      <c r="U87" s="30">
        <f>[1]!PVT_compressibility_oil_1atm(B87,C87,[1]!encode_PVT(gamma_gas_,gamma_oil_,gamma_wat_,Rsb_,Pb_,Tres_,Bob_,muob_))</f>
        <v>1.4942936507936509E-4</v>
      </c>
      <c r="V87" s="30">
        <f>[1]!PVT_compressibility_gas_1atm(B87,C87,[1]!encode_PVT(gamma_gas_,gamma_oil_,gamma_wat_,Rsb_,Pb_,Tres_,Bob_,muob_))</f>
        <v>1.7698379101511389E-3</v>
      </c>
    </row>
    <row r="88" spans="2:22" x14ac:dyDescent="0.25">
      <c r="B88" s="12">
        <v>300</v>
      </c>
      <c r="C88" s="12">
        <v>80</v>
      </c>
      <c r="D88" s="13">
        <f>[1]!PVT_rs_m3m3(B88,C88,[1]!encode_PVT(gamma_gas_,gamma_oil_,gamma_wat_,Rsb_,Pb_,Tres_,Bob_,muob_))</f>
        <v>120</v>
      </c>
      <c r="E88" s="14">
        <f>[1]!PVT_bo_m3m3(B88,C88,PVT_str_)</f>
        <v>1.3376907344313524</v>
      </c>
      <c r="F88" s="46">
        <f>[1]!PVT_mu_oil_cP(B88,C88,[1]!encode_PVT(gamma_gas_,gamma_oil_,gamma_wat_,Rsb_,Pb_,Tres_,Bob_,muob_))</f>
        <v>1.0220481154230805</v>
      </c>
      <c r="G88" s="15">
        <f>[1]!PVT_mu_gas_cP(B88,C88,[1]!encode_PVT(gamma_gas_,gamma_oil_,gamma_wat_,Rsb_,Pb_,Tres_,Bob_,muob_))</f>
        <v>3.6285578432125411E-2</v>
      </c>
      <c r="H88" s="14">
        <f>[1]!PVT_mu_wat_cP(B88,C88,[1]!encode_PVT(gamma_gas_,gamma_oil_,gamma_wat_,Rsb_,Pb_,Tres_,Bob_,muob_))</f>
        <v>0.6119213971420483</v>
      </c>
      <c r="I88" s="46">
        <f>[1]!PVT_rho_gas_kgm3(B88,C88,[1]!encode_PVT(gamma_gas_,gamma_oil_,gamma_wat_,Rsb_,Pb_,Tres_,Bob_,muob_))</f>
        <v>303.62618263772396</v>
      </c>
      <c r="J88" s="46">
        <f>[1]!PVT_rho_wat_kgm3(B88,C88,[1]!encode_PVT(gamma_gas_,gamma_oil_,gamma_wat_,Rsb_,Pb_,Tres_,Bob_,muob_))</f>
        <v>1076.2893479742904</v>
      </c>
      <c r="K88" s="46">
        <f>[1]!PVT_rho_oil_kgm3(B88,C88,[1]!encode_PVT(gamma_gas_,gamma_oil_,gamma_wat_,Rsb_,Pb_,Tres_,Bob_,muob_))</f>
        <v>745.11770532947605</v>
      </c>
      <c r="L88" s="20">
        <f>[1]!PVT_bg_m3m3(B88,C88,[1]!encode_PVT(gamma_gas_,gamma_oil_,gamma_wat_,Rsb_,Pb_,Tres_,Bob_,muob_))</f>
        <v>3.6213280108057101E-3</v>
      </c>
      <c r="M88" s="20">
        <f>[1]!PVT_bw_m3m3(B88,C88,[1]!encode_PVT(gamma_gas_,gamma_oil_,gamma_wat_,Rsb_,Pb_,Tres_,Bob_,muob_))</f>
        <v>1.0220299978535847</v>
      </c>
      <c r="N88" s="15">
        <f>[1]!PVT_ST_liqgas_Nm(B88,C88,[1]!encode_PVT(gamma_gas_,gamma_oil_,gamma_wat_,Rsb_,Pb_,Tres_,Bob_,muob_))</f>
        <v>1.4801720051472031E-3</v>
      </c>
      <c r="O88" s="15">
        <f>[1]!PVT_ST_oilgas_Nm(B88,C88,[1]!encode_PVT(gamma_gas_,gamma_oil_,gamma_wat_,Rsb_,Pb_,Tres_,Bob_,muob_))</f>
        <v>1.4801720051472031E-3</v>
      </c>
      <c r="P88" s="20">
        <f>[1]!PVT_ST_watgas_Nm(B88,C88,[1]!encode_PVT(gamma_gas_,gamma_oil_,gamma_wat_,Rsb_,Pb_,Tres_,Bob_,muob_))</f>
        <v>3.2359365692962827E-2</v>
      </c>
      <c r="Q88" s="29">
        <f>[1]!PVT_cp_oil_JkgC(B88,C88,[1]!encode_PVT(gamma_gas_,gamma_oil_,gamma_wat_,Rsb_,Pb_,Tres_,Bob_,muob_))</f>
        <v>2561.5</v>
      </c>
      <c r="R88" s="29">
        <f>[1]!PVT_cp_gas_JkgC(B88,C88,[1]!encode_PVT(gamma_gas_,gamma_oil_,gamma_wat_,Rsb_,Pb_,Tres_,Bob_,muob_))</f>
        <v>1733.5991597636048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3.5014540247506962E-5</v>
      </c>
      <c r="U88" s="30">
        <f>[1]!PVT_compressibility_oil_1atm(B88,C88,[1]!encode_PVT(gamma_gas_,gamma_oil_,gamma_wat_,Rsb_,Pb_,Tres_,Bob_,muob_))</f>
        <v>1.3946740740740742E-4</v>
      </c>
      <c r="V88" s="30">
        <f>[1]!PVT_compressibility_gas_1atm(B88,C88,[1]!encode_PVT(gamma_gas_,gamma_oil_,gamma_wat_,Rsb_,Pb_,Tres_,Bob_,muob_))</f>
        <v>1.5492036754003349E-3</v>
      </c>
    </row>
    <row r="89" spans="2:22" x14ac:dyDescent="0.25">
      <c r="B89" s="12">
        <v>320</v>
      </c>
      <c r="C89" s="12">
        <v>80</v>
      </c>
      <c r="D89" s="13">
        <f>[1]!PVT_rs_m3m3(B89,C89,[1]!encode_PVT(gamma_gas_,gamma_oil_,gamma_wat_,Rsb_,Pb_,Tres_,Bob_,muob_))</f>
        <v>120</v>
      </c>
      <c r="E89" s="14">
        <f>[1]!PVT_bo_m3m3(B89,C89,PVT_str_)</f>
        <v>1.3354449303101192</v>
      </c>
      <c r="F89" s="46">
        <f>[1]!PVT_mu_oil_cP(B89,C89,[1]!encode_PVT(gamma_gas_,gamma_oil_,gamma_wat_,Rsb_,Pb_,Tres_,Bob_,muob_))</f>
        <v>1.0555938439503671</v>
      </c>
      <c r="G89" s="15">
        <f>[1]!PVT_mu_gas_cP(B89,C89,[1]!encode_PVT(gamma_gas_,gamma_oil_,gamma_wat_,Rsb_,Pb_,Tres_,Bob_,muob_))</f>
        <v>3.7880656112842734E-2</v>
      </c>
      <c r="H89" s="14">
        <f>[1]!PVT_mu_wat_cP(B89,C89,[1]!encode_PVT(gamma_gas_,gamma_oil_,gamma_wat_,Rsb_,Pb_,Tres_,Bob_,muob_))</f>
        <v>0.62189189665322298</v>
      </c>
      <c r="I89" s="46">
        <f>[1]!PVT_rho_gas_kgm3(B89,C89,[1]!encode_PVT(gamma_gas_,gamma_oil_,gamma_wat_,Rsb_,Pb_,Tres_,Bob_,muob_))</f>
        <v>312.59920396126927</v>
      </c>
      <c r="J89" s="46">
        <f>[1]!PVT_rho_wat_kgm3(B89,C89,[1]!encode_PVT(gamma_gas_,gamma_oil_,gamma_wat_,Rsb_,Pb_,Tres_,Bob_,muob_))</f>
        <v>1077.2568328877053</v>
      </c>
      <c r="K89" s="46">
        <f>[1]!PVT_rho_oil_kgm3(B89,C89,[1]!encode_PVT(gamma_gas_,gamma_oil_,gamma_wat_,Rsb_,Pb_,Tres_,Bob_,muob_))</f>
        <v>746.46013720481847</v>
      </c>
      <c r="L89" s="20">
        <f>[1]!PVT_bg_m3m3(B89,C89,[1]!encode_PVT(gamma_gas_,gamma_oil_,gamma_wat_,Rsb_,Pb_,Tres_,Bob_,muob_))</f>
        <v>3.5173793984972228E-3</v>
      </c>
      <c r="M89" s="20">
        <f>[1]!PVT_bw_m3m3(B89,C89,[1]!encode_PVT(gamma_gas_,gamma_oil_,gamma_wat_,Rsb_,Pb_,Tres_,Bob_,muob_))</f>
        <v>1.0211121121890026</v>
      </c>
      <c r="N89" s="15">
        <f>[1]!PVT_ST_liqgas_Nm(B89,C89,[1]!encode_PVT(gamma_gas_,gamma_oil_,gamma_wat_,Rsb_,Pb_,Tres_,Bob_,muob_))</f>
        <v>1.1485367308888457E-3</v>
      </c>
      <c r="O89" s="15">
        <f>[1]!PVT_ST_oilgas_Nm(B89,C89,[1]!encode_PVT(gamma_gas_,gamma_oil_,gamma_wat_,Rsb_,Pb_,Tres_,Bob_,muob_))</f>
        <v>1.1485367308888457E-3</v>
      </c>
      <c r="P89" s="20">
        <f>[1]!PVT_ST_watgas_Nm(B89,C89,[1]!encode_PVT(gamma_gas_,gamma_oil_,gamma_wat_,Rsb_,Pb_,Tres_,Bob_,muob_))</f>
        <v>3.0902954325135904E-2</v>
      </c>
      <c r="Q89" s="29">
        <f>[1]!PVT_cp_oil_JkgC(B89,C89,[1]!encode_PVT(gamma_gas_,gamma_oil_,gamma_wat_,Rsb_,Pb_,Tres_,Bob_,muob_))</f>
        <v>2561.5</v>
      </c>
      <c r="R89" s="29">
        <f>[1]!PVT_cp_gas_JkgC(B89,C89,[1]!encode_PVT(gamma_gas_,gamma_oil_,gamma_wat_,Rsb_,Pb_,Tres_,Bob_,muob_))</f>
        <v>1796.0927634973086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3.4840671243084599E-5</v>
      </c>
      <c r="U89" s="30">
        <f>[1]!PVT_compressibility_oil_1atm(B89,C89,[1]!encode_PVT(gamma_gas_,gamma_oil_,gamma_wat_,Rsb_,Pb_,Tres_,Bob_,muob_))</f>
        <v>1.3075069444444445E-4</v>
      </c>
      <c r="V89" s="30">
        <f>[1]!PVT_compressibility_gas_1atm(B89,C89,[1]!encode_PVT(gamma_gas_,gamma_oil_,gamma_wat_,Rsb_,Pb_,Tres_,Bob_,muob_))</f>
        <v>1.3688452668734574E-3</v>
      </c>
    </row>
    <row r="90" spans="2:22" x14ac:dyDescent="0.25">
      <c r="B90" s="12">
        <v>340</v>
      </c>
      <c r="C90" s="12">
        <v>80</v>
      </c>
      <c r="D90" s="13">
        <f>[1]!PVT_rs_m3m3(B90,C90,[1]!encode_PVT(gamma_gas_,gamma_oil_,gamma_wat_,Rsb_,Pb_,Tres_,Bob_,muob_))</f>
        <v>120</v>
      </c>
      <c r="E90" s="14">
        <f>[1]!PVT_bo_m3m3(B90,C90,PVT_str_)</f>
        <v>1.333466469777064</v>
      </c>
      <c r="F90" s="46">
        <f>[1]!PVT_mu_oil_cP(B90,C90,[1]!encode_PVT(gamma_gas_,gamma_oil_,gamma_wat_,Rsb_,Pb_,Tres_,Bob_,muob_))</f>
        <v>1.0906847122909555</v>
      </c>
      <c r="G90" s="15">
        <f>[1]!PVT_mu_gas_cP(B90,C90,[1]!encode_PVT(gamma_gas_,gamma_oil_,gamma_wat_,Rsb_,Pb_,Tres_,Bob_,muob_))</f>
        <v>3.9407689305847995E-2</v>
      </c>
      <c r="H90" s="14">
        <f>[1]!PVT_mu_wat_cP(B90,C90,[1]!encode_PVT(gamma_gas_,gamma_oil_,gamma_wat_,Rsb_,Pb_,Tres_,Bob_,muob_))</f>
        <v>0.63212779691434562</v>
      </c>
      <c r="I90" s="46">
        <f>[1]!PVT_rho_gas_kgm3(B90,C90,[1]!encode_PVT(gamma_gas_,gamma_oil_,gamma_wat_,Rsb_,Pb_,Tres_,Bob_,muob_))</f>
        <v>320.77990474698964</v>
      </c>
      <c r="J90" s="46">
        <f>[1]!PVT_rho_wat_kgm3(B90,C90,[1]!encode_PVT(gamma_gas_,gamma_oil_,gamma_wat_,Rsb_,Pb_,Tres_,Bob_,muob_))</f>
        <v>1078.2741626434267</v>
      </c>
      <c r="K90" s="46">
        <f>[1]!PVT_rho_oil_kgm3(B90,C90,[1]!encode_PVT(gamma_gas_,gamma_oil_,gamma_wat_,Rsb_,Pb_,Tres_,Bob_,muob_))</f>
        <v>747.64664428203025</v>
      </c>
      <c r="L90" s="20">
        <f>[1]!PVT_bg_m3m3(B90,C90,[1]!encode_PVT(gamma_gas_,gamma_oil_,gamma_wat_,Rsb_,Pb_,Tres_,Bob_,muob_))</f>
        <v>3.4276773068663323E-3</v>
      </c>
      <c r="M90" s="20">
        <f>[1]!PVT_bw_m3m3(B90,C90,[1]!encode_PVT(gamma_gas_,gamma_oil_,gamma_wat_,Rsb_,Pb_,Tres_,Bob_,muob_))</f>
        <v>1.0201487136660232</v>
      </c>
      <c r="N90" s="15">
        <f>[1]!PVT_ST_liqgas_Nm(B90,C90,[1]!encode_PVT(gamma_gas_,gamma_oil_,gamma_wat_,Rsb_,Pb_,Tres_,Bob_,muob_))</f>
        <v>8.9120495294710614E-4</v>
      </c>
      <c r="O90" s="15">
        <f>[1]!PVT_ST_oilgas_Nm(B90,C90,[1]!encode_PVT(gamma_gas_,gamma_oil_,gamma_wat_,Rsb_,Pb_,Tres_,Bob_,muob_))</f>
        <v>8.9120495294710614E-4</v>
      </c>
      <c r="P90" s="20">
        <f>[1]!PVT_ST_watgas_Nm(B90,C90,[1]!encode_PVT(gamma_gas_,gamma_oil_,gamma_wat_,Rsb_,Pb_,Tres_,Bob_,muob_))</f>
        <v>2.9512092266663854E-2</v>
      </c>
      <c r="Q90" s="29">
        <f>[1]!PVT_cp_oil_JkgC(B90,C90,[1]!encode_PVT(gamma_gas_,gamma_oil_,gamma_wat_,Rsb_,Pb_,Tres_,Bob_,muob_))</f>
        <v>2561.5</v>
      </c>
      <c r="R90" s="29">
        <f>[1]!PVT_cp_gas_JkgC(B90,C90,[1]!encode_PVT(gamma_gas_,gamma_oil_,gamma_wat_,Rsb_,Pb_,Tres_,Bob_,muob_))</f>
        <v>1859.6808350175158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3.4668520442544787E-5</v>
      </c>
      <c r="U90" s="30">
        <f>[1]!PVT_compressibility_oil_1atm(B90,C90,[1]!encode_PVT(gamma_gas_,gamma_oil_,gamma_wat_,Rsb_,Pb_,Tres_,Bob_,muob_))</f>
        <v>1.2305947712418303E-4</v>
      </c>
      <c r="V90" s="30">
        <f>[1]!PVT_compressibility_gas_1atm(B90,C90,[1]!encode_PVT(gamma_gas_,gamma_oil_,gamma_wat_,Rsb_,Pb_,Tres_,Bob_,muob_))</f>
        <v>1.2187550032950539E-3</v>
      </c>
    </row>
    <row r="91" spans="2:22" x14ac:dyDescent="0.25">
      <c r="B91" s="12">
        <v>360</v>
      </c>
      <c r="C91" s="12">
        <v>80</v>
      </c>
      <c r="D91" s="13">
        <f>[1]!PVT_rs_m3m3(B91,C91,[1]!encode_PVT(gamma_gas_,gamma_oil_,gamma_wat_,Rsb_,Pb_,Tres_,Bob_,muob_))</f>
        <v>120</v>
      </c>
      <c r="E91" s="14">
        <f>[1]!PVT_bo_m3m3(B91,C91,PVT_str_)</f>
        <v>1.3317102989933356</v>
      </c>
      <c r="F91" s="46">
        <f>[1]!PVT_mu_oil_cP(B91,C91,[1]!encode_PVT(gamma_gas_,gamma_oil_,gamma_wat_,Rsb_,Pb_,Tres_,Bob_,muob_))</f>
        <v>1.1271939738829215</v>
      </c>
      <c r="G91" s="15">
        <f>[1]!PVT_mu_gas_cP(B91,C91,[1]!encode_PVT(gamma_gas_,gamma_oil_,gamma_wat_,Rsb_,Pb_,Tres_,Bob_,muob_))</f>
        <v>4.0869339901965229E-2</v>
      </c>
      <c r="H91" s="14">
        <f>[1]!PVT_mu_wat_cP(B91,C91,[1]!encode_PVT(gamma_gas_,gamma_oil_,gamma_wat_,Rsb_,Pb_,Tres_,Bob_,muob_))</f>
        <v>0.64262909792541612</v>
      </c>
      <c r="I91" s="46">
        <f>[1]!PVT_rho_gas_kgm3(B91,C91,[1]!encode_PVT(gamma_gas_,gamma_oil_,gamma_wat_,Rsb_,Pb_,Tres_,Bob_,muob_))</f>
        <v>328.26790395337974</v>
      </c>
      <c r="J91" s="46">
        <f>[1]!PVT_rho_wat_kgm3(B91,C91,[1]!encode_PVT(gamma_gas_,gamma_oil_,gamma_wat_,Rsb_,Pb_,Tres_,Bob_,muob_))</f>
        <v>1079.3416148933502</v>
      </c>
      <c r="K91" s="46">
        <f>[1]!PVT_rho_oil_kgm3(B91,C91,[1]!encode_PVT(gamma_gas_,gamma_oil_,gamma_wat_,Rsb_,Pb_,Tres_,Bob_,muob_))</f>
        <v>748.70290042716317</v>
      </c>
      <c r="L91" s="20">
        <f>[1]!PVT_bg_m3m3(B91,C91,[1]!encode_PVT(gamma_gas_,gamma_oil_,gamma_wat_,Rsb_,Pb_,Tres_,Bob_,muob_))</f>
        <v>3.3494898123093814E-3</v>
      </c>
      <c r="M91" s="20">
        <f>[1]!PVT_bw_m3m3(B91,C91,[1]!encode_PVT(gamma_gas_,gamma_oil_,gamma_wat_,Rsb_,Pb_,Tres_,Bob_,muob_))</f>
        <v>1.0191398022846465</v>
      </c>
      <c r="N91" s="15">
        <f>[1]!PVT_ST_liqgas_Nm(B91,C91,[1]!encode_PVT(gamma_gas_,gamma_oil_,gamma_wat_,Rsb_,Pb_,Tres_,Bob_,muob_))</f>
        <v>6.9152883560179268E-4</v>
      </c>
      <c r="O91" s="15">
        <f>[1]!PVT_ST_oilgas_Nm(B91,C91,[1]!encode_PVT(gamma_gas_,gamma_oil_,gamma_wat_,Rsb_,Pb_,Tres_,Bob_,muob_))</f>
        <v>6.9152883560179268E-4</v>
      </c>
      <c r="P91" s="20">
        <f>[1]!PVT_ST_watgas_Nm(B91,C91,[1]!encode_PVT(gamma_gas_,gamma_oil_,gamma_wat_,Rsb_,Pb_,Tres_,Bob_,muob_))</f>
        <v>2.8183829312644539E-2</v>
      </c>
      <c r="Q91" s="29">
        <f>[1]!PVT_cp_oil_JkgC(B91,C91,[1]!encode_PVT(gamma_gas_,gamma_oil_,gamma_wat_,Rsb_,Pb_,Tres_,Bob_,muob_))</f>
        <v>2561.5</v>
      </c>
      <c r="R91" s="29">
        <f>[1]!PVT_cp_gas_JkgC(B91,C91,[1]!encode_PVT(gamma_gas_,gamma_oil_,gamma_wat_,Rsb_,Pb_,Tres_,Bob_,muob_))</f>
        <v>1924.1580017926196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3.4498062501728742E-5</v>
      </c>
      <c r="U91" s="30">
        <f>[1]!PVT_compressibility_oil_1atm(B91,C91,[1]!encode_PVT(gamma_gas_,gamma_oil_,gamma_wat_,Rsb_,Pb_,Tres_,Bob_,muob_))</f>
        <v>1.1622283950617286E-4</v>
      </c>
      <c r="V91" s="30">
        <f>[1]!PVT_compressibility_gas_1atm(B91,C91,[1]!encode_PVT(gamma_gas_,gamma_oil_,gamma_wat_,Rsb_,Pb_,Tres_,Bob_,muob_))</f>
        <v>1.0920730564827666E-3</v>
      </c>
    </row>
    <row r="92" spans="2:22" x14ac:dyDescent="0.25">
      <c r="B92" s="12">
        <v>380</v>
      </c>
      <c r="C92" s="12">
        <v>80</v>
      </c>
      <c r="D92" s="13">
        <f>[1]!PVT_rs_m3m3(B92,C92,[1]!encode_PVT(gamma_gas_,gamma_oil_,gamma_wat_,Rsb_,Pb_,Tres_,Bob_,muob_))</f>
        <v>120</v>
      </c>
      <c r="E92" s="14">
        <f>[1]!PVT_bo_m3m3(B92,C92,PVT_str_)</f>
        <v>1.3301409488771978</v>
      </c>
      <c r="F92" s="46">
        <f>[1]!PVT_mu_oil_cP(B92,C92,[1]!encode_PVT(gamma_gas_,gamma_oil_,gamma_wat_,Rsb_,Pb_,Tres_,Bob_,muob_))</f>
        <v>1.1649979374890773</v>
      </c>
      <c r="G92" s="15">
        <f>[1]!PVT_mu_gas_cP(B92,C92,[1]!encode_PVT(gamma_gas_,gamma_oil_,gamma_wat_,Rsb_,Pb_,Tres_,Bob_,muob_))</f>
        <v>4.2268075916358429E-2</v>
      </c>
      <c r="H92" s="14">
        <f>[1]!PVT_mu_wat_cP(B92,C92,[1]!encode_PVT(gamma_gas_,gamma_oil_,gamma_wat_,Rsb_,Pb_,Tres_,Bob_,muob_))</f>
        <v>0.65339579968643458</v>
      </c>
      <c r="I92" s="46">
        <f>[1]!PVT_rho_gas_kgm3(B92,C92,[1]!encode_PVT(gamma_gas_,gamma_oil_,gamma_wat_,Rsb_,Pb_,Tres_,Bob_,muob_))</f>
        <v>335.14519561162319</v>
      </c>
      <c r="J92" s="46">
        <f>[1]!PVT_rho_wat_kgm3(B92,C92,[1]!encode_PVT(gamma_gas_,gamma_oil_,gamma_wat_,Rsb_,Pb_,Tres_,Bob_,muob_))</f>
        <v>1080.4594818093117</v>
      </c>
      <c r="K92" s="46">
        <f>[1]!PVT_rho_oil_kgm3(B92,C92,[1]!encode_PVT(gamma_gas_,gamma_oil_,gamma_wat_,Rsb_,Pb_,Tres_,Bob_,muob_))</f>
        <v>749.64923655264624</v>
      </c>
      <c r="L92" s="20">
        <f>[1]!PVT_bg_m3m3(B92,C92,[1]!encode_PVT(gamma_gas_,gamma_oil_,gamma_wat_,Rsb_,Pb_,Tres_,Bob_,muob_))</f>
        <v>3.2807571595750099E-3</v>
      </c>
      <c r="M92" s="20">
        <f>[1]!PVT_bw_m3m3(B92,C92,[1]!encode_PVT(gamma_gas_,gamma_oil_,gamma_wat_,Rsb_,Pb_,Tres_,Bob_,muob_))</f>
        <v>1.0180853780448724</v>
      </c>
      <c r="N92" s="15">
        <f>[1]!PVT_ST_liqgas_Nm(B92,C92,[1]!encode_PVT(gamma_gas_,gamma_oil_,gamma_wat_,Rsb_,Pb_,Tres_,Bob_,muob_))</f>
        <v>5.3659052150392835E-4</v>
      </c>
      <c r="O92" s="15">
        <f>[1]!PVT_ST_oilgas_Nm(B92,C92,[1]!encode_PVT(gamma_gas_,gamma_oil_,gamma_wat_,Rsb_,Pb_,Tres_,Bob_,muob_))</f>
        <v>5.3659052150392835E-4</v>
      </c>
      <c r="P92" s="20">
        <f>[1]!PVT_ST_watgas_Nm(B92,C92,[1]!encode_PVT(gamma_gas_,gamma_oil_,gamma_wat_,Rsb_,Pb_,Tres_,Bob_,muob_))</f>
        <v>2.6915348039269153E-2</v>
      </c>
      <c r="Q92" s="29">
        <f>[1]!PVT_cp_oil_JkgC(B92,C92,[1]!encode_PVT(gamma_gas_,gamma_oil_,gamma_wat_,Rsb_,Pb_,Tres_,Bob_,muob_))</f>
        <v>2561.5</v>
      </c>
      <c r="R92" s="29">
        <f>[1]!PVT_cp_gas_JkgC(B92,C92,[1]!encode_PVT(gamma_gas_,gamma_oil_,gamma_wat_,Rsb_,Pb_,Tres_,Bob_,muob_))</f>
        <v>1989.3777260142526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3.4329272572486828E-5</v>
      </c>
      <c r="U92" s="30">
        <f>[1]!PVT_compressibility_oil_1atm(B92,C92,[1]!encode_PVT(gamma_gas_,gamma_oil_,gamma_wat_,Rsb_,Pb_,Tres_,Bob_,muob_))</f>
        <v>1.1010584795321638E-4</v>
      </c>
      <c r="V92" s="30">
        <f>[1]!PVT_compressibility_gas_1atm(B92,C92,[1]!encode_PVT(gamma_gas_,gamma_oil_,gamma_wat_,Rsb_,Pb_,Tres_,Bob_,muob_))</f>
        <v>9.8400370785262981E-4</v>
      </c>
    </row>
    <row r="93" spans="2:22" x14ac:dyDescent="0.25">
      <c r="B93" s="12">
        <v>400</v>
      </c>
      <c r="C93" s="12">
        <v>80</v>
      </c>
      <c r="D93" s="13">
        <f>[1]!PVT_rs_m3m3(B93,C93,[1]!encode_PVT(gamma_gas_,gamma_oil_,gamma_wat_,Rsb_,Pb_,Tres_,Bob_,muob_))</f>
        <v>120</v>
      </c>
      <c r="E93" s="14">
        <f>[1]!PVT_bo_m3m3(B93,C93,PVT_str_)</f>
        <v>1.3287301150684432</v>
      </c>
      <c r="F93" s="46">
        <f>[1]!PVT_mu_oil_cP(B93,C93,[1]!encode_PVT(gamma_gas_,gamma_oil_,gamma_wat_,Rsb_,Pb_,Tres_,Bob_,muob_))</f>
        <v>1.2039745671498669</v>
      </c>
      <c r="G93" s="15">
        <f>[1]!PVT_mu_gas_cP(B93,C93,[1]!encode_PVT(gamma_gas_,gamma_oil_,gamma_wat_,Rsb_,Pb_,Tres_,Bob_,muob_))</f>
        <v>4.3606453351793889E-2</v>
      </c>
      <c r="H93" s="14">
        <f>[1]!PVT_mu_wat_cP(B93,C93,[1]!encode_PVT(gamma_gas_,gamma_oil_,gamma_wat_,Rsb_,Pb_,Tres_,Bob_,muob_))</f>
        <v>0.664427902197401</v>
      </c>
      <c r="I93" s="46">
        <f>[1]!PVT_rho_gas_kgm3(B93,C93,[1]!encode_PVT(gamma_gas_,gamma_oil_,gamma_wat_,Rsb_,Pb_,Tres_,Bob_,muob_))</f>
        <v>341.48125031666325</v>
      </c>
      <c r="J93" s="46">
        <f>[1]!PVT_rho_wat_kgm3(B93,C93,[1]!encode_PVT(gamma_gas_,gamma_oil_,gamma_wat_,Rsb_,Pb_,Tres_,Bob_,muob_))</f>
        <v>1081.6280702858651</v>
      </c>
      <c r="K93" s="46">
        <f>[1]!PVT_rho_oil_kgm3(B93,C93,[1]!encode_PVT(gamma_gas_,gamma_oil_,gamma_wat_,Rsb_,Pb_,Tres_,Bob_,muob_))</f>
        <v>750.50196172057997</v>
      </c>
      <c r="L93" s="20">
        <f>[1]!PVT_bg_m3m3(B93,C93,[1]!encode_PVT(gamma_gas_,gamma_oil_,gamma_wat_,Rsb_,Pb_,Tres_,Bob_,muob_))</f>
        <v>3.2198839584322157E-3</v>
      </c>
      <c r="M93" s="20">
        <f>[1]!PVT_bw_m3m3(B93,C93,[1]!encode_PVT(gamma_gas_,gamma_oil_,gamma_wat_,Rsb_,Pb_,Tres_,Bob_,muob_))</f>
        <v>1.0169854409467012</v>
      </c>
      <c r="N93" s="15">
        <f>[1]!PVT_ST_liqgas_Nm(B93,C93,[1]!encode_PVT(gamma_gas_,gamma_oil_,gamma_wat_,Rsb_,Pb_,Tres_,Bob_,muob_))</f>
        <v>4.1636642312578559E-4</v>
      </c>
      <c r="O93" s="15">
        <f>[1]!PVT_ST_oilgas_Nm(B93,C93,[1]!encode_PVT(gamma_gas_,gamma_oil_,gamma_wat_,Rsb_,Pb_,Tres_,Bob_,muob_))</f>
        <v>4.1636642312578559E-4</v>
      </c>
      <c r="P93" s="20">
        <f>[1]!PVT_ST_watgas_Nm(B93,C93,[1]!encode_PVT(gamma_gas_,gamma_oil_,gamma_wat_,Rsb_,Pb_,Tres_,Bob_,muob_))</f>
        <v>2.5703957827688646E-2</v>
      </c>
      <c r="Q93" s="29">
        <f>[1]!PVT_cp_oil_JkgC(B93,C93,[1]!encode_PVT(gamma_gas_,gamma_oil_,gamma_wat_,Rsb_,Pb_,Tres_,Bob_,muob_))</f>
        <v>2561.5</v>
      </c>
      <c r="R93" s="29">
        <f>[1]!PVT_cp_gas_JkgC(B93,C93,[1]!encode_PVT(gamma_gas_,gamma_oil_,gamma_wat_,Rsb_,Pb_,Tres_,Bob_,muob_))</f>
        <v>2055.2269253041095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3.4162126290603452E-5</v>
      </c>
      <c r="U93" s="30">
        <f>[1]!PVT_compressibility_oil_1atm(B93,C93,[1]!encode_PVT(gamma_gas_,gamma_oil_,gamma_wat_,Rsb_,Pb_,Tres_,Bob_,muob_))</f>
        <v>1.0460055555555556E-4</v>
      </c>
      <c r="V93" s="30">
        <f>[1]!PVT_compressibility_gas_1atm(B93,C93,[1]!encode_PVT(gamma_gas_,gamma_oil_,gamma_wat_,Rsb_,Pb_,Tres_,Bob_,muob_))</f>
        <v>8.9111441181082972E-4</v>
      </c>
    </row>
    <row r="94" spans="2:22" x14ac:dyDescent="0.25">
      <c r="B94" s="12">
        <v>420</v>
      </c>
      <c r="C94" s="12">
        <v>80</v>
      </c>
      <c r="D94" s="13">
        <f>[1]!PVT_rs_m3m3(B94,C94,[1]!encode_PVT(gamma_gas_,gamma_oil_,gamma_wat_,Rsb_,Pb_,Tres_,Bob_,muob_))</f>
        <v>120</v>
      </c>
      <c r="E94" s="14">
        <f>[1]!PVT_bo_m3m3(B94,C94,PVT_str_)</f>
        <v>1.3274549358615921</v>
      </c>
      <c r="F94" s="46">
        <f>[1]!PVT_mu_oil_cP(B94,C94,[1]!encode_PVT(gamma_gas_,gamma_oil_,gamma_wat_,Rsb_,Pb_,Tres_,Bob_,muob_))</f>
        <v>1.2440025152726955</v>
      </c>
      <c r="G94" s="15">
        <f>[1]!PVT_mu_gas_cP(B94,C94,[1]!encode_PVT(gamma_gas_,gamma_oil_,gamma_wat_,Rsb_,Pb_,Tres_,Bob_,muob_))</f>
        <v>4.4887308467026876E-2</v>
      </c>
      <c r="H94" s="14">
        <f>[1]!PVT_mu_wat_cP(B94,C94,[1]!encode_PVT(gamma_gas_,gamma_oil_,gamma_wat_,Rsb_,Pb_,Tres_,Bob_,muob_))</f>
        <v>0.67572540545831516</v>
      </c>
      <c r="I94" s="46">
        <f>[1]!PVT_rho_gas_kgm3(B94,C94,[1]!encode_PVT(gamma_gas_,gamma_oil_,gamma_wat_,Rsb_,Pb_,Tres_,Bob_,muob_))</f>
        <v>347.33647174521536</v>
      </c>
      <c r="J94" s="46">
        <f>[1]!PVT_rho_wat_kgm3(B94,C94,[1]!encode_PVT(gamma_gas_,gamma_oil_,gamma_wat_,Rsb_,Pb_,Tres_,Bob_,muob_))</f>
        <v>1082.8477021541919</v>
      </c>
      <c r="K94" s="46">
        <f>[1]!PVT_rho_oil_kgm3(B94,C94,[1]!encode_PVT(gamma_gas_,gamma_oil_,gamma_wat_,Rsb_,Pb_,Tres_,Bob_,muob_))</f>
        <v>751.27431074278161</v>
      </c>
      <c r="L94" s="20">
        <f>[1]!PVT_bg_m3m3(B94,C94,[1]!encode_PVT(gamma_gas_,gamma_oil_,gamma_wat_,Rsb_,Pb_,Tres_,Bob_,muob_))</f>
        <v>3.1656047937475094E-3</v>
      </c>
      <c r="M94" s="20">
        <f>[1]!PVT_bw_m3m3(B94,C94,[1]!encode_PVT(gamma_gas_,gamma_oil_,gamma_wat_,Rsb_,Pb_,Tres_,Bob_,muob_))</f>
        <v>1.0158399909901326</v>
      </c>
      <c r="N94" s="15">
        <f>[1]!PVT_ST_liqgas_Nm(B94,C94,[1]!encode_PVT(gamma_gas_,gamma_oil_,gamma_wat_,Rsb_,Pb_,Tres_,Bob_,muob_))</f>
        <v>3.2307875625658353E-4</v>
      </c>
      <c r="O94" s="15">
        <f>[1]!PVT_ST_oilgas_Nm(B94,C94,[1]!encode_PVT(gamma_gas_,gamma_oil_,gamma_wat_,Rsb_,Pb_,Tres_,Bob_,muob_))</f>
        <v>3.2307875625658353E-4</v>
      </c>
      <c r="P94" s="20">
        <f>[1]!PVT_ST_watgas_Nm(B94,C94,[1]!encode_PVT(gamma_gas_,gamma_oil_,gamma_wat_,Rsb_,Pb_,Tres_,Bob_,muob_))</f>
        <v>2.4547089156850312E-2</v>
      </c>
      <c r="Q94" s="29">
        <f>[1]!PVT_cp_oil_JkgC(B94,C94,[1]!encode_PVT(gamma_gas_,gamma_oil_,gamma_wat_,Rsb_,Pb_,Tres_,Bob_,muob_))</f>
        <v>2561.5</v>
      </c>
      <c r="R94" s="29">
        <f>[1]!PVT_cp_gas_JkgC(B94,C94,[1]!encode_PVT(gamma_gas_,gamma_oil_,gamma_wat_,Rsb_,Pb_,Tres_,Bob_,muob_))</f>
        <v>2121.6100038142217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3.3996599764072971E-5</v>
      </c>
      <c r="U94" s="30">
        <f>[1]!PVT_compressibility_oil_1atm(B94,C94,[1]!encode_PVT(gamma_gas_,gamma_oil_,gamma_wat_,Rsb_,Pb_,Tres_,Bob_,muob_))</f>
        <v>9.961957671957674E-5</v>
      </c>
      <c r="V94" s="30">
        <f>[1]!PVT_compressibility_gas_1atm(B94,C94,[1]!encode_PVT(gamma_gas_,gamma_oil_,gamma_wat_,Rsb_,Pb_,Tres_,Bob_,muob_))</f>
        <v>8.1088268028920742E-4</v>
      </c>
    </row>
    <row r="95" spans="2:22" x14ac:dyDescent="0.25">
      <c r="B95" s="12">
        <v>440</v>
      </c>
      <c r="C95" s="12">
        <v>80</v>
      </c>
      <c r="D95" s="13">
        <f>[1]!PVT_rs_m3m3(B95,C95,[1]!encode_PVT(gamma_gas_,gamma_oil_,gamma_wat_,Rsb_,Pb_,Tres_,Bob_,muob_))</f>
        <v>120</v>
      </c>
      <c r="E95" s="14">
        <f>[1]!PVT_bo_m3m3(B95,C95,PVT_str_)</f>
        <v>1.3262967440315871</v>
      </c>
      <c r="F95" s="46">
        <f>[1]!PVT_mu_oil_cP(B95,C95,[1]!encode_PVT(gamma_gas_,gamma_oil_,gamma_wat_,Rsb_,Pb_,Tres_,Bob_,muob_))</f>
        <v>1.2849604950071489</v>
      </c>
      <c r="G95" s="15">
        <f>[1]!PVT_mu_gas_cP(B95,C95,[1]!encode_PVT(gamma_gas_,gamma_oil_,gamma_wat_,Rsb_,Pb_,Tres_,Bob_,muob_))</f>
        <v>4.6113865949030879E-2</v>
      </c>
      <c r="H95" s="14">
        <f>[1]!PVT_mu_wat_cP(B95,C95,[1]!encode_PVT(gamma_gas_,gamma_oil_,gamma_wat_,Rsb_,Pb_,Tres_,Bob_,muob_))</f>
        <v>0.68728830946917741</v>
      </c>
      <c r="I95" s="46">
        <f>[1]!PVT_rho_gas_kgm3(B95,C95,[1]!encode_PVT(gamma_gas_,gamma_oil_,gamma_wat_,Rsb_,Pb_,Tres_,Bob_,muob_))</f>
        <v>352.76450166554827</v>
      </c>
      <c r="J95" s="46">
        <f>[1]!PVT_rho_wat_kgm3(B95,C95,[1]!encode_PVT(gamma_gas_,gamma_oil_,gamma_wat_,Rsb_,Pb_,Tres_,Bob_,muob_))</f>
        <v>1084.1187144074204</v>
      </c>
      <c r="K95" s="46">
        <f>[1]!PVT_rho_oil_kgm3(B95,C95,[1]!encode_PVT(gamma_gas_,gamma_oil_,gamma_wat_,Rsb_,Pb_,Tres_,Bob_,muob_))</f>
        <v>751.97713592629748</v>
      </c>
      <c r="L95" s="20">
        <f>[1]!PVT_bg_m3m3(B95,C95,[1]!encode_PVT(gamma_gas_,gamma_oil_,gamma_wat_,Rsb_,Pb_,Tres_,Bob_,muob_))</f>
        <v>3.1168952511056542E-3</v>
      </c>
      <c r="M95" s="20">
        <f>[1]!PVT_bw_m3m3(B95,C95,[1]!encode_PVT(gamma_gas_,gamma_oil_,gamma_wat_,Rsb_,Pb_,Tres_,Bob_,muob_))</f>
        <v>1.0146490281751666</v>
      </c>
      <c r="N95" s="15">
        <f>[1]!PVT_ST_liqgas_Nm(B95,C95,[1]!encode_PVT(gamma_gas_,gamma_oil_,gamma_wat_,Rsb_,Pb_,Tres_,Bob_,muob_))</f>
        <v>2.5069236361734056E-4</v>
      </c>
      <c r="O95" s="15">
        <f>[1]!PVT_ST_oilgas_Nm(B95,C95,[1]!encode_PVT(gamma_gas_,gamma_oil_,gamma_wat_,Rsb_,Pb_,Tres_,Bob_,muob_))</f>
        <v>2.5069236361734056E-4</v>
      </c>
      <c r="P95" s="20">
        <f>[1]!PVT_ST_watgas_Nm(B95,C95,[1]!encode_PVT(gamma_gas_,gamma_oil_,gamma_wat_,Rsb_,Pb_,Tres_,Bob_,muob_))</f>
        <v>2.3442288153199226E-2</v>
      </c>
      <c r="Q95" s="29">
        <f>[1]!PVT_cp_oil_JkgC(B95,C95,[1]!encode_PVT(gamma_gas_,gamma_oil_,gamma_wat_,Rsb_,Pb_,Tres_,Bob_,muob_))</f>
        <v>2561.5</v>
      </c>
      <c r="R95" s="29">
        <f>[1]!PVT_cp_gas_JkgC(B95,C95,[1]!encode_PVT(gamma_gas_,gamma_oil_,gamma_wat_,Rsb_,Pb_,Tres_,Bob_,muob_))</f>
        <v>2188.439036541658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3.3832669561714792E-5</v>
      </c>
      <c r="U95" s="30">
        <f>[1]!PVT_compressibility_oil_1atm(B95,C95,[1]!encode_PVT(gamma_gas_,gamma_oil_,gamma_wat_,Rsb_,Pb_,Tres_,Bob_,muob_))</f>
        <v>9.5091414141414157E-5</v>
      </c>
      <c r="V95" s="30">
        <f>[1]!PVT_compressibility_gas_1atm(B95,C95,[1]!encode_PVT(gamma_gas_,gamma_oil_,gamma_wat_,Rsb_,Pb_,Tres_,Bob_,muob_))</f>
        <v>7.4140176232851383E-4</v>
      </c>
    </row>
    <row r="96" spans="2:22" x14ac:dyDescent="0.25">
      <c r="B96" s="12">
        <v>460</v>
      </c>
      <c r="C96" s="12">
        <v>80</v>
      </c>
      <c r="D96" s="13">
        <f>[1]!PVT_rs_m3m3(B96,C96,[1]!encode_PVT(gamma_gas_,gamma_oil_,gamma_wat_,Rsb_,Pb_,Tres_,Bob_,muob_))</f>
        <v>120</v>
      </c>
      <c r="E96" s="14">
        <f>[1]!PVT_bo_m3m3(B96,C96,PVT_str_)</f>
        <v>1.325240147082954</v>
      </c>
      <c r="F96" s="46">
        <f>[1]!PVT_mu_oil_cP(B96,C96,[1]!encode_PVT(gamma_gas_,gamma_oil_,gamma_wat_,Rsb_,Pb_,Tres_,Bob_,muob_))</f>
        <v>1.3267269211716064</v>
      </c>
      <c r="G96" s="15">
        <f>[1]!PVT_mu_gas_cP(B96,C96,[1]!encode_PVT(gamma_gas_,gamma_oil_,gamma_wat_,Rsb_,Pb_,Tres_,Bob_,muob_))</f>
        <v>4.7289778277559424E-2</v>
      </c>
      <c r="H96" s="14">
        <f>[1]!PVT_mu_wat_cP(B96,C96,[1]!encode_PVT(gamma_gas_,gamma_oil_,gamma_wat_,Rsb_,Pb_,Tres_,Bob_,muob_))</f>
        <v>0.6991166142299875</v>
      </c>
      <c r="I96" s="46">
        <f>[1]!PVT_rho_gas_kgm3(B96,C96,[1]!encode_PVT(gamma_gas_,gamma_oil_,gamma_wat_,Rsb_,Pb_,Tres_,Bob_,muob_))</f>
        <v>357.81373889366904</v>
      </c>
      <c r="J96" s="46">
        <f>[1]!PVT_rho_wat_kgm3(B96,C96,[1]!encode_PVT(gamma_gas_,gamma_oil_,gamma_wat_,Rsb_,Pb_,Tres_,Bob_,muob_))</f>
        <v>1085.4414594376583</v>
      </c>
      <c r="K96" s="46">
        <f>[1]!PVT_rho_oil_kgm3(B96,C96,[1]!encode_PVT(gamma_gas_,gamma_oil_,gamma_wat_,Rsb_,Pb_,Tres_,Bob_,muob_))</f>
        <v>752.61942008629092</v>
      </c>
      <c r="L96" s="20">
        <f>[1]!PVT_bg_m3m3(B96,C96,[1]!encode_PVT(gamma_gas_,gamma_oil_,gamma_wat_,Rsb_,Pb_,Tres_,Bob_,muob_))</f>
        <v>3.0729116310616168E-3</v>
      </c>
      <c r="M96" s="20">
        <f>[1]!PVT_bw_m3m3(B96,C96,[1]!encode_PVT(gamma_gas_,gamma_oil_,gamma_wat_,Rsb_,Pb_,Tres_,Bob_,muob_))</f>
        <v>1.0134125525018034</v>
      </c>
      <c r="N96" s="15">
        <f>[1]!PVT_ST_liqgas_Nm(B96,C96,[1]!encode_PVT(gamma_gas_,gamma_oil_,gamma_wat_,Rsb_,Pb_,Tres_,Bob_,muob_))</f>
        <v>1.945242760750792E-4</v>
      </c>
      <c r="O96" s="15">
        <f>[1]!PVT_ST_oilgas_Nm(B96,C96,[1]!encode_PVT(gamma_gas_,gamma_oil_,gamma_wat_,Rsb_,Pb_,Tres_,Bob_,muob_))</f>
        <v>1.945242760750792E-4</v>
      </c>
      <c r="P96" s="20">
        <f>[1]!PVT_ST_watgas_Nm(B96,C96,[1]!encode_PVT(gamma_gas_,gamma_oil_,gamma_wat_,Rsb_,Pb_,Tres_,Bob_,muob_))</f>
        <v>2.2387211385683402E-2</v>
      </c>
      <c r="Q96" s="29">
        <f>[1]!PVT_cp_oil_JkgC(B96,C96,[1]!encode_PVT(gamma_gas_,gamma_oil_,gamma_wat_,Rsb_,Pb_,Tres_,Bob_,muob_))</f>
        <v>2561.5</v>
      </c>
      <c r="R96" s="29">
        <f>[1]!PVT_cp_gas_JkgC(B96,C96,[1]!encode_PVT(gamma_gas_,gamma_oil_,gamma_wat_,Rsb_,Pb_,Tres_,Bob_,muob_))</f>
        <v>2255.6279746367131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3.3670312702116318E-5</v>
      </c>
      <c r="U96" s="30">
        <f>[1]!PVT_compressibility_oil_1atm(B96,C96,[1]!encode_PVT(gamma_gas_,gamma_oil_,gamma_wat_,Rsb_,Pb_,Tres_,Bob_,muob_))</f>
        <v>9.0957004830917896E-5</v>
      </c>
      <c r="V96" s="30">
        <f>[1]!PVT_compressibility_gas_1atm(B96,C96,[1]!encode_PVT(gamma_gas_,gamma_oil_,gamma_wat_,Rsb_,Pb_,Tres_,Bob_,muob_))</f>
        <v>6.8118786493963292E-4</v>
      </c>
    </row>
    <row r="100" spans="15:15" x14ac:dyDescent="0.25">
      <c r="O100">
        <f>O98</f>
        <v>0</v>
      </c>
    </row>
    <row r="155" spans="11:11" x14ac:dyDescent="0.25">
      <c r="K155" t="s">
        <v>5</v>
      </c>
    </row>
    <row r="166" spans="11:11" x14ac:dyDescent="0.25">
      <c r="K166" s="3"/>
    </row>
  </sheetData>
  <dataConsolidate link="1"/>
  <mergeCells count="11">
    <mergeCell ref="B21:C21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2021-04-10T12:06:13Z</dcterms:modified>
</cp:coreProperties>
</file>