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BE17D0BD-9E8F-45B2-A669-FB4BD1A96B53}" xr6:coauthVersionLast="45" xr6:coauthVersionMax="45" xr10:uidLastSave="{00000000-0000-0000-0000-000000000000}"/>
  <bookViews>
    <workbookView xWindow="-38520" yWindow="-120" windowWidth="38640" windowHeight="21840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exercise_PVT!$C$18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exercise_PVT!$C$11:$C$19</definedName>
    <definedName name="input_1" localSheetId="0">exercise_PVT!$B$27:$C$52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exercise_PVT!$C$19</definedName>
    <definedName name="Notes" localSheetId="0">exercise_PVT!$B$6</definedName>
    <definedName name="output_0" localSheetId="0">exercise_PVT!$D$27:$P$52</definedName>
    <definedName name="Pb_" localSheetId="0">exercise_PVT!$C$16</definedName>
    <definedName name="PVT_str_" localSheetId="0">exercise_PVT!$C$23</definedName>
    <definedName name="Rp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8" i="113" l="1"/>
  <c r="M43" i="113"/>
  <c r="M32" i="113"/>
  <c r="M44" i="113"/>
  <c r="M33" i="113"/>
  <c r="M45" i="113"/>
  <c r="M34" i="113"/>
  <c r="M46" i="113"/>
  <c r="M35" i="113"/>
  <c r="M48" i="113"/>
  <c r="M37" i="113"/>
  <c r="M49" i="113"/>
  <c r="M42" i="113"/>
  <c r="M47" i="113"/>
  <c r="M36" i="113"/>
  <c r="M41" i="113"/>
  <c r="M38" i="113"/>
  <c r="M50" i="113"/>
  <c r="M39" i="113"/>
  <c r="M51" i="113"/>
  <c r="M40" i="113"/>
  <c r="M52" i="113"/>
  <c r="M29" i="113"/>
  <c r="M30" i="113"/>
  <c r="M31" i="113"/>
  <c r="M27" i="113"/>
  <c r="E17" i="113" l="1"/>
  <c r="E16" i="113"/>
  <c r="E15" i="113"/>
  <c r="E14" i="113"/>
  <c r="E13" i="113"/>
  <c r="E12" i="113"/>
  <c r="E11" i="113"/>
  <c r="F35" i="113"/>
  <c r="K51" i="113"/>
  <c r="D45" i="113"/>
  <c r="E37" i="113"/>
  <c r="I31" i="113"/>
  <c r="I36" i="113"/>
  <c r="I49" i="113"/>
  <c r="D51" i="113"/>
  <c r="H28" i="113"/>
  <c r="D30" i="113"/>
  <c r="E52" i="113"/>
  <c r="I48" i="113"/>
  <c r="K30" i="113"/>
  <c r="D47" i="113"/>
  <c r="E29" i="113"/>
  <c r="E48" i="113"/>
  <c r="H51" i="113"/>
  <c r="H52" i="113"/>
  <c r="G42" i="113"/>
  <c r="K33" i="113"/>
  <c r="K49" i="113"/>
  <c r="J39" i="113"/>
  <c r="J37" i="113"/>
  <c r="E41" i="113"/>
  <c r="K46" i="113"/>
  <c r="D35" i="113"/>
  <c r="E36" i="113"/>
  <c r="H36" i="113"/>
  <c r="D49" i="113"/>
  <c r="D29" i="113"/>
  <c r="D31" i="113"/>
  <c r="I51" i="113"/>
  <c r="E32" i="113"/>
  <c r="H35" i="113"/>
  <c r="J50" i="113"/>
  <c r="E35" i="113"/>
  <c r="K29" i="113"/>
  <c r="F34" i="113"/>
  <c r="H32" i="113"/>
  <c r="F52" i="113"/>
  <c r="K38" i="113"/>
  <c r="F48" i="113"/>
  <c r="F30" i="113"/>
  <c r="E43" i="113"/>
  <c r="D33" i="113"/>
  <c r="I43" i="113"/>
  <c r="I41" i="113"/>
  <c r="K31" i="113"/>
  <c r="G51" i="113"/>
  <c r="D32" i="113"/>
  <c r="J41" i="113"/>
  <c r="H46" i="113"/>
  <c r="J33" i="113"/>
  <c r="D39" i="113"/>
  <c r="F38" i="113"/>
  <c r="J30" i="113"/>
  <c r="G40" i="113"/>
  <c r="H30" i="113"/>
  <c r="E42" i="113"/>
  <c r="J52" i="113"/>
  <c r="G48" i="113"/>
  <c r="K43" i="113"/>
  <c r="I29" i="113"/>
  <c r="H49" i="113"/>
  <c r="E38" i="113"/>
  <c r="G35" i="113"/>
  <c r="I42" i="113"/>
  <c r="K32" i="113"/>
  <c r="I33" i="113"/>
  <c r="G52" i="113"/>
  <c r="I28" i="113"/>
  <c r="H42" i="113"/>
  <c r="E40" i="113"/>
  <c r="K44" i="113"/>
  <c r="H37" i="113"/>
  <c r="D34" i="113"/>
  <c r="G41" i="113"/>
  <c r="G32" i="113"/>
  <c r="H33" i="113"/>
  <c r="H38" i="113"/>
  <c r="G37" i="113"/>
  <c r="K36" i="113"/>
  <c r="I40" i="113"/>
  <c r="K42" i="113"/>
  <c r="F32" i="113"/>
  <c r="G47" i="113"/>
  <c r="F50" i="113"/>
  <c r="C23" i="113"/>
  <c r="N36" i="113" a="1"/>
  <c r="I39" i="113"/>
  <c r="G33" i="113"/>
  <c r="P52" i="113" a="1"/>
  <c r="K28" i="113"/>
  <c r="D44" i="113"/>
  <c r="I35" i="113"/>
  <c r="D28" i="113"/>
  <c r="P47" i="113" a="1"/>
  <c r="D42" i="113"/>
  <c r="F49" i="113"/>
  <c r="P33" i="113" a="1"/>
  <c r="F44" i="113"/>
  <c r="P30" i="113" a="1"/>
  <c r="K47" i="113"/>
  <c r="K27" i="113"/>
  <c r="L48" i="113"/>
  <c r="D38" i="113"/>
  <c r="F45" i="113"/>
  <c r="G44" i="113"/>
  <c r="K39" i="113"/>
  <c r="J43" i="113"/>
  <c r="L50" i="113"/>
  <c r="E44" i="113"/>
  <c r="N47" i="113" a="1"/>
  <c r="Q52" i="113" a="1"/>
  <c r="R42" i="113" a="1"/>
  <c r="Q30" i="113" a="1"/>
  <c r="Q41" i="113" a="1"/>
  <c r="S52" i="113" a="1"/>
  <c r="S32" i="113" a="1"/>
  <c r="T35" i="113" a="1"/>
  <c r="T44" i="113" a="1"/>
  <c r="U40" i="113" a="1"/>
  <c r="U30" i="113" a="1"/>
  <c r="U35" i="113" a="1"/>
  <c r="U43" i="113" a="1"/>
  <c r="O45" i="113" a="1"/>
  <c r="J29" i="113"/>
  <c r="U47" i="113" a="1"/>
  <c r="H41" i="113"/>
  <c r="O47" i="113" a="1"/>
  <c r="E46" i="113"/>
  <c r="O43" i="113" a="1"/>
  <c r="P51" i="113" a="1"/>
  <c r="J44" i="113"/>
  <c r="L51" i="113"/>
  <c r="H43" i="113"/>
  <c r="O46" i="113" a="1"/>
  <c r="O38" i="113" a="1"/>
  <c r="F51" i="113"/>
  <c r="F33" i="113"/>
  <c r="F28" i="113"/>
  <c r="K50" i="113"/>
  <c r="O27" i="113" a="1"/>
  <c r="H39" i="113"/>
  <c r="P29" i="113" a="1"/>
  <c r="N35" i="113" a="1"/>
  <c r="I44" i="113"/>
  <c r="F29" i="113"/>
  <c r="D52" i="113"/>
  <c r="K37" i="113"/>
  <c r="J27" i="113"/>
  <c r="F46" i="113"/>
  <c r="E28" i="113"/>
  <c r="K48" i="113"/>
  <c r="Q49" i="113" a="1"/>
  <c r="R39" i="113" a="1"/>
  <c r="R50" i="113" a="1"/>
  <c r="Q38" i="113" a="1"/>
  <c r="S46" i="113" a="1"/>
  <c r="S43" i="113" a="1"/>
  <c r="T52" i="113" a="1"/>
  <c r="T43" i="113" a="1"/>
  <c r="U51" i="113" a="1"/>
  <c r="U28" i="113" a="1"/>
  <c r="V34" i="113" a="1"/>
  <c r="V31" i="113" a="1"/>
  <c r="V52" i="113" a="1"/>
  <c r="U33" i="113" a="1"/>
  <c r="V46" i="113" a="1"/>
  <c r="H50" i="113"/>
  <c r="D40" i="113"/>
  <c r="L41" i="113"/>
  <c r="T38" i="113" a="1"/>
  <c r="F42" i="113"/>
  <c r="D36" i="113"/>
  <c r="P49" i="113" a="1"/>
  <c r="E30" i="113"/>
  <c r="G45" i="113"/>
  <c r="O41" i="113" a="1"/>
  <c r="E33" i="113"/>
  <c r="L35" i="113"/>
  <c r="H27" i="113"/>
  <c r="J42" i="113"/>
  <c r="L32" i="113"/>
  <c r="F27" i="113"/>
  <c r="G50" i="113"/>
  <c r="D41" i="113"/>
  <c r="K34" i="113"/>
  <c r="P36" i="113" a="1"/>
  <c r="J28" i="113"/>
  <c r="J38" i="113"/>
  <c r="K52" i="113"/>
  <c r="E31" i="113"/>
  <c r="G46" i="113"/>
  <c r="L38" i="113"/>
  <c r="D43" i="113"/>
  <c r="L42" i="113"/>
  <c r="E50" i="113"/>
  <c r="O44" i="113" a="1"/>
  <c r="G1" i="113"/>
  <c r="Q46" i="113" a="1"/>
  <c r="R36" i="113" a="1"/>
  <c r="R47" i="113" a="1"/>
  <c r="Q35" i="113" a="1"/>
  <c r="S40" i="113" a="1"/>
  <c r="S37" i="113" a="1"/>
  <c r="T40" i="113" a="1"/>
  <c r="T37" i="113" a="1"/>
  <c r="V28" i="113" a="1"/>
  <c r="V39" i="113" a="1"/>
  <c r="L43" i="113"/>
  <c r="G31" i="113"/>
  <c r="H45" i="113"/>
  <c r="R52" i="113" a="1"/>
  <c r="H47" i="113"/>
  <c r="O39" i="113" a="1"/>
  <c r="P42" i="113" a="1"/>
  <c r="D46" i="113"/>
  <c r="K35" i="113"/>
  <c r="N31" i="113" a="1"/>
  <c r="F31" i="113"/>
  <c r="H34" i="113"/>
  <c r="G43" i="113"/>
  <c r="I50" i="113"/>
  <c r="J36" i="113"/>
  <c r="H44" i="113"/>
  <c r="G34" i="113"/>
  <c r="I27" i="113"/>
  <c r="E45" i="113"/>
  <c r="L44" i="113"/>
  <c r="G39" i="113"/>
  <c r="I46" i="113"/>
  <c r="G28" i="113"/>
  <c r="H40" i="113"/>
  <c r="G30" i="113"/>
  <c r="E51" i="113"/>
  <c r="D27" i="113"/>
  <c r="P44" i="113" a="1"/>
  <c r="E34" i="113"/>
  <c r="G49" i="113"/>
  <c r="P40" i="113" a="1"/>
  <c r="Q43" i="113" a="1"/>
  <c r="R33" i="113" a="1"/>
  <c r="R44" i="113" a="1"/>
  <c r="Q32" i="113" a="1"/>
  <c r="S34" i="113" a="1"/>
  <c r="S31" i="113" a="1"/>
  <c r="T34" i="113" a="1"/>
  <c r="T31" i="113" a="1"/>
  <c r="U50" i="113" a="1"/>
  <c r="V36" i="113" a="1"/>
  <c r="I32" i="113"/>
  <c r="O52" i="113" a="1"/>
  <c r="O34" i="113" a="1"/>
  <c r="S39" i="113" a="1"/>
  <c r="H31" i="113"/>
  <c r="J46" i="113"/>
  <c r="L30" i="113"/>
  <c r="E49" i="113"/>
  <c r="F37" i="113"/>
  <c r="F43" i="113"/>
  <c r="E47" i="113"/>
  <c r="D37" i="113"/>
  <c r="I52" i="113"/>
  <c r="I34" i="113"/>
  <c r="I37" i="113"/>
  <c r="J49" i="113"/>
  <c r="O29" i="113" a="1"/>
  <c r="K40" i="113"/>
  <c r="P50" i="113" a="1"/>
  <c r="P39" i="113" a="1"/>
  <c r="F47" i="113"/>
  <c r="I30" i="113"/>
  <c r="J34" i="113"/>
  <c r="J45" i="113"/>
  <c r="L34" i="113"/>
  <c r="D48" i="113"/>
  <c r="F36" i="113"/>
  <c r="P48" i="113" a="1"/>
  <c r="D50" i="113"/>
  <c r="G29" i="113"/>
  <c r="Q27" i="113" a="1"/>
  <c r="Q40" i="113" a="1"/>
  <c r="R30" i="113" a="1"/>
  <c r="R41" i="113" a="1"/>
  <c r="Q29" i="113" a="1"/>
  <c r="S28" i="113" a="1"/>
  <c r="S48" i="113" a="1"/>
  <c r="T28" i="113" a="1"/>
  <c r="T48" i="113" a="1"/>
  <c r="V44" i="113" a="1"/>
  <c r="L28" i="113"/>
  <c r="J51" i="113"/>
  <c r="J47" i="113"/>
  <c r="F41" i="113"/>
  <c r="S42" i="113" a="1"/>
  <c r="G27" i="113"/>
  <c r="I38" i="113"/>
  <c r="E27" i="113"/>
  <c r="H48" i="113"/>
  <c r="G38" i="113"/>
  <c r="O35" i="113" a="1"/>
  <c r="G36" i="113"/>
  <c r="N38" i="113" a="1"/>
  <c r="K45" i="113"/>
  <c r="J35" i="113"/>
  <c r="L37" i="113"/>
  <c r="I45" i="113"/>
  <c r="O28" i="113" a="1"/>
  <c r="J40" i="113"/>
  <c r="L47" i="113"/>
  <c r="E39" i="113"/>
  <c r="K41" i="113"/>
  <c r="J31" i="113"/>
  <c r="J48" i="113"/>
  <c r="F40" i="113"/>
  <c r="N39" i="113" a="1"/>
  <c r="I47" i="113"/>
  <c r="H29" i="113"/>
  <c r="P37" i="113" a="1"/>
  <c r="F39" i="113"/>
  <c r="N48" i="113" a="1"/>
  <c r="R46" i="113" a="1"/>
  <c r="Q34" i="113" a="1"/>
  <c r="Q51" i="113" a="1"/>
  <c r="R35" i="113" a="1"/>
  <c r="R34" i="113" a="1"/>
  <c r="S33" i="113" a="1"/>
  <c r="S36" i="113" a="1"/>
  <c r="T51" i="113" a="1"/>
  <c r="T36" i="113" a="1"/>
  <c r="U32" i="113" a="1"/>
  <c r="U41" i="113" a="1"/>
  <c r="V32" i="113" a="1"/>
  <c r="V42" i="113" a="1"/>
  <c r="R29" i="113" a="1"/>
  <c r="S49" i="113" a="1"/>
  <c r="T32" i="113" a="1"/>
  <c r="U31" i="113" a="1"/>
  <c r="V49" i="113" a="1"/>
  <c r="L27" i="113"/>
  <c r="J32" i="113"/>
  <c r="U38" i="113" a="1"/>
  <c r="Q36" i="113" a="1"/>
  <c r="V27" i="113" a="1"/>
  <c r="U27" i="113" a="1"/>
  <c r="V29" i="113" a="1"/>
  <c r="V35" i="113" a="1"/>
  <c r="V50" i="113" a="1"/>
  <c r="U42" i="113" a="1"/>
  <c r="U36" i="113" a="1"/>
  <c r="T46" i="113" a="1"/>
  <c r="T33" i="113" a="1"/>
  <c r="T47" i="113" a="1"/>
  <c r="S38" i="113" a="1"/>
  <c r="S29" i="113" a="1"/>
  <c r="Q44" i="113" a="1"/>
  <c r="Q33" i="113" a="1"/>
  <c r="R45" i="113" a="1"/>
  <c r="R28" i="113" a="1"/>
  <c r="P32" i="113" a="1"/>
  <c r="P41" i="113" a="1"/>
  <c r="N45" i="113" a="1"/>
  <c r="L36" i="113"/>
  <c r="O36" i="113" a="1"/>
  <c r="N34" i="113" a="1"/>
  <c r="N49" i="113" a="1"/>
  <c r="O48" i="113" a="1"/>
  <c r="N43" i="113" a="1"/>
  <c r="P28" i="113" a="1"/>
  <c r="P45" i="113" a="1"/>
  <c r="N46" i="113" a="1"/>
  <c r="T42" i="113" a="1"/>
  <c r="R49" i="113" a="1"/>
  <c r="P31" i="113" a="1"/>
  <c r="U48" i="113" a="1"/>
  <c r="U45" i="113" a="1"/>
  <c r="V41" i="113" a="1"/>
  <c r="V45" i="113" a="1"/>
  <c r="U37" i="113" a="1"/>
  <c r="U39" i="113" a="1"/>
  <c r="T41" i="113" a="1"/>
  <c r="T39" i="113" a="1"/>
  <c r="T27" i="113" a="1"/>
  <c r="S44" i="113" a="1"/>
  <c r="S41" i="113" a="1"/>
  <c r="Q47" i="113" a="1"/>
  <c r="Q39" i="113" a="1"/>
  <c r="R48" i="113" a="1"/>
  <c r="R31" i="113" a="1"/>
  <c r="N41" i="113" a="1"/>
  <c r="N50" i="113" a="1"/>
  <c r="P27" i="113" a="1"/>
  <c r="L29" i="113"/>
  <c r="O32" i="113" a="1"/>
  <c r="O49" i="113" a="1"/>
  <c r="N44" i="113" a="1"/>
  <c r="N52" i="113" a="1"/>
  <c r="P43" i="113" a="1"/>
  <c r="N28" i="113" a="1"/>
  <c r="V48" i="113" a="1"/>
  <c r="R38" i="113" a="1"/>
  <c r="N40" i="113" a="1"/>
  <c r="U44" i="113" a="1"/>
  <c r="V33" i="113" a="1"/>
  <c r="V43" i="113" a="1"/>
  <c r="V47" i="113" a="1"/>
  <c r="V37" i="113" a="1"/>
  <c r="U49" i="113" a="1"/>
  <c r="U52" i="113" a="1"/>
  <c r="T29" i="113" a="1"/>
  <c r="T49" i="113" a="1"/>
  <c r="S27" i="113" a="1"/>
  <c r="S50" i="113" a="1"/>
  <c r="S47" i="113" a="1"/>
  <c r="Q50" i="113" a="1"/>
  <c r="Q42" i="113" a="1"/>
  <c r="R51" i="113" a="1"/>
  <c r="R37" i="113" a="1"/>
  <c r="L46" i="113"/>
  <c r="O51" i="113" a="1"/>
  <c r="L52" i="113"/>
  <c r="O50" i="113" a="1"/>
  <c r="N51" i="113" a="1"/>
  <c r="N32" i="113" a="1"/>
  <c r="O42" i="113" a="1"/>
  <c r="O31" i="113" a="1"/>
  <c r="N29" i="113" a="1"/>
  <c r="L49" i="113"/>
  <c r="P35" i="113" a="1"/>
  <c r="Q28" i="113" a="1"/>
  <c r="R40" i="113" a="1"/>
  <c r="L40" i="113"/>
  <c r="L45" i="113"/>
  <c r="N33" i="113" a="1"/>
  <c r="N42" i="113" a="1"/>
  <c r="N37" i="113" a="1"/>
  <c r="O37" i="113" a="1"/>
  <c r="P34" i="113" a="1"/>
  <c r="O33" i="113" a="1"/>
  <c r="O30" i="113" a="1"/>
  <c r="N27" i="113" a="1"/>
  <c r="V38" i="113" a="1"/>
  <c r="Q37" i="113" a="1"/>
  <c r="V40" i="113" a="1"/>
  <c r="U34" i="113" a="1"/>
  <c r="T45" i="113" a="1"/>
  <c r="S35" i="113" a="1"/>
  <c r="S45" i="113" a="1"/>
  <c r="Q45" i="113" a="1"/>
  <c r="V30" i="113" a="1"/>
  <c r="V51" i="113" a="1"/>
  <c r="U29" i="113" a="1"/>
  <c r="U46" i="113" a="1"/>
  <c r="T30" i="113" a="1"/>
  <c r="T50" i="113" a="1"/>
  <c r="S30" i="113" a="1"/>
  <c r="S51" i="113" a="1"/>
  <c r="R27" i="113" a="1"/>
  <c r="R32" i="113" a="1"/>
  <c r="Q48" i="113" a="1"/>
  <c r="Q31" i="113" a="1"/>
  <c r="R43" i="113" a="1"/>
  <c r="N30" i="113" a="1"/>
  <c r="O40" i="113" a="1"/>
  <c r="L33" i="113"/>
  <c r="L39" i="113"/>
  <c r="L31" i="113"/>
  <c r="P38" i="113" a="1"/>
  <c r="P46" i="113" a="1"/>
  <c r="U27" i="113" l="1"/>
  <c r="V27" i="113"/>
  <c r="V52" i="113"/>
  <c r="V29" i="113"/>
  <c r="V35" i="113"/>
  <c r="V41" i="113"/>
  <c r="V47" i="113"/>
  <c r="V40" i="113"/>
  <c r="V30" i="113"/>
  <c r="V42" i="113"/>
  <c r="V48" i="113"/>
  <c r="V39" i="113"/>
  <c r="V36" i="113"/>
  <c r="V33" i="113"/>
  <c r="V31" i="113"/>
  <c r="V43" i="113"/>
  <c r="V50" i="113"/>
  <c r="V45" i="113"/>
  <c r="V37" i="113"/>
  <c r="V49" i="113"/>
  <c r="V51" i="113"/>
  <c r="V32" i="113"/>
  <c r="V38" i="113"/>
  <c r="V44" i="113"/>
  <c r="V46" i="113"/>
  <c r="V28" i="113"/>
  <c r="V34" i="113"/>
  <c r="U35" i="113"/>
  <c r="U42" i="113"/>
  <c r="U37" i="113"/>
  <c r="U49" i="113"/>
  <c r="U34" i="113"/>
  <c r="U29" i="113"/>
  <c r="U41" i="113"/>
  <c r="U47" i="113"/>
  <c r="U48" i="113"/>
  <c r="U43" i="113"/>
  <c r="U45" i="113"/>
  <c r="U28" i="113"/>
  <c r="U30" i="113"/>
  <c r="U36" i="113"/>
  <c r="U39" i="113"/>
  <c r="U52" i="113"/>
  <c r="U31" i="113"/>
  <c r="U46" i="113"/>
  <c r="U32" i="113"/>
  <c r="U38" i="113"/>
  <c r="U44" i="113"/>
  <c r="U50" i="113"/>
  <c r="U33" i="113"/>
  <c r="U51" i="113"/>
  <c r="U40" i="113"/>
  <c r="T46" i="113"/>
  <c r="T41" i="113"/>
  <c r="T29" i="113"/>
  <c r="T45" i="113"/>
  <c r="T30" i="113"/>
  <c r="T36" i="113"/>
  <c r="T42" i="113"/>
  <c r="T48" i="113"/>
  <c r="T31" i="113"/>
  <c r="T37" i="113"/>
  <c r="T43" i="113"/>
  <c r="T44" i="113"/>
  <c r="T33" i="113"/>
  <c r="T39" i="113"/>
  <c r="T49" i="113"/>
  <c r="T32" i="113"/>
  <c r="T50" i="113"/>
  <c r="T51" i="113"/>
  <c r="T38" i="113"/>
  <c r="T28" i="113"/>
  <c r="T34" i="113"/>
  <c r="T40" i="113"/>
  <c r="T52" i="113"/>
  <c r="T35" i="113"/>
  <c r="T47" i="113"/>
  <c r="T27" i="113"/>
  <c r="S27" i="113"/>
  <c r="S45" i="113"/>
  <c r="S47" i="113"/>
  <c r="S41" i="113"/>
  <c r="S29" i="113"/>
  <c r="S52" i="113"/>
  <c r="S46" i="113"/>
  <c r="S40" i="113"/>
  <c r="S34" i="113"/>
  <c r="S28" i="113"/>
  <c r="S39" i="113"/>
  <c r="S33" i="113"/>
  <c r="S51" i="113"/>
  <c r="S49" i="113"/>
  <c r="S50" i="113"/>
  <c r="S44" i="113"/>
  <c r="S38" i="113"/>
  <c r="S32" i="113"/>
  <c r="S43" i="113"/>
  <c r="S37" i="113"/>
  <c r="S31" i="113"/>
  <c r="S48" i="113"/>
  <c r="S42" i="113"/>
  <c r="S36" i="113"/>
  <c r="S30" i="113"/>
  <c r="S35" i="113"/>
  <c r="R27" i="113"/>
  <c r="R49" i="113"/>
  <c r="R46" i="113"/>
  <c r="R43" i="113"/>
  <c r="R40" i="113"/>
  <c r="R37" i="113"/>
  <c r="R31" i="113"/>
  <c r="R28" i="113"/>
  <c r="Q52" i="113"/>
  <c r="Q49" i="113"/>
  <c r="Q46" i="113"/>
  <c r="Q43" i="113"/>
  <c r="Q40" i="113"/>
  <c r="Q37" i="113"/>
  <c r="Q34" i="113"/>
  <c r="Q31" i="113"/>
  <c r="Q28" i="113"/>
  <c r="R51" i="113"/>
  <c r="R48" i="113"/>
  <c r="R45" i="113"/>
  <c r="R42" i="113"/>
  <c r="R39" i="113"/>
  <c r="R36" i="113"/>
  <c r="R33" i="113"/>
  <c r="R30" i="113"/>
  <c r="Q36" i="113"/>
  <c r="Q51" i="113"/>
  <c r="Q48" i="113"/>
  <c r="Q45" i="113"/>
  <c r="Q42" i="113"/>
  <c r="Q39" i="113"/>
  <c r="Q33" i="113"/>
  <c r="Q30" i="113"/>
  <c r="R50" i="113"/>
  <c r="R47" i="113"/>
  <c r="R44" i="113"/>
  <c r="R41" i="113"/>
  <c r="R38" i="113"/>
  <c r="R35" i="113"/>
  <c r="R32" i="113"/>
  <c r="R29" i="113"/>
  <c r="Q50" i="113"/>
  <c r="Q47" i="113"/>
  <c r="Q44" i="113"/>
  <c r="Q41" i="113"/>
  <c r="Q38" i="113"/>
  <c r="Q35" i="113"/>
  <c r="Q32" i="113"/>
  <c r="Q29" i="113"/>
  <c r="R52" i="113"/>
  <c r="R34" i="113"/>
  <c r="Q27" i="113"/>
  <c r="N27" i="113"/>
  <c r="N50" i="113"/>
  <c r="N35" i="113"/>
  <c r="P39" i="113"/>
  <c r="N32" i="113"/>
  <c r="O38" i="113"/>
  <c r="P46" i="113"/>
  <c r="P51" i="113"/>
  <c r="P42" i="113"/>
  <c r="P45" i="113"/>
  <c r="O51" i="113"/>
  <c r="N30" i="113"/>
  <c r="N29" i="113"/>
  <c r="P47" i="113"/>
  <c r="O45" i="113"/>
  <c r="P52" i="113"/>
  <c r="P49" i="113"/>
  <c r="O34" i="113"/>
  <c r="N47" i="113"/>
  <c r="P37" i="113"/>
  <c r="P33" i="113"/>
  <c r="N33" i="113"/>
  <c r="N45" i="113"/>
  <c r="P36" i="113"/>
  <c r="N37" i="113"/>
  <c r="N49" i="113"/>
  <c r="N31" i="113"/>
  <c r="P28" i="113"/>
  <c r="O47" i="113"/>
  <c r="O27" i="113"/>
  <c r="P38" i="113"/>
  <c r="O49" i="113"/>
  <c r="N38" i="113"/>
  <c r="N44" i="113"/>
  <c r="N36" i="113"/>
  <c r="P40" i="113"/>
  <c r="P32" i="113"/>
  <c r="P48" i="113"/>
  <c r="O35" i="113"/>
  <c r="N39" i="113"/>
  <c r="N51" i="113"/>
  <c r="P30" i="113"/>
  <c r="O28" i="113"/>
  <c r="O31" i="113"/>
  <c r="P35" i="113"/>
  <c r="N46" i="113"/>
  <c r="O48" i="113"/>
  <c r="N41" i="113"/>
  <c r="P44" i="113"/>
  <c r="P31" i="113"/>
  <c r="N40" i="113"/>
  <c r="N42" i="113"/>
  <c r="O36" i="113"/>
  <c r="O52" i="113"/>
  <c r="P34" i="113"/>
  <c r="O41" i="113"/>
  <c r="O30" i="113"/>
  <c r="N28" i="113"/>
  <c r="O29" i="113"/>
  <c r="P43" i="113"/>
  <c r="N48" i="113"/>
  <c r="P41" i="113"/>
  <c r="O37" i="113"/>
  <c r="P27" i="113"/>
  <c r="P29" i="113"/>
  <c r="P50" i="113"/>
  <c r="O32" i="113"/>
  <c r="O46" i="113"/>
  <c r="N43" i="113"/>
  <c r="O43" i="113"/>
  <c r="O39" i="113"/>
  <c r="O33" i="113"/>
  <c r="O44" i="113"/>
  <c r="O40" i="113"/>
  <c r="N34" i="113"/>
  <c r="O50" i="113"/>
  <c r="O42" i="113"/>
  <c r="N52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<sst xmlns="http://schemas.openxmlformats.org/spreadsheetml/2006/main" count="68" uniqueCount="56">
  <si>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</si>
  <si>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</si>
  <si>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</si>
  <si>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</si>
  <si>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</si>
  <si>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</si>
  <si>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</si>
  <si>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</si>
  <si>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</si>
  <si>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</si>
  <si>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</si>
  <si>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</si>
  <si>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</si>
  <si>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</si>
  <si>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</si>
  <si>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</si>
  <si>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</si>
  <si>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</si>
  <si>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</si>
  <si>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</si>
  <si>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</si>
  <si>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</si>
  <si>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</si>
  <si>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</si>
  <si>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</si>
  <si>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</si>
  <si>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</si>
  <si>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</si>
  <si>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</si>
  <si>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</si>
  <si>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</si>
  <si>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</si>
  <si>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</si>
  <si>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</si>
  <si>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</si>
  <si>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</si>
  <si>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</si>
  <si>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</si>
  <si>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</si>
  <si>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</si>
  <si>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</si>
  <si>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</si>
  <si>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</si>
  <si>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</si>
  <si>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</si>
  <si>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</si>
  <si>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</si>
  <si>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</si>
  <si>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rnt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</si>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</sst>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0" xfId="0" applyFill="1" applyAlignment="1">
      <alignment wrapText="1"/>
    </xf>
    <xf numFmtId="0" fontId="0" fillId="4" borderId="0" xfId="0" applyFill="1"/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4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3" borderId="6" xfId="0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exercise_PVT!$D$26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exercise_PVT!$D$27:$D$52</c:f>
              <c:numCache>
                <c:formatCode>0</c:formatCode>
                <c:ptCount val="26"/>
                <c:pt idx="0">
                  <c:v>0.27348943697138201</c:v>
                </c:pt>
                <c:pt idx="1">
                  <c:v>1.8988927763676831</c:v>
                </c:pt>
                <c:pt idx="2">
                  <c:v>4.3746222464887934</c:v>
                </c:pt>
                <c:pt idx="3">
                  <c:v>10.078146611354052</c:v>
                </c:pt>
                <c:pt idx="4">
                  <c:v>23.217785078807577</c:v>
                </c:pt>
                <c:pt idx="5">
                  <c:v>37.829853777030927</c:v>
                </c:pt>
                <c:pt idx="6">
                  <c:v>53.488559430003505</c:v>
                </c:pt>
                <c:pt idx="7">
                  <c:v>69.974621365274885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B8-4871-AA5E-7DD7B9C7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exercise_PVT!$F$26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exercise_PVT!$F$27:$F$52</c:f>
              <c:numCache>
                <c:formatCode>0</c:formatCode>
                <c:ptCount val="26"/>
                <c:pt idx="0">
                  <c:v>3.4463445519065772</c:v>
                </c:pt>
                <c:pt idx="1">
                  <c:v>3.2336371116505358</c:v>
                </c:pt>
                <c:pt idx="2">
                  <c:v>2.9618622051682864</c:v>
                </c:pt>
                <c:pt idx="3">
                  <c:v>2.4986426136130651</c:v>
                </c:pt>
                <c:pt idx="4">
                  <c:v>1.8766576953859042</c:v>
                </c:pt>
                <c:pt idx="5">
                  <c:v>1.5004533256352788</c:v>
                </c:pt>
                <c:pt idx="6">
                  <c:v>1.2534060565552232</c:v>
                </c:pt>
                <c:pt idx="7">
                  <c:v>1.0798118334263505</c:v>
                </c:pt>
                <c:pt idx="8">
                  <c:v>1.0143832116351985</c:v>
                </c:pt>
                <c:pt idx="9">
                  <c:v>1.0516696946026671</c:v>
                </c:pt>
                <c:pt idx="10">
                  <c:v>1.0946410836040577</c:v>
                </c:pt>
                <c:pt idx="11">
                  <c:v>1.1427623596214613</c:v>
                </c:pt>
                <c:pt idx="12">
                  <c:v>1.1956079698529822</c:v>
                </c:pt>
                <c:pt idx="13">
                  <c:v>1.2528187080253692</c:v>
                </c:pt>
                <c:pt idx="14">
                  <c:v>1.3140740183946702</c:v>
                </c:pt>
                <c:pt idx="15">
                  <c:v>1.379073697959414</c:v>
                </c:pt>
                <c:pt idx="16">
                  <c:v>1.4475256460716339</c:v>
                </c:pt>
                <c:pt idx="17">
                  <c:v>1.5191376962112857</c:v>
                </c:pt>
                <c:pt idx="18">
                  <c:v>1.5936123222926786</c:v>
                </c:pt>
                <c:pt idx="19">
                  <c:v>1.6706434440866624</c:v>
                </c:pt>
                <c:pt idx="20">
                  <c:v>1.7499148114006242</c:v>
                </c:pt>
                <c:pt idx="21">
                  <c:v>1.8310996013758243</c:v>
                </c:pt>
                <c:pt idx="22">
                  <c:v>1.9138609593794538</c:v>
                </c:pt>
                <c:pt idx="23">
                  <c:v>1.9978532751006945</c:v>
                </c:pt>
                <c:pt idx="24">
                  <c:v>2.0827240254263457</c:v>
                </c:pt>
                <c:pt idx="25">
                  <c:v>2.1681160427855897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exercise_PVT!$H$26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exercise_PVT!$H$27:$H$52</c:f>
              <c:numCache>
                <c:formatCode>0.00</c:formatCode>
                <c:ptCount val="26"/>
                <c:pt idx="0">
                  <c:v>0.33586886209810729</c:v>
                </c:pt>
                <c:pt idx="1">
                  <c:v>0.3366698582445789</c:v>
                </c:pt>
                <c:pt idx="2">
                  <c:v>0.33768124309210917</c:v>
                </c:pt>
                <c:pt idx="3">
                  <c:v>0.33973781166863876</c:v>
                </c:pt>
                <c:pt idx="4">
                  <c:v>0.34398614434757446</c:v>
                </c:pt>
                <c:pt idx="5">
                  <c:v>0.34841473772767878</c:v>
                </c:pt>
                <c:pt idx="6">
                  <c:v>0.35302359180895171</c:v>
                </c:pt>
                <c:pt idx="7">
                  <c:v>0.3578127065913933</c:v>
                </c:pt>
                <c:pt idx="8">
                  <c:v>0.36278208207500345</c:v>
                </c:pt>
                <c:pt idx="9">
                  <c:v>0.36793171825978227</c:v>
                </c:pt>
                <c:pt idx="10">
                  <c:v>0.3732616151457297</c:v>
                </c:pt>
                <c:pt idx="11">
                  <c:v>0.37877177273284574</c:v>
                </c:pt>
                <c:pt idx="12">
                  <c:v>0.38446219102113038</c:v>
                </c:pt>
                <c:pt idx="13">
                  <c:v>0.39033287001058364</c:v>
                </c:pt>
                <c:pt idx="14">
                  <c:v>0.39638380970120551</c:v>
                </c:pt>
                <c:pt idx="15">
                  <c:v>0.40261501009299605</c:v>
                </c:pt>
                <c:pt idx="16">
                  <c:v>0.4090264711859552</c:v>
                </c:pt>
                <c:pt idx="17">
                  <c:v>0.4156181929800829</c:v>
                </c:pt>
                <c:pt idx="18">
                  <c:v>0.42239017547537927</c:v>
                </c:pt>
                <c:pt idx="19">
                  <c:v>0.42934241867184425</c:v>
                </c:pt>
                <c:pt idx="20">
                  <c:v>0.4364749225694779</c:v>
                </c:pt>
                <c:pt idx="21">
                  <c:v>0.4437876871682801</c:v>
                </c:pt>
                <c:pt idx="22">
                  <c:v>0.45128071246825097</c:v>
                </c:pt>
                <c:pt idx="23">
                  <c:v>0.45895399846939039</c:v>
                </c:pt>
                <c:pt idx="24">
                  <c:v>0.46680754517169848</c:v>
                </c:pt>
                <c:pt idx="25">
                  <c:v>0.47484135257517518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exercise_PVT!$G$26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exercise_PVT!$G$27:$G$52</c:f>
              <c:numCache>
                <c:formatCode>0.000</c:formatCode>
                <c:ptCount val="26"/>
                <c:pt idx="0">
                  <c:v>1.2105548644532123E-2</c:v>
                </c:pt>
                <c:pt idx="1">
                  <c:v>1.2152704989797817E-2</c:v>
                </c:pt>
                <c:pt idx="2">
                  <c:v>1.2232054201935603E-2</c:v>
                </c:pt>
                <c:pt idx="3">
                  <c:v>1.2434456281957959E-2</c:v>
                </c:pt>
                <c:pt idx="4">
                  <c:v>1.2984176826364345E-2</c:v>
                </c:pt>
                <c:pt idx="5">
                  <c:v>1.3731908321690887E-2</c:v>
                </c:pt>
                <c:pt idx="6">
                  <c:v>1.4696072111725578E-2</c:v>
                </c:pt>
                <c:pt idx="7">
                  <c:v>1.5875949307699977E-2</c:v>
                </c:pt>
                <c:pt idx="8">
                  <c:v>1.7240992045821735E-2</c:v>
                </c:pt>
                <c:pt idx="9">
                  <c:v>1.8739305276369276E-2</c:v>
                </c:pt>
                <c:pt idx="10">
                  <c:v>2.0314190014666292E-2</c:v>
                </c:pt>
                <c:pt idx="11">
                  <c:v>2.1917374342552566E-2</c:v>
                </c:pt>
                <c:pt idx="12">
                  <c:v>2.3514396112959614E-2</c:v>
                </c:pt>
                <c:pt idx="13">
                  <c:v>2.5083831869427847E-2</c:v>
                </c:pt>
                <c:pt idx="14">
                  <c:v>2.6613890827450862E-2</c:v>
                </c:pt>
                <c:pt idx="15">
                  <c:v>2.8098871526802589E-2</c:v>
                </c:pt>
                <c:pt idx="16">
                  <c:v>2.9536501483992422E-2</c:v>
                </c:pt>
                <c:pt idx="17">
                  <c:v>3.092626812710509E-2</c:v>
                </c:pt>
                <c:pt idx="18">
                  <c:v>3.2268505467152347E-2</c:v>
                </c:pt>
                <c:pt idx="19">
                  <c:v>3.3563960430461753E-2</c:v>
                </c:pt>
                <c:pt idx="20">
                  <c:v>3.4813626743034121E-2</c:v>
                </c:pt>
                <c:pt idx="21">
                  <c:v>3.6018709819299714E-2</c:v>
                </c:pt>
                <c:pt idx="22">
                  <c:v>3.7180644022582574E-2</c:v>
                </c:pt>
                <c:pt idx="23">
                  <c:v>3.8301121221605575E-2</c:v>
                </c:pt>
                <c:pt idx="24">
                  <c:v>3.9382111695183519E-2</c:v>
                </c:pt>
                <c:pt idx="25">
                  <c:v>4.0425870556863336E-2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exercise_PVT!$K$26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exercise_PVT!$K$27:$K$52</c:f>
              <c:numCache>
                <c:formatCode>0</c:formatCode>
                <c:ptCount val="26"/>
                <c:pt idx="0">
                  <c:v>829.05123087842594</c:v>
                </c:pt>
                <c:pt idx="1">
                  <c:v>828.45478161425683</c:v>
                </c:pt>
                <c:pt idx="2">
                  <c:v>827.52497108427281</c:v>
                </c:pt>
                <c:pt idx="3">
                  <c:v>825.29416628033573</c:v>
                </c:pt>
                <c:pt idx="4">
                  <c:v>819.77149727308722</c:v>
                </c:pt>
                <c:pt idx="5">
                  <c:v>813.17220185907354</c:v>
                </c:pt>
                <c:pt idx="6">
                  <c:v>805.74924817515318</c:v>
                </c:pt>
                <c:pt idx="7">
                  <c:v>797.69549994548436</c:v>
                </c:pt>
                <c:pt idx="8">
                  <c:v>794.62594961422019</c:v>
                </c:pt>
                <c:pt idx="9">
                  <c:v>798.07438539015709</c:v>
                </c:pt>
                <c:pt idx="10">
                  <c:v>800.67052956551095</c:v>
                </c:pt>
                <c:pt idx="11">
                  <c:v>802.69559012212665</c:v>
                </c:pt>
                <c:pt idx="12">
                  <c:v>804.31932563844362</c:v>
                </c:pt>
                <c:pt idx="13">
                  <c:v>805.65027929133635</c:v>
                </c:pt>
                <c:pt idx="14">
                  <c:v>806.76108957421798</c:v>
                </c:pt>
                <c:pt idx="15">
                  <c:v>807.70220212873573</c:v>
                </c:pt>
                <c:pt idx="16">
                  <c:v>808.50974377337582</c:v>
                </c:pt>
                <c:pt idx="17">
                  <c:v>809.21026625133493</c:v>
                </c:pt>
                <c:pt idx="18">
                  <c:v>809.82372129710234</c:v>
                </c:pt>
                <c:pt idx="19">
                  <c:v>810.36539135418798</c:v>
                </c:pt>
                <c:pt idx="20">
                  <c:v>810.84718000251269</c:v>
                </c:pt>
                <c:pt idx="21">
                  <c:v>811.27849684997352</c:v>
                </c:pt>
                <c:pt idx="22">
                  <c:v>811.66687817349941</c:v>
                </c:pt>
                <c:pt idx="23">
                  <c:v>812.01843100788574</c:v>
                </c:pt>
                <c:pt idx="24">
                  <c:v>812.33815662374559</c:v>
                </c:pt>
                <c:pt idx="25">
                  <c:v>812.63018995583343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exercise_PVT!$J$26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exercise_PVT!$J$27:$J$52</c:f>
              <c:numCache>
                <c:formatCode>0</c:formatCode>
                <c:ptCount val="26"/>
                <c:pt idx="0">
                  <c:v>970.56653980677311</c:v>
                </c:pt>
                <c:pt idx="1">
                  <c:v>970.6078507425874</c:v>
                </c:pt>
                <c:pt idx="2">
                  <c:v>970.66190643699338</c:v>
                </c:pt>
                <c:pt idx="3">
                  <c:v>970.77807803228427</c:v>
                </c:pt>
                <c:pt idx="4">
                  <c:v>971.04268997016459</c:v>
                </c:pt>
                <c:pt idx="5">
                  <c:v>971.35038666714604</c:v>
                </c:pt>
                <c:pt idx="6">
                  <c:v>971.70124991871342</c:v>
                </c:pt>
                <c:pt idx="7">
                  <c:v>972.09537309020902</c:v>
                </c:pt>
                <c:pt idx="8">
                  <c:v>972.53286117907339</c:v>
                </c:pt>
                <c:pt idx="9">
                  <c:v>973.01383088495345</c:v>
                </c:pt>
                <c:pt idx="10">
                  <c:v>973.53841068777274</c:v>
                </c:pt>
                <c:pt idx="11">
                  <c:v>974.10674093385262</c:v>
                </c:pt>
                <c:pt idx="12">
                  <c:v>974.71897393020072</c:v>
                </c:pt>
                <c:pt idx="13">
                  <c:v>975.37527404707998</c:v>
                </c:pt>
                <c:pt idx="14">
                  <c:v>976.07581782899126</c:v>
                </c:pt>
                <c:pt idx="15">
                  <c:v>976.82079411420705</c:v>
                </c:pt>
                <c:pt idx="16">
                  <c:v>977.61040416301159</c:v>
                </c:pt>
                <c:pt idx="17">
                  <c:v>978.4448617948093</c:v>
                </c:pt>
                <c:pt idx="18">
                  <c:v>979.32439353427742</c:v>
                </c:pt>
                <c:pt idx="19">
                  <c:v>980.24923876675155</c:v>
                </c:pt>
                <c:pt idx="20">
                  <c:v>981.21964990304559</c:v>
                </c:pt>
                <c:pt idx="21">
                  <c:v>982.23589255391971</c:v>
                </c:pt>
                <c:pt idx="22">
                  <c:v>983.29824571442282</c:v>
                </c:pt>
                <c:pt idx="23">
                  <c:v>984.4070019583562</c:v>
                </c:pt>
                <c:pt idx="24">
                  <c:v>985.56246764310936</c:v>
                </c:pt>
                <c:pt idx="25">
                  <c:v>986.76496312514394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exercise_PVT!$I$26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exercise_PVT!$I$27:$I$52</c:f>
              <c:numCache>
                <c:formatCode>0</c:formatCode>
                <c:ptCount val="26"/>
                <c:pt idx="0">
                  <c:v>0.80945877624739326</c:v>
                </c:pt>
                <c:pt idx="1">
                  <c:v>4.0777731313145678</c:v>
                </c:pt>
                <c:pt idx="2">
                  <c:v>8.2347583750332429</c:v>
                </c:pt>
                <c:pt idx="3">
                  <c:v>16.810606939469235</c:v>
                </c:pt>
                <c:pt idx="4">
                  <c:v>35.199473353007171</c:v>
                </c:pt>
                <c:pt idx="5">
                  <c:v>55.482279811094976</c:v>
                </c:pt>
                <c:pt idx="6">
                  <c:v>77.522405843046656</c:v>
                </c:pt>
                <c:pt idx="7">
                  <c:v>100.60690514626715</c:v>
                </c:pt>
                <c:pt idx="8">
                  <c:v>123.70202752423371</c:v>
                </c:pt>
                <c:pt idx="9">
                  <c:v>145.85007050714091</c:v>
                </c:pt>
                <c:pt idx="10">
                  <c:v>166.42130201910436</c:v>
                </c:pt>
                <c:pt idx="11">
                  <c:v>185.14561059406719</c:v>
                </c:pt>
                <c:pt idx="12">
                  <c:v>202.01571438595934</c:v>
                </c:pt>
                <c:pt idx="13">
                  <c:v>217.16838075139015</c:v>
                </c:pt>
                <c:pt idx="14">
                  <c:v>230.79581933914827</c:v>
                </c:pt>
                <c:pt idx="15">
                  <c:v>243.09490745404341</c:v>
                </c:pt>
                <c:pt idx="16">
                  <c:v>254.24416166569722</c:v>
                </c:pt>
                <c:pt idx="17">
                  <c:v>264.3966703482634</c:v>
                </c:pt>
                <c:pt idx="18">
                  <c:v>273.68066579837409</c:v>
                </c:pt>
                <c:pt idx="19">
                  <c:v>282.20300222463175</c:v>
                </c:pt>
                <c:pt idx="20">
                  <c:v>290.05322260522149</c:v>
                </c:pt>
                <c:pt idx="21">
                  <c:v>297.3072486924587</c:v>
                </c:pt>
                <c:pt idx="22">
                  <c:v>304.03039572127034</c:v>
                </c:pt>
                <c:pt idx="23">
                  <c:v>310.27970534224994</c:v>
                </c:pt>
                <c:pt idx="24">
                  <c:v>316.10569647214157</c:v>
                </c:pt>
                <c:pt idx="25">
                  <c:v>321.55365623768205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exercise_PVT!$O$26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exercise_PVT!$O$27:$O$52</c:f>
              <c:numCache>
                <c:formatCode>0.000</c:formatCode>
                <c:ptCount val="26"/>
                <c:pt idx="0">
                  <c:v>6.5661875063976624E-2</c:v>
                </c:pt>
                <c:pt idx="1">
                  <c:v>6.2413684458147156E-2</c:v>
                </c:pt>
                <c:pt idx="2">
                  <c:v>5.8578466280318188E-2</c:v>
                </c:pt>
                <c:pt idx="3">
                  <c:v>5.1600552056456757E-2</c:v>
                </c:pt>
                <c:pt idx="4">
                  <c:v>4.0039352970392544E-2</c:v>
                </c:pt>
                <c:pt idx="5">
                  <c:v>3.106846191361785E-2</c:v>
                </c:pt>
                <c:pt idx="6">
                  <c:v>2.4107515583273419E-2</c:v>
                </c:pt>
                <c:pt idx="7">
                  <c:v>1.8706182147466801E-2</c:v>
                </c:pt>
                <c:pt idx="8">
                  <c:v>1.4515027453803352E-2</c:v>
                </c:pt>
                <c:pt idx="9">
                  <c:v>1.1262908717757576E-2</c:v>
                </c:pt>
                <c:pt idx="10">
                  <c:v>8.7394331969589574E-3</c:v>
                </c:pt>
                <c:pt idx="11">
                  <c:v>6.7813470319339365E-3</c:v>
                </c:pt>
                <c:pt idx="12">
                  <c:v>5.2619736922436943E-3</c:v>
                </c:pt>
                <c:pt idx="13">
                  <c:v>4.083018758290629E-3</c:v>
                </c:pt>
                <c:pt idx="14">
                  <c:v>3.1682108569122563E-3</c:v>
                </c:pt>
                <c:pt idx="15">
                  <c:v>2.458367357111765E-3</c:v>
                </c:pt>
                <c:pt idx="16">
                  <c:v>1.9075656057825508E-3</c:v>
                </c:pt>
                <c:pt idx="17">
                  <c:v>1.4801720051472031E-3</c:v>
                </c:pt>
                <c:pt idx="18">
                  <c:v>1.1485367308888457E-3</c:v>
                </c:pt>
                <c:pt idx="19">
                  <c:v>8.9120495294710614E-4</c:v>
                </c:pt>
                <c:pt idx="20">
                  <c:v>6.9152883560179268E-4</c:v>
                </c:pt>
                <c:pt idx="21">
                  <c:v>5.3659052150392835E-4</c:v>
                </c:pt>
                <c:pt idx="22">
                  <c:v>4.1636642312578559E-4</c:v>
                </c:pt>
                <c:pt idx="23">
                  <c:v>3.2307875625658353E-4</c:v>
                </c:pt>
                <c:pt idx="24">
                  <c:v>2.5069236361734056E-4</c:v>
                </c:pt>
                <c:pt idx="25">
                  <c:v>1.945242760750792E-4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exercise_PVT!$P$26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exercise_PVT!$P$27:$P$52</c:f>
              <c:numCache>
                <c:formatCode>0.000</c:formatCode>
                <c:ptCount val="26"/>
                <c:pt idx="0">
                  <c:v>6.4416926551517747E-2</c:v>
                </c:pt>
                <c:pt idx="1">
                  <c:v>6.3826348619054896E-2</c:v>
                </c:pt>
                <c:pt idx="2">
                  <c:v>6.3095734448019331E-2</c:v>
                </c:pt>
                <c:pt idx="3">
                  <c:v>6.1659500186148221E-2</c:v>
                </c:pt>
                <c:pt idx="4">
                  <c:v>5.8884365535558904E-2</c:v>
                </c:pt>
                <c:pt idx="5">
                  <c:v>5.6234132519034911E-2</c:v>
                </c:pt>
                <c:pt idx="6">
                  <c:v>5.3703179637025276E-2</c:v>
                </c:pt>
                <c:pt idx="7">
                  <c:v>5.1286138399136483E-2</c:v>
                </c:pt>
                <c:pt idx="8">
                  <c:v>4.8977881936844617E-2</c:v>
                </c:pt>
                <c:pt idx="9">
                  <c:v>4.6773514128719842E-2</c:v>
                </c:pt>
                <c:pt idx="10">
                  <c:v>4.4668359215096334E-2</c:v>
                </c:pt>
                <c:pt idx="11">
                  <c:v>4.2657951880159285E-2</c:v>
                </c:pt>
                <c:pt idx="12">
                  <c:v>4.073802778041128E-2</c:v>
                </c:pt>
                <c:pt idx="13">
                  <c:v>3.8904514499428069E-2</c:v>
                </c:pt>
                <c:pt idx="14">
                  <c:v>3.7153522909717261E-2</c:v>
                </c:pt>
                <c:pt idx="15">
                  <c:v>3.5481338923357551E-2</c:v>
                </c:pt>
                <c:pt idx="16">
                  <c:v>3.3884415613920256E-2</c:v>
                </c:pt>
                <c:pt idx="17">
                  <c:v>3.2359365692962827E-2</c:v>
                </c:pt>
                <c:pt idx="18">
                  <c:v>3.0902954325135904E-2</c:v>
                </c:pt>
                <c:pt idx="19">
                  <c:v>2.9512092266663854E-2</c:v>
                </c:pt>
                <c:pt idx="20">
                  <c:v>2.8183829312644539E-2</c:v>
                </c:pt>
                <c:pt idx="21">
                  <c:v>2.6915348039269153E-2</c:v>
                </c:pt>
                <c:pt idx="22">
                  <c:v>2.5703957827688646E-2</c:v>
                </c:pt>
                <c:pt idx="23">
                  <c:v>2.4547089156850312E-2</c:v>
                </c:pt>
                <c:pt idx="24">
                  <c:v>2.3442288153199226E-2</c:v>
                </c:pt>
                <c:pt idx="25">
                  <c:v>2.2387211385683402E-2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exercise_PVT!$Q$26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exercise_PVT!$Q$27:$Q$52</c:f>
              <c:numCache>
                <c:formatCode>0</c:formatCode>
                <c:ptCount val="26"/>
                <c:pt idx="0">
                  <c:v>2612.2600000000002</c:v>
                </c:pt>
                <c:pt idx="1">
                  <c:v>2612.2600000000002</c:v>
                </c:pt>
                <c:pt idx="2">
                  <c:v>2612.2600000000002</c:v>
                </c:pt>
                <c:pt idx="3">
                  <c:v>2612.2600000000002</c:v>
                </c:pt>
                <c:pt idx="4">
                  <c:v>2612.2600000000002</c:v>
                </c:pt>
                <c:pt idx="5">
                  <c:v>2612.2600000000002</c:v>
                </c:pt>
                <c:pt idx="6">
                  <c:v>2612.2600000000002</c:v>
                </c:pt>
                <c:pt idx="7">
                  <c:v>2612.2600000000002</c:v>
                </c:pt>
                <c:pt idx="8">
                  <c:v>2612.2600000000002</c:v>
                </c:pt>
                <c:pt idx="9">
                  <c:v>2612.2600000000002</c:v>
                </c:pt>
                <c:pt idx="10">
                  <c:v>2612.2600000000002</c:v>
                </c:pt>
                <c:pt idx="11">
                  <c:v>2612.2600000000002</c:v>
                </c:pt>
                <c:pt idx="12">
                  <c:v>2612.2600000000002</c:v>
                </c:pt>
                <c:pt idx="13">
                  <c:v>2612.2600000000002</c:v>
                </c:pt>
                <c:pt idx="14">
                  <c:v>2612.2600000000002</c:v>
                </c:pt>
                <c:pt idx="15">
                  <c:v>2612.2600000000002</c:v>
                </c:pt>
                <c:pt idx="16">
                  <c:v>2612.2600000000002</c:v>
                </c:pt>
                <c:pt idx="17">
                  <c:v>2612.2600000000002</c:v>
                </c:pt>
                <c:pt idx="18">
                  <c:v>2612.2600000000002</c:v>
                </c:pt>
                <c:pt idx="19">
                  <c:v>2612.2600000000002</c:v>
                </c:pt>
                <c:pt idx="20">
                  <c:v>2612.2600000000002</c:v>
                </c:pt>
                <c:pt idx="21">
                  <c:v>2612.2600000000002</c:v>
                </c:pt>
                <c:pt idx="22">
                  <c:v>2612.2600000000002</c:v>
                </c:pt>
                <c:pt idx="23">
                  <c:v>2612.2600000000002</c:v>
                </c:pt>
                <c:pt idx="24">
                  <c:v>2612.2600000000002</c:v>
                </c:pt>
                <c:pt idx="25">
                  <c:v>2612.2600000000002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exercise_PVT!$S$26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exercise_PVT!$S$27:$S$52</c:f>
              <c:numCache>
                <c:formatCode>General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exercise_PVT!$R$26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exercise_PVT!$R$27:$R$52</c:f>
              <c:numCache>
                <c:formatCode>General</c:formatCode>
                <c:ptCount val="26"/>
                <c:pt idx="0">
                  <c:v>1549.2879231754077</c:v>
                </c:pt>
                <c:pt idx="1">
                  <c:v>1537.707795362498</c:v>
                </c:pt>
                <c:pt idx="2">
                  <c:v>1522.9162159155255</c:v>
                </c:pt>
                <c:pt idx="3">
                  <c:v>1492.0159764178345</c:v>
                </c:pt>
                <c:pt idx="4">
                  <c:v>1425.1175791995665</c:v>
                </c:pt>
                <c:pt idx="5">
                  <c:v>1356.2002613645091</c:v>
                </c:pt>
                <c:pt idx="6">
                  <c:v>1294.1648987390558</c:v>
                </c:pt>
                <c:pt idx="7">
                  <c:v>1246.519515261087</c:v>
                </c:pt>
                <c:pt idx="8">
                  <c:v>1216.5537442976031</c:v>
                </c:pt>
                <c:pt idx="9">
                  <c:v>1203.7831608739893</c:v>
                </c:pt>
                <c:pt idx="10">
                  <c:v>1205.6963296244064</c:v>
                </c:pt>
                <c:pt idx="11">
                  <c:v>1219.2308876154959</c:v>
                </c:pt>
                <c:pt idx="12">
                  <c:v>1241.5714392915497</c:v>
                </c:pt>
                <c:pt idx="13">
                  <c:v>1270.4364900731005</c:v>
                </c:pt>
                <c:pt idx="14">
                  <c:v>1304.0978401837551</c:v>
                </c:pt>
                <c:pt idx="15">
                  <c:v>1341.2951635452644</c:v>
                </c:pt>
                <c:pt idx="16">
                  <c:v>1381.1279499085433</c:v>
                </c:pt>
                <c:pt idx="17">
                  <c:v>1422.9582067314427</c:v>
                </c:pt>
                <c:pt idx="18">
                  <c:v>1466.3334176742637</c:v>
                </c:pt>
                <c:pt idx="19">
                  <c:v>1510.9293550997158</c:v>
                </c:pt>
                <c:pt idx="20">
                  <c:v>1556.5091476329205</c:v>
                </c:pt>
                <c:pt idx="21">
                  <c:v>1602.8946166238957</c:v>
                </c:pt>
                <c:pt idx="22">
                  <c:v>1649.946484295805</c:v>
                </c:pt>
                <c:pt idx="23">
                  <c:v>1697.5508471794965</c:v>
                </c:pt>
                <c:pt idx="24">
                  <c:v>1745.6100189005595</c:v>
                </c:pt>
                <c:pt idx="25">
                  <c:v>1794.0364033487087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exercise_PVT!$U$26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exercise_PVT!$U$27:$U$52</c:f>
              <c:numCache>
                <c:formatCode>General</c:formatCode>
                <c:ptCount val="26"/>
                <c:pt idx="0">
                  <c:v>0.10164358823884126</c:v>
                </c:pt>
                <c:pt idx="1">
                  <c:v>2.1230249033646093E-2</c:v>
                </c:pt>
                <c:pt idx="2">
                  <c:v>1.1301707276363171E-2</c:v>
                </c:pt>
                <c:pt idx="3">
                  <c:v>6.4417198343459763E-3</c:v>
                </c:pt>
                <c:pt idx="4">
                  <c:v>4.1318489152865935E-3</c:v>
                </c:pt>
                <c:pt idx="5">
                  <c:v>3.4299490020326222E-3</c:v>
                </c:pt>
                <c:pt idx="6">
                  <c:v>3.11528142688658E-3</c:v>
                </c:pt>
                <c:pt idx="7">
                  <c:v>2.9494255761316431E-3</c:v>
                </c:pt>
                <c:pt idx="8">
                  <c:v>2.6895456901481732E-3</c:v>
                </c:pt>
                <c:pt idx="9">
                  <c:v>2.3053248772698627E-3</c:v>
                </c:pt>
                <c:pt idx="10">
                  <c:v>2.0171592676111296E-3</c:v>
                </c:pt>
                <c:pt idx="11">
                  <c:v>1.7930304600987821E-3</c:v>
                </c:pt>
                <c:pt idx="12">
                  <c:v>1.6137274140889037E-3</c:v>
                </c:pt>
                <c:pt idx="13">
                  <c:v>1.4670249218990035E-3</c:v>
                </c:pt>
                <c:pt idx="14">
                  <c:v>1.3447728450740866E-3</c:v>
                </c:pt>
                <c:pt idx="15">
                  <c:v>1.2413287800683876E-3</c:v>
                </c:pt>
                <c:pt idx="16">
                  <c:v>1.1526624386349314E-3</c:v>
                </c:pt>
                <c:pt idx="17">
                  <c:v>1.0758182760592691E-3</c:v>
                </c:pt>
                <c:pt idx="18">
                  <c:v>1.0085796338055648E-3</c:v>
                </c:pt>
                <c:pt idx="19">
                  <c:v>9.4925142005229635E-4</c:v>
                </c:pt>
                <c:pt idx="20">
                  <c:v>8.9651523004939107E-4</c:v>
                </c:pt>
                <c:pt idx="21">
                  <c:v>8.4933021794152824E-4</c:v>
                </c:pt>
                <c:pt idx="22">
                  <c:v>8.0686370704445185E-4</c:v>
                </c:pt>
                <c:pt idx="23">
                  <c:v>7.6844162575662081E-4</c:v>
                </c:pt>
                <c:pt idx="24">
                  <c:v>7.3351246094950173E-4</c:v>
                </c:pt>
                <c:pt idx="25">
                  <c:v>7.016206148212625E-4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exercise_PVT!$T$26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exercise_PVT!$T$27:$T$52</c:f>
              <c:numCache>
                <c:formatCode>General</c:formatCode>
                <c:ptCount val="26"/>
                <c:pt idx="0">
                  <c:v>4.679438718933772E-5</c:v>
                </c:pt>
                <c:pt idx="1">
                  <c:v>4.6732053067351524E-5</c:v>
                </c:pt>
                <c:pt idx="2">
                  <c:v>4.6654368560839736E-5</c:v>
                </c:pt>
                <c:pt idx="3">
                  <c:v>4.6499771808130451E-5</c:v>
                </c:pt>
                <c:pt idx="4">
                  <c:v>4.619363175371474E-5</c:v>
                </c:pt>
                <c:pt idx="5">
                  <c:v>4.5891496395679815E-5</c:v>
                </c:pt>
                <c:pt idx="6">
                  <c:v>4.5593287664959394E-5</c:v>
                </c:pt>
                <c:pt idx="7">
                  <c:v>4.5298929508596807E-5</c:v>
                </c:pt>
                <c:pt idx="8">
                  <c:v>4.5008347825080729E-5</c:v>
                </c:pt>
                <c:pt idx="9">
                  <c:v>4.4721470402153862E-5</c:v>
                </c:pt>
                <c:pt idx="10">
                  <c:v>4.4438226856984943E-5</c:v>
                </c:pt>
                <c:pt idx="11">
                  <c:v>4.4158548578600026E-5</c:v>
                </c:pt>
                <c:pt idx="12">
                  <c:v>4.388236867247399E-5</c:v>
                </c:pt>
                <c:pt idx="13">
                  <c:v>4.3609621907188401E-5</c:v>
                </c:pt>
                <c:pt idx="14">
                  <c:v>4.3340244663066393E-5</c:v>
                </c:pt>
                <c:pt idx="15">
                  <c:v>4.3074174882699449E-5</c:v>
                </c:pt>
                <c:pt idx="16">
                  <c:v>4.2811352023285495E-5</c:v>
                </c:pt>
                <c:pt idx="17">
                  <c:v>4.2551717010701246E-5</c:v>
                </c:pt>
                <c:pt idx="18">
                  <c:v>4.2295212195235694E-5</c:v>
                </c:pt>
                <c:pt idx="19">
                  <c:v>4.2041781308915067E-5</c:v>
                </c:pt>
                <c:pt idx="20">
                  <c:v>4.1791369424352891E-5</c:v>
                </c:pt>
                <c:pt idx="21">
                  <c:v>4.1543922915061891E-5</c:v>
                </c:pt>
                <c:pt idx="22">
                  <c:v>4.1299389417167639E-5</c:v>
                </c:pt>
                <c:pt idx="23">
                  <c:v>4.1057717792466385E-5</c:v>
                </c:pt>
                <c:pt idx="24">
                  <c:v>4.0818858092772383E-5</c:v>
                </c:pt>
                <c:pt idx="25">
                  <c:v>4.0582761525502548E-5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exercise_PVT!$V$26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exercise_PVT!$V$27:$V$52</c:f>
              <c:numCache>
                <c:formatCode>General</c:formatCode>
                <c:ptCount val="26"/>
                <c:pt idx="0">
                  <c:v>1.0018541491170208</c:v>
                </c:pt>
                <c:pt idx="1">
                  <c:v>0.20189969857019432</c:v>
                </c:pt>
                <c:pt idx="2">
                  <c:v>0.1019697010936233</c:v>
                </c:pt>
                <c:pt idx="3">
                  <c:v>5.2134636706740373E-2</c:v>
                </c:pt>
                <c:pt idx="4">
                  <c:v>2.7429628007979268E-2</c:v>
                </c:pt>
                <c:pt idx="5">
                  <c:v>1.9136259323388825E-2</c:v>
                </c:pt>
                <c:pt idx="6">
                  <c:v>1.4653230597110326E-2</c:v>
                </c:pt>
                <c:pt idx="7">
                  <c:v>1.1562048317054834E-2</c:v>
                </c:pt>
                <c:pt idx="8">
                  <c:v>9.1970661574283172E-3</c:v>
                </c:pt>
                <c:pt idx="9">
                  <c:v>7.345978534985257E-3</c:v>
                </c:pt>
                <c:pt idx="10">
                  <c:v>5.9075245508171739E-3</c:v>
                </c:pt>
                <c:pt idx="11">
                  <c:v>4.8014943984046364E-3</c:v>
                </c:pt>
                <c:pt idx="12">
                  <c:v>3.9549135143913785E-3</c:v>
                </c:pt>
                <c:pt idx="13">
                  <c:v>3.3049207732548627E-3</c:v>
                </c:pt>
                <c:pt idx="14">
                  <c:v>2.8011821978184128E-3</c:v>
                </c:pt>
                <c:pt idx="15">
                  <c:v>2.4055020277298348E-3</c:v>
                </c:pt>
                <c:pt idx="16">
                  <c:v>2.0898471689410145E-3</c:v>
                </c:pt>
                <c:pt idx="17">
                  <c:v>1.834004645874998E-3</c:v>
                </c:pt>
                <c:pt idx="18">
                  <c:v>1.6234931734210182E-3</c:v>
                </c:pt>
                <c:pt idx="19">
                  <c:v>1.4479206477665896E-3</c:v>
                </c:pt>
                <c:pt idx="20">
                  <c:v>1.2997740836542891E-3</c:v>
                </c:pt>
                <c:pt idx="21">
                  <c:v>1.1735592457294732E-3</c:v>
                </c:pt>
                <c:pt idx="22">
                  <c:v>1.0652001179834861E-3</c:v>
                </c:pt>
                <c:pt idx="23">
                  <c:v>9.7162306463836206E-4</c:v>
                </c:pt>
                <c:pt idx="24">
                  <c:v>8.9046921019689837E-4</c:v>
                </c:pt>
                <c:pt idx="25">
                  <c:v>8.1989481589971969E-4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exercise_PVT!$E$26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exercise_PVT!$E$27:$E$52</c:f>
              <c:numCache>
                <c:formatCode>0.00</c:formatCode>
                <c:ptCount val="26"/>
                <c:pt idx="0">
                  <c:v>1.0376527596788165</c:v>
                </c:pt>
                <c:pt idx="1">
                  <c:v>1.0403173727412995</c:v>
                </c:pt>
                <c:pt idx="2">
                  <c:v>1.0444102727998681</c:v>
                </c:pt>
                <c:pt idx="3">
                  <c:v>1.0539877935797775</c:v>
                </c:pt>
                <c:pt idx="4">
                  <c:v>1.0767538727082331</c:v>
                </c:pt>
                <c:pt idx="5">
                  <c:v>1.1030546590708084</c:v>
                </c:pt>
                <c:pt idx="6">
                  <c:v>1.1322102757286072</c:v>
                </c:pt>
                <c:pt idx="7">
                  <c:v>1.1638405832814809</c:v>
                </c:pt>
                <c:pt idx="8">
                  <c:v>1.1806672063194985</c:v>
                </c:pt>
                <c:pt idx="9">
                  <c:v>1.1755656078867194</c:v>
                </c:pt>
                <c:pt idx="10">
                  <c:v>1.1717538804745495</c:v>
                </c:pt>
                <c:pt idx="11">
                  <c:v>1.1687977504115334</c:v>
                </c:pt>
                <c:pt idx="12">
                  <c:v>1.166438216880211</c:v>
                </c:pt>
                <c:pt idx="13">
                  <c:v>1.1645112328704792</c:v>
                </c:pt>
                <c:pt idx="14">
                  <c:v>1.1629078448678596</c:v>
                </c:pt>
                <c:pt idx="15">
                  <c:v>1.1615528563960342</c:v>
                </c:pt>
                <c:pt idx="16">
                  <c:v>1.1603926943680385</c:v>
                </c:pt>
                <c:pt idx="17">
                  <c:v>1.1593881579705581</c:v>
                </c:pt>
                <c:pt idx="18">
                  <c:v>1.1585099020034806</c:v>
                </c:pt>
                <c:pt idx="19">
                  <c:v>1.157735522777211</c:v>
                </c:pt>
                <c:pt idx="20">
                  <c:v>1.157047620239726</c:v>
                </c:pt>
                <c:pt idx="21">
                  <c:v>1.1564324749673422</c:v>
                </c:pt>
                <c:pt idx="22">
                  <c:v>1.1558791238484609</c:v>
                </c:pt>
                <c:pt idx="23">
                  <c:v>1.1553787009926737</c:v>
                </c:pt>
                <c:pt idx="24">
                  <c:v>1.1549239591296772</c:v>
                </c:pt>
                <c:pt idx="25">
                  <c:v>1.1545089163509796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exercise_PVT!$L$26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exercise_PVT!$L$27:$L$52</c:f>
              <c:numCache>
                <c:formatCode>0.000</c:formatCode>
                <c:ptCount val="26"/>
                <c:pt idx="0">
                  <c:v>1.2074240575054207</c:v>
                </c:pt>
                <c:pt idx="1">
                  <c:v>0.23967983713819915</c:v>
                </c:pt>
                <c:pt idx="2">
                  <c:v>0.1186871496998908</c:v>
                </c:pt>
                <c:pt idx="3">
                  <c:v>5.8139483215521454E-2</c:v>
                </c:pt>
                <c:pt idx="4">
                  <c:v>2.7766324518503114E-2</c:v>
                </c:pt>
                <c:pt idx="5">
                  <c:v>1.7615714482672611E-2</c:v>
                </c:pt>
                <c:pt idx="6">
                  <c:v>1.2607451863384913E-2</c:v>
                </c:pt>
                <c:pt idx="7">
                  <c:v>9.7146413417554898E-3</c:v>
                </c:pt>
                <c:pt idx="8">
                  <c:v>7.9009214283778124E-3</c:v>
                </c:pt>
                <c:pt idx="9">
                  <c:v>6.7011280598054139E-3</c:v>
                </c:pt>
                <c:pt idx="10">
                  <c:v>5.872805873660355E-3</c:v>
                </c:pt>
                <c:pt idx="11">
                  <c:v>5.2788721097086523E-3</c:v>
                </c:pt>
                <c:pt idx="12">
                  <c:v>4.8380394711904119E-3</c:v>
                </c:pt>
                <c:pt idx="13">
                  <c:v>4.5004710014339587E-3</c:v>
                </c:pt>
                <c:pt idx="14">
                  <c:v>4.2347387521946217E-3</c:v>
                </c:pt>
                <c:pt idx="15">
                  <c:v>4.0204873488958954E-3</c:v>
                </c:pt>
                <c:pt idx="16">
                  <c:v>3.8441787358921529E-3</c:v>
                </c:pt>
                <c:pt idx="17">
                  <c:v>3.6965669753428478E-3</c:v>
                </c:pt>
                <c:pt idx="18">
                  <c:v>3.5711693303174009E-3</c:v>
                </c:pt>
                <c:pt idx="19">
                  <c:v>3.4633224745852561E-3</c:v>
                </c:pt>
                <c:pt idx="20">
                  <c:v>3.3695884886969217E-3</c:v>
                </c:pt>
                <c:pt idx="21">
                  <c:v>3.2873735985192989E-3</c:v>
                </c:pt>
                <c:pt idx="22">
                  <c:v>3.2146785773881185E-3</c:v>
                </c:pt>
                <c:pt idx="23">
                  <c:v>3.1499320876366564E-3</c:v>
                </c:pt>
                <c:pt idx="24">
                  <c:v>3.0918772135640235E-3</c:v>
                </c:pt>
                <c:pt idx="25">
                  <c:v>3.0394927286336538E-3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ser>
          <c:idx val="1"/>
          <c:order val="2"/>
          <c:tx>
            <c:strRef>
              <c:f>exercise_PVT!$M$26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exercise_PVT!$M$27:$M$52</c:f>
              <c:numCache>
                <c:formatCode>0.000</c:formatCode>
                <c:ptCount val="26"/>
                <c:pt idx="0">
                  <c:v>1.0303260611055958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A43-86F7-C61FFC48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11134</xdr:colOff>
      <xdr:row>52</xdr:row>
      <xdr:rowOff>78459</xdr:rowOff>
    </xdr:from>
    <xdr:to>
      <xdr:col>6</xdr:col>
      <xdr:colOff>659197</xdr:colOff>
      <xdr:row>75</xdr:row>
      <xdr:rowOff>47941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548409</xdr:colOff>
      <xdr:row>0</xdr:row>
      <xdr:rowOff>7037</xdr:rowOff>
    </xdr:from>
    <xdr:to>
      <xdr:col>14</xdr:col>
      <xdr:colOff>373417</xdr:colOff>
      <xdr:row>19</xdr:row>
      <xdr:rowOff>42497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Fallback>
    </mc:AlternateContent>
    <xdr:clientData/>
  </xdr:twoCellAnchor>
  <xdr:twoCellAnchor>
    <xdr:from>
      <xdr:col>13</xdr:col>
      <xdr:colOff>522978</xdr:colOff>
      <xdr:row>52</xdr:row>
      <xdr:rowOff>53801</xdr:rowOff>
    </xdr:from>
    <xdr:to>
      <xdr:col>20</xdr:col>
      <xdr:colOff>549208</xdr:colOff>
      <xdr:row>75</xdr:row>
      <xdr:rowOff>8283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37761</xdr:colOff>
      <xdr:row>0</xdr:row>
      <xdr:rowOff>5847</xdr:rowOff>
    </xdr:from>
    <xdr:to>
      <xdr:col>26</xdr:col>
      <xdr:colOff>283165</xdr:colOff>
      <xdr:row>19</xdr:row>
      <xdr:rowOff>57979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439061" y="5847"/>
          <a:ext cx="6951004" cy="386213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упражению: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Можно ли глядя на графические зависимости отпределить параметры нефти? Если да, то какие?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Всегда ли заданное значение давления насыщения совпадает со значением давления насыщения считанным с графиков?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Чему равно значение объемного коэффициента при Р = 1 атма ? Есть ли разница между значением по определению и графическими зависимостями?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Как изменятся построенные зависимости если не вводить значения калибробочных параметров - давления насыщения, объемного коэффициента при давлении насыщения, вязкости при давлении насыщения?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Как изменяться зависимости при смене набора корреляций для расчета?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Дополнительные вопросы и задания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и сравните зависимости </a:t>
          </a:r>
          <a:r>
            <a:rPr lang="en-US" sz="1100" baseline="0"/>
            <a:t>PVT </a:t>
          </a:r>
          <a:r>
            <a:rPr lang="ru-RU" sz="1100" baseline="0"/>
            <a:t>параметров от давления с учетом калибровки и без учета калибровки с использованием различных корреляций.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Оцените насколько сильно влияет выбор корреляции в случае наличия и отсутствия калибровки параметров?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Рассмотрите другие функции Унифлок с префиксом </a:t>
          </a:r>
          <a:r>
            <a:rPr lang="en-US" sz="1100" baseline="0"/>
            <a:t>PVT </a:t>
          </a:r>
          <a:r>
            <a:rPr lang="ru-RU" sz="1100" baseline="0"/>
            <a:t>- для чего они предназначены. Постройте зависимости других свойтв нефти, газа и воды от давления и температуры.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*Проверьте себя, насколько точно вы можете оценить параметры нефти по частично известным данным? Какой минимальный набор данных надо знать? Проверьте коллег попросив их оценить/угадать свойства нефти по частичным данным.</a:t>
          </a:r>
        </a:p>
      </xdr:txBody>
    </xdr:sp>
    <xdr:clientData/>
  </xdr:twoCellAnchor>
  <xdr:twoCellAnchor>
    <xdr:from>
      <xdr:col>21</xdr:col>
      <xdr:colOff>10729</xdr:colOff>
      <xdr:row>52</xdr:row>
      <xdr:rowOff>45383</xdr:rowOff>
    </xdr:from>
    <xdr:to>
      <xdr:col>28</xdr:col>
      <xdr:colOff>409989</xdr:colOff>
      <xdr:row>75</xdr:row>
      <xdr:rowOff>49695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486603</xdr:colOff>
      <xdr:row>19</xdr:row>
      <xdr:rowOff>128381</xdr:rowOff>
    </xdr:from>
    <xdr:to>
      <xdr:col>27</xdr:col>
      <xdr:colOff>250963</xdr:colOff>
      <xdr:row>29</xdr:row>
      <xdr:rowOff>76200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4798951" y="3988077"/>
          <a:ext cx="3441838" cy="163747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23</xdr:col>
      <xdr:colOff>607481</xdr:colOff>
      <xdr:row>29</xdr:row>
      <xdr:rowOff>61893</xdr:rowOff>
    </xdr:from>
    <xdr:to>
      <xdr:col>30</xdr:col>
      <xdr:colOff>468697</xdr:colOff>
      <xdr:row>52</xdr:row>
      <xdr:rowOff>31375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795131</xdr:colOff>
      <xdr:row>75</xdr:row>
      <xdr:rowOff>132521</xdr:rowOff>
    </xdr:from>
    <xdr:to>
      <xdr:col>7</xdr:col>
      <xdr:colOff>225013</xdr:colOff>
      <xdr:row>98</xdr:row>
      <xdr:rowOff>116270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554935</xdr:colOff>
      <xdr:row>29</xdr:row>
      <xdr:rowOff>33131</xdr:rowOff>
    </xdr:from>
    <xdr:to>
      <xdr:col>23</xdr:col>
      <xdr:colOff>581165</xdr:colOff>
      <xdr:row>52</xdr:row>
      <xdr:rowOff>16880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2414</xdr:colOff>
      <xdr:row>52</xdr:row>
      <xdr:rowOff>61601</xdr:rowOff>
    </xdr:from>
    <xdr:to>
      <xdr:col>13</xdr:col>
      <xdr:colOff>484945</xdr:colOff>
      <xdr:row>75</xdr:row>
      <xdr:rowOff>25491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F254159-DFE5-4BD6-AF97-FC9E358A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PVT_bg_m3m3"/>
      <definedName name="PVT_bo_m3m3"/>
      <definedName name="PVT_bw_m3m3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encode_string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V122"/>
  <sheetViews>
    <sheetView tabSelected="1" zoomScale="115" zoomScaleNormal="115" workbookViewId="0">
      <selection activeCell="M31" sqref="M31"/>
    </sheetView>
  </sheetViews>
  <sheetFormatPr defaultRowHeight="12.75" x14ac:dyDescent="0.2"/>
  <cols>
    <col min="1" max="1" width="12.28515625" customWidth="1"/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1.7109375" customWidth="1"/>
    <col min="8" max="8" width="12.28515625" customWidth="1"/>
    <col min="10" max="10" width="11.28515625" customWidth="1"/>
    <col min="11" max="11" width="10.140625" customWidth="1"/>
    <col min="19" max="19" width="12.42578125" bestFit="1" customWidth="1"/>
    <col min="22" max="32" width="9.140625" customWidth="1"/>
  </cols>
  <sheetData>
    <row r="1" spans="1:12" x14ac:dyDescent="0.2">
      <c r="A1" s="1" t="s">
        <v>21</v>
      </c>
      <c r="F1" t="s">
        <v>31</v>
      </c>
      <c r="G1" t="str">
        <f>[1]!getUFVersion()</f>
        <v>7.22</v>
      </c>
      <c r="H1" s="23" t="s">
        <v>45</v>
      </c>
      <c r="I1" s="27">
        <v>43955</v>
      </c>
      <c r="J1" s="28"/>
      <c r="K1" s="28"/>
      <c r="L1" s="29"/>
    </row>
    <row r="2" spans="1:12" x14ac:dyDescent="0.2">
      <c r="A2" t="s">
        <v>22</v>
      </c>
      <c r="H2" s="23" t="s">
        <v>46</v>
      </c>
      <c r="I2" s="30">
        <v>7.22</v>
      </c>
      <c r="J2" s="25"/>
      <c r="K2" s="25"/>
      <c r="L2" s="26"/>
    </row>
    <row r="3" spans="1:12" ht="15" x14ac:dyDescent="0.25">
      <c r="A3" s="24" t="s">
        <v>38</v>
      </c>
      <c r="B3" s="47" t="s">
        <v>40</v>
      </c>
      <c r="C3" s="47"/>
      <c r="D3" s="47"/>
      <c r="E3" s="48"/>
      <c r="H3" s="24" t="s">
        <v>38</v>
      </c>
      <c r="I3" s="49" t="s">
        <v>40</v>
      </c>
      <c r="J3" s="49"/>
      <c r="K3" s="49"/>
      <c r="L3" s="49"/>
    </row>
    <row r="4" spans="1:12" ht="15" x14ac:dyDescent="0.25">
      <c r="A4" s="24" t="s">
        <v>42</v>
      </c>
      <c r="B4" s="47" t="s">
        <v>43</v>
      </c>
      <c r="C4" s="47"/>
      <c r="D4" s="47"/>
      <c r="E4" s="48"/>
      <c r="H4" s="24" t="s">
        <v>42</v>
      </c>
      <c r="I4" s="50" t="s">
        <v>43</v>
      </c>
      <c r="J4" s="50"/>
      <c r="K4" s="50"/>
      <c r="L4" s="50"/>
    </row>
    <row r="5" spans="1:12" ht="15" x14ac:dyDescent="0.25">
      <c r="A5" s="24" t="s">
        <v>47</v>
      </c>
      <c r="B5" s="47" t="s">
        <v>41</v>
      </c>
      <c r="C5" s="47"/>
      <c r="D5" s="47"/>
      <c r="E5" s="48"/>
      <c r="H5" s="24" t="s">
        <v>47</v>
      </c>
      <c r="I5" s="50" t="s">
        <v>41</v>
      </c>
      <c r="J5" s="50"/>
      <c r="K5" s="50"/>
      <c r="L5" s="50"/>
    </row>
    <row r="6" spans="1:12" x14ac:dyDescent="0.2">
      <c r="A6" s="33" t="s">
        <v>39</v>
      </c>
      <c r="B6" s="36" t="s">
        <v>44</v>
      </c>
      <c r="C6" s="37"/>
      <c r="D6" s="37"/>
      <c r="E6" s="38"/>
      <c r="H6" s="45" t="s">
        <v>39</v>
      </c>
      <c r="I6" s="46" t="s">
        <v>44</v>
      </c>
      <c r="J6" s="46"/>
      <c r="K6" s="46"/>
      <c r="L6" s="46"/>
    </row>
    <row r="7" spans="1:12" x14ac:dyDescent="0.2">
      <c r="A7" s="34"/>
      <c r="B7" s="39"/>
      <c r="C7" s="40"/>
      <c r="D7" s="40"/>
      <c r="E7" s="41"/>
      <c r="H7" s="45"/>
      <c r="I7" s="46"/>
      <c r="J7" s="46"/>
      <c r="K7" s="46"/>
      <c r="L7" s="46"/>
    </row>
    <row r="8" spans="1:12" x14ac:dyDescent="0.2">
      <c r="A8" s="35"/>
      <c r="B8" s="42"/>
      <c r="C8" s="43"/>
      <c r="D8" s="43"/>
      <c r="E8" s="44"/>
      <c r="H8" s="45"/>
      <c r="I8" s="46"/>
      <c r="J8" s="46"/>
      <c r="K8" s="46"/>
      <c r="L8" s="46"/>
    </row>
    <row r="10" spans="1:12" x14ac:dyDescent="0.2">
      <c r="A10" s="1" t="s">
        <v>1</v>
      </c>
    </row>
    <row r="11" spans="1:12" ht="18.75" x14ac:dyDescent="0.35">
      <c r="B11" s="5" t="s">
        <v>10</v>
      </c>
      <c r="C11" s="2">
        <v>0.86</v>
      </c>
      <c r="D11" s="6"/>
      <c r="E11" s="18">
        <f>gamma_oil_*1000</f>
        <v>860</v>
      </c>
      <c r="F11" s="19" t="s">
        <v>20</v>
      </c>
    </row>
    <row r="12" spans="1:12" ht="18.75" x14ac:dyDescent="0.35">
      <c r="B12" s="4" t="s">
        <v>12</v>
      </c>
      <c r="C12" s="2">
        <v>1</v>
      </c>
      <c r="D12" s="6"/>
      <c r="E12" s="18">
        <f>gamma_wat_*1000</f>
        <v>1000</v>
      </c>
      <c r="F12" s="19" t="s">
        <v>20</v>
      </c>
    </row>
    <row r="13" spans="1:12" ht="18.75" x14ac:dyDescent="0.35">
      <c r="B13" s="4" t="s">
        <v>11</v>
      </c>
      <c r="C13" s="2">
        <v>0.8</v>
      </c>
      <c r="D13" s="6"/>
      <c r="E13" s="18">
        <f>gamma_gas_*1.22</f>
        <v>0.97599999999999998</v>
      </c>
      <c r="F13" s="19" t="s">
        <v>20</v>
      </c>
    </row>
    <row r="14" spans="1:12" ht="18.75" x14ac:dyDescent="0.35">
      <c r="B14" s="7" t="s">
        <v>13</v>
      </c>
      <c r="C14" s="2">
        <v>80</v>
      </c>
      <c r="D14" s="4" t="s">
        <v>14</v>
      </c>
      <c r="E14" s="20">
        <f>Rsb_/gamma_oil_</f>
        <v>93.023255813953483</v>
      </c>
      <c r="F14" s="19" t="s">
        <v>33</v>
      </c>
    </row>
    <row r="15" spans="1:12" ht="18.75" x14ac:dyDescent="0.35">
      <c r="A15" t="s">
        <v>48</v>
      </c>
      <c r="B15" s="7" t="s">
        <v>15</v>
      </c>
      <c r="C15" s="2">
        <v>80</v>
      </c>
      <c r="D15" s="4" t="s">
        <v>14</v>
      </c>
      <c r="E15" s="20">
        <f>Rsb_/gamma_oil_</f>
        <v>93.023255813953483</v>
      </c>
      <c r="F15" s="19" t="s">
        <v>33</v>
      </c>
    </row>
    <row r="16" spans="1:12" ht="18" x14ac:dyDescent="0.35">
      <c r="B16" s="4" t="s">
        <v>17</v>
      </c>
      <c r="C16" s="2">
        <v>120</v>
      </c>
      <c r="D16" s="4" t="s">
        <v>7</v>
      </c>
      <c r="E16" s="20">
        <f>Pb_*1.01325/10</f>
        <v>12.159000000000001</v>
      </c>
      <c r="F16" s="19" t="s">
        <v>8</v>
      </c>
    </row>
    <row r="17" spans="2:22" ht="18" x14ac:dyDescent="0.35">
      <c r="B17" s="4" t="s">
        <v>16</v>
      </c>
      <c r="C17" s="2">
        <v>100</v>
      </c>
      <c r="D17" s="4" t="s">
        <v>3</v>
      </c>
      <c r="E17" s="20">
        <f>Tres_*9/5+32</f>
        <v>212</v>
      </c>
      <c r="F17" s="19" t="s">
        <v>9</v>
      </c>
    </row>
    <row r="18" spans="2:22" ht="18" x14ac:dyDescent="0.35">
      <c r="B18" s="7" t="s">
        <v>18</v>
      </c>
      <c r="C18" s="2">
        <v>1.2</v>
      </c>
      <c r="D18" s="4" t="s">
        <v>2</v>
      </c>
      <c r="E18" s="21"/>
      <c r="F18" s="6"/>
    </row>
    <row r="19" spans="2:22" ht="18" x14ac:dyDescent="0.35">
      <c r="B19" s="8" t="s">
        <v>19</v>
      </c>
      <c r="C19" s="2">
        <v>1</v>
      </c>
      <c r="D19" s="4" t="s">
        <v>6</v>
      </c>
      <c r="E19" s="21"/>
      <c r="F19" s="6"/>
    </row>
    <row r="23" spans="2:22" x14ac:dyDescent="0.2">
      <c r="B23" s="13" t="s">
        <v>32</v>
      </c>
      <c r="C23" s="14" t="str">
        <f>[1]!PVT_encode_string(gamma_gas_,gamma_oil_,gamma_wat_,Rsb_,Rp_,Pb_,Tres_,Bob_,muob_)</f>
        <v>gamma_gas:0.800;gamma_oil:0.860;gamma_wat:1.000;rsb_m3m3:80.000;rp_m3m3:80.000;pb_atma:120.000;tres_C:100.000;bob_m3m3:1.200;muob_cP:1.000;PVTcorr:0;ksep_fr:0.000;p_ksep_atma:-1.000;t_ksep_C:-1.000;gas_only:False;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</row>
    <row r="26" spans="2:22" ht="15.75" x14ac:dyDescent="0.2">
      <c r="B26" s="9" t="s">
        <v>0</v>
      </c>
      <c r="C26" s="9" t="s">
        <v>4</v>
      </c>
      <c r="D26" s="9" t="s">
        <v>23</v>
      </c>
      <c r="E26" s="9" t="s">
        <v>24</v>
      </c>
      <c r="F26" s="10" t="s">
        <v>25</v>
      </c>
      <c r="G26" s="11" t="s">
        <v>26</v>
      </c>
      <c r="H26" s="11" t="s">
        <v>27</v>
      </c>
      <c r="I26" s="9" t="s">
        <v>28</v>
      </c>
      <c r="J26" s="9" t="s">
        <v>29</v>
      </c>
      <c r="K26" s="9" t="s">
        <v>30</v>
      </c>
      <c r="L26" s="9" t="s">
        <v>34</v>
      </c>
      <c r="M26" s="9" t="s">
        <v>55</v>
      </c>
      <c r="N26" s="9" t="s">
        <v>37</v>
      </c>
      <c r="O26" s="9" t="s">
        <v>35</v>
      </c>
      <c r="P26" s="9" t="s">
        <v>36</v>
      </c>
      <c r="Q26" s="31" t="s">
        <v>50</v>
      </c>
      <c r="R26" s="31" t="s">
        <v>51</v>
      </c>
      <c r="S26" s="31" t="s">
        <v>52</v>
      </c>
      <c r="T26" s="31" t="s">
        <v>53</v>
      </c>
      <c r="U26" s="31" t="s">
        <v>49</v>
      </c>
      <c r="V26" s="31" t="s">
        <v>54</v>
      </c>
    </row>
    <row r="27" spans="2:22" x14ac:dyDescent="0.2">
      <c r="B27" s="12">
        <v>1</v>
      </c>
      <c r="C27" s="12">
        <v>80</v>
      </c>
      <c r="D27" s="15">
        <f>[1]!PVT_rs_m3m3(B27,C27,gamma_gas_,gamma_oil_,gamma_wat_,Rsb_,Rp_,Pb_,Tres_,Bob_,muob_)</f>
        <v>0.27348943697138201</v>
      </c>
      <c r="E27" s="16">
        <f>[1]!PVT_bo_m3m3(B27,C27,gamma_gas_,gamma_oil_,gamma_wat_,Rsb_,Rp_,Pb_,Tres_,Bob_,muob_)</f>
        <v>1.0376527596788165</v>
      </c>
      <c r="F27" s="15">
        <f>[1]!PVT_mu_oil_cP(B27,C27,gamma_gas_,gamma_oil_,gamma_wat_,Rsb_,Rp_,Pb_,Tres_,Bob_,muob_)</f>
        <v>3.4463445519065772</v>
      </c>
      <c r="G27" s="17">
        <f>[1]!PVT_mu_gas_cP(B27,C27,gamma_gas_,gamma_oil_,gamma_wat_,Rsb_,Rp_,Pb_,Pb_,Bob_,muob_)</f>
        <v>1.2105548644532123E-2</v>
      </c>
      <c r="H27" s="16">
        <f>[1]!PVT_mu_wat_cP(B27,C27,gamma_gas_,gamma_oil_,gamma_wat_,Rsb_,Rp_,Pb_,Tres_,Bob_,muob_)</f>
        <v>0.33586886209810729</v>
      </c>
      <c r="I27" s="15">
        <f>[1]!PVT_rho_gas_kgm3(B27,C27,gamma_gas_,gamma_oil_,gamma_wat_,Rsb_,Rp_,Pb_,Tres_,Bob_,muob_)</f>
        <v>0.80945877624739326</v>
      </c>
      <c r="J27" s="15">
        <f>[1]!PVT_rho_wat_kgm3(B27,C27,gamma_gas_,gamma_oil_,gamma_wat_,Rsb_,Rp_,Pb_,Tres_,Bob_,muob_)</f>
        <v>970.56653980677311</v>
      </c>
      <c r="K27" s="15">
        <f>[1]!PVT_rho_oil_kgm3(B27,C27,gamma_gas_,gamma_oil_,gamma_wat_,Rsb_,Rp_,Pb_,Tres_,Bob_,muob_)</f>
        <v>829.05123087842594</v>
      </c>
      <c r="L27" s="22">
        <f>[1]!PVT_bg_m3m3(B27,C27,gamma_gas_,gamma_oil_,gamma_wat_,Rsb_,Rp_,Pb_,Tres_,Bob_,muob_,0,,,,PVT_str_)</f>
        <v>1.2074240575054207</v>
      </c>
      <c r="M27" s="22">
        <f>[1]!PVT_bw_m3m3(B27,C27,gamma_gas_,gamma_oil_,gamma_wat_,Rsb_,Rp_,Pb_,Tres_,Bob_,muob_,0,,,,PVT_str_)</f>
        <v>1.0303260611055958</v>
      </c>
      <c r="N27" s="17" cm="1">
        <f t="array" ref="N27">[1]!PVT_ST_liqgas_Nm(B27,C27,gamma_gas_,gamma_oil_,gamma_wat_,Rsb_,Rp_,Pb_,Tres_,Bob_,muob_,0,,,,PVT_str_)</f>
        <v>6.5661875063976624E-2</v>
      </c>
      <c r="O27" s="17" cm="1">
        <f t="array" ref="O27">[1]!PVT_ST_oilgas_Nm(B27,C27,gamma_gas_,gamma_oil_,gamma_wat_,Rsb_,Rp_,Pb_,Tres_,Bob_,muob_,0,,,,PVT_str_)</f>
        <v>6.5661875063976624E-2</v>
      </c>
      <c r="P27" s="22" cm="1">
        <f t="array" ref="P27">[1]!PVT_ST_watgas_Nm(B27,C27,gamma_gas_,gamma_oil_,gamma_wat_,Rsb_,Rp_,Pb_,Tres_,Bob_,muob_,0,,,,PVT_str_)</f>
        <v>6.4416926551517747E-2</v>
      </c>
      <c r="Q27" s="32" cm="1">
        <f t="array" ref="Q27">[1]!PVT_cp_oil_JkgC(B27,C27,gamma_gas_,gamma_oil_,gamma_wat_,Rsb_,Rp_,Pb_,Tres_,Bob_,muob_,0,,,,PVT_str_)</f>
        <v>2612.2600000000002</v>
      </c>
      <c r="R27" cm="1">
        <f t="array" ref="R27">[1]!PVT_cp_gas_JkgC(B27,C27,gamma_gas_,gamma_oil_,gamma_wat_,Rsb_,Rp_,Pb_,Tres_,Bob_,muob_,0,,,,PVT_str_)</f>
        <v>1549.2879231754077</v>
      </c>
      <c r="S27" cm="1">
        <f t="array" ref="S27">[1]!PVT_cp_wat_JkgC(B27,C27,gamma_gas_,gamma_oil_,gamma_wat_,Rsb_,Rp_,Pb_,Tres_,Bob_,muob_,0,,,,PVT_str_)</f>
        <v>4176</v>
      </c>
      <c r="T27" cm="1">
        <f t="array" ref="T27">[1]!PVT_compressibility_wat_1atm(B27,C27,gamma_gas_,gamma_oil_,gamma_wat_,Rsb_,Rp_,Pb_,Tres_,Bob_,muob_,0,,,,PVT_str_)</f>
        <v>4.679438718933772E-5</v>
      </c>
      <c r="U27" cm="1">
        <f t="array" ref="U27">[1]!PVT_compressibility_oil_1atm(B27,C27,gamma_gas_,gamma_oil_,gamma_wat_,Rsb_,Rp_,Pb_,Tres_,Bob_,muob_,0,,,,PVT_str_)</f>
        <v>0.10164358823884126</v>
      </c>
      <c r="V27" cm="1">
        <f t="array" ref="V27">[1]!PVT_compressibility_gas_1atm(B27,C27,gamma_gas_,gamma_oil_,gamma_wat_,Rsb_,Rp_,Pb_,Tres_,Bob_,muob_,0,,,,PVT_str_)</f>
        <v>1.0018541491170208</v>
      </c>
    </row>
    <row r="28" spans="2:22" x14ac:dyDescent="0.2">
      <c r="B28" s="12">
        <v>5</v>
      </c>
      <c r="C28" s="12">
        <v>80</v>
      </c>
      <c r="D28" s="15">
        <f>[1]!PVT_rs_m3m3(B28,C28,gamma_gas_,gamma_oil_,gamma_wat_,Rsb_,Rp_,Pb_,Tres_,Bob_,muob_)</f>
        <v>1.8988927763676831</v>
      </c>
      <c r="E28" s="16">
        <f>[1]!PVT_bo_m3m3(B28,C28,gamma_gas_,gamma_oil_,gamma_wat_,Rsb_,Rp_,Pb_,Tres_,Bob_,muob_)</f>
        <v>1.0403173727412995</v>
      </c>
      <c r="F28" s="15">
        <f>[1]!PVT_mu_oil_cP(B28,C28,gamma_gas_,gamma_oil_,gamma_wat_,Rsb_,Rp_,Pb_,Tres_,Bob_,muob_)</f>
        <v>3.2336371116505358</v>
      </c>
      <c r="G28" s="17">
        <f>[1]!PVT_mu_gas_cP(B28,C28,gamma_gas_,gamma_oil_,gamma_wat_,Rsb_,Rp_,Pb_,Pb_,Bob_,muob_)</f>
        <v>1.2152704989797817E-2</v>
      </c>
      <c r="H28" s="16">
        <f>[1]!PVT_mu_wat_cP(B28,C28,gamma_gas_,gamma_oil_,gamma_wat_,Rsb_,Rp_,Pb_,Tres_,Bob_,muob_)</f>
        <v>0.3366698582445789</v>
      </c>
      <c r="I28" s="15">
        <f>[1]!PVT_rho_gas_kgm3(B28,C28,gamma_gas_,gamma_oil_,gamma_wat_,Rsb_,Rp_,Pb_,Tres_,Bob_,muob_)</f>
        <v>4.0777731313145678</v>
      </c>
      <c r="J28" s="15">
        <f>[1]!PVT_rho_wat_kgm3(B28,C28,gamma_gas_,gamma_oil_,gamma_wat_,Rsb_,Rp_,Pb_,Tres_,Bob_,muob_)</f>
        <v>970.6078507425874</v>
      </c>
      <c r="K28" s="15">
        <f>[1]!PVT_rho_oil_kgm3(B28,C28,gamma_gas_,gamma_oil_,gamma_wat_,Rsb_,Rp_,Pb_,Tres_,Bob_,muob_)</f>
        <v>828.45478161425683</v>
      </c>
      <c r="L28" s="22">
        <f>[1]!PVT_bg_m3m3(B28,C28,gamma_gas_,gamma_oil_,gamma_wat_,Rsb_,Rp_,Pb_,Tres_,Bob_,muob_,0,,,,PVT_str_)</f>
        <v>0.23967983713819915</v>
      </c>
      <c r="M28" s="22">
        <f>[1]!PVT_bw_m3m3(B28,C28,gamma_gas_,gamma_oil_,gamma_wat_,Rsb_,Rp_,Pb_,Tres_,Bob_,muob_,0,,,,PVT_str_)</f>
        <v>1.030282208447959</v>
      </c>
      <c r="N28" s="17" cm="1">
        <f t="array" ref="N28">[1]!PVT_ST_liqgas_Nm(B28,C28,gamma_gas_,gamma_oil_,gamma_wat_,Rsb_,Rp_,Pb_,Tres_,Bob_,muob_,0,,,,PVT_str_)</f>
        <v>6.2413684458147156E-2</v>
      </c>
      <c r="O28" s="17" cm="1">
        <f t="array" ref="O28">[1]!PVT_ST_oilgas_Nm(B28,C28,gamma_gas_,gamma_oil_,gamma_wat_,Rsb_,Rp_,Pb_,Tres_,Bob_,muob_,0,,,,PVT_str_)</f>
        <v>6.2413684458147156E-2</v>
      </c>
      <c r="P28" s="22" cm="1">
        <f t="array" ref="P28">[1]!PVT_ST_watgas_Nm(B28,C28,gamma_gas_,gamma_oil_,gamma_wat_,Rsb_,Rp_,Pb_,Tres_,Bob_,muob_,0,,,,PVT_str_)</f>
        <v>6.3826348619054896E-2</v>
      </c>
      <c r="Q28" s="32" cm="1">
        <f t="array" ref="Q28">[1]!PVT_cp_oil_JkgC(B28,C28,gamma_gas_,gamma_oil_,gamma_wat_,Rsb_,Rp_,Pb_,Tres_,Bob_,muob_,0,,,,PVT_str_)</f>
        <v>2612.2600000000002</v>
      </c>
      <c r="R28" cm="1">
        <f t="array" ref="R28">[1]!PVT_cp_gas_JkgC(B28,C28,gamma_gas_,gamma_oil_,gamma_wat_,Rsb_,Rp_,Pb_,Tres_,Bob_,muob_,0,,,,PVT_str_)</f>
        <v>1537.707795362498</v>
      </c>
      <c r="S28" cm="1">
        <f t="array" ref="S28">[1]!PVT_cp_wat_JkgC(B28,C28,gamma_gas_,gamma_oil_,gamma_wat_,Rsb_,Rp_,Pb_,Tres_,Bob_,muob_,0,,,,PVT_str_)</f>
        <v>4176</v>
      </c>
      <c r="T28" cm="1">
        <f t="array" ref="T28">[1]!PVT_compressibility_wat_1atm(B28,C28,gamma_gas_,gamma_oil_,gamma_wat_,Rsb_,Rp_,Pb_,Tres_,Bob_,muob_,0,,,,PVT_str_)</f>
        <v>4.6732053067351524E-5</v>
      </c>
      <c r="U28" cm="1">
        <f t="array" ref="U28">[1]!PVT_compressibility_oil_1atm(B28,C28,gamma_gas_,gamma_oil_,gamma_wat_,Rsb_,Rp_,Pb_,Tres_,Bob_,muob_,0,,,,PVT_str_)</f>
        <v>2.1230249033646093E-2</v>
      </c>
      <c r="V28" cm="1">
        <f t="array" ref="V28">[1]!PVT_compressibility_gas_1atm(B28,C28,gamma_gas_,gamma_oil_,gamma_wat_,Rsb_,Rp_,Pb_,Tres_,Bob_,muob_,0,,,,PVT_str_)</f>
        <v>0.20189969857019432</v>
      </c>
    </row>
    <row r="29" spans="2:22" x14ac:dyDescent="0.2">
      <c r="B29" s="12">
        <v>10</v>
      </c>
      <c r="C29" s="12">
        <v>80</v>
      </c>
      <c r="D29" s="15">
        <f>[1]!PVT_rs_m3m3(B29,C29,gamma_gas_,gamma_oil_,gamma_wat_,Rsb_,Rp_,Pb_,Tres_,Bob_,muob_)</f>
        <v>4.3746222464887934</v>
      </c>
      <c r="E29" s="16">
        <f>[1]!PVT_bo_m3m3(B29,C29,gamma_gas_,gamma_oil_,gamma_wat_,Rsb_,Rp_,Pb_,Tres_,Bob_,muob_)</f>
        <v>1.0444102727998681</v>
      </c>
      <c r="F29" s="15">
        <f>[1]!PVT_mu_oil_cP(B29,C29,gamma_gas_,gamma_oil_,gamma_wat_,Rsb_,Rp_,Pb_,Tres_,Bob_,muob_)</f>
        <v>2.9618622051682864</v>
      </c>
      <c r="G29" s="17">
        <f>[1]!PVT_mu_gas_cP(B29,C29,gamma_gas_,gamma_oil_,gamma_wat_,Rsb_,Rp_,Pb_,Pb_,Bob_,muob_)</f>
        <v>1.2232054201935603E-2</v>
      </c>
      <c r="H29" s="16">
        <f>[1]!PVT_mu_wat_cP(B29,C29,gamma_gas_,gamma_oil_,gamma_wat_,Rsb_,Rp_,Pb_,Tres_,Bob_,muob_)</f>
        <v>0.33768124309210917</v>
      </c>
      <c r="I29" s="15">
        <f>[1]!PVT_rho_gas_kgm3(B29,C29,gamma_gas_,gamma_oil_,gamma_wat_,Rsb_,Rp_,Pb_,Tres_,Bob_,muob_)</f>
        <v>8.2347583750332429</v>
      </c>
      <c r="J29" s="15">
        <f>[1]!PVT_rho_wat_kgm3(B29,C29,gamma_gas_,gamma_oil_,gamma_wat_,Rsb_,Rp_,Pb_,Tres_,Bob_,muob_)</f>
        <v>970.66190643699338</v>
      </c>
      <c r="K29" s="15">
        <f>[1]!PVT_rho_oil_kgm3(B29,C29,gamma_gas_,gamma_oil_,gamma_wat_,Rsb_,Rp_,Pb_,Tres_,Bob_,muob_)</f>
        <v>827.52497108427281</v>
      </c>
      <c r="L29" s="22">
        <f>[1]!PVT_bg_m3m3(B29,C29,gamma_gas_,gamma_oil_,gamma_wat_,Rsb_,Rp_,Pb_,Tres_,Bob_,muob_,0,,,,PVT_str_)</f>
        <v>0.1186871496998908</v>
      </c>
      <c r="M29" s="22">
        <f>[1]!PVT_bw_m3m3(B29,C29,gamma_gas_,gamma_oil_,gamma_wat_,Rsb_,Rp_,Pb_,Tres_,Bob_,muob_,0,,,,PVT_str_)</f>
        <v>1.0302248325276284</v>
      </c>
      <c r="N29" s="17" cm="1">
        <f t="array" ref="N29">[1]!PVT_ST_liqgas_Nm(B29,C29,gamma_gas_,gamma_oil_,gamma_wat_,Rsb_,Rp_,Pb_,Tres_,Bob_,muob_,0,,,,PVT_str_)</f>
        <v>5.8578466280318188E-2</v>
      </c>
      <c r="O29" s="17" cm="1">
        <f t="array" ref="O29">[1]!PVT_ST_oilgas_Nm(B29,C29,gamma_gas_,gamma_oil_,gamma_wat_,Rsb_,Rp_,Pb_,Tres_,Bob_,muob_,0,,,,PVT_str_)</f>
        <v>5.8578466280318188E-2</v>
      </c>
      <c r="P29" s="22" cm="1">
        <f t="array" ref="P29">[1]!PVT_ST_watgas_Nm(B29,C29,gamma_gas_,gamma_oil_,gamma_wat_,Rsb_,Rp_,Pb_,Tres_,Bob_,muob_,0,,,,PVT_str_)</f>
        <v>6.3095734448019331E-2</v>
      </c>
      <c r="Q29" s="32" cm="1">
        <f t="array" ref="Q29">[1]!PVT_cp_oil_JkgC(B29,C29,gamma_gas_,gamma_oil_,gamma_wat_,Rsb_,Rp_,Pb_,Tres_,Bob_,muob_,0,,,,PVT_str_)</f>
        <v>2612.2600000000002</v>
      </c>
      <c r="R29" cm="1">
        <f t="array" ref="R29">[1]!PVT_cp_gas_JkgC(B29,C29,gamma_gas_,gamma_oil_,gamma_wat_,Rsb_,Rp_,Pb_,Tres_,Bob_,muob_,0,,,,PVT_str_)</f>
        <v>1522.9162159155255</v>
      </c>
      <c r="S29" cm="1">
        <f t="array" ref="S29">[1]!PVT_cp_wat_JkgC(B29,C29,gamma_gas_,gamma_oil_,gamma_wat_,Rsb_,Rp_,Pb_,Tres_,Bob_,muob_,0,,,,PVT_str_)</f>
        <v>4176</v>
      </c>
      <c r="T29" cm="1">
        <f t="array" ref="T29">[1]!PVT_compressibility_wat_1atm(B29,C29,gamma_gas_,gamma_oil_,gamma_wat_,Rsb_,Rp_,Pb_,Tres_,Bob_,muob_,0,,,,PVT_str_)</f>
        <v>4.6654368560839736E-5</v>
      </c>
      <c r="U29" cm="1">
        <f t="array" ref="U29">[1]!PVT_compressibility_oil_1atm(B29,C29,gamma_gas_,gamma_oil_,gamma_wat_,Rsb_,Rp_,Pb_,Tres_,Bob_,muob_,0,,,,PVT_str_)</f>
        <v>1.1301707276363171E-2</v>
      </c>
      <c r="V29" cm="1">
        <f t="array" ref="V29">[1]!PVT_compressibility_gas_1atm(B29,C29,gamma_gas_,gamma_oil_,gamma_wat_,Rsb_,Rp_,Pb_,Tres_,Bob_,muob_,0,,,,PVT_str_)</f>
        <v>0.1019697010936233</v>
      </c>
    </row>
    <row r="30" spans="2:22" x14ac:dyDescent="0.2">
      <c r="B30" s="12">
        <v>20</v>
      </c>
      <c r="C30" s="12">
        <v>80</v>
      </c>
      <c r="D30" s="15">
        <f>[1]!PVT_rs_m3m3(B30,C30,gamma_gas_,gamma_oil_,gamma_wat_,Rsb_,Rp_,Pb_,Tres_,Bob_,muob_)</f>
        <v>10.078146611354052</v>
      </c>
      <c r="E30" s="16">
        <f>[1]!PVT_bo_m3m3(B30,C30,gamma_gas_,gamma_oil_,gamma_wat_,Rsb_,Rp_,Pb_,Tres_,Bob_,muob_)</f>
        <v>1.0539877935797775</v>
      </c>
      <c r="F30" s="15">
        <f>[1]!PVT_mu_oil_cP(B30,C30,gamma_gas_,gamma_oil_,gamma_wat_,Rsb_,Rp_,Pb_,Tres_,Bob_,muob_)</f>
        <v>2.4986426136130651</v>
      </c>
      <c r="G30" s="17">
        <f>[1]!PVT_mu_gas_cP(B30,C30,gamma_gas_,gamma_oil_,gamma_wat_,Rsb_,Rp_,Pb_,Pb_,Bob_,muob_)</f>
        <v>1.2434456281957959E-2</v>
      </c>
      <c r="H30" s="16">
        <f>[1]!PVT_mu_wat_cP(B30,C30,gamma_gas_,gamma_oil_,gamma_wat_,Rsb_,Rp_,Pb_,Tres_,Bob_,muob_)</f>
        <v>0.33973781166863876</v>
      </c>
      <c r="I30" s="15">
        <f>[1]!PVT_rho_gas_kgm3(B30,C30,gamma_gas_,gamma_oil_,gamma_wat_,Rsb_,Rp_,Pb_,Tres_,Bob_,muob_)</f>
        <v>16.810606939469235</v>
      </c>
      <c r="J30" s="15">
        <f>[1]!PVT_rho_wat_kgm3(B30,C30,gamma_gas_,gamma_oil_,gamma_wat_,Rsb_,Rp_,Pb_,Tres_,Bob_,muob_)</f>
        <v>970.77807803228427</v>
      </c>
      <c r="K30" s="15">
        <f>[1]!PVT_rho_oil_kgm3(B30,C30,gamma_gas_,gamma_oil_,gamma_wat_,Rsb_,Rp_,Pb_,Tres_,Bob_,muob_)</f>
        <v>825.29416628033573</v>
      </c>
      <c r="L30" s="22">
        <f>[1]!PVT_bg_m3m3(B30,C30,gamma_gas_,gamma_oil_,gamma_wat_,Rsb_,Rp_,Pb_,Tres_,Bob_,muob_,0,,,,PVT_str_)</f>
        <v>5.8139483215521454E-2</v>
      </c>
      <c r="M30" s="22">
        <f>[1]!PVT_bw_m3m3(B30,C30,gamma_gas_,gamma_oil_,gamma_wat_,Rsb_,Rp_,Pb_,Tres_,Bob_,muob_,0,,,,PVT_str_)</f>
        <v>1.0301015470260175</v>
      </c>
      <c r="N30" s="17" cm="1">
        <f t="array" ref="N30">[1]!PVT_ST_liqgas_Nm(B30,C30,gamma_gas_,gamma_oil_,gamma_wat_,Rsb_,Rp_,Pb_,Tres_,Bob_,muob_,0,,,,PVT_str_)</f>
        <v>5.1600552056456757E-2</v>
      </c>
      <c r="O30" s="17" cm="1">
        <f t="array" ref="O30">[1]!PVT_ST_oilgas_Nm(B30,C30,gamma_gas_,gamma_oil_,gamma_wat_,Rsb_,Rp_,Pb_,Tres_,Bob_,muob_,0,,,,PVT_str_)</f>
        <v>5.1600552056456757E-2</v>
      </c>
      <c r="P30" s="22" cm="1">
        <f t="array" ref="P30">[1]!PVT_ST_watgas_Nm(B30,C30,gamma_gas_,gamma_oil_,gamma_wat_,Rsb_,Rp_,Pb_,Tres_,Bob_,muob_,0,,,,PVT_str_)</f>
        <v>6.1659500186148221E-2</v>
      </c>
      <c r="Q30" s="32" cm="1">
        <f t="array" ref="Q30">[1]!PVT_cp_oil_JkgC(B30,C30,gamma_gas_,gamma_oil_,gamma_wat_,Rsb_,Rp_,Pb_,Tres_,Bob_,muob_,0,,,,PVT_str_)</f>
        <v>2612.2600000000002</v>
      </c>
      <c r="R30" cm="1">
        <f t="array" ref="R30">[1]!PVT_cp_gas_JkgC(B30,C30,gamma_gas_,gamma_oil_,gamma_wat_,Rsb_,Rp_,Pb_,Tres_,Bob_,muob_,0,,,,PVT_str_)</f>
        <v>1492.0159764178345</v>
      </c>
      <c r="S30" cm="1">
        <f t="array" ref="S30">[1]!PVT_cp_wat_JkgC(B30,C30,gamma_gas_,gamma_oil_,gamma_wat_,Rsb_,Rp_,Pb_,Tres_,Bob_,muob_,0,,,,PVT_str_)</f>
        <v>4176</v>
      </c>
      <c r="T30" cm="1">
        <f t="array" ref="T30">[1]!PVT_compressibility_wat_1atm(B30,C30,gamma_gas_,gamma_oil_,gamma_wat_,Rsb_,Rp_,Pb_,Tres_,Bob_,muob_,0,,,,PVT_str_)</f>
        <v>4.6499771808130451E-5</v>
      </c>
      <c r="U30" cm="1">
        <f t="array" ref="U30">[1]!PVT_compressibility_oil_1atm(B30,C30,gamma_gas_,gamma_oil_,gamma_wat_,Rsb_,Rp_,Pb_,Tres_,Bob_,muob_,0,,,,PVT_str_)</f>
        <v>6.4417198343459763E-3</v>
      </c>
      <c r="V30" cm="1">
        <f t="array" ref="V30">[1]!PVT_compressibility_gas_1atm(B30,C30,gamma_gas_,gamma_oil_,gamma_wat_,Rsb_,Rp_,Pb_,Tres_,Bob_,muob_,0,,,,PVT_str_)</f>
        <v>5.2134636706740373E-2</v>
      </c>
    </row>
    <row r="31" spans="2:22" x14ac:dyDescent="0.2">
      <c r="B31" s="12">
        <v>40</v>
      </c>
      <c r="C31" s="12">
        <v>80</v>
      </c>
      <c r="D31" s="15">
        <f>[1]!PVT_rs_m3m3(B31,C31,gamma_gas_,gamma_oil_,gamma_wat_,Rsb_,Rp_,Pb_,Tres_,Bob_,muob_)</f>
        <v>23.217785078807577</v>
      </c>
      <c r="E31" s="16">
        <f>[1]!PVT_bo_m3m3(B31,C31,gamma_gas_,gamma_oil_,gamma_wat_,Rsb_,Rp_,Pb_,Tres_,Bob_,muob_)</f>
        <v>1.0767538727082331</v>
      </c>
      <c r="F31" s="15">
        <f>[1]!PVT_mu_oil_cP(B31,C31,gamma_gas_,gamma_oil_,gamma_wat_,Rsb_,Rp_,Pb_,Tres_,Bob_,muob_)</f>
        <v>1.8766576953859042</v>
      </c>
      <c r="G31" s="17">
        <f>[1]!PVT_mu_gas_cP(B31,C31,gamma_gas_,gamma_oil_,gamma_wat_,Rsb_,Rp_,Pb_,Pb_,Bob_,muob_)</f>
        <v>1.2984176826364345E-2</v>
      </c>
      <c r="H31" s="16">
        <f>[1]!PVT_mu_wat_cP(B31,C31,gamma_gas_,gamma_oil_,gamma_wat_,Rsb_,Rp_,Pb_,Tres_,Bob_,muob_)</f>
        <v>0.34398614434757446</v>
      </c>
      <c r="I31" s="15">
        <f>[1]!PVT_rho_gas_kgm3(B31,C31,gamma_gas_,gamma_oil_,gamma_wat_,Rsb_,Rp_,Pb_,Tres_,Bob_,muob_)</f>
        <v>35.199473353007171</v>
      </c>
      <c r="J31" s="15">
        <f>[1]!PVT_rho_wat_kgm3(B31,C31,gamma_gas_,gamma_oil_,gamma_wat_,Rsb_,Rp_,Pb_,Tres_,Bob_,muob_)</f>
        <v>971.04268997016459</v>
      </c>
      <c r="K31" s="15">
        <f>[1]!PVT_rho_oil_kgm3(B31,C31,gamma_gas_,gamma_oil_,gamma_wat_,Rsb_,Rp_,Pb_,Tres_,Bob_,muob_)</f>
        <v>819.77149727308722</v>
      </c>
      <c r="L31" s="22">
        <f>[1]!PVT_bg_m3m3(B31,C31,gamma_gas_,gamma_oil_,gamma_wat_,Rsb_,Rp_,Pb_,Tres_,Bob_,muob_,0,,,,PVT_str_)</f>
        <v>2.7766324518503114E-2</v>
      </c>
      <c r="M31" s="22">
        <f>[1]!PVT_bw_m3m3(B31,C31,gamma_gas_,gamma_oil_,gamma_wat_,Rsb_,Rp_,Pb_,Tres_,Bob_,muob_,0,,,,PVT_str_)</f>
        <v>1.0298208413789975</v>
      </c>
      <c r="N31" s="17" cm="1">
        <f t="array" ref="N31">[1]!PVT_ST_liqgas_Nm(B31,C31,gamma_gas_,gamma_oil_,gamma_wat_,Rsb_,Rp_,Pb_,Tres_,Bob_,muob_,0,,,,PVT_str_)</f>
        <v>4.0039352970392544E-2</v>
      </c>
      <c r="O31" s="17" cm="1">
        <f t="array" ref="O31">[1]!PVT_ST_oilgas_Nm(B31,C31,gamma_gas_,gamma_oil_,gamma_wat_,Rsb_,Rp_,Pb_,Tres_,Bob_,muob_,0,,,,PVT_str_)</f>
        <v>4.0039352970392544E-2</v>
      </c>
      <c r="P31" s="22" cm="1">
        <f t="array" ref="P31">[1]!PVT_ST_watgas_Nm(B31,C31,gamma_gas_,gamma_oil_,gamma_wat_,Rsb_,Rp_,Pb_,Tres_,Bob_,muob_,0,,,,PVT_str_)</f>
        <v>5.8884365535558904E-2</v>
      </c>
      <c r="Q31" s="32" cm="1">
        <f t="array" ref="Q31">[1]!PVT_cp_oil_JkgC(B31,C31,gamma_gas_,gamma_oil_,gamma_wat_,Rsb_,Rp_,Pb_,Tres_,Bob_,muob_,0,,,,PVT_str_)</f>
        <v>2612.2600000000002</v>
      </c>
      <c r="R31" cm="1">
        <f t="array" ref="R31">[1]!PVT_cp_gas_JkgC(B31,C31,gamma_gas_,gamma_oil_,gamma_wat_,Rsb_,Rp_,Pb_,Tres_,Bob_,muob_,0,,,,PVT_str_)</f>
        <v>1425.1175791995665</v>
      </c>
      <c r="S31" cm="1">
        <f t="array" ref="S31">[1]!PVT_cp_wat_JkgC(B31,C31,gamma_gas_,gamma_oil_,gamma_wat_,Rsb_,Rp_,Pb_,Tres_,Bob_,muob_,0,,,,PVT_str_)</f>
        <v>4176</v>
      </c>
      <c r="T31" cm="1">
        <f t="array" ref="T31">[1]!PVT_compressibility_wat_1atm(B31,C31,gamma_gas_,gamma_oil_,gamma_wat_,Rsb_,Rp_,Pb_,Tres_,Bob_,muob_,0,,,,PVT_str_)</f>
        <v>4.619363175371474E-5</v>
      </c>
      <c r="U31" cm="1">
        <f t="array" ref="U31">[1]!PVT_compressibility_oil_1atm(B31,C31,gamma_gas_,gamma_oil_,gamma_wat_,Rsb_,Rp_,Pb_,Tres_,Bob_,muob_,0,,,,PVT_str_)</f>
        <v>4.1318489152865935E-3</v>
      </c>
      <c r="V31" cm="1">
        <f t="array" ref="V31">[1]!PVT_compressibility_gas_1atm(B31,C31,gamma_gas_,gamma_oil_,gamma_wat_,Rsb_,Rp_,Pb_,Tres_,Bob_,muob_,0,,,,PVT_str_)</f>
        <v>2.7429628007979268E-2</v>
      </c>
    </row>
    <row r="32" spans="2:22" x14ac:dyDescent="0.2">
      <c r="B32" s="12">
        <v>60</v>
      </c>
      <c r="C32" s="12">
        <v>80</v>
      </c>
      <c r="D32" s="15">
        <f>[1]!PVT_rs_m3m3(B32,C32,gamma_gas_,gamma_oil_,gamma_wat_,Rsb_,Rp_,Pb_,Tres_,Bob_,muob_)</f>
        <v>37.829853777030927</v>
      </c>
      <c r="E32" s="16">
        <f>[1]!PVT_bo_m3m3(B32,C32,gamma_gas_,gamma_oil_,gamma_wat_,Rsb_,Rp_,Pb_,Tres_,Bob_,muob_)</f>
        <v>1.1030546590708084</v>
      </c>
      <c r="F32" s="15">
        <f>[1]!PVT_mu_oil_cP(B32,C32,gamma_gas_,gamma_oil_,gamma_wat_,Rsb_,Rp_,Pb_,Tres_,Bob_,muob_)</f>
        <v>1.5004533256352788</v>
      </c>
      <c r="G32" s="17">
        <f>[1]!PVT_mu_gas_cP(B32,C32,gamma_gas_,gamma_oil_,gamma_wat_,Rsb_,Rp_,Pb_,Pb_,Bob_,muob_)</f>
        <v>1.3731908321690887E-2</v>
      </c>
      <c r="H32" s="16">
        <f>[1]!PVT_mu_wat_cP(B32,C32,gamma_gas_,gamma_oil_,gamma_wat_,Rsb_,Rp_,Pb_,Tres_,Bob_,muob_)</f>
        <v>0.34841473772767878</v>
      </c>
      <c r="I32" s="15">
        <f>[1]!PVT_rho_gas_kgm3(B32,C32,gamma_gas_,gamma_oil_,gamma_wat_,Rsb_,Rp_,Pb_,Tres_,Bob_,muob_)</f>
        <v>55.482279811094976</v>
      </c>
      <c r="J32" s="15">
        <f>[1]!PVT_rho_wat_kgm3(B32,C32,gamma_gas_,gamma_oil_,gamma_wat_,Rsb_,Rp_,Pb_,Tres_,Bob_,muob_)</f>
        <v>971.35038666714604</v>
      </c>
      <c r="K32" s="15">
        <f>[1]!PVT_rho_oil_kgm3(B32,C32,gamma_gas_,gamma_oil_,gamma_wat_,Rsb_,Rp_,Pb_,Tres_,Bob_,muob_)</f>
        <v>813.17220185907354</v>
      </c>
      <c r="L32" s="22">
        <f>[1]!PVT_bg_m3m3(B32,C32,gamma_gas_,gamma_oil_,gamma_wat_,Rsb_,Rp_,Pb_,Tres_,Bob_,muob_,0,,,,PVT_str_)</f>
        <v>1.7615714482672611E-2</v>
      </c>
      <c r="M32" s="22">
        <f>[1]!PVT_bw_m3m3(B32,C32,gamma_gas_,gamma_oil_,gamma_wat_,Rsb_,Rp_,Pb_,Tres_,Bob_,muob_,0,,,,PVT_str_)</f>
        <v>1.0294946228735804</v>
      </c>
      <c r="N32" s="17" cm="1">
        <f t="array" ref="N32">[1]!PVT_ST_liqgas_Nm(B32,C32,gamma_gas_,gamma_oil_,gamma_wat_,Rsb_,Rp_,Pb_,Tres_,Bob_,muob_,0,,,,PVT_str_)</f>
        <v>3.106846191361785E-2</v>
      </c>
      <c r="O32" s="17" cm="1">
        <f t="array" ref="O32">[1]!PVT_ST_oilgas_Nm(B32,C32,gamma_gas_,gamma_oil_,gamma_wat_,Rsb_,Rp_,Pb_,Tres_,Bob_,muob_,0,,,,PVT_str_)</f>
        <v>3.106846191361785E-2</v>
      </c>
      <c r="P32" s="22" cm="1">
        <f t="array" ref="P32">[1]!PVT_ST_watgas_Nm(B32,C32,gamma_gas_,gamma_oil_,gamma_wat_,Rsb_,Rp_,Pb_,Tres_,Bob_,muob_,0,,,,PVT_str_)</f>
        <v>5.6234132519034911E-2</v>
      </c>
      <c r="Q32" s="32" cm="1">
        <f t="array" ref="Q32">[1]!PVT_cp_oil_JkgC(B32,C32,gamma_gas_,gamma_oil_,gamma_wat_,Rsb_,Rp_,Pb_,Tres_,Bob_,muob_,0,,,,PVT_str_)</f>
        <v>2612.2600000000002</v>
      </c>
      <c r="R32" cm="1">
        <f t="array" ref="R32">[1]!PVT_cp_gas_JkgC(B32,C32,gamma_gas_,gamma_oil_,gamma_wat_,Rsb_,Rp_,Pb_,Tres_,Bob_,muob_,0,,,,PVT_str_)</f>
        <v>1356.2002613645091</v>
      </c>
      <c r="S32" cm="1">
        <f t="array" ref="S32">[1]!PVT_cp_wat_JkgC(B32,C32,gamma_gas_,gamma_oil_,gamma_wat_,Rsb_,Rp_,Pb_,Tres_,Bob_,muob_,0,,,,PVT_str_)</f>
        <v>4176</v>
      </c>
      <c r="T32" cm="1">
        <f t="array" ref="T32">[1]!PVT_compressibility_wat_1atm(B32,C32,gamma_gas_,gamma_oil_,gamma_wat_,Rsb_,Rp_,Pb_,Tres_,Bob_,muob_,0,,,,PVT_str_)</f>
        <v>4.5891496395679815E-5</v>
      </c>
      <c r="U32" cm="1">
        <f t="array" ref="U32">[1]!PVT_compressibility_oil_1atm(B32,C32,gamma_gas_,gamma_oil_,gamma_wat_,Rsb_,Rp_,Pb_,Tres_,Bob_,muob_,0,,,,PVT_str_)</f>
        <v>3.4299490020326222E-3</v>
      </c>
      <c r="V32" cm="1">
        <f t="array" ref="V32">[1]!PVT_compressibility_gas_1atm(B32,C32,gamma_gas_,gamma_oil_,gamma_wat_,Rsb_,Rp_,Pb_,Tres_,Bob_,muob_,0,,,,PVT_str_)</f>
        <v>1.9136259323388825E-2</v>
      </c>
    </row>
    <row r="33" spans="2:22" x14ac:dyDescent="0.2">
      <c r="B33" s="12">
        <v>80</v>
      </c>
      <c r="C33" s="12">
        <v>80</v>
      </c>
      <c r="D33" s="15">
        <f>[1]!PVT_rs_m3m3(B33,C33,gamma_gas_,gamma_oil_,gamma_wat_,Rsb_,Rp_,Pb_,Tres_,Bob_,muob_)</f>
        <v>53.488559430003505</v>
      </c>
      <c r="E33" s="16">
        <f>[1]!PVT_bo_m3m3(B33,C33,gamma_gas_,gamma_oil_,gamma_wat_,Rsb_,Rp_,Pb_,Tres_,Bob_,muob_)</f>
        <v>1.1322102757286072</v>
      </c>
      <c r="F33" s="15">
        <f>[1]!PVT_mu_oil_cP(B33,C33,gamma_gas_,gamma_oil_,gamma_wat_,Rsb_,Rp_,Pb_,Tres_,Bob_,muob_)</f>
        <v>1.2534060565552232</v>
      </c>
      <c r="G33" s="17">
        <f>[1]!PVT_mu_gas_cP(B33,C33,gamma_gas_,gamma_oil_,gamma_wat_,Rsb_,Rp_,Pb_,Pb_,Bob_,muob_)</f>
        <v>1.4696072111725578E-2</v>
      </c>
      <c r="H33" s="16">
        <f>[1]!PVT_mu_wat_cP(B33,C33,gamma_gas_,gamma_oil_,gamma_wat_,Rsb_,Rp_,Pb_,Tres_,Bob_,muob_)</f>
        <v>0.35302359180895171</v>
      </c>
      <c r="I33" s="15">
        <f>[1]!PVT_rho_gas_kgm3(B33,C33,gamma_gas_,gamma_oil_,gamma_wat_,Rsb_,Rp_,Pb_,Tres_,Bob_,muob_)</f>
        <v>77.522405843046656</v>
      </c>
      <c r="J33" s="15">
        <f>[1]!PVT_rho_wat_kgm3(B33,C33,gamma_gas_,gamma_oil_,gamma_wat_,Rsb_,Rp_,Pb_,Tres_,Bob_,muob_)</f>
        <v>971.70124991871342</v>
      </c>
      <c r="K33" s="15">
        <f>[1]!PVT_rho_oil_kgm3(B33,C33,gamma_gas_,gamma_oil_,gamma_wat_,Rsb_,Rp_,Pb_,Tres_,Bob_,muob_)</f>
        <v>805.74924817515318</v>
      </c>
      <c r="L33" s="22">
        <f>[1]!PVT_bg_m3m3(B33,C33,gamma_gas_,gamma_oil_,gamma_wat_,Rsb_,Rp_,Pb_,Tres_,Bob_,muob_,0,,,,PVT_str_)</f>
        <v>1.2607451863384913E-2</v>
      </c>
      <c r="M33" s="22">
        <f>[1]!PVT_bw_m3m3(B33,C33,gamma_gas_,gamma_oil_,gamma_wat_,Rsb_,Rp_,Pb_,Tres_,Bob_,muob_,0,,,,PVT_str_)</f>
        <v>1.0291228915097659</v>
      </c>
      <c r="N33" s="17" cm="1">
        <f t="array" ref="N33">[1]!PVT_ST_liqgas_Nm(B33,C33,gamma_gas_,gamma_oil_,gamma_wat_,Rsb_,Rp_,Pb_,Tres_,Bob_,muob_,0,,,,PVT_str_)</f>
        <v>2.4107515583273419E-2</v>
      </c>
      <c r="O33" s="17" cm="1">
        <f t="array" ref="O33">[1]!PVT_ST_oilgas_Nm(B33,C33,gamma_gas_,gamma_oil_,gamma_wat_,Rsb_,Rp_,Pb_,Tres_,Bob_,muob_,0,,,,PVT_str_)</f>
        <v>2.4107515583273419E-2</v>
      </c>
      <c r="P33" s="22" cm="1">
        <f t="array" ref="P33">[1]!PVT_ST_watgas_Nm(B33,C33,gamma_gas_,gamma_oil_,gamma_wat_,Rsb_,Rp_,Pb_,Tres_,Bob_,muob_,0,,,,PVT_str_)</f>
        <v>5.3703179637025276E-2</v>
      </c>
      <c r="Q33" s="32" cm="1">
        <f t="array" ref="Q33">[1]!PVT_cp_oil_JkgC(B33,C33,gamma_gas_,gamma_oil_,gamma_wat_,Rsb_,Rp_,Pb_,Tres_,Bob_,muob_,0,,,,PVT_str_)</f>
        <v>2612.2600000000002</v>
      </c>
      <c r="R33" cm="1">
        <f t="array" ref="R33">[1]!PVT_cp_gas_JkgC(B33,C33,gamma_gas_,gamma_oil_,gamma_wat_,Rsb_,Rp_,Pb_,Tres_,Bob_,muob_,0,,,,PVT_str_)</f>
        <v>1294.1648987390558</v>
      </c>
      <c r="S33" cm="1">
        <f t="array" ref="S33">[1]!PVT_cp_wat_JkgC(B33,C33,gamma_gas_,gamma_oil_,gamma_wat_,Rsb_,Rp_,Pb_,Tres_,Bob_,muob_,0,,,,PVT_str_)</f>
        <v>4176</v>
      </c>
      <c r="T33" cm="1">
        <f t="array" ref="T33">[1]!PVT_compressibility_wat_1atm(B33,C33,gamma_gas_,gamma_oil_,gamma_wat_,Rsb_,Rp_,Pb_,Tres_,Bob_,muob_,0,,,,PVT_str_)</f>
        <v>4.5593287664959394E-5</v>
      </c>
      <c r="U33" cm="1">
        <f t="array" ref="U33">[1]!PVT_compressibility_oil_1atm(B33,C33,gamma_gas_,gamma_oil_,gamma_wat_,Rsb_,Rp_,Pb_,Tres_,Bob_,muob_,0,,,,PVT_str_)</f>
        <v>3.11528142688658E-3</v>
      </c>
      <c r="V33" cm="1">
        <f t="array" ref="V33">[1]!PVT_compressibility_gas_1atm(B33,C33,gamma_gas_,gamma_oil_,gamma_wat_,Rsb_,Rp_,Pb_,Tres_,Bob_,muob_,0,,,,PVT_str_)</f>
        <v>1.4653230597110326E-2</v>
      </c>
    </row>
    <row r="34" spans="2:22" x14ac:dyDescent="0.2">
      <c r="B34" s="12">
        <v>100</v>
      </c>
      <c r="C34" s="12">
        <v>80</v>
      </c>
      <c r="D34" s="15">
        <f>[1]!PVT_rs_m3m3(B34,C34,gamma_gas_,gamma_oil_,gamma_wat_,Rsb_,Rp_,Pb_,Tres_,Bob_,muob_)</f>
        <v>69.974621365274885</v>
      </c>
      <c r="E34" s="16">
        <f>[1]!PVT_bo_m3m3(B34,C34,gamma_gas_,gamma_oil_,gamma_wat_,Rsb_,Rp_,Pb_,Tres_,Bob_,muob_)</f>
        <v>1.1638405832814809</v>
      </c>
      <c r="F34" s="15">
        <f>[1]!PVT_mu_oil_cP(B34,C34,gamma_gas_,gamma_oil_,gamma_wat_,Rsb_,Rp_,Pb_,Tres_,Bob_,muob_)</f>
        <v>1.0798118334263505</v>
      </c>
      <c r="G34" s="17">
        <f>[1]!PVT_mu_gas_cP(B34,C34,gamma_gas_,gamma_oil_,gamma_wat_,Rsb_,Rp_,Pb_,Pb_,Bob_,muob_)</f>
        <v>1.5875949307699977E-2</v>
      </c>
      <c r="H34" s="16">
        <f>[1]!PVT_mu_wat_cP(B34,C34,gamma_gas_,gamma_oil_,gamma_wat_,Rsb_,Rp_,Pb_,Tres_,Bob_,muob_)</f>
        <v>0.3578127065913933</v>
      </c>
      <c r="I34" s="15">
        <f>[1]!PVT_rho_gas_kgm3(B34,C34,gamma_gas_,gamma_oil_,gamma_wat_,Rsb_,Rp_,Pb_,Tres_,Bob_,muob_)</f>
        <v>100.60690514626715</v>
      </c>
      <c r="J34" s="15">
        <f>[1]!PVT_rho_wat_kgm3(B34,C34,gamma_gas_,gamma_oil_,gamma_wat_,Rsb_,Rp_,Pb_,Tres_,Bob_,muob_)</f>
        <v>972.09537309020902</v>
      </c>
      <c r="K34" s="15">
        <f>[1]!PVT_rho_oil_kgm3(B34,C34,gamma_gas_,gamma_oil_,gamma_wat_,Rsb_,Rp_,Pb_,Tres_,Bob_,muob_)</f>
        <v>797.69549994548436</v>
      </c>
      <c r="L34" s="22">
        <f>[1]!PVT_bg_m3m3(B34,C34,gamma_gas_,gamma_oil_,gamma_wat_,Rsb_,Rp_,Pb_,Tres_,Bob_,muob_,0,,,,PVT_str_)</f>
        <v>9.7146413417554898E-3</v>
      </c>
      <c r="M34" s="22">
        <f>[1]!PVT_bw_m3m3(B34,C34,gamma_gas_,gamma_oil_,gamma_wat_,Rsb_,Rp_,Pb_,Tres_,Bob_,muob_,0,,,,PVT_str_)</f>
        <v>1.0287056472875542</v>
      </c>
      <c r="N34" s="17" cm="1">
        <f t="array" ref="N34">[1]!PVT_ST_liqgas_Nm(B34,C34,gamma_gas_,gamma_oil_,gamma_wat_,Rsb_,Rp_,Pb_,Tres_,Bob_,muob_,0,,,,PVT_str_)</f>
        <v>1.8706182147466801E-2</v>
      </c>
      <c r="O34" s="17" cm="1">
        <f t="array" ref="O34">[1]!PVT_ST_oilgas_Nm(B34,C34,gamma_gas_,gamma_oil_,gamma_wat_,Rsb_,Rp_,Pb_,Tres_,Bob_,muob_,0,,,,PVT_str_)</f>
        <v>1.8706182147466801E-2</v>
      </c>
      <c r="P34" s="22" cm="1">
        <f t="array" ref="P34">[1]!PVT_ST_watgas_Nm(B34,C34,gamma_gas_,gamma_oil_,gamma_wat_,Rsb_,Rp_,Pb_,Tres_,Bob_,muob_,0,,,,PVT_str_)</f>
        <v>5.1286138399136483E-2</v>
      </c>
      <c r="Q34" s="32" cm="1">
        <f t="array" ref="Q34">[1]!PVT_cp_oil_JkgC(B34,C34,gamma_gas_,gamma_oil_,gamma_wat_,Rsb_,Rp_,Pb_,Tres_,Bob_,muob_,0,,,,PVT_str_)</f>
        <v>2612.2600000000002</v>
      </c>
      <c r="R34" cm="1">
        <f t="array" ref="R34">[1]!PVT_cp_gas_JkgC(B34,C34,gamma_gas_,gamma_oil_,gamma_wat_,Rsb_,Rp_,Pb_,Tres_,Bob_,muob_,0,,,,PVT_str_)</f>
        <v>1246.519515261087</v>
      </c>
      <c r="S34" cm="1">
        <f t="array" ref="S34">[1]!PVT_cp_wat_JkgC(B34,C34,gamma_gas_,gamma_oil_,gamma_wat_,Rsb_,Rp_,Pb_,Tres_,Bob_,muob_,0,,,,PVT_str_)</f>
        <v>4176</v>
      </c>
      <c r="T34" cm="1">
        <f t="array" ref="T34">[1]!PVT_compressibility_wat_1atm(B34,C34,gamma_gas_,gamma_oil_,gamma_wat_,Rsb_,Rp_,Pb_,Tres_,Bob_,muob_,0,,,,PVT_str_)</f>
        <v>4.5298929508596807E-5</v>
      </c>
      <c r="U34" cm="1">
        <f t="array" ref="U34">[1]!PVT_compressibility_oil_1atm(B34,C34,gamma_gas_,gamma_oil_,gamma_wat_,Rsb_,Rp_,Pb_,Tres_,Bob_,muob_,0,,,,PVT_str_)</f>
        <v>2.9494255761316431E-3</v>
      </c>
      <c r="V34" cm="1">
        <f t="array" ref="V34">[1]!PVT_compressibility_gas_1atm(B34,C34,gamma_gas_,gamma_oil_,gamma_wat_,Rsb_,Rp_,Pb_,Tres_,Bob_,muob_,0,,,,PVT_str_)</f>
        <v>1.1562048317054834E-2</v>
      </c>
    </row>
    <row r="35" spans="2:22" x14ac:dyDescent="0.2">
      <c r="B35" s="12">
        <v>120</v>
      </c>
      <c r="C35" s="12">
        <v>80</v>
      </c>
      <c r="D35" s="15">
        <f>[1]!PVT_rs_m3m3(B35,C35,gamma_gas_,gamma_oil_,gamma_wat_,Rsb_,Rp_,Pb_,Tres_,Bob_,muob_)</f>
        <v>80</v>
      </c>
      <c r="E35" s="16">
        <f>[1]!PVT_bo_m3m3(B35,C35,gamma_gas_,gamma_oil_,gamma_wat_,Rsb_,Rp_,Pb_,Tres_,Bob_,muob_)</f>
        <v>1.1806672063194985</v>
      </c>
      <c r="F35" s="15">
        <f>[1]!PVT_mu_oil_cP(B35,C35,gamma_gas_,gamma_oil_,gamma_wat_,Rsb_,Rp_,Pb_,Tres_,Bob_,muob_)</f>
        <v>1.0143832116351985</v>
      </c>
      <c r="G35" s="17">
        <f>[1]!PVT_mu_gas_cP(B35,C35,gamma_gas_,gamma_oil_,gamma_wat_,Rsb_,Rp_,Pb_,Pb_,Bob_,muob_)</f>
        <v>1.7240992045821735E-2</v>
      </c>
      <c r="H35" s="16">
        <f>[1]!PVT_mu_wat_cP(B35,C35,gamma_gas_,gamma_oil_,gamma_wat_,Rsb_,Rp_,Pb_,Tres_,Bob_,muob_)</f>
        <v>0.36278208207500345</v>
      </c>
      <c r="I35" s="15">
        <f>[1]!PVT_rho_gas_kgm3(B35,C35,gamma_gas_,gamma_oil_,gamma_wat_,Rsb_,Rp_,Pb_,Tres_,Bob_,muob_)</f>
        <v>123.70202752423371</v>
      </c>
      <c r="J35" s="15">
        <f>[1]!PVT_rho_wat_kgm3(B35,C35,gamma_gas_,gamma_oil_,gamma_wat_,Rsb_,Rp_,Pb_,Tres_,Bob_,muob_)</f>
        <v>972.53286117907339</v>
      </c>
      <c r="K35" s="15">
        <f>[1]!PVT_rho_oil_kgm3(B35,C35,gamma_gas_,gamma_oil_,gamma_wat_,Rsb_,Rp_,Pb_,Tres_,Bob_,muob_)</f>
        <v>794.62594961422019</v>
      </c>
      <c r="L35" s="22">
        <f>[1]!PVT_bg_m3m3(B35,C35,gamma_gas_,gamma_oil_,gamma_wat_,Rsb_,Rp_,Pb_,Tres_,Bob_,muob_,0,,,,PVT_str_)</f>
        <v>7.9009214283778124E-3</v>
      </c>
      <c r="M35" s="22">
        <f>[1]!PVT_bw_m3m3(B35,C35,gamma_gas_,gamma_oil_,gamma_wat_,Rsb_,Rp_,Pb_,Tres_,Bob_,muob_,0,,,,PVT_str_)</f>
        <v>1.0282428902069449</v>
      </c>
      <c r="N35" s="17" cm="1">
        <f t="array" ref="N35">[1]!PVT_ST_liqgas_Nm(B35,C35,gamma_gas_,gamma_oil_,gamma_wat_,Rsb_,Rp_,Pb_,Tres_,Bob_,muob_,0,,,,PVT_str_)</f>
        <v>1.4515027453803352E-2</v>
      </c>
      <c r="O35" s="17" cm="1">
        <f t="array" ref="O35">[1]!PVT_ST_oilgas_Nm(B35,C35,gamma_gas_,gamma_oil_,gamma_wat_,Rsb_,Rp_,Pb_,Tres_,Bob_,muob_,0,,,,PVT_str_)</f>
        <v>1.4515027453803352E-2</v>
      </c>
      <c r="P35" s="22" cm="1">
        <f t="array" ref="P35">[1]!PVT_ST_watgas_Nm(B35,C35,gamma_gas_,gamma_oil_,gamma_wat_,Rsb_,Rp_,Pb_,Tres_,Bob_,muob_,0,,,,PVT_str_)</f>
        <v>4.8977881936844617E-2</v>
      </c>
      <c r="Q35" s="32" cm="1">
        <f t="array" ref="Q35">[1]!PVT_cp_oil_JkgC(B35,C35,gamma_gas_,gamma_oil_,gamma_wat_,Rsb_,Rp_,Pb_,Tres_,Bob_,muob_,0,,,,PVT_str_)</f>
        <v>2612.2600000000002</v>
      </c>
      <c r="R35" cm="1">
        <f t="array" ref="R35">[1]!PVT_cp_gas_JkgC(B35,C35,gamma_gas_,gamma_oil_,gamma_wat_,Rsb_,Rp_,Pb_,Tres_,Bob_,muob_,0,,,,PVT_str_)</f>
        <v>1216.5537442976031</v>
      </c>
      <c r="S35" cm="1">
        <f t="array" ref="S35">[1]!PVT_cp_wat_JkgC(B35,C35,gamma_gas_,gamma_oil_,gamma_wat_,Rsb_,Rp_,Pb_,Tres_,Bob_,muob_,0,,,,PVT_str_)</f>
        <v>4176</v>
      </c>
      <c r="T35" cm="1">
        <f t="array" ref="T35">[1]!PVT_compressibility_wat_1atm(B35,C35,gamma_gas_,gamma_oil_,gamma_wat_,Rsb_,Rp_,Pb_,Tres_,Bob_,muob_,0,,,,PVT_str_)</f>
        <v>4.5008347825080729E-5</v>
      </c>
      <c r="U35" cm="1">
        <f t="array" ref="U35">[1]!PVT_compressibility_oil_1atm(B35,C35,gamma_gas_,gamma_oil_,gamma_wat_,Rsb_,Rp_,Pb_,Tres_,Bob_,muob_,0,,,,PVT_str_)</f>
        <v>2.6895456901481732E-3</v>
      </c>
      <c r="V35" cm="1">
        <f t="array" ref="V35">[1]!PVT_compressibility_gas_1atm(B35,C35,gamma_gas_,gamma_oil_,gamma_wat_,Rsb_,Rp_,Pb_,Tres_,Bob_,muob_,0,,,,PVT_str_)</f>
        <v>9.1970661574283172E-3</v>
      </c>
    </row>
    <row r="36" spans="2:22" x14ac:dyDescent="0.2">
      <c r="B36" s="12">
        <v>140</v>
      </c>
      <c r="C36" s="12">
        <v>80</v>
      </c>
      <c r="D36" s="15">
        <f>[1]!PVT_rs_m3m3(B36,C36,gamma_gas_,gamma_oil_,gamma_wat_,Rsb_,Rp_,Pb_,Tres_,Bob_,muob_)</f>
        <v>80</v>
      </c>
      <c r="E36" s="16">
        <f>[1]!PVT_bo_m3m3(B36,C36,gamma_gas_,gamma_oil_,gamma_wat_,Rsb_,Rp_,Pb_,Tres_,Bob_,muob_)</f>
        <v>1.1755656078867194</v>
      </c>
      <c r="F36" s="15">
        <f>[1]!PVT_mu_oil_cP(B36,C36,gamma_gas_,gamma_oil_,gamma_wat_,Rsb_,Rp_,Pb_,Tres_,Bob_,muob_)</f>
        <v>1.0516696946026671</v>
      </c>
      <c r="G36" s="17">
        <f>[1]!PVT_mu_gas_cP(B36,C36,gamma_gas_,gamma_oil_,gamma_wat_,Rsb_,Rp_,Pb_,Pb_,Bob_,muob_)</f>
        <v>1.8739305276369276E-2</v>
      </c>
      <c r="H36" s="16">
        <f>[1]!PVT_mu_wat_cP(B36,C36,gamma_gas_,gamma_oil_,gamma_wat_,Rsb_,Rp_,Pb_,Tres_,Bob_,muob_)</f>
        <v>0.36793171825978227</v>
      </c>
      <c r="I36" s="15">
        <f>[1]!PVT_rho_gas_kgm3(B36,C36,gamma_gas_,gamma_oil_,gamma_wat_,Rsb_,Rp_,Pb_,Tres_,Bob_,muob_)</f>
        <v>145.85007050714091</v>
      </c>
      <c r="J36" s="15">
        <f>[1]!PVT_rho_wat_kgm3(B36,C36,gamma_gas_,gamma_oil_,gamma_wat_,Rsb_,Rp_,Pb_,Tres_,Bob_,muob_)</f>
        <v>973.01383088495345</v>
      </c>
      <c r="K36" s="15">
        <f>[1]!PVT_rho_oil_kgm3(B36,C36,gamma_gas_,gamma_oil_,gamma_wat_,Rsb_,Rp_,Pb_,Tres_,Bob_,muob_)</f>
        <v>798.07438539015709</v>
      </c>
      <c r="L36" s="22">
        <f>[1]!PVT_bg_m3m3(B36,C36,gamma_gas_,gamma_oil_,gamma_wat_,Rsb_,Rp_,Pb_,Tres_,Bob_,muob_,0,,,,PVT_str_)</f>
        <v>6.7011280598054139E-3</v>
      </c>
      <c r="M36" s="22">
        <f>[1]!PVT_bw_m3m3(B36,C36,gamma_gas_,gamma_oil_,gamma_wat_,Rsb_,Rp_,Pb_,Tres_,Bob_,muob_,0,,,,PVT_str_)</f>
        <v>1.0277346202679387</v>
      </c>
      <c r="N36" s="17" cm="1">
        <f t="array" ref="N36">[1]!PVT_ST_liqgas_Nm(B36,C36,gamma_gas_,gamma_oil_,gamma_wat_,Rsb_,Rp_,Pb_,Tres_,Bob_,muob_,0,,,,PVT_str_)</f>
        <v>1.1262908717757576E-2</v>
      </c>
      <c r="O36" s="17" cm="1">
        <f t="array" ref="O36">[1]!PVT_ST_oilgas_Nm(B36,C36,gamma_gas_,gamma_oil_,gamma_wat_,Rsb_,Rp_,Pb_,Tres_,Bob_,muob_,0,,,,PVT_str_)</f>
        <v>1.1262908717757576E-2</v>
      </c>
      <c r="P36" s="22" cm="1">
        <f t="array" ref="P36">[1]!PVT_ST_watgas_Nm(B36,C36,gamma_gas_,gamma_oil_,gamma_wat_,Rsb_,Rp_,Pb_,Tres_,Bob_,muob_,0,,,,PVT_str_)</f>
        <v>4.6773514128719842E-2</v>
      </c>
      <c r="Q36" s="32" cm="1">
        <f t="array" ref="Q36">[1]!PVT_cp_oil_JkgC(B36,C36,gamma_gas_,gamma_oil_,gamma_wat_,Rsb_,Rp_,Pb_,Tres_,Bob_,muob_,0,,,,PVT_str_)</f>
        <v>2612.2600000000002</v>
      </c>
      <c r="R36" cm="1">
        <f t="array" ref="R36">[1]!PVT_cp_gas_JkgC(B36,C36,gamma_gas_,gamma_oil_,gamma_wat_,Rsb_,Rp_,Pb_,Tres_,Bob_,muob_,0,,,,PVT_str_)</f>
        <v>1203.7831608739893</v>
      </c>
      <c r="S36" cm="1">
        <f t="array" ref="S36">[1]!PVT_cp_wat_JkgC(B36,C36,gamma_gas_,gamma_oil_,gamma_wat_,Rsb_,Rp_,Pb_,Tres_,Bob_,muob_,0,,,,PVT_str_)</f>
        <v>4176</v>
      </c>
      <c r="T36" cm="1">
        <f t="array" ref="T36">[1]!PVT_compressibility_wat_1atm(B36,C36,gamma_gas_,gamma_oil_,gamma_wat_,Rsb_,Rp_,Pb_,Tres_,Bob_,muob_,0,,,,PVT_str_)</f>
        <v>4.4721470402153862E-5</v>
      </c>
      <c r="U36" cm="1">
        <f t="array" ref="U36">[1]!PVT_compressibility_oil_1atm(B36,C36,gamma_gas_,gamma_oil_,gamma_wat_,Rsb_,Rp_,Pb_,Tres_,Bob_,muob_,0,,,,PVT_str_)</f>
        <v>2.3053248772698627E-3</v>
      </c>
      <c r="V36" cm="1">
        <f t="array" ref="V36">[1]!PVT_compressibility_gas_1atm(B36,C36,gamma_gas_,gamma_oil_,gamma_wat_,Rsb_,Rp_,Pb_,Tres_,Bob_,muob_,0,,,,PVT_str_)</f>
        <v>7.345978534985257E-3</v>
      </c>
    </row>
    <row r="37" spans="2:22" x14ac:dyDescent="0.2">
      <c r="B37" s="12">
        <v>160</v>
      </c>
      <c r="C37" s="12">
        <v>80</v>
      </c>
      <c r="D37" s="15">
        <f>[1]!PVT_rs_m3m3(B37,C37,gamma_gas_,gamma_oil_,gamma_wat_,Rsb_,Rp_,Pb_,Tres_,Bob_,muob_)</f>
        <v>80</v>
      </c>
      <c r="E37" s="16">
        <f>[1]!PVT_bo_m3m3(B37,C37,gamma_gas_,gamma_oil_,gamma_wat_,Rsb_,Rp_,Pb_,Tres_,Bob_,muob_)</f>
        <v>1.1717538804745495</v>
      </c>
      <c r="F37" s="15">
        <f>[1]!PVT_mu_oil_cP(B37,C37,gamma_gas_,gamma_oil_,gamma_wat_,Rsb_,Rp_,Pb_,Tres_,Bob_,muob_)</f>
        <v>1.0946410836040577</v>
      </c>
      <c r="G37" s="17">
        <f>[1]!PVT_mu_gas_cP(B37,C37,gamma_gas_,gamma_oil_,gamma_wat_,Rsb_,Rp_,Pb_,Pb_,Bob_,muob_)</f>
        <v>2.0314190014666292E-2</v>
      </c>
      <c r="H37" s="16">
        <f>[1]!PVT_mu_wat_cP(B37,C37,gamma_gas_,gamma_oil_,gamma_wat_,Rsb_,Rp_,Pb_,Tres_,Bob_,muob_)</f>
        <v>0.3732616151457297</v>
      </c>
      <c r="I37" s="15">
        <f>[1]!PVT_rho_gas_kgm3(B37,C37,gamma_gas_,gamma_oil_,gamma_wat_,Rsb_,Rp_,Pb_,Tres_,Bob_,muob_)</f>
        <v>166.42130201910436</v>
      </c>
      <c r="J37" s="15">
        <f>[1]!PVT_rho_wat_kgm3(B37,C37,gamma_gas_,gamma_oil_,gamma_wat_,Rsb_,Rp_,Pb_,Tres_,Bob_,muob_)</f>
        <v>973.53841068777274</v>
      </c>
      <c r="K37" s="15">
        <f>[1]!PVT_rho_oil_kgm3(B37,C37,gamma_gas_,gamma_oil_,gamma_wat_,Rsb_,Rp_,Pb_,Tres_,Bob_,muob_)</f>
        <v>800.67052956551095</v>
      </c>
      <c r="L37" s="22">
        <f>[1]!PVT_bg_m3m3(B37,C37,gamma_gas_,gamma_oil_,gamma_wat_,Rsb_,Rp_,Pb_,Tres_,Bob_,muob_,0,,,,PVT_str_)</f>
        <v>5.872805873660355E-3</v>
      </c>
      <c r="M37" s="22">
        <f>[1]!PVT_bw_m3m3(B37,C37,gamma_gas_,gamma_oil_,gamma_wat_,Rsb_,Rp_,Pb_,Tres_,Bob_,muob_,0,,,,PVT_str_)</f>
        <v>1.0271808374705349</v>
      </c>
      <c r="N37" s="17" cm="1">
        <f t="array" ref="N37">[1]!PVT_ST_liqgas_Nm(B37,C37,gamma_gas_,gamma_oil_,gamma_wat_,Rsb_,Rp_,Pb_,Tres_,Bob_,muob_,0,,,,PVT_str_)</f>
        <v>8.7394331969589574E-3</v>
      </c>
      <c r="O37" s="17" cm="1">
        <f t="array" ref="O37">[1]!PVT_ST_oilgas_Nm(B37,C37,gamma_gas_,gamma_oil_,gamma_wat_,Rsb_,Rp_,Pb_,Tres_,Bob_,muob_,0,,,,PVT_str_)</f>
        <v>8.7394331969589574E-3</v>
      </c>
      <c r="P37" s="22" cm="1">
        <f t="array" ref="P37">[1]!PVT_ST_watgas_Nm(B37,C37,gamma_gas_,gamma_oil_,gamma_wat_,Rsb_,Rp_,Pb_,Tres_,Bob_,muob_,0,,,,PVT_str_)</f>
        <v>4.4668359215096334E-2</v>
      </c>
      <c r="Q37" s="32" cm="1">
        <f t="array" ref="Q37">[1]!PVT_cp_oil_JkgC(B37,C37,gamma_gas_,gamma_oil_,gamma_wat_,Rsb_,Rp_,Pb_,Tres_,Bob_,muob_,0,,,,PVT_str_)</f>
        <v>2612.2600000000002</v>
      </c>
      <c r="R37" cm="1">
        <f t="array" ref="R37">[1]!PVT_cp_gas_JkgC(B37,C37,gamma_gas_,gamma_oil_,gamma_wat_,Rsb_,Rp_,Pb_,Tres_,Bob_,muob_,0,,,,PVT_str_)</f>
        <v>1205.6963296244064</v>
      </c>
      <c r="S37" cm="1">
        <f t="array" ref="S37">[1]!PVT_cp_wat_JkgC(B37,C37,gamma_gas_,gamma_oil_,gamma_wat_,Rsb_,Rp_,Pb_,Tres_,Bob_,muob_,0,,,,PVT_str_)</f>
        <v>4176</v>
      </c>
      <c r="T37" cm="1">
        <f t="array" ref="T37">[1]!PVT_compressibility_wat_1atm(B37,C37,gamma_gas_,gamma_oil_,gamma_wat_,Rsb_,Rp_,Pb_,Tres_,Bob_,muob_,0,,,,PVT_str_)</f>
        <v>4.4438226856984943E-5</v>
      </c>
      <c r="U37" cm="1">
        <f t="array" ref="U37">[1]!PVT_compressibility_oil_1atm(B37,C37,gamma_gas_,gamma_oil_,gamma_wat_,Rsb_,Rp_,Pb_,Tres_,Bob_,muob_,0,,,,PVT_str_)</f>
        <v>2.0171592676111296E-3</v>
      </c>
      <c r="V37" cm="1">
        <f t="array" ref="V37">[1]!PVT_compressibility_gas_1atm(B37,C37,gamma_gas_,gamma_oil_,gamma_wat_,Rsb_,Rp_,Pb_,Tres_,Bob_,muob_,0,,,,PVT_str_)</f>
        <v>5.9075245508171739E-3</v>
      </c>
    </row>
    <row r="38" spans="2:22" x14ac:dyDescent="0.2">
      <c r="B38" s="12">
        <v>180</v>
      </c>
      <c r="C38" s="12">
        <v>80</v>
      </c>
      <c r="D38" s="15">
        <f>[1]!PVT_rs_m3m3(B38,C38,gamma_gas_,gamma_oil_,gamma_wat_,Rsb_,Rp_,Pb_,Tres_,Bob_,muob_)</f>
        <v>80</v>
      </c>
      <c r="E38" s="16">
        <f>[1]!PVT_bo_m3m3(B38,C38,gamma_gas_,gamma_oil_,gamma_wat_,Rsb_,Rp_,Pb_,Tres_,Bob_,muob_)</f>
        <v>1.1687977504115334</v>
      </c>
      <c r="F38" s="15">
        <f>[1]!PVT_mu_oil_cP(B38,C38,gamma_gas_,gamma_oil_,gamma_wat_,Rsb_,Rp_,Pb_,Tres_,Bob_,muob_)</f>
        <v>1.1427623596214613</v>
      </c>
      <c r="G38" s="17">
        <f>[1]!PVT_mu_gas_cP(B38,C38,gamma_gas_,gamma_oil_,gamma_wat_,Rsb_,Rp_,Pb_,Pb_,Bob_,muob_)</f>
        <v>2.1917374342552566E-2</v>
      </c>
      <c r="H38" s="16">
        <f>[1]!PVT_mu_wat_cP(B38,C38,gamma_gas_,gamma_oil_,gamma_wat_,Rsb_,Rp_,Pb_,Tres_,Bob_,muob_)</f>
        <v>0.37877177273284574</v>
      </c>
      <c r="I38" s="15">
        <f>[1]!PVT_rho_gas_kgm3(B38,C38,gamma_gas_,gamma_oil_,gamma_wat_,Rsb_,Rp_,Pb_,Tres_,Bob_,muob_)</f>
        <v>185.14561059406719</v>
      </c>
      <c r="J38" s="15">
        <f>[1]!PVT_rho_wat_kgm3(B38,C38,gamma_gas_,gamma_oil_,gamma_wat_,Rsb_,Rp_,Pb_,Tres_,Bob_,muob_)</f>
        <v>974.10674093385262</v>
      </c>
      <c r="K38" s="15">
        <f>[1]!PVT_rho_oil_kgm3(B38,C38,gamma_gas_,gamma_oil_,gamma_wat_,Rsb_,Rp_,Pb_,Tres_,Bob_,muob_)</f>
        <v>802.69559012212665</v>
      </c>
      <c r="L38" s="22">
        <f>[1]!PVT_bg_m3m3(B38,C38,gamma_gas_,gamma_oil_,gamma_wat_,Rsb_,Rp_,Pb_,Tres_,Bob_,muob_,0,,,,PVT_str_)</f>
        <v>5.2788721097086523E-3</v>
      </c>
      <c r="M38" s="22">
        <f>[1]!PVT_bw_m3m3(B38,C38,gamma_gas_,gamma_oil_,gamma_wat_,Rsb_,Rp_,Pb_,Tres_,Bob_,muob_,0,,,,PVT_str_)</f>
        <v>1.0265815418147339</v>
      </c>
      <c r="N38" s="17" cm="1">
        <f t="array" ref="N38">[1]!PVT_ST_liqgas_Nm(B38,C38,gamma_gas_,gamma_oil_,gamma_wat_,Rsb_,Rp_,Pb_,Tres_,Bob_,muob_,0,,,,PVT_str_)</f>
        <v>6.7813470319339365E-3</v>
      </c>
      <c r="O38" s="17" cm="1">
        <f t="array" ref="O38">[1]!PVT_ST_oilgas_Nm(B38,C38,gamma_gas_,gamma_oil_,gamma_wat_,Rsb_,Rp_,Pb_,Tres_,Bob_,muob_,0,,,,PVT_str_)</f>
        <v>6.7813470319339365E-3</v>
      </c>
      <c r="P38" s="22" cm="1">
        <f t="array" ref="P38">[1]!PVT_ST_watgas_Nm(B38,C38,gamma_gas_,gamma_oil_,gamma_wat_,Rsb_,Rp_,Pb_,Tres_,Bob_,muob_,0,,,,PVT_str_)</f>
        <v>4.2657951880159285E-2</v>
      </c>
      <c r="Q38" s="32" cm="1">
        <f t="array" ref="Q38">[1]!PVT_cp_oil_JkgC(B38,C38,gamma_gas_,gamma_oil_,gamma_wat_,Rsb_,Rp_,Pb_,Tres_,Bob_,muob_,0,,,,PVT_str_)</f>
        <v>2612.2600000000002</v>
      </c>
      <c r="R38" cm="1">
        <f t="array" ref="R38">[1]!PVT_cp_gas_JkgC(B38,C38,gamma_gas_,gamma_oil_,gamma_wat_,Rsb_,Rp_,Pb_,Tres_,Bob_,muob_,0,,,,PVT_str_)</f>
        <v>1219.2308876154959</v>
      </c>
      <c r="S38" cm="1">
        <f t="array" ref="S38">[1]!PVT_cp_wat_JkgC(B38,C38,gamma_gas_,gamma_oil_,gamma_wat_,Rsb_,Rp_,Pb_,Tres_,Bob_,muob_,0,,,,PVT_str_)</f>
        <v>4176</v>
      </c>
      <c r="T38" cm="1">
        <f t="array" ref="T38">[1]!PVT_compressibility_wat_1atm(B38,C38,gamma_gas_,gamma_oil_,gamma_wat_,Rsb_,Rp_,Pb_,Tres_,Bob_,muob_,0,,,,PVT_str_)</f>
        <v>4.4158548578600026E-5</v>
      </c>
      <c r="U38" cm="1">
        <f t="array" ref="U38">[1]!PVT_compressibility_oil_1atm(B38,C38,gamma_gas_,gamma_oil_,gamma_wat_,Rsb_,Rp_,Pb_,Tres_,Bob_,muob_,0,,,,PVT_str_)</f>
        <v>1.7930304600987821E-3</v>
      </c>
      <c r="V38" cm="1">
        <f t="array" ref="V38">[1]!PVT_compressibility_gas_1atm(B38,C38,gamma_gas_,gamma_oil_,gamma_wat_,Rsb_,Rp_,Pb_,Tres_,Bob_,muob_,0,,,,PVT_str_)</f>
        <v>4.8014943984046364E-3</v>
      </c>
    </row>
    <row r="39" spans="2:22" x14ac:dyDescent="0.2">
      <c r="B39" s="12">
        <v>200</v>
      </c>
      <c r="C39" s="12">
        <v>80</v>
      </c>
      <c r="D39" s="15">
        <f>[1]!PVT_rs_m3m3(B39,C39,gamma_gas_,gamma_oil_,gamma_wat_,Rsb_,Rp_,Pb_,Tres_,Bob_,muob_)</f>
        <v>80</v>
      </c>
      <c r="E39" s="16">
        <f>[1]!PVT_bo_m3m3(B39,C39,gamma_gas_,gamma_oil_,gamma_wat_,Rsb_,Rp_,Pb_,Tres_,Bob_,muob_)</f>
        <v>1.166438216880211</v>
      </c>
      <c r="F39" s="15">
        <f>[1]!PVT_mu_oil_cP(B39,C39,gamma_gas_,gamma_oil_,gamma_wat_,Rsb_,Rp_,Pb_,Tres_,Bob_,muob_)</f>
        <v>1.1956079698529822</v>
      </c>
      <c r="G39" s="17">
        <f>[1]!PVT_mu_gas_cP(B39,C39,gamma_gas_,gamma_oil_,gamma_wat_,Rsb_,Rp_,Pb_,Pb_,Bob_,muob_)</f>
        <v>2.3514396112959614E-2</v>
      </c>
      <c r="H39" s="16">
        <f>[1]!PVT_mu_wat_cP(B39,C39,gamma_gas_,gamma_oil_,gamma_wat_,Rsb_,Rp_,Pb_,Tres_,Bob_,muob_)</f>
        <v>0.38446219102113038</v>
      </c>
      <c r="I39" s="15">
        <f>[1]!PVT_rho_gas_kgm3(B39,C39,gamma_gas_,gamma_oil_,gamma_wat_,Rsb_,Rp_,Pb_,Tres_,Bob_,muob_)</f>
        <v>202.01571438595934</v>
      </c>
      <c r="J39" s="15">
        <f>[1]!PVT_rho_wat_kgm3(B39,C39,gamma_gas_,gamma_oil_,gamma_wat_,Rsb_,Rp_,Pb_,Tres_,Bob_,muob_)</f>
        <v>974.71897393020072</v>
      </c>
      <c r="K39" s="15">
        <f>[1]!PVT_rho_oil_kgm3(B39,C39,gamma_gas_,gamma_oil_,gamma_wat_,Rsb_,Rp_,Pb_,Tres_,Bob_,muob_)</f>
        <v>804.31932563844362</v>
      </c>
      <c r="L39" s="22">
        <f>[1]!PVT_bg_m3m3(B39,C39,gamma_gas_,gamma_oil_,gamma_wat_,Rsb_,Rp_,Pb_,Tres_,Bob_,muob_,0,,,,PVT_str_)</f>
        <v>4.8380394711904119E-3</v>
      </c>
      <c r="M39" s="22">
        <f>[1]!PVT_bw_m3m3(B39,C39,gamma_gas_,gamma_oil_,gamma_wat_,Rsb_,Rp_,Pb_,Tres_,Bob_,muob_,0,,,,PVT_str_)</f>
        <v>1.0259367333005356</v>
      </c>
      <c r="N39" s="17" cm="1">
        <f t="array" ref="N39">[1]!PVT_ST_liqgas_Nm(B39,C39,gamma_gas_,gamma_oil_,gamma_wat_,Rsb_,Rp_,Pb_,Tres_,Bob_,muob_,0,,,,PVT_str_)</f>
        <v>5.2619736922436943E-3</v>
      </c>
      <c r="O39" s="17" cm="1">
        <f t="array" ref="O39">[1]!PVT_ST_oilgas_Nm(B39,C39,gamma_gas_,gamma_oil_,gamma_wat_,Rsb_,Rp_,Pb_,Tres_,Bob_,muob_,0,,,,PVT_str_)</f>
        <v>5.2619736922436943E-3</v>
      </c>
      <c r="P39" s="22" cm="1">
        <f t="array" ref="P39">[1]!PVT_ST_watgas_Nm(B39,C39,gamma_gas_,gamma_oil_,gamma_wat_,Rsb_,Rp_,Pb_,Tres_,Bob_,muob_,0,,,,PVT_str_)</f>
        <v>4.073802778041128E-2</v>
      </c>
      <c r="Q39" s="32" cm="1">
        <f t="array" ref="Q39">[1]!PVT_cp_oil_JkgC(B39,C39,gamma_gas_,gamma_oil_,gamma_wat_,Rsb_,Rp_,Pb_,Tres_,Bob_,muob_,0,,,,PVT_str_)</f>
        <v>2612.2600000000002</v>
      </c>
      <c r="R39" cm="1">
        <f t="array" ref="R39">[1]!PVT_cp_gas_JkgC(B39,C39,gamma_gas_,gamma_oil_,gamma_wat_,Rsb_,Rp_,Pb_,Tres_,Bob_,muob_,0,,,,PVT_str_)</f>
        <v>1241.5714392915497</v>
      </c>
      <c r="S39" cm="1">
        <f t="array" ref="S39">[1]!PVT_cp_wat_JkgC(B39,C39,gamma_gas_,gamma_oil_,gamma_wat_,Rsb_,Rp_,Pb_,Tres_,Bob_,muob_,0,,,,PVT_str_)</f>
        <v>4176</v>
      </c>
      <c r="T39" cm="1">
        <f t="array" ref="T39">[1]!PVT_compressibility_wat_1atm(B39,C39,gamma_gas_,gamma_oil_,gamma_wat_,Rsb_,Rp_,Pb_,Tres_,Bob_,muob_,0,,,,PVT_str_)</f>
        <v>4.388236867247399E-5</v>
      </c>
      <c r="U39" cm="1">
        <f t="array" ref="U39">[1]!PVT_compressibility_oil_1atm(B39,C39,gamma_gas_,gamma_oil_,gamma_wat_,Rsb_,Rp_,Pb_,Tres_,Bob_,muob_,0,,,,PVT_str_)</f>
        <v>1.6137274140889037E-3</v>
      </c>
      <c r="V39" cm="1">
        <f t="array" ref="V39">[1]!PVT_compressibility_gas_1atm(B39,C39,gamma_gas_,gamma_oil_,gamma_wat_,Rsb_,Rp_,Pb_,Tres_,Bob_,muob_,0,,,,PVT_str_)</f>
        <v>3.9549135143913785E-3</v>
      </c>
    </row>
    <row r="40" spans="2:22" x14ac:dyDescent="0.2">
      <c r="B40" s="12">
        <v>220</v>
      </c>
      <c r="C40" s="12">
        <v>80</v>
      </c>
      <c r="D40" s="15">
        <f>[1]!PVT_rs_m3m3(B40,C40,gamma_gas_,gamma_oil_,gamma_wat_,Rsb_,Rp_,Pb_,Tres_,Bob_,muob_)</f>
        <v>80</v>
      </c>
      <c r="E40" s="16">
        <f>[1]!PVT_bo_m3m3(B40,C40,gamma_gas_,gamma_oil_,gamma_wat_,Rsb_,Rp_,Pb_,Tres_,Bob_,muob_)</f>
        <v>1.1645112328704792</v>
      </c>
      <c r="F40" s="15">
        <f>[1]!PVT_mu_oil_cP(B40,C40,gamma_gas_,gamma_oil_,gamma_wat_,Rsb_,Rp_,Pb_,Tres_,Bob_,muob_)</f>
        <v>1.2528187080253692</v>
      </c>
      <c r="G40" s="17">
        <f>[1]!PVT_mu_gas_cP(B40,C40,gamma_gas_,gamma_oil_,gamma_wat_,Rsb_,Rp_,Pb_,Pb_,Bob_,muob_)</f>
        <v>2.5083831869427847E-2</v>
      </c>
      <c r="H40" s="16">
        <f>[1]!PVT_mu_wat_cP(B40,C40,gamma_gas_,gamma_oil_,gamma_wat_,Rsb_,Rp_,Pb_,Tres_,Bob_,muob_)</f>
        <v>0.39033287001058364</v>
      </c>
      <c r="I40" s="15">
        <f>[1]!PVT_rho_gas_kgm3(B40,C40,gamma_gas_,gamma_oil_,gamma_wat_,Rsb_,Rp_,Pb_,Tres_,Bob_,muob_)</f>
        <v>217.16838075139015</v>
      </c>
      <c r="J40" s="15">
        <f>[1]!PVT_rho_wat_kgm3(B40,C40,gamma_gas_,gamma_oil_,gamma_wat_,Rsb_,Rp_,Pb_,Tres_,Bob_,muob_)</f>
        <v>975.37527404707998</v>
      </c>
      <c r="K40" s="15">
        <f>[1]!PVT_rho_oil_kgm3(B40,C40,gamma_gas_,gamma_oil_,gamma_wat_,Rsb_,Rp_,Pb_,Tres_,Bob_,muob_)</f>
        <v>805.65027929133635</v>
      </c>
      <c r="L40" s="22">
        <f>[1]!PVT_bg_m3m3(B40,C40,gamma_gas_,gamma_oil_,gamma_wat_,Rsb_,Rp_,Pb_,Tres_,Bob_,muob_,0,,,,PVT_str_)</f>
        <v>4.5004710014339587E-3</v>
      </c>
      <c r="M40" s="22">
        <f>[1]!PVT_bw_m3m3(B40,C40,gamma_gas_,gamma_oil_,gamma_wat_,Rsb_,Rp_,Pb_,Tres_,Bob_,muob_,0,,,,PVT_str_)</f>
        <v>1.0252464119279401</v>
      </c>
      <c r="N40" s="17" cm="1">
        <f t="array" ref="N40">[1]!PVT_ST_liqgas_Nm(B40,C40,gamma_gas_,gamma_oil_,gamma_wat_,Rsb_,Rp_,Pb_,Tres_,Bob_,muob_,0,,,,PVT_str_)</f>
        <v>4.083018758290629E-3</v>
      </c>
      <c r="O40" s="17" cm="1">
        <f t="array" ref="O40">[1]!PVT_ST_oilgas_Nm(B40,C40,gamma_gas_,gamma_oil_,gamma_wat_,Rsb_,Rp_,Pb_,Tres_,Bob_,muob_,0,,,,PVT_str_)</f>
        <v>4.083018758290629E-3</v>
      </c>
      <c r="P40" s="22" cm="1">
        <f t="array" ref="P40">[1]!PVT_ST_watgas_Nm(B40,C40,gamma_gas_,gamma_oil_,gamma_wat_,Rsb_,Rp_,Pb_,Tres_,Bob_,muob_,0,,,,PVT_str_)</f>
        <v>3.8904514499428069E-2</v>
      </c>
      <c r="Q40" s="32" cm="1">
        <f t="array" ref="Q40">[1]!PVT_cp_oil_JkgC(B40,C40,gamma_gas_,gamma_oil_,gamma_wat_,Rsb_,Rp_,Pb_,Tres_,Bob_,muob_,0,,,,PVT_str_)</f>
        <v>2612.2600000000002</v>
      </c>
      <c r="R40" cm="1">
        <f t="array" ref="R40">[1]!PVT_cp_gas_JkgC(B40,C40,gamma_gas_,gamma_oil_,gamma_wat_,Rsb_,Rp_,Pb_,Tres_,Bob_,muob_,0,,,,PVT_str_)</f>
        <v>1270.4364900731005</v>
      </c>
      <c r="S40" cm="1">
        <f t="array" ref="S40">[1]!PVT_cp_wat_JkgC(B40,C40,gamma_gas_,gamma_oil_,gamma_wat_,Rsb_,Rp_,Pb_,Tres_,Bob_,muob_,0,,,,PVT_str_)</f>
        <v>4176</v>
      </c>
      <c r="T40" cm="1">
        <f t="array" ref="T40">[1]!PVT_compressibility_wat_1atm(B40,C40,gamma_gas_,gamma_oil_,gamma_wat_,Rsb_,Rp_,Pb_,Tres_,Bob_,muob_,0,,,,PVT_str_)</f>
        <v>4.3609621907188401E-5</v>
      </c>
      <c r="U40" cm="1">
        <f t="array" ref="U40">[1]!PVT_compressibility_oil_1atm(B40,C40,gamma_gas_,gamma_oil_,gamma_wat_,Rsb_,Rp_,Pb_,Tres_,Bob_,muob_,0,,,,PVT_str_)</f>
        <v>1.4670249218990035E-3</v>
      </c>
      <c r="V40" cm="1">
        <f t="array" ref="V40">[1]!PVT_compressibility_gas_1atm(B40,C40,gamma_gas_,gamma_oil_,gamma_wat_,Rsb_,Rp_,Pb_,Tres_,Bob_,muob_,0,,,,PVT_str_)</f>
        <v>3.3049207732548627E-3</v>
      </c>
    </row>
    <row r="41" spans="2:22" x14ac:dyDescent="0.2">
      <c r="B41" s="12">
        <v>240</v>
      </c>
      <c r="C41" s="12">
        <v>80</v>
      </c>
      <c r="D41" s="15">
        <f>[1]!PVT_rs_m3m3(B41,C41,gamma_gas_,gamma_oil_,gamma_wat_,Rsb_,Rp_,Pb_,Tres_,Bob_,muob_)</f>
        <v>80</v>
      </c>
      <c r="E41" s="16">
        <f>[1]!PVT_bo_m3m3(B41,C41,gamma_gas_,gamma_oil_,gamma_wat_,Rsb_,Rp_,Pb_,Tres_,Bob_,muob_)</f>
        <v>1.1629078448678596</v>
      </c>
      <c r="F41" s="15">
        <f>[1]!PVT_mu_oil_cP(B41,C41,gamma_gas_,gamma_oil_,gamma_wat_,Rsb_,Rp_,Pb_,Tres_,Bob_,muob_)</f>
        <v>1.3140740183946702</v>
      </c>
      <c r="G41" s="17">
        <f>[1]!PVT_mu_gas_cP(B41,C41,gamma_gas_,gamma_oil_,gamma_wat_,Rsb_,Rp_,Pb_,Pb_,Bob_,muob_)</f>
        <v>2.6613890827450862E-2</v>
      </c>
      <c r="H41" s="16">
        <f>[1]!PVT_mu_wat_cP(B41,C41,gamma_gas_,gamma_oil_,gamma_wat_,Rsb_,Rp_,Pb_,Tres_,Bob_,muob_)</f>
        <v>0.39638380970120551</v>
      </c>
      <c r="I41" s="15">
        <f>[1]!PVT_rho_gas_kgm3(B41,C41,gamma_gas_,gamma_oil_,gamma_wat_,Rsb_,Rp_,Pb_,Tres_,Bob_,muob_)</f>
        <v>230.79581933914827</v>
      </c>
      <c r="J41" s="15">
        <f>[1]!PVT_rho_wat_kgm3(B41,C41,gamma_gas_,gamma_oil_,gamma_wat_,Rsb_,Rp_,Pb_,Tres_,Bob_,muob_)</f>
        <v>976.07581782899126</v>
      </c>
      <c r="K41" s="15">
        <f>[1]!PVT_rho_oil_kgm3(B41,C41,gamma_gas_,gamma_oil_,gamma_wat_,Rsb_,Rp_,Pb_,Tres_,Bob_,muob_)</f>
        <v>806.76108957421798</v>
      </c>
      <c r="L41" s="22">
        <f>[1]!PVT_bg_m3m3(B41,C41,gamma_gas_,gamma_oil_,gamma_wat_,Rsb_,Rp_,Pb_,Tres_,Bob_,muob_,0,,,,PVT_str_)</f>
        <v>4.2347387521946217E-3</v>
      </c>
      <c r="M41" s="22">
        <f>[1]!PVT_bw_m3m3(B41,C41,gamma_gas_,gamma_oil_,gamma_wat_,Rsb_,Rp_,Pb_,Tres_,Bob_,muob_,0,,,,PVT_str_)</f>
        <v>1.0245105776969472</v>
      </c>
      <c r="N41" s="17" cm="1">
        <f t="array" ref="N41">[1]!PVT_ST_liqgas_Nm(B41,C41,gamma_gas_,gamma_oil_,gamma_wat_,Rsb_,Rp_,Pb_,Tres_,Bob_,muob_,0,,,,PVT_str_)</f>
        <v>3.1682108569122563E-3</v>
      </c>
      <c r="O41" s="17" cm="1">
        <f t="array" ref="O41">[1]!PVT_ST_oilgas_Nm(B41,C41,gamma_gas_,gamma_oil_,gamma_wat_,Rsb_,Rp_,Pb_,Tres_,Bob_,muob_,0,,,,PVT_str_)</f>
        <v>3.1682108569122563E-3</v>
      </c>
      <c r="P41" s="22" cm="1">
        <f t="array" ref="P41">[1]!PVT_ST_watgas_Nm(B41,C41,gamma_gas_,gamma_oil_,gamma_wat_,Rsb_,Rp_,Pb_,Tres_,Bob_,muob_,0,,,,PVT_str_)</f>
        <v>3.7153522909717261E-2</v>
      </c>
      <c r="Q41" s="32" cm="1">
        <f t="array" ref="Q41">[1]!PVT_cp_oil_JkgC(B41,C41,gamma_gas_,gamma_oil_,gamma_wat_,Rsb_,Rp_,Pb_,Tres_,Bob_,muob_,0,,,,PVT_str_)</f>
        <v>2612.2600000000002</v>
      </c>
      <c r="R41" cm="1">
        <f t="array" ref="R41">[1]!PVT_cp_gas_JkgC(B41,C41,gamma_gas_,gamma_oil_,gamma_wat_,Rsb_,Rp_,Pb_,Tres_,Bob_,muob_,0,,,,PVT_str_)</f>
        <v>1304.0978401837551</v>
      </c>
      <c r="S41" cm="1">
        <f t="array" ref="S41">[1]!PVT_cp_wat_JkgC(B41,C41,gamma_gas_,gamma_oil_,gamma_wat_,Rsb_,Rp_,Pb_,Tres_,Bob_,muob_,0,,,,PVT_str_)</f>
        <v>4176</v>
      </c>
      <c r="T41" cm="1">
        <f t="array" ref="T41">[1]!PVT_compressibility_wat_1atm(B41,C41,gamma_gas_,gamma_oil_,gamma_wat_,Rsb_,Rp_,Pb_,Tres_,Bob_,muob_,0,,,,PVT_str_)</f>
        <v>4.3340244663066393E-5</v>
      </c>
      <c r="U41" cm="1">
        <f t="array" ref="U41">[1]!PVT_compressibility_oil_1atm(B41,C41,gamma_gas_,gamma_oil_,gamma_wat_,Rsb_,Rp_,Pb_,Tres_,Bob_,muob_,0,,,,PVT_str_)</f>
        <v>1.3447728450740866E-3</v>
      </c>
      <c r="V41" cm="1">
        <f t="array" ref="V41">[1]!PVT_compressibility_gas_1atm(B41,C41,gamma_gas_,gamma_oil_,gamma_wat_,Rsb_,Rp_,Pb_,Tres_,Bob_,muob_,0,,,,PVT_str_)</f>
        <v>2.8011821978184128E-3</v>
      </c>
    </row>
    <row r="42" spans="2:22" x14ac:dyDescent="0.2">
      <c r="B42" s="12">
        <v>260</v>
      </c>
      <c r="C42" s="12">
        <v>80</v>
      </c>
      <c r="D42" s="15">
        <f>[1]!PVT_rs_m3m3(B42,C42,gamma_gas_,gamma_oil_,gamma_wat_,Rsb_,Rp_,Pb_,Tres_,Bob_,muob_)</f>
        <v>80</v>
      </c>
      <c r="E42" s="16">
        <f>[1]!PVT_bo_m3m3(B42,C42,gamma_gas_,gamma_oil_,gamma_wat_,Rsb_,Rp_,Pb_,Tres_,Bob_,muob_)</f>
        <v>1.1615528563960342</v>
      </c>
      <c r="F42" s="15">
        <f>[1]!PVT_mu_oil_cP(B42,C42,gamma_gas_,gamma_oil_,gamma_wat_,Rsb_,Rp_,Pb_,Tres_,Bob_,muob_)</f>
        <v>1.379073697959414</v>
      </c>
      <c r="G42" s="17">
        <f>[1]!PVT_mu_gas_cP(B42,C42,gamma_gas_,gamma_oil_,gamma_wat_,Rsb_,Rp_,Pb_,Pb_,Bob_,muob_)</f>
        <v>2.8098871526802589E-2</v>
      </c>
      <c r="H42" s="16">
        <f>[1]!PVT_mu_wat_cP(B42,C42,gamma_gas_,gamma_oil_,gamma_wat_,Rsb_,Rp_,Pb_,Tres_,Bob_,muob_)</f>
        <v>0.40261501009299605</v>
      </c>
      <c r="I42" s="15">
        <f>[1]!PVT_rho_gas_kgm3(B42,C42,gamma_gas_,gamma_oil_,gamma_wat_,Rsb_,Rp_,Pb_,Tres_,Bob_,muob_)</f>
        <v>243.09490745404341</v>
      </c>
      <c r="J42" s="15">
        <f>[1]!PVT_rho_wat_kgm3(B42,C42,gamma_gas_,gamma_oil_,gamma_wat_,Rsb_,Rp_,Pb_,Tres_,Bob_,muob_)</f>
        <v>976.82079411420705</v>
      </c>
      <c r="K42" s="15">
        <f>[1]!PVT_rho_oil_kgm3(B42,C42,gamma_gas_,gamma_oil_,gamma_wat_,Rsb_,Rp_,Pb_,Tres_,Bob_,muob_)</f>
        <v>807.70220212873573</v>
      </c>
      <c r="L42" s="22">
        <f>[1]!PVT_bg_m3m3(B42,C42,gamma_gas_,gamma_oil_,gamma_wat_,Rsb_,Rp_,Pb_,Tres_,Bob_,muob_,0,,,,PVT_str_)</f>
        <v>4.0204873488958954E-3</v>
      </c>
      <c r="M42" s="22">
        <f>[1]!PVT_bw_m3m3(B42,C42,gamma_gas_,gamma_oil_,gamma_wat_,Rsb_,Rp_,Pb_,Tres_,Bob_,muob_,0,,,,PVT_str_)</f>
        <v>1.0237292306075569</v>
      </c>
      <c r="N42" s="17" cm="1">
        <f t="array" ref="N42">[1]!PVT_ST_liqgas_Nm(B42,C42,gamma_gas_,gamma_oil_,gamma_wat_,Rsb_,Rp_,Pb_,Tres_,Bob_,muob_,0,,,,PVT_str_)</f>
        <v>2.458367357111765E-3</v>
      </c>
      <c r="O42" s="17" cm="1">
        <f t="array" ref="O42">[1]!PVT_ST_oilgas_Nm(B42,C42,gamma_gas_,gamma_oil_,gamma_wat_,Rsb_,Rp_,Pb_,Tres_,Bob_,muob_,0,,,,PVT_str_)</f>
        <v>2.458367357111765E-3</v>
      </c>
      <c r="P42" s="22" cm="1">
        <f t="array" ref="P42">[1]!PVT_ST_watgas_Nm(B42,C42,gamma_gas_,gamma_oil_,gamma_wat_,Rsb_,Rp_,Pb_,Tres_,Bob_,muob_,0,,,,PVT_str_)</f>
        <v>3.5481338923357551E-2</v>
      </c>
      <c r="Q42" s="32" cm="1">
        <f t="array" ref="Q42">[1]!PVT_cp_oil_JkgC(B42,C42,gamma_gas_,gamma_oil_,gamma_wat_,Rsb_,Rp_,Pb_,Tres_,Bob_,muob_,0,,,,PVT_str_)</f>
        <v>2612.2600000000002</v>
      </c>
      <c r="R42" cm="1">
        <f t="array" ref="R42">[1]!PVT_cp_gas_JkgC(B42,C42,gamma_gas_,gamma_oil_,gamma_wat_,Rsb_,Rp_,Pb_,Tres_,Bob_,muob_,0,,,,PVT_str_)</f>
        <v>1341.2951635452644</v>
      </c>
      <c r="S42" cm="1">
        <f t="array" ref="S42">[1]!PVT_cp_wat_JkgC(B42,C42,gamma_gas_,gamma_oil_,gamma_wat_,Rsb_,Rp_,Pb_,Tres_,Bob_,muob_,0,,,,PVT_str_)</f>
        <v>4176</v>
      </c>
      <c r="T42" cm="1">
        <f t="array" ref="T42">[1]!PVT_compressibility_wat_1atm(B42,C42,gamma_gas_,gamma_oil_,gamma_wat_,Rsb_,Rp_,Pb_,Tres_,Bob_,muob_,0,,,,PVT_str_)</f>
        <v>4.3074174882699449E-5</v>
      </c>
      <c r="U42" cm="1">
        <f t="array" ref="U42">[1]!PVT_compressibility_oil_1atm(B42,C42,gamma_gas_,gamma_oil_,gamma_wat_,Rsb_,Rp_,Pb_,Tres_,Bob_,muob_,0,,,,PVT_str_)</f>
        <v>1.2413287800683876E-3</v>
      </c>
      <c r="V42" cm="1">
        <f t="array" ref="V42">[1]!PVT_compressibility_gas_1atm(B42,C42,gamma_gas_,gamma_oil_,gamma_wat_,Rsb_,Rp_,Pb_,Tres_,Bob_,muob_,0,,,,PVT_str_)</f>
        <v>2.4055020277298348E-3</v>
      </c>
    </row>
    <row r="43" spans="2:22" x14ac:dyDescent="0.2">
      <c r="B43" s="12">
        <v>280</v>
      </c>
      <c r="C43" s="12">
        <v>80</v>
      </c>
      <c r="D43" s="15">
        <f>[1]!PVT_rs_m3m3(B43,C43,gamma_gas_,gamma_oil_,gamma_wat_,Rsb_,Rp_,Pb_,Tres_,Bob_,muob_)</f>
        <v>80</v>
      </c>
      <c r="E43" s="16">
        <f>[1]!PVT_bo_m3m3(B43,C43,gamma_gas_,gamma_oil_,gamma_wat_,Rsb_,Rp_,Pb_,Tres_,Bob_,muob_)</f>
        <v>1.1603926943680385</v>
      </c>
      <c r="F43" s="15">
        <f>[1]!PVT_mu_oil_cP(B43,C43,gamma_gas_,gamma_oil_,gamma_wat_,Rsb_,Rp_,Pb_,Tres_,Bob_,muob_)</f>
        <v>1.4475256460716339</v>
      </c>
      <c r="G43" s="17">
        <f>[1]!PVT_mu_gas_cP(B43,C43,gamma_gas_,gamma_oil_,gamma_wat_,Rsb_,Rp_,Pb_,Pb_,Bob_,muob_)</f>
        <v>2.9536501483992422E-2</v>
      </c>
      <c r="H43" s="16">
        <f>[1]!PVT_mu_wat_cP(B43,C43,gamma_gas_,gamma_oil_,gamma_wat_,Rsb_,Rp_,Pb_,Tres_,Bob_,muob_)</f>
        <v>0.4090264711859552</v>
      </c>
      <c r="I43" s="15">
        <f>[1]!PVT_rho_gas_kgm3(B43,C43,gamma_gas_,gamma_oil_,gamma_wat_,Rsb_,Rp_,Pb_,Tres_,Bob_,muob_)</f>
        <v>254.24416166569722</v>
      </c>
      <c r="J43" s="15">
        <f>[1]!PVT_rho_wat_kgm3(B43,C43,gamma_gas_,gamma_oil_,gamma_wat_,Rsb_,Rp_,Pb_,Tres_,Bob_,muob_)</f>
        <v>977.61040416301159</v>
      </c>
      <c r="K43" s="15">
        <f>[1]!PVT_rho_oil_kgm3(B43,C43,gamma_gas_,gamma_oil_,gamma_wat_,Rsb_,Rp_,Pb_,Tres_,Bob_,muob_)</f>
        <v>808.50974377337582</v>
      </c>
      <c r="L43" s="22">
        <f>[1]!PVT_bg_m3m3(B43,C43,gamma_gas_,gamma_oil_,gamma_wat_,Rsb_,Rp_,Pb_,Tres_,Bob_,muob_,0,,,,PVT_str_)</f>
        <v>3.8441787358921529E-3</v>
      </c>
      <c r="M43" s="22">
        <f>[1]!PVT_bw_m3m3(B43,C43,gamma_gas_,gamma_oil_,gamma_wat_,Rsb_,Rp_,Pb_,Tres_,Bob_,muob_,0,,,,PVT_str_)</f>
        <v>1.0229023706597695</v>
      </c>
      <c r="N43" s="17" cm="1">
        <f t="array" ref="N43">[1]!PVT_ST_liqgas_Nm(B43,C43,gamma_gas_,gamma_oil_,gamma_wat_,Rsb_,Rp_,Pb_,Tres_,Bob_,muob_,0,,,,PVT_str_)</f>
        <v>1.9075656057825508E-3</v>
      </c>
      <c r="O43" s="17" cm="1">
        <f t="array" ref="O43">[1]!PVT_ST_oilgas_Nm(B43,C43,gamma_gas_,gamma_oil_,gamma_wat_,Rsb_,Rp_,Pb_,Tres_,Bob_,muob_,0,,,,PVT_str_)</f>
        <v>1.9075656057825508E-3</v>
      </c>
      <c r="P43" s="22" cm="1">
        <f t="array" ref="P43">[1]!PVT_ST_watgas_Nm(B43,C43,gamma_gas_,gamma_oil_,gamma_wat_,Rsb_,Rp_,Pb_,Tres_,Bob_,muob_,0,,,,PVT_str_)</f>
        <v>3.3884415613920256E-2</v>
      </c>
      <c r="Q43" s="32" cm="1">
        <f t="array" ref="Q43">[1]!PVT_cp_oil_JkgC(B43,C43,gamma_gas_,gamma_oil_,gamma_wat_,Rsb_,Rp_,Pb_,Tres_,Bob_,muob_,0,,,,PVT_str_)</f>
        <v>2612.2600000000002</v>
      </c>
      <c r="R43" cm="1">
        <f t="array" ref="R43">[1]!PVT_cp_gas_JkgC(B43,C43,gamma_gas_,gamma_oil_,gamma_wat_,Rsb_,Rp_,Pb_,Tres_,Bob_,muob_,0,,,,PVT_str_)</f>
        <v>1381.1279499085433</v>
      </c>
      <c r="S43" cm="1">
        <f t="array" ref="S43">[1]!PVT_cp_wat_JkgC(B43,C43,gamma_gas_,gamma_oil_,gamma_wat_,Rsb_,Rp_,Pb_,Tres_,Bob_,muob_,0,,,,PVT_str_)</f>
        <v>4176</v>
      </c>
      <c r="T43" cm="1">
        <f t="array" ref="T43">[1]!PVT_compressibility_wat_1atm(B43,C43,gamma_gas_,gamma_oil_,gamma_wat_,Rsb_,Rp_,Pb_,Tres_,Bob_,muob_,0,,,,PVT_str_)</f>
        <v>4.2811352023285495E-5</v>
      </c>
      <c r="U43" cm="1">
        <f t="array" ref="U43">[1]!PVT_compressibility_oil_1atm(B43,C43,gamma_gas_,gamma_oil_,gamma_wat_,Rsb_,Rp_,Pb_,Tres_,Bob_,muob_,0,,,,PVT_str_)</f>
        <v>1.1526624386349314E-3</v>
      </c>
      <c r="V43" cm="1">
        <f t="array" ref="V43">[1]!PVT_compressibility_gas_1atm(B43,C43,gamma_gas_,gamma_oil_,gamma_wat_,Rsb_,Rp_,Pb_,Tres_,Bob_,muob_,0,,,,PVT_str_)</f>
        <v>2.0898471689410145E-3</v>
      </c>
    </row>
    <row r="44" spans="2:22" x14ac:dyDescent="0.2">
      <c r="B44" s="12">
        <v>300</v>
      </c>
      <c r="C44" s="12">
        <v>80</v>
      </c>
      <c r="D44" s="15">
        <f>[1]!PVT_rs_m3m3(B44,C44,gamma_gas_,gamma_oil_,gamma_wat_,Rsb_,Rp_,Pb_,Tres_,Bob_,muob_)</f>
        <v>80</v>
      </c>
      <c r="E44" s="16">
        <f>[1]!PVT_bo_m3m3(B44,C44,gamma_gas_,gamma_oil_,gamma_wat_,Rsb_,Rp_,Pb_,Tres_,Bob_,muob_)</f>
        <v>1.1593881579705581</v>
      </c>
      <c r="F44" s="15">
        <f>[1]!PVT_mu_oil_cP(B44,C44,gamma_gas_,gamma_oil_,gamma_wat_,Rsb_,Rp_,Pb_,Tres_,Bob_,muob_)</f>
        <v>1.5191376962112857</v>
      </c>
      <c r="G44" s="17">
        <f>[1]!PVT_mu_gas_cP(B44,C44,gamma_gas_,gamma_oil_,gamma_wat_,Rsb_,Rp_,Pb_,Pb_,Bob_,muob_)</f>
        <v>3.092626812710509E-2</v>
      </c>
      <c r="H44" s="16">
        <f>[1]!PVT_mu_wat_cP(B44,C44,gamma_gas_,gamma_oil_,gamma_wat_,Rsb_,Rp_,Pb_,Tres_,Bob_,muob_)</f>
        <v>0.4156181929800829</v>
      </c>
      <c r="I44" s="15">
        <f>[1]!PVT_rho_gas_kgm3(B44,C44,gamma_gas_,gamma_oil_,gamma_wat_,Rsb_,Rp_,Pb_,Tres_,Bob_,muob_)</f>
        <v>264.3966703482634</v>
      </c>
      <c r="J44" s="15">
        <f>[1]!PVT_rho_wat_kgm3(B44,C44,gamma_gas_,gamma_oil_,gamma_wat_,Rsb_,Rp_,Pb_,Tres_,Bob_,muob_)</f>
        <v>978.4448617948093</v>
      </c>
      <c r="K44" s="15">
        <f>[1]!PVT_rho_oil_kgm3(B44,C44,gamma_gas_,gamma_oil_,gamma_wat_,Rsb_,Rp_,Pb_,Tres_,Bob_,muob_)</f>
        <v>809.21026625133493</v>
      </c>
      <c r="L44" s="22">
        <f>[1]!PVT_bg_m3m3(B44,C44,gamma_gas_,gamma_oil_,gamma_wat_,Rsb_,Rp_,Pb_,Tres_,Bob_,muob_,0,,,,PVT_str_)</f>
        <v>3.6965669753428478E-3</v>
      </c>
      <c r="M44" s="22">
        <f>[1]!PVT_bw_m3m3(B44,C44,gamma_gas_,gamma_oil_,gamma_wat_,Rsb_,Rp_,Pb_,Tres_,Bob_,muob_,0,,,,PVT_str_)</f>
        <v>1.0220299978535847</v>
      </c>
      <c r="N44" s="17" cm="1">
        <f t="array" ref="N44">[1]!PVT_ST_liqgas_Nm(B44,C44,gamma_gas_,gamma_oil_,gamma_wat_,Rsb_,Rp_,Pb_,Tres_,Bob_,muob_,0,,,,PVT_str_)</f>
        <v>1.4801720051472031E-3</v>
      </c>
      <c r="O44" s="17" cm="1">
        <f t="array" ref="O44">[1]!PVT_ST_oilgas_Nm(B44,C44,gamma_gas_,gamma_oil_,gamma_wat_,Rsb_,Rp_,Pb_,Tres_,Bob_,muob_,0,,,,PVT_str_)</f>
        <v>1.4801720051472031E-3</v>
      </c>
      <c r="P44" s="22" cm="1">
        <f t="array" ref="P44">[1]!PVT_ST_watgas_Nm(B44,C44,gamma_gas_,gamma_oil_,gamma_wat_,Rsb_,Rp_,Pb_,Tres_,Bob_,muob_,0,,,,PVT_str_)</f>
        <v>3.2359365692962827E-2</v>
      </c>
      <c r="Q44" s="32" cm="1">
        <f t="array" ref="Q44">[1]!PVT_cp_oil_JkgC(B44,C44,gamma_gas_,gamma_oil_,gamma_wat_,Rsb_,Rp_,Pb_,Tres_,Bob_,muob_,0,,,,PVT_str_)</f>
        <v>2612.2600000000002</v>
      </c>
      <c r="R44" cm="1">
        <f t="array" ref="R44">[1]!PVT_cp_gas_JkgC(B44,C44,gamma_gas_,gamma_oil_,gamma_wat_,Rsb_,Rp_,Pb_,Tres_,Bob_,muob_,0,,,,PVT_str_)</f>
        <v>1422.9582067314427</v>
      </c>
      <c r="S44" cm="1">
        <f t="array" ref="S44">[1]!PVT_cp_wat_JkgC(B44,C44,gamma_gas_,gamma_oil_,gamma_wat_,Rsb_,Rp_,Pb_,Tres_,Bob_,muob_,0,,,,PVT_str_)</f>
        <v>4176</v>
      </c>
      <c r="T44" cm="1">
        <f t="array" ref="T44">[1]!PVT_compressibility_wat_1atm(B44,C44,gamma_gas_,gamma_oil_,gamma_wat_,Rsb_,Rp_,Pb_,Tres_,Bob_,muob_,0,,,,PVT_str_)</f>
        <v>4.2551717010701246E-5</v>
      </c>
      <c r="U44" cm="1">
        <f t="array" ref="U44">[1]!PVT_compressibility_oil_1atm(B44,C44,gamma_gas_,gamma_oil_,gamma_wat_,Rsb_,Rp_,Pb_,Tres_,Bob_,muob_,0,,,,PVT_str_)</f>
        <v>1.0758182760592691E-3</v>
      </c>
      <c r="V44" cm="1">
        <f t="array" ref="V44">[1]!PVT_compressibility_gas_1atm(B44,C44,gamma_gas_,gamma_oil_,gamma_wat_,Rsb_,Rp_,Pb_,Tres_,Bob_,muob_,0,,,,PVT_str_)</f>
        <v>1.834004645874998E-3</v>
      </c>
    </row>
    <row r="45" spans="2:22" x14ac:dyDescent="0.2">
      <c r="B45" s="12">
        <v>320</v>
      </c>
      <c r="C45" s="12">
        <v>80</v>
      </c>
      <c r="D45" s="15">
        <f>[1]!PVT_rs_m3m3(B45,C45,gamma_gas_,gamma_oil_,gamma_wat_,Rsb_,Rp_,Pb_,Tres_,Bob_,muob_)</f>
        <v>80</v>
      </c>
      <c r="E45" s="16">
        <f>[1]!PVT_bo_m3m3(B45,C45,gamma_gas_,gamma_oil_,gamma_wat_,Rsb_,Rp_,Pb_,Tres_,Bob_,muob_)</f>
        <v>1.1585099020034806</v>
      </c>
      <c r="F45" s="15">
        <f>[1]!PVT_mu_oil_cP(B45,C45,gamma_gas_,gamma_oil_,gamma_wat_,Rsb_,Rp_,Pb_,Tres_,Bob_,muob_)</f>
        <v>1.5936123222926786</v>
      </c>
      <c r="G45" s="17">
        <f>[1]!PVT_mu_gas_cP(B45,C45,gamma_gas_,gamma_oil_,gamma_wat_,Rsb_,Rp_,Pb_,Pb_,Bob_,muob_)</f>
        <v>3.2268505467152347E-2</v>
      </c>
      <c r="H45" s="16">
        <f>[1]!PVT_mu_wat_cP(B45,C45,gamma_gas_,gamma_oil_,gamma_wat_,Rsb_,Rp_,Pb_,Tres_,Bob_,muob_)</f>
        <v>0.42239017547537927</v>
      </c>
      <c r="I45" s="15">
        <f>[1]!PVT_rho_gas_kgm3(B45,C45,gamma_gas_,gamma_oil_,gamma_wat_,Rsb_,Rp_,Pb_,Tres_,Bob_,muob_)</f>
        <v>273.68066579837409</v>
      </c>
      <c r="J45" s="15">
        <f>[1]!PVT_rho_wat_kgm3(B45,C45,gamma_gas_,gamma_oil_,gamma_wat_,Rsb_,Rp_,Pb_,Tres_,Bob_,muob_)</f>
        <v>979.32439353427742</v>
      </c>
      <c r="K45" s="15">
        <f>[1]!PVT_rho_oil_kgm3(B45,C45,gamma_gas_,gamma_oil_,gamma_wat_,Rsb_,Rp_,Pb_,Tres_,Bob_,muob_)</f>
        <v>809.82372129710234</v>
      </c>
      <c r="L45" s="22">
        <f>[1]!PVT_bg_m3m3(B45,C45,gamma_gas_,gamma_oil_,gamma_wat_,Rsb_,Rp_,Pb_,Tres_,Bob_,muob_,0,,,,PVT_str_)</f>
        <v>3.5711693303174009E-3</v>
      </c>
      <c r="M45" s="22">
        <f>[1]!PVT_bw_m3m3(B45,C45,gamma_gas_,gamma_oil_,gamma_wat_,Rsb_,Rp_,Pb_,Tres_,Bob_,muob_,0,,,,PVT_str_)</f>
        <v>1.0211121121890026</v>
      </c>
      <c r="N45" s="17" cm="1">
        <f t="array" ref="N45">[1]!PVT_ST_liqgas_Nm(B45,C45,gamma_gas_,gamma_oil_,gamma_wat_,Rsb_,Rp_,Pb_,Tres_,Bob_,muob_,0,,,,PVT_str_)</f>
        <v>1.1485367308888457E-3</v>
      </c>
      <c r="O45" s="17" cm="1">
        <f t="array" ref="O45">[1]!PVT_ST_oilgas_Nm(B45,C45,gamma_gas_,gamma_oil_,gamma_wat_,Rsb_,Rp_,Pb_,Tres_,Bob_,muob_,0,,,,PVT_str_)</f>
        <v>1.1485367308888457E-3</v>
      </c>
      <c r="P45" s="22" cm="1">
        <f t="array" ref="P45">[1]!PVT_ST_watgas_Nm(B45,C45,gamma_gas_,gamma_oil_,gamma_wat_,Rsb_,Rp_,Pb_,Tres_,Bob_,muob_,0,,,,PVT_str_)</f>
        <v>3.0902954325135904E-2</v>
      </c>
      <c r="Q45" s="32" cm="1">
        <f t="array" ref="Q45">[1]!PVT_cp_oil_JkgC(B45,C45,gamma_gas_,gamma_oil_,gamma_wat_,Rsb_,Rp_,Pb_,Tres_,Bob_,muob_,0,,,,PVT_str_)</f>
        <v>2612.2600000000002</v>
      </c>
      <c r="R45" cm="1">
        <f t="array" ref="R45">[1]!PVT_cp_gas_JkgC(B45,C45,gamma_gas_,gamma_oil_,gamma_wat_,Rsb_,Rp_,Pb_,Tres_,Bob_,muob_,0,,,,PVT_str_)</f>
        <v>1466.3334176742637</v>
      </c>
      <c r="S45" cm="1">
        <f t="array" ref="S45">[1]!PVT_cp_wat_JkgC(B45,C45,gamma_gas_,gamma_oil_,gamma_wat_,Rsb_,Rp_,Pb_,Tres_,Bob_,muob_,0,,,,PVT_str_)</f>
        <v>4176</v>
      </c>
      <c r="T45" cm="1">
        <f t="array" ref="T45">[1]!PVT_compressibility_wat_1atm(B45,C45,gamma_gas_,gamma_oil_,gamma_wat_,Rsb_,Rp_,Pb_,Tres_,Bob_,muob_,0,,,,PVT_str_)</f>
        <v>4.2295212195235694E-5</v>
      </c>
      <c r="U45" cm="1">
        <f t="array" ref="U45">[1]!PVT_compressibility_oil_1atm(B45,C45,gamma_gas_,gamma_oil_,gamma_wat_,Rsb_,Rp_,Pb_,Tres_,Bob_,muob_,0,,,,PVT_str_)</f>
        <v>1.0085796338055648E-3</v>
      </c>
      <c r="V45" cm="1">
        <f t="array" ref="V45">[1]!PVT_compressibility_gas_1atm(B45,C45,gamma_gas_,gamma_oil_,gamma_wat_,Rsb_,Rp_,Pb_,Tres_,Bob_,muob_,0,,,,PVT_str_)</f>
        <v>1.6234931734210182E-3</v>
      </c>
    </row>
    <row r="46" spans="2:22" x14ac:dyDescent="0.2">
      <c r="B46" s="12">
        <v>340</v>
      </c>
      <c r="C46" s="12">
        <v>80</v>
      </c>
      <c r="D46" s="15">
        <f>[1]!PVT_rs_m3m3(B46,C46,gamma_gas_,gamma_oil_,gamma_wat_,Rsb_,Rp_,Pb_,Tres_,Bob_,muob_)</f>
        <v>80</v>
      </c>
      <c r="E46" s="16">
        <f>[1]!PVT_bo_m3m3(B46,C46,gamma_gas_,gamma_oil_,gamma_wat_,Rsb_,Rp_,Pb_,Tres_,Bob_,muob_)</f>
        <v>1.157735522777211</v>
      </c>
      <c r="F46" s="15">
        <f>[1]!PVT_mu_oil_cP(B46,C46,gamma_gas_,gamma_oil_,gamma_wat_,Rsb_,Rp_,Pb_,Tres_,Bob_,muob_)</f>
        <v>1.6706434440866624</v>
      </c>
      <c r="G46" s="17">
        <f>[1]!PVT_mu_gas_cP(B46,C46,gamma_gas_,gamma_oil_,gamma_wat_,Rsb_,Rp_,Pb_,Pb_,Bob_,muob_)</f>
        <v>3.3563960430461753E-2</v>
      </c>
      <c r="H46" s="16">
        <f>[1]!PVT_mu_wat_cP(B46,C46,gamma_gas_,gamma_oil_,gamma_wat_,Rsb_,Rp_,Pb_,Tres_,Bob_,muob_)</f>
        <v>0.42934241867184425</v>
      </c>
      <c r="I46" s="15">
        <f>[1]!PVT_rho_gas_kgm3(B46,C46,gamma_gas_,gamma_oil_,gamma_wat_,Rsb_,Rp_,Pb_,Tres_,Bob_,muob_)</f>
        <v>282.20300222463175</v>
      </c>
      <c r="J46" s="15">
        <f>[1]!PVT_rho_wat_kgm3(B46,C46,gamma_gas_,gamma_oil_,gamma_wat_,Rsb_,Rp_,Pb_,Tres_,Bob_,muob_)</f>
        <v>980.24923876675155</v>
      </c>
      <c r="K46" s="15">
        <f>[1]!PVT_rho_oil_kgm3(B46,C46,gamma_gas_,gamma_oil_,gamma_wat_,Rsb_,Rp_,Pb_,Tres_,Bob_,muob_)</f>
        <v>810.36539135418798</v>
      </c>
      <c r="L46" s="22">
        <f>[1]!PVT_bg_m3m3(B46,C46,gamma_gas_,gamma_oil_,gamma_wat_,Rsb_,Rp_,Pb_,Tres_,Bob_,muob_,0,,,,PVT_str_)</f>
        <v>3.4633224745852561E-3</v>
      </c>
      <c r="M46" s="22">
        <f>[1]!PVT_bw_m3m3(B46,C46,gamma_gas_,gamma_oil_,gamma_wat_,Rsb_,Rp_,Pb_,Tres_,Bob_,muob_,0,,,,PVT_str_)</f>
        <v>1.0201487136660232</v>
      </c>
      <c r="N46" s="17" cm="1">
        <f t="array" ref="N46">[1]!PVT_ST_liqgas_Nm(B46,C46,gamma_gas_,gamma_oil_,gamma_wat_,Rsb_,Rp_,Pb_,Tres_,Bob_,muob_,0,,,,PVT_str_)</f>
        <v>8.9120495294710614E-4</v>
      </c>
      <c r="O46" s="17" cm="1">
        <f t="array" ref="O46">[1]!PVT_ST_oilgas_Nm(B46,C46,gamma_gas_,gamma_oil_,gamma_wat_,Rsb_,Rp_,Pb_,Tres_,Bob_,muob_,0,,,,PVT_str_)</f>
        <v>8.9120495294710614E-4</v>
      </c>
      <c r="P46" s="22" cm="1">
        <f t="array" ref="P46">[1]!PVT_ST_watgas_Nm(B46,C46,gamma_gas_,gamma_oil_,gamma_wat_,Rsb_,Rp_,Pb_,Tres_,Bob_,muob_,0,,,,PVT_str_)</f>
        <v>2.9512092266663854E-2</v>
      </c>
      <c r="Q46" s="32" cm="1">
        <f t="array" ref="Q46">[1]!PVT_cp_oil_JkgC(B46,C46,gamma_gas_,gamma_oil_,gamma_wat_,Rsb_,Rp_,Pb_,Tres_,Bob_,muob_,0,,,,PVT_str_)</f>
        <v>2612.2600000000002</v>
      </c>
      <c r="R46" cm="1">
        <f t="array" ref="R46">[1]!PVT_cp_gas_JkgC(B46,C46,gamma_gas_,gamma_oil_,gamma_wat_,Rsb_,Rp_,Pb_,Tres_,Bob_,muob_,0,,,,PVT_str_)</f>
        <v>1510.9293550997158</v>
      </c>
      <c r="S46" cm="1">
        <f t="array" ref="S46">[1]!PVT_cp_wat_JkgC(B46,C46,gamma_gas_,gamma_oil_,gamma_wat_,Rsb_,Rp_,Pb_,Tres_,Bob_,muob_,0,,,,PVT_str_)</f>
        <v>4176</v>
      </c>
      <c r="T46" cm="1">
        <f t="array" ref="T46">[1]!PVT_compressibility_wat_1atm(B46,C46,gamma_gas_,gamma_oil_,gamma_wat_,Rsb_,Rp_,Pb_,Tres_,Bob_,muob_,0,,,,PVT_str_)</f>
        <v>4.2041781308915067E-5</v>
      </c>
      <c r="U46" cm="1">
        <f t="array" ref="U46">[1]!PVT_compressibility_oil_1atm(B46,C46,gamma_gas_,gamma_oil_,gamma_wat_,Rsb_,Rp_,Pb_,Tres_,Bob_,muob_,0,,,,PVT_str_)</f>
        <v>9.4925142005229635E-4</v>
      </c>
      <c r="V46" cm="1">
        <f t="array" ref="V46">[1]!PVT_compressibility_gas_1atm(B46,C46,gamma_gas_,gamma_oil_,gamma_wat_,Rsb_,Rp_,Pb_,Tres_,Bob_,muob_,0,,,,PVT_str_)</f>
        <v>1.4479206477665896E-3</v>
      </c>
    </row>
    <row r="47" spans="2:22" x14ac:dyDescent="0.2">
      <c r="B47" s="12">
        <v>360</v>
      </c>
      <c r="C47" s="12">
        <v>80</v>
      </c>
      <c r="D47" s="15">
        <f>[1]!PVT_rs_m3m3(B47,C47,gamma_gas_,gamma_oil_,gamma_wat_,Rsb_,Rp_,Pb_,Tres_,Bob_,muob_)</f>
        <v>80</v>
      </c>
      <c r="E47" s="16">
        <f>[1]!PVT_bo_m3m3(B47,C47,gamma_gas_,gamma_oil_,gamma_wat_,Rsb_,Rp_,Pb_,Tres_,Bob_,muob_)</f>
        <v>1.157047620239726</v>
      </c>
      <c r="F47" s="15">
        <f>[1]!PVT_mu_oil_cP(B47,C47,gamma_gas_,gamma_oil_,gamma_wat_,Rsb_,Rp_,Pb_,Tres_,Bob_,muob_)</f>
        <v>1.7499148114006242</v>
      </c>
      <c r="G47" s="17">
        <f>[1]!PVT_mu_gas_cP(B47,C47,gamma_gas_,gamma_oil_,gamma_wat_,Rsb_,Rp_,Pb_,Pb_,Bob_,muob_)</f>
        <v>3.4813626743034121E-2</v>
      </c>
      <c r="H47" s="16">
        <f>[1]!PVT_mu_wat_cP(B47,C47,gamma_gas_,gamma_oil_,gamma_wat_,Rsb_,Rp_,Pb_,Tres_,Bob_,muob_)</f>
        <v>0.4364749225694779</v>
      </c>
      <c r="I47" s="15">
        <f>[1]!PVT_rho_gas_kgm3(B47,C47,gamma_gas_,gamma_oil_,gamma_wat_,Rsb_,Rp_,Pb_,Tres_,Bob_,muob_)</f>
        <v>290.05322260522149</v>
      </c>
      <c r="J47" s="15">
        <f>[1]!PVT_rho_wat_kgm3(B47,C47,gamma_gas_,gamma_oil_,gamma_wat_,Rsb_,Rp_,Pb_,Tres_,Bob_,muob_)</f>
        <v>981.21964990304559</v>
      </c>
      <c r="K47" s="15">
        <f>[1]!PVT_rho_oil_kgm3(B47,C47,gamma_gas_,gamma_oil_,gamma_wat_,Rsb_,Rp_,Pb_,Tres_,Bob_,muob_)</f>
        <v>810.84718000251269</v>
      </c>
      <c r="L47" s="22">
        <f>[1]!PVT_bg_m3m3(B47,C47,gamma_gas_,gamma_oil_,gamma_wat_,Rsb_,Rp_,Pb_,Tres_,Bob_,muob_,0,,,,PVT_str_)</f>
        <v>3.3695884886969217E-3</v>
      </c>
      <c r="M47" s="22">
        <f>[1]!PVT_bw_m3m3(B47,C47,gamma_gas_,gamma_oil_,gamma_wat_,Rsb_,Rp_,Pb_,Tres_,Bob_,muob_,0,,,,PVT_str_)</f>
        <v>1.0191398022846465</v>
      </c>
      <c r="N47" s="17" cm="1">
        <f t="array" ref="N47">[1]!PVT_ST_liqgas_Nm(B47,C47,gamma_gas_,gamma_oil_,gamma_wat_,Rsb_,Rp_,Pb_,Tres_,Bob_,muob_,0,,,,PVT_str_)</f>
        <v>6.9152883560179268E-4</v>
      </c>
      <c r="O47" s="17" cm="1">
        <f t="array" ref="O47">[1]!PVT_ST_oilgas_Nm(B47,C47,gamma_gas_,gamma_oil_,gamma_wat_,Rsb_,Rp_,Pb_,Tres_,Bob_,muob_,0,,,,PVT_str_)</f>
        <v>6.9152883560179268E-4</v>
      </c>
      <c r="P47" s="22" cm="1">
        <f t="array" ref="P47">[1]!PVT_ST_watgas_Nm(B47,C47,gamma_gas_,gamma_oil_,gamma_wat_,Rsb_,Rp_,Pb_,Tres_,Bob_,muob_,0,,,,PVT_str_)</f>
        <v>2.8183829312644539E-2</v>
      </c>
      <c r="Q47" s="32" cm="1">
        <f t="array" ref="Q47">[1]!PVT_cp_oil_JkgC(B47,C47,gamma_gas_,gamma_oil_,gamma_wat_,Rsb_,Rp_,Pb_,Tres_,Bob_,muob_,0,,,,PVT_str_)</f>
        <v>2612.2600000000002</v>
      </c>
      <c r="R47" cm="1">
        <f t="array" ref="R47">[1]!PVT_cp_gas_JkgC(B47,C47,gamma_gas_,gamma_oil_,gamma_wat_,Rsb_,Rp_,Pb_,Tres_,Bob_,muob_,0,,,,PVT_str_)</f>
        <v>1556.5091476329205</v>
      </c>
      <c r="S47" cm="1">
        <f t="array" ref="S47">[1]!PVT_cp_wat_JkgC(B47,C47,gamma_gas_,gamma_oil_,gamma_wat_,Rsb_,Rp_,Pb_,Tres_,Bob_,muob_,0,,,,PVT_str_)</f>
        <v>4176</v>
      </c>
      <c r="T47" cm="1">
        <f t="array" ref="T47">[1]!PVT_compressibility_wat_1atm(B47,C47,gamma_gas_,gamma_oil_,gamma_wat_,Rsb_,Rp_,Pb_,Tres_,Bob_,muob_,0,,,,PVT_str_)</f>
        <v>4.1791369424352891E-5</v>
      </c>
      <c r="U47" cm="1">
        <f t="array" ref="U47">[1]!PVT_compressibility_oil_1atm(B47,C47,gamma_gas_,gamma_oil_,gamma_wat_,Rsb_,Rp_,Pb_,Tres_,Bob_,muob_,0,,,,PVT_str_)</f>
        <v>8.9651523004939107E-4</v>
      </c>
      <c r="V47" cm="1">
        <f t="array" ref="V47">[1]!PVT_compressibility_gas_1atm(B47,C47,gamma_gas_,gamma_oil_,gamma_wat_,Rsb_,Rp_,Pb_,Tres_,Bob_,muob_,0,,,,PVT_str_)</f>
        <v>1.2997740836542891E-3</v>
      </c>
    </row>
    <row r="48" spans="2:22" x14ac:dyDescent="0.2">
      <c r="B48" s="12">
        <v>380</v>
      </c>
      <c r="C48" s="12">
        <v>80</v>
      </c>
      <c r="D48" s="15">
        <f>[1]!PVT_rs_m3m3(B48,C48,gamma_gas_,gamma_oil_,gamma_wat_,Rsb_,Rp_,Pb_,Tres_,Bob_,muob_)</f>
        <v>80</v>
      </c>
      <c r="E48" s="16">
        <f>[1]!PVT_bo_m3m3(B48,C48,gamma_gas_,gamma_oil_,gamma_wat_,Rsb_,Rp_,Pb_,Tres_,Bob_,muob_)</f>
        <v>1.1564324749673422</v>
      </c>
      <c r="F48" s="15">
        <f>[1]!PVT_mu_oil_cP(B48,C48,gamma_gas_,gamma_oil_,gamma_wat_,Rsb_,Rp_,Pb_,Tres_,Bob_,muob_)</f>
        <v>1.8310996013758243</v>
      </c>
      <c r="G48" s="17">
        <f>[1]!PVT_mu_gas_cP(B48,C48,gamma_gas_,gamma_oil_,gamma_wat_,Rsb_,Rp_,Pb_,Pb_,Bob_,muob_)</f>
        <v>3.6018709819299714E-2</v>
      </c>
      <c r="H48" s="16">
        <f>[1]!PVT_mu_wat_cP(B48,C48,gamma_gas_,gamma_oil_,gamma_wat_,Rsb_,Rp_,Pb_,Tres_,Bob_,muob_)</f>
        <v>0.4437876871682801</v>
      </c>
      <c r="I48" s="15">
        <f>[1]!PVT_rho_gas_kgm3(B48,C48,gamma_gas_,gamma_oil_,gamma_wat_,Rsb_,Rp_,Pb_,Tres_,Bob_,muob_)</f>
        <v>297.3072486924587</v>
      </c>
      <c r="J48" s="15">
        <f>[1]!PVT_rho_wat_kgm3(B48,C48,gamma_gas_,gamma_oil_,gamma_wat_,Rsb_,Rp_,Pb_,Tres_,Bob_,muob_)</f>
        <v>982.23589255391971</v>
      </c>
      <c r="K48" s="15">
        <f>[1]!PVT_rho_oil_kgm3(B48,C48,gamma_gas_,gamma_oil_,gamma_wat_,Rsb_,Rp_,Pb_,Tres_,Bob_,muob_)</f>
        <v>811.27849684997352</v>
      </c>
      <c r="L48" s="22">
        <f>[1]!PVT_bg_m3m3(B48,C48,gamma_gas_,gamma_oil_,gamma_wat_,Rsb_,Rp_,Pb_,Tres_,Bob_,muob_,0,,,,PVT_str_)</f>
        <v>3.2873735985192989E-3</v>
      </c>
      <c r="M48" s="22">
        <f>[1]!PVT_bw_m3m3(B48,C48,gamma_gas_,gamma_oil_,gamma_wat_,Rsb_,Rp_,Pb_,Tres_,Bob_,muob_,0,,,,PVT_str_)</f>
        <v>1.0180853780448724</v>
      </c>
      <c r="N48" s="17" cm="1">
        <f t="array" ref="N48">[1]!PVT_ST_liqgas_Nm(B48,C48,gamma_gas_,gamma_oil_,gamma_wat_,Rsb_,Rp_,Pb_,Tres_,Bob_,muob_,0,,,,PVT_str_)</f>
        <v>5.3659052150392835E-4</v>
      </c>
      <c r="O48" s="17" cm="1">
        <f t="array" ref="O48">[1]!PVT_ST_oilgas_Nm(B48,C48,gamma_gas_,gamma_oil_,gamma_wat_,Rsb_,Rp_,Pb_,Tres_,Bob_,muob_,0,,,,PVT_str_)</f>
        <v>5.3659052150392835E-4</v>
      </c>
      <c r="P48" s="22" cm="1">
        <f t="array" ref="P48">[1]!PVT_ST_watgas_Nm(B48,C48,gamma_gas_,gamma_oil_,gamma_wat_,Rsb_,Rp_,Pb_,Tres_,Bob_,muob_,0,,,,PVT_str_)</f>
        <v>2.6915348039269153E-2</v>
      </c>
      <c r="Q48" s="32" cm="1">
        <f t="array" ref="Q48">[1]!PVT_cp_oil_JkgC(B48,C48,gamma_gas_,gamma_oil_,gamma_wat_,Rsb_,Rp_,Pb_,Tres_,Bob_,muob_,0,,,,PVT_str_)</f>
        <v>2612.2600000000002</v>
      </c>
      <c r="R48" cm="1">
        <f t="array" ref="R48">[1]!PVT_cp_gas_JkgC(B48,C48,gamma_gas_,gamma_oil_,gamma_wat_,Rsb_,Rp_,Pb_,Tres_,Bob_,muob_,0,,,,PVT_str_)</f>
        <v>1602.8946166238957</v>
      </c>
      <c r="S48" cm="1">
        <f t="array" ref="S48">[1]!PVT_cp_wat_JkgC(B48,C48,gamma_gas_,gamma_oil_,gamma_wat_,Rsb_,Rp_,Pb_,Tres_,Bob_,muob_,0,,,,PVT_str_)</f>
        <v>4176</v>
      </c>
      <c r="T48" cm="1">
        <f t="array" ref="T48">[1]!PVT_compressibility_wat_1atm(B48,C48,gamma_gas_,gamma_oil_,gamma_wat_,Rsb_,Rp_,Pb_,Tres_,Bob_,muob_,0,,,,PVT_str_)</f>
        <v>4.1543922915061891E-5</v>
      </c>
      <c r="U48" cm="1">
        <f t="array" ref="U48">[1]!PVT_compressibility_oil_1atm(B48,C48,gamma_gas_,gamma_oil_,gamma_wat_,Rsb_,Rp_,Pb_,Tres_,Bob_,muob_,0,,,,PVT_str_)</f>
        <v>8.4933021794152824E-4</v>
      </c>
      <c r="V48" cm="1">
        <f t="array" ref="V48">[1]!PVT_compressibility_gas_1atm(B48,C48,gamma_gas_,gamma_oil_,gamma_wat_,Rsb_,Rp_,Pb_,Tres_,Bob_,muob_,0,,,,PVT_str_)</f>
        <v>1.1735592457294732E-3</v>
      </c>
    </row>
    <row r="49" spans="2:22" x14ac:dyDescent="0.2">
      <c r="B49" s="12">
        <v>400</v>
      </c>
      <c r="C49" s="12">
        <v>80</v>
      </c>
      <c r="D49" s="15">
        <f>[1]!PVT_rs_m3m3(B49,C49,gamma_gas_,gamma_oil_,gamma_wat_,Rsb_,Rp_,Pb_,Tres_,Bob_,muob_)</f>
        <v>80</v>
      </c>
      <c r="E49" s="16">
        <f>[1]!PVT_bo_m3m3(B49,C49,gamma_gas_,gamma_oil_,gamma_wat_,Rsb_,Rp_,Pb_,Tres_,Bob_,muob_)</f>
        <v>1.1558791238484609</v>
      </c>
      <c r="F49" s="15">
        <f>[1]!PVT_mu_oil_cP(B49,C49,gamma_gas_,gamma_oil_,gamma_wat_,Rsb_,Rp_,Pb_,Tres_,Bob_,muob_)</f>
        <v>1.9138609593794538</v>
      </c>
      <c r="G49" s="17">
        <f>[1]!PVT_mu_gas_cP(B49,C49,gamma_gas_,gamma_oil_,gamma_wat_,Rsb_,Rp_,Pb_,Pb_,Bob_,muob_)</f>
        <v>3.7180644022582574E-2</v>
      </c>
      <c r="H49" s="16">
        <f>[1]!PVT_mu_wat_cP(B49,C49,gamma_gas_,gamma_oil_,gamma_wat_,Rsb_,Rp_,Pb_,Tres_,Bob_,muob_)</f>
        <v>0.45128071246825097</v>
      </c>
      <c r="I49" s="15">
        <f>[1]!PVT_rho_gas_kgm3(B49,C49,gamma_gas_,gamma_oil_,gamma_wat_,Rsb_,Rp_,Pb_,Tres_,Bob_,muob_)</f>
        <v>304.03039572127034</v>
      </c>
      <c r="J49" s="15">
        <f>[1]!PVT_rho_wat_kgm3(B49,C49,gamma_gas_,gamma_oil_,gamma_wat_,Rsb_,Rp_,Pb_,Tres_,Bob_,muob_)</f>
        <v>983.29824571442282</v>
      </c>
      <c r="K49" s="15">
        <f>[1]!PVT_rho_oil_kgm3(B49,C49,gamma_gas_,gamma_oil_,gamma_wat_,Rsb_,Rp_,Pb_,Tres_,Bob_,muob_)</f>
        <v>811.66687817349941</v>
      </c>
      <c r="L49" s="22">
        <f>[1]!PVT_bg_m3m3(B49,C49,gamma_gas_,gamma_oil_,gamma_wat_,Rsb_,Rp_,Pb_,Tres_,Bob_,muob_,0,,,,PVT_str_)</f>
        <v>3.2146785773881185E-3</v>
      </c>
      <c r="M49" s="22">
        <f>[1]!PVT_bw_m3m3(B49,C49,gamma_gas_,gamma_oil_,gamma_wat_,Rsb_,Rp_,Pb_,Tres_,Bob_,muob_,0,,,,PVT_str_)</f>
        <v>1.0169854409467012</v>
      </c>
      <c r="N49" s="17" cm="1">
        <f t="array" ref="N49">[1]!PVT_ST_liqgas_Nm(B49,C49,gamma_gas_,gamma_oil_,gamma_wat_,Rsb_,Rp_,Pb_,Tres_,Bob_,muob_,0,,,,PVT_str_)</f>
        <v>4.1636642312578559E-4</v>
      </c>
      <c r="O49" s="17" cm="1">
        <f t="array" ref="O49">[1]!PVT_ST_oilgas_Nm(B49,C49,gamma_gas_,gamma_oil_,gamma_wat_,Rsb_,Rp_,Pb_,Tres_,Bob_,muob_,0,,,,PVT_str_)</f>
        <v>4.1636642312578559E-4</v>
      </c>
      <c r="P49" s="22" cm="1">
        <f t="array" ref="P49">[1]!PVT_ST_watgas_Nm(B49,C49,gamma_gas_,gamma_oil_,gamma_wat_,Rsb_,Rp_,Pb_,Tres_,Bob_,muob_,0,,,,PVT_str_)</f>
        <v>2.5703957827688646E-2</v>
      </c>
      <c r="Q49" s="32" cm="1">
        <f t="array" ref="Q49">[1]!PVT_cp_oil_JkgC(B49,C49,gamma_gas_,gamma_oil_,gamma_wat_,Rsb_,Rp_,Pb_,Tres_,Bob_,muob_,0,,,,PVT_str_)</f>
        <v>2612.2600000000002</v>
      </c>
      <c r="R49" cm="1">
        <f t="array" ref="R49">[1]!PVT_cp_gas_JkgC(B49,C49,gamma_gas_,gamma_oil_,gamma_wat_,Rsb_,Rp_,Pb_,Tres_,Bob_,muob_,0,,,,PVT_str_)</f>
        <v>1649.946484295805</v>
      </c>
      <c r="S49" cm="1">
        <f t="array" ref="S49">[1]!PVT_cp_wat_JkgC(B49,C49,gamma_gas_,gamma_oil_,gamma_wat_,Rsb_,Rp_,Pb_,Tres_,Bob_,muob_,0,,,,PVT_str_)</f>
        <v>4176</v>
      </c>
      <c r="T49" cm="1">
        <f t="array" ref="T49">[1]!PVT_compressibility_wat_1atm(B49,C49,gamma_gas_,gamma_oil_,gamma_wat_,Rsb_,Rp_,Pb_,Tres_,Bob_,muob_,0,,,,PVT_str_)</f>
        <v>4.1299389417167639E-5</v>
      </c>
      <c r="U49" cm="1">
        <f t="array" ref="U49">[1]!PVT_compressibility_oil_1atm(B49,C49,gamma_gas_,gamma_oil_,gamma_wat_,Rsb_,Rp_,Pb_,Tres_,Bob_,muob_,0,,,,PVT_str_)</f>
        <v>8.0686370704445185E-4</v>
      </c>
      <c r="V49" cm="1">
        <f t="array" ref="V49">[1]!PVT_compressibility_gas_1atm(B49,C49,gamma_gas_,gamma_oil_,gamma_wat_,Rsb_,Rp_,Pb_,Tres_,Bob_,muob_,0,,,,PVT_str_)</f>
        <v>1.0652001179834861E-3</v>
      </c>
    </row>
    <row r="50" spans="2:22" x14ac:dyDescent="0.2">
      <c r="B50" s="12">
        <v>420</v>
      </c>
      <c r="C50" s="12">
        <v>80</v>
      </c>
      <c r="D50" s="15">
        <f>[1]!PVT_rs_m3m3(B50,C50,gamma_gas_,gamma_oil_,gamma_wat_,Rsb_,Rp_,Pb_,Tres_,Bob_,muob_)</f>
        <v>80</v>
      </c>
      <c r="E50" s="16">
        <f>[1]!PVT_bo_m3m3(B50,C50,gamma_gas_,gamma_oil_,gamma_wat_,Rsb_,Rp_,Pb_,Tres_,Bob_,muob_)</f>
        <v>1.1553787009926737</v>
      </c>
      <c r="F50" s="15">
        <f>[1]!PVT_mu_oil_cP(B50,C50,gamma_gas_,gamma_oil_,gamma_wat_,Rsb_,Rp_,Pb_,Tres_,Bob_,muob_)</f>
        <v>1.9978532751006945</v>
      </c>
      <c r="G50" s="17">
        <f>[1]!PVT_mu_gas_cP(B50,C50,gamma_gas_,gamma_oil_,gamma_wat_,Rsb_,Rp_,Pb_,Pb_,Bob_,muob_)</f>
        <v>3.8301121221605575E-2</v>
      </c>
      <c r="H50" s="16">
        <f>[1]!PVT_mu_wat_cP(B50,C50,gamma_gas_,gamma_oil_,gamma_wat_,Rsb_,Rp_,Pb_,Tres_,Bob_,muob_)</f>
        <v>0.45895399846939039</v>
      </c>
      <c r="I50" s="15">
        <f>[1]!PVT_rho_gas_kgm3(B50,C50,gamma_gas_,gamma_oil_,gamma_wat_,Rsb_,Rp_,Pb_,Tres_,Bob_,muob_)</f>
        <v>310.27970534224994</v>
      </c>
      <c r="J50" s="15">
        <f>[1]!PVT_rho_wat_kgm3(B50,C50,gamma_gas_,gamma_oil_,gamma_wat_,Rsb_,Rp_,Pb_,Tres_,Bob_,muob_)</f>
        <v>984.4070019583562</v>
      </c>
      <c r="K50" s="15">
        <f>[1]!PVT_rho_oil_kgm3(B50,C50,gamma_gas_,gamma_oil_,gamma_wat_,Rsb_,Rp_,Pb_,Tres_,Bob_,muob_)</f>
        <v>812.01843100788574</v>
      </c>
      <c r="L50" s="22">
        <f>[1]!PVT_bg_m3m3(B50,C50,gamma_gas_,gamma_oil_,gamma_wat_,Rsb_,Rp_,Pb_,Tres_,Bob_,muob_,0,,,,PVT_str_)</f>
        <v>3.1499320876366564E-3</v>
      </c>
      <c r="M50" s="22">
        <f>[1]!PVT_bw_m3m3(B50,C50,gamma_gas_,gamma_oil_,gamma_wat_,Rsb_,Rp_,Pb_,Tres_,Bob_,muob_,0,,,,PVT_str_)</f>
        <v>1.0158399909901326</v>
      </c>
      <c r="N50" s="17" cm="1">
        <f t="array" ref="N50">[1]!PVT_ST_liqgas_Nm(B50,C50,gamma_gas_,gamma_oil_,gamma_wat_,Rsb_,Rp_,Pb_,Tres_,Bob_,muob_,0,,,,PVT_str_)</f>
        <v>3.2307875625658353E-4</v>
      </c>
      <c r="O50" s="17" cm="1">
        <f t="array" ref="O50">[1]!PVT_ST_oilgas_Nm(B50,C50,gamma_gas_,gamma_oil_,gamma_wat_,Rsb_,Rp_,Pb_,Tres_,Bob_,muob_,0,,,,PVT_str_)</f>
        <v>3.2307875625658353E-4</v>
      </c>
      <c r="P50" s="22" cm="1">
        <f t="array" ref="P50">[1]!PVT_ST_watgas_Nm(B50,C50,gamma_gas_,gamma_oil_,gamma_wat_,Rsb_,Rp_,Pb_,Tres_,Bob_,muob_,0,,,,PVT_str_)</f>
        <v>2.4547089156850312E-2</v>
      </c>
      <c r="Q50" s="32" cm="1">
        <f t="array" ref="Q50">[1]!PVT_cp_oil_JkgC(B50,C50,gamma_gas_,gamma_oil_,gamma_wat_,Rsb_,Rp_,Pb_,Tres_,Bob_,muob_,0,,,,PVT_str_)</f>
        <v>2612.2600000000002</v>
      </c>
      <c r="R50" cm="1">
        <f t="array" ref="R50">[1]!PVT_cp_gas_JkgC(B50,C50,gamma_gas_,gamma_oil_,gamma_wat_,Rsb_,Rp_,Pb_,Tres_,Bob_,muob_,0,,,,PVT_str_)</f>
        <v>1697.5508471794965</v>
      </c>
      <c r="S50" cm="1">
        <f t="array" ref="S50">[1]!PVT_cp_wat_JkgC(B50,C50,gamma_gas_,gamma_oil_,gamma_wat_,Rsb_,Rp_,Pb_,Tres_,Bob_,muob_,0,,,,PVT_str_)</f>
        <v>4176</v>
      </c>
      <c r="T50" cm="1">
        <f t="array" ref="T50">[1]!PVT_compressibility_wat_1atm(B50,C50,gamma_gas_,gamma_oil_,gamma_wat_,Rsb_,Rp_,Pb_,Tres_,Bob_,muob_,0,,,,PVT_str_)</f>
        <v>4.1057717792466385E-5</v>
      </c>
      <c r="U50" cm="1">
        <f t="array" ref="U50">[1]!PVT_compressibility_oil_1atm(B50,C50,gamma_gas_,gamma_oil_,gamma_wat_,Rsb_,Rp_,Pb_,Tres_,Bob_,muob_,0,,,,PVT_str_)</f>
        <v>7.6844162575662081E-4</v>
      </c>
      <c r="V50" cm="1">
        <f t="array" ref="V50">[1]!PVT_compressibility_gas_1atm(B50,C50,gamma_gas_,gamma_oil_,gamma_wat_,Rsb_,Rp_,Pb_,Tres_,Bob_,muob_,0,,,,PVT_str_)</f>
        <v>9.7162306463836206E-4</v>
      </c>
    </row>
    <row r="51" spans="2:22" x14ac:dyDescent="0.2">
      <c r="B51" s="12">
        <v>440</v>
      </c>
      <c r="C51" s="12">
        <v>80</v>
      </c>
      <c r="D51" s="15">
        <f>[1]!PVT_rs_m3m3(B51,C51,gamma_gas_,gamma_oil_,gamma_wat_,Rsb_,Rp_,Pb_,Tres_,Bob_,muob_)</f>
        <v>80</v>
      </c>
      <c r="E51" s="16">
        <f>[1]!PVT_bo_m3m3(B51,C51,gamma_gas_,gamma_oil_,gamma_wat_,Rsb_,Rp_,Pb_,Tres_,Bob_,muob_)</f>
        <v>1.1549239591296772</v>
      </c>
      <c r="F51" s="15">
        <f>[1]!PVT_mu_oil_cP(B51,C51,gamma_gas_,gamma_oil_,gamma_wat_,Rsb_,Rp_,Pb_,Tres_,Bob_,muob_)</f>
        <v>2.0827240254263457</v>
      </c>
      <c r="G51" s="17">
        <f>[1]!PVT_mu_gas_cP(B51,C51,gamma_gas_,gamma_oil_,gamma_wat_,Rsb_,Rp_,Pb_,Pb_,Bob_,muob_)</f>
        <v>3.9382111695183519E-2</v>
      </c>
      <c r="H51" s="16">
        <f>[1]!PVT_mu_wat_cP(B51,C51,gamma_gas_,gamma_oil_,gamma_wat_,Rsb_,Rp_,Pb_,Tres_,Bob_,muob_)</f>
        <v>0.46680754517169848</v>
      </c>
      <c r="I51" s="15">
        <f>[1]!PVT_rho_gas_kgm3(B51,C51,gamma_gas_,gamma_oil_,gamma_wat_,Rsb_,Rp_,Pb_,Tres_,Bob_,muob_)</f>
        <v>316.10569647214157</v>
      </c>
      <c r="J51" s="15">
        <f>[1]!PVT_rho_wat_kgm3(B51,C51,gamma_gas_,gamma_oil_,gamma_wat_,Rsb_,Rp_,Pb_,Tres_,Bob_,muob_)</f>
        <v>985.56246764310936</v>
      </c>
      <c r="K51" s="15">
        <f>[1]!PVT_rho_oil_kgm3(B51,C51,gamma_gas_,gamma_oil_,gamma_wat_,Rsb_,Rp_,Pb_,Tres_,Bob_,muob_)</f>
        <v>812.33815662374559</v>
      </c>
      <c r="L51" s="22">
        <f>[1]!PVT_bg_m3m3(B51,C51,gamma_gas_,gamma_oil_,gamma_wat_,Rsb_,Rp_,Pb_,Tres_,Bob_,muob_,0,,,,PVT_str_)</f>
        <v>3.0918772135640235E-3</v>
      </c>
      <c r="M51" s="22">
        <f>[1]!PVT_bw_m3m3(B51,C51,gamma_gas_,gamma_oil_,gamma_wat_,Rsb_,Rp_,Pb_,Tres_,Bob_,muob_,0,,,,PVT_str_)</f>
        <v>1.0146490281751666</v>
      </c>
      <c r="N51" s="17" cm="1">
        <f t="array" ref="N51">[1]!PVT_ST_liqgas_Nm(B51,C51,gamma_gas_,gamma_oil_,gamma_wat_,Rsb_,Rp_,Pb_,Tres_,Bob_,muob_,0,,,,PVT_str_)</f>
        <v>2.5069236361734056E-4</v>
      </c>
      <c r="O51" s="17" cm="1">
        <f t="array" ref="O51">[1]!PVT_ST_oilgas_Nm(B51,C51,gamma_gas_,gamma_oil_,gamma_wat_,Rsb_,Rp_,Pb_,Tres_,Bob_,muob_,0,,,,PVT_str_)</f>
        <v>2.5069236361734056E-4</v>
      </c>
      <c r="P51" s="22" cm="1">
        <f t="array" ref="P51">[1]!PVT_ST_watgas_Nm(B51,C51,gamma_gas_,gamma_oil_,gamma_wat_,Rsb_,Rp_,Pb_,Tres_,Bob_,muob_,0,,,,PVT_str_)</f>
        <v>2.3442288153199226E-2</v>
      </c>
      <c r="Q51" s="32" cm="1">
        <f t="array" ref="Q51">[1]!PVT_cp_oil_JkgC(B51,C51,gamma_gas_,gamma_oil_,gamma_wat_,Rsb_,Rp_,Pb_,Tres_,Bob_,muob_,0,,,,PVT_str_)</f>
        <v>2612.2600000000002</v>
      </c>
      <c r="R51" cm="1">
        <f t="array" ref="R51">[1]!PVT_cp_gas_JkgC(B51,C51,gamma_gas_,gamma_oil_,gamma_wat_,Rsb_,Rp_,Pb_,Tres_,Bob_,muob_,0,,,,PVT_str_)</f>
        <v>1745.6100189005595</v>
      </c>
      <c r="S51" cm="1">
        <f t="array" ref="S51">[1]!PVT_cp_wat_JkgC(B51,C51,gamma_gas_,gamma_oil_,gamma_wat_,Rsb_,Rp_,Pb_,Tres_,Bob_,muob_,0,,,,PVT_str_)</f>
        <v>4176</v>
      </c>
      <c r="T51" cm="1">
        <f t="array" ref="T51">[1]!PVT_compressibility_wat_1atm(B51,C51,gamma_gas_,gamma_oil_,gamma_wat_,Rsb_,Rp_,Pb_,Tres_,Bob_,muob_,0,,,,PVT_str_)</f>
        <v>4.0818858092772383E-5</v>
      </c>
      <c r="U51" cm="1">
        <f t="array" ref="U51">[1]!PVT_compressibility_oil_1atm(B51,C51,gamma_gas_,gamma_oil_,gamma_wat_,Rsb_,Rp_,Pb_,Tres_,Bob_,muob_,0,,,,PVT_str_)</f>
        <v>7.3351246094950173E-4</v>
      </c>
      <c r="V51" cm="1">
        <f t="array" ref="V51">[1]!PVT_compressibility_gas_1atm(B51,C51,gamma_gas_,gamma_oil_,gamma_wat_,Rsb_,Rp_,Pb_,Tres_,Bob_,muob_,0,,,,PVT_str_)</f>
        <v>8.9046921019689837E-4</v>
      </c>
    </row>
    <row r="52" spans="2:22" x14ac:dyDescent="0.2">
      <c r="B52" s="12">
        <v>460</v>
      </c>
      <c r="C52" s="12">
        <v>80</v>
      </c>
      <c r="D52" s="15">
        <f>[1]!PVT_rs_m3m3(B52,C52,gamma_gas_,gamma_oil_,gamma_wat_,Rsb_,Rp_,Pb_,Tres_,Bob_,muob_)</f>
        <v>80</v>
      </c>
      <c r="E52" s="16">
        <f>[1]!PVT_bo_m3m3(B52,C52,gamma_gas_,gamma_oil_,gamma_wat_,Rsb_,Rp_,Pb_,Tres_,Bob_,muob_)</f>
        <v>1.1545089163509796</v>
      </c>
      <c r="F52" s="15">
        <f>[1]!PVT_mu_oil_cP(B52,C52,gamma_gas_,gamma_oil_,gamma_wat_,Rsb_,Rp_,Pb_,Tres_,Bob_,muob_)</f>
        <v>2.1681160427855897</v>
      </c>
      <c r="G52" s="17">
        <f>[1]!PVT_mu_gas_cP(B52,C52,gamma_gas_,gamma_oil_,gamma_wat_,Rsb_,Rp_,Pb_,Pb_,Bob_,muob_)</f>
        <v>4.0425870556863336E-2</v>
      </c>
      <c r="H52" s="16">
        <f>[1]!PVT_mu_wat_cP(B52,C52,gamma_gas_,gamma_oil_,gamma_wat_,Rsb_,Rp_,Pb_,Tres_,Bob_,muob_)</f>
        <v>0.47484135257517518</v>
      </c>
      <c r="I52" s="15">
        <f>[1]!PVT_rho_gas_kgm3(B52,C52,gamma_gas_,gamma_oil_,gamma_wat_,Rsb_,Rp_,Pb_,Tres_,Bob_,muob_)</f>
        <v>321.55365623768205</v>
      </c>
      <c r="J52" s="15">
        <f>[1]!PVT_rho_wat_kgm3(B52,C52,gamma_gas_,gamma_oil_,gamma_wat_,Rsb_,Rp_,Pb_,Tres_,Bob_,muob_)</f>
        <v>986.76496312514394</v>
      </c>
      <c r="K52" s="15">
        <f>[1]!PVT_rho_oil_kgm3(B52,C52,gamma_gas_,gamma_oil_,gamma_wat_,Rsb_,Rp_,Pb_,Tres_,Bob_,muob_)</f>
        <v>812.63018995583343</v>
      </c>
      <c r="L52" s="22">
        <f>[1]!PVT_bg_m3m3(B52,C52,gamma_gas_,gamma_oil_,gamma_wat_,Rsb_,Rp_,Pb_,Tres_,Bob_,muob_,0,,,,PVT_str_)</f>
        <v>3.0394927286336538E-3</v>
      </c>
      <c r="M52" s="22">
        <f>[1]!PVT_bw_m3m3(B52,C52,gamma_gas_,gamma_oil_,gamma_wat_,Rsb_,Rp_,Pb_,Tres_,Bob_,muob_,0,,,,PVT_str_)</f>
        <v>1.0134125525018034</v>
      </c>
      <c r="N52" s="17" cm="1">
        <f t="array" ref="N52">[1]!PVT_ST_liqgas_Nm(B52,C52,gamma_gas_,gamma_oil_,gamma_wat_,Rsb_,Rp_,Pb_,Tres_,Bob_,muob_,0,,,,PVT_str_)</f>
        <v>1.945242760750792E-4</v>
      </c>
      <c r="O52" s="17" cm="1">
        <f t="array" ref="O52">[1]!PVT_ST_oilgas_Nm(B52,C52,gamma_gas_,gamma_oil_,gamma_wat_,Rsb_,Rp_,Pb_,Tres_,Bob_,muob_,0,,,,PVT_str_)</f>
        <v>1.945242760750792E-4</v>
      </c>
      <c r="P52" s="22" cm="1">
        <f t="array" ref="P52">[1]!PVT_ST_watgas_Nm(B52,C52,gamma_gas_,gamma_oil_,gamma_wat_,Rsb_,Rp_,Pb_,Tres_,Bob_,muob_,0,,,,PVT_str_)</f>
        <v>2.2387211385683402E-2</v>
      </c>
      <c r="Q52" s="32" cm="1">
        <f t="array" ref="Q52">[1]!PVT_cp_oil_JkgC(B52,C52,gamma_gas_,gamma_oil_,gamma_wat_,Rsb_,Rp_,Pb_,Tres_,Bob_,muob_,0,,,,PVT_str_)</f>
        <v>2612.2600000000002</v>
      </c>
      <c r="R52" cm="1">
        <f t="array" ref="R52">[1]!PVT_cp_gas_JkgC(B52,C52,gamma_gas_,gamma_oil_,gamma_wat_,Rsb_,Rp_,Pb_,Tres_,Bob_,muob_,0,,,,PVT_str_)</f>
        <v>1794.0364033487087</v>
      </c>
      <c r="S52" cm="1">
        <f t="array" ref="S52">[1]!PVT_cp_wat_JkgC(B52,C52,gamma_gas_,gamma_oil_,gamma_wat_,Rsb_,Rp_,Pb_,Tres_,Bob_,muob_,0,,,,PVT_str_)</f>
        <v>4176</v>
      </c>
      <c r="T52" cm="1">
        <f t="array" ref="T52">[1]!PVT_compressibility_wat_1atm(B52,C52,gamma_gas_,gamma_oil_,gamma_wat_,Rsb_,Rp_,Pb_,Tres_,Bob_,muob_,0,,,,PVT_str_)</f>
        <v>4.0582761525502548E-5</v>
      </c>
      <c r="U52" cm="1">
        <f t="array" ref="U52">[1]!PVT_compressibility_oil_1atm(B52,C52,gamma_gas_,gamma_oil_,gamma_wat_,Rsb_,Rp_,Pb_,Tres_,Bob_,muob_,0,,,,PVT_str_)</f>
        <v>7.016206148212625E-4</v>
      </c>
      <c r="V52" cm="1">
        <f t="array" ref="V52">[1]!PVT_compressibility_gas_1atm(B52,C52,gamma_gas_,gamma_oil_,gamma_wat_,Rsb_,Rp_,Pb_,Tres_,Bob_,muob_,0,,,,PVT_str_)</f>
        <v>8.1989481589971969E-4</v>
      </c>
    </row>
    <row r="111" spans="11:11" x14ac:dyDescent="0.2">
      <c r="K111" t="s">
        <v>5</v>
      </c>
    </row>
    <row r="122" spans="11:11" x14ac:dyDescent="0.2">
      <c r="K122" s="3"/>
    </row>
  </sheetData>
  <dataConsolidate/>
  <mergeCells count="10"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exercise_PVT!Pb_</vt:lpstr>
      <vt:lpstr>exercise_PVT!PVT_str_</vt:lpstr>
      <vt:lpstr>exercise_PVT!Rp_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2020-05-04T08:12:02Z</dcterms:modified>
</cp:coreProperties>
</file>