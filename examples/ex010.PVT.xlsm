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4.xml" ContentType="application/vnd.openxmlformats-officedocument.drawingml.chart+xml"/>
  <Override PartName="/xl/theme/themeOverride3.xml" ContentType="application/vnd.openxmlformats-officedocument.themeOverride+xml"/>
  <Override PartName="/xl/charts/chart5.xml" ContentType="application/vnd.openxmlformats-officedocument.drawingml.chart+xml"/>
  <Override PartName="/xl/theme/themeOverride4.xml" ContentType="application/vnd.openxmlformats-officedocument.themeOverride+xml"/>
  <Override PartName="/xl/charts/chart6.xml" ContentType="application/vnd.openxmlformats-officedocument.drawingml.chart+xml"/>
  <Override PartName="/xl/theme/themeOverride5.xml" ContentType="application/vnd.openxmlformats-officedocument.themeOverride+xml"/>
  <Override PartName="/xl/charts/chart7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8.xml" ContentType="application/vnd.openxmlformats-officedocument.drawingml.chart+xml"/>
  <Override PartName="/xl/theme/themeOverride6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updateLinks="always"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rnt\unifloc_vba\examples\"/>
    </mc:Choice>
  </mc:AlternateContent>
  <xr:revisionPtr revIDLastSave="0" documentId="13_ncr:1_{7504912B-743D-4737-8BDF-D00DAD9D765D}" xr6:coauthVersionLast="45" xr6:coauthVersionMax="45" xr10:uidLastSave="{00000000-0000-0000-0000-000000000000}"/>
  <bookViews>
    <workbookView xWindow="-108" yWindow="-108" windowWidth="23256" windowHeight="14016" tabRatio="591" xr2:uid="{00000000-000D-0000-FFFF-FFFF00000000}"/>
  </bookViews>
  <sheets>
    <sheet name="exercise_PVT" sheetId="113" r:id="rId1"/>
  </sheets>
  <externalReferences>
    <externalReference r:id="rId2"/>
  </externalReferences>
  <definedNames>
    <definedName name="Bob_" localSheetId="0">exercise_PVT!$C$18</definedName>
    <definedName name="Course" localSheetId="0">exercise_PVT!$B$3</definedName>
    <definedName name="gamma_gas_" localSheetId="0">exercise_PVT!$C$13</definedName>
    <definedName name="gamma_oil_" localSheetId="0">exercise_PVT!$C$11</definedName>
    <definedName name="gamma_wat_" localSheetId="0">exercise_PVT!$C$12</definedName>
    <definedName name="Group" localSheetId="0">exercise_PVT!$B$4</definedName>
    <definedName name="input_0" localSheetId="0">exercise_PVT!$C$11:$C$19</definedName>
    <definedName name="input_1" localSheetId="0">exercise_PVT!$B$27:$C$52</definedName>
    <definedName name="input_Course" localSheetId="0">exercise_PVT!$I$3</definedName>
    <definedName name="input_Date" localSheetId="0">exercise_PVT!$I$1</definedName>
    <definedName name="input_Group" localSheetId="0">exercise_PVT!$I$4</definedName>
    <definedName name="input_Notes" localSheetId="0">exercise_PVT!$I$6</definedName>
    <definedName name="input_Student_Name" localSheetId="0">exercise_PVT!$I$5</definedName>
    <definedName name="input_Version" localSheetId="0">exercise_PVT!$I$2</definedName>
    <definedName name="muob_" localSheetId="0">exercise_PVT!$C$19</definedName>
    <definedName name="Notes" localSheetId="0">exercise_PVT!$B$6</definedName>
    <definedName name="output_0" localSheetId="0">exercise_PVT!$D$27:$P$52</definedName>
    <definedName name="Pb_" localSheetId="0">exercise_PVT!$C$16</definedName>
    <definedName name="PVT_str_" localSheetId="0">exercise_PVT!$C$23</definedName>
    <definedName name="Rp_" localSheetId="0">exercise_PVT!$C$15</definedName>
    <definedName name="Rsb_" localSheetId="0">exercise_PVT!$C$14</definedName>
    <definedName name="Student_Name" localSheetId="0">exercise_PVT!$B$5</definedName>
    <definedName name="Tres_" localSheetId="0">exercise_PVT!$C$17</definedName>
    <definedName name="unf_version" localSheetId="0">exercise_PVT!$G$1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O56" i="113" l="1"/>
  <c r="U31" i="113"/>
  <c r="E17" i="113" l="1"/>
  <c r="E16" i="113"/>
  <c r="E15" i="113"/>
  <c r="E14" i="113"/>
  <c r="E13" i="113"/>
  <c r="E12" i="113"/>
  <c r="E11" i="113"/>
  <c r="K51" i="113"/>
  <c r="K45" i="113"/>
  <c r="E42" i="113"/>
  <c r="G37" i="113"/>
  <c r="I32" i="113"/>
  <c r="K27" i="113"/>
  <c r="D48" i="113"/>
  <c r="J39" i="113"/>
  <c r="J27" i="113"/>
  <c r="I33" i="113"/>
  <c r="K52" i="113"/>
  <c r="I51" i="113"/>
  <c r="G50" i="113"/>
  <c r="E49" i="113"/>
  <c r="K46" i="113"/>
  <c r="J52" i="113"/>
  <c r="H51" i="113"/>
  <c r="F50" i="113"/>
  <c r="D49" i="113"/>
  <c r="J46" i="113"/>
  <c r="H45" i="113"/>
  <c r="F44" i="113"/>
  <c r="D43" i="113"/>
  <c r="J40" i="113"/>
  <c r="H39" i="113"/>
  <c r="F38" i="113"/>
  <c r="D37" i="113"/>
  <c r="J34" i="113"/>
  <c r="H33" i="113"/>
  <c r="F32" i="113"/>
  <c r="D31" i="113"/>
  <c r="J28" i="113"/>
  <c r="H27" i="113"/>
  <c r="I52" i="113"/>
  <c r="E50" i="113"/>
  <c r="K47" i="113"/>
  <c r="G45" i="113"/>
  <c r="I40" i="113"/>
  <c r="E38" i="113"/>
  <c r="K35" i="113"/>
  <c r="I34" i="113"/>
  <c r="E32" i="113"/>
  <c r="K29" i="113"/>
  <c r="G27" i="113"/>
  <c r="E34" i="113"/>
  <c r="E28" i="113"/>
  <c r="J51" i="113"/>
  <c r="K40" i="113"/>
  <c r="K28" i="113"/>
  <c r="G51" i="113"/>
  <c r="I46" i="113"/>
  <c r="E44" i="113"/>
  <c r="K41" i="113"/>
  <c r="G39" i="113"/>
  <c r="G33" i="113"/>
  <c r="I28" i="113"/>
  <c r="G29" i="113"/>
  <c r="F31" i="113"/>
  <c r="I39" i="113"/>
  <c r="I27" i="113"/>
  <c r="H52" i="113"/>
  <c r="F51" i="113"/>
  <c r="D50" i="113"/>
  <c r="J47" i="113"/>
  <c r="H46" i="113"/>
  <c r="F45" i="113"/>
  <c r="D44" i="113"/>
  <c r="J41" i="113"/>
  <c r="H40" i="113"/>
  <c r="F39" i="113"/>
  <c r="D38" i="113"/>
  <c r="J35" i="113"/>
  <c r="H34" i="113"/>
  <c r="F33" i="113"/>
  <c r="D32" i="113"/>
  <c r="J29" i="113"/>
  <c r="H28" i="113"/>
  <c r="F27" i="113"/>
  <c r="E51" i="113"/>
  <c r="K48" i="113"/>
  <c r="I47" i="113"/>
  <c r="E45" i="113"/>
  <c r="K42" i="113"/>
  <c r="G40" i="113"/>
  <c r="I35" i="113"/>
  <c r="E33" i="113"/>
  <c r="K30" i="113"/>
  <c r="G28" i="113"/>
  <c r="E46" i="113"/>
  <c r="G41" i="113"/>
  <c r="G35" i="113"/>
  <c r="C23" i="113"/>
  <c r="J45" i="113"/>
  <c r="H32" i="113"/>
  <c r="G38" i="113"/>
  <c r="G52" i="113"/>
  <c r="M49" i="113"/>
  <c r="G46" i="113"/>
  <c r="M43" i="113"/>
  <c r="I41" i="113"/>
  <c r="E39" i="113"/>
  <c r="K36" i="113"/>
  <c r="G34" i="113"/>
  <c r="M31" i="113"/>
  <c r="I29" i="113"/>
  <c r="E27" i="113"/>
  <c r="E52" i="113"/>
  <c r="G47" i="113"/>
  <c r="I42" i="113"/>
  <c r="K37" i="113"/>
  <c r="K31" i="113"/>
  <c r="D42" i="113"/>
  <c r="D30" i="113"/>
  <c r="E37" i="113"/>
  <c r="F52" i="113"/>
  <c r="D51" i="113"/>
  <c r="L49" i="113"/>
  <c r="J48" i="113"/>
  <c r="H47" i="113"/>
  <c r="F46" i="113"/>
  <c r="D45" i="113"/>
  <c r="L43" i="113"/>
  <c r="J42" i="113"/>
  <c r="H41" i="113"/>
  <c r="F40" i="113"/>
  <c r="D39" i="113"/>
  <c r="L37" i="113"/>
  <c r="J36" i="113"/>
  <c r="H35" i="113"/>
  <c r="F34" i="113"/>
  <c r="D33" i="113"/>
  <c r="L31" i="113"/>
  <c r="J30" i="113"/>
  <c r="H29" i="113"/>
  <c r="F28" i="113"/>
  <c r="D27" i="113"/>
  <c r="I48" i="113"/>
  <c r="M44" i="113"/>
  <c r="E40" i="113"/>
  <c r="M32" i="113"/>
  <c r="F43" i="113"/>
  <c r="D36" i="113"/>
  <c r="I45" i="113"/>
  <c r="G32" i="113"/>
  <c r="K49" i="113"/>
  <c r="K43" i="113"/>
  <c r="I36" i="113"/>
  <c r="I30" i="113"/>
  <c r="H44" i="113"/>
  <c r="J33" i="113"/>
  <c r="M41" i="113"/>
  <c r="D52" i="113"/>
  <c r="L50" i="113"/>
  <c r="J49" i="113"/>
  <c r="H48" i="113"/>
  <c r="F47" i="113"/>
  <c r="D46" i="113"/>
  <c r="L44" i="113"/>
  <c r="J43" i="113"/>
  <c r="H42" i="113"/>
  <c r="F41" i="113"/>
  <c r="D40" i="113"/>
  <c r="L38" i="113"/>
  <c r="J37" i="113"/>
  <c r="H36" i="113"/>
  <c r="F35" i="113"/>
  <c r="D34" i="113"/>
  <c r="L32" i="113"/>
  <c r="J31" i="113"/>
  <c r="H30" i="113"/>
  <c r="F29" i="113"/>
  <c r="D28" i="113"/>
  <c r="G1" i="113"/>
  <c r="I37" i="113"/>
  <c r="E35" i="113"/>
  <c r="K32" i="113"/>
  <c r="G30" i="113"/>
  <c r="M27" i="113"/>
  <c r="I50" i="113"/>
  <c r="M46" i="113"/>
  <c r="M40" i="113"/>
  <c r="E36" i="113"/>
  <c r="G31" i="113"/>
  <c r="H50" i="113"/>
  <c r="F37" i="113"/>
  <c r="G44" i="113"/>
  <c r="M29" i="113"/>
  <c r="M51" i="113"/>
  <c r="K50" i="113"/>
  <c r="I49" i="113"/>
  <c r="G48" i="113"/>
  <c r="E47" i="113"/>
  <c r="M45" i="113"/>
  <c r="K44" i="113"/>
  <c r="I43" i="113"/>
  <c r="G42" i="113"/>
  <c r="E41" i="113"/>
  <c r="M39" i="113"/>
  <c r="K38" i="113"/>
  <c r="G36" i="113"/>
  <c r="M33" i="113"/>
  <c r="I31" i="113"/>
  <c r="E29" i="113"/>
  <c r="G49" i="113"/>
  <c r="I44" i="113"/>
  <c r="K39" i="113"/>
  <c r="K33" i="113"/>
  <c r="M28" i="113"/>
  <c r="L52" i="113"/>
  <c r="H38" i="113"/>
  <c r="E43" i="113"/>
  <c r="E31" i="113"/>
  <c r="L51" i="113"/>
  <c r="J50" i="113"/>
  <c r="H49" i="113"/>
  <c r="F48" i="113"/>
  <c r="D47" i="113"/>
  <c r="L45" i="113"/>
  <c r="J44" i="113"/>
  <c r="H43" i="113"/>
  <c r="F42" i="113"/>
  <c r="D41" i="113"/>
  <c r="L39" i="113"/>
  <c r="J38" i="113"/>
  <c r="H37" i="113"/>
  <c r="F36" i="113"/>
  <c r="D35" i="113"/>
  <c r="L33" i="113"/>
  <c r="J32" i="113"/>
  <c r="H31" i="113"/>
  <c r="F30" i="113"/>
  <c r="D29" i="113"/>
  <c r="L27" i="113"/>
  <c r="M52" i="113"/>
  <c r="E48" i="113"/>
  <c r="G43" i="113"/>
  <c r="I38" i="113"/>
  <c r="M34" i="113"/>
  <c r="E30" i="113"/>
  <c r="F49" i="113"/>
  <c r="L40" i="113"/>
  <c r="L28" i="113"/>
  <c r="K34" i="113"/>
  <c r="M50" i="113"/>
  <c r="M37" i="113"/>
  <c r="L30" i="113"/>
  <c r="L36" i="113"/>
  <c r="L42" i="113"/>
  <c r="L48" i="113"/>
  <c r="L46" i="113"/>
  <c r="M38" i="113"/>
  <c r="M30" i="113"/>
  <c r="M36" i="113"/>
  <c r="M48" i="113"/>
  <c r="L34" i="113"/>
  <c r="M42" i="113"/>
  <c r="L29" i="113"/>
  <c r="L35" i="113"/>
  <c r="L41" i="113"/>
  <c r="L47" i="113"/>
  <c r="M35" i="113"/>
  <c r="M47" i="113"/>
  <c r="N27" i="113"/>
  <c r="O27" i="113"/>
  <c r="P27" i="113"/>
  <c r="Q27" i="113"/>
  <c r="R27" i="113"/>
  <c r="S27" i="113"/>
  <c r="T27" i="113"/>
  <c r="U27" i="113"/>
  <c r="V27" i="113"/>
  <c r="O51" i="113"/>
  <c r="T45" i="113"/>
  <c r="O52" i="113"/>
  <c r="O48" i="113"/>
  <c r="O44" i="113"/>
  <c r="O40" i="113"/>
  <c r="N52" i="113"/>
  <c r="T50" i="113"/>
  <c r="N48" i="113"/>
  <c r="Q45" i="113"/>
  <c r="T42" i="113"/>
  <c r="N40" i="113"/>
  <c r="Q37" i="113"/>
  <c r="N36" i="113"/>
  <c r="Q33" i="113"/>
  <c r="N32" i="113"/>
  <c r="T30" i="113"/>
  <c r="Q29" i="113"/>
  <c r="V51" i="113"/>
  <c r="S50" i="113"/>
  <c r="P49" i="113"/>
  <c r="V47" i="113"/>
  <c r="S46" i="113"/>
  <c r="P45" i="113"/>
  <c r="V43" i="113"/>
  <c r="S42" i="113"/>
  <c r="P41" i="113"/>
  <c r="V39" i="113"/>
  <c r="S38" i="113"/>
  <c r="P37" i="113"/>
  <c r="V35" i="113"/>
  <c r="S34" i="113"/>
  <c r="P33" i="113"/>
  <c r="V31" i="113"/>
  <c r="S30" i="113"/>
  <c r="P29" i="113"/>
  <c r="N47" i="113"/>
  <c r="P44" i="113"/>
  <c r="O45" i="113"/>
  <c r="R38" i="113"/>
  <c r="T51" i="113"/>
  <c r="N45" i="113"/>
  <c r="N41" i="113"/>
  <c r="Q38" i="113"/>
  <c r="T35" i="113"/>
  <c r="N33" i="113"/>
  <c r="Q30" i="113"/>
  <c r="N29" i="113"/>
  <c r="O47" i="113"/>
  <c r="S49" i="113"/>
  <c r="R50" i="113"/>
  <c r="U43" i="113"/>
  <c r="O37" i="113"/>
  <c r="R30" i="113"/>
  <c r="N49" i="113"/>
  <c r="T43" i="113"/>
  <c r="T39" i="113"/>
  <c r="N37" i="113"/>
  <c r="Q34" i="113"/>
  <c r="T31" i="113"/>
  <c r="V52" i="113"/>
  <c r="S51" i="113"/>
  <c r="P50" i="113"/>
  <c r="V48" i="113"/>
  <c r="S47" i="113"/>
  <c r="P46" i="113"/>
  <c r="V44" i="113"/>
  <c r="S43" i="113"/>
  <c r="P42" i="113"/>
  <c r="V40" i="113"/>
  <c r="S39" i="113"/>
  <c r="P38" i="113"/>
  <c r="V36" i="113"/>
  <c r="S35" i="113"/>
  <c r="P34" i="113"/>
  <c r="V32" i="113"/>
  <c r="S31" i="113"/>
  <c r="P30" i="113"/>
  <c r="V28" i="113"/>
  <c r="U49" i="113"/>
  <c r="P52" i="113"/>
  <c r="O49" i="113"/>
  <c r="R42" i="113"/>
  <c r="U35" i="113"/>
  <c r="O29" i="113"/>
  <c r="T47" i="113"/>
  <c r="U52" i="113"/>
  <c r="U48" i="113"/>
  <c r="U44" i="113"/>
  <c r="R39" i="113"/>
  <c r="Q48" i="113"/>
  <c r="S45" i="113"/>
  <c r="U47" i="113"/>
  <c r="O41" i="113"/>
  <c r="R34" i="113"/>
  <c r="Q46" i="113"/>
  <c r="R51" i="113"/>
  <c r="R47" i="113"/>
  <c r="R43" i="113"/>
  <c r="U40" i="113"/>
  <c r="U36" i="113"/>
  <c r="O34" i="113"/>
  <c r="U32" i="113"/>
  <c r="O30" i="113"/>
  <c r="T52" i="113"/>
  <c r="Q51" i="113"/>
  <c r="N50" i="113"/>
  <c r="T48" i="113"/>
  <c r="Q47" i="113"/>
  <c r="N46" i="113"/>
  <c r="T44" i="113"/>
  <c r="Q43" i="113"/>
  <c r="N42" i="113"/>
  <c r="T40" i="113"/>
  <c r="Q39" i="113"/>
  <c r="N38" i="113"/>
  <c r="T36" i="113"/>
  <c r="Q35" i="113"/>
  <c r="N34" i="113"/>
  <c r="T32" i="113"/>
  <c r="Q31" i="113"/>
  <c r="N30" i="113"/>
  <c r="T28" i="113"/>
  <c r="U51" i="113"/>
  <c r="R46" i="113"/>
  <c r="U39" i="113"/>
  <c r="O33" i="113"/>
  <c r="Q50" i="113"/>
  <c r="Q42" i="113"/>
  <c r="O50" i="113"/>
  <c r="O46" i="113"/>
  <c r="O42" i="113"/>
  <c r="O38" i="113"/>
  <c r="R35" i="113"/>
  <c r="R31" i="113"/>
  <c r="S52" i="113"/>
  <c r="P51" i="113"/>
  <c r="V49" i="113"/>
  <c r="S48" i="113"/>
  <c r="P47" i="113"/>
  <c r="V45" i="113"/>
  <c r="S44" i="113"/>
  <c r="P43" i="113"/>
  <c r="V41" i="113"/>
  <c r="S40" i="113"/>
  <c r="P39" i="113"/>
  <c r="V37" i="113"/>
  <c r="S36" i="113"/>
  <c r="P35" i="113"/>
  <c r="V33" i="113"/>
  <c r="S32" i="113"/>
  <c r="P31" i="113"/>
  <c r="V29" i="113"/>
  <c r="S28" i="113"/>
  <c r="R52" i="113"/>
  <c r="U45" i="113"/>
  <c r="R44" i="113"/>
  <c r="O43" i="113"/>
  <c r="U41" i="113"/>
  <c r="R40" i="113"/>
  <c r="O39" i="113"/>
  <c r="U37" i="113"/>
  <c r="R36" i="113"/>
  <c r="O35" i="113"/>
  <c r="U33" i="113"/>
  <c r="R32" i="113"/>
  <c r="O31" i="113"/>
  <c r="U29" i="113"/>
  <c r="R28" i="113"/>
  <c r="T49" i="113"/>
  <c r="Q44" i="113"/>
  <c r="N43" i="113"/>
  <c r="T41" i="113"/>
  <c r="Q40" i="113"/>
  <c r="N39" i="113"/>
  <c r="T37" i="113"/>
  <c r="Q36" i="113"/>
  <c r="N35" i="113"/>
  <c r="T33" i="113"/>
  <c r="Q32" i="113"/>
  <c r="N31" i="113"/>
  <c r="T29" i="113"/>
  <c r="Q28" i="113"/>
  <c r="Q52" i="113"/>
  <c r="V46" i="113"/>
  <c r="V42" i="113"/>
  <c r="S41" i="113"/>
  <c r="P40" i="113"/>
  <c r="V38" i="113"/>
  <c r="S37" i="113"/>
  <c r="P36" i="113"/>
  <c r="V34" i="113"/>
  <c r="S33" i="113"/>
  <c r="P32" i="113"/>
  <c r="V30" i="113"/>
  <c r="S29" i="113"/>
  <c r="P28" i="113"/>
  <c r="R48" i="113"/>
  <c r="V50" i="113"/>
  <c r="U50" i="113"/>
  <c r="U46" i="113"/>
  <c r="U42" i="113"/>
  <c r="U38" i="113"/>
  <c r="O36" i="113"/>
  <c r="U34" i="113"/>
  <c r="R33" i="113"/>
  <c r="O32" i="113"/>
  <c r="U30" i="113"/>
  <c r="R29" i="113"/>
  <c r="O28" i="113"/>
  <c r="N51" i="113"/>
  <c r="P48" i="113"/>
  <c r="R49" i="113"/>
  <c r="R45" i="113"/>
  <c r="R41" i="113"/>
  <c r="R37" i="113"/>
  <c r="Q49" i="113"/>
  <c r="T46" i="113"/>
  <c r="N44" i="113"/>
  <c r="Q41" i="113"/>
  <c r="T38" i="113"/>
  <c r="T34" i="113"/>
  <c r="N28" i="113"/>
  <c r="U28" i="113"/>
</calcChain>
</file>

<file path=xl/sharedStrings.xml><?xml version="1.0" encoding="utf-8"?>
<sst xmlns="http://schemas.openxmlformats.org/spreadsheetml/2006/main" count="67" uniqueCount="55">
  <si>
    <t>P</t>
  </si>
  <si>
    <t>Физико - химические свойства флюида   PVT</t>
  </si>
  <si>
    <t>м3/м3</t>
  </si>
  <si>
    <t>С</t>
  </si>
  <si>
    <t>T</t>
  </si>
  <si>
    <t>,</t>
  </si>
  <si>
    <t>сП</t>
  </si>
  <si>
    <t>атмa</t>
  </si>
  <si>
    <t>МПа</t>
  </si>
  <si>
    <t>Ф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</si>
  <si>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</si>
  <si>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</si>
  <si>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</si>
  <si>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</si>
  <si>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</si>
  <si>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</si>
  <si>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</si>
  <si>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</si>
  <si>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</si>
  <si>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</si>
  <si>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r>
      <t>кг/м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</si>
  <si>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t>Упражнения по работе с макросами Unifloc VBA</t>
  </si>
  <si>
    <t>Расчет базовых PVT свойств нефти</t>
  </si>
  <si>
    <r>
      <t>R</t>
    </r>
    <r>
      <rPr>
        <vertAlign val="subscript"/>
        <sz val="10"/>
        <rFont val="Arial Cyr"/>
        <charset val="204"/>
      </rPr>
      <t>s</t>
    </r>
  </si>
  <si>
    <r>
      <t>B</t>
    </r>
    <r>
      <rPr>
        <vertAlign val="subscript"/>
        <sz val="10"/>
        <rFont val="Arial Cyr"/>
        <charset val="204"/>
      </rPr>
      <t>o</t>
    </r>
  </si>
  <si>
    <r>
      <rPr>
        <sz val="10"/>
        <rFont val="Calibri"/>
        <family val="2"/>
        <charset val="204"/>
      </rPr>
      <t>μ</t>
    </r>
    <r>
      <rPr>
        <vertAlign val="subscript"/>
        <sz val="10"/>
        <rFont val="Arial Cyr"/>
        <charset val="204"/>
      </rPr>
      <t>o</t>
    </r>
  </si>
  <si>
    <r>
      <t>μ</t>
    </r>
    <r>
      <rPr>
        <vertAlign val="subscript"/>
        <sz val="10"/>
        <rFont val="Calibri"/>
        <family val="2"/>
        <charset val="204"/>
      </rPr>
      <t>g</t>
    </r>
  </si>
  <si>
    <r>
      <t>μ</t>
    </r>
    <r>
      <rPr>
        <vertAlign val="subscript"/>
        <sz val="10"/>
        <rFont val="Calibri"/>
        <family val="2"/>
        <charset val="204"/>
      </rPr>
      <t>w</t>
    </r>
  </si>
  <si>
    <r>
      <t>ρ</t>
    </r>
    <r>
      <rPr>
        <vertAlign val="subscript"/>
        <sz val="10"/>
        <rFont val="Arial Cyr"/>
        <charset val="204"/>
      </rPr>
      <t>g</t>
    </r>
  </si>
  <si>
    <r>
      <t>ρ</t>
    </r>
    <r>
      <rPr>
        <vertAlign val="subscript"/>
        <sz val="10"/>
        <rFont val="Arial Cyr"/>
        <charset val="204"/>
      </rPr>
      <t>w</t>
    </r>
  </si>
  <si>
    <r>
      <t>ρ</t>
    </r>
    <r>
      <rPr>
        <vertAlign val="subscript"/>
        <sz val="10"/>
        <rFont val="Arial Cyr"/>
        <charset val="204"/>
      </rPr>
      <t>o</t>
    </r>
  </si>
  <si>
    <t>версия</t>
  </si>
  <si>
    <t>PVT строка</t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</si>
  <si>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color theme="1"/>
        <rFont val="Arial Cyr"/>
        <charset val="204"/>
      </rPr>
      <t>/т</t>
    </r>
  </si>
  <si>
    <r>
      <t>B</t>
    </r>
    <r>
      <rPr>
        <vertAlign val="subscript"/>
        <sz val="10"/>
        <rFont val="Arial Cyr"/>
      </rPr>
      <t>g</t>
    </r>
  </si>
  <si>
    <t>ST_oilgas</t>
  </si>
  <si>
    <t>ST_watgas</t>
  </si>
  <si>
    <t>ST_liqgas</t>
  </si>
  <si>
    <t>Курс</t>
  </si>
  <si>
    <t>Примечание</t>
  </si>
  <si>
    <t>РГУ ИРДН 2020</t>
  </si>
  <si>
    <t>Хабибуллин Ринат</t>
  </si>
  <si>
    <t>Группа</t>
  </si>
  <si>
    <t>РиЭНМ</t>
  </si>
  <si>
    <t>Пример выполнения упражнения</t>
  </si>
  <si>
    <t>Date</t>
  </si>
  <si>
    <t>Version</t>
  </si>
  <si>
    <t>Имя</t>
  </si>
  <si>
    <t>co</t>
  </si>
  <si>
    <t>cpo</t>
  </si>
  <si>
    <t>cpg</t>
  </si>
  <si>
    <t>cpw</t>
  </si>
  <si>
    <t>cw</t>
  </si>
  <si>
    <t>cg</t>
  </si>
  <si>
    <r>
      <t>B</t>
    </r>
    <r>
      <rPr>
        <vertAlign val="subscript"/>
        <sz val="10"/>
        <rFont val="Arial Cyr"/>
      </rPr>
      <t>w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</si>
</sst>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0.000"/>
    <numFmt numFmtId="166" formatCode="0.0E+00"/>
  </numFmts>
  <fonts count="18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0"/>
      <name val="Arial Cyr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</font>
    <font>
      <vertAlign val="superscript"/>
      <sz val="11"/>
      <color theme="1"/>
      <name val="Calibri"/>
      <family val="2"/>
      <charset val="204"/>
      <scheme val="minor"/>
    </font>
    <font>
      <sz val="10"/>
      <name val="Calibri"/>
      <family val="2"/>
      <charset val="204"/>
    </font>
    <font>
      <vertAlign val="subscript"/>
      <sz val="10"/>
      <name val="Arial Cyr"/>
      <charset val="204"/>
    </font>
    <font>
      <vertAlign val="subscript"/>
      <sz val="10"/>
      <name val="Calibri"/>
      <family val="2"/>
      <charset val="204"/>
    </font>
    <font>
      <sz val="10"/>
      <name val="Arial Cyr"/>
      <family val="2"/>
      <charset val="204"/>
    </font>
    <font>
      <sz val="10"/>
      <color theme="1"/>
      <name val="Arial Cyr"/>
      <charset val="204"/>
    </font>
    <font>
      <vertAlign val="subscript"/>
      <sz val="10"/>
      <name val="Arial Cyr"/>
    </font>
  </fonts>
  <fills count="7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8">
    <xf numFmtId="0" fontId="0" fillId="0" borderId="0"/>
    <xf numFmtId="0" fontId="4" fillId="0" borderId="1"/>
    <xf numFmtId="0" fontId="5" fillId="0" borderId="0"/>
    <xf numFmtId="0" fontId="3" fillId="0" borderId="0"/>
    <xf numFmtId="0" fontId="2" fillId="0" borderId="0"/>
    <xf numFmtId="164" fontId="7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</cellStyleXfs>
  <cellXfs count="51">
    <xf numFmtId="0" fontId="0" fillId="0" borderId="0" xfId="0"/>
    <xf numFmtId="0" fontId="6" fillId="0" borderId="0" xfId="0" applyFont="1"/>
    <xf numFmtId="0" fontId="0" fillId="2" borderId="2" xfId="0" applyFill="1" applyBorder="1" applyAlignment="1">
      <alignment horizontal="center"/>
    </xf>
    <xf numFmtId="0" fontId="0" fillId="0" borderId="0" xfId="0" quotePrefix="1"/>
    <xf numFmtId="0" fontId="0" fillId="3" borderId="2" xfId="0" applyFill="1" applyBorder="1" applyAlignment="1">
      <alignment horizontal="center"/>
    </xf>
    <xf numFmtId="0" fontId="8" fillId="3" borderId="2" xfId="0" applyFont="1" applyFill="1" applyBorder="1" applyAlignment="1">
      <alignment horizontal="center"/>
    </xf>
    <xf numFmtId="0" fontId="0" fillId="3" borderId="2" xfId="0" applyFill="1" applyBorder="1"/>
    <xf numFmtId="0" fontId="0" fillId="3" borderId="2" xfId="0" applyFill="1" applyBorder="1" applyAlignment="1">
      <alignment horizontal="center" wrapText="1"/>
    </xf>
    <xf numFmtId="0" fontId="8" fillId="3" borderId="2" xfId="0" applyFont="1" applyFill="1" applyBorder="1" applyAlignment="1">
      <alignment horizontal="center" wrapText="1"/>
    </xf>
    <xf numFmtId="0" fontId="0" fillId="3" borderId="2" xfId="0" applyFill="1" applyBorder="1" applyAlignment="1">
      <alignment horizontal="center" vertical="center"/>
    </xf>
    <xf numFmtId="0" fontId="15" fillId="3" borderId="2" xfId="0" applyFont="1" applyFill="1" applyBorder="1" applyAlignment="1">
      <alignment horizontal="center" vertical="center"/>
    </xf>
    <xf numFmtId="0" fontId="12" fillId="3" borderId="2" xfId="0" applyFont="1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3" borderId="0" xfId="0" applyFill="1" applyAlignment="1">
      <alignment wrapText="1"/>
    </xf>
    <xf numFmtId="0" fontId="0" fillId="4" borderId="0" xfId="0" applyFill="1"/>
    <xf numFmtId="1" fontId="0" fillId="4" borderId="2" xfId="0" applyNumberFormat="1" applyFill="1" applyBorder="1" applyAlignment="1">
      <alignment horizontal="center" vertical="center"/>
    </xf>
    <xf numFmtId="2" fontId="0" fillId="4" borderId="2" xfId="0" applyNumberFormat="1" applyFill="1" applyBorder="1" applyAlignment="1">
      <alignment horizontal="center" vertical="center"/>
    </xf>
    <xf numFmtId="165" fontId="0" fillId="4" borderId="2" xfId="0" applyNumberFormat="1" applyFill="1" applyBorder="1" applyAlignment="1">
      <alignment horizontal="center" vertical="center"/>
    </xf>
    <xf numFmtId="0" fontId="16" fillId="4" borderId="2" xfId="0" applyFont="1" applyFill="1" applyBorder="1" applyAlignment="1">
      <alignment horizontal="center"/>
    </xf>
    <xf numFmtId="0" fontId="16" fillId="3" borderId="2" xfId="0" applyFont="1" applyFill="1" applyBorder="1" applyAlignment="1">
      <alignment horizontal="center"/>
    </xf>
    <xf numFmtId="1" fontId="16" fillId="4" borderId="2" xfId="0" applyNumberFormat="1" applyFont="1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165" fontId="0" fillId="4" borderId="2" xfId="0" applyNumberFormat="1" applyFill="1" applyBorder="1" applyAlignment="1">
      <alignment horizontal="center"/>
    </xf>
    <xf numFmtId="0" fontId="0" fillId="3" borderId="16" xfId="0" applyFill="1" applyBorder="1"/>
    <xf numFmtId="0" fontId="8" fillId="3" borderId="2" xfId="0" applyFont="1" applyFill="1" applyBorder="1" applyAlignment="1">
      <alignment horizontal="left"/>
    </xf>
    <xf numFmtId="0" fontId="0" fillId="4" borderId="3" xfId="0" applyFill="1" applyBorder="1"/>
    <xf numFmtId="0" fontId="0" fillId="4" borderId="4" xfId="0" applyFill="1" applyBorder="1"/>
    <xf numFmtId="14" fontId="0" fillId="4" borderId="8" xfId="0" applyNumberFormat="1" applyFill="1" applyBorder="1" applyAlignment="1">
      <alignment horizontal="left" vertical="top"/>
    </xf>
    <xf numFmtId="0" fontId="0" fillId="4" borderId="9" xfId="0" applyFill="1" applyBorder="1"/>
    <xf numFmtId="0" fontId="0" fillId="4" borderId="11" xfId="0" applyFill="1" applyBorder="1"/>
    <xf numFmtId="0" fontId="0" fillId="4" borderId="16" xfId="0" applyFill="1" applyBorder="1" applyAlignment="1">
      <alignment horizontal="left" vertical="top"/>
    </xf>
    <xf numFmtId="1" fontId="0" fillId="4" borderId="2" xfId="0" applyNumberFormat="1" applyFill="1" applyBorder="1" applyAlignment="1">
      <alignment horizontal="center"/>
    </xf>
    <xf numFmtId="166" fontId="0" fillId="4" borderId="2" xfId="0" applyNumberFormat="1" applyFill="1" applyBorder="1" applyAlignment="1">
      <alignment horizontal="center"/>
    </xf>
    <xf numFmtId="0" fontId="0" fillId="3" borderId="5" xfId="0" applyFill="1" applyBorder="1" applyAlignment="1">
      <alignment horizontal="left" vertical="top"/>
    </xf>
    <xf numFmtId="0" fontId="0" fillId="3" borderId="6" xfId="0" applyFill="1" applyBorder="1" applyAlignment="1">
      <alignment horizontal="left" vertical="top"/>
    </xf>
    <xf numFmtId="0" fontId="0" fillId="3" borderId="7" xfId="0" applyFill="1" applyBorder="1" applyAlignment="1">
      <alignment horizontal="left" vertical="top"/>
    </xf>
    <xf numFmtId="0" fontId="0" fillId="6" borderId="8" xfId="0" applyFill="1" applyBorder="1" applyAlignment="1">
      <alignment horizontal="left" vertical="top"/>
    </xf>
    <xf numFmtId="0" fontId="0" fillId="6" borderId="9" xfId="0" applyFill="1" applyBorder="1" applyAlignment="1">
      <alignment horizontal="left" vertical="top"/>
    </xf>
    <xf numFmtId="0" fontId="0" fillId="6" borderId="11" xfId="0" applyFill="1" applyBorder="1" applyAlignment="1">
      <alignment horizontal="left" vertical="top"/>
    </xf>
    <xf numFmtId="0" fontId="0" fillId="6" borderId="10" xfId="0" applyFill="1" applyBorder="1" applyAlignment="1">
      <alignment horizontal="left" vertical="top"/>
    </xf>
    <xf numFmtId="0" fontId="0" fillId="6" borderId="0" xfId="0" applyFill="1" applyBorder="1" applyAlignment="1">
      <alignment horizontal="left" vertical="top"/>
    </xf>
    <xf numFmtId="0" fontId="0" fillId="6" borderId="12" xfId="0" applyFill="1" applyBorder="1" applyAlignment="1">
      <alignment horizontal="left" vertical="top"/>
    </xf>
    <xf numFmtId="0" fontId="0" fillId="6" borderId="13" xfId="0" applyFill="1" applyBorder="1" applyAlignment="1">
      <alignment horizontal="left" vertical="top"/>
    </xf>
    <xf numFmtId="0" fontId="0" fillId="6" borderId="14" xfId="0" applyFill="1" applyBorder="1" applyAlignment="1">
      <alignment horizontal="left" vertical="top"/>
    </xf>
    <xf numFmtId="0" fontId="0" fillId="6" borderId="15" xfId="0" applyFill="1" applyBorder="1" applyAlignment="1">
      <alignment horizontal="left" vertical="top"/>
    </xf>
    <xf numFmtId="0" fontId="0" fillId="3" borderId="2" xfId="0" applyFill="1" applyBorder="1" applyAlignment="1">
      <alignment horizontal="left" vertical="top"/>
    </xf>
    <xf numFmtId="0" fontId="0" fillId="4" borderId="2" xfId="0" applyFill="1" applyBorder="1" applyAlignment="1">
      <alignment horizontal="left" vertical="top"/>
    </xf>
    <xf numFmtId="0" fontId="0" fillId="6" borderId="3" xfId="0" applyFill="1" applyBorder="1" applyAlignment="1">
      <alignment horizontal="left"/>
    </xf>
    <xf numFmtId="0" fontId="0" fillId="6" borderId="4" xfId="0" applyFill="1" applyBorder="1" applyAlignment="1">
      <alignment horizontal="left"/>
    </xf>
    <xf numFmtId="0" fontId="0" fillId="4" borderId="7" xfId="0" applyFill="1" applyBorder="1" applyAlignment="1">
      <alignment horizontal="left"/>
    </xf>
    <xf numFmtId="0" fontId="0" fillId="4" borderId="2" xfId="0" applyFill="1" applyBorder="1" applyAlignment="1">
      <alignment horizontal="left"/>
    </xf>
  </cellXfs>
  <cellStyles count="8">
    <cellStyle name="Iau?iue_AA_1" xfId="1" xr:uid="{00000000-0005-0000-0000-000000000000}"/>
    <cellStyle name="Обычный" xfId="0" builtinId="0"/>
    <cellStyle name="Обычный 2" xfId="2" xr:uid="{00000000-0005-0000-0000-000003000000}"/>
    <cellStyle name="Обычный 3" xfId="3" xr:uid="{00000000-0005-0000-0000-000004000000}"/>
    <cellStyle name="Обычный 3 2" xfId="4" xr:uid="{00000000-0005-0000-0000-000005000000}"/>
    <cellStyle name="Обычный 4" xfId="6" xr:uid="{00000000-0005-0000-0000-000006000000}"/>
    <cellStyle name="Процентный 2" xfId="7" xr:uid="{00000000-0005-0000-0000-000007000000}"/>
    <cellStyle name="Финансовый 2" xfId="5" xr:uid="{00000000-0005-0000-0000-000008000000}"/>
  </cellStyles>
  <dxfs count="0"/>
  <tableStyles count="0" defaultTableStyle="TableStyleMedium2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Вязкость 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exercise_PVT!$F$26</c:f>
              <c:strCache>
                <c:ptCount val="1"/>
                <c:pt idx="0">
                  <c:v>μo</c:v>
                </c:pt>
              </c:strCache>
            </c:strRef>
          </c:tx>
          <c:xVal>
            <c:numRef>
              <c:f>exercise_PVT!$B$27:$B$52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exercise_PVT!$F$27:$F$52</c:f>
              <c:numCache>
                <c:formatCode>0</c:formatCode>
                <c:ptCount val="26"/>
                <c:pt idx="0">
                  <c:v>4.7500744232878453</c:v>
                </c:pt>
                <c:pt idx="1">
                  <c:v>3.2447536582538032</c:v>
                </c:pt>
                <c:pt idx="2">
                  <c:v>2.9828371605277186</c:v>
                </c:pt>
                <c:pt idx="3">
                  <c:v>2.5313340399295856</c:v>
                </c:pt>
                <c:pt idx="4">
                  <c:v>1.9151911055748214</c:v>
                </c:pt>
                <c:pt idx="5">
                  <c:v>1.5372291487206744</c:v>
                </c:pt>
                <c:pt idx="6">
                  <c:v>1.2869904011598827</c:v>
                </c:pt>
                <c:pt idx="7">
                  <c:v>1.1102531805626688</c:v>
                </c:pt>
                <c:pt idx="8">
                  <c:v>1.00635461283531</c:v>
                </c:pt>
                <c:pt idx="9">
                  <c:v>1.0406297936198428</c:v>
                </c:pt>
                <c:pt idx="10">
                  <c:v>1.0803070298920419</c:v>
                </c:pt>
                <c:pt idx="11">
                  <c:v>1.1248740033445341</c:v>
                </c:pt>
                <c:pt idx="12">
                  <c:v>1.1739269046238161</c:v>
                </c:pt>
                <c:pt idx="13">
                  <c:v>1.2271293758414072</c:v>
                </c:pt>
                <c:pt idx="14">
                  <c:v>1.2841859973467749</c:v>
                </c:pt>
                <c:pt idx="15">
                  <c:v>1.3448246297550623</c:v>
                </c:pt>
                <c:pt idx="16">
                  <c:v>1.4087844404690353</c:v>
                </c:pt>
                <c:pt idx="17">
                  <c:v>1.4758077525373758</c:v>
                </c:pt>
                <c:pt idx="18">
                  <c:v>1.5456345719720073</c:v>
                </c:pt>
                <c:pt idx="19">
                  <c:v>1.617999061371832</c:v>
                </c:pt>
                <c:pt idx="20">
                  <c:v>1.6926274720265917</c:v>
                </c:pt>
                <c:pt idx="21">
                  <c:v>1.7692371957906132</c:v>
                </c:pt>
                <c:pt idx="22">
                  <c:v>1.8475366911885862</c:v>
                </c:pt>
                <c:pt idx="23">
                  <c:v>1.9272260976867597</c:v>
                </c:pt>
                <c:pt idx="24">
                  <c:v>2.0079983908765744</c:v>
                </c:pt>
                <c:pt idx="25">
                  <c:v>2.0895409573493287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AA-4171-9396-3613447B9395}"/>
            </c:ext>
          </c:extLst>
        </c:ser>
        <c:ser>
          <c:idx val="1"/>
          <c:order val="1"/>
          <c:tx>
            <c:strRef>
              <c:f>exercise_PVT!$H$26</c:f>
              <c:strCache>
                <c:ptCount val="1"/>
                <c:pt idx="0">
                  <c:v>μw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xVal>
            <c:numRef>
              <c:f>exercise_PVT!$B$27:$B$52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exercise_PVT!$H$27:$H$52</c:f>
              <c:numCache>
                <c:formatCode>0.00</c:formatCode>
                <c:ptCount val="26"/>
                <c:pt idx="0">
                  <c:v>0.70749460631098049</c:v>
                </c:pt>
                <c:pt idx="1">
                  <c:v>0.49568448521335695</c:v>
                </c:pt>
                <c:pt idx="2">
                  <c:v>0.49717356350541014</c:v>
                </c:pt>
                <c:pt idx="3">
                  <c:v>0.50020148273013165</c:v>
                </c:pt>
                <c:pt idx="4">
                  <c:v>0.50645637174203584</c:v>
                </c:pt>
                <c:pt idx="5">
                  <c:v>0.51297666150388777</c:v>
                </c:pt>
                <c:pt idx="6">
                  <c:v>0.51976235201568766</c:v>
                </c:pt>
                <c:pt idx="7">
                  <c:v>0.52681344327743551</c:v>
                </c:pt>
                <c:pt idx="8">
                  <c:v>0.53412993528913122</c:v>
                </c:pt>
                <c:pt idx="9">
                  <c:v>0.54171182805077478</c:v>
                </c:pt>
                <c:pt idx="10">
                  <c:v>0.5495591215623663</c:v>
                </c:pt>
                <c:pt idx="11">
                  <c:v>0.55767181582390579</c:v>
                </c:pt>
                <c:pt idx="12">
                  <c:v>0.56604991083539313</c:v>
                </c:pt>
                <c:pt idx="13">
                  <c:v>0.57469340659682833</c:v>
                </c:pt>
                <c:pt idx="14">
                  <c:v>0.58360230310821137</c:v>
                </c:pt>
                <c:pt idx="15">
                  <c:v>0.59277660036954249</c:v>
                </c:pt>
                <c:pt idx="16">
                  <c:v>0.60221629838082136</c:v>
                </c:pt>
                <c:pt idx="17">
                  <c:v>0.6119213971420483</c:v>
                </c:pt>
                <c:pt idx="18">
                  <c:v>0.62189189665322298</c:v>
                </c:pt>
                <c:pt idx="19">
                  <c:v>0.63212779691434562</c:v>
                </c:pt>
                <c:pt idx="20">
                  <c:v>0.64262909792541612</c:v>
                </c:pt>
                <c:pt idx="21">
                  <c:v>0.65339579968643458</c:v>
                </c:pt>
                <c:pt idx="22">
                  <c:v>0.664427902197401</c:v>
                </c:pt>
                <c:pt idx="23">
                  <c:v>0.67572540545831516</c:v>
                </c:pt>
                <c:pt idx="24">
                  <c:v>0.68728830946917741</c:v>
                </c:pt>
                <c:pt idx="25">
                  <c:v>0.6991166142299875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EAA-4171-9396-3613447B9395}"/>
            </c:ext>
          </c:extLst>
        </c:ser>
        <c:ser>
          <c:idx val="2"/>
          <c:order val="2"/>
          <c:tx>
            <c:strRef>
              <c:f>exercise_PVT!$G$26</c:f>
              <c:strCache>
                <c:ptCount val="1"/>
                <c:pt idx="0">
                  <c:v>μg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exercise_PVT!$B$27:$B$52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exercise_PVT!$G$27:$G$52</c:f>
              <c:numCache>
                <c:formatCode>0.000</c:formatCode>
                <c:ptCount val="26"/>
                <c:pt idx="0">
                  <c:v>1.1060936887133336E-2</c:v>
                </c:pt>
                <c:pt idx="1">
                  <c:v>1.2152704989797817E-2</c:v>
                </c:pt>
                <c:pt idx="2">
                  <c:v>1.2232054201935603E-2</c:v>
                </c:pt>
                <c:pt idx="3">
                  <c:v>1.2434456281957959E-2</c:v>
                </c:pt>
                <c:pt idx="4">
                  <c:v>1.2984176826364345E-2</c:v>
                </c:pt>
                <c:pt idx="5">
                  <c:v>1.3731908321690887E-2</c:v>
                </c:pt>
                <c:pt idx="6">
                  <c:v>1.4696072111725578E-2</c:v>
                </c:pt>
                <c:pt idx="7">
                  <c:v>1.5875949307699977E-2</c:v>
                </c:pt>
                <c:pt idx="8">
                  <c:v>1.7240992045821735E-2</c:v>
                </c:pt>
                <c:pt idx="9">
                  <c:v>1.8739305276369276E-2</c:v>
                </c:pt>
                <c:pt idx="10">
                  <c:v>2.0314190014666292E-2</c:v>
                </c:pt>
                <c:pt idx="11">
                  <c:v>2.1917374342552566E-2</c:v>
                </c:pt>
                <c:pt idx="12">
                  <c:v>2.3514396112959614E-2</c:v>
                </c:pt>
                <c:pt idx="13">
                  <c:v>2.5083831869427847E-2</c:v>
                </c:pt>
                <c:pt idx="14">
                  <c:v>2.6613890827450862E-2</c:v>
                </c:pt>
                <c:pt idx="15">
                  <c:v>2.8098871526802589E-2</c:v>
                </c:pt>
                <c:pt idx="16">
                  <c:v>2.9536501483992422E-2</c:v>
                </c:pt>
                <c:pt idx="17">
                  <c:v>3.092626812710509E-2</c:v>
                </c:pt>
                <c:pt idx="18">
                  <c:v>3.2268505467152347E-2</c:v>
                </c:pt>
                <c:pt idx="19">
                  <c:v>3.3563960430461753E-2</c:v>
                </c:pt>
                <c:pt idx="20">
                  <c:v>3.4813626743034121E-2</c:v>
                </c:pt>
                <c:pt idx="21">
                  <c:v>3.6018709819299714E-2</c:v>
                </c:pt>
                <c:pt idx="22">
                  <c:v>3.7180644022582574E-2</c:v>
                </c:pt>
                <c:pt idx="23">
                  <c:v>3.8301121221605575E-2</c:v>
                </c:pt>
                <c:pt idx="24">
                  <c:v>3.9382111695183519E-2</c:v>
                </c:pt>
                <c:pt idx="25">
                  <c:v>4.0425870556863336E-2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EAA-4171-9396-3613447B93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2392768"/>
        <c:axId val="402394496"/>
      </c:scatterChart>
      <c:valAx>
        <c:axId val="402392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2394496"/>
        <c:crossesAt val="1.0000000000000002E-2"/>
        <c:crossBetween val="midCat"/>
      </c:valAx>
      <c:valAx>
        <c:axId val="402394496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Вязкость </a:t>
                </a:r>
                <a:r>
                  <a:rPr lang="ru-RU" baseline="0"/>
                  <a:t>, сП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23927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Плотность 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7203064567418266"/>
          <c:y val="0.12115779913539503"/>
          <c:w val="0.78441444872543875"/>
          <c:h val="0.69957118802381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exercise_PVT!$K$26</c:f>
              <c:strCache>
                <c:ptCount val="1"/>
                <c:pt idx="0">
                  <c:v>ρo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xVal>
            <c:numRef>
              <c:f>exercise_PVT!$B$27:$B$52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exercise_PVT!$K$27:$K$52</c:f>
              <c:numCache>
                <c:formatCode>0</c:formatCode>
                <c:ptCount val="26"/>
                <c:pt idx="0">
                  <c:v>845.14096817564473</c:v>
                </c:pt>
                <c:pt idx="1">
                  <c:v>828.48850289784286</c:v>
                </c:pt>
                <c:pt idx="2">
                  <c:v>827.60472970293677</c:v>
                </c:pt>
                <c:pt idx="3">
                  <c:v>825.48766128786326</c:v>
                </c:pt>
                <c:pt idx="4">
                  <c:v>820.25694630869191</c:v>
                </c:pt>
                <c:pt idx="5">
                  <c:v>814.01186279246497</c:v>
                </c:pt>
                <c:pt idx="6">
                  <c:v>806.98384449162563</c:v>
                </c:pt>
                <c:pt idx="7">
                  <c:v>799.34871010370273</c:v>
                </c:pt>
                <c:pt idx="8">
                  <c:v>793.62296549374128</c:v>
                </c:pt>
                <c:pt idx="9">
                  <c:v>797.21087599256464</c:v>
                </c:pt>
                <c:pt idx="10">
                  <c:v>799.91244968121828</c:v>
                </c:pt>
                <c:pt idx="11">
                  <c:v>802.0200014870278</c:v>
                </c:pt>
                <c:pt idx="12">
                  <c:v>803.71004026467006</c:v>
                </c:pt>
                <c:pt idx="13">
                  <c:v>805.09544782474234</c:v>
                </c:pt>
                <c:pt idx="14">
                  <c:v>806.25177820670524</c:v>
                </c:pt>
                <c:pt idx="15">
                  <c:v>807.23150870173174</c:v>
                </c:pt>
                <c:pt idx="16">
                  <c:v>808.07222521220081</c:v>
                </c:pt>
                <c:pt idx="17">
                  <c:v>808.8015544106039</c:v>
                </c:pt>
                <c:pt idx="18">
                  <c:v>809.44025741725977</c:v>
                </c:pt>
                <c:pt idx="19">
                  <c:v>810.00423774119076</c:v>
                </c:pt>
                <c:pt idx="20">
                  <c:v>810.5058834645389</c:v>
                </c:pt>
                <c:pt idx="21">
                  <c:v>810.95498771180746</c:v>
                </c:pt>
                <c:pt idx="22">
                  <c:v>811.35939429741848</c:v>
                </c:pt>
                <c:pt idx="23">
                  <c:v>811.72545974132322</c:v>
                </c:pt>
                <c:pt idx="24">
                  <c:v>812.05838982698833</c:v>
                </c:pt>
                <c:pt idx="25">
                  <c:v>812.36248872582291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E5-4E7E-B225-1829BBEB1990}"/>
            </c:ext>
          </c:extLst>
        </c:ser>
        <c:ser>
          <c:idx val="1"/>
          <c:order val="1"/>
          <c:tx>
            <c:strRef>
              <c:f>exercise_PVT!$J$26</c:f>
              <c:strCache>
                <c:ptCount val="1"/>
                <c:pt idx="0">
                  <c:v>ρw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xVal>
            <c:numRef>
              <c:f>exercise_PVT!$B$27:$B$52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exercise_PVT!$J$27:$J$52</c:f>
              <c:numCache>
                <c:formatCode>0</c:formatCode>
                <c:ptCount val="26"/>
                <c:pt idx="0">
                  <c:v>1084.4925743727499</c:v>
                </c:pt>
                <c:pt idx="1">
                  <c:v>1067.6686358168463</c:v>
                </c:pt>
                <c:pt idx="2">
                  <c:v>1067.7280970806928</c:v>
                </c:pt>
                <c:pt idx="3">
                  <c:v>1067.8558858355127</c:v>
                </c:pt>
                <c:pt idx="4">
                  <c:v>1068.1469589671813</c:v>
                </c:pt>
                <c:pt idx="5">
                  <c:v>1068.4854253338608</c:v>
                </c:pt>
                <c:pt idx="6">
                  <c:v>1068.8713749105848</c:v>
                </c:pt>
                <c:pt idx="7">
                  <c:v>1069.30491039923</c:v>
                </c:pt>
                <c:pt idx="8">
                  <c:v>1069.7861472969807</c:v>
                </c:pt>
                <c:pt idx="9">
                  <c:v>1070.3152139734489</c:v>
                </c:pt>
                <c:pt idx="10">
                  <c:v>1070.8922517565502</c:v>
                </c:pt>
                <c:pt idx="11">
                  <c:v>1071.517415027238</c:v>
                </c:pt>
                <c:pt idx="12">
                  <c:v>1072.1908713232208</c:v>
                </c:pt>
                <c:pt idx="13">
                  <c:v>1072.912801451788</c:v>
                </c:pt>
                <c:pt idx="14">
                  <c:v>1073.6833996118905</c:v>
                </c:pt>
                <c:pt idx="15">
                  <c:v>1074.5028735256278</c:v>
                </c:pt>
                <c:pt idx="16">
                  <c:v>1075.3714445793128</c:v>
                </c:pt>
                <c:pt idx="17">
                  <c:v>1076.2893479742904</c:v>
                </c:pt>
                <c:pt idx="18">
                  <c:v>1077.2568328877053</c:v>
                </c:pt>
                <c:pt idx="19">
                  <c:v>1078.2741626434267</c:v>
                </c:pt>
                <c:pt idx="20">
                  <c:v>1079.3416148933502</c:v>
                </c:pt>
                <c:pt idx="21">
                  <c:v>1080.4594818093117</c:v>
                </c:pt>
                <c:pt idx="22">
                  <c:v>1081.6280702858651</c:v>
                </c:pt>
                <c:pt idx="23">
                  <c:v>1082.8477021541919</c:v>
                </c:pt>
                <c:pt idx="24">
                  <c:v>1084.1187144074204</c:v>
                </c:pt>
                <c:pt idx="25">
                  <c:v>1085.4414594376583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2E5-4E7E-B225-1829BBEB1990}"/>
            </c:ext>
          </c:extLst>
        </c:ser>
        <c:ser>
          <c:idx val="2"/>
          <c:order val="2"/>
          <c:tx>
            <c:strRef>
              <c:f>exercise_PVT!$I$26</c:f>
              <c:strCache>
                <c:ptCount val="1"/>
                <c:pt idx="0">
                  <c:v>ρg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exercise_PVT!$B$27:$B$52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exercise_PVT!$I$27:$I$52</c:f>
              <c:numCache>
                <c:formatCode>0</c:formatCode>
                <c:ptCount val="26"/>
                <c:pt idx="0">
                  <c:v>0.8852398428851368</c:v>
                </c:pt>
                <c:pt idx="1">
                  <c:v>4.0777731313145678</c:v>
                </c:pt>
                <c:pt idx="2">
                  <c:v>8.2347583750332429</c:v>
                </c:pt>
                <c:pt idx="3">
                  <c:v>16.810606939469235</c:v>
                </c:pt>
                <c:pt idx="4">
                  <c:v>35.199473353007171</c:v>
                </c:pt>
                <c:pt idx="5">
                  <c:v>55.482279811094976</c:v>
                </c:pt>
                <c:pt idx="6">
                  <c:v>77.522405843046656</c:v>
                </c:pt>
                <c:pt idx="7">
                  <c:v>100.60690514626715</c:v>
                </c:pt>
                <c:pt idx="8">
                  <c:v>123.70202752423371</c:v>
                </c:pt>
                <c:pt idx="9">
                  <c:v>145.85007050714091</c:v>
                </c:pt>
                <c:pt idx="10">
                  <c:v>166.42130201910436</c:v>
                </c:pt>
                <c:pt idx="11">
                  <c:v>185.14561059406719</c:v>
                </c:pt>
                <c:pt idx="12">
                  <c:v>202.01571438595934</c:v>
                </c:pt>
                <c:pt idx="13">
                  <c:v>217.16838075139015</c:v>
                </c:pt>
                <c:pt idx="14">
                  <c:v>230.79581933914827</c:v>
                </c:pt>
                <c:pt idx="15">
                  <c:v>243.09490745404341</c:v>
                </c:pt>
                <c:pt idx="16">
                  <c:v>254.24416166569722</c:v>
                </c:pt>
                <c:pt idx="17">
                  <c:v>264.3966703482634</c:v>
                </c:pt>
                <c:pt idx="18">
                  <c:v>273.68066579837409</c:v>
                </c:pt>
                <c:pt idx="19">
                  <c:v>282.20300222463175</c:v>
                </c:pt>
                <c:pt idx="20">
                  <c:v>290.05322260522149</c:v>
                </c:pt>
                <c:pt idx="21">
                  <c:v>297.3072486924587</c:v>
                </c:pt>
                <c:pt idx="22">
                  <c:v>304.03039572127034</c:v>
                </c:pt>
                <c:pt idx="23">
                  <c:v>310.27970534224994</c:v>
                </c:pt>
                <c:pt idx="24">
                  <c:v>316.10569647214157</c:v>
                </c:pt>
                <c:pt idx="25">
                  <c:v>321.55365623768205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2E5-4E7E-B225-1829BBEB19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3640896"/>
        <c:axId val="403460032"/>
      </c:scatterChart>
      <c:valAx>
        <c:axId val="343640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3460032"/>
        <c:crosses val="autoZero"/>
        <c:crossBetween val="midCat"/>
      </c:valAx>
      <c:valAx>
        <c:axId val="403460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Плотность  кг/м3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436408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Поверхностное</a:t>
            </a:r>
            <a:r>
              <a:rPr lang="ru-RU" baseline="0"/>
              <a:t> натяжение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exercise_PVT!$O$26</c:f>
              <c:strCache>
                <c:ptCount val="1"/>
                <c:pt idx="0">
                  <c:v>ST_oilgas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exercise_PVT!$B$27:$B$52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exercise_PVT!$O$27:$O$52</c:f>
              <c:numCache>
                <c:formatCode>0.000</c:formatCode>
                <c:ptCount val="26"/>
                <c:pt idx="0">
                  <c:v>6.5661875063976624E-2</c:v>
                </c:pt>
                <c:pt idx="1">
                  <c:v>6.2413684458147156E-2</c:v>
                </c:pt>
                <c:pt idx="2">
                  <c:v>5.8578466280318188E-2</c:v>
                </c:pt>
                <c:pt idx="3">
                  <c:v>5.1600552056456757E-2</c:v>
                </c:pt>
                <c:pt idx="4">
                  <c:v>4.0039352970392544E-2</c:v>
                </c:pt>
                <c:pt idx="5">
                  <c:v>3.106846191361785E-2</c:v>
                </c:pt>
                <c:pt idx="6">
                  <c:v>2.4107515583273419E-2</c:v>
                </c:pt>
                <c:pt idx="7">
                  <c:v>1.8706182147466801E-2</c:v>
                </c:pt>
                <c:pt idx="8">
                  <c:v>1.4515027453803352E-2</c:v>
                </c:pt>
                <c:pt idx="9">
                  <c:v>1.1262908717757576E-2</c:v>
                </c:pt>
                <c:pt idx="10">
                  <c:v>8.7394331969589574E-3</c:v>
                </c:pt>
                <c:pt idx="11">
                  <c:v>6.7813470319339365E-3</c:v>
                </c:pt>
                <c:pt idx="12">
                  <c:v>5.2619736922436943E-3</c:v>
                </c:pt>
                <c:pt idx="13">
                  <c:v>4.083018758290629E-3</c:v>
                </c:pt>
                <c:pt idx="14">
                  <c:v>3.1682108569122563E-3</c:v>
                </c:pt>
                <c:pt idx="15">
                  <c:v>2.458367357111765E-3</c:v>
                </c:pt>
                <c:pt idx="16">
                  <c:v>1.9075656057825508E-3</c:v>
                </c:pt>
                <c:pt idx="17">
                  <c:v>1.4801720051472031E-3</c:v>
                </c:pt>
                <c:pt idx="18">
                  <c:v>1.1485367308888457E-3</c:v>
                </c:pt>
                <c:pt idx="19">
                  <c:v>8.9120495294710614E-4</c:v>
                </c:pt>
                <c:pt idx="20">
                  <c:v>6.9152883560179268E-4</c:v>
                </c:pt>
                <c:pt idx="21">
                  <c:v>5.3659052150392835E-4</c:v>
                </c:pt>
                <c:pt idx="22">
                  <c:v>4.1636642312578559E-4</c:v>
                </c:pt>
                <c:pt idx="23">
                  <c:v>3.2307875625658353E-4</c:v>
                </c:pt>
                <c:pt idx="24">
                  <c:v>2.5069236361734056E-4</c:v>
                </c:pt>
                <c:pt idx="25">
                  <c:v>1.945242760750792E-4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9C-4B99-B4AD-A03ED80B1F34}"/>
            </c:ext>
          </c:extLst>
        </c:ser>
        <c:ser>
          <c:idx val="2"/>
          <c:order val="1"/>
          <c:tx>
            <c:strRef>
              <c:f>exercise_PVT!$P$26</c:f>
              <c:strCache>
                <c:ptCount val="1"/>
                <c:pt idx="0">
                  <c:v>ST_watgas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exercise_PVT!$B$27:$B$52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exercise_PVT!$P$27:$P$52</c:f>
              <c:numCache>
                <c:formatCode>0.000</c:formatCode>
                <c:ptCount val="26"/>
                <c:pt idx="0">
                  <c:v>6.4416926551517747E-2</c:v>
                </c:pt>
                <c:pt idx="1">
                  <c:v>6.3826348619054896E-2</c:v>
                </c:pt>
                <c:pt idx="2">
                  <c:v>6.3095734448019331E-2</c:v>
                </c:pt>
                <c:pt idx="3">
                  <c:v>6.1659500186148221E-2</c:v>
                </c:pt>
                <c:pt idx="4">
                  <c:v>5.8884365535558904E-2</c:v>
                </c:pt>
                <c:pt idx="5">
                  <c:v>5.6234132519034911E-2</c:v>
                </c:pt>
                <c:pt idx="6">
                  <c:v>5.3703179637025276E-2</c:v>
                </c:pt>
                <c:pt idx="7">
                  <c:v>5.1286138399136483E-2</c:v>
                </c:pt>
                <c:pt idx="8">
                  <c:v>4.8977881936844617E-2</c:v>
                </c:pt>
                <c:pt idx="9">
                  <c:v>4.6773514128719842E-2</c:v>
                </c:pt>
                <c:pt idx="10">
                  <c:v>4.4668359215096334E-2</c:v>
                </c:pt>
                <c:pt idx="11">
                  <c:v>4.2657951880159285E-2</c:v>
                </c:pt>
                <c:pt idx="12">
                  <c:v>4.073802778041128E-2</c:v>
                </c:pt>
                <c:pt idx="13">
                  <c:v>3.8904514499428069E-2</c:v>
                </c:pt>
                <c:pt idx="14">
                  <c:v>3.7153522909717261E-2</c:v>
                </c:pt>
                <c:pt idx="15">
                  <c:v>3.5481338923357551E-2</c:v>
                </c:pt>
                <c:pt idx="16">
                  <c:v>3.3884415613920256E-2</c:v>
                </c:pt>
                <c:pt idx="17">
                  <c:v>3.2359365692962827E-2</c:v>
                </c:pt>
                <c:pt idx="18">
                  <c:v>3.0902954325135904E-2</c:v>
                </c:pt>
                <c:pt idx="19">
                  <c:v>2.9512092266663854E-2</c:v>
                </c:pt>
                <c:pt idx="20">
                  <c:v>2.8183829312644539E-2</c:v>
                </c:pt>
                <c:pt idx="21">
                  <c:v>2.6915348039269153E-2</c:v>
                </c:pt>
                <c:pt idx="22">
                  <c:v>2.5703957827688646E-2</c:v>
                </c:pt>
                <c:pt idx="23">
                  <c:v>2.4547089156850312E-2</c:v>
                </c:pt>
                <c:pt idx="24">
                  <c:v>2.3442288153199226E-2</c:v>
                </c:pt>
                <c:pt idx="25">
                  <c:v>2.2387211385683402E-2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39C-4B99-B4AD-A03ED80B1F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671232"/>
        <c:axId val="338671808"/>
      </c:scatterChart>
      <c:valAx>
        <c:axId val="338671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671808"/>
        <c:crosses val="autoZero"/>
        <c:crossBetween val="midCat"/>
      </c:valAx>
      <c:valAx>
        <c:axId val="338671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6712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Теплоемкость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exercise_PVT!$Q$26</c:f>
              <c:strCache>
                <c:ptCount val="1"/>
                <c:pt idx="0">
                  <c:v>cpo</c:v>
                </c:pt>
              </c:strCache>
            </c:strRef>
          </c:tx>
          <c:xVal>
            <c:numRef>
              <c:f>exercise_PVT!$B$27:$B$52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exercise_PVT!$Q$27:$Q$52</c:f>
              <c:numCache>
                <c:formatCode>0</c:formatCode>
                <c:ptCount val="26"/>
                <c:pt idx="0">
                  <c:v>2480.5600000000004</c:v>
                </c:pt>
                <c:pt idx="1">
                  <c:v>2612.2600000000002</c:v>
                </c:pt>
                <c:pt idx="2">
                  <c:v>2612.2600000000002</c:v>
                </c:pt>
                <c:pt idx="3">
                  <c:v>2612.2600000000002</c:v>
                </c:pt>
                <c:pt idx="4">
                  <c:v>2612.2600000000002</c:v>
                </c:pt>
                <c:pt idx="5">
                  <c:v>2612.2600000000002</c:v>
                </c:pt>
                <c:pt idx="6">
                  <c:v>2612.2600000000002</c:v>
                </c:pt>
                <c:pt idx="7">
                  <c:v>2612.2600000000002</c:v>
                </c:pt>
                <c:pt idx="8">
                  <c:v>2612.2600000000002</c:v>
                </c:pt>
                <c:pt idx="9">
                  <c:v>2612.2600000000002</c:v>
                </c:pt>
                <c:pt idx="10">
                  <c:v>2612.2600000000002</c:v>
                </c:pt>
                <c:pt idx="11">
                  <c:v>2612.2600000000002</c:v>
                </c:pt>
                <c:pt idx="12">
                  <c:v>2612.2600000000002</c:v>
                </c:pt>
                <c:pt idx="13">
                  <c:v>2612.2600000000002</c:v>
                </c:pt>
                <c:pt idx="14">
                  <c:v>2612.2600000000002</c:v>
                </c:pt>
                <c:pt idx="15">
                  <c:v>2612.2600000000002</c:v>
                </c:pt>
                <c:pt idx="16">
                  <c:v>2612.2600000000002</c:v>
                </c:pt>
                <c:pt idx="17">
                  <c:v>2612.2600000000002</c:v>
                </c:pt>
                <c:pt idx="18">
                  <c:v>2612.2600000000002</c:v>
                </c:pt>
                <c:pt idx="19">
                  <c:v>2612.2600000000002</c:v>
                </c:pt>
                <c:pt idx="20">
                  <c:v>2612.2600000000002</c:v>
                </c:pt>
                <c:pt idx="21">
                  <c:v>2612.2600000000002</c:v>
                </c:pt>
                <c:pt idx="22">
                  <c:v>2612.2600000000002</c:v>
                </c:pt>
                <c:pt idx="23">
                  <c:v>2612.2600000000002</c:v>
                </c:pt>
                <c:pt idx="24">
                  <c:v>2612.2600000000002</c:v>
                </c:pt>
                <c:pt idx="25">
                  <c:v>2612.2600000000002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D4-4996-9618-0FA143BE73AF}"/>
            </c:ext>
          </c:extLst>
        </c:ser>
        <c:ser>
          <c:idx val="1"/>
          <c:order val="1"/>
          <c:tx>
            <c:strRef>
              <c:f>exercise_PVT!$S$26</c:f>
              <c:strCache>
                <c:ptCount val="1"/>
                <c:pt idx="0">
                  <c:v>cpw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xVal>
            <c:numRef>
              <c:f>exercise_PVT!$B$27:$B$52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exercise_PVT!$S$27:$S$52</c:f>
              <c:numCache>
                <c:formatCode>0</c:formatCode>
                <c:ptCount val="26"/>
                <c:pt idx="0">
                  <c:v>4176</c:v>
                </c:pt>
                <c:pt idx="1">
                  <c:v>4176</c:v>
                </c:pt>
                <c:pt idx="2">
                  <c:v>4176</c:v>
                </c:pt>
                <c:pt idx="3">
                  <c:v>4176</c:v>
                </c:pt>
                <c:pt idx="4">
                  <c:v>4176</c:v>
                </c:pt>
                <c:pt idx="5">
                  <c:v>4176</c:v>
                </c:pt>
                <c:pt idx="6">
                  <c:v>4176</c:v>
                </c:pt>
                <c:pt idx="7">
                  <c:v>4176</c:v>
                </c:pt>
                <c:pt idx="8">
                  <c:v>4176</c:v>
                </c:pt>
                <c:pt idx="9">
                  <c:v>4176</c:v>
                </c:pt>
                <c:pt idx="10">
                  <c:v>4176</c:v>
                </c:pt>
                <c:pt idx="11">
                  <c:v>4176</c:v>
                </c:pt>
                <c:pt idx="12">
                  <c:v>4176</c:v>
                </c:pt>
                <c:pt idx="13">
                  <c:v>4176</c:v>
                </c:pt>
                <c:pt idx="14">
                  <c:v>4176</c:v>
                </c:pt>
                <c:pt idx="15">
                  <c:v>4176</c:v>
                </c:pt>
                <c:pt idx="16">
                  <c:v>4176</c:v>
                </c:pt>
                <c:pt idx="17">
                  <c:v>4176</c:v>
                </c:pt>
                <c:pt idx="18">
                  <c:v>4176</c:v>
                </c:pt>
                <c:pt idx="19">
                  <c:v>4176</c:v>
                </c:pt>
                <c:pt idx="20">
                  <c:v>4176</c:v>
                </c:pt>
                <c:pt idx="21">
                  <c:v>4176</c:v>
                </c:pt>
                <c:pt idx="22">
                  <c:v>4176</c:v>
                </c:pt>
                <c:pt idx="23">
                  <c:v>4176</c:v>
                </c:pt>
                <c:pt idx="24">
                  <c:v>4176</c:v>
                </c:pt>
                <c:pt idx="25">
                  <c:v>4176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D4-4996-9618-0FA143BE73AF}"/>
            </c:ext>
          </c:extLst>
        </c:ser>
        <c:ser>
          <c:idx val="2"/>
          <c:order val="2"/>
          <c:tx>
            <c:strRef>
              <c:f>exercise_PVT!$R$26</c:f>
              <c:strCache>
                <c:ptCount val="1"/>
                <c:pt idx="0">
                  <c:v>cpg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exercise_PVT!$B$27:$B$52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exercise_PVT!$R$27:$R$52</c:f>
              <c:numCache>
                <c:formatCode>0</c:formatCode>
                <c:ptCount val="26"/>
                <c:pt idx="0">
                  <c:v>1914.7128167817309</c:v>
                </c:pt>
                <c:pt idx="1">
                  <c:v>1981.3847833160321</c:v>
                </c:pt>
                <c:pt idx="2">
                  <c:v>1962.3253686952378</c:v>
                </c:pt>
                <c:pt idx="3">
                  <c:v>1922.5094397351374</c:v>
                </c:pt>
                <c:pt idx="4">
                  <c:v>1836.3087540936499</c:v>
                </c:pt>
                <c:pt idx="5">
                  <c:v>1747.5066258368006</c:v>
                </c:pt>
                <c:pt idx="6">
                  <c:v>1667.5721129831479</c:v>
                </c:pt>
                <c:pt idx="7">
                  <c:v>1606.179540152853</c:v>
                </c:pt>
                <c:pt idx="8">
                  <c:v>1567.5677032444087</c:v>
                </c:pt>
                <c:pt idx="9">
                  <c:v>1551.1124054655147</c:v>
                </c:pt>
                <c:pt idx="10">
                  <c:v>1553.5775834801052</c:v>
                </c:pt>
                <c:pt idx="11">
                  <c:v>1571.0172864804608</c:v>
                </c:pt>
                <c:pt idx="12">
                  <c:v>1599.803788880537</c:v>
                </c:pt>
                <c:pt idx="13">
                  <c:v>1636.9973132683915</c:v>
                </c:pt>
                <c:pt idx="14">
                  <c:v>1680.3710199610871</c:v>
                </c:pt>
                <c:pt idx="15">
                  <c:v>1728.3009392284896</c:v>
                </c:pt>
                <c:pt idx="16">
                  <c:v>1779.6267353357232</c:v>
                </c:pt>
                <c:pt idx="17">
                  <c:v>1833.5263348572021</c:v>
                </c:pt>
                <c:pt idx="18">
                  <c:v>1889.4166562787493</c:v>
                </c:pt>
                <c:pt idx="19">
                  <c:v>1946.8799221079209</c:v>
                </c:pt>
                <c:pt idx="20">
                  <c:v>2005.6109161396598</c:v>
                </c:pt>
                <c:pt idx="21">
                  <c:v>2065.3800495880791</c:v>
                </c:pt>
                <c:pt idx="22">
                  <c:v>2126.0078586639534</c:v>
                </c:pt>
                <c:pt idx="23">
                  <c:v>2187.3475751703427</c:v>
                </c:pt>
                <c:pt idx="24">
                  <c:v>2249.273327146152</c:v>
                </c:pt>
                <c:pt idx="25">
                  <c:v>2311.6722442524774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D4-4996-9618-0FA143BE73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2392768"/>
        <c:axId val="402394496"/>
      </c:scatterChart>
      <c:valAx>
        <c:axId val="402392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2394496"/>
        <c:crosses val="autoZero"/>
        <c:crossBetween val="midCat"/>
      </c:valAx>
      <c:valAx>
        <c:axId val="402394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Теплоемкость,</a:t>
                </a:r>
                <a:r>
                  <a:rPr lang="ru-RU" baseline="0"/>
                  <a:t>  Дж/кг/С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23927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Сжимаемость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exercise_PVT!$U$26</c:f>
              <c:strCache>
                <c:ptCount val="1"/>
                <c:pt idx="0">
                  <c:v>co</c:v>
                </c:pt>
              </c:strCache>
            </c:strRef>
          </c:tx>
          <c:xVal>
            <c:numRef>
              <c:f>exercise_PVT!$B$27:$B$52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exercise_PVT!$U$27:$U$52</c:f>
              <c:numCache>
                <c:formatCode>0.0E+00</c:formatCode>
                <c:ptCount val="26"/>
                <c:pt idx="0">
                  <c:v>1.12609865112951E-3</c:v>
                </c:pt>
                <c:pt idx="1">
                  <c:v>2.1460366512537428E-3</c:v>
                </c:pt>
                <c:pt idx="2">
                  <c:v>1.139249746304591E-3</c:v>
                </c:pt>
                <c:pt idx="3">
                  <c:v>6.4591602816620197E-4</c:v>
                </c:pt>
                <c:pt idx="4">
                  <c:v>4.1083685276417929E-4</c:v>
                </c:pt>
                <c:pt idx="5">
                  <c:v>3.3904227319027591E-4</c:v>
                </c:pt>
                <c:pt idx="6">
                  <c:v>3.0664497468283641E-4</c:v>
                </c:pt>
                <c:pt idx="7">
                  <c:v>2.8941996269479705E-4</c:v>
                </c:pt>
                <c:pt idx="8">
                  <c:v>2.7251821705426364E-4</c:v>
                </c:pt>
                <c:pt idx="9">
                  <c:v>2.3358704318936885E-4</c:v>
                </c:pt>
                <c:pt idx="10">
                  <c:v>2.0438866279069771E-4</c:v>
                </c:pt>
                <c:pt idx="11">
                  <c:v>1.816788113695091E-4</c:v>
                </c:pt>
                <c:pt idx="12">
                  <c:v>1.6351093023255818E-4</c:v>
                </c:pt>
                <c:pt idx="13">
                  <c:v>1.4864630021141652E-4</c:v>
                </c:pt>
                <c:pt idx="14">
                  <c:v>1.3625910852713182E-4</c:v>
                </c:pt>
                <c:pt idx="15">
                  <c:v>1.2577763864042937E-4</c:v>
                </c:pt>
                <c:pt idx="16">
                  <c:v>1.1679352159468443E-4</c:v>
                </c:pt>
                <c:pt idx="17">
                  <c:v>1.0900728682170543E-4</c:v>
                </c:pt>
                <c:pt idx="18">
                  <c:v>1.0219433139534886E-4</c:v>
                </c:pt>
                <c:pt idx="19">
                  <c:v>9.6182900136798928E-5</c:v>
                </c:pt>
                <c:pt idx="20">
                  <c:v>9.083940568475455E-5</c:v>
                </c:pt>
                <c:pt idx="21">
                  <c:v>8.6058384332925343E-5</c:v>
                </c:pt>
                <c:pt idx="22">
                  <c:v>8.1755465116279088E-5</c:v>
                </c:pt>
                <c:pt idx="23">
                  <c:v>7.7862347729789605E-5</c:v>
                </c:pt>
                <c:pt idx="24">
                  <c:v>7.4323150105708258E-5</c:v>
                </c:pt>
                <c:pt idx="25">
                  <c:v>7.1091708796764419E-5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F2-4AD2-AE29-37244DC907C2}"/>
            </c:ext>
          </c:extLst>
        </c:ser>
        <c:ser>
          <c:idx val="1"/>
          <c:order val="1"/>
          <c:tx>
            <c:strRef>
              <c:f>exercise_PVT!$T$26</c:f>
              <c:strCache>
                <c:ptCount val="1"/>
                <c:pt idx="0">
                  <c:v>cw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xVal>
            <c:numRef>
              <c:f>exercise_PVT!$B$27:$B$52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exercise_PVT!$T$27:$T$52</c:f>
              <c:numCache>
                <c:formatCode>0.0E+00</c:formatCode>
                <c:ptCount val="26"/>
                <c:pt idx="0">
                  <c:v>3.5176407713868163E-5</c:v>
                </c:pt>
                <c:pt idx="1">
                  <c:v>3.7796696500802808E-5</c:v>
                </c:pt>
                <c:pt idx="2">
                  <c:v>3.7745862951246043E-5</c:v>
                </c:pt>
                <c:pt idx="3">
                  <c:v>3.7644604954191038E-5</c:v>
                </c:pt>
                <c:pt idx="4">
                  <c:v>3.7443710085765843E-5</c:v>
                </c:pt>
                <c:pt idx="5">
                  <c:v>3.7244948033572365E-5</c:v>
                </c:pt>
                <c:pt idx="6">
                  <c:v>3.7048285012135808E-5</c:v>
                </c:pt>
                <c:pt idx="7">
                  <c:v>3.6853687945817684E-5</c:v>
                </c:pt>
                <c:pt idx="8">
                  <c:v>3.6661124450271005E-5</c:v>
                </c:pt>
                <c:pt idx="9">
                  <c:v>3.6470562814473928E-5</c:v>
                </c:pt>
                <c:pt idx="10">
                  <c:v>3.6281971983320796E-5</c:v>
                </c:pt>
                <c:pt idx="11">
                  <c:v>3.6095321540750486E-5</c:v>
                </c:pt>
                <c:pt idx="12">
                  <c:v>3.5910581693392951E-5</c:v>
                </c:pt>
                <c:pt idx="13">
                  <c:v>3.5727723254715326E-5</c:v>
                </c:pt>
                <c:pt idx="14">
                  <c:v>3.5546717629650001E-5</c:v>
                </c:pt>
                <c:pt idx="15">
                  <c:v>3.5367536799687554E-5</c:v>
                </c:pt>
                <c:pt idx="16">
                  <c:v>3.5190153308418342E-5</c:v>
                </c:pt>
                <c:pt idx="17">
                  <c:v>3.5014540247506962E-5</c:v>
                </c:pt>
                <c:pt idx="18">
                  <c:v>3.4840671243084599E-5</c:v>
                </c:pt>
                <c:pt idx="19">
                  <c:v>3.4668520442544787E-5</c:v>
                </c:pt>
                <c:pt idx="20">
                  <c:v>3.4498062501728742E-5</c:v>
                </c:pt>
                <c:pt idx="21">
                  <c:v>3.4329272572486828E-5</c:v>
                </c:pt>
                <c:pt idx="22">
                  <c:v>3.4162126290603452E-5</c:v>
                </c:pt>
                <c:pt idx="23">
                  <c:v>3.3996599764072971E-5</c:v>
                </c:pt>
                <c:pt idx="24">
                  <c:v>3.3832669561714792E-5</c:v>
                </c:pt>
                <c:pt idx="25">
                  <c:v>3.3670312702116318E-5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BF2-4AD2-AE29-37244DC907C2}"/>
            </c:ext>
          </c:extLst>
        </c:ser>
        <c:ser>
          <c:idx val="2"/>
          <c:order val="2"/>
          <c:tx>
            <c:strRef>
              <c:f>exercise_PVT!$V$26</c:f>
              <c:strCache>
                <c:ptCount val="1"/>
                <c:pt idx="0">
                  <c:v>cg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exercise_PVT!$B$27:$B$52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exercise_PVT!$V$27:$V$52</c:f>
              <c:numCache>
                <c:formatCode>0.0E+00</c:formatCode>
                <c:ptCount val="26"/>
                <c:pt idx="0">
                  <c:v>1.0025316258852452</c:v>
                </c:pt>
                <c:pt idx="1">
                  <c:v>0.20189969857019432</c:v>
                </c:pt>
                <c:pt idx="2">
                  <c:v>0.1019697010936233</c:v>
                </c:pt>
                <c:pt idx="3">
                  <c:v>5.2134636706740373E-2</c:v>
                </c:pt>
                <c:pt idx="4">
                  <c:v>2.7429628007979268E-2</c:v>
                </c:pt>
                <c:pt idx="5">
                  <c:v>1.9136259323388829E-2</c:v>
                </c:pt>
                <c:pt idx="6">
                  <c:v>1.4653230597110326E-2</c:v>
                </c:pt>
                <c:pt idx="7">
                  <c:v>1.1562048317054832E-2</c:v>
                </c:pt>
                <c:pt idx="8">
                  <c:v>9.1970661574283172E-3</c:v>
                </c:pt>
                <c:pt idx="9">
                  <c:v>7.345978534985257E-3</c:v>
                </c:pt>
                <c:pt idx="10">
                  <c:v>5.9075245508171748E-3</c:v>
                </c:pt>
                <c:pt idx="11">
                  <c:v>4.8014943984046364E-3</c:v>
                </c:pt>
                <c:pt idx="12">
                  <c:v>3.9549135143913776E-3</c:v>
                </c:pt>
                <c:pt idx="13">
                  <c:v>3.3049207732548623E-3</c:v>
                </c:pt>
                <c:pt idx="14">
                  <c:v>2.8011821978184133E-3</c:v>
                </c:pt>
                <c:pt idx="15">
                  <c:v>2.4055020277298348E-3</c:v>
                </c:pt>
                <c:pt idx="16">
                  <c:v>2.0898471689410145E-3</c:v>
                </c:pt>
                <c:pt idx="17">
                  <c:v>1.834004645874998E-3</c:v>
                </c:pt>
                <c:pt idx="18">
                  <c:v>1.6234931734210182E-3</c:v>
                </c:pt>
                <c:pt idx="19">
                  <c:v>1.4479206477665896E-3</c:v>
                </c:pt>
                <c:pt idx="20">
                  <c:v>1.2997740836542893E-3</c:v>
                </c:pt>
                <c:pt idx="21">
                  <c:v>1.173559245729473E-3</c:v>
                </c:pt>
                <c:pt idx="22">
                  <c:v>1.0652001179834859E-3</c:v>
                </c:pt>
                <c:pt idx="23">
                  <c:v>9.7162306463836206E-4</c:v>
                </c:pt>
                <c:pt idx="24">
                  <c:v>8.9046921019689837E-4</c:v>
                </c:pt>
                <c:pt idx="25">
                  <c:v>8.1989481589971969E-4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BF2-4AD2-AE29-37244DC907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2392768"/>
        <c:axId val="402394496"/>
      </c:scatterChart>
      <c:valAx>
        <c:axId val="402392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2394496"/>
        <c:crosses val="autoZero"/>
        <c:crossBetween val="midCat"/>
      </c:valAx>
      <c:valAx>
        <c:axId val="402394496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Сжимаемость 1/атм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23927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Объемный</a:t>
            </a:r>
            <a:r>
              <a:rPr lang="ru-RU" baseline="0"/>
              <a:t> коэффициент нефти</a:t>
            </a:r>
            <a:r>
              <a:rPr lang="en-US" baseline="0"/>
              <a:t>,</a:t>
            </a:r>
            <a:r>
              <a:rPr lang="ru-RU" baseline="0"/>
              <a:t> газа</a:t>
            </a:r>
            <a:r>
              <a:rPr lang="en-US" baseline="0"/>
              <a:t> </a:t>
            </a:r>
            <a:r>
              <a:rPr lang="ru-RU" baseline="0"/>
              <a:t>и воды 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2800614540425814"/>
          <c:y val="0.12115779913539503"/>
          <c:w val="0.82843894899536319"/>
          <c:h val="0.69957118802381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exercise_PVT!$E$26</c:f>
              <c:strCache>
                <c:ptCount val="1"/>
                <c:pt idx="0">
                  <c:v>Bo</c:v>
                </c:pt>
              </c:strCache>
            </c:strRef>
          </c:tx>
          <c:xVal>
            <c:numRef>
              <c:f>exercise_PVT!$B$27:$B$52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exercise_PVT!$E$27:$E$52</c:f>
              <c:numCache>
                <c:formatCode>0.00</c:formatCode>
                <c:ptCount val="26"/>
                <c:pt idx="0">
                  <c:v>1.0179270594798155</c:v>
                </c:pt>
                <c:pt idx="1">
                  <c:v>1.0401675909921519</c:v>
                </c:pt>
                <c:pt idx="2">
                  <c:v>1.0440618413803044</c:v>
                </c:pt>
                <c:pt idx="3">
                  <c:v>1.053168447695628</c:v>
                </c:pt>
                <c:pt idx="4">
                  <c:v>1.074789786580584</c:v>
                </c:pt>
                <c:pt idx="5">
                  <c:v>1.0997383847439617</c:v>
                </c:pt>
                <c:pt idx="6">
                  <c:v>1.1273711111681852</c:v>
                </c:pt>
                <c:pt idx="7">
                  <c:v>1.1573300691436867</c:v>
                </c:pt>
                <c:pt idx="8">
                  <c:v>1.1821593386178273</c:v>
                </c:pt>
                <c:pt idx="9">
                  <c:v>1.1768389371656669</c:v>
                </c:pt>
                <c:pt idx="10">
                  <c:v>1.1728643558102987</c:v>
                </c:pt>
                <c:pt idx="11">
                  <c:v>1.1697822975243775</c:v>
                </c:pt>
                <c:pt idx="12">
                  <c:v>1.1673224832316946</c:v>
                </c:pt>
                <c:pt idx="13">
                  <c:v>1.1653137556979829</c:v>
                </c:pt>
                <c:pt idx="14">
                  <c:v>1.1636424568101467</c:v>
                </c:pt>
                <c:pt idx="15">
                  <c:v>1.1622301531674433</c:v>
                </c:pt>
                <c:pt idx="16">
                  <c:v>1.1610209715519308</c:v>
                </c:pt>
                <c:pt idx="17">
                  <c:v>1.1599740318052234</c:v>
                </c:pt>
                <c:pt idx="18">
                  <c:v>1.1590587339868017</c:v>
                </c:pt>
                <c:pt idx="19">
                  <c:v>1.1582517180604754</c:v>
                </c:pt>
                <c:pt idx="20">
                  <c:v>1.1575348423008054</c:v>
                </c:pt>
                <c:pt idx="21">
                  <c:v>1.1568938032518867</c:v>
                </c:pt>
                <c:pt idx="22">
                  <c:v>1.1563171716430387</c:v>
                </c:pt>
                <c:pt idx="23">
                  <c:v>1.1557957049899328</c:v>
                </c:pt>
                <c:pt idx="24">
                  <c:v>1.155321848469399</c:v>
                </c:pt>
                <c:pt idx="25">
                  <c:v>1.1548893665333237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3C-468D-B349-1FEA0759F96E}"/>
            </c:ext>
          </c:extLst>
        </c:ser>
        <c:ser>
          <c:idx val="2"/>
          <c:order val="1"/>
          <c:tx>
            <c:strRef>
              <c:f>exercise_PVT!$L$26</c:f>
              <c:strCache>
                <c:ptCount val="1"/>
                <c:pt idx="0">
                  <c:v>Bg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exercise_PVT!$B$27:$B$52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exercise_PVT!$L$27:$L$52</c:f>
              <c:numCache>
                <c:formatCode>0.000</c:formatCode>
                <c:ptCount val="26"/>
                <c:pt idx="0">
                  <c:v>1.1040623711813842</c:v>
                </c:pt>
                <c:pt idx="1">
                  <c:v>0.23967983713819915</c:v>
                </c:pt>
                <c:pt idx="2">
                  <c:v>0.1186871496998908</c:v>
                </c:pt>
                <c:pt idx="3">
                  <c:v>5.8139483215521454E-2</c:v>
                </c:pt>
                <c:pt idx="4">
                  <c:v>2.7766324518503114E-2</c:v>
                </c:pt>
                <c:pt idx="5">
                  <c:v>1.7615714482672611E-2</c:v>
                </c:pt>
                <c:pt idx="6">
                  <c:v>1.2607451863384913E-2</c:v>
                </c:pt>
                <c:pt idx="7">
                  <c:v>9.7146413417554898E-3</c:v>
                </c:pt>
                <c:pt idx="8">
                  <c:v>7.9009214283778124E-3</c:v>
                </c:pt>
                <c:pt idx="9">
                  <c:v>6.7011280598054139E-3</c:v>
                </c:pt>
                <c:pt idx="10">
                  <c:v>5.872805873660355E-3</c:v>
                </c:pt>
                <c:pt idx="11">
                  <c:v>5.2788721097086523E-3</c:v>
                </c:pt>
                <c:pt idx="12">
                  <c:v>4.8380394711904119E-3</c:v>
                </c:pt>
                <c:pt idx="13">
                  <c:v>4.5004710014339587E-3</c:v>
                </c:pt>
                <c:pt idx="14">
                  <c:v>4.2347387521946217E-3</c:v>
                </c:pt>
                <c:pt idx="15">
                  <c:v>4.0204873488958954E-3</c:v>
                </c:pt>
                <c:pt idx="16">
                  <c:v>3.8441787358921529E-3</c:v>
                </c:pt>
                <c:pt idx="17">
                  <c:v>3.6965669753428478E-3</c:v>
                </c:pt>
                <c:pt idx="18">
                  <c:v>3.5711693303174009E-3</c:v>
                </c:pt>
                <c:pt idx="19">
                  <c:v>3.4633224745852561E-3</c:v>
                </c:pt>
                <c:pt idx="20">
                  <c:v>3.3695884886969217E-3</c:v>
                </c:pt>
                <c:pt idx="21">
                  <c:v>3.2873735985192989E-3</c:v>
                </c:pt>
                <c:pt idx="22">
                  <c:v>3.2146785773881185E-3</c:v>
                </c:pt>
                <c:pt idx="23">
                  <c:v>3.1499320876366564E-3</c:v>
                </c:pt>
                <c:pt idx="24">
                  <c:v>3.0918772135640235E-3</c:v>
                </c:pt>
                <c:pt idx="25">
                  <c:v>3.0394927286336538E-3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23C-468D-B349-1FEA0759F96E}"/>
            </c:ext>
          </c:extLst>
        </c:ser>
        <c:ser>
          <c:idx val="1"/>
          <c:order val="2"/>
          <c:tx>
            <c:strRef>
              <c:f>exercise_PVT!$M$26</c:f>
              <c:strCache>
                <c:ptCount val="1"/>
                <c:pt idx="0">
                  <c:v>Bw</c:v>
                </c:pt>
              </c:strCache>
            </c:strRef>
          </c:tx>
          <c:xVal>
            <c:numRef>
              <c:f>exercise_PVT!$B$27:$B$52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exercise_PVT!$M$27:$M$52</c:f>
              <c:numCache>
                <c:formatCode>0.000</c:formatCode>
                <c:ptCount val="26"/>
                <c:pt idx="0">
                  <c:v>1.0142992455584303</c:v>
                </c:pt>
                <c:pt idx="1">
                  <c:v>1.030282208447959</c:v>
                </c:pt>
                <c:pt idx="2">
                  <c:v>1.0302248325276284</c:v>
                </c:pt>
                <c:pt idx="3">
                  <c:v>1.0301015470260175</c:v>
                </c:pt>
                <c:pt idx="4">
                  <c:v>1.0298208413789975</c:v>
                </c:pt>
                <c:pt idx="5">
                  <c:v>1.0294946228735804</c:v>
                </c:pt>
                <c:pt idx="6">
                  <c:v>1.0291228915097659</c:v>
                </c:pt>
                <c:pt idx="7">
                  <c:v>1.0287056472875542</c:v>
                </c:pt>
                <c:pt idx="8">
                  <c:v>1.0282428902069449</c:v>
                </c:pt>
                <c:pt idx="9">
                  <c:v>1.0277346202679387</c:v>
                </c:pt>
                <c:pt idx="10">
                  <c:v>1.0271808374705349</c:v>
                </c:pt>
                <c:pt idx="11">
                  <c:v>1.0265815418147339</c:v>
                </c:pt>
                <c:pt idx="12">
                  <c:v>1.0259367333005356</c:v>
                </c:pt>
                <c:pt idx="13">
                  <c:v>1.0252464119279401</c:v>
                </c:pt>
                <c:pt idx="14">
                  <c:v>1.0245105776969472</c:v>
                </c:pt>
                <c:pt idx="15">
                  <c:v>1.0237292306075569</c:v>
                </c:pt>
                <c:pt idx="16">
                  <c:v>1.0229023706597695</c:v>
                </c:pt>
                <c:pt idx="17">
                  <c:v>1.0220299978535847</c:v>
                </c:pt>
                <c:pt idx="18">
                  <c:v>1.0211121121890026</c:v>
                </c:pt>
                <c:pt idx="19">
                  <c:v>1.0201487136660232</c:v>
                </c:pt>
                <c:pt idx="20">
                  <c:v>1.0191398022846465</c:v>
                </c:pt>
                <c:pt idx="21">
                  <c:v>1.0180853780448724</c:v>
                </c:pt>
                <c:pt idx="22">
                  <c:v>1.0169854409467012</c:v>
                </c:pt>
                <c:pt idx="23">
                  <c:v>1.0158399909901326</c:v>
                </c:pt>
                <c:pt idx="24">
                  <c:v>1.0146490281751666</c:v>
                </c:pt>
                <c:pt idx="25">
                  <c:v>1.0134125525018034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982-4A43-86F7-C61FFC487C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3460608"/>
        <c:axId val="405286272"/>
      </c:scatterChart>
      <c:valAx>
        <c:axId val="403460608"/>
        <c:scaling>
          <c:orientation val="minMax"/>
          <c:max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5286272"/>
        <c:crosses val="autoZero"/>
        <c:crossBetween val="midCat"/>
      </c:valAx>
      <c:valAx>
        <c:axId val="405286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Объемный коэффициент газа </a:t>
                </a:r>
                <a:r>
                  <a:rPr lang="en-US" baseline="0"/>
                  <a:t>Bg</a:t>
                </a:r>
                <a:r>
                  <a:rPr lang="ru-RU" baseline="0"/>
                  <a:t>, м3/м3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3460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Газосодержание </a:t>
            </a:r>
            <a:r>
              <a:rPr lang="en-US" sz="1400" b="0" i="0" u="none" strike="noStrike" baseline="0">
                <a:effectLst/>
              </a:rPr>
              <a:t>𝑅𝑠</a:t>
            </a:r>
            <a:r>
              <a:rPr lang="ru-RU"/>
              <a:t> от давления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exercise_PVT!$D$26</c:f>
              <c:strCache>
                <c:ptCount val="1"/>
                <c:pt idx="0">
                  <c:v>Rs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exercise_PVT!$B$27:$B$52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exercise_PVT!$D$27:$D$52</c:f>
              <c:numCache>
                <c:formatCode>0</c:formatCode>
                <c:ptCount val="26"/>
                <c:pt idx="0">
                  <c:v>0.29862136874689532</c:v>
                </c:pt>
                <c:pt idx="1">
                  <c:v>1.8078192518045642</c:v>
                </c:pt>
                <c:pt idx="2">
                  <c:v>4.1648093115098783</c:v>
                </c:pt>
                <c:pt idx="3">
                  <c:v>9.5947847573395304</c:v>
                </c:pt>
                <c:pt idx="4">
                  <c:v>22.104227985962769</c:v>
                </c:pt>
                <c:pt idx="5">
                  <c:v>36.015481654465901</c:v>
                </c:pt>
                <c:pt idx="6">
                  <c:v>50.923174121406689</c:v>
                </c:pt>
                <c:pt idx="7">
                  <c:v>66.618541718747579</c:v>
                </c:pt>
                <c:pt idx="8">
                  <c:v>80</c:v>
                </c:pt>
                <c:pt idx="9">
                  <c:v>80</c:v>
                </c:pt>
                <c:pt idx="10">
                  <c:v>80</c:v>
                </c:pt>
                <c:pt idx="11">
                  <c:v>80</c:v>
                </c:pt>
                <c:pt idx="12">
                  <c:v>80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  <c:pt idx="21">
                  <c:v>80</c:v>
                </c:pt>
                <c:pt idx="22">
                  <c:v>80</c:v>
                </c:pt>
                <c:pt idx="23">
                  <c:v>80</c:v>
                </c:pt>
                <c:pt idx="24">
                  <c:v>80</c:v>
                </c:pt>
                <c:pt idx="25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59-4CD5-BD5B-7C93F7FF9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671232"/>
        <c:axId val="338671808"/>
      </c:scatterChart>
      <c:valAx>
        <c:axId val="338671232"/>
        <c:scaling>
          <c:orientation val="minMax"/>
          <c:max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671808"/>
        <c:crosses val="autoZero"/>
        <c:crossBetween val="midCat"/>
      </c:valAx>
      <c:valAx>
        <c:axId val="338671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Газосодержание </a:t>
                </a:r>
                <a:r>
                  <a:rPr lang="en-US" sz="1000" b="0" i="0" u="none" strike="noStrike" baseline="0">
                    <a:effectLst/>
                  </a:rPr>
                  <a:t>𝑅𝑠</a:t>
                </a:r>
                <a:r>
                  <a:rPr lang="ru-RU"/>
                  <a:t>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6712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Объемный</a:t>
            </a:r>
            <a:r>
              <a:rPr lang="ru-RU" baseline="0"/>
              <a:t> коэффициент нефти</a:t>
            </a:r>
            <a:r>
              <a:rPr lang="en-US" baseline="0"/>
              <a:t>,</a:t>
            </a:r>
            <a:r>
              <a:rPr lang="ru-RU" baseline="0"/>
              <a:t> газа</a:t>
            </a:r>
            <a:r>
              <a:rPr lang="en-US" baseline="0"/>
              <a:t> </a:t>
            </a:r>
            <a:r>
              <a:rPr lang="ru-RU" baseline="0"/>
              <a:t>и воды 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2800614540425814"/>
          <c:y val="0.12115779913539503"/>
          <c:w val="0.82843894899536319"/>
          <c:h val="0.69957118802381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exercise_PVT!$E$26</c:f>
              <c:strCache>
                <c:ptCount val="1"/>
                <c:pt idx="0">
                  <c:v>Bo</c:v>
                </c:pt>
              </c:strCache>
            </c:strRef>
          </c:tx>
          <c:xVal>
            <c:numRef>
              <c:f>exercise_PVT!$B$27:$B$52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exercise_PVT!$E$27:$E$52</c:f>
              <c:numCache>
                <c:formatCode>0.00</c:formatCode>
                <c:ptCount val="26"/>
                <c:pt idx="0">
                  <c:v>1.0179270594798155</c:v>
                </c:pt>
                <c:pt idx="1">
                  <c:v>1.0401675909921519</c:v>
                </c:pt>
                <c:pt idx="2">
                  <c:v>1.0440618413803044</c:v>
                </c:pt>
                <c:pt idx="3">
                  <c:v>1.053168447695628</c:v>
                </c:pt>
                <c:pt idx="4">
                  <c:v>1.074789786580584</c:v>
                </c:pt>
                <c:pt idx="5">
                  <c:v>1.0997383847439617</c:v>
                </c:pt>
                <c:pt idx="6">
                  <c:v>1.1273711111681852</c:v>
                </c:pt>
                <c:pt idx="7">
                  <c:v>1.1573300691436867</c:v>
                </c:pt>
                <c:pt idx="8">
                  <c:v>1.1821593386178273</c:v>
                </c:pt>
                <c:pt idx="9">
                  <c:v>1.1768389371656669</c:v>
                </c:pt>
                <c:pt idx="10">
                  <c:v>1.1728643558102987</c:v>
                </c:pt>
                <c:pt idx="11">
                  <c:v>1.1697822975243775</c:v>
                </c:pt>
                <c:pt idx="12">
                  <c:v>1.1673224832316946</c:v>
                </c:pt>
                <c:pt idx="13">
                  <c:v>1.1653137556979829</c:v>
                </c:pt>
                <c:pt idx="14">
                  <c:v>1.1636424568101467</c:v>
                </c:pt>
                <c:pt idx="15">
                  <c:v>1.1622301531674433</c:v>
                </c:pt>
                <c:pt idx="16">
                  <c:v>1.1610209715519308</c:v>
                </c:pt>
                <c:pt idx="17">
                  <c:v>1.1599740318052234</c:v>
                </c:pt>
                <c:pt idx="18">
                  <c:v>1.1590587339868017</c:v>
                </c:pt>
                <c:pt idx="19">
                  <c:v>1.1582517180604754</c:v>
                </c:pt>
                <c:pt idx="20">
                  <c:v>1.1575348423008054</c:v>
                </c:pt>
                <c:pt idx="21">
                  <c:v>1.1568938032518867</c:v>
                </c:pt>
                <c:pt idx="22">
                  <c:v>1.1563171716430387</c:v>
                </c:pt>
                <c:pt idx="23">
                  <c:v>1.1557957049899328</c:v>
                </c:pt>
                <c:pt idx="24">
                  <c:v>1.155321848469399</c:v>
                </c:pt>
                <c:pt idx="25">
                  <c:v>1.1548893665333237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5C-40F5-9F97-B6024E10C659}"/>
            </c:ext>
          </c:extLst>
        </c:ser>
        <c:ser>
          <c:idx val="2"/>
          <c:order val="1"/>
          <c:tx>
            <c:strRef>
              <c:f>exercise_PVT!$L$26</c:f>
              <c:strCache>
                <c:ptCount val="1"/>
                <c:pt idx="0">
                  <c:v>Bg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exercise_PVT!$B$27:$B$52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exercise_PVT!$L$27:$L$52</c:f>
              <c:numCache>
                <c:formatCode>0.000</c:formatCode>
                <c:ptCount val="26"/>
                <c:pt idx="0">
                  <c:v>1.1040623711813842</c:v>
                </c:pt>
                <c:pt idx="1">
                  <c:v>0.23967983713819915</c:v>
                </c:pt>
                <c:pt idx="2">
                  <c:v>0.1186871496998908</c:v>
                </c:pt>
                <c:pt idx="3">
                  <c:v>5.8139483215521454E-2</c:v>
                </c:pt>
                <c:pt idx="4">
                  <c:v>2.7766324518503114E-2</c:v>
                </c:pt>
                <c:pt idx="5">
                  <c:v>1.7615714482672611E-2</c:v>
                </c:pt>
                <c:pt idx="6">
                  <c:v>1.2607451863384913E-2</c:v>
                </c:pt>
                <c:pt idx="7">
                  <c:v>9.7146413417554898E-3</c:v>
                </c:pt>
                <c:pt idx="8">
                  <c:v>7.9009214283778124E-3</c:v>
                </c:pt>
                <c:pt idx="9">
                  <c:v>6.7011280598054139E-3</c:v>
                </c:pt>
                <c:pt idx="10">
                  <c:v>5.872805873660355E-3</c:v>
                </c:pt>
                <c:pt idx="11">
                  <c:v>5.2788721097086523E-3</c:v>
                </c:pt>
                <c:pt idx="12">
                  <c:v>4.8380394711904119E-3</c:v>
                </c:pt>
                <c:pt idx="13">
                  <c:v>4.5004710014339587E-3</c:v>
                </c:pt>
                <c:pt idx="14">
                  <c:v>4.2347387521946217E-3</c:v>
                </c:pt>
                <c:pt idx="15">
                  <c:v>4.0204873488958954E-3</c:v>
                </c:pt>
                <c:pt idx="16">
                  <c:v>3.8441787358921529E-3</c:v>
                </c:pt>
                <c:pt idx="17">
                  <c:v>3.6965669753428478E-3</c:v>
                </c:pt>
                <c:pt idx="18">
                  <c:v>3.5711693303174009E-3</c:v>
                </c:pt>
                <c:pt idx="19">
                  <c:v>3.4633224745852561E-3</c:v>
                </c:pt>
                <c:pt idx="20">
                  <c:v>3.3695884886969217E-3</c:v>
                </c:pt>
                <c:pt idx="21">
                  <c:v>3.2873735985192989E-3</c:v>
                </c:pt>
                <c:pt idx="22">
                  <c:v>3.2146785773881185E-3</c:v>
                </c:pt>
                <c:pt idx="23">
                  <c:v>3.1499320876366564E-3</c:v>
                </c:pt>
                <c:pt idx="24">
                  <c:v>3.0918772135640235E-3</c:v>
                </c:pt>
                <c:pt idx="25">
                  <c:v>3.0394927286336538E-3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25C-40F5-9F97-B6024E10C659}"/>
            </c:ext>
          </c:extLst>
        </c:ser>
        <c:ser>
          <c:idx val="1"/>
          <c:order val="2"/>
          <c:tx>
            <c:strRef>
              <c:f>exercise_PVT!$M$26</c:f>
              <c:strCache>
                <c:ptCount val="1"/>
                <c:pt idx="0">
                  <c:v>Bw</c:v>
                </c:pt>
              </c:strCache>
            </c:strRef>
          </c:tx>
          <c:xVal>
            <c:numRef>
              <c:f>exercise_PVT!$B$27:$B$52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exercise_PVT!$M$27:$M$52</c:f>
              <c:numCache>
                <c:formatCode>0.000</c:formatCode>
                <c:ptCount val="26"/>
                <c:pt idx="0">
                  <c:v>1.0142992455584303</c:v>
                </c:pt>
                <c:pt idx="1">
                  <c:v>1.030282208447959</c:v>
                </c:pt>
                <c:pt idx="2">
                  <c:v>1.0302248325276284</c:v>
                </c:pt>
                <c:pt idx="3">
                  <c:v>1.0301015470260175</c:v>
                </c:pt>
                <c:pt idx="4">
                  <c:v>1.0298208413789975</c:v>
                </c:pt>
                <c:pt idx="5">
                  <c:v>1.0294946228735804</c:v>
                </c:pt>
                <c:pt idx="6">
                  <c:v>1.0291228915097659</c:v>
                </c:pt>
                <c:pt idx="7">
                  <c:v>1.0287056472875542</c:v>
                </c:pt>
                <c:pt idx="8">
                  <c:v>1.0282428902069449</c:v>
                </c:pt>
                <c:pt idx="9">
                  <c:v>1.0277346202679387</c:v>
                </c:pt>
                <c:pt idx="10">
                  <c:v>1.0271808374705349</c:v>
                </c:pt>
                <c:pt idx="11">
                  <c:v>1.0265815418147339</c:v>
                </c:pt>
                <c:pt idx="12">
                  <c:v>1.0259367333005356</c:v>
                </c:pt>
                <c:pt idx="13">
                  <c:v>1.0252464119279401</c:v>
                </c:pt>
                <c:pt idx="14">
                  <c:v>1.0245105776969472</c:v>
                </c:pt>
                <c:pt idx="15">
                  <c:v>1.0237292306075569</c:v>
                </c:pt>
                <c:pt idx="16">
                  <c:v>1.0229023706597695</c:v>
                </c:pt>
                <c:pt idx="17">
                  <c:v>1.0220299978535847</c:v>
                </c:pt>
                <c:pt idx="18">
                  <c:v>1.0211121121890026</c:v>
                </c:pt>
                <c:pt idx="19">
                  <c:v>1.0201487136660232</c:v>
                </c:pt>
                <c:pt idx="20">
                  <c:v>1.0191398022846465</c:v>
                </c:pt>
                <c:pt idx="21">
                  <c:v>1.0180853780448724</c:v>
                </c:pt>
                <c:pt idx="22">
                  <c:v>1.0169854409467012</c:v>
                </c:pt>
                <c:pt idx="23">
                  <c:v>1.0158399909901326</c:v>
                </c:pt>
                <c:pt idx="24">
                  <c:v>1.0146490281751666</c:v>
                </c:pt>
                <c:pt idx="25">
                  <c:v>1.0134125525018034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25C-40F5-9F97-B6024E10C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3460608"/>
        <c:axId val="405286272"/>
      </c:scatterChart>
      <c:valAx>
        <c:axId val="403460608"/>
        <c:scaling>
          <c:orientation val="minMax"/>
          <c:max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5286272"/>
        <c:crosses val="autoZero"/>
        <c:crossBetween val="midCat"/>
      </c:valAx>
      <c:valAx>
        <c:axId val="405286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Объемный коэффициент газа </a:t>
                </a:r>
                <a:r>
                  <a:rPr lang="en-US" baseline="0"/>
                  <a:t>Bg</a:t>
                </a:r>
                <a:r>
                  <a:rPr lang="ru-RU" baseline="0"/>
                  <a:t>, м3/м3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3460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548409</xdr:colOff>
      <xdr:row>0</xdr:row>
      <xdr:rowOff>7037</xdr:rowOff>
    </xdr:from>
    <xdr:to>
      <xdr:col>14</xdr:col>
      <xdr:colOff>373417</xdr:colOff>
      <xdr:row>19</xdr:row>
      <xdr:rowOff>42497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5182529" y="7037"/>
              <a:ext cx="5651823" cy="3572134"/>
            </a:xfrm>
            <a:prstGeom prst="rect">
              <a:avLst/>
            </a:prstGeom>
            <a:solidFill>
              <a:schemeClr val="accent6">
                <a:lumMod val="20000"/>
                <a:lumOff val="80000"/>
              </a:schemeClr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/>
                <a:t>Упражнение показывает как можно рассчитать </a:t>
              </a:r>
              <a:r>
                <a:rPr lang="en-US" sz="1100"/>
                <a:t>PVT </a:t>
              </a:r>
              <a:r>
                <a:rPr lang="ru-RU" sz="1100"/>
                <a:t>свойства</a:t>
              </a:r>
              <a:r>
                <a:rPr lang="ru-RU" sz="1100" baseline="0"/>
                <a:t> пластовых флюидов и позволяет проанализировать получившиеся зависимости.</a:t>
              </a:r>
            </a:p>
            <a:p>
              <a:pPr marL="0" indent="0">
                <a:buFont typeface="Arial" panose="020B0604020202020204" pitchFamily="34" charset="0"/>
                <a:buNone/>
              </a:pPr>
              <a:endParaRPr lang="ru-RU" sz="1100" baseline="0"/>
            </a:p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 baseline="0"/>
                <a:t>Выполните следующее задание</a:t>
              </a:r>
              <a:endParaRPr lang="ru-RU" sz="1100"/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/>
                <a:t>Постройте</a:t>
              </a:r>
              <a:r>
                <a:rPr lang="ru-RU" sz="1100" baseline="0"/>
                <a:t> зависимости газосодержания в нефти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𝑠</m:t>
                      </m:r>
                    </m:sub>
                  </m:sSub>
                </m:oMath>
              </a14:m>
              <a:r>
                <a:rPr lang="en-US" sz="1100" baseline="0"/>
                <a:t>, </a:t>
              </a:r>
              <a:r>
                <a:rPr lang="ru-RU" sz="1100" baseline="0"/>
                <a:t>объемного коэффициента нефти</a:t>
              </a:r>
              <a:r>
                <a:rPr lang="en-US" sz="1100" baseline="0"/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𝐵</m:t>
                      </m:r>
                    </m:e>
                    <m:sub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𝑜</m:t>
                      </m:r>
                    </m:sub>
                  </m:sSub>
                </m:oMath>
              </a14:m>
              <a:r>
                <a:rPr lang="ru-RU" sz="1100" baseline="0"/>
                <a:t>, вязкости нефти</a:t>
              </a:r>
              <a:r>
                <a:rPr lang="en-US" sz="1100" baseline="0"/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𝜇</m:t>
                      </m:r>
                    </m:e>
                    <m:sub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𝑜</m:t>
                      </m:r>
                    </m:sub>
                  </m:sSub>
                </m:oMath>
              </a14:m>
              <a:r>
                <a:rPr lang="en-US" sz="1100" baseline="0"/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вязкости газа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𝜇</m:t>
                      </m:r>
                    </m:e>
                    <m:sub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𝑔</m:t>
                      </m:r>
                    </m:sub>
                  </m:sSub>
                </m:oMath>
              </a14:m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воды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𝜇</m:t>
                      </m:r>
                    </m:e>
                    <m:sub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𝑤</m:t>
                      </m:r>
                    </m:sub>
                  </m:sSub>
                </m:oMath>
              </a14:m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плотности газа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/>
                <a:t>,</a:t>
              </a:r>
              <a:r>
                <a:rPr lang="ru-RU" baseline="0"/>
                <a:t> воды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w</a:t>
              </a:r>
              <a:r>
                <a:rPr lang="en-US"/>
                <a:t> </a:t>
              </a:r>
              <a:r>
                <a:rPr lang="ru-RU"/>
                <a:t>и нефти</a:t>
              </a:r>
              <a:r>
                <a:rPr lang="ru-RU" baseline="0"/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o</a:t>
              </a:r>
              <a:r>
                <a:rPr lang="en-US"/>
                <a:t>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 и объемного коэффициента газа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B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 sz="1100" baseline="0"/>
                <a:t>от давления</a:t>
              </a:r>
              <a:r>
                <a:rPr lang="en-US" sz="1100" baseline="0"/>
                <a:t> </a:t>
              </a:r>
              <a:r>
                <a:rPr lang="ru-RU" sz="1100" baseline="0"/>
                <a:t>и температуры в приведенной ниже таблице.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Настройте при необходимости отображение графиков для построенных величин.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Объясните получившиеся графические зависимости.</a:t>
              </a:r>
              <a:endParaRPr lang="en-US" sz="1100"/>
            </a:p>
            <a:p>
              <a:r>
                <a:rPr lang="ru-RU" sz="1100"/>
                <a:t>Используйте</a:t>
              </a:r>
              <a:r>
                <a:rPr lang="ru-RU" sz="1100" baseline="0"/>
                <a:t> функции</a:t>
              </a:r>
              <a:r>
                <a:rPr lang="en-US" sz="1100" baseline="0"/>
                <a:t>:</a:t>
              </a:r>
              <a:r>
                <a:rPr lang="ru-RU" sz="1100" baseline="0"/>
                <a:t> </a:t>
              </a: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PVT_rs_m3m3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PVT_bo_m3m3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PVT_mu_oil_cP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PVT_mu_gas_cP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PVT_mu_wat_cP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PVT_rho_gas_kgm3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PVT_rho_wat_kgm3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PVT_rho_oil_kgm3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PVT_bg_m3m3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PVT_encode_string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endParaRPr lang="ru-RU" sz="1100" baseline="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5182529" y="7037"/>
              <a:ext cx="5651823" cy="3572134"/>
            </a:xfrm>
            <a:prstGeom prst="rect">
              <a:avLst/>
            </a:prstGeom>
            <a:solidFill>
              <a:schemeClr val="accent6">
                <a:lumMod val="20000"/>
                <a:lumOff val="80000"/>
              </a:schemeClr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/>
                <a:t>Упражнение показывает как можно рассчитать </a:t>
              </a:r>
              <a:r>
                <a:rPr lang="en-US" sz="1100"/>
                <a:t>PVT </a:t>
              </a:r>
              <a:r>
                <a:rPr lang="ru-RU" sz="1100"/>
                <a:t>свойства</a:t>
              </a:r>
              <a:r>
                <a:rPr lang="ru-RU" sz="1100" baseline="0"/>
                <a:t> пластовых флюидов и позволяет проанализировать получившиеся зависимости.</a:t>
              </a:r>
            </a:p>
            <a:p>
              <a:pPr marL="0" indent="0">
                <a:buFont typeface="Arial" panose="020B0604020202020204" pitchFamily="34" charset="0"/>
                <a:buNone/>
              </a:pPr>
              <a:endParaRPr lang="ru-RU" sz="1100" baseline="0"/>
            </a:p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 baseline="0"/>
                <a:t>Выполните следующее задание</a:t>
              </a:r>
              <a:endParaRPr lang="ru-RU" sz="1100"/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/>
                <a:t>Постройте</a:t>
              </a:r>
              <a:r>
                <a:rPr lang="ru-RU" sz="1100" baseline="0"/>
                <a:t> зависимости газосодержания в нефти </a:t>
              </a:r>
              <a:r>
                <a:rPr lang="en-US" sz="1100" b="0" i="0" baseline="0">
                  <a:latin typeface="Cambria Math" panose="02040503050406030204" pitchFamily="18" charset="0"/>
                </a:rPr>
                <a:t>𝑅_𝑠</a:t>
              </a:r>
              <a:r>
                <a:rPr lang="en-US" sz="1100" baseline="0"/>
                <a:t>, </a:t>
              </a:r>
              <a:r>
                <a:rPr lang="ru-RU" sz="1100" baseline="0"/>
                <a:t>объемного коэффициента нефти</a:t>
              </a:r>
              <a:r>
                <a:rPr lang="en-US" sz="1100" baseline="0"/>
                <a:t> </a:t>
              </a:r>
              <a:r>
                <a:rPr lang="en-US" sz="1100" b="0" i="0" baseline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𝐵_𝑜</a:t>
              </a:r>
              <a:r>
                <a:rPr lang="ru-RU" sz="1100" baseline="0"/>
                <a:t>, вязкости нефти</a:t>
              </a:r>
              <a:r>
                <a:rPr lang="en-US" sz="1100" baseline="0"/>
                <a:t> </a:t>
              </a:r>
              <a:r>
                <a:rPr lang="en-US" sz="1100" b="0" i="0" baseline="0">
                  <a:latin typeface="Cambria Math" panose="02040503050406030204" pitchFamily="18" charset="0"/>
                </a:rPr>
                <a:t>𝜇_𝑜</a:t>
              </a:r>
              <a:r>
                <a:rPr lang="en-US" sz="1100" baseline="0"/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вязкости газа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 b="0" i="0" baseline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𝜇_𝑔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воды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 b="0" i="0" baseline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𝜇_𝑤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плотности газа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/>
                <a:t>,</a:t>
              </a:r>
              <a:r>
                <a:rPr lang="ru-RU" baseline="0"/>
                <a:t> воды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w</a:t>
              </a:r>
              <a:r>
                <a:rPr lang="en-US"/>
                <a:t> </a:t>
              </a:r>
              <a:r>
                <a:rPr lang="ru-RU"/>
                <a:t>и нефти</a:t>
              </a:r>
              <a:r>
                <a:rPr lang="ru-RU" baseline="0"/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o</a:t>
              </a:r>
              <a:r>
                <a:rPr lang="en-US"/>
                <a:t>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 и объемного коэффициента газа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B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 sz="1100" baseline="0"/>
                <a:t>от давления</a:t>
              </a:r>
              <a:r>
                <a:rPr lang="en-US" sz="1100" baseline="0"/>
                <a:t> </a:t>
              </a:r>
              <a:r>
                <a:rPr lang="ru-RU" sz="1100" baseline="0"/>
                <a:t>и температуры в приведенной ниже таблице.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Настройте при необходимости отображение графиков для построенных величин.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Объясните получившиеся графические зависимости.</a:t>
              </a:r>
              <a:endParaRPr lang="en-US" sz="1100"/>
            </a:p>
            <a:p>
              <a:r>
                <a:rPr lang="ru-RU" sz="1100"/>
                <a:t>Используйте</a:t>
              </a:r>
              <a:r>
                <a:rPr lang="ru-RU" sz="1100" baseline="0"/>
                <a:t> функции</a:t>
              </a:r>
              <a:r>
                <a:rPr lang="en-US" sz="1100" baseline="0"/>
                <a:t>:</a:t>
              </a:r>
              <a:r>
                <a:rPr lang="ru-RU" sz="1100" baseline="0"/>
                <a:t> </a:t>
              </a: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PVT_rs_m3m3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PVT_bo_m3m3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PVT_mu_oil_cP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PVT_mu_gas_cP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PVT_mu_wat_cP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PVT_rho_gas_kgm3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PVT_rho_wat_kgm3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PVT_rho_oil_kgm3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PVT_bg_m3m3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PVT_encode_string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endParaRPr lang="ru-RU" sz="1100" baseline="0"/>
            </a:p>
          </xdr:txBody>
        </xdr:sp>
      </mc:Fallback>
    </mc:AlternateContent>
    <xdr:clientData/>
  </xdr:twoCellAnchor>
  <xdr:twoCellAnchor>
    <xdr:from>
      <xdr:col>13</xdr:col>
      <xdr:colOff>576318</xdr:colOff>
      <xdr:row>52</xdr:row>
      <xdr:rowOff>61421</xdr:rowOff>
    </xdr:from>
    <xdr:to>
      <xdr:col>20</xdr:col>
      <xdr:colOff>602548</xdr:colOff>
      <xdr:row>75</xdr:row>
      <xdr:rowOff>15903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43859</xdr:colOff>
      <xdr:row>52</xdr:row>
      <xdr:rowOff>28818</xdr:rowOff>
    </xdr:from>
    <xdr:to>
      <xdr:col>28</xdr:col>
      <xdr:colOff>443119</xdr:colOff>
      <xdr:row>75</xdr:row>
      <xdr:rowOff>33130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569429</xdr:colOff>
      <xdr:row>19</xdr:row>
      <xdr:rowOff>45555</xdr:rowOff>
    </xdr:from>
    <xdr:to>
      <xdr:col>27</xdr:col>
      <xdr:colOff>333789</xdr:colOff>
      <xdr:row>28</xdr:row>
      <xdr:rowOff>159026</xdr:rowOff>
    </xdr:to>
    <xdr:sp macro="" textlink="">
      <xdr:nvSpPr>
        <xdr:cNvPr id="8" name="Стрелка: влево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 rot="21010197">
          <a:off x="14881777" y="3905251"/>
          <a:ext cx="3441838" cy="1637471"/>
        </a:xfrm>
        <a:prstGeom prst="leftArrow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1. </a:t>
          </a:r>
          <a:r>
            <a:rPr lang="ru-RU" sz="1100"/>
            <a:t>Рассчитайте</a:t>
          </a:r>
          <a:r>
            <a:rPr lang="ru-RU" sz="1100" baseline="0"/>
            <a:t> необходимые значения в этой таблице.</a:t>
          </a:r>
        </a:p>
        <a:p>
          <a:pPr algn="l"/>
          <a:r>
            <a:rPr lang="ru-RU" sz="1100" baseline="0"/>
            <a:t>Ниже автоматом должны отобразиться графики, если все сделать правильно</a:t>
          </a:r>
          <a:endParaRPr lang="ru-RU" sz="1100"/>
        </a:p>
      </xdr:txBody>
    </xdr:sp>
    <xdr:clientData/>
  </xdr:twoCellAnchor>
  <xdr:twoCellAnchor>
    <xdr:from>
      <xdr:col>23</xdr:col>
      <xdr:colOff>607481</xdr:colOff>
      <xdr:row>29</xdr:row>
      <xdr:rowOff>61893</xdr:rowOff>
    </xdr:from>
    <xdr:to>
      <xdr:col>30</xdr:col>
      <xdr:colOff>468697</xdr:colOff>
      <xdr:row>52</xdr:row>
      <xdr:rowOff>31375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795131</xdr:colOff>
      <xdr:row>75</xdr:row>
      <xdr:rowOff>132521</xdr:rowOff>
    </xdr:from>
    <xdr:to>
      <xdr:col>7</xdr:col>
      <xdr:colOff>225013</xdr:colOff>
      <xdr:row>98</xdr:row>
      <xdr:rowOff>116270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118FF4DC-32FF-4531-A876-5F98876F48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281608</xdr:colOff>
      <xdr:row>75</xdr:row>
      <xdr:rowOff>132522</xdr:rowOff>
    </xdr:from>
    <xdr:to>
      <xdr:col>14</xdr:col>
      <xdr:colOff>109055</xdr:colOff>
      <xdr:row>98</xdr:row>
      <xdr:rowOff>116271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5A6E0337-318C-404A-8CA6-B9129CCA81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2414</xdr:colOff>
      <xdr:row>52</xdr:row>
      <xdr:rowOff>61601</xdr:rowOff>
    </xdr:from>
    <xdr:to>
      <xdr:col>13</xdr:col>
      <xdr:colOff>484945</xdr:colOff>
      <xdr:row>75</xdr:row>
      <xdr:rowOff>25491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FF254159-DFE5-4BD6-AF97-FC9E358AFF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66262</xdr:colOff>
      <xdr:row>52</xdr:row>
      <xdr:rowOff>57979</xdr:rowOff>
    </xdr:from>
    <xdr:to>
      <xdr:col>6</xdr:col>
      <xdr:colOff>714325</xdr:colOff>
      <xdr:row>75</xdr:row>
      <xdr:rowOff>27461</xdr:rowOff>
    </xdr:to>
    <xdr:graphicFrame macro="">
      <xdr:nvGraphicFramePr>
        <xdr:cNvPr id="12" name="Диаграмма 11">
          <a:extLst>
            <a:ext uri="{FF2B5EF4-FFF2-40B4-BE49-F238E27FC236}">
              <a16:creationId xmlns:a16="http://schemas.microsoft.com/office/drawing/2014/main" id="{5004E8AB-B18B-46BE-AF1E-127B03207D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66262</xdr:colOff>
      <xdr:row>29</xdr:row>
      <xdr:rowOff>30054</xdr:rowOff>
    </xdr:from>
    <xdr:to>
      <xdr:col>15</xdr:col>
      <xdr:colOff>156907</xdr:colOff>
      <xdr:row>51</xdr:row>
      <xdr:rowOff>159598</xdr:rowOff>
    </xdr:to>
    <xdr:graphicFrame macro="">
      <xdr:nvGraphicFramePr>
        <xdr:cNvPr id="14" name="Диаграмма 13">
          <a:extLst>
            <a:ext uri="{FF2B5EF4-FFF2-40B4-BE49-F238E27FC236}">
              <a16:creationId xmlns:a16="http://schemas.microsoft.com/office/drawing/2014/main" id="{35577126-ADC4-4096-8189-379C948C40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rnt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PVT_bg_m3m3"/>
      <definedName name="PVT_bo_m3m3"/>
      <definedName name="PVT_bw_m3m3"/>
      <definedName name="PVT_compressibility_gas_1atm"/>
      <definedName name="PVT_compressibility_oil_1atm"/>
      <definedName name="PVT_compressibility_wat_1atm"/>
      <definedName name="PVT_cp_gas_JkgC"/>
      <definedName name="PVT_cp_oil_JkgC"/>
      <definedName name="PVT_cp_wat_JkgC"/>
      <definedName name="PVT_encode_string"/>
      <definedName name="PVT_mu_gas_cP"/>
      <definedName name="PVT_mu_oil_cP"/>
      <definedName name="PVT_mu_wat_cP"/>
      <definedName name="PVT_rho_gas_kgm3"/>
      <definedName name="PVT_rho_oil_kgm3"/>
      <definedName name="PVT_rho_wat_kgm3"/>
      <definedName name="PVT_rs_m3m3"/>
      <definedName name="PVT_ST_liqgas_Nm"/>
      <definedName name="PVT_ST_oilgas_Nm"/>
      <definedName name="PVT_ST_watgas_Nm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DB9FB-9064-41A8-B6EB-75D3C901BFC5}">
  <sheetPr codeName="Worksheet____5">
    <outlinePr summaryBelow="0"/>
  </sheetPr>
  <dimension ref="A1:V122"/>
  <sheetViews>
    <sheetView tabSelected="1" topLeftCell="A46" zoomScale="70" zoomScaleNormal="70" workbookViewId="0">
      <selection activeCell="Q93" sqref="Q93"/>
    </sheetView>
  </sheetViews>
  <sheetFormatPr defaultRowHeight="13.2" x14ac:dyDescent="0.25"/>
  <cols>
    <col min="1" max="1" width="12.33203125" customWidth="1"/>
    <col min="2" max="2" width="11" customWidth="1"/>
    <col min="3" max="3" width="10.5546875" customWidth="1"/>
    <col min="4" max="4" width="9.88671875" customWidth="1"/>
    <col min="5" max="5" width="11.33203125" customWidth="1"/>
    <col min="6" max="6" width="9.88671875" customWidth="1"/>
    <col min="7" max="7" width="11.6640625" customWidth="1"/>
    <col min="8" max="8" width="12.33203125" customWidth="1"/>
    <col min="10" max="10" width="11.33203125" customWidth="1"/>
    <col min="11" max="11" width="10.109375" customWidth="1"/>
    <col min="14" max="14" width="9.21875" customWidth="1"/>
    <col min="19" max="19" width="12.44140625" bestFit="1" customWidth="1"/>
    <col min="22" max="32" width="9.109375" customWidth="1"/>
  </cols>
  <sheetData>
    <row r="1" spans="1:12" x14ac:dyDescent="0.25">
      <c r="A1" s="1" t="s">
        <v>21</v>
      </c>
      <c r="F1" t="s">
        <v>31</v>
      </c>
      <c r="G1" t="str">
        <f>[1]!unf_Version()</f>
        <v>7.26</v>
      </c>
      <c r="H1" s="23" t="s">
        <v>45</v>
      </c>
      <c r="I1" s="27">
        <v>44141</v>
      </c>
      <c r="J1" s="28"/>
      <c r="K1" s="28"/>
      <c r="L1" s="29"/>
    </row>
    <row r="2" spans="1:12" x14ac:dyDescent="0.25">
      <c r="A2" t="s">
        <v>22</v>
      </c>
      <c r="H2" s="23" t="s">
        <v>46</v>
      </c>
      <c r="I2" s="30">
        <v>7.26</v>
      </c>
      <c r="J2" s="25"/>
      <c r="K2" s="25"/>
      <c r="L2" s="26"/>
    </row>
    <row r="3" spans="1:12" ht="14.4" x14ac:dyDescent="0.3">
      <c r="A3" s="24" t="s">
        <v>38</v>
      </c>
      <c r="B3" s="47" t="s">
        <v>40</v>
      </c>
      <c r="C3" s="47"/>
      <c r="D3" s="47"/>
      <c r="E3" s="48"/>
      <c r="H3" s="24" t="s">
        <v>38</v>
      </c>
      <c r="I3" s="49" t="s">
        <v>40</v>
      </c>
      <c r="J3" s="49"/>
      <c r="K3" s="49"/>
      <c r="L3" s="49"/>
    </row>
    <row r="4" spans="1:12" ht="14.4" x14ac:dyDescent="0.3">
      <c r="A4" s="24" t="s">
        <v>42</v>
      </c>
      <c r="B4" s="47" t="s">
        <v>43</v>
      </c>
      <c r="C4" s="47"/>
      <c r="D4" s="47"/>
      <c r="E4" s="48"/>
      <c r="H4" s="24" t="s">
        <v>42</v>
      </c>
      <c r="I4" s="50" t="s">
        <v>43</v>
      </c>
      <c r="J4" s="50"/>
      <c r="K4" s="50"/>
      <c r="L4" s="50"/>
    </row>
    <row r="5" spans="1:12" ht="14.4" x14ac:dyDescent="0.3">
      <c r="A5" s="24" t="s">
        <v>47</v>
      </c>
      <c r="B5" s="47" t="s">
        <v>41</v>
      </c>
      <c r="C5" s="47"/>
      <c r="D5" s="47"/>
      <c r="E5" s="48"/>
      <c r="H5" s="24" t="s">
        <v>47</v>
      </c>
      <c r="I5" s="50" t="s">
        <v>41</v>
      </c>
      <c r="J5" s="50"/>
      <c r="K5" s="50"/>
      <c r="L5" s="50"/>
    </row>
    <row r="6" spans="1:12" x14ac:dyDescent="0.25">
      <c r="A6" s="33" t="s">
        <v>39</v>
      </c>
      <c r="B6" s="36" t="s">
        <v>44</v>
      </c>
      <c r="C6" s="37"/>
      <c r="D6" s="37"/>
      <c r="E6" s="38"/>
      <c r="H6" s="45" t="s">
        <v>39</v>
      </c>
      <c r="I6" s="46" t="s">
        <v>44</v>
      </c>
      <c r="J6" s="46"/>
      <c r="K6" s="46"/>
      <c r="L6" s="46"/>
    </row>
    <row r="7" spans="1:12" x14ac:dyDescent="0.25">
      <c r="A7" s="34"/>
      <c r="B7" s="39"/>
      <c r="C7" s="40"/>
      <c r="D7" s="40"/>
      <c r="E7" s="41"/>
      <c r="H7" s="45"/>
      <c r="I7" s="46"/>
      <c r="J7" s="46"/>
      <c r="K7" s="46"/>
      <c r="L7" s="46"/>
    </row>
    <row r="8" spans="1:12" x14ac:dyDescent="0.25">
      <c r="A8" s="35"/>
      <c r="B8" s="42"/>
      <c r="C8" s="43"/>
      <c r="D8" s="43"/>
      <c r="E8" s="44"/>
      <c r="H8" s="45"/>
      <c r="I8" s="46"/>
      <c r="J8" s="46"/>
      <c r="K8" s="46"/>
      <c r="L8" s="46"/>
    </row>
    <row r="10" spans="1:12" x14ac:dyDescent="0.25">
      <c r="A10" s="1" t="s">
        <v>1</v>
      </c>
    </row>
    <row r="11" spans="1:12" ht="16.8" x14ac:dyDescent="0.35">
      <c r="B11" s="5" t="s">
        <v>10</v>
      </c>
      <c r="C11" s="2">
        <v>0.86</v>
      </c>
      <c r="D11" s="6"/>
      <c r="E11" s="18">
        <f>gamma_oil_*1000</f>
        <v>860</v>
      </c>
      <c r="F11" s="19" t="s">
        <v>20</v>
      </c>
    </row>
    <row r="12" spans="1:12" ht="16.8" x14ac:dyDescent="0.35">
      <c r="B12" s="4" t="s">
        <v>12</v>
      </c>
      <c r="C12" s="2">
        <v>1.1000000000000001</v>
      </c>
      <c r="D12" s="6"/>
      <c r="E12" s="18">
        <f>gamma_wat_*1000</f>
        <v>1100</v>
      </c>
      <c r="F12" s="19" t="s">
        <v>20</v>
      </c>
    </row>
    <row r="13" spans="1:12" ht="16.8" x14ac:dyDescent="0.35">
      <c r="B13" s="4" t="s">
        <v>11</v>
      </c>
      <c r="C13" s="2">
        <v>0.8</v>
      </c>
      <c r="D13" s="6"/>
      <c r="E13" s="18">
        <f>gamma_gas_*1.22</f>
        <v>0.97599999999999998</v>
      </c>
      <c r="F13" s="19" t="s">
        <v>20</v>
      </c>
    </row>
    <row r="14" spans="1:12" ht="16.8" x14ac:dyDescent="0.35">
      <c r="B14" s="7" t="s">
        <v>13</v>
      </c>
      <c r="C14" s="2">
        <v>80</v>
      </c>
      <c r="D14" s="4" t="s">
        <v>14</v>
      </c>
      <c r="E14" s="20">
        <f>Rsb_/gamma_oil_</f>
        <v>93.023255813953483</v>
      </c>
      <c r="F14" s="19" t="s">
        <v>33</v>
      </c>
    </row>
    <row r="15" spans="1:12" ht="16.8" x14ac:dyDescent="0.35">
      <c r="B15" s="7" t="s">
        <v>15</v>
      </c>
      <c r="C15" s="2">
        <v>80</v>
      </c>
      <c r="D15" s="4" t="s">
        <v>14</v>
      </c>
      <c r="E15" s="20">
        <f>Rsb_/gamma_oil_</f>
        <v>93.023255813953483</v>
      </c>
      <c r="F15" s="19" t="s">
        <v>33</v>
      </c>
    </row>
    <row r="16" spans="1:12" ht="15.6" x14ac:dyDescent="0.35">
      <c r="B16" s="4" t="s">
        <v>17</v>
      </c>
      <c r="C16" s="2">
        <v>125</v>
      </c>
      <c r="D16" s="4" t="s">
        <v>7</v>
      </c>
      <c r="E16" s="20">
        <f>Pb_*1.01325/10</f>
        <v>12.665625</v>
      </c>
      <c r="F16" s="19" t="s">
        <v>8</v>
      </c>
    </row>
    <row r="17" spans="2:22" ht="15.6" x14ac:dyDescent="0.35">
      <c r="B17" s="4" t="s">
        <v>16</v>
      </c>
      <c r="C17" s="2">
        <v>100</v>
      </c>
      <c r="D17" s="4" t="s">
        <v>3</v>
      </c>
      <c r="E17" s="20">
        <f>Tres_*9/5+32</f>
        <v>212</v>
      </c>
      <c r="F17" s="19" t="s">
        <v>9</v>
      </c>
    </row>
    <row r="18" spans="2:22" ht="15.6" x14ac:dyDescent="0.35">
      <c r="B18" s="7" t="s">
        <v>18</v>
      </c>
      <c r="C18" s="2">
        <v>1.2</v>
      </c>
      <c r="D18" s="4" t="s">
        <v>2</v>
      </c>
      <c r="E18" s="21"/>
      <c r="F18" s="6"/>
    </row>
    <row r="19" spans="2:22" ht="15.6" x14ac:dyDescent="0.35">
      <c r="B19" s="8" t="s">
        <v>19</v>
      </c>
      <c r="C19" s="2">
        <v>1</v>
      </c>
      <c r="D19" s="4" t="s">
        <v>6</v>
      </c>
      <c r="E19" s="21"/>
      <c r="F19" s="6"/>
    </row>
    <row r="23" spans="2:22" x14ac:dyDescent="0.25">
      <c r="B23" s="13" t="s">
        <v>32</v>
      </c>
      <c r="C23" s="14" t="str">
        <f>[1]!PVT_encode_string(gamma_gas_,gamma_oil_,gamma_wat_,Rsb_,Rp_,Pb_,Tres_,Bob_,muob_)</f>
        <v>{"gamma_gas":0.8,"gamma_oil":0.86,"gamma_wat":1.1,"rsb_m3m3":80,"rp_m3m3":80,"pb_atma":125,"t_res_C":100,"bob_m3m3":1.2,"muob_cP":1}</v>
      </c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</row>
    <row r="26" spans="2:22" ht="15.6" x14ac:dyDescent="0.25">
      <c r="B26" s="9" t="s">
        <v>0</v>
      </c>
      <c r="C26" s="9" t="s">
        <v>4</v>
      </c>
      <c r="D26" s="9" t="s">
        <v>23</v>
      </c>
      <c r="E26" s="9" t="s">
        <v>24</v>
      </c>
      <c r="F26" s="10" t="s">
        <v>25</v>
      </c>
      <c r="G26" s="11" t="s">
        <v>26</v>
      </c>
      <c r="H26" s="11" t="s">
        <v>27</v>
      </c>
      <c r="I26" s="9" t="s">
        <v>28</v>
      </c>
      <c r="J26" s="9" t="s">
        <v>29</v>
      </c>
      <c r="K26" s="9" t="s">
        <v>30</v>
      </c>
      <c r="L26" s="9" t="s">
        <v>34</v>
      </c>
      <c r="M26" s="9" t="s">
        <v>54</v>
      </c>
      <c r="N26" s="9" t="s">
        <v>37</v>
      </c>
      <c r="O26" s="9" t="s">
        <v>35</v>
      </c>
      <c r="P26" s="9" t="s">
        <v>36</v>
      </c>
      <c r="Q26" s="9" t="s">
        <v>49</v>
      </c>
      <c r="R26" s="9" t="s">
        <v>50</v>
      </c>
      <c r="S26" s="9" t="s">
        <v>51</v>
      </c>
      <c r="T26" s="9" t="s">
        <v>52</v>
      </c>
      <c r="U26" s="9" t="s">
        <v>48</v>
      </c>
      <c r="V26" s="9" t="s">
        <v>53</v>
      </c>
    </row>
    <row r="27" spans="2:22" x14ac:dyDescent="0.25">
      <c r="B27" s="12">
        <v>1</v>
      </c>
      <c r="C27" s="12">
        <v>50</v>
      </c>
      <c r="D27" s="15">
        <f>[1]!PVT_rs_m3m3(B27,C27,gamma_gas_,gamma_oil_,gamma_wat_,Rsb_,Rp_,Pb_,Tres_,Bob_,muob_)</f>
        <v>0.29862136874689532</v>
      </c>
      <c r="E27" s="16">
        <f>[1]!PVT_bo_m3m3(B27,C27,gamma_gas_,gamma_oil_,gamma_wat_,Rsb_,Rp_,Pb_,Tres_,Bob_,muob_)</f>
        <v>1.0179270594798155</v>
      </c>
      <c r="F27" s="15">
        <f>[1]!PVT_mu_oil_cP(B27,C27,gamma_gas_,gamma_oil_,gamma_wat_,Rsb_,Rp_,Pb_,Tres_,Bob_,muob_)</f>
        <v>4.7500744232878453</v>
      </c>
      <c r="G27" s="17">
        <f>[1]!PVT_mu_gas_cP(B27,C27,gamma_gas_,gamma_oil_,gamma_wat_,Rsb_,Rp_,Pb_,Pb_,Bob_,muob_)</f>
        <v>1.1060936887133336E-2</v>
      </c>
      <c r="H27" s="16">
        <f>[1]!PVT_mu_wat_cP(B27,C27,gamma_gas_,gamma_oil_,gamma_wat_,Rsb_,Rp_,Pb_,Tres_,Bob_,muob_)</f>
        <v>0.70749460631098049</v>
      </c>
      <c r="I27" s="15">
        <f>[1]!PVT_rho_gas_kgm3(B27,C27,gamma_gas_,gamma_oil_,gamma_wat_,Rsb_,Rp_,Pb_,Tres_,Bob_,muob_)</f>
        <v>0.8852398428851368</v>
      </c>
      <c r="J27" s="15">
        <f>[1]!PVT_rho_wat_kgm3(B27,C27,gamma_gas_,gamma_oil_,gamma_wat_,Rsb_,Rp_,Pb_,Tres_,Bob_,muob_)</f>
        <v>1084.4925743727499</v>
      </c>
      <c r="K27" s="15">
        <f>[1]!PVT_rho_oil_kgm3(B27,C27,gamma_gas_,gamma_oil_,gamma_wat_,Rsb_,Rp_,Pb_,Tres_,Bob_,muob_)</f>
        <v>845.14096817564473</v>
      </c>
      <c r="L27" s="22">
        <f>[1]!PVT_bg_m3m3(B27,C27,gamma_gas_,gamma_oil_,gamma_wat_,Rsb_,Rp_,Pb_,Tres_,Bob_,muob_,0,,,,PVT_str_)</f>
        <v>1.1040623711813842</v>
      </c>
      <c r="M27" s="22">
        <f>[1]!PVT_bw_m3m3(B27,C27,gamma_gas_,gamma_oil_,gamma_wat_,Rsb_,Rp_,Pb_,Tres_,Bob_,muob_,0,,,,PVT_str_)</f>
        <v>1.0142992455584303</v>
      </c>
      <c r="N27" s="17">
        <f>[1]!PVT_ST_liqgas_Nm(B27,C27,gamma_gas_,gamma_oil_,gamma_wat_,Rsb_,Rp_,Pb_,Tres_,Bob_,muob_,0,,,,PVT_str_)</f>
        <v>6.5661875063976624E-2</v>
      </c>
      <c r="O27" s="17">
        <f>[1]!PVT_ST_oilgas_Nm(B27,C27,gamma_gas_,gamma_oil_,gamma_wat_,Rsb_,Rp_,Pb_,Tres_,Bob_,muob_,0,,,,PVT_str_)</f>
        <v>6.5661875063976624E-2</v>
      </c>
      <c r="P27" s="22">
        <f>[1]!PVT_ST_watgas_Nm(B27,C27,gamma_gas_,gamma_oil_,gamma_wat_,Rsb_,Rp_,Pb_,Tres_,Bob_,muob_,0,,,,PVT_str_)</f>
        <v>6.4416926551517747E-2</v>
      </c>
      <c r="Q27" s="31">
        <f>[1]!PVT_cp_oil_JkgC(B27,C27,gamma_gas_,gamma_oil_,gamma_wat_,Rsb_,Rp_,Pb_,Tres_,Bob_,muob_,0,,,,PVT_str_)</f>
        <v>2480.5600000000004</v>
      </c>
      <c r="R27" s="31">
        <f>[1]!PVT_cp_gas_JkgC(B27,C27,gamma_gas_,gamma_oil_,gamma_wat_,Rsb_,Rp_,Pb_,Tres_,Bob_,muob_,0,,,,PVT_str_)</f>
        <v>1914.7128167817309</v>
      </c>
      <c r="S27" s="31">
        <f>[1]!PVT_cp_wat_JkgC(B27,C27,gamma_gas_,gamma_oil_,gamma_wat_,Rsb_,Rp_,Pb_,Tres_,Bob_,muob_,0,,,,PVT_str_)</f>
        <v>4176</v>
      </c>
      <c r="T27" s="32">
        <f>[1]!PVT_compressibility_wat_1atm(B27,C27,gamma_gas_,gamma_oil_,gamma_wat_,Rsb_,Rp_,Pb_,Tres_,Bob_,muob_,0,,,,PVT_str_)</f>
        <v>3.5176407713868163E-5</v>
      </c>
      <c r="U27" s="32">
        <f>[1]!PVT_compressibility_oil_1atm(B27,C27,gamma_gas_,gamma_oil_,gamma_wat_,Rsb_,Rp_,Pb_,Tres_,Bob_,muob_,0,,,,PVT_str_)</f>
        <v>1.12609865112951E-3</v>
      </c>
      <c r="V27" s="32">
        <f>[1]!PVT_compressibility_gas_1atm(B27,C27,gamma_gas_,gamma_oil_,gamma_wat_,Rsb_,Rp_,Pb_,Tres_,Bob_,muob_,0,,,,PVT_str_)</f>
        <v>1.0025316258852452</v>
      </c>
    </row>
    <row r="28" spans="2:22" x14ac:dyDescent="0.25">
      <c r="B28" s="12">
        <v>5</v>
      </c>
      <c r="C28" s="12">
        <v>80</v>
      </c>
      <c r="D28" s="15">
        <f>[1]!PVT_rs_m3m3(B28,C28,gamma_gas_,gamma_oil_,gamma_wat_,Rsb_,Rp_,Pb_,Tres_,Bob_,muob_)</f>
        <v>1.8078192518045642</v>
      </c>
      <c r="E28" s="16">
        <f>[1]!PVT_bo_m3m3(B28,C28,gamma_gas_,gamma_oil_,gamma_wat_,Rsb_,Rp_,Pb_,Tres_,Bob_,muob_)</f>
        <v>1.0401675909921519</v>
      </c>
      <c r="F28" s="15">
        <f>[1]!PVT_mu_oil_cP(B28,C28,gamma_gas_,gamma_oil_,gamma_wat_,Rsb_,Rp_,Pb_,Tres_,Bob_,muob_)</f>
        <v>3.2447536582538032</v>
      </c>
      <c r="G28" s="17">
        <f>[1]!PVT_mu_gas_cP(B28,C28,gamma_gas_,gamma_oil_,gamma_wat_,Rsb_,Rp_,Pb_,Pb_,Bob_,muob_)</f>
        <v>1.2152704989797817E-2</v>
      </c>
      <c r="H28" s="16">
        <f>[1]!PVT_mu_wat_cP(B28,C28,gamma_gas_,gamma_oil_,gamma_wat_,Rsb_,Rp_,Pb_,Tres_,Bob_,muob_)</f>
        <v>0.49568448521335695</v>
      </c>
      <c r="I28" s="15">
        <f>[1]!PVT_rho_gas_kgm3(B28,C28,gamma_gas_,gamma_oil_,gamma_wat_,Rsb_,Rp_,Pb_,Tres_,Bob_,muob_)</f>
        <v>4.0777731313145678</v>
      </c>
      <c r="J28" s="15">
        <f>[1]!PVT_rho_wat_kgm3(B28,C28,gamma_gas_,gamma_oil_,gamma_wat_,Rsb_,Rp_,Pb_,Tres_,Bob_,muob_)</f>
        <v>1067.6686358168463</v>
      </c>
      <c r="K28" s="15">
        <f>[1]!PVT_rho_oil_kgm3(B28,C28,gamma_gas_,gamma_oil_,gamma_wat_,Rsb_,Rp_,Pb_,Tres_,Bob_,muob_)</f>
        <v>828.48850289784286</v>
      </c>
      <c r="L28" s="22">
        <f>[1]!PVT_bg_m3m3(B28,C28,gamma_gas_,gamma_oil_,gamma_wat_,Rsb_,Rp_,Pb_,Tres_,Bob_,muob_,0,,,,PVT_str_)</f>
        <v>0.23967983713819915</v>
      </c>
      <c r="M28" s="22">
        <f>[1]!PVT_bw_m3m3(B28,C28,gamma_gas_,gamma_oil_,gamma_wat_,Rsb_,Rp_,Pb_,Tres_,Bob_,muob_,0,,,,PVT_str_)</f>
        <v>1.030282208447959</v>
      </c>
      <c r="N28" s="17">
        <f>[1]!PVT_ST_liqgas_Nm(B28,C28,gamma_gas_,gamma_oil_,gamma_wat_,Rsb_,Rp_,Pb_,Tres_,Bob_,muob_,0,,,,PVT_str_)</f>
        <v>6.2413684458147156E-2</v>
      </c>
      <c r="O28" s="17">
        <f>[1]!PVT_ST_oilgas_Nm(B28,C28,gamma_gas_,gamma_oil_,gamma_wat_,Rsb_,Rp_,Pb_,Tres_,Bob_,muob_,0,,,,PVT_str_)</f>
        <v>6.2413684458147156E-2</v>
      </c>
      <c r="P28" s="22">
        <f>[1]!PVT_ST_watgas_Nm(B28,C28,gamma_gas_,gamma_oil_,gamma_wat_,Rsb_,Rp_,Pb_,Tres_,Bob_,muob_,0,,,,PVT_str_)</f>
        <v>6.3826348619054896E-2</v>
      </c>
      <c r="Q28" s="31">
        <f>[1]!PVT_cp_oil_JkgC(B28,C28,gamma_gas_,gamma_oil_,gamma_wat_,Rsb_,Rp_,Pb_,Tres_,Bob_,muob_,0,,,,PVT_str_)</f>
        <v>2612.2600000000002</v>
      </c>
      <c r="R28" s="31">
        <f>[1]!PVT_cp_gas_JkgC(B28,C28,gamma_gas_,gamma_oil_,gamma_wat_,Rsb_,Rp_,Pb_,Tres_,Bob_,muob_,0,,,,PVT_str_)</f>
        <v>1981.3847833160321</v>
      </c>
      <c r="S28" s="31">
        <f>[1]!PVT_cp_wat_JkgC(B28,C28,gamma_gas_,gamma_oil_,gamma_wat_,Rsb_,Rp_,Pb_,Tres_,Bob_,muob_,0,,,,PVT_str_)</f>
        <v>4176</v>
      </c>
      <c r="T28" s="32">
        <f>[1]!PVT_compressibility_wat_1atm(B28,C28,gamma_gas_,gamma_oil_,gamma_wat_,Rsb_,Rp_,Pb_,Tres_,Bob_,muob_,0,,,,PVT_str_)</f>
        <v>3.7796696500802808E-5</v>
      </c>
      <c r="U28" s="32">
        <f>[1]!PVT_compressibility_oil_1atm(B28,C28,gamma_gas_,gamma_oil_,gamma_wat_,Rsb_,Rp_,Pb_,Tres_,Bob_,muob_,0,,,,PVT_str_)</f>
        <v>2.1460366512537428E-3</v>
      </c>
      <c r="V28" s="32">
        <f>[1]!PVT_compressibility_gas_1atm(B28,C28,gamma_gas_,gamma_oil_,gamma_wat_,Rsb_,Rp_,Pb_,Tres_,Bob_,muob_,0,,,,PVT_str_)</f>
        <v>0.20189969857019432</v>
      </c>
    </row>
    <row r="29" spans="2:22" x14ac:dyDescent="0.25">
      <c r="B29" s="12">
        <v>10</v>
      </c>
      <c r="C29" s="12">
        <v>80</v>
      </c>
      <c r="D29" s="15">
        <f>[1]!PVT_rs_m3m3(B29,C29,gamma_gas_,gamma_oil_,gamma_wat_,Rsb_,Rp_,Pb_,Tres_,Bob_,muob_)</f>
        <v>4.1648093115098783</v>
      </c>
      <c r="E29" s="16">
        <f>[1]!PVT_bo_m3m3(B29,C29,gamma_gas_,gamma_oil_,gamma_wat_,Rsb_,Rp_,Pb_,Tres_,Bob_,muob_)</f>
        <v>1.0440618413803044</v>
      </c>
      <c r="F29" s="15">
        <f>[1]!PVT_mu_oil_cP(B29,C29,gamma_gas_,gamma_oil_,gamma_wat_,Rsb_,Rp_,Pb_,Tres_,Bob_,muob_)</f>
        <v>2.9828371605277186</v>
      </c>
      <c r="G29" s="17">
        <f>[1]!PVT_mu_gas_cP(B29,C29,gamma_gas_,gamma_oil_,gamma_wat_,Rsb_,Rp_,Pb_,Pb_,Bob_,muob_)</f>
        <v>1.2232054201935603E-2</v>
      </c>
      <c r="H29" s="16">
        <f>[1]!PVT_mu_wat_cP(B29,C29,gamma_gas_,gamma_oil_,gamma_wat_,Rsb_,Rp_,Pb_,Tres_,Bob_,muob_)</f>
        <v>0.49717356350541014</v>
      </c>
      <c r="I29" s="15">
        <f>[1]!PVT_rho_gas_kgm3(B29,C29,gamma_gas_,gamma_oil_,gamma_wat_,Rsb_,Rp_,Pb_,Tres_,Bob_,muob_)</f>
        <v>8.2347583750332429</v>
      </c>
      <c r="J29" s="15">
        <f>[1]!PVT_rho_wat_kgm3(B29,C29,gamma_gas_,gamma_oil_,gamma_wat_,Rsb_,Rp_,Pb_,Tres_,Bob_,muob_)</f>
        <v>1067.7280970806928</v>
      </c>
      <c r="K29" s="15">
        <f>[1]!PVT_rho_oil_kgm3(B29,C29,gamma_gas_,gamma_oil_,gamma_wat_,Rsb_,Rp_,Pb_,Tres_,Bob_,muob_)</f>
        <v>827.60472970293677</v>
      </c>
      <c r="L29" s="22">
        <f>[1]!PVT_bg_m3m3(B29,C29,gamma_gas_,gamma_oil_,gamma_wat_,Rsb_,Rp_,Pb_,Tres_,Bob_,muob_,0,,,,PVT_str_)</f>
        <v>0.1186871496998908</v>
      </c>
      <c r="M29" s="22">
        <f>[1]!PVT_bw_m3m3(B29,C29,gamma_gas_,gamma_oil_,gamma_wat_,Rsb_,Rp_,Pb_,Tres_,Bob_,muob_,0,,,,PVT_str_)</f>
        <v>1.0302248325276284</v>
      </c>
      <c r="N29" s="17">
        <f>[1]!PVT_ST_liqgas_Nm(B29,C29,gamma_gas_,gamma_oil_,gamma_wat_,Rsb_,Rp_,Pb_,Tres_,Bob_,muob_,0,,,,PVT_str_)</f>
        <v>5.8578466280318188E-2</v>
      </c>
      <c r="O29" s="17">
        <f>[1]!PVT_ST_oilgas_Nm(B29,C29,gamma_gas_,gamma_oil_,gamma_wat_,Rsb_,Rp_,Pb_,Tres_,Bob_,muob_,0,,,,PVT_str_)</f>
        <v>5.8578466280318188E-2</v>
      </c>
      <c r="P29" s="22">
        <f>[1]!PVT_ST_watgas_Nm(B29,C29,gamma_gas_,gamma_oil_,gamma_wat_,Rsb_,Rp_,Pb_,Tres_,Bob_,muob_,0,,,,PVT_str_)</f>
        <v>6.3095734448019331E-2</v>
      </c>
      <c r="Q29" s="31">
        <f>[1]!PVT_cp_oil_JkgC(B29,C29,gamma_gas_,gamma_oil_,gamma_wat_,Rsb_,Rp_,Pb_,Tres_,Bob_,muob_,0,,,,PVT_str_)</f>
        <v>2612.2600000000002</v>
      </c>
      <c r="R29" s="31">
        <f>[1]!PVT_cp_gas_JkgC(B29,C29,gamma_gas_,gamma_oil_,gamma_wat_,Rsb_,Rp_,Pb_,Tres_,Bob_,muob_,0,,,,PVT_str_)</f>
        <v>1962.3253686952378</v>
      </c>
      <c r="S29" s="31">
        <f>[1]!PVT_cp_wat_JkgC(B29,C29,gamma_gas_,gamma_oil_,gamma_wat_,Rsb_,Rp_,Pb_,Tres_,Bob_,muob_,0,,,,PVT_str_)</f>
        <v>4176</v>
      </c>
      <c r="T29" s="32">
        <f>[1]!PVT_compressibility_wat_1atm(B29,C29,gamma_gas_,gamma_oil_,gamma_wat_,Rsb_,Rp_,Pb_,Tres_,Bob_,muob_,0,,,,PVT_str_)</f>
        <v>3.7745862951246043E-5</v>
      </c>
      <c r="U29" s="32">
        <f>[1]!PVT_compressibility_oil_1atm(B29,C29,gamma_gas_,gamma_oil_,gamma_wat_,Rsb_,Rp_,Pb_,Tres_,Bob_,muob_,0,,,,PVT_str_)</f>
        <v>1.139249746304591E-3</v>
      </c>
      <c r="V29" s="32">
        <f>[1]!PVT_compressibility_gas_1atm(B29,C29,gamma_gas_,gamma_oil_,gamma_wat_,Rsb_,Rp_,Pb_,Tres_,Bob_,muob_,0,,,,PVT_str_)</f>
        <v>0.1019697010936233</v>
      </c>
    </row>
    <row r="30" spans="2:22" x14ac:dyDescent="0.25">
      <c r="B30" s="12">
        <v>20</v>
      </c>
      <c r="C30" s="12">
        <v>80</v>
      </c>
      <c r="D30" s="15">
        <f>[1]!PVT_rs_m3m3(B30,C30,gamma_gas_,gamma_oil_,gamma_wat_,Rsb_,Rp_,Pb_,Tres_,Bob_,muob_)</f>
        <v>9.5947847573395304</v>
      </c>
      <c r="E30" s="16">
        <f>[1]!PVT_bo_m3m3(B30,C30,gamma_gas_,gamma_oil_,gamma_wat_,Rsb_,Rp_,Pb_,Tres_,Bob_,muob_)</f>
        <v>1.053168447695628</v>
      </c>
      <c r="F30" s="15">
        <f>[1]!PVT_mu_oil_cP(B30,C30,gamma_gas_,gamma_oil_,gamma_wat_,Rsb_,Rp_,Pb_,Tres_,Bob_,muob_)</f>
        <v>2.5313340399295856</v>
      </c>
      <c r="G30" s="17">
        <f>[1]!PVT_mu_gas_cP(B30,C30,gamma_gas_,gamma_oil_,gamma_wat_,Rsb_,Rp_,Pb_,Pb_,Bob_,muob_)</f>
        <v>1.2434456281957959E-2</v>
      </c>
      <c r="H30" s="16">
        <f>[1]!PVT_mu_wat_cP(B30,C30,gamma_gas_,gamma_oil_,gamma_wat_,Rsb_,Rp_,Pb_,Tres_,Bob_,muob_)</f>
        <v>0.50020148273013165</v>
      </c>
      <c r="I30" s="15">
        <f>[1]!PVT_rho_gas_kgm3(B30,C30,gamma_gas_,gamma_oil_,gamma_wat_,Rsb_,Rp_,Pb_,Tres_,Bob_,muob_)</f>
        <v>16.810606939469235</v>
      </c>
      <c r="J30" s="15">
        <f>[1]!PVT_rho_wat_kgm3(B30,C30,gamma_gas_,gamma_oil_,gamma_wat_,Rsb_,Rp_,Pb_,Tres_,Bob_,muob_)</f>
        <v>1067.8558858355127</v>
      </c>
      <c r="K30" s="15">
        <f>[1]!PVT_rho_oil_kgm3(B30,C30,gamma_gas_,gamma_oil_,gamma_wat_,Rsb_,Rp_,Pb_,Tres_,Bob_,muob_)</f>
        <v>825.48766128786326</v>
      </c>
      <c r="L30" s="22">
        <f>[1]!PVT_bg_m3m3(B30,C30,gamma_gas_,gamma_oil_,gamma_wat_,Rsb_,Rp_,Pb_,Tres_,Bob_,muob_,0,,,,PVT_str_)</f>
        <v>5.8139483215521454E-2</v>
      </c>
      <c r="M30" s="22">
        <f>[1]!PVT_bw_m3m3(B30,C30,gamma_gas_,gamma_oil_,gamma_wat_,Rsb_,Rp_,Pb_,Tres_,Bob_,muob_,0,,,,PVT_str_)</f>
        <v>1.0301015470260175</v>
      </c>
      <c r="N30" s="17">
        <f>[1]!PVT_ST_liqgas_Nm(B30,C30,gamma_gas_,gamma_oil_,gamma_wat_,Rsb_,Rp_,Pb_,Tres_,Bob_,muob_,0,,,,PVT_str_)</f>
        <v>5.1600552056456757E-2</v>
      </c>
      <c r="O30" s="17">
        <f>[1]!PVT_ST_oilgas_Nm(B30,C30,gamma_gas_,gamma_oil_,gamma_wat_,Rsb_,Rp_,Pb_,Tres_,Bob_,muob_,0,,,,PVT_str_)</f>
        <v>5.1600552056456757E-2</v>
      </c>
      <c r="P30" s="22">
        <f>[1]!PVT_ST_watgas_Nm(B30,C30,gamma_gas_,gamma_oil_,gamma_wat_,Rsb_,Rp_,Pb_,Tres_,Bob_,muob_,0,,,,PVT_str_)</f>
        <v>6.1659500186148221E-2</v>
      </c>
      <c r="Q30" s="31">
        <f>[1]!PVT_cp_oil_JkgC(B30,C30,gamma_gas_,gamma_oil_,gamma_wat_,Rsb_,Rp_,Pb_,Tres_,Bob_,muob_,0,,,,PVT_str_)</f>
        <v>2612.2600000000002</v>
      </c>
      <c r="R30" s="31">
        <f>[1]!PVT_cp_gas_JkgC(B30,C30,gamma_gas_,gamma_oil_,gamma_wat_,Rsb_,Rp_,Pb_,Tres_,Bob_,muob_,0,,,,PVT_str_)</f>
        <v>1922.5094397351374</v>
      </c>
      <c r="S30" s="31">
        <f>[1]!PVT_cp_wat_JkgC(B30,C30,gamma_gas_,gamma_oil_,gamma_wat_,Rsb_,Rp_,Pb_,Tres_,Bob_,muob_,0,,,,PVT_str_)</f>
        <v>4176</v>
      </c>
      <c r="T30" s="32">
        <f>[1]!PVT_compressibility_wat_1atm(B30,C30,gamma_gas_,gamma_oil_,gamma_wat_,Rsb_,Rp_,Pb_,Tres_,Bob_,muob_,0,,,,PVT_str_)</f>
        <v>3.7644604954191038E-5</v>
      </c>
      <c r="U30" s="32">
        <f>[1]!PVT_compressibility_oil_1atm(B30,C30,gamma_gas_,gamma_oil_,gamma_wat_,Rsb_,Rp_,Pb_,Tres_,Bob_,muob_,0,,,,PVT_str_)</f>
        <v>6.4591602816620197E-4</v>
      </c>
      <c r="V30" s="32">
        <f>[1]!PVT_compressibility_gas_1atm(B30,C30,gamma_gas_,gamma_oil_,gamma_wat_,Rsb_,Rp_,Pb_,Tres_,Bob_,muob_,0,,,,PVT_str_)</f>
        <v>5.2134636706740373E-2</v>
      </c>
    </row>
    <row r="31" spans="2:22" x14ac:dyDescent="0.25">
      <c r="B31" s="12">
        <v>40</v>
      </c>
      <c r="C31" s="12">
        <v>80</v>
      </c>
      <c r="D31" s="15">
        <f>[1]!PVT_rs_m3m3(B31,C31,gamma_gas_,gamma_oil_,gamma_wat_,Rsb_,Rp_,Pb_,Tres_,Bob_,muob_)</f>
        <v>22.104227985962769</v>
      </c>
      <c r="E31" s="16">
        <f>[1]!PVT_bo_m3m3(B31,C31,gamma_gas_,gamma_oil_,gamma_wat_,Rsb_,Rp_,Pb_,Tres_,Bob_,muob_)</f>
        <v>1.074789786580584</v>
      </c>
      <c r="F31" s="15">
        <f>[1]!PVT_mu_oil_cP(B31,C31,gamma_gas_,gamma_oil_,gamma_wat_,Rsb_,Rp_,Pb_,Tres_,Bob_,muob_)</f>
        <v>1.9151911055748214</v>
      </c>
      <c r="G31" s="17">
        <f>[1]!PVT_mu_gas_cP(B31,C31,gamma_gas_,gamma_oil_,gamma_wat_,Rsb_,Rp_,Pb_,Pb_,Bob_,muob_)</f>
        <v>1.2984176826364345E-2</v>
      </c>
      <c r="H31" s="16">
        <f>[1]!PVT_mu_wat_cP(B31,C31,gamma_gas_,gamma_oil_,gamma_wat_,Rsb_,Rp_,Pb_,Tres_,Bob_,muob_)</f>
        <v>0.50645637174203584</v>
      </c>
      <c r="I31" s="15">
        <f>[1]!PVT_rho_gas_kgm3(B31,C31,gamma_gas_,gamma_oil_,gamma_wat_,Rsb_,Rp_,Pb_,Tres_,Bob_,muob_)</f>
        <v>35.199473353007171</v>
      </c>
      <c r="J31" s="15">
        <f>[1]!PVT_rho_wat_kgm3(B31,C31,gamma_gas_,gamma_oil_,gamma_wat_,Rsb_,Rp_,Pb_,Tres_,Bob_,muob_)</f>
        <v>1068.1469589671813</v>
      </c>
      <c r="K31" s="15">
        <f>[1]!PVT_rho_oil_kgm3(B31,C31,gamma_gas_,gamma_oil_,gamma_wat_,Rsb_,Rp_,Pb_,Tres_,Bob_,muob_)</f>
        <v>820.25694630869191</v>
      </c>
      <c r="L31" s="22">
        <f>[1]!PVT_bg_m3m3(B31,C31,gamma_gas_,gamma_oil_,gamma_wat_,Rsb_,Rp_,Pb_,Tres_,Bob_,muob_,0,,,,PVT_str_)</f>
        <v>2.7766324518503114E-2</v>
      </c>
      <c r="M31" s="22">
        <f>[1]!PVT_bw_m3m3(B31,C31,gamma_gas_,gamma_oil_,gamma_wat_,Rsb_,Rp_,Pb_,Tres_,Bob_,muob_,0,,,,PVT_str_)</f>
        <v>1.0298208413789975</v>
      </c>
      <c r="N31" s="17">
        <f>[1]!PVT_ST_liqgas_Nm(B31,C31,gamma_gas_,gamma_oil_,gamma_wat_,Rsb_,Rp_,Pb_,Tres_,Bob_,muob_,0,,,,PVT_str_)</f>
        <v>4.0039352970392544E-2</v>
      </c>
      <c r="O31" s="17">
        <f>[1]!PVT_ST_oilgas_Nm(B31,C31,gamma_gas_,gamma_oil_,gamma_wat_,Rsb_,Rp_,Pb_,Tres_,Bob_,muob_,0,,,,PVT_str_)</f>
        <v>4.0039352970392544E-2</v>
      </c>
      <c r="P31" s="22">
        <f>[1]!PVT_ST_watgas_Nm(B31,C31,gamma_gas_,gamma_oil_,gamma_wat_,Rsb_,Rp_,Pb_,Tres_,Bob_,muob_,0,,,,PVT_str_)</f>
        <v>5.8884365535558904E-2</v>
      </c>
      <c r="Q31" s="31">
        <f>[1]!PVT_cp_oil_JkgC(B31,C31,gamma_gas_,gamma_oil_,gamma_wat_,Rsb_,Rp_,Pb_,Tres_,Bob_,muob_,0,,,,PVT_str_)</f>
        <v>2612.2600000000002</v>
      </c>
      <c r="R31" s="31">
        <f>[1]!PVT_cp_gas_JkgC(B31,C31,gamma_gas_,gamma_oil_,gamma_wat_,Rsb_,Rp_,Pb_,Tres_,Bob_,muob_,0,,,,PVT_str_)</f>
        <v>1836.3087540936499</v>
      </c>
      <c r="S31" s="31">
        <f>[1]!PVT_cp_wat_JkgC(B31,C31,gamma_gas_,gamma_oil_,gamma_wat_,Rsb_,Rp_,Pb_,Tres_,Bob_,muob_,0,,,,PVT_str_)</f>
        <v>4176</v>
      </c>
      <c r="T31" s="32">
        <f>[1]!PVT_compressibility_wat_1atm(B31,C31,gamma_gas_,gamma_oil_,gamma_wat_,Rsb_,Rp_,Pb_,Tres_,Bob_,muob_,0,,,,PVT_str_)</f>
        <v>3.7443710085765843E-5</v>
      </c>
      <c r="U31" s="32">
        <f>[1]!PVT_compressibility_oil_1atm(B31,C31,gamma_gas_,gamma_oil_,gamma_wat_,Rsb_,Rp_,Pb_,Tres_,Bob_,muob_,0,,,,PVT_str_)</f>
        <v>4.1083685276417929E-4</v>
      </c>
      <c r="V31" s="32">
        <f>[1]!PVT_compressibility_gas_1atm(B31,C31,gamma_gas_,gamma_oil_,gamma_wat_,Rsb_,Rp_,Pb_,Tres_,Bob_,muob_,0,,,,PVT_str_)</f>
        <v>2.7429628007979268E-2</v>
      </c>
    </row>
    <row r="32" spans="2:22" x14ac:dyDescent="0.25">
      <c r="B32" s="12">
        <v>60</v>
      </c>
      <c r="C32" s="12">
        <v>80</v>
      </c>
      <c r="D32" s="15">
        <f>[1]!PVT_rs_m3m3(B32,C32,gamma_gas_,gamma_oil_,gamma_wat_,Rsb_,Rp_,Pb_,Tres_,Bob_,muob_)</f>
        <v>36.015481654465901</v>
      </c>
      <c r="E32" s="16">
        <f>[1]!PVT_bo_m3m3(B32,C32,gamma_gas_,gamma_oil_,gamma_wat_,Rsb_,Rp_,Pb_,Tres_,Bob_,muob_)</f>
        <v>1.0997383847439617</v>
      </c>
      <c r="F32" s="15">
        <f>[1]!PVT_mu_oil_cP(B32,C32,gamma_gas_,gamma_oil_,gamma_wat_,Rsb_,Rp_,Pb_,Tres_,Bob_,muob_)</f>
        <v>1.5372291487206744</v>
      </c>
      <c r="G32" s="17">
        <f>[1]!PVT_mu_gas_cP(B32,C32,gamma_gas_,gamma_oil_,gamma_wat_,Rsb_,Rp_,Pb_,Pb_,Bob_,muob_)</f>
        <v>1.3731908321690887E-2</v>
      </c>
      <c r="H32" s="16">
        <f>[1]!PVT_mu_wat_cP(B32,C32,gamma_gas_,gamma_oil_,gamma_wat_,Rsb_,Rp_,Pb_,Tres_,Bob_,muob_)</f>
        <v>0.51297666150388777</v>
      </c>
      <c r="I32" s="15">
        <f>[1]!PVT_rho_gas_kgm3(B32,C32,gamma_gas_,gamma_oil_,gamma_wat_,Rsb_,Rp_,Pb_,Tres_,Bob_,muob_)</f>
        <v>55.482279811094976</v>
      </c>
      <c r="J32" s="15">
        <f>[1]!PVT_rho_wat_kgm3(B32,C32,gamma_gas_,gamma_oil_,gamma_wat_,Rsb_,Rp_,Pb_,Tres_,Bob_,muob_)</f>
        <v>1068.4854253338608</v>
      </c>
      <c r="K32" s="15">
        <f>[1]!PVT_rho_oil_kgm3(B32,C32,gamma_gas_,gamma_oil_,gamma_wat_,Rsb_,Rp_,Pb_,Tres_,Bob_,muob_)</f>
        <v>814.01186279246497</v>
      </c>
      <c r="L32" s="22">
        <f>[1]!PVT_bg_m3m3(B32,C32,gamma_gas_,gamma_oil_,gamma_wat_,Rsb_,Rp_,Pb_,Tres_,Bob_,muob_,0,,,,PVT_str_)</f>
        <v>1.7615714482672611E-2</v>
      </c>
      <c r="M32" s="22">
        <f>[1]!PVT_bw_m3m3(B32,C32,gamma_gas_,gamma_oil_,gamma_wat_,Rsb_,Rp_,Pb_,Tres_,Bob_,muob_,0,,,,PVT_str_)</f>
        <v>1.0294946228735804</v>
      </c>
      <c r="N32" s="17">
        <f>[1]!PVT_ST_liqgas_Nm(B32,C32,gamma_gas_,gamma_oil_,gamma_wat_,Rsb_,Rp_,Pb_,Tres_,Bob_,muob_,0,,,,PVT_str_)</f>
        <v>3.106846191361785E-2</v>
      </c>
      <c r="O32" s="17">
        <f>[1]!PVT_ST_oilgas_Nm(B32,C32,gamma_gas_,gamma_oil_,gamma_wat_,Rsb_,Rp_,Pb_,Tres_,Bob_,muob_,0,,,,PVT_str_)</f>
        <v>3.106846191361785E-2</v>
      </c>
      <c r="P32" s="22">
        <f>[1]!PVT_ST_watgas_Nm(B32,C32,gamma_gas_,gamma_oil_,gamma_wat_,Rsb_,Rp_,Pb_,Tres_,Bob_,muob_,0,,,,PVT_str_)</f>
        <v>5.6234132519034911E-2</v>
      </c>
      <c r="Q32" s="31">
        <f>[1]!PVT_cp_oil_JkgC(B32,C32,gamma_gas_,gamma_oil_,gamma_wat_,Rsb_,Rp_,Pb_,Tres_,Bob_,muob_,0,,,,PVT_str_)</f>
        <v>2612.2600000000002</v>
      </c>
      <c r="R32" s="31">
        <f>[1]!PVT_cp_gas_JkgC(B32,C32,gamma_gas_,gamma_oil_,gamma_wat_,Rsb_,Rp_,Pb_,Tres_,Bob_,muob_,0,,,,PVT_str_)</f>
        <v>1747.5066258368006</v>
      </c>
      <c r="S32" s="31">
        <f>[1]!PVT_cp_wat_JkgC(B32,C32,gamma_gas_,gamma_oil_,gamma_wat_,Rsb_,Rp_,Pb_,Tres_,Bob_,muob_,0,,,,PVT_str_)</f>
        <v>4176</v>
      </c>
      <c r="T32" s="32">
        <f>[1]!PVT_compressibility_wat_1atm(B32,C32,gamma_gas_,gamma_oil_,gamma_wat_,Rsb_,Rp_,Pb_,Tres_,Bob_,muob_,0,,,,PVT_str_)</f>
        <v>3.7244948033572365E-5</v>
      </c>
      <c r="U32" s="32">
        <f>[1]!PVT_compressibility_oil_1atm(B32,C32,gamma_gas_,gamma_oil_,gamma_wat_,Rsb_,Rp_,Pb_,Tres_,Bob_,muob_,0,,,,PVT_str_)</f>
        <v>3.3904227319027591E-4</v>
      </c>
      <c r="V32" s="32">
        <f>[1]!PVT_compressibility_gas_1atm(B32,C32,gamma_gas_,gamma_oil_,gamma_wat_,Rsb_,Rp_,Pb_,Tres_,Bob_,muob_,0,,,,PVT_str_)</f>
        <v>1.9136259323388829E-2</v>
      </c>
    </row>
    <row r="33" spans="2:22" x14ac:dyDescent="0.25">
      <c r="B33" s="12">
        <v>80</v>
      </c>
      <c r="C33" s="12">
        <v>80</v>
      </c>
      <c r="D33" s="15">
        <f>[1]!PVT_rs_m3m3(B33,C33,gamma_gas_,gamma_oil_,gamma_wat_,Rsb_,Rp_,Pb_,Tres_,Bob_,muob_)</f>
        <v>50.923174121406689</v>
      </c>
      <c r="E33" s="16">
        <f>[1]!PVT_bo_m3m3(B33,C33,gamma_gas_,gamma_oil_,gamma_wat_,Rsb_,Rp_,Pb_,Tres_,Bob_,muob_)</f>
        <v>1.1273711111681852</v>
      </c>
      <c r="F33" s="15">
        <f>[1]!PVT_mu_oil_cP(B33,C33,gamma_gas_,gamma_oil_,gamma_wat_,Rsb_,Rp_,Pb_,Tres_,Bob_,muob_)</f>
        <v>1.2869904011598827</v>
      </c>
      <c r="G33" s="17">
        <f>[1]!PVT_mu_gas_cP(B33,C33,gamma_gas_,gamma_oil_,gamma_wat_,Rsb_,Rp_,Pb_,Pb_,Bob_,muob_)</f>
        <v>1.4696072111725578E-2</v>
      </c>
      <c r="H33" s="16">
        <f>[1]!PVT_mu_wat_cP(B33,C33,gamma_gas_,gamma_oil_,gamma_wat_,Rsb_,Rp_,Pb_,Tres_,Bob_,muob_)</f>
        <v>0.51976235201568766</v>
      </c>
      <c r="I33" s="15">
        <f>[1]!PVT_rho_gas_kgm3(B33,C33,gamma_gas_,gamma_oil_,gamma_wat_,Rsb_,Rp_,Pb_,Tres_,Bob_,muob_)</f>
        <v>77.522405843046656</v>
      </c>
      <c r="J33" s="15">
        <f>[1]!PVT_rho_wat_kgm3(B33,C33,gamma_gas_,gamma_oil_,gamma_wat_,Rsb_,Rp_,Pb_,Tres_,Bob_,muob_)</f>
        <v>1068.8713749105848</v>
      </c>
      <c r="K33" s="15">
        <f>[1]!PVT_rho_oil_kgm3(B33,C33,gamma_gas_,gamma_oil_,gamma_wat_,Rsb_,Rp_,Pb_,Tres_,Bob_,muob_)</f>
        <v>806.98384449162563</v>
      </c>
      <c r="L33" s="22">
        <f>[1]!PVT_bg_m3m3(B33,C33,gamma_gas_,gamma_oil_,gamma_wat_,Rsb_,Rp_,Pb_,Tres_,Bob_,muob_,0,,,,PVT_str_)</f>
        <v>1.2607451863384913E-2</v>
      </c>
      <c r="M33" s="22">
        <f>[1]!PVT_bw_m3m3(B33,C33,gamma_gas_,gamma_oil_,gamma_wat_,Rsb_,Rp_,Pb_,Tres_,Bob_,muob_,0,,,,PVT_str_)</f>
        <v>1.0291228915097659</v>
      </c>
      <c r="N33" s="17">
        <f>[1]!PVT_ST_liqgas_Nm(B33,C33,gamma_gas_,gamma_oil_,gamma_wat_,Rsb_,Rp_,Pb_,Tres_,Bob_,muob_,0,,,,PVT_str_)</f>
        <v>2.4107515583273419E-2</v>
      </c>
      <c r="O33" s="17">
        <f>[1]!PVT_ST_oilgas_Nm(B33,C33,gamma_gas_,gamma_oil_,gamma_wat_,Rsb_,Rp_,Pb_,Tres_,Bob_,muob_,0,,,,PVT_str_)</f>
        <v>2.4107515583273419E-2</v>
      </c>
      <c r="P33" s="22">
        <f>[1]!PVT_ST_watgas_Nm(B33,C33,gamma_gas_,gamma_oil_,gamma_wat_,Rsb_,Rp_,Pb_,Tres_,Bob_,muob_,0,,,,PVT_str_)</f>
        <v>5.3703179637025276E-2</v>
      </c>
      <c r="Q33" s="31">
        <f>[1]!PVT_cp_oil_JkgC(B33,C33,gamma_gas_,gamma_oil_,gamma_wat_,Rsb_,Rp_,Pb_,Tres_,Bob_,muob_,0,,,,PVT_str_)</f>
        <v>2612.2600000000002</v>
      </c>
      <c r="R33" s="31">
        <f>[1]!PVT_cp_gas_JkgC(B33,C33,gamma_gas_,gamma_oil_,gamma_wat_,Rsb_,Rp_,Pb_,Tres_,Bob_,muob_,0,,,,PVT_str_)</f>
        <v>1667.5721129831479</v>
      </c>
      <c r="S33" s="31">
        <f>[1]!PVT_cp_wat_JkgC(B33,C33,gamma_gas_,gamma_oil_,gamma_wat_,Rsb_,Rp_,Pb_,Tres_,Bob_,muob_,0,,,,PVT_str_)</f>
        <v>4176</v>
      </c>
      <c r="T33" s="32">
        <f>[1]!PVT_compressibility_wat_1atm(B33,C33,gamma_gas_,gamma_oil_,gamma_wat_,Rsb_,Rp_,Pb_,Tres_,Bob_,muob_,0,,,,PVT_str_)</f>
        <v>3.7048285012135808E-5</v>
      </c>
      <c r="U33" s="32">
        <f>[1]!PVT_compressibility_oil_1atm(B33,C33,gamma_gas_,gamma_oil_,gamma_wat_,Rsb_,Rp_,Pb_,Tres_,Bob_,muob_,0,,,,PVT_str_)</f>
        <v>3.0664497468283641E-4</v>
      </c>
      <c r="V33" s="32">
        <f>[1]!PVT_compressibility_gas_1atm(B33,C33,gamma_gas_,gamma_oil_,gamma_wat_,Rsb_,Rp_,Pb_,Tres_,Bob_,muob_,0,,,,PVT_str_)</f>
        <v>1.4653230597110326E-2</v>
      </c>
    </row>
    <row r="34" spans="2:22" x14ac:dyDescent="0.25">
      <c r="B34" s="12">
        <v>100</v>
      </c>
      <c r="C34" s="12">
        <v>80</v>
      </c>
      <c r="D34" s="15">
        <f>[1]!PVT_rs_m3m3(B34,C34,gamma_gas_,gamma_oil_,gamma_wat_,Rsb_,Rp_,Pb_,Tres_,Bob_,muob_)</f>
        <v>66.618541718747579</v>
      </c>
      <c r="E34" s="16">
        <f>[1]!PVT_bo_m3m3(B34,C34,gamma_gas_,gamma_oil_,gamma_wat_,Rsb_,Rp_,Pb_,Tres_,Bob_,muob_)</f>
        <v>1.1573300691436867</v>
      </c>
      <c r="F34" s="15">
        <f>[1]!PVT_mu_oil_cP(B34,C34,gamma_gas_,gamma_oil_,gamma_wat_,Rsb_,Rp_,Pb_,Tres_,Bob_,muob_)</f>
        <v>1.1102531805626688</v>
      </c>
      <c r="G34" s="17">
        <f>[1]!PVT_mu_gas_cP(B34,C34,gamma_gas_,gamma_oil_,gamma_wat_,Rsb_,Rp_,Pb_,Pb_,Bob_,muob_)</f>
        <v>1.5875949307699977E-2</v>
      </c>
      <c r="H34" s="16">
        <f>[1]!PVT_mu_wat_cP(B34,C34,gamma_gas_,gamma_oil_,gamma_wat_,Rsb_,Rp_,Pb_,Tres_,Bob_,muob_)</f>
        <v>0.52681344327743551</v>
      </c>
      <c r="I34" s="15">
        <f>[1]!PVT_rho_gas_kgm3(B34,C34,gamma_gas_,gamma_oil_,gamma_wat_,Rsb_,Rp_,Pb_,Tres_,Bob_,muob_)</f>
        <v>100.60690514626715</v>
      </c>
      <c r="J34" s="15">
        <f>[1]!PVT_rho_wat_kgm3(B34,C34,gamma_gas_,gamma_oil_,gamma_wat_,Rsb_,Rp_,Pb_,Tres_,Bob_,muob_)</f>
        <v>1069.30491039923</v>
      </c>
      <c r="K34" s="15">
        <f>[1]!PVT_rho_oil_kgm3(B34,C34,gamma_gas_,gamma_oil_,gamma_wat_,Rsb_,Rp_,Pb_,Tres_,Bob_,muob_)</f>
        <v>799.34871010370273</v>
      </c>
      <c r="L34" s="22">
        <f>[1]!PVT_bg_m3m3(B34,C34,gamma_gas_,gamma_oil_,gamma_wat_,Rsb_,Rp_,Pb_,Tres_,Bob_,muob_,0,,,,PVT_str_)</f>
        <v>9.7146413417554898E-3</v>
      </c>
      <c r="M34" s="22">
        <f>[1]!PVT_bw_m3m3(B34,C34,gamma_gas_,gamma_oil_,gamma_wat_,Rsb_,Rp_,Pb_,Tres_,Bob_,muob_,0,,,,PVT_str_)</f>
        <v>1.0287056472875542</v>
      </c>
      <c r="N34" s="17">
        <f>[1]!PVT_ST_liqgas_Nm(B34,C34,gamma_gas_,gamma_oil_,gamma_wat_,Rsb_,Rp_,Pb_,Tres_,Bob_,muob_,0,,,,PVT_str_)</f>
        <v>1.8706182147466801E-2</v>
      </c>
      <c r="O34" s="17">
        <f>[1]!PVT_ST_oilgas_Nm(B34,C34,gamma_gas_,gamma_oil_,gamma_wat_,Rsb_,Rp_,Pb_,Tres_,Bob_,muob_,0,,,,PVT_str_)</f>
        <v>1.8706182147466801E-2</v>
      </c>
      <c r="P34" s="22">
        <f>[1]!PVT_ST_watgas_Nm(B34,C34,gamma_gas_,gamma_oil_,gamma_wat_,Rsb_,Rp_,Pb_,Tres_,Bob_,muob_,0,,,,PVT_str_)</f>
        <v>5.1286138399136483E-2</v>
      </c>
      <c r="Q34" s="31">
        <f>[1]!PVT_cp_oil_JkgC(B34,C34,gamma_gas_,gamma_oil_,gamma_wat_,Rsb_,Rp_,Pb_,Tres_,Bob_,muob_,0,,,,PVT_str_)</f>
        <v>2612.2600000000002</v>
      </c>
      <c r="R34" s="31">
        <f>[1]!PVT_cp_gas_JkgC(B34,C34,gamma_gas_,gamma_oil_,gamma_wat_,Rsb_,Rp_,Pb_,Tres_,Bob_,muob_,0,,,,PVT_str_)</f>
        <v>1606.179540152853</v>
      </c>
      <c r="S34" s="31">
        <f>[1]!PVT_cp_wat_JkgC(B34,C34,gamma_gas_,gamma_oil_,gamma_wat_,Rsb_,Rp_,Pb_,Tres_,Bob_,muob_,0,,,,PVT_str_)</f>
        <v>4176</v>
      </c>
      <c r="T34" s="32">
        <f>[1]!PVT_compressibility_wat_1atm(B34,C34,gamma_gas_,gamma_oil_,gamma_wat_,Rsb_,Rp_,Pb_,Tres_,Bob_,muob_,0,,,,PVT_str_)</f>
        <v>3.6853687945817684E-5</v>
      </c>
      <c r="U34" s="32">
        <f>[1]!PVT_compressibility_oil_1atm(B34,C34,gamma_gas_,gamma_oil_,gamma_wat_,Rsb_,Rp_,Pb_,Tres_,Bob_,muob_,0,,,,PVT_str_)</f>
        <v>2.8941996269479705E-4</v>
      </c>
      <c r="V34" s="32">
        <f>[1]!PVT_compressibility_gas_1atm(B34,C34,gamma_gas_,gamma_oil_,gamma_wat_,Rsb_,Rp_,Pb_,Tres_,Bob_,muob_,0,,,,PVT_str_)</f>
        <v>1.1562048317054832E-2</v>
      </c>
    </row>
    <row r="35" spans="2:22" x14ac:dyDescent="0.25">
      <c r="B35" s="12">
        <v>120</v>
      </c>
      <c r="C35" s="12">
        <v>80</v>
      </c>
      <c r="D35" s="15">
        <f>[1]!PVT_rs_m3m3(B35,C35,gamma_gas_,gamma_oil_,gamma_wat_,Rsb_,Rp_,Pb_,Tres_,Bob_,muob_)</f>
        <v>80</v>
      </c>
      <c r="E35" s="16">
        <f>[1]!PVT_bo_m3m3(B35,C35,gamma_gas_,gamma_oil_,gamma_wat_,Rsb_,Rp_,Pb_,Tres_,Bob_,muob_)</f>
        <v>1.1821593386178273</v>
      </c>
      <c r="F35" s="15">
        <f>[1]!PVT_mu_oil_cP(B35,C35,gamma_gas_,gamma_oil_,gamma_wat_,Rsb_,Rp_,Pb_,Tres_,Bob_,muob_)</f>
        <v>1.00635461283531</v>
      </c>
      <c r="G35" s="17">
        <f>[1]!PVT_mu_gas_cP(B35,C35,gamma_gas_,gamma_oil_,gamma_wat_,Rsb_,Rp_,Pb_,Pb_,Bob_,muob_)</f>
        <v>1.7240992045821735E-2</v>
      </c>
      <c r="H35" s="16">
        <f>[1]!PVT_mu_wat_cP(B35,C35,gamma_gas_,gamma_oil_,gamma_wat_,Rsb_,Rp_,Pb_,Tres_,Bob_,muob_)</f>
        <v>0.53412993528913122</v>
      </c>
      <c r="I35" s="15">
        <f>[1]!PVT_rho_gas_kgm3(B35,C35,gamma_gas_,gamma_oil_,gamma_wat_,Rsb_,Rp_,Pb_,Tres_,Bob_,muob_)</f>
        <v>123.70202752423371</v>
      </c>
      <c r="J35" s="15">
        <f>[1]!PVT_rho_wat_kgm3(B35,C35,gamma_gas_,gamma_oil_,gamma_wat_,Rsb_,Rp_,Pb_,Tres_,Bob_,muob_)</f>
        <v>1069.7861472969807</v>
      </c>
      <c r="K35" s="15">
        <f>[1]!PVT_rho_oil_kgm3(B35,C35,gamma_gas_,gamma_oil_,gamma_wat_,Rsb_,Rp_,Pb_,Tres_,Bob_,muob_)</f>
        <v>793.62296549374128</v>
      </c>
      <c r="L35" s="22">
        <f>[1]!PVT_bg_m3m3(B35,C35,gamma_gas_,gamma_oil_,gamma_wat_,Rsb_,Rp_,Pb_,Tres_,Bob_,muob_,0,,,,PVT_str_)</f>
        <v>7.9009214283778124E-3</v>
      </c>
      <c r="M35" s="22">
        <f>[1]!PVT_bw_m3m3(B35,C35,gamma_gas_,gamma_oil_,gamma_wat_,Rsb_,Rp_,Pb_,Tres_,Bob_,muob_,0,,,,PVT_str_)</f>
        <v>1.0282428902069449</v>
      </c>
      <c r="N35" s="17">
        <f>[1]!PVT_ST_liqgas_Nm(B35,C35,gamma_gas_,gamma_oil_,gamma_wat_,Rsb_,Rp_,Pb_,Tres_,Bob_,muob_,0,,,,PVT_str_)</f>
        <v>1.4515027453803352E-2</v>
      </c>
      <c r="O35" s="17">
        <f>[1]!PVT_ST_oilgas_Nm(B35,C35,gamma_gas_,gamma_oil_,gamma_wat_,Rsb_,Rp_,Pb_,Tres_,Bob_,muob_,0,,,,PVT_str_)</f>
        <v>1.4515027453803352E-2</v>
      </c>
      <c r="P35" s="22">
        <f>[1]!PVT_ST_watgas_Nm(B35,C35,gamma_gas_,gamma_oil_,gamma_wat_,Rsb_,Rp_,Pb_,Tres_,Bob_,muob_,0,,,,PVT_str_)</f>
        <v>4.8977881936844617E-2</v>
      </c>
      <c r="Q35" s="31">
        <f>[1]!PVT_cp_oil_JkgC(B35,C35,gamma_gas_,gamma_oil_,gamma_wat_,Rsb_,Rp_,Pb_,Tres_,Bob_,muob_,0,,,,PVT_str_)</f>
        <v>2612.2600000000002</v>
      </c>
      <c r="R35" s="31">
        <f>[1]!PVT_cp_gas_JkgC(B35,C35,gamma_gas_,gamma_oil_,gamma_wat_,Rsb_,Rp_,Pb_,Tres_,Bob_,muob_,0,,,,PVT_str_)</f>
        <v>1567.5677032444087</v>
      </c>
      <c r="S35" s="31">
        <f>[1]!PVT_cp_wat_JkgC(B35,C35,gamma_gas_,gamma_oil_,gamma_wat_,Rsb_,Rp_,Pb_,Tres_,Bob_,muob_,0,,,,PVT_str_)</f>
        <v>4176</v>
      </c>
      <c r="T35" s="32">
        <f>[1]!PVT_compressibility_wat_1atm(B35,C35,gamma_gas_,gamma_oil_,gamma_wat_,Rsb_,Rp_,Pb_,Tres_,Bob_,muob_,0,,,,PVT_str_)</f>
        <v>3.6661124450271005E-5</v>
      </c>
      <c r="U35" s="32">
        <f>[1]!PVT_compressibility_oil_1atm(B35,C35,gamma_gas_,gamma_oil_,gamma_wat_,Rsb_,Rp_,Pb_,Tres_,Bob_,muob_,0,,,,PVT_str_)</f>
        <v>2.7251821705426364E-4</v>
      </c>
      <c r="V35" s="32">
        <f>[1]!PVT_compressibility_gas_1atm(B35,C35,gamma_gas_,gamma_oil_,gamma_wat_,Rsb_,Rp_,Pb_,Tres_,Bob_,muob_,0,,,,PVT_str_)</f>
        <v>9.1970661574283172E-3</v>
      </c>
    </row>
    <row r="36" spans="2:22" x14ac:dyDescent="0.25">
      <c r="B36" s="12">
        <v>140</v>
      </c>
      <c r="C36" s="12">
        <v>80</v>
      </c>
      <c r="D36" s="15">
        <f>[1]!PVT_rs_m3m3(B36,C36,gamma_gas_,gamma_oil_,gamma_wat_,Rsb_,Rp_,Pb_,Tres_,Bob_,muob_)</f>
        <v>80</v>
      </c>
      <c r="E36" s="16">
        <f>[1]!PVT_bo_m3m3(B36,C36,gamma_gas_,gamma_oil_,gamma_wat_,Rsb_,Rp_,Pb_,Tres_,Bob_,muob_)</f>
        <v>1.1768389371656669</v>
      </c>
      <c r="F36" s="15">
        <f>[1]!PVT_mu_oil_cP(B36,C36,gamma_gas_,gamma_oil_,gamma_wat_,Rsb_,Rp_,Pb_,Tres_,Bob_,muob_)</f>
        <v>1.0406297936198428</v>
      </c>
      <c r="G36" s="17">
        <f>[1]!PVT_mu_gas_cP(B36,C36,gamma_gas_,gamma_oil_,gamma_wat_,Rsb_,Rp_,Pb_,Pb_,Bob_,muob_)</f>
        <v>1.8739305276369276E-2</v>
      </c>
      <c r="H36" s="16">
        <f>[1]!PVT_mu_wat_cP(B36,C36,gamma_gas_,gamma_oil_,gamma_wat_,Rsb_,Rp_,Pb_,Tres_,Bob_,muob_)</f>
        <v>0.54171182805077478</v>
      </c>
      <c r="I36" s="15">
        <f>[1]!PVT_rho_gas_kgm3(B36,C36,gamma_gas_,gamma_oil_,gamma_wat_,Rsb_,Rp_,Pb_,Tres_,Bob_,muob_)</f>
        <v>145.85007050714091</v>
      </c>
      <c r="J36" s="15">
        <f>[1]!PVT_rho_wat_kgm3(B36,C36,gamma_gas_,gamma_oil_,gamma_wat_,Rsb_,Rp_,Pb_,Tres_,Bob_,muob_)</f>
        <v>1070.3152139734489</v>
      </c>
      <c r="K36" s="15">
        <f>[1]!PVT_rho_oil_kgm3(B36,C36,gamma_gas_,gamma_oil_,gamma_wat_,Rsb_,Rp_,Pb_,Tres_,Bob_,muob_)</f>
        <v>797.21087599256464</v>
      </c>
      <c r="L36" s="22">
        <f>[1]!PVT_bg_m3m3(B36,C36,gamma_gas_,gamma_oil_,gamma_wat_,Rsb_,Rp_,Pb_,Tres_,Bob_,muob_,0,,,,PVT_str_)</f>
        <v>6.7011280598054139E-3</v>
      </c>
      <c r="M36" s="22">
        <f>[1]!PVT_bw_m3m3(B36,C36,gamma_gas_,gamma_oil_,gamma_wat_,Rsb_,Rp_,Pb_,Tres_,Bob_,muob_,0,,,,PVT_str_)</f>
        <v>1.0277346202679387</v>
      </c>
      <c r="N36" s="17">
        <f>[1]!PVT_ST_liqgas_Nm(B36,C36,gamma_gas_,gamma_oil_,gamma_wat_,Rsb_,Rp_,Pb_,Tres_,Bob_,muob_,0,,,,PVT_str_)</f>
        <v>1.1262908717757576E-2</v>
      </c>
      <c r="O36" s="17">
        <f>[1]!PVT_ST_oilgas_Nm(B36,C36,gamma_gas_,gamma_oil_,gamma_wat_,Rsb_,Rp_,Pb_,Tres_,Bob_,muob_,0,,,,PVT_str_)</f>
        <v>1.1262908717757576E-2</v>
      </c>
      <c r="P36" s="22">
        <f>[1]!PVT_ST_watgas_Nm(B36,C36,gamma_gas_,gamma_oil_,gamma_wat_,Rsb_,Rp_,Pb_,Tres_,Bob_,muob_,0,,,,PVT_str_)</f>
        <v>4.6773514128719842E-2</v>
      </c>
      <c r="Q36" s="31">
        <f>[1]!PVT_cp_oil_JkgC(B36,C36,gamma_gas_,gamma_oil_,gamma_wat_,Rsb_,Rp_,Pb_,Tres_,Bob_,muob_,0,,,,PVT_str_)</f>
        <v>2612.2600000000002</v>
      </c>
      <c r="R36" s="31">
        <f>[1]!PVT_cp_gas_JkgC(B36,C36,gamma_gas_,gamma_oil_,gamma_wat_,Rsb_,Rp_,Pb_,Tres_,Bob_,muob_,0,,,,PVT_str_)</f>
        <v>1551.1124054655147</v>
      </c>
      <c r="S36" s="31">
        <f>[1]!PVT_cp_wat_JkgC(B36,C36,gamma_gas_,gamma_oil_,gamma_wat_,Rsb_,Rp_,Pb_,Tres_,Bob_,muob_,0,,,,PVT_str_)</f>
        <v>4176</v>
      </c>
      <c r="T36" s="32">
        <f>[1]!PVT_compressibility_wat_1atm(B36,C36,gamma_gas_,gamma_oil_,gamma_wat_,Rsb_,Rp_,Pb_,Tres_,Bob_,muob_,0,,,,PVT_str_)</f>
        <v>3.6470562814473928E-5</v>
      </c>
      <c r="U36" s="32">
        <f>[1]!PVT_compressibility_oil_1atm(B36,C36,gamma_gas_,gamma_oil_,gamma_wat_,Rsb_,Rp_,Pb_,Tres_,Bob_,muob_,0,,,,PVT_str_)</f>
        <v>2.3358704318936885E-4</v>
      </c>
      <c r="V36" s="32">
        <f>[1]!PVT_compressibility_gas_1atm(B36,C36,gamma_gas_,gamma_oil_,gamma_wat_,Rsb_,Rp_,Pb_,Tres_,Bob_,muob_,0,,,,PVT_str_)</f>
        <v>7.345978534985257E-3</v>
      </c>
    </row>
    <row r="37" spans="2:22" x14ac:dyDescent="0.25">
      <c r="B37" s="12">
        <v>160</v>
      </c>
      <c r="C37" s="12">
        <v>80</v>
      </c>
      <c r="D37" s="15">
        <f>[1]!PVT_rs_m3m3(B37,C37,gamma_gas_,gamma_oil_,gamma_wat_,Rsb_,Rp_,Pb_,Tres_,Bob_,muob_)</f>
        <v>80</v>
      </c>
      <c r="E37" s="16">
        <f>[1]!PVT_bo_m3m3(B37,C37,gamma_gas_,gamma_oil_,gamma_wat_,Rsb_,Rp_,Pb_,Tres_,Bob_,muob_)</f>
        <v>1.1728643558102987</v>
      </c>
      <c r="F37" s="15">
        <f>[1]!PVT_mu_oil_cP(B37,C37,gamma_gas_,gamma_oil_,gamma_wat_,Rsb_,Rp_,Pb_,Tres_,Bob_,muob_)</f>
        <v>1.0803070298920419</v>
      </c>
      <c r="G37" s="17">
        <f>[1]!PVT_mu_gas_cP(B37,C37,gamma_gas_,gamma_oil_,gamma_wat_,Rsb_,Rp_,Pb_,Pb_,Bob_,muob_)</f>
        <v>2.0314190014666292E-2</v>
      </c>
      <c r="H37" s="16">
        <f>[1]!PVT_mu_wat_cP(B37,C37,gamma_gas_,gamma_oil_,gamma_wat_,Rsb_,Rp_,Pb_,Tres_,Bob_,muob_)</f>
        <v>0.5495591215623663</v>
      </c>
      <c r="I37" s="15">
        <f>[1]!PVT_rho_gas_kgm3(B37,C37,gamma_gas_,gamma_oil_,gamma_wat_,Rsb_,Rp_,Pb_,Tres_,Bob_,muob_)</f>
        <v>166.42130201910436</v>
      </c>
      <c r="J37" s="15">
        <f>[1]!PVT_rho_wat_kgm3(B37,C37,gamma_gas_,gamma_oil_,gamma_wat_,Rsb_,Rp_,Pb_,Tres_,Bob_,muob_)</f>
        <v>1070.8922517565502</v>
      </c>
      <c r="K37" s="15">
        <f>[1]!PVT_rho_oil_kgm3(B37,C37,gamma_gas_,gamma_oil_,gamma_wat_,Rsb_,Rp_,Pb_,Tres_,Bob_,muob_)</f>
        <v>799.91244968121828</v>
      </c>
      <c r="L37" s="22">
        <f>[1]!PVT_bg_m3m3(B37,C37,gamma_gas_,gamma_oil_,gamma_wat_,Rsb_,Rp_,Pb_,Tres_,Bob_,muob_,0,,,,PVT_str_)</f>
        <v>5.872805873660355E-3</v>
      </c>
      <c r="M37" s="22">
        <f>[1]!PVT_bw_m3m3(B37,C37,gamma_gas_,gamma_oil_,gamma_wat_,Rsb_,Rp_,Pb_,Tres_,Bob_,muob_,0,,,,PVT_str_)</f>
        <v>1.0271808374705349</v>
      </c>
      <c r="N37" s="17">
        <f>[1]!PVT_ST_liqgas_Nm(B37,C37,gamma_gas_,gamma_oil_,gamma_wat_,Rsb_,Rp_,Pb_,Tres_,Bob_,muob_,0,,,,PVT_str_)</f>
        <v>8.7394331969589574E-3</v>
      </c>
      <c r="O37" s="17">
        <f>[1]!PVT_ST_oilgas_Nm(B37,C37,gamma_gas_,gamma_oil_,gamma_wat_,Rsb_,Rp_,Pb_,Tres_,Bob_,muob_,0,,,,PVT_str_)</f>
        <v>8.7394331969589574E-3</v>
      </c>
      <c r="P37" s="22">
        <f>[1]!PVT_ST_watgas_Nm(B37,C37,gamma_gas_,gamma_oil_,gamma_wat_,Rsb_,Rp_,Pb_,Tres_,Bob_,muob_,0,,,,PVT_str_)</f>
        <v>4.4668359215096334E-2</v>
      </c>
      <c r="Q37" s="31">
        <f>[1]!PVT_cp_oil_JkgC(B37,C37,gamma_gas_,gamma_oil_,gamma_wat_,Rsb_,Rp_,Pb_,Tres_,Bob_,muob_,0,,,,PVT_str_)</f>
        <v>2612.2600000000002</v>
      </c>
      <c r="R37" s="31">
        <f>[1]!PVT_cp_gas_JkgC(B37,C37,gamma_gas_,gamma_oil_,gamma_wat_,Rsb_,Rp_,Pb_,Tres_,Bob_,muob_,0,,,,PVT_str_)</f>
        <v>1553.5775834801052</v>
      </c>
      <c r="S37" s="31">
        <f>[1]!PVT_cp_wat_JkgC(B37,C37,gamma_gas_,gamma_oil_,gamma_wat_,Rsb_,Rp_,Pb_,Tres_,Bob_,muob_,0,,,,PVT_str_)</f>
        <v>4176</v>
      </c>
      <c r="T37" s="32">
        <f>[1]!PVT_compressibility_wat_1atm(B37,C37,gamma_gas_,gamma_oil_,gamma_wat_,Rsb_,Rp_,Pb_,Tres_,Bob_,muob_,0,,,,PVT_str_)</f>
        <v>3.6281971983320796E-5</v>
      </c>
      <c r="U37" s="32">
        <f>[1]!PVT_compressibility_oil_1atm(B37,C37,gamma_gas_,gamma_oil_,gamma_wat_,Rsb_,Rp_,Pb_,Tres_,Bob_,muob_,0,,,,PVT_str_)</f>
        <v>2.0438866279069771E-4</v>
      </c>
      <c r="V37" s="32">
        <f>[1]!PVT_compressibility_gas_1atm(B37,C37,gamma_gas_,gamma_oil_,gamma_wat_,Rsb_,Rp_,Pb_,Tres_,Bob_,muob_,0,,,,PVT_str_)</f>
        <v>5.9075245508171748E-3</v>
      </c>
    </row>
    <row r="38" spans="2:22" x14ac:dyDescent="0.25">
      <c r="B38" s="12">
        <v>180</v>
      </c>
      <c r="C38" s="12">
        <v>80</v>
      </c>
      <c r="D38" s="15">
        <f>[1]!PVT_rs_m3m3(B38,C38,gamma_gas_,gamma_oil_,gamma_wat_,Rsb_,Rp_,Pb_,Tres_,Bob_,muob_)</f>
        <v>80</v>
      </c>
      <c r="E38" s="16">
        <f>[1]!PVT_bo_m3m3(B38,C38,gamma_gas_,gamma_oil_,gamma_wat_,Rsb_,Rp_,Pb_,Tres_,Bob_,muob_)</f>
        <v>1.1697822975243775</v>
      </c>
      <c r="F38" s="15">
        <f>[1]!PVT_mu_oil_cP(B38,C38,gamma_gas_,gamma_oil_,gamma_wat_,Rsb_,Rp_,Pb_,Tres_,Bob_,muob_)</f>
        <v>1.1248740033445341</v>
      </c>
      <c r="G38" s="17">
        <f>[1]!PVT_mu_gas_cP(B38,C38,gamma_gas_,gamma_oil_,gamma_wat_,Rsb_,Rp_,Pb_,Pb_,Bob_,muob_)</f>
        <v>2.1917374342552566E-2</v>
      </c>
      <c r="H38" s="16">
        <f>[1]!PVT_mu_wat_cP(B38,C38,gamma_gas_,gamma_oil_,gamma_wat_,Rsb_,Rp_,Pb_,Tres_,Bob_,muob_)</f>
        <v>0.55767181582390579</v>
      </c>
      <c r="I38" s="15">
        <f>[1]!PVT_rho_gas_kgm3(B38,C38,gamma_gas_,gamma_oil_,gamma_wat_,Rsb_,Rp_,Pb_,Tres_,Bob_,muob_)</f>
        <v>185.14561059406719</v>
      </c>
      <c r="J38" s="15">
        <f>[1]!PVT_rho_wat_kgm3(B38,C38,gamma_gas_,gamma_oil_,gamma_wat_,Rsb_,Rp_,Pb_,Tres_,Bob_,muob_)</f>
        <v>1071.517415027238</v>
      </c>
      <c r="K38" s="15">
        <f>[1]!PVT_rho_oil_kgm3(B38,C38,gamma_gas_,gamma_oil_,gamma_wat_,Rsb_,Rp_,Pb_,Tres_,Bob_,muob_)</f>
        <v>802.0200014870278</v>
      </c>
      <c r="L38" s="22">
        <f>[1]!PVT_bg_m3m3(B38,C38,gamma_gas_,gamma_oil_,gamma_wat_,Rsb_,Rp_,Pb_,Tres_,Bob_,muob_,0,,,,PVT_str_)</f>
        <v>5.2788721097086523E-3</v>
      </c>
      <c r="M38" s="22">
        <f>[1]!PVT_bw_m3m3(B38,C38,gamma_gas_,gamma_oil_,gamma_wat_,Rsb_,Rp_,Pb_,Tres_,Bob_,muob_,0,,,,PVT_str_)</f>
        <v>1.0265815418147339</v>
      </c>
      <c r="N38" s="17">
        <f>[1]!PVT_ST_liqgas_Nm(B38,C38,gamma_gas_,gamma_oil_,gamma_wat_,Rsb_,Rp_,Pb_,Tres_,Bob_,muob_,0,,,,PVT_str_)</f>
        <v>6.7813470319339365E-3</v>
      </c>
      <c r="O38" s="17">
        <f>[1]!PVT_ST_oilgas_Nm(B38,C38,gamma_gas_,gamma_oil_,gamma_wat_,Rsb_,Rp_,Pb_,Tres_,Bob_,muob_,0,,,,PVT_str_)</f>
        <v>6.7813470319339365E-3</v>
      </c>
      <c r="P38" s="22">
        <f>[1]!PVT_ST_watgas_Nm(B38,C38,gamma_gas_,gamma_oil_,gamma_wat_,Rsb_,Rp_,Pb_,Tres_,Bob_,muob_,0,,,,PVT_str_)</f>
        <v>4.2657951880159285E-2</v>
      </c>
      <c r="Q38" s="31">
        <f>[1]!PVT_cp_oil_JkgC(B38,C38,gamma_gas_,gamma_oil_,gamma_wat_,Rsb_,Rp_,Pb_,Tres_,Bob_,muob_,0,,,,PVT_str_)</f>
        <v>2612.2600000000002</v>
      </c>
      <c r="R38" s="31">
        <f>[1]!PVT_cp_gas_JkgC(B38,C38,gamma_gas_,gamma_oil_,gamma_wat_,Rsb_,Rp_,Pb_,Tres_,Bob_,muob_,0,,,,PVT_str_)</f>
        <v>1571.0172864804608</v>
      </c>
      <c r="S38" s="31">
        <f>[1]!PVT_cp_wat_JkgC(B38,C38,gamma_gas_,gamma_oil_,gamma_wat_,Rsb_,Rp_,Pb_,Tres_,Bob_,muob_,0,,,,PVT_str_)</f>
        <v>4176</v>
      </c>
      <c r="T38" s="32">
        <f>[1]!PVT_compressibility_wat_1atm(B38,C38,gamma_gas_,gamma_oil_,gamma_wat_,Rsb_,Rp_,Pb_,Tres_,Bob_,muob_,0,,,,PVT_str_)</f>
        <v>3.6095321540750486E-5</v>
      </c>
      <c r="U38" s="32">
        <f>[1]!PVT_compressibility_oil_1atm(B38,C38,gamma_gas_,gamma_oil_,gamma_wat_,Rsb_,Rp_,Pb_,Tres_,Bob_,muob_,0,,,,PVT_str_)</f>
        <v>1.816788113695091E-4</v>
      </c>
      <c r="V38" s="32">
        <f>[1]!PVT_compressibility_gas_1atm(B38,C38,gamma_gas_,gamma_oil_,gamma_wat_,Rsb_,Rp_,Pb_,Tres_,Bob_,muob_,0,,,,PVT_str_)</f>
        <v>4.8014943984046364E-3</v>
      </c>
    </row>
    <row r="39" spans="2:22" x14ac:dyDescent="0.25">
      <c r="B39" s="12">
        <v>200</v>
      </c>
      <c r="C39" s="12">
        <v>80</v>
      </c>
      <c r="D39" s="15">
        <f>[1]!PVT_rs_m3m3(B39,C39,gamma_gas_,gamma_oil_,gamma_wat_,Rsb_,Rp_,Pb_,Tres_,Bob_,muob_)</f>
        <v>80</v>
      </c>
      <c r="E39" s="16">
        <f>[1]!PVT_bo_m3m3(B39,C39,gamma_gas_,gamma_oil_,gamma_wat_,Rsb_,Rp_,Pb_,Tres_,Bob_,muob_)</f>
        <v>1.1673224832316946</v>
      </c>
      <c r="F39" s="15">
        <f>[1]!PVT_mu_oil_cP(B39,C39,gamma_gas_,gamma_oil_,gamma_wat_,Rsb_,Rp_,Pb_,Tres_,Bob_,muob_)</f>
        <v>1.1739269046238161</v>
      </c>
      <c r="G39" s="17">
        <f>[1]!PVT_mu_gas_cP(B39,C39,gamma_gas_,gamma_oil_,gamma_wat_,Rsb_,Rp_,Pb_,Pb_,Bob_,muob_)</f>
        <v>2.3514396112959614E-2</v>
      </c>
      <c r="H39" s="16">
        <f>[1]!PVT_mu_wat_cP(B39,C39,gamma_gas_,gamma_oil_,gamma_wat_,Rsb_,Rp_,Pb_,Tres_,Bob_,muob_)</f>
        <v>0.56604991083539313</v>
      </c>
      <c r="I39" s="15">
        <f>[1]!PVT_rho_gas_kgm3(B39,C39,gamma_gas_,gamma_oil_,gamma_wat_,Rsb_,Rp_,Pb_,Tres_,Bob_,muob_)</f>
        <v>202.01571438595934</v>
      </c>
      <c r="J39" s="15">
        <f>[1]!PVT_rho_wat_kgm3(B39,C39,gamma_gas_,gamma_oil_,gamma_wat_,Rsb_,Rp_,Pb_,Tres_,Bob_,muob_)</f>
        <v>1072.1908713232208</v>
      </c>
      <c r="K39" s="15">
        <f>[1]!PVT_rho_oil_kgm3(B39,C39,gamma_gas_,gamma_oil_,gamma_wat_,Rsb_,Rp_,Pb_,Tres_,Bob_,muob_)</f>
        <v>803.71004026467006</v>
      </c>
      <c r="L39" s="22">
        <f>[1]!PVT_bg_m3m3(B39,C39,gamma_gas_,gamma_oil_,gamma_wat_,Rsb_,Rp_,Pb_,Tres_,Bob_,muob_,0,,,,PVT_str_)</f>
        <v>4.8380394711904119E-3</v>
      </c>
      <c r="M39" s="22">
        <f>[1]!PVT_bw_m3m3(B39,C39,gamma_gas_,gamma_oil_,gamma_wat_,Rsb_,Rp_,Pb_,Tres_,Bob_,muob_,0,,,,PVT_str_)</f>
        <v>1.0259367333005356</v>
      </c>
      <c r="N39" s="17">
        <f>[1]!PVT_ST_liqgas_Nm(B39,C39,gamma_gas_,gamma_oil_,gamma_wat_,Rsb_,Rp_,Pb_,Tres_,Bob_,muob_,0,,,,PVT_str_)</f>
        <v>5.2619736922436943E-3</v>
      </c>
      <c r="O39" s="17">
        <f>[1]!PVT_ST_oilgas_Nm(B39,C39,gamma_gas_,gamma_oil_,gamma_wat_,Rsb_,Rp_,Pb_,Tres_,Bob_,muob_,0,,,,PVT_str_)</f>
        <v>5.2619736922436943E-3</v>
      </c>
      <c r="P39" s="22">
        <f>[1]!PVT_ST_watgas_Nm(B39,C39,gamma_gas_,gamma_oil_,gamma_wat_,Rsb_,Rp_,Pb_,Tres_,Bob_,muob_,0,,,,PVT_str_)</f>
        <v>4.073802778041128E-2</v>
      </c>
      <c r="Q39" s="31">
        <f>[1]!PVT_cp_oil_JkgC(B39,C39,gamma_gas_,gamma_oil_,gamma_wat_,Rsb_,Rp_,Pb_,Tres_,Bob_,muob_,0,,,,PVT_str_)</f>
        <v>2612.2600000000002</v>
      </c>
      <c r="R39" s="31">
        <f>[1]!PVT_cp_gas_JkgC(B39,C39,gamma_gas_,gamma_oil_,gamma_wat_,Rsb_,Rp_,Pb_,Tres_,Bob_,muob_,0,,,,PVT_str_)</f>
        <v>1599.803788880537</v>
      </c>
      <c r="S39" s="31">
        <f>[1]!PVT_cp_wat_JkgC(B39,C39,gamma_gas_,gamma_oil_,gamma_wat_,Rsb_,Rp_,Pb_,Tres_,Bob_,muob_,0,,,,PVT_str_)</f>
        <v>4176</v>
      </c>
      <c r="T39" s="32">
        <f>[1]!PVT_compressibility_wat_1atm(B39,C39,gamma_gas_,gamma_oil_,gamma_wat_,Rsb_,Rp_,Pb_,Tres_,Bob_,muob_,0,,,,PVT_str_)</f>
        <v>3.5910581693392951E-5</v>
      </c>
      <c r="U39" s="32">
        <f>[1]!PVT_compressibility_oil_1atm(B39,C39,gamma_gas_,gamma_oil_,gamma_wat_,Rsb_,Rp_,Pb_,Tres_,Bob_,muob_,0,,,,PVT_str_)</f>
        <v>1.6351093023255818E-4</v>
      </c>
      <c r="V39" s="32">
        <f>[1]!PVT_compressibility_gas_1atm(B39,C39,gamma_gas_,gamma_oil_,gamma_wat_,Rsb_,Rp_,Pb_,Tres_,Bob_,muob_,0,,,,PVT_str_)</f>
        <v>3.9549135143913776E-3</v>
      </c>
    </row>
    <row r="40" spans="2:22" x14ac:dyDescent="0.25">
      <c r="B40" s="12">
        <v>220</v>
      </c>
      <c r="C40" s="12">
        <v>80</v>
      </c>
      <c r="D40" s="15">
        <f>[1]!PVT_rs_m3m3(B40,C40,gamma_gas_,gamma_oil_,gamma_wat_,Rsb_,Rp_,Pb_,Tres_,Bob_,muob_)</f>
        <v>80</v>
      </c>
      <c r="E40" s="16">
        <f>[1]!PVT_bo_m3m3(B40,C40,gamma_gas_,gamma_oil_,gamma_wat_,Rsb_,Rp_,Pb_,Tres_,Bob_,muob_)</f>
        <v>1.1653137556979829</v>
      </c>
      <c r="F40" s="15">
        <f>[1]!PVT_mu_oil_cP(B40,C40,gamma_gas_,gamma_oil_,gamma_wat_,Rsb_,Rp_,Pb_,Tres_,Bob_,muob_)</f>
        <v>1.2271293758414072</v>
      </c>
      <c r="G40" s="17">
        <f>[1]!PVT_mu_gas_cP(B40,C40,gamma_gas_,gamma_oil_,gamma_wat_,Rsb_,Rp_,Pb_,Pb_,Bob_,muob_)</f>
        <v>2.5083831869427847E-2</v>
      </c>
      <c r="H40" s="16">
        <f>[1]!PVT_mu_wat_cP(B40,C40,gamma_gas_,gamma_oil_,gamma_wat_,Rsb_,Rp_,Pb_,Tres_,Bob_,muob_)</f>
        <v>0.57469340659682833</v>
      </c>
      <c r="I40" s="15">
        <f>[1]!PVT_rho_gas_kgm3(B40,C40,gamma_gas_,gamma_oil_,gamma_wat_,Rsb_,Rp_,Pb_,Tres_,Bob_,muob_)</f>
        <v>217.16838075139015</v>
      </c>
      <c r="J40" s="15">
        <f>[1]!PVT_rho_wat_kgm3(B40,C40,gamma_gas_,gamma_oil_,gamma_wat_,Rsb_,Rp_,Pb_,Tres_,Bob_,muob_)</f>
        <v>1072.912801451788</v>
      </c>
      <c r="K40" s="15">
        <f>[1]!PVT_rho_oil_kgm3(B40,C40,gamma_gas_,gamma_oil_,gamma_wat_,Rsb_,Rp_,Pb_,Tres_,Bob_,muob_)</f>
        <v>805.09544782474234</v>
      </c>
      <c r="L40" s="22">
        <f>[1]!PVT_bg_m3m3(B40,C40,gamma_gas_,gamma_oil_,gamma_wat_,Rsb_,Rp_,Pb_,Tres_,Bob_,muob_,0,,,,PVT_str_)</f>
        <v>4.5004710014339587E-3</v>
      </c>
      <c r="M40" s="22">
        <f>[1]!PVT_bw_m3m3(B40,C40,gamma_gas_,gamma_oil_,gamma_wat_,Rsb_,Rp_,Pb_,Tres_,Bob_,muob_,0,,,,PVT_str_)</f>
        <v>1.0252464119279401</v>
      </c>
      <c r="N40" s="17">
        <f>[1]!PVT_ST_liqgas_Nm(B40,C40,gamma_gas_,gamma_oil_,gamma_wat_,Rsb_,Rp_,Pb_,Tres_,Bob_,muob_,0,,,,PVT_str_)</f>
        <v>4.083018758290629E-3</v>
      </c>
      <c r="O40" s="17">
        <f>[1]!PVT_ST_oilgas_Nm(B40,C40,gamma_gas_,gamma_oil_,gamma_wat_,Rsb_,Rp_,Pb_,Tres_,Bob_,muob_,0,,,,PVT_str_)</f>
        <v>4.083018758290629E-3</v>
      </c>
      <c r="P40" s="22">
        <f>[1]!PVT_ST_watgas_Nm(B40,C40,gamma_gas_,gamma_oil_,gamma_wat_,Rsb_,Rp_,Pb_,Tres_,Bob_,muob_,0,,,,PVT_str_)</f>
        <v>3.8904514499428069E-2</v>
      </c>
      <c r="Q40" s="31">
        <f>[1]!PVT_cp_oil_JkgC(B40,C40,gamma_gas_,gamma_oil_,gamma_wat_,Rsb_,Rp_,Pb_,Tres_,Bob_,muob_,0,,,,PVT_str_)</f>
        <v>2612.2600000000002</v>
      </c>
      <c r="R40" s="31">
        <f>[1]!PVT_cp_gas_JkgC(B40,C40,gamma_gas_,gamma_oil_,gamma_wat_,Rsb_,Rp_,Pb_,Tres_,Bob_,muob_,0,,,,PVT_str_)</f>
        <v>1636.9973132683915</v>
      </c>
      <c r="S40" s="31">
        <f>[1]!PVT_cp_wat_JkgC(B40,C40,gamma_gas_,gamma_oil_,gamma_wat_,Rsb_,Rp_,Pb_,Tres_,Bob_,muob_,0,,,,PVT_str_)</f>
        <v>4176</v>
      </c>
      <c r="T40" s="32">
        <f>[1]!PVT_compressibility_wat_1atm(B40,C40,gamma_gas_,gamma_oil_,gamma_wat_,Rsb_,Rp_,Pb_,Tres_,Bob_,muob_,0,,,,PVT_str_)</f>
        <v>3.5727723254715326E-5</v>
      </c>
      <c r="U40" s="32">
        <f>[1]!PVT_compressibility_oil_1atm(B40,C40,gamma_gas_,gamma_oil_,gamma_wat_,Rsb_,Rp_,Pb_,Tres_,Bob_,muob_,0,,,,PVT_str_)</f>
        <v>1.4864630021141652E-4</v>
      </c>
      <c r="V40" s="32">
        <f>[1]!PVT_compressibility_gas_1atm(B40,C40,gamma_gas_,gamma_oil_,gamma_wat_,Rsb_,Rp_,Pb_,Tres_,Bob_,muob_,0,,,,PVT_str_)</f>
        <v>3.3049207732548623E-3</v>
      </c>
    </row>
    <row r="41" spans="2:22" x14ac:dyDescent="0.25">
      <c r="B41" s="12">
        <v>240</v>
      </c>
      <c r="C41" s="12">
        <v>80</v>
      </c>
      <c r="D41" s="15">
        <f>[1]!PVT_rs_m3m3(B41,C41,gamma_gas_,gamma_oil_,gamma_wat_,Rsb_,Rp_,Pb_,Tres_,Bob_,muob_)</f>
        <v>80</v>
      </c>
      <c r="E41" s="16">
        <f>[1]!PVT_bo_m3m3(B41,C41,gamma_gas_,gamma_oil_,gamma_wat_,Rsb_,Rp_,Pb_,Tres_,Bob_,muob_)</f>
        <v>1.1636424568101467</v>
      </c>
      <c r="F41" s="15">
        <f>[1]!PVT_mu_oil_cP(B41,C41,gamma_gas_,gamma_oil_,gamma_wat_,Rsb_,Rp_,Pb_,Tres_,Bob_,muob_)</f>
        <v>1.2841859973467749</v>
      </c>
      <c r="G41" s="17">
        <f>[1]!PVT_mu_gas_cP(B41,C41,gamma_gas_,gamma_oil_,gamma_wat_,Rsb_,Rp_,Pb_,Pb_,Bob_,muob_)</f>
        <v>2.6613890827450862E-2</v>
      </c>
      <c r="H41" s="16">
        <f>[1]!PVT_mu_wat_cP(B41,C41,gamma_gas_,gamma_oil_,gamma_wat_,Rsb_,Rp_,Pb_,Tres_,Bob_,muob_)</f>
        <v>0.58360230310821137</v>
      </c>
      <c r="I41" s="15">
        <f>[1]!PVT_rho_gas_kgm3(B41,C41,gamma_gas_,gamma_oil_,gamma_wat_,Rsb_,Rp_,Pb_,Tres_,Bob_,muob_)</f>
        <v>230.79581933914827</v>
      </c>
      <c r="J41" s="15">
        <f>[1]!PVT_rho_wat_kgm3(B41,C41,gamma_gas_,gamma_oil_,gamma_wat_,Rsb_,Rp_,Pb_,Tres_,Bob_,muob_)</f>
        <v>1073.6833996118905</v>
      </c>
      <c r="K41" s="15">
        <f>[1]!PVT_rho_oil_kgm3(B41,C41,gamma_gas_,gamma_oil_,gamma_wat_,Rsb_,Rp_,Pb_,Tres_,Bob_,muob_)</f>
        <v>806.25177820670524</v>
      </c>
      <c r="L41" s="22">
        <f>[1]!PVT_bg_m3m3(B41,C41,gamma_gas_,gamma_oil_,gamma_wat_,Rsb_,Rp_,Pb_,Tres_,Bob_,muob_,0,,,,PVT_str_)</f>
        <v>4.2347387521946217E-3</v>
      </c>
      <c r="M41" s="22">
        <f>[1]!PVT_bw_m3m3(B41,C41,gamma_gas_,gamma_oil_,gamma_wat_,Rsb_,Rp_,Pb_,Tres_,Bob_,muob_,0,,,,PVT_str_)</f>
        <v>1.0245105776969472</v>
      </c>
      <c r="N41" s="17">
        <f>[1]!PVT_ST_liqgas_Nm(B41,C41,gamma_gas_,gamma_oil_,gamma_wat_,Rsb_,Rp_,Pb_,Tres_,Bob_,muob_,0,,,,PVT_str_)</f>
        <v>3.1682108569122563E-3</v>
      </c>
      <c r="O41" s="17">
        <f>[1]!PVT_ST_oilgas_Nm(B41,C41,gamma_gas_,gamma_oil_,gamma_wat_,Rsb_,Rp_,Pb_,Tres_,Bob_,muob_,0,,,,PVT_str_)</f>
        <v>3.1682108569122563E-3</v>
      </c>
      <c r="P41" s="22">
        <f>[1]!PVT_ST_watgas_Nm(B41,C41,gamma_gas_,gamma_oil_,gamma_wat_,Rsb_,Rp_,Pb_,Tres_,Bob_,muob_,0,,,,PVT_str_)</f>
        <v>3.7153522909717261E-2</v>
      </c>
      <c r="Q41" s="31">
        <f>[1]!PVT_cp_oil_JkgC(B41,C41,gamma_gas_,gamma_oil_,gamma_wat_,Rsb_,Rp_,Pb_,Tres_,Bob_,muob_,0,,,,PVT_str_)</f>
        <v>2612.2600000000002</v>
      </c>
      <c r="R41" s="31">
        <f>[1]!PVT_cp_gas_JkgC(B41,C41,gamma_gas_,gamma_oil_,gamma_wat_,Rsb_,Rp_,Pb_,Tres_,Bob_,muob_,0,,,,PVT_str_)</f>
        <v>1680.3710199610871</v>
      </c>
      <c r="S41" s="31">
        <f>[1]!PVT_cp_wat_JkgC(B41,C41,gamma_gas_,gamma_oil_,gamma_wat_,Rsb_,Rp_,Pb_,Tres_,Bob_,muob_,0,,,,PVT_str_)</f>
        <v>4176</v>
      </c>
      <c r="T41" s="32">
        <f>[1]!PVT_compressibility_wat_1atm(B41,C41,gamma_gas_,gamma_oil_,gamma_wat_,Rsb_,Rp_,Pb_,Tres_,Bob_,muob_,0,,,,PVT_str_)</f>
        <v>3.5546717629650001E-5</v>
      </c>
      <c r="U41" s="32">
        <f>[1]!PVT_compressibility_oil_1atm(B41,C41,gamma_gas_,gamma_oil_,gamma_wat_,Rsb_,Rp_,Pb_,Tres_,Bob_,muob_,0,,,,PVT_str_)</f>
        <v>1.3625910852713182E-4</v>
      </c>
      <c r="V41" s="32">
        <f>[1]!PVT_compressibility_gas_1atm(B41,C41,gamma_gas_,gamma_oil_,gamma_wat_,Rsb_,Rp_,Pb_,Tres_,Bob_,muob_,0,,,,PVT_str_)</f>
        <v>2.8011821978184133E-3</v>
      </c>
    </row>
    <row r="42" spans="2:22" x14ac:dyDescent="0.25">
      <c r="B42" s="12">
        <v>260</v>
      </c>
      <c r="C42" s="12">
        <v>80</v>
      </c>
      <c r="D42" s="15">
        <f>[1]!PVT_rs_m3m3(B42,C42,gamma_gas_,gamma_oil_,gamma_wat_,Rsb_,Rp_,Pb_,Tres_,Bob_,muob_)</f>
        <v>80</v>
      </c>
      <c r="E42" s="16">
        <f>[1]!PVT_bo_m3m3(B42,C42,gamma_gas_,gamma_oil_,gamma_wat_,Rsb_,Rp_,Pb_,Tres_,Bob_,muob_)</f>
        <v>1.1622301531674433</v>
      </c>
      <c r="F42" s="15">
        <f>[1]!PVT_mu_oil_cP(B42,C42,gamma_gas_,gamma_oil_,gamma_wat_,Rsb_,Rp_,Pb_,Tres_,Bob_,muob_)</f>
        <v>1.3448246297550623</v>
      </c>
      <c r="G42" s="17">
        <f>[1]!PVT_mu_gas_cP(B42,C42,gamma_gas_,gamma_oil_,gamma_wat_,Rsb_,Rp_,Pb_,Pb_,Bob_,muob_)</f>
        <v>2.8098871526802589E-2</v>
      </c>
      <c r="H42" s="16">
        <f>[1]!PVT_mu_wat_cP(B42,C42,gamma_gas_,gamma_oil_,gamma_wat_,Rsb_,Rp_,Pb_,Tres_,Bob_,muob_)</f>
        <v>0.59277660036954249</v>
      </c>
      <c r="I42" s="15">
        <f>[1]!PVT_rho_gas_kgm3(B42,C42,gamma_gas_,gamma_oil_,gamma_wat_,Rsb_,Rp_,Pb_,Tres_,Bob_,muob_)</f>
        <v>243.09490745404341</v>
      </c>
      <c r="J42" s="15">
        <f>[1]!PVT_rho_wat_kgm3(B42,C42,gamma_gas_,gamma_oil_,gamma_wat_,Rsb_,Rp_,Pb_,Tres_,Bob_,muob_)</f>
        <v>1074.5028735256278</v>
      </c>
      <c r="K42" s="15">
        <f>[1]!PVT_rho_oil_kgm3(B42,C42,gamma_gas_,gamma_oil_,gamma_wat_,Rsb_,Rp_,Pb_,Tres_,Bob_,muob_)</f>
        <v>807.23150870173174</v>
      </c>
      <c r="L42" s="22">
        <f>[1]!PVT_bg_m3m3(B42,C42,gamma_gas_,gamma_oil_,gamma_wat_,Rsb_,Rp_,Pb_,Tres_,Bob_,muob_,0,,,,PVT_str_)</f>
        <v>4.0204873488958954E-3</v>
      </c>
      <c r="M42" s="22">
        <f>[1]!PVT_bw_m3m3(B42,C42,gamma_gas_,gamma_oil_,gamma_wat_,Rsb_,Rp_,Pb_,Tres_,Bob_,muob_,0,,,,PVT_str_)</f>
        <v>1.0237292306075569</v>
      </c>
      <c r="N42" s="17">
        <f>[1]!PVT_ST_liqgas_Nm(B42,C42,gamma_gas_,gamma_oil_,gamma_wat_,Rsb_,Rp_,Pb_,Tres_,Bob_,muob_,0,,,,PVT_str_)</f>
        <v>2.458367357111765E-3</v>
      </c>
      <c r="O42" s="17">
        <f>[1]!PVT_ST_oilgas_Nm(B42,C42,gamma_gas_,gamma_oil_,gamma_wat_,Rsb_,Rp_,Pb_,Tres_,Bob_,muob_,0,,,,PVT_str_)</f>
        <v>2.458367357111765E-3</v>
      </c>
      <c r="P42" s="22">
        <f>[1]!PVT_ST_watgas_Nm(B42,C42,gamma_gas_,gamma_oil_,gamma_wat_,Rsb_,Rp_,Pb_,Tres_,Bob_,muob_,0,,,,PVT_str_)</f>
        <v>3.5481338923357551E-2</v>
      </c>
      <c r="Q42" s="31">
        <f>[1]!PVT_cp_oil_JkgC(B42,C42,gamma_gas_,gamma_oil_,gamma_wat_,Rsb_,Rp_,Pb_,Tres_,Bob_,muob_,0,,,,PVT_str_)</f>
        <v>2612.2600000000002</v>
      </c>
      <c r="R42" s="31">
        <f>[1]!PVT_cp_gas_JkgC(B42,C42,gamma_gas_,gamma_oil_,gamma_wat_,Rsb_,Rp_,Pb_,Tres_,Bob_,muob_,0,,,,PVT_str_)</f>
        <v>1728.3009392284896</v>
      </c>
      <c r="S42" s="31">
        <f>[1]!PVT_cp_wat_JkgC(B42,C42,gamma_gas_,gamma_oil_,gamma_wat_,Rsb_,Rp_,Pb_,Tres_,Bob_,muob_,0,,,,PVT_str_)</f>
        <v>4176</v>
      </c>
      <c r="T42" s="32">
        <f>[1]!PVT_compressibility_wat_1atm(B42,C42,gamma_gas_,gamma_oil_,gamma_wat_,Rsb_,Rp_,Pb_,Tres_,Bob_,muob_,0,,,,PVT_str_)</f>
        <v>3.5367536799687554E-5</v>
      </c>
      <c r="U42" s="32">
        <f>[1]!PVT_compressibility_oil_1atm(B42,C42,gamma_gas_,gamma_oil_,gamma_wat_,Rsb_,Rp_,Pb_,Tres_,Bob_,muob_,0,,,,PVT_str_)</f>
        <v>1.2577763864042937E-4</v>
      </c>
      <c r="V42" s="32">
        <f>[1]!PVT_compressibility_gas_1atm(B42,C42,gamma_gas_,gamma_oil_,gamma_wat_,Rsb_,Rp_,Pb_,Tres_,Bob_,muob_,0,,,,PVT_str_)</f>
        <v>2.4055020277298348E-3</v>
      </c>
    </row>
    <row r="43" spans="2:22" x14ac:dyDescent="0.25">
      <c r="B43" s="12">
        <v>280</v>
      </c>
      <c r="C43" s="12">
        <v>80</v>
      </c>
      <c r="D43" s="15">
        <f>[1]!PVT_rs_m3m3(B43,C43,gamma_gas_,gamma_oil_,gamma_wat_,Rsb_,Rp_,Pb_,Tres_,Bob_,muob_)</f>
        <v>80</v>
      </c>
      <c r="E43" s="16">
        <f>[1]!PVT_bo_m3m3(B43,C43,gamma_gas_,gamma_oil_,gamma_wat_,Rsb_,Rp_,Pb_,Tres_,Bob_,muob_)</f>
        <v>1.1610209715519308</v>
      </c>
      <c r="F43" s="15">
        <f>[1]!PVT_mu_oil_cP(B43,C43,gamma_gas_,gamma_oil_,gamma_wat_,Rsb_,Rp_,Pb_,Tres_,Bob_,muob_)</f>
        <v>1.4087844404690353</v>
      </c>
      <c r="G43" s="17">
        <f>[1]!PVT_mu_gas_cP(B43,C43,gamma_gas_,gamma_oil_,gamma_wat_,Rsb_,Rp_,Pb_,Pb_,Bob_,muob_)</f>
        <v>2.9536501483992422E-2</v>
      </c>
      <c r="H43" s="16">
        <f>[1]!PVT_mu_wat_cP(B43,C43,gamma_gas_,gamma_oil_,gamma_wat_,Rsb_,Rp_,Pb_,Tres_,Bob_,muob_)</f>
        <v>0.60221629838082136</v>
      </c>
      <c r="I43" s="15">
        <f>[1]!PVT_rho_gas_kgm3(B43,C43,gamma_gas_,gamma_oil_,gamma_wat_,Rsb_,Rp_,Pb_,Tres_,Bob_,muob_)</f>
        <v>254.24416166569722</v>
      </c>
      <c r="J43" s="15">
        <f>[1]!PVT_rho_wat_kgm3(B43,C43,gamma_gas_,gamma_oil_,gamma_wat_,Rsb_,Rp_,Pb_,Tres_,Bob_,muob_)</f>
        <v>1075.3714445793128</v>
      </c>
      <c r="K43" s="15">
        <f>[1]!PVT_rho_oil_kgm3(B43,C43,gamma_gas_,gamma_oil_,gamma_wat_,Rsb_,Rp_,Pb_,Tres_,Bob_,muob_)</f>
        <v>808.07222521220081</v>
      </c>
      <c r="L43" s="22">
        <f>[1]!PVT_bg_m3m3(B43,C43,gamma_gas_,gamma_oil_,gamma_wat_,Rsb_,Rp_,Pb_,Tres_,Bob_,muob_,0,,,,PVT_str_)</f>
        <v>3.8441787358921529E-3</v>
      </c>
      <c r="M43" s="22">
        <f>[1]!PVT_bw_m3m3(B43,C43,gamma_gas_,gamma_oil_,gamma_wat_,Rsb_,Rp_,Pb_,Tres_,Bob_,muob_,0,,,,PVT_str_)</f>
        <v>1.0229023706597695</v>
      </c>
      <c r="N43" s="17">
        <f>[1]!PVT_ST_liqgas_Nm(B43,C43,gamma_gas_,gamma_oil_,gamma_wat_,Rsb_,Rp_,Pb_,Tres_,Bob_,muob_,0,,,,PVT_str_)</f>
        <v>1.9075656057825508E-3</v>
      </c>
      <c r="O43" s="17">
        <f>[1]!PVT_ST_oilgas_Nm(B43,C43,gamma_gas_,gamma_oil_,gamma_wat_,Rsb_,Rp_,Pb_,Tres_,Bob_,muob_,0,,,,PVT_str_)</f>
        <v>1.9075656057825508E-3</v>
      </c>
      <c r="P43" s="22">
        <f>[1]!PVT_ST_watgas_Nm(B43,C43,gamma_gas_,gamma_oil_,gamma_wat_,Rsb_,Rp_,Pb_,Tres_,Bob_,muob_,0,,,,PVT_str_)</f>
        <v>3.3884415613920256E-2</v>
      </c>
      <c r="Q43" s="31">
        <f>[1]!PVT_cp_oil_JkgC(B43,C43,gamma_gas_,gamma_oil_,gamma_wat_,Rsb_,Rp_,Pb_,Tres_,Bob_,muob_,0,,,,PVT_str_)</f>
        <v>2612.2600000000002</v>
      </c>
      <c r="R43" s="31">
        <f>[1]!PVT_cp_gas_JkgC(B43,C43,gamma_gas_,gamma_oil_,gamma_wat_,Rsb_,Rp_,Pb_,Tres_,Bob_,muob_,0,,,,PVT_str_)</f>
        <v>1779.6267353357232</v>
      </c>
      <c r="S43" s="31">
        <f>[1]!PVT_cp_wat_JkgC(B43,C43,gamma_gas_,gamma_oil_,gamma_wat_,Rsb_,Rp_,Pb_,Tres_,Bob_,muob_,0,,,,PVT_str_)</f>
        <v>4176</v>
      </c>
      <c r="T43" s="32">
        <f>[1]!PVT_compressibility_wat_1atm(B43,C43,gamma_gas_,gamma_oil_,gamma_wat_,Rsb_,Rp_,Pb_,Tres_,Bob_,muob_,0,,,,PVT_str_)</f>
        <v>3.5190153308418342E-5</v>
      </c>
      <c r="U43" s="32">
        <f>[1]!PVT_compressibility_oil_1atm(B43,C43,gamma_gas_,gamma_oil_,gamma_wat_,Rsb_,Rp_,Pb_,Tres_,Bob_,muob_,0,,,,PVT_str_)</f>
        <v>1.1679352159468443E-4</v>
      </c>
      <c r="V43" s="32">
        <f>[1]!PVT_compressibility_gas_1atm(B43,C43,gamma_gas_,gamma_oil_,gamma_wat_,Rsb_,Rp_,Pb_,Tres_,Bob_,muob_,0,,,,PVT_str_)</f>
        <v>2.0898471689410145E-3</v>
      </c>
    </row>
    <row r="44" spans="2:22" x14ac:dyDescent="0.25">
      <c r="B44" s="12">
        <v>300</v>
      </c>
      <c r="C44" s="12">
        <v>80</v>
      </c>
      <c r="D44" s="15">
        <f>[1]!PVT_rs_m3m3(B44,C44,gamma_gas_,gamma_oil_,gamma_wat_,Rsb_,Rp_,Pb_,Tres_,Bob_,muob_)</f>
        <v>80</v>
      </c>
      <c r="E44" s="16">
        <f>[1]!PVT_bo_m3m3(B44,C44,gamma_gas_,gamma_oil_,gamma_wat_,Rsb_,Rp_,Pb_,Tres_,Bob_,muob_)</f>
        <v>1.1599740318052234</v>
      </c>
      <c r="F44" s="15">
        <f>[1]!PVT_mu_oil_cP(B44,C44,gamma_gas_,gamma_oil_,gamma_wat_,Rsb_,Rp_,Pb_,Tres_,Bob_,muob_)</f>
        <v>1.4758077525373758</v>
      </c>
      <c r="G44" s="17">
        <f>[1]!PVT_mu_gas_cP(B44,C44,gamma_gas_,gamma_oil_,gamma_wat_,Rsb_,Rp_,Pb_,Pb_,Bob_,muob_)</f>
        <v>3.092626812710509E-2</v>
      </c>
      <c r="H44" s="16">
        <f>[1]!PVT_mu_wat_cP(B44,C44,gamma_gas_,gamma_oil_,gamma_wat_,Rsb_,Rp_,Pb_,Tres_,Bob_,muob_)</f>
        <v>0.6119213971420483</v>
      </c>
      <c r="I44" s="15">
        <f>[1]!PVT_rho_gas_kgm3(B44,C44,gamma_gas_,gamma_oil_,gamma_wat_,Rsb_,Rp_,Pb_,Tres_,Bob_,muob_)</f>
        <v>264.3966703482634</v>
      </c>
      <c r="J44" s="15">
        <f>[1]!PVT_rho_wat_kgm3(B44,C44,gamma_gas_,gamma_oil_,gamma_wat_,Rsb_,Rp_,Pb_,Tres_,Bob_,muob_)</f>
        <v>1076.2893479742904</v>
      </c>
      <c r="K44" s="15">
        <f>[1]!PVT_rho_oil_kgm3(B44,C44,gamma_gas_,gamma_oil_,gamma_wat_,Rsb_,Rp_,Pb_,Tres_,Bob_,muob_)</f>
        <v>808.8015544106039</v>
      </c>
      <c r="L44" s="22">
        <f>[1]!PVT_bg_m3m3(B44,C44,gamma_gas_,gamma_oil_,gamma_wat_,Rsb_,Rp_,Pb_,Tres_,Bob_,muob_,0,,,,PVT_str_)</f>
        <v>3.6965669753428478E-3</v>
      </c>
      <c r="M44" s="22">
        <f>[1]!PVT_bw_m3m3(B44,C44,gamma_gas_,gamma_oil_,gamma_wat_,Rsb_,Rp_,Pb_,Tres_,Bob_,muob_,0,,,,PVT_str_)</f>
        <v>1.0220299978535847</v>
      </c>
      <c r="N44" s="17">
        <f>[1]!PVT_ST_liqgas_Nm(B44,C44,gamma_gas_,gamma_oil_,gamma_wat_,Rsb_,Rp_,Pb_,Tres_,Bob_,muob_,0,,,,PVT_str_)</f>
        <v>1.4801720051472031E-3</v>
      </c>
      <c r="O44" s="17">
        <f>[1]!PVT_ST_oilgas_Nm(B44,C44,gamma_gas_,gamma_oil_,gamma_wat_,Rsb_,Rp_,Pb_,Tres_,Bob_,muob_,0,,,,PVT_str_)</f>
        <v>1.4801720051472031E-3</v>
      </c>
      <c r="P44" s="22">
        <f>[1]!PVT_ST_watgas_Nm(B44,C44,gamma_gas_,gamma_oil_,gamma_wat_,Rsb_,Rp_,Pb_,Tres_,Bob_,muob_,0,,,,PVT_str_)</f>
        <v>3.2359365692962827E-2</v>
      </c>
      <c r="Q44" s="31">
        <f>[1]!PVT_cp_oil_JkgC(B44,C44,gamma_gas_,gamma_oil_,gamma_wat_,Rsb_,Rp_,Pb_,Tres_,Bob_,muob_,0,,,,PVT_str_)</f>
        <v>2612.2600000000002</v>
      </c>
      <c r="R44" s="31">
        <f>[1]!PVT_cp_gas_JkgC(B44,C44,gamma_gas_,gamma_oil_,gamma_wat_,Rsb_,Rp_,Pb_,Tres_,Bob_,muob_,0,,,,PVT_str_)</f>
        <v>1833.5263348572021</v>
      </c>
      <c r="S44" s="31">
        <f>[1]!PVT_cp_wat_JkgC(B44,C44,gamma_gas_,gamma_oil_,gamma_wat_,Rsb_,Rp_,Pb_,Tres_,Bob_,muob_,0,,,,PVT_str_)</f>
        <v>4176</v>
      </c>
      <c r="T44" s="32">
        <f>[1]!PVT_compressibility_wat_1atm(B44,C44,gamma_gas_,gamma_oil_,gamma_wat_,Rsb_,Rp_,Pb_,Tres_,Bob_,muob_,0,,,,PVT_str_)</f>
        <v>3.5014540247506962E-5</v>
      </c>
      <c r="U44" s="32">
        <f>[1]!PVT_compressibility_oil_1atm(B44,C44,gamma_gas_,gamma_oil_,gamma_wat_,Rsb_,Rp_,Pb_,Tres_,Bob_,muob_,0,,,,PVT_str_)</f>
        <v>1.0900728682170543E-4</v>
      </c>
      <c r="V44" s="32">
        <f>[1]!PVT_compressibility_gas_1atm(B44,C44,gamma_gas_,gamma_oil_,gamma_wat_,Rsb_,Rp_,Pb_,Tres_,Bob_,muob_,0,,,,PVT_str_)</f>
        <v>1.834004645874998E-3</v>
      </c>
    </row>
    <row r="45" spans="2:22" x14ac:dyDescent="0.25">
      <c r="B45" s="12">
        <v>320</v>
      </c>
      <c r="C45" s="12">
        <v>80</v>
      </c>
      <c r="D45" s="15">
        <f>[1]!PVT_rs_m3m3(B45,C45,gamma_gas_,gamma_oil_,gamma_wat_,Rsb_,Rp_,Pb_,Tres_,Bob_,muob_)</f>
        <v>80</v>
      </c>
      <c r="E45" s="16">
        <f>[1]!PVT_bo_m3m3(B45,C45,gamma_gas_,gamma_oil_,gamma_wat_,Rsb_,Rp_,Pb_,Tres_,Bob_,muob_)</f>
        <v>1.1590587339868017</v>
      </c>
      <c r="F45" s="15">
        <f>[1]!PVT_mu_oil_cP(B45,C45,gamma_gas_,gamma_oil_,gamma_wat_,Rsb_,Rp_,Pb_,Tres_,Bob_,muob_)</f>
        <v>1.5456345719720073</v>
      </c>
      <c r="G45" s="17">
        <f>[1]!PVT_mu_gas_cP(B45,C45,gamma_gas_,gamma_oil_,gamma_wat_,Rsb_,Rp_,Pb_,Pb_,Bob_,muob_)</f>
        <v>3.2268505467152347E-2</v>
      </c>
      <c r="H45" s="16">
        <f>[1]!PVT_mu_wat_cP(B45,C45,gamma_gas_,gamma_oil_,gamma_wat_,Rsb_,Rp_,Pb_,Tres_,Bob_,muob_)</f>
        <v>0.62189189665322298</v>
      </c>
      <c r="I45" s="15">
        <f>[1]!PVT_rho_gas_kgm3(B45,C45,gamma_gas_,gamma_oil_,gamma_wat_,Rsb_,Rp_,Pb_,Tres_,Bob_,muob_)</f>
        <v>273.68066579837409</v>
      </c>
      <c r="J45" s="15">
        <f>[1]!PVT_rho_wat_kgm3(B45,C45,gamma_gas_,gamma_oil_,gamma_wat_,Rsb_,Rp_,Pb_,Tres_,Bob_,muob_)</f>
        <v>1077.2568328877053</v>
      </c>
      <c r="K45" s="15">
        <f>[1]!PVT_rho_oil_kgm3(B45,C45,gamma_gas_,gamma_oil_,gamma_wat_,Rsb_,Rp_,Pb_,Tres_,Bob_,muob_)</f>
        <v>809.44025741725977</v>
      </c>
      <c r="L45" s="22">
        <f>[1]!PVT_bg_m3m3(B45,C45,gamma_gas_,gamma_oil_,gamma_wat_,Rsb_,Rp_,Pb_,Tres_,Bob_,muob_,0,,,,PVT_str_)</f>
        <v>3.5711693303174009E-3</v>
      </c>
      <c r="M45" s="22">
        <f>[1]!PVT_bw_m3m3(B45,C45,gamma_gas_,gamma_oil_,gamma_wat_,Rsb_,Rp_,Pb_,Tres_,Bob_,muob_,0,,,,PVT_str_)</f>
        <v>1.0211121121890026</v>
      </c>
      <c r="N45" s="17">
        <f>[1]!PVT_ST_liqgas_Nm(B45,C45,gamma_gas_,gamma_oil_,gamma_wat_,Rsb_,Rp_,Pb_,Tres_,Bob_,muob_,0,,,,PVT_str_)</f>
        <v>1.1485367308888457E-3</v>
      </c>
      <c r="O45" s="17">
        <f>[1]!PVT_ST_oilgas_Nm(B45,C45,gamma_gas_,gamma_oil_,gamma_wat_,Rsb_,Rp_,Pb_,Tres_,Bob_,muob_,0,,,,PVT_str_)</f>
        <v>1.1485367308888457E-3</v>
      </c>
      <c r="P45" s="22">
        <f>[1]!PVT_ST_watgas_Nm(B45,C45,gamma_gas_,gamma_oil_,gamma_wat_,Rsb_,Rp_,Pb_,Tres_,Bob_,muob_,0,,,,PVT_str_)</f>
        <v>3.0902954325135904E-2</v>
      </c>
      <c r="Q45" s="31">
        <f>[1]!PVT_cp_oil_JkgC(B45,C45,gamma_gas_,gamma_oil_,gamma_wat_,Rsb_,Rp_,Pb_,Tres_,Bob_,muob_,0,,,,PVT_str_)</f>
        <v>2612.2600000000002</v>
      </c>
      <c r="R45" s="31">
        <f>[1]!PVT_cp_gas_JkgC(B45,C45,gamma_gas_,gamma_oil_,gamma_wat_,Rsb_,Rp_,Pb_,Tres_,Bob_,muob_,0,,,,PVT_str_)</f>
        <v>1889.4166562787493</v>
      </c>
      <c r="S45" s="31">
        <f>[1]!PVT_cp_wat_JkgC(B45,C45,gamma_gas_,gamma_oil_,gamma_wat_,Rsb_,Rp_,Pb_,Tres_,Bob_,muob_,0,,,,PVT_str_)</f>
        <v>4176</v>
      </c>
      <c r="T45" s="32">
        <f>[1]!PVT_compressibility_wat_1atm(B45,C45,gamma_gas_,gamma_oil_,gamma_wat_,Rsb_,Rp_,Pb_,Tres_,Bob_,muob_,0,,,,PVT_str_)</f>
        <v>3.4840671243084599E-5</v>
      </c>
      <c r="U45" s="32">
        <f>[1]!PVT_compressibility_oil_1atm(B45,C45,gamma_gas_,gamma_oil_,gamma_wat_,Rsb_,Rp_,Pb_,Tres_,Bob_,muob_,0,,,,PVT_str_)</f>
        <v>1.0219433139534886E-4</v>
      </c>
      <c r="V45" s="32">
        <f>[1]!PVT_compressibility_gas_1atm(B45,C45,gamma_gas_,gamma_oil_,gamma_wat_,Rsb_,Rp_,Pb_,Tres_,Bob_,muob_,0,,,,PVT_str_)</f>
        <v>1.6234931734210182E-3</v>
      </c>
    </row>
    <row r="46" spans="2:22" x14ac:dyDescent="0.25">
      <c r="B46" s="12">
        <v>340</v>
      </c>
      <c r="C46" s="12">
        <v>80</v>
      </c>
      <c r="D46" s="15">
        <f>[1]!PVT_rs_m3m3(B46,C46,gamma_gas_,gamma_oil_,gamma_wat_,Rsb_,Rp_,Pb_,Tres_,Bob_,muob_)</f>
        <v>80</v>
      </c>
      <c r="E46" s="16">
        <f>[1]!PVT_bo_m3m3(B46,C46,gamma_gas_,gamma_oil_,gamma_wat_,Rsb_,Rp_,Pb_,Tres_,Bob_,muob_)</f>
        <v>1.1582517180604754</v>
      </c>
      <c r="F46" s="15">
        <f>[1]!PVT_mu_oil_cP(B46,C46,gamma_gas_,gamma_oil_,gamma_wat_,Rsb_,Rp_,Pb_,Tres_,Bob_,muob_)</f>
        <v>1.617999061371832</v>
      </c>
      <c r="G46" s="17">
        <f>[1]!PVT_mu_gas_cP(B46,C46,gamma_gas_,gamma_oil_,gamma_wat_,Rsb_,Rp_,Pb_,Pb_,Bob_,muob_)</f>
        <v>3.3563960430461753E-2</v>
      </c>
      <c r="H46" s="16">
        <f>[1]!PVT_mu_wat_cP(B46,C46,gamma_gas_,gamma_oil_,gamma_wat_,Rsb_,Rp_,Pb_,Tres_,Bob_,muob_)</f>
        <v>0.63212779691434562</v>
      </c>
      <c r="I46" s="15">
        <f>[1]!PVT_rho_gas_kgm3(B46,C46,gamma_gas_,gamma_oil_,gamma_wat_,Rsb_,Rp_,Pb_,Tres_,Bob_,muob_)</f>
        <v>282.20300222463175</v>
      </c>
      <c r="J46" s="15">
        <f>[1]!PVT_rho_wat_kgm3(B46,C46,gamma_gas_,gamma_oil_,gamma_wat_,Rsb_,Rp_,Pb_,Tres_,Bob_,muob_)</f>
        <v>1078.2741626434267</v>
      </c>
      <c r="K46" s="15">
        <f>[1]!PVT_rho_oil_kgm3(B46,C46,gamma_gas_,gamma_oil_,gamma_wat_,Rsb_,Rp_,Pb_,Tres_,Bob_,muob_)</f>
        <v>810.00423774119076</v>
      </c>
      <c r="L46" s="22">
        <f>[1]!PVT_bg_m3m3(B46,C46,gamma_gas_,gamma_oil_,gamma_wat_,Rsb_,Rp_,Pb_,Tres_,Bob_,muob_,0,,,,PVT_str_)</f>
        <v>3.4633224745852561E-3</v>
      </c>
      <c r="M46" s="22">
        <f>[1]!PVT_bw_m3m3(B46,C46,gamma_gas_,gamma_oil_,gamma_wat_,Rsb_,Rp_,Pb_,Tres_,Bob_,muob_,0,,,,PVT_str_)</f>
        <v>1.0201487136660232</v>
      </c>
      <c r="N46" s="17">
        <f>[1]!PVT_ST_liqgas_Nm(B46,C46,gamma_gas_,gamma_oil_,gamma_wat_,Rsb_,Rp_,Pb_,Tres_,Bob_,muob_,0,,,,PVT_str_)</f>
        <v>8.9120495294710614E-4</v>
      </c>
      <c r="O46" s="17">
        <f>[1]!PVT_ST_oilgas_Nm(B46,C46,gamma_gas_,gamma_oil_,gamma_wat_,Rsb_,Rp_,Pb_,Tres_,Bob_,muob_,0,,,,PVT_str_)</f>
        <v>8.9120495294710614E-4</v>
      </c>
      <c r="P46" s="22">
        <f>[1]!PVT_ST_watgas_Nm(B46,C46,gamma_gas_,gamma_oil_,gamma_wat_,Rsb_,Rp_,Pb_,Tres_,Bob_,muob_,0,,,,PVT_str_)</f>
        <v>2.9512092266663854E-2</v>
      </c>
      <c r="Q46" s="31">
        <f>[1]!PVT_cp_oil_JkgC(B46,C46,gamma_gas_,gamma_oil_,gamma_wat_,Rsb_,Rp_,Pb_,Tres_,Bob_,muob_,0,,,,PVT_str_)</f>
        <v>2612.2600000000002</v>
      </c>
      <c r="R46" s="31">
        <f>[1]!PVT_cp_gas_JkgC(B46,C46,gamma_gas_,gamma_oil_,gamma_wat_,Rsb_,Rp_,Pb_,Tres_,Bob_,muob_,0,,,,PVT_str_)</f>
        <v>1946.8799221079209</v>
      </c>
      <c r="S46" s="31">
        <f>[1]!PVT_cp_wat_JkgC(B46,C46,gamma_gas_,gamma_oil_,gamma_wat_,Rsb_,Rp_,Pb_,Tres_,Bob_,muob_,0,,,,PVT_str_)</f>
        <v>4176</v>
      </c>
      <c r="T46" s="32">
        <f>[1]!PVT_compressibility_wat_1atm(B46,C46,gamma_gas_,gamma_oil_,gamma_wat_,Rsb_,Rp_,Pb_,Tres_,Bob_,muob_,0,,,,PVT_str_)</f>
        <v>3.4668520442544787E-5</v>
      </c>
      <c r="U46" s="32">
        <f>[1]!PVT_compressibility_oil_1atm(B46,C46,gamma_gas_,gamma_oil_,gamma_wat_,Rsb_,Rp_,Pb_,Tres_,Bob_,muob_,0,,,,PVT_str_)</f>
        <v>9.6182900136798928E-5</v>
      </c>
      <c r="V46" s="32">
        <f>[1]!PVT_compressibility_gas_1atm(B46,C46,gamma_gas_,gamma_oil_,gamma_wat_,Rsb_,Rp_,Pb_,Tres_,Bob_,muob_,0,,,,PVT_str_)</f>
        <v>1.4479206477665896E-3</v>
      </c>
    </row>
    <row r="47" spans="2:22" x14ac:dyDescent="0.25">
      <c r="B47" s="12">
        <v>360</v>
      </c>
      <c r="C47" s="12">
        <v>80</v>
      </c>
      <c r="D47" s="15">
        <f>[1]!PVT_rs_m3m3(B47,C47,gamma_gas_,gamma_oil_,gamma_wat_,Rsb_,Rp_,Pb_,Tres_,Bob_,muob_)</f>
        <v>80</v>
      </c>
      <c r="E47" s="16">
        <f>[1]!PVT_bo_m3m3(B47,C47,gamma_gas_,gamma_oil_,gamma_wat_,Rsb_,Rp_,Pb_,Tres_,Bob_,muob_)</f>
        <v>1.1575348423008054</v>
      </c>
      <c r="F47" s="15">
        <f>[1]!PVT_mu_oil_cP(B47,C47,gamma_gas_,gamma_oil_,gamma_wat_,Rsb_,Rp_,Pb_,Tres_,Bob_,muob_)</f>
        <v>1.6926274720265917</v>
      </c>
      <c r="G47" s="17">
        <f>[1]!PVT_mu_gas_cP(B47,C47,gamma_gas_,gamma_oil_,gamma_wat_,Rsb_,Rp_,Pb_,Pb_,Bob_,muob_)</f>
        <v>3.4813626743034121E-2</v>
      </c>
      <c r="H47" s="16">
        <f>[1]!PVT_mu_wat_cP(B47,C47,gamma_gas_,gamma_oil_,gamma_wat_,Rsb_,Rp_,Pb_,Tres_,Bob_,muob_)</f>
        <v>0.64262909792541612</v>
      </c>
      <c r="I47" s="15">
        <f>[1]!PVT_rho_gas_kgm3(B47,C47,gamma_gas_,gamma_oil_,gamma_wat_,Rsb_,Rp_,Pb_,Tres_,Bob_,muob_)</f>
        <v>290.05322260522149</v>
      </c>
      <c r="J47" s="15">
        <f>[1]!PVT_rho_wat_kgm3(B47,C47,gamma_gas_,gamma_oil_,gamma_wat_,Rsb_,Rp_,Pb_,Tres_,Bob_,muob_)</f>
        <v>1079.3416148933502</v>
      </c>
      <c r="K47" s="15">
        <f>[1]!PVT_rho_oil_kgm3(B47,C47,gamma_gas_,gamma_oil_,gamma_wat_,Rsb_,Rp_,Pb_,Tres_,Bob_,muob_)</f>
        <v>810.5058834645389</v>
      </c>
      <c r="L47" s="22">
        <f>[1]!PVT_bg_m3m3(B47,C47,gamma_gas_,gamma_oil_,gamma_wat_,Rsb_,Rp_,Pb_,Tres_,Bob_,muob_,0,,,,PVT_str_)</f>
        <v>3.3695884886969217E-3</v>
      </c>
      <c r="M47" s="22">
        <f>[1]!PVT_bw_m3m3(B47,C47,gamma_gas_,gamma_oil_,gamma_wat_,Rsb_,Rp_,Pb_,Tres_,Bob_,muob_,0,,,,PVT_str_)</f>
        <v>1.0191398022846465</v>
      </c>
      <c r="N47" s="17">
        <f>[1]!PVT_ST_liqgas_Nm(B47,C47,gamma_gas_,gamma_oil_,gamma_wat_,Rsb_,Rp_,Pb_,Tres_,Bob_,muob_,0,,,,PVT_str_)</f>
        <v>6.9152883560179268E-4</v>
      </c>
      <c r="O47" s="17">
        <f>[1]!PVT_ST_oilgas_Nm(B47,C47,gamma_gas_,gamma_oil_,gamma_wat_,Rsb_,Rp_,Pb_,Tres_,Bob_,muob_,0,,,,PVT_str_)</f>
        <v>6.9152883560179268E-4</v>
      </c>
      <c r="P47" s="22">
        <f>[1]!PVT_ST_watgas_Nm(B47,C47,gamma_gas_,gamma_oil_,gamma_wat_,Rsb_,Rp_,Pb_,Tres_,Bob_,muob_,0,,,,PVT_str_)</f>
        <v>2.8183829312644539E-2</v>
      </c>
      <c r="Q47" s="31">
        <f>[1]!PVT_cp_oil_JkgC(B47,C47,gamma_gas_,gamma_oil_,gamma_wat_,Rsb_,Rp_,Pb_,Tres_,Bob_,muob_,0,,,,PVT_str_)</f>
        <v>2612.2600000000002</v>
      </c>
      <c r="R47" s="31">
        <f>[1]!PVT_cp_gas_JkgC(B47,C47,gamma_gas_,gamma_oil_,gamma_wat_,Rsb_,Rp_,Pb_,Tres_,Bob_,muob_,0,,,,PVT_str_)</f>
        <v>2005.6109161396598</v>
      </c>
      <c r="S47" s="31">
        <f>[1]!PVT_cp_wat_JkgC(B47,C47,gamma_gas_,gamma_oil_,gamma_wat_,Rsb_,Rp_,Pb_,Tres_,Bob_,muob_,0,,,,PVT_str_)</f>
        <v>4176</v>
      </c>
      <c r="T47" s="32">
        <f>[1]!PVT_compressibility_wat_1atm(B47,C47,gamma_gas_,gamma_oil_,gamma_wat_,Rsb_,Rp_,Pb_,Tres_,Bob_,muob_,0,,,,PVT_str_)</f>
        <v>3.4498062501728742E-5</v>
      </c>
      <c r="U47" s="32">
        <f>[1]!PVT_compressibility_oil_1atm(B47,C47,gamma_gas_,gamma_oil_,gamma_wat_,Rsb_,Rp_,Pb_,Tres_,Bob_,muob_,0,,,,PVT_str_)</f>
        <v>9.083940568475455E-5</v>
      </c>
      <c r="V47" s="32">
        <f>[1]!PVT_compressibility_gas_1atm(B47,C47,gamma_gas_,gamma_oil_,gamma_wat_,Rsb_,Rp_,Pb_,Tres_,Bob_,muob_,0,,,,PVT_str_)</f>
        <v>1.2997740836542893E-3</v>
      </c>
    </row>
    <row r="48" spans="2:22" x14ac:dyDescent="0.25">
      <c r="B48" s="12">
        <v>380</v>
      </c>
      <c r="C48" s="12">
        <v>80</v>
      </c>
      <c r="D48" s="15">
        <f>[1]!PVT_rs_m3m3(B48,C48,gamma_gas_,gamma_oil_,gamma_wat_,Rsb_,Rp_,Pb_,Tres_,Bob_,muob_)</f>
        <v>80</v>
      </c>
      <c r="E48" s="16">
        <f>[1]!PVT_bo_m3m3(B48,C48,gamma_gas_,gamma_oil_,gamma_wat_,Rsb_,Rp_,Pb_,Tres_,Bob_,muob_)</f>
        <v>1.1568938032518867</v>
      </c>
      <c r="F48" s="15">
        <f>[1]!PVT_mu_oil_cP(B48,C48,gamma_gas_,gamma_oil_,gamma_wat_,Rsb_,Rp_,Pb_,Tres_,Bob_,muob_)</f>
        <v>1.7692371957906132</v>
      </c>
      <c r="G48" s="17">
        <f>[1]!PVT_mu_gas_cP(B48,C48,gamma_gas_,gamma_oil_,gamma_wat_,Rsb_,Rp_,Pb_,Pb_,Bob_,muob_)</f>
        <v>3.6018709819299714E-2</v>
      </c>
      <c r="H48" s="16">
        <f>[1]!PVT_mu_wat_cP(B48,C48,gamma_gas_,gamma_oil_,gamma_wat_,Rsb_,Rp_,Pb_,Tres_,Bob_,muob_)</f>
        <v>0.65339579968643458</v>
      </c>
      <c r="I48" s="15">
        <f>[1]!PVT_rho_gas_kgm3(B48,C48,gamma_gas_,gamma_oil_,gamma_wat_,Rsb_,Rp_,Pb_,Tres_,Bob_,muob_)</f>
        <v>297.3072486924587</v>
      </c>
      <c r="J48" s="15">
        <f>[1]!PVT_rho_wat_kgm3(B48,C48,gamma_gas_,gamma_oil_,gamma_wat_,Rsb_,Rp_,Pb_,Tres_,Bob_,muob_)</f>
        <v>1080.4594818093117</v>
      </c>
      <c r="K48" s="15">
        <f>[1]!PVT_rho_oil_kgm3(B48,C48,gamma_gas_,gamma_oil_,gamma_wat_,Rsb_,Rp_,Pb_,Tres_,Bob_,muob_)</f>
        <v>810.95498771180746</v>
      </c>
      <c r="L48" s="22">
        <f>[1]!PVT_bg_m3m3(B48,C48,gamma_gas_,gamma_oil_,gamma_wat_,Rsb_,Rp_,Pb_,Tres_,Bob_,muob_,0,,,,PVT_str_)</f>
        <v>3.2873735985192989E-3</v>
      </c>
      <c r="M48" s="22">
        <f>[1]!PVT_bw_m3m3(B48,C48,gamma_gas_,gamma_oil_,gamma_wat_,Rsb_,Rp_,Pb_,Tres_,Bob_,muob_,0,,,,PVT_str_)</f>
        <v>1.0180853780448724</v>
      </c>
      <c r="N48" s="17">
        <f>[1]!PVT_ST_liqgas_Nm(B48,C48,gamma_gas_,gamma_oil_,gamma_wat_,Rsb_,Rp_,Pb_,Tres_,Bob_,muob_,0,,,,PVT_str_)</f>
        <v>5.3659052150392835E-4</v>
      </c>
      <c r="O48" s="17">
        <f>[1]!PVT_ST_oilgas_Nm(B48,C48,gamma_gas_,gamma_oil_,gamma_wat_,Rsb_,Rp_,Pb_,Tres_,Bob_,muob_,0,,,,PVT_str_)</f>
        <v>5.3659052150392835E-4</v>
      </c>
      <c r="P48" s="22">
        <f>[1]!PVT_ST_watgas_Nm(B48,C48,gamma_gas_,gamma_oil_,gamma_wat_,Rsb_,Rp_,Pb_,Tres_,Bob_,muob_,0,,,,PVT_str_)</f>
        <v>2.6915348039269153E-2</v>
      </c>
      <c r="Q48" s="31">
        <f>[1]!PVT_cp_oil_JkgC(B48,C48,gamma_gas_,gamma_oil_,gamma_wat_,Rsb_,Rp_,Pb_,Tres_,Bob_,muob_,0,,,,PVT_str_)</f>
        <v>2612.2600000000002</v>
      </c>
      <c r="R48" s="31">
        <f>[1]!PVT_cp_gas_JkgC(B48,C48,gamma_gas_,gamma_oil_,gamma_wat_,Rsb_,Rp_,Pb_,Tres_,Bob_,muob_,0,,,,PVT_str_)</f>
        <v>2065.3800495880791</v>
      </c>
      <c r="S48" s="31">
        <f>[1]!PVT_cp_wat_JkgC(B48,C48,gamma_gas_,gamma_oil_,gamma_wat_,Rsb_,Rp_,Pb_,Tres_,Bob_,muob_,0,,,,PVT_str_)</f>
        <v>4176</v>
      </c>
      <c r="T48" s="32">
        <f>[1]!PVT_compressibility_wat_1atm(B48,C48,gamma_gas_,gamma_oil_,gamma_wat_,Rsb_,Rp_,Pb_,Tres_,Bob_,muob_,0,,,,PVT_str_)</f>
        <v>3.4329272572486828E-5</v>
      </c>
      <c r="U48" s="32">
        <f>[1]!PVT_compressibility_oil_1atm(B48,C48,gamma_gas_,gamma_oil_,gamma_wat_,Rsb_,Rp_,Pb_,Tres_,Bob_,muob_,0,,,,PVT_str_)</f>
        <v>8.6058384332925343E-5</v>
      </c>
      <c r="V48" s="32">
        <f>[1]!PVT_compressibility_gas_1atm(B48,C48,gamma_gas_,gamma_oil_,gamma_wat_,Rsb_,Rp_,Pb_,Tres_,Bob_,muob_,0,,,,PVT_str_)</f>
        <v>1.173559245729473E-3</v>
      </c>
    </row>
    <row r="49" spans="2:22" x14ac:dyDescent="0.25">
      <c r="B49" s="12">
        <v>400</v>
      </c>
      <c r="C49" s="12">
        <v>80</v>
      </c>
      <c r="D49" s="15">
        <f>[1]!PVT_rs_m3m3(B49,C49,gamma_gas_,gamma_oil_,gamma_wat_,Rsb_,Rp_,Pb_,Tres_,Bob_,muob_)</f>
        <v>80</v>
      </c>
      <c r="E49" s="16">
        <f>[1]!PVT_bo_m3m3(B49,C49,gamma_gas_,gamma_oil_,gamma_wat_,Rsb_,Rp_,Pb_,Tres_,Bob_,muob_)</f>
        <v>1.1563171716430387</v>
      </c>
      <c r="F49" s="15">
        <f>[1]!PVT_mu_oil_cP(B49,C49,gamma_gas_,gamma_oil_,gamma_wat_,Rsb_,Rp_,Pb_,Tres_,Bob_,muob_)</f>
        <v>1.8475366911885862</v>
      </c>
      <c r="G49" s="17">
        <f>[1]!PVT_mu_gas_cP(B49,C49,gamma_gas_,gamma_oil_,gamma_wat_,Rsb_,Rp_,Pb_,Pb_,Bob_,muob_)</f>
        <v>3.7180644022582574E-2</v>
      </c>
      <c r="H49" s="16">
        <f>[1]!PVT_mu_wat_cP(B49,C49,gamma_gas_,gamma_oil_,gamma_wat_,Rsb_,Rp_,Pb_,Tres_,Bob_,muob_)</f>
        <v>0.664427902197401</v>
      </c>
      <c r="I49" s="15">
        <f>[1]!PVT_rho_gas_kgm3(B49,C49,gamma_gas_,gamma_oil_,gamma_wat_,Rsb_,Rp_,Pb_,Tres_,Bob_,muob_)</f>
        <v>304.03039572127034</v>
      </c>
      <c r="J49" s="15">
        <f>[1]!PVT_rho_wat_kgm3(B49,C49,gamma_gas_,gamma_oil_,gamma_wat_,Rsb_,Rp_,Pb_,Tres_,Bob_,muob_)</f>
        <v>1081.6280702858651</v>
      </c>
      <c r="K49" s="15">
        <f>[1]!PVT_rho_oil_kgm3(B49,C49,gamma_gas_,gamma_oil_,gamma_wat_,Rsb_,Rp_,Pb_,Tres_,Bob_,muob_)</f>
        <v>811.35939429741848</v>
      </c>
      <c r="L49" s="22">
        <f>[1]!PVT_bg_m3m3(B49,C49,gamma_gas_,gamma_oil_,gamma_wat_,Rsb_,Rp_,Pb_,Tres_,Bob_,muob_,0,,,,PVT_str_)</f>
        <v>3.2146785773881185E-3</v>
      </c>
      <c r="M49" s="22">
        <f>[1]!PVT_bw_m3m3(B49,C49,gamma_gas_,gamma_oil_,gamma_wat_,Rsb_,Rp_,Pb_,Tres_,Bob_,muob_,0,,,,PVT_str_)</f>
        <v>1.0169854409467012</v>
      </c>
      <c r="N49" s="17">
        <f>[1]!PVT_ST_liqgas_Nm(B49,C49,gamma_gas_,gamma_oil_,gamma_wat_,Rsb_,Rp_,Pb_,Tres_,Bob_,muob_,0,,,,PVT_str_)</f>
        <v>4.1636642312578559E-4</v>
      </c>
      <c r="O49" s="17">
        <f>[1]!PVT_ST_oilgas_Nm(B49,C49,gamma_gas_,gamma_oil_,gamma_wat_,Rsb_,Rp_,Pb_,Tres_,Bob_,muob_,0,,,,PVT_str_)</f>
        <v>4.1636642312578559E-4</v>
      </c>
      <c r="P49" s="22">
        <f>[1]!PVT_ST_watgas_Nm(B49,C49,gamma_gas_,gamma_oil_,gamma_wat_,Rsb_,Rp_,Pb_,Tres_,Bob_,muob_,0,,,,PVT_str_)</f>
        <v>2.5703957827688646E-2</v>
      </c>
      <c r="Q49" s="31">
        <f>[1]!PVT_cp_oil_JkgC(B49,C49,gamma_gas_,gamma_oil_,gamma_wat_,Rsb_,Rp_,Pb_,Tres_,Bob_,muob_,0,,,,PVT_str_)</f>
        <v>2612.2600000000002</v>
      </c>
      <c r="R49" s="31">
        <f>[1]!PVT_cp_gas_JkgC(B49,C49,gamma_gas_,gamma_oil_,gamma_wat_,Rsb_,Rp_,Pb_,Tres_,Bob_,muob_,0,,,,PVT_str_)</f>
        <v>2126.0078586639534</v>
      </c>
      <c r="S49" s="31">
        <f>[1]!PVT_cp_wat_JkgC(B49,C49,gamma_gas_,gamma_oil_,gamma_wat_,Rsb_,Rp_,Pb_,Tres_,Bob_,muob_,0,,,,PVT_str_)</f>
        <v>4176</v>
      </c>
      <c r="T49" s="32">
        <f>[1]!PVT_compressibility_wat_1atm(B49,C49,gamma_gas_,gamma_oil_,gamma_wat_,Rsb_,Rp_,Pb_,Tres_,Bob_,muob_,0,,,,PVT_str_)</f>
        <v>3.4162126290603452E-5</v>
      </c>
      <c r="U49" s="32">
        <f>[1]!PVT_compressibility_oil_1atm(B49,C49,gamma_gas_,gamma_oil_,gamma_wat_,Rsb_,Rp_,Pb_,Tres_,Bob_,muob_,0,,,,PVT_str_)</f>
        <v>8.1755465116279088E-5</v>
      </c>
      <c r="V49" s="32">
        <f>[1]!PVT_compressibility_gas_1atm(B49,C49,gamma_gas_,gamma_oil_,gamma_wat_,Rsb_,Rp_,Pb_,Tres_,Bob_,muob_,0,,,,PVT_str_)</f>
        <v>1.0652001179834859E-3</v>
      </c>
    </row>
    <row r="50" spans="2:22" x14ac:dyDescent="0.25">
      <c r="B50" s="12">
        <v>420</v>
      </c>
      <c r="C50" s="12">
        <v>80</v>
      </c>
      <c r="D50" s="15">
        <f>[1]!PVT_rs_m3m3(B50,C50,gamma_gas_,gamma_oil_,gamma_wat_,Rsb_,Rp_,Pb_,Tres_,Bob_,muob_)</f>
        <v>80</v>
      </c>
      <c r="E50" s="16">
        <f>[1]!PVT_bo_m3m3(B50,C50,gamma_gas_,gamma_oil_,gamma_wat_,Rsb_,Rp_,Pb_,Tres_,Bob_,muob_)</f>
        <v>1.1557957049899328</v>
      </c>
      <c r="F50" s="15">
        <f>[1]!PVT_mu_oil_cP(B50,C50,gamma_gas_,gamma_oil_,gamma_wat_,Rsb_,Rp_,Pb_,Tres_,Bob_,muob_)</f>
        <v>1.9272260976867597</v>
      </c>
      <c r="G50" s="17">
        <f>[1]!PVT_mu_gas_cP(B50,C50,gamma_gas_,gamma_oil_,gamma_wat_,Rsb_,Rp_,Pb_,Pb_,Bob_,muob_)</f>
        <v>3.8301121221605575E-2</v>
      </c>
      <c r="H50" s="16">
        <f>[1]!PVT_mu_wat_cP(B50,C50,gamma_gas_,gamma_oil_,gamma_wat_,Rsb_,Rp_,Pb_,Tres_,Bob_,muob_)</f>
        <v>0.67572540545831516</v>
      </c>
      <c r="I50" s="15">
        <f>[1]!PVT_rho_gas_kgm3(B50,C50,gamma_gas_,gamma_oil_,gamma_wat_,Rsb_,Rp_,Pb_,Tres_,Bob_,muob_)</f>
        <v>310.27970534224994</v>
      </c>
      <c r="J50" s="15">
        <f>[1]!PVT_rho_wat_kgm3(B50,C50,gamma_gas_,gamma_oil_,gamma_wat_,Rsb_,Rp_,Pb_,Tres_,Bob_,muob_)</f>
        <v>1082.8477021541919</v>
      </c>
      <c r="K50" s="15">
        <f>[1]!PVT_rho_oil_kgm3(B50,C50,gamma_gas_,gamma_oil_,gamma_wat_,Rsb_,Rp_,Pb_,Tres_,Bob_,muob_)</f>
        <v>811.72545974132322</v>
      </c>
      <c r="L50" s="22">
        <f>[1]!PVT_bg_m3m3(B50,C50,gamma_gas_,gamma_oil_,gamma_wat_,Rsb_,Rp_,Pb_,Tres_,Bob_,muob_,0,,,,PVT_str_)</f>
        <v>3.1499320876366564E-3</v>
      </c>
      <c r="M50" s="22">
        <f>[1]!PVT_bw_m3m3(B50,C50,gamma_gas_,gamma_oil_,gamma_wat_,Rsb_,Rp_,Pb_,Tres_,Bob_,muob_,0,,,,PVT_str_)</f>
        <v>1.0158399909901326</v>
      </c>
      <c r="N50" s="17">
        <f>[1]!PVT_ST_liqgas_Nm(B50,C50,gamma_gas_,gamma_oil_,gamma_wat_,Rsb_,Rp_,Pb_,Tres_,Bob_,muob_,0,,,,PVT_str_)</f>
        <v>3.2307875625658353E-4</v>
      </c>
      <c r="O50" s="17">
        <f>[1]!PVT_ST_oilgas_Nm(B50,C50,gamma_gas_,gamma_oil_,gamma_wat_,Rsb_,Rp_,Pb_,Tres_,Bob_,muob_,0,,,,PVT_str_)</f>
        <v>3.2307875625658353E-4</v>
      </c>
      <c r="P50" s="22">
        <f>[1]!PVT_ST_watgas_Nm(B50,C50,gamma_gas_,gamma_oil_,gamma_wat_,Rsb_,Rp_,Pb_,Tres_,Bob_,muob_,0,,,,PVT_str_)</f>
        <v>2.4547089156850312E-2</v>
      </c>
      <c r="Q50" s="31">
        <f>[1]!PVT_cp_oil_JkgC(B50,C50,gamma_gas_,gamma_oil_,gamma_wat_,Rsb_,Rp_,Pb_,Tres_,Bob_,muob_,0,,,,PVT_str_)</f>
        <v>2612.2600000000002</v>
      </c>
      <c r="R50" s="31">
        <f>[1]!PVT_cp_gas_JkgC(B50,C50,gamma_gas_,gamma_oil_,gamma_wat_,Rsb_,Rp_,Pb_,Tres_,Bob_,muob_,0,,,,PVT_str_)</f>
        <v>2187.3475751703427</v>
      </c>
      <c r="S50" s="31">
        <f>[1]!PVT_cp_wat_JkgC(B50,C50,gamma_gas_,gamma_oil_,gamma_wat_,Rsb_,Rp_,Pb_,Tres_,Bob_,muob_,0,,,,PVT_str_)</f>
        <v>4176</v>
      </c>
      <c r="T50" s="32">
        <f>[1]!PVT_compressibility_wat_1atm(B50,C50,gamma_gas_,gamma_oil_,gamma_wat_,Rsb_,Rp_,Pb_,Tres_,Bob_,muob_,0,,,,PVT_str_)</f>
        <v>3.3996599764072971E-5</v>
      </c>
      <c r="U50" s="32">
        <f>[1]!PVT_compressibility_oil_1atm(B50,C50,gamma_gas_,gamma_oil_,gamma_wat_,Rsb_,Rp_,Pb_,Tres_,Bob_,muob_,0,,,,PVT_str_)</f>
        <v>7.7862347729789605E-5</v>
      </c>
      <c r="V50" s="32">
        <f>[1]!PVT_compressibility_gas_1atm(B50,C50,gamma_gas_,gamma_oil_,gamma_wat_,Rsb_,Rp_,Pb_,Tres_,Bob_,muob_,0,,,,PVT_str_)</f>
        <v>9.7162306463836206E-4</v>
      </c>
    </row>
    <row r="51" spans="2:22" x14ac:dyDescent="0.25">
      <c r="B51" s="12">
        <v>440</v>
      </c>
      <c r="C51" s="12">
        <v>80</v>
      </c>
      <c r="D51" s="15">
        <f>[1]!PVT_rs_m3m3(B51,C51,gamma_gas_,gamma_oil_,gamma_wat_,Rsb_,Rp_,Pb_,Tres_,Bob_,muob_)</f>
        <v>80</v>
      </c>
      <c r="E51" s="16">
        <f>[1]!PVT_bo_m3m3(B51,C51,gamma_gas_,gamma_oil_,gamma_wat_,Rsb_,Rp_,Pb_,Tres_,Bob_,muob_)</f>
        <v>1.155321848469399</v>
      </c>
      <c r="F51" s="15">
        <f>[1]!PVT_mu_oil_cP(B51,C51,gamma_gas_,gamma_oil_,gamma_wat_,Rsb_,Rp_,Pb_,Tres_,Bob_,muob_)</f>
        <v>2.0079983908765744</v>
      </c>
      <c r="G51" s="17">
        <f>[1]!PVT_mu_gas_cP(B51,C51,gamma_gas_,gamma_oil_,gamma_wat_,Rsb_,Rp_,Pb_,Pb_,Bob_,muob_)</f>
        <v>3.9382111695183519E-2</v>
      </c>
      <c r="H51" s="16">
        <f>[1]!PVT_mu_wat_cP(B51,C51,gamma_gas_,gamma_oil_,gamma_wat_,Rsb_,Rp_,Pb_,Tres_,Bob_,muob_)</f>
        <v>0.68728830946917741</v>
      </c>
      <c r="I51" s="15">
        <f>[1]!PVT_rho_gas_kgm3(B51,C51,gamma_gas_,gamma_oil_,gamma_wat_,Rsb_,Rp_,Pb_,Tres_,Bob_,muob_)</f>
        <v>316.10569647214157</v>
      </c>
      <c r="J51" s="15">
        <f>[1]!PVT_rho_wat_kgm3(B51,C51,gamma_gas_,gamma_oil_,gamma_wat_,Rsb_,Rp_,Pb_,Tres_,Bob_,muob_)</f>
        <v>1084.1187144074204</v>
      </c>
      <c r="K51" s="15">
        <f>[1]!PVT_rho_oil_kgm3(B51,C51,gamma_gas_,gamma_oil_,gamma_wat_,Rsb_,Rp_,Pb_,Tres_,Bob_,muob_)</f>
        <v>812.05838982698833</v>
      </c>
      <c r="L51" s="22">
        <f>[1]!PVT_bg_m3m3(B51,C51,gamma_gas_,gamma_oil_,gamma_wat_,Rsb_,Rp_,Pb_,Tres_,Bob_,muob_,0,,,,PVT_str_)</f>
        <v>3.0918772135640235E-3</v>
      </c>
      <c r="M51" s="22">
        <f>[1]!PVT_bw_m3m3(B51,C51,gamma_gas_,gamma_oil_,gamma_wat_,Rsb_,Rp_,Pb_,Tres_,Bob_,muob_,0,,,,PVT_str_)</f>
        <v>1.0146490281751666</v>
      </c>
      <c r="N51" s="17">
        <f>[1]!PVT_ST_liqgas_Nm(B51,C51,gamma_gas_,gamma_oil_,gamma_wat_,Rsb_,Rp_,Pb_,Tres_,Bob_,muob_,0,,,,PVT_str_)</f>
        <v>2.5069236361734056E-4</v>
      </c>
      <c r="O51" s="17">
        <f>[1]!PVT_ST_oilgas_Nm(B51,C51,gamma_gas_,gamma_oil_,gamma_wat_,Rsb_,Rp_,Pb_,Tres_,Bob_,muob_,0,,,,PVT_str_)</f>
        <v>2.5069236361734056E-4</v>
      </c>
      <c r="P51" s="22">
        <f>[1]!PVT_ST_watgas_Nm(B51,C51,gamma_gas_,gamma_oil_,gamma_wat_,Rsb_,Rp_,Pb_,Tres_,Bob_,muob_,0,,,,PVT_str_)</f>
        <v>2.3442288153199226E-2</v>
      </c>
      <c r="Q51" s="31">
        <f>[1]!PVT_cp_oil_JkgC(B51,C51,gamma_gas_,gamma_oil_,gamma_wat_,Rsb_,Rp_,Pb_,Tres_,Bob_,muob_,0,,,,PVT_str_)</f>
        <v>2612.2600000000002</v>
      </c>
      <c r="R51" s="31">
        <f>[1]!PVT_cp_gas_JkgC(B51,C51,gamma_gas_,gamma_oil_,gamma_wat_,Rsb_,Rp_,Pb_,Tres_,Bob_,muob_,0,,,,PVT_str_)</f>
        <v>2249.273327146152</v>
      </c>
      <c r="S51" s="31">
        <f>[1]!PVT_cp_wat_JkgC(B51,C51,gamma_gas_,gamma_oil_,gamma_wat_,Rsb_,Rp_,Pb_,Tres_,Bob_,muob_,0,,,,PVT_str_)</f>
        <v>4176</v>
      </c>
      <c r="T51" s="32">
        <f>[1]!PVT_compressibility_wat_1atm(B51,C51,gamma_gas_,gamma_oil_,gamma_wat_,Rsb_,Rp_,Pb_,Tres_,Bob_,muob_,0,,,,PVT_str_)</f>
        <v>3.3832669561714792E-5</v>
      </c>
      <c r="U51" s="32">
        <f>[1]!PVT_compressibility_oil_1atm(B51,C51,gamma_gas_,gamma_oil_,gamma_wat_,Rsb_,Rp_,Pb_,Tres_,Bob_,muob_,0,,,,PVT_str_)</f>
        <v>7.4323150105708258E-5</v>
      </c>
      <c r="V51" s="32">
        <f>[1]!PVT_compressibility_gas_1atm(B51,C51,gamma_gas_,gamma_oil_,gamma_wat_,Rsb_,Rp_,Pb_,Tres_,Bob_,muob_,0,,,,PVT_str_)</f>
        <v>8.9046921019689837E-4</v>
      </c>
    </row>
    <row r="52" spans="2:22" x14ac:dyDescent="0.25">
      <c r="B52" s="12">
        <v>460</v>
      </c>
      <c r="C52" s="12">
        <v>80</v>
      </c>
      <c r="D52" s="15">
        <f>[1]!PVT_rs_m3m3(B52,C52,gamma_gas_,gamma_oil_,gamma_wat_,Rsb_,Rp_,Pb_,Tres_,Bob_,muob_)</f>
        <v>80</v>
      </c>
      <c r="E52" s="16">
        <f>[1]!PVT_bo_m3m3(B52,C52,gamma_gas_,gamma_oil_,gamma_wat_,Rsb_,Rp_,Pb_,Tres_,Bob_,muob_)</f>
        <v>1.1548893665333237</v>
      </c>
      <c r="F52" s="15">
        <f>[1]!PVT_mu_oil_cP(B52,C52,gamma_gas_,gamma_oil_,gamma_wat_,Rsb_,Rp_,Pb_,Tres_,Bob_,muob_)</f>
        <v>2.0895409573493287</v>
      </c>
      <c r="G52" s="17">
        <f>[1]!PVT_mu_gas_cP(B52,C52,gamma_gas_,gamma_oil_,gamma_wat_,Rsb_,Rp_,Pb_,Pb_,Bob_,muob_)</f>
        <v>4.0425870556863336E-2</v>
      </c>
      <c r="H52" s="16">
        <f>[1]!PVT_mu_wat_cP(B52,C52,gamma_gas_,gamma_oil_,gamma_wat_,Rsb_,Rp_,Pb_,Tres_,Bob_,muob_)</f>
        <v>0.6991166142299875</v>
      </c>
      <c r="I52" s="15">
        <f>[1]!PVT_rho_gas_kgm3(B52,C52,gamma_gas_,gamma_oil_,gamma_wat_,Rsb_,Rp_,Pb_,Tres_,Bob_,muob_)</f>
        <v>321.55365623768205</v>
      </c>
      <c r="J52" s="15">
        <f>[1]!PVT_rho_wat_kgm3(B52,C52,gamma_gas_,gamma_oil_,gamma_wat_,Rsb_,Rp_,Pb_,Tres_,Bob_,muob_)</f>
        <v>1085.4414594376583</v>
      </c>
      <c r="K52" s="15">
        <f>[1]!PVT_rho_oil_kgm3(B52,C52,gamma_gas_,gamma_oil_,gamma_wat_,Rsb_,Rp_,Pb_,Tres_,Bob_,muob_)</f>
        <v>812.36248872582291</v>
      </c>
      <c r="L52" s="22">
        <f>[1]!PVT_bg_m3m3(B52,C52,gamma_gas_,gamma_oil_,gamma_wat_,Rsb_,Rp_,Pb_,Tres_,Bob_,muob_,0,,,,PVT_str_)</f>
        <v>3.0394927286336538E-3</v>
      </c>
      <c r="M52" s="22">
        <f>[1]!PVT_bw_m3m3(B52,C52,gamma_gas_,gamma_oil_,gamma_wat_,Rsb_,Rp_,Pb_,Tres_,Bob_,muob_,0,,,,PVT_str_)</f>
        <v>1.0134125525018034</v>
      </c>
      <c r="N52" s="17">
        <f>[1]!PVT_ST_liqgas_Nm(B52,C52,gamma_gas_,gamma_oil_,gamma_wat_,Rsb_,Rp_,Pb_,Tres_,Bob_,muob_,0,,,,PVT_str_)</f>
        <v>1.945242760750792E-4</v>
      </c>
      <c r="O52" s="17">
        <f>[1]!PVT_ST_oilgas_Nm(B52,C52,gamma_gas_,gamma_oil_,gamma_wat_,Rsb_,Rp_,Pb_,Tres_,Bob_,muob_,0,,,,PVT_str_)</f>
        <v>1.945242760750792E-4</v>
      </c>
      <c r="P52" s="22">
        <f>[1]!PVT_ST_watgas_Nm(B52,C52,gamma_gas_,gamma_oil_,gamma_wat_,Rsb_,Rp_,Pb_,Tres_,Bob_,muob_,0,,,,PVT_str_)</f>
        <v>2.2387211385683402E-2</v>
      </c>
      <c r="Q52" s="31">
        <f>[1]!PVT_cp_oil_JkgC(B52,C52,gamma_gas_,gamma_oil_,gamma_wat_,Rsb_,Rp_,Pb_,Tres_,Bob_,muob_,0,,,,PVT_str_)</f>
        <v>2612.2600000000002</v>
      </c>
      <c r="R52" s="31">
        <f>[1]!PVT_cp_gas_JkgC(B52,C52,gamma_gas_,gamma_oil_,gamma_wat_,Rsb_,Rp_,Pb_,Tres_,Bob_,muob_,0,,,,PVT_str_)</f>
        <v>2311.6722442524774</v>
      </c>
      <c r="S52" s="31">
        <f>[1]!PVT_cp_wat_JkgC(B52,C52,gamma_gas_,gamma_oil_,gamma_wat_,Rsb_,Rp_,Pb_,Tres_,Bob_,muob_,0,,,,PVT_str_)</f>
        <v>4176</v>
      </c>
      <c r="T52" s="32">
        <f>[1]!PVT_compressibility_wat_1atm(B52,C52,gamma_gas_,gamma_oil_,gamma_wat_,Rsb_,Rp_,Pb_,Tres_,Bob_,muob_,0,,,,PVT_str_)</f>
        <v>3.3670312702116318E-5</v>
      </c>
      <c r="U52" s="32">
        <f>[1]!PVT_compressibility_oil_1atm(B52,C52,gamma_gas_,gamma_oil_,gamma_wat_,Rsb_,Rp_,Pb_,Tres_,Bob_,muob_,0,,,,PVT_str_)</f>
        <v>7.1091708796764419E-5</v>
      </c>
      <c r="V52" s="32">
        <f>[1]!PVT_compressibility_gas_1atm(B52,C52,gamma_gas_,gamma_oil_,gamma_wat_,Rsb_,Rp_,Pb_,Tres_,Bob_,muob_,0,,,,PVT_str_)</f>
        <v>8.1989481589971969E-4</v>
      </c>
    </row>
    <row r="56" spans="2:22" x14ac:dyDescent="0.25">
      <c r="O56">
        <f>O54</f>
        <v>0</v>
      </c>
    </row>
    <row r="111" spans="11:11" x14ac:dyDescent="0.25">
      <c r="K111" t="s">
        <v>5</v>
      </c>
    </row>
    <row r="122" spans="11:11" x14ac:dyDescent="0.25">
      <c r="K122" s="3"/>
    </row>
  </sheetData>
  <dataConsolidate/>
  <mergeCells count="10">
    <mergeCell ref="A6:A8"/>
    <mergeCell ref="B6:E8"/>
    <mergeCell ref="H6:H8"/>
    <mergeCell ref="I6:L8"/>
    <mergeCell ref="B3:E3"/>
    <mergeCell ref="I3:L3"/>
    <mergeCell ref="B4:E4"/>
    <mergeCell ref="I4:L4"/>
    <mergeCell ref="B5:E5"/>
    <mergeCell ref="I5:L5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24</vt:i4>
      </vt:variant>
    </vt:vector>
  </HeadingPairs>
  <TitlesOfParts>
    <vt:vector size="25" baseType="lpstr">
      <vt:lpstr>exercise_PVT</vt:lpstr>
      <vt:lpstr>exercise_PVT!Bob_</vt:lpstr>
      <vt:lpstr>exercise_PVT!Course</vt:lpstr>
      <vt:lpstr>exercise_PVT!gamma_gas_</vt:lpstr>
      <vt:lpstr>exercise_PVT!gamma_oil_</vt:lpstr>
      <vt:lpstr>exercise_PVT!gamma_wat_</vt:lpstr>
      <vt:lpstr>exercise_PVT!Group</vt:lpstr>
      <vt:lpstr>exercise_PVT!input_0</vt:lpstr>
      <vt:lpstr>exercise_PVT!input_1</vt:lpstr>
      <vt:lpstr>exercise_PVT!input_Course</vt:lpstr>
      <vt:lpstr>exercise_PVT!input_Date</vt:lpstr>
      <vt:lpstr>exercise_PVT!input_Group</vt:lpstr>
      <vt:lpstr>exercise_PVT!input_Notes</vt:lpstr>
      <vt:lpstr>exercise_PVT!input_Student_Name</vt:lpstr>
      <vt:lpstr>exercise_PVT!input_Version</vt:lpstr>
      <vt:lpstr>exercise_PVT!muob_</vt:lpstr>
      <vt:lpstr>exercise_PVT!Notes</vt:lpstr>
      <vt:lpstr>exercise_PVT!output_0</vt:lpstr>
      <vt:lpstr>exercise_PVT!Pb_</vt:lpstr>
      <vt:lpstr>exercise_PVT!PVT_str_</vt:lpstr>
      <vt:lpstr>exercise_PVT!Rp_</vt:lpstr>
      <vt:lpstr>exercise_PVT!Rsb_</vt:lpstr>
      <vt:lpstr>exercise_PVT!Student_Name</vt:lpstr>
      <vt:lpstr>exercise_PVT!Tres_</vt:lpstr>
      <vt:lpstr>exercise_PVT!unf_version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Ринат Хабибуллин</cp:lastModifiedBy>
  <dcterms:created xsi:type="dcterms:W3CDTF">2020-04-13T13:26:12Z</dcterms:created>
  <dcterms:modified xsi:type="dcterms:W3CDTF">2020-11-06T06:46:41Z</dcterms:modified>
</cp:coreProperties>
</file>