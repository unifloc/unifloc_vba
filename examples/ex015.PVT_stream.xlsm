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5EFBA610-CBC5-4B00-837C-4E145FD77062}" xr6:coauthVersionLast="45" xr6:coauthVersionMax="45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fw">exercise_PVT!$C$21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exercise_PVT!$B$78:$C$103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exercise_PVT!$D$78:$P$103</definedName>
    <definedName name="param">exercise_PVT!$D$25</definedName>
    <definedName name="Pb_" localSheetId="0">exercise_PVT!$C$15</definedName>
    <definedName name="PVT_str_" localSheetId="0">exercise_PVT!$D$30</definedName>
    <definedName name="PVT_stream_">exercise_PVT!$D$31</definedName>
    <definedName name="Qgas">exercise_PVT!$C$23</definedName>
    <definedName name="Qliq">exercise_PVT!$C$20</definedName>
    <definedName name="rp">exercise_PVT!$C$22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7" i="113" l="1"/>
  <c r="D30" i="113"/>
  <c r="D31" i="113" a="1"/>
  <c r="D25" i="113" a="1"/>
  <c r="D25" i="113" l="1"/>
  <c r="D31" i="113"/>
  <c r="E16" i="113"/>
  <c r="E15" i="113"/>
  <c r="E14" i="113"/>
  <c r="E13" i="113"/>
  <c r="E12" i="113"/>
  <c r="E11" i="113"/>
  <c r="D51" i="113" a="1"/>
  <c r="D63" i="113" a="1"/>
  <c r="D53" i="113" a="1"/>
  <c r="D67" i="113" a="1"/>
  <c r="D48" i="113" a="1"/>
  <c r="D60" i="113" a="1"/>
  <c r="D59" i="113" a="1"/>
  <c r="D65" i="113" a="1"/>
  <c r="D45" i="113" a="1"/>
  <c r="D56" i="113" a="1"/>
  <c r="D58" i="113" a="1"/>
  <c r="D68" i="113" a="1"/>
  <c r="D62" i="113" a="1"/>
  <c r="D57" i="113" a="1"/>
  <c r="D66" i="113" a="1"/>
  <c r="D52" i="113" a="1"/>
  <c r="D70" i="113" a="1"/>
  <c r="D64" i="113" a="1"/>
  <c r="D47" i="113" a="1"/>
  <c r="D55" i="113" a="1"/>
  <c r="D69" i="113" a="1"/>
  <c r="D46" i="113" a="1"/>
  <c r="D50" i="113" a="1"/>
  <c r="D54" i="113" a="1"/>
  <c r="D38" i="113" a="1"/>
  <c r="S45" i="113" a="1"/>
  <c r="D61" i="113" a="1"/>
  <c r="D49" i="113" a="1"/>
  <c r="D34" i="113" a="1"/>
  <c r="R17" i="113" a="1"/>
  <c r="G1" i="113"/>
  <c r="O44" i="113" l="1"/>
  <c r="N44" i="113"/>
  <c r="G44" i="113"/>
  <c r="P44" i="113"/>
  <c r="K44" i="113"/>
  <c r="I44" i="113"/>
  <c r="H44" i="113"/>
  <c r="M44" i="113"/>
  <c r="E44" i="113"/>
  <c r="L44" i="113"/>
  <c r="Q44" i="113"/>
  <c r="D44" i="113"/>
  <c r="J44" i="113"/>
  <c r="F44" i="113"/>
  <c r="R17" i="113"/>
  <c r="D34" i="113"/>
  <c r="F49" i="113"/>
  <c r="H49" i="113"/>
  <c r="Q49" i="113"/>
  <c r="D49" i="113"/>
  <c r="P49" i="113"/>
  <c r="G49" i="113"/>
  <c r="O49" i="113"/>
  <c r="J49" i="113"/>
  <c r="M49" i="113"/>
  <c r="E49" i="113"/>
  <c r="K49" i="113"/>
  <c r="N49" i="113"/>
  <c r="I49" i="113"/>
  <c r="L49" i="113"/>
  <c r="L61" i="113"/>
  <c r="J61" i="113"/>
  <c r="H61" i="113"/>
  <c r="E61" i="113"/>
  <c r="Q61" i="113"/>
  <c r="O61" i="113"/>
  <c r="D61" i="113"/>
  <c r="N61" i="113"/>
  <c r="G61" i="113"/>
  <c r="F61" i="113"/>
  <c r="M61" i="113"/>
  <c r="K61" i="113"/>
  <c r="P61" i="113"/>
  <c r="I61" i="113"/>
  <c r="S45" i="113"/>
  <c r="D38" i="113"/>
  <c r="J54" i="113"/>
  <c r="H54" i="113"/>
  <c r="K54" i="113"/>
  <c r="N54" i="113"/>
  <c r="M54" i="113"/>
  <c r="G54" i="113"/>
  <c r="E54" i="113"/>
  <c r="L54" i="113"/>
  <c r="D54" i="113"/>
  <c r="I54" i="113"/>
  <c r="F54" i="113"/>
  <c r="Q54" i="113"/>
  <c r="O54" i="113"/>
  <c r="P54" i="113"/>
  <c r="I50" i="113"/>
  <c r="H50" i="113"/>
  <c r="N50" i="113"/>
  <c r="K50" i="113"/>
  <c r="J50" i="113"/>
  <c r="E50" i="113"/>
  <c r="P50" i="113"/>
  <c r="G50" i="113"/>
  <c r="L50" i="113"/>
  <c r="O50" i="113"/>
  <c r="M50" i="113"/>
  <c r="D50" i="113"/>
  <c r="Q50" i="113"/>
  <c r="F50" i="113"/>
  <c r="Q46" i="113"/>
  <c r="L46" i="113"/>
  <c r="P46" i="113"/>
  <c r="H46" i="113"/>
  <c r="E46" i="113"/>
  <c r="K46" i="113"/>
  <c r="O46" i="113"/>
  <c r="I46" i="113"/>
  <c r="N46" i="113"/>
  <c r="M46" i="113"/>
  <c r="F46" i="113"/>
  <c r="G46" i="113"/>
  <c r="J46" i="113"/>
  <c r="D46" i="113"/>
  <c r="N69" i="113"/>
  <c r="G69" i="113"/>
  <c r="J69" i="113"/>
  <c r="K69" i="113"/>
  <c r="O69" i="113"/>
  <c r="L69" i="113"/>
  <c r="D69" i="113"/>
  <c r="M69" i="113"/>
  <c r="F69" i="113"/>
  <c r="I69" i="113"/>
  <c r="E69" i="113"/>
  <c r="Q69" i="113"/>
  <c r="H69" i="113"/>
  <c r="P69" i="113"/>
  <c r="Q55" i="113"/>
  <c r="E55" i="113"/>
  <c r="O55" i="113"/>
  <c r="D55" i="113"/>
  <c r="P55" i="113"/>
  <c r="L55" i="113"/>
  <c r="J55" i="113"/>
  <c r="G55" i="113"/>
  <c r="K55" i="113"/>
  <c r="H55" i="113"/>
  <c r="F55" i="113"/>
  <c r="I55" i="113"/>
  <c r="M55" i="113"/>
  <c r="N55" i="113"/>
  <c r="J47" i="113"/>
  <c r="N47" i="113"/>
  <c r="Q47" i="113"/>
  <c r="E47" i="113"/>
  <c r="I47" i="113"/>
  <c r="K47" i="113"/>
  <c r="P47" i="113"/>
  <c r="M47" i="113"/>
  <c r="F47" i="113"/>
  <c r="G47" i="113"/>
  <c r="D47" i="113"/>
  <c r="L47" i="113"/>
  <c r="O47" i="113"/>
  <c r="H47" i="113"/>
  <c r="Q64" i="113"/>
  <c r="M64" i="113"/>
  <c r="D64" i="113"/>
  <c r="F64" i="113"/>
  <c r="J64" i="113"/>
  <c r="L64" i="113"/>
  <c r="G64" i="113"/>
  <c r="P64" i="113"/>
  <c r="E64" i="113"/>
  <c r="K64" i="113"/>
  <c r="I64" i="113"/>
  <c r="N64" i="113"/>
  <c r="O64" i="113"/>
  <c r="H64" i="113"/>
  <c r="F70" i="113"/>
  <c r="H70" i="113"/>
  <c r="P70" i="113"/>
  <c r="N70" i="113"/>
  <c r="Q70" i="113"/>
  <c r="K70" i="113"/>
  <c r="O70" i="113"/>
  <c r="I70" i="113"/>
  <c r="D70" i="113"/>
  <c r="M70" i="113"/>
  <c r="J70" i="113"/>
  <c r="L70" i="113"/>
  <c r="E70" i="113"/>
  <c r="G70" i="113"/>
  <c r="O52" i="113"/>
  <c r="P52" i="113"/>
  <c r="F52" i="113"/>
  <c r="D52" i="113"/>
  <c r="G52" i="113"/>
  <c r="Q52" i="113"/>
  <c r="I52" i="113"/>
  <c r="L52" i="113"/>
  <c r="H52" i="113"/>
  <c r="M52" i="113"/>
  <c r="E52" i="113"/>
  <c r="K52" i="113"/>
  <c r="J52" i="113"/>
  <c r="N52" i="113"/>
  <c r="E66" i="113"/>
  <c r="H66" i="113"/>
  <c r="D66" i="113"/>
  <c r="J66" i="113"/>
  <c r="K66" i="113"/>
  <c r="I66" i="113"/>
  <c r="M66" i="113"/>
  <c r="Q66" i="113"/>
  <c r="N66" i="113"/>
  <c r="F66" i="113"/>
  <c r="P66" i="113"/>
  <c r="O66" i="113"/>
  <c r="L66" i="113"/>
  <c r="G66" i="113"/>
  <c r="M57" i="113"/>
  <c r="P57" i="113"/>
  <c r="L57" i="113"/>
  <c r="I57" i="113"/>
  <c r="N57" i="113"/>
  <c r="K57" i="113"/>
  <c r="O57" i="113"/>
  <c r="F57" i="113"/>
  <c r="D57" i="113"/>
  <c r="E57" i="113"/>
  <c r="J57" i="113"/>
  <c r="Q57" i="113"/>
  <c r="G57" i="113"/>
  <c r="H57" i="113"/>
  <c r="H62" i="113"/>
  <c r="G62" i="113"/>
  <c r="N62" i="113"/>
  <c r="M62" i="113"/>
  <c r="P62" i="113"/>
  <c r="L62" i="113"/>
  <c r="D62" i="113"/>
  <c r="I62" i="113"/>
  <c r="O62" i="113"/>
  <c r="J62" i="113"/>
  <c r="K62" i="113"/>
  <c r="E62" i="113"/>
  <c r="F62" i="113"/>
  <c r="Q62" i="113"/>
  <c r="L68" i="113"/>
  <c r="H68" i="113"/>
  <c r="I68" i="113"/>
  <c r="D68" i="113"/>
  <c r="Q68" i="113"/>
  <c r="F68" i="113"/>
  <c r="E68" i="113"/>
  <c r="P68" i="113"/>
  <c r="J68" i="113"/>
  <c r="N68" i="113"/>
  <c r="G68" i="113"/>
  <c r="O68" i="113"/>
  <c r="K68" i="113"/>
  <c r="M68" i="113"/>
  <c r="D58" i="113"/>
  <c r="O58" i="113"/>
  <c r="P58" i="113"/>
  <c r="N58" i="113"/>
  <c r="H58" i="113"/>
  <c r="J58" i="113"/>
  <c r="I58" i="113"/>
  <c r="K58" i="113"/>
  <c r="L58" i="113"/>
  <c r="G58" i="113"/>
  <c r="M58" i="113"/>
  <c r="Q58" i="113"/>
  <c r="E58" i="113"/>
  <c r="F58" i="113"/>
  <c r="O56" i="113"/>
  <c r="J56" i="113"/>
  <c r="D56" i="113"/>
  <c r="I56" i="113"/>
  <c r="F56" i="113"/>
  <c r="K56" i="113"/>
  <c r="P56" i="113"/>
  <c r="Q56" i="113"/>
  <c r="E56" i="113"/>
  <c r="N56" i="113"/>
  <c r="M56" i="113"/>
  <c r="G56" i="113"/>
  <c r="H56" i="113"/>
  <c r="L56" i="113"/>
  <c r="N45" i="113"/>
  <c r="H45" i="113"/>
  <c r="F45" i="113"/>
  <c r="Q45" i="113"/>
  <c r="J45" i="113"/>
  <c r="O45" i="113"/>
  <c r="K45" i="113"/>
  <c r="E45" i="113"/>
  <c r="I45" i="113"/>
  <c r="G45" i="113"/>
  <c r="D45" i="113"/>
  <c r="L45" i="113"/>
  <c r="P45" i="113"/>
  <c r="M45" i="113"/>
  <c r="J65" i="113"/>
  <c r="K65" i="113"/>
  <c r="M65" i="113"/>
  <c r="Q65" i="113"/>
  <c r="H65" i="113"/>
  <c r="D65" i="113"/>
  <c r="N65" i="113"/>
  <c r="P65" i="113"/>
  <c r="I65" i="113"/>
  <c r="F65" i="113"/>
  <c r="E65" i="113"/>
  <c r="G65" i="113"/>
  <c r="O65" i="113"/>
  <c r="L65" i="113"/>
  <c r="E59" i="113"/>
  <c r="F59" i="113"/>
  <c r="L59" i="113"/>
  <c r="G59" i="113"/>
  <c r="J59" i="113"/>
  <c r="N59" i="113"/>
  <c r="Q59" i="113"/>
  <c r="P59" i="113"/>
  <c r="D59" i="113"/>
  <c r="H59" i="113"/>
  <c r="I59" i="113"/>
  <c r="M59" i="113"/>
  <c r="K59" i="113"/>
  <c r="O59" i="113"/>
  <c r="P60" i="113"/>
  <c r="H60" i="113"/>
  <c r="G60" i="113"/>
  <c r="L60" i="113"/>
  <c r="E60" i="113"/>
  <c r="I60" i="113"/>
  <c r="N60" i="113"/>
  <c r="Q60" i="113"/>
  <c r="M60" i="113"/>
  <c r="D60" i="113"/>
  <c r="O60" i="113"/>
  <c r="K60" i="113"/>
  <c r="J60" i="113"/>
  <c r="F60" i="113"/>
  <c r="N48" i="113"/>
  <c r="D48" i="113"/>
  <c r="E48" i="113"/>
  <c r="L48" i="113"/>
  <c r="J48" i="113"/>
  <c r="P48" i="113"/>
  <c r="I48" i="113"/>
  <c r="H48" i="113"/>
  <c r="M48" i="113"/>
  <c r="Q48" i="113"/>
  <c r="O48" i="113"/>
  <c r="K48" i="113"/>
  <c r="G48" i="113"/>
  <c r="F48" i="113"/>
  <c r="G67" i="113"/>
  <c r="Q67" i="113"/>
  <c r="H67" i="113"/>
  <c r="K67" i="113"/>
  <c r="E67" i="113"/>
  <c r="N67" i="113"/>
  <c r="O67" i="113"/>
  <c r="I67" i="113"/>
  <c r="M67" i="113"/>
  <c r="J67" i="113"/>
  <c r="L67" i="113"/>
  <c r="P67" i="113"/>
  <c r="F67" i="113"/>
  <c r="D67" i="113"/>
  <c r="K53" i="113"/>
  <c r="O53" i="113"/>
  <c r="I53" i="113"/>
  <c r="J53" i="113"/>
  <c r="D53" i="113"/>
  <c r="L53" i="113"/>
  <c r="H53" i="113"/>
  <c r="M53" i="113"/>
  <c r="F53" i="113"/>
  <c r="E53" i="113"/>
  <c r="P53" i="113"/>
  <c r="N53" i="113"/>
  <c r="G53" i="113"/>
  <c r="Q53" i="113"/>
  <c r="J63" i="113"/>
  <c r="E63" i="113"/>
  <c r="F63" i="113"/>
  <c r="M63" i="113"/>
  <c r="D63" i="113"/>
  <c r="I63" i="113"/>
  <c r="L63" i="113"/>
  <c r="Q63" i="113"/>
  <c r="N63" i="113"/>
  <c r="K63" i="113"/>
  <c r="H63" i="113"/>
  <c r="G63" i="113"/>
  <c r="O63" i="113"/>
  <c r="P63" i="113"/>
  <c r="O51" i="113"/>
  <c r="I51" i="113"/>
  <c r="P51" i="113"/>
  <c r="E51" i="113"/>
  <c r="N51" i="113"/>
  <c r="L51" i="113"/>
  <c r="Q51" i="113"/>
  <c r="J51" i="113"/>
  <c r="G51" i="113"/>
  <c r="H51" i="113"/>
  <c r="F51" i="113"/>
  <c r="M51" i="113"/>
  <c r="D51" i="113"/>
  <c r="K51" i="113"/>
  <c r="R19" i="113" a="1"/>
  <c r="R19" i="1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<sst xmlns="http://schemas.openxmlformats.org/spreadsheetml/2006/main" count="59" uniqueCount="45">
  <si>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</si>
  <si>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</si>
  <si>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</si>
  <si>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</si>
  <si>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</si>
  <si>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</si>
  <si>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</si>
  <si>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</si>
  <si>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</si>
  <si>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</si>
  <si>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</si>
  <si>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</si>
  <si>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</si>
  <si>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</si>
  <si>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</si>
  <si>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</si>
  <si>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</si>
  <si>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</si>
  <si>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</si>
  <si>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</si>
  <si>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</si>
  <si>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</si>
  <si>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</si>
  <si>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</si>
  <si>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</si>
  <si>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</si>
  <si>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</si>
  <si>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</si>
  <si>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</si>
  <si>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</si>
  <si>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</si>
  <si>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</si>
  <si>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</si>
  <si>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</si>
  <si>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</si>
  <si>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</si>
  <si>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</si>
  <si>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</si>
  <si>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Расчет свойств флюида с использованием отдельных функций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</si>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</sst>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00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1" fontId="14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2" borderId="2" xfId="0" applyFill="1" applyBorder="1"/>
    <xf numFmtId="1" fontId="14" fillId="4" borderId="2" xfId="0" applyNumberFormat="1" applyFont="1" applyFill="1" applyBorder="1" applyAlignment="1">
      <alignment horizontal="left"/>
    </xf>
    <xf numFmtId="0" fontId="15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0" fillId="2" borderId="16" xfId="0" applyFill="1" applyBorder="1" applyAlignment="1">
      <alignment horizontal="center" vertical="center"/>
    </xf>
    <xf numFmtId="0" fontId="0" fillId="4" borderId="10" xfId="0" applyFill="1" applyBorder="1"/>
    <xf numFmtId="0" fontId="0" fillId="4" borderId="0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1" fontId="0" fillId="4" borderId="8" xfId="0" applyNumberFormat="1" applyFill="1" applyBorder="1"/>
    <xf numFmtId="1" fontId="0" fillId="4" borderId="9" xfId="0" applyNumberFormat="1" applyFill="1" applyBorder="1"/>
    <xf numFmtId="167" fontId="0" fillId="7" borderId="2" xfId="0" applyNumberFormat="1" applyFill="1" applyBorder="1" applyAlignment="1">
      <alignment horizontal="center"/>
    </xf>
    <xf numFmtId="0" fontId="15" fillId="3" borderId="14" xfId="0" applyFont="1" applyFill="1" applyBorder="1" applyAlignment="1">
      <alignment horizontal="left" wrapText="1"/>
    </xf>
    <xf numFmtId="0" fontId="15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exercise_PVT!$D$77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exercise_PVT!$B$45:$B$70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exercise_PVT!$I$45:$I$70</c:f>
              <c:numCache>
                <c:formatCode>0.00</c:formatCode>
                <c:ptCount val="26"/>
                <c:pt idx="0">
                  <c:v>0.99542939404240138</c:v>
                </c:pt>
                <c:pt idx="1">
                  <c:v>0.97717694634586227</c:v>
                </c:pt>
                <c:pt idx="2">
                  <c:v>0.95433595011256678</c:v>
                </c:pt>
                <c:pt idx="3">
                  <c:v>0.90826693982745077</c:v>
                </c:pt>
                <c:pt idx="4">
                  <c:v>0.81342453406518511</c:v>
                </c:pt>
                <c:pt idx="5">
                  <c:v>0.71529786848237831</c:v>
                </c:pt>
                <c:pt idx="6">
                  <c:v>0.618145362128798</c:v>
                </c:pt>
                <c:pt idx="7">
                  <c:v>0.52787667150499529</c:v>
                </c:pt>
                <c:pt idx="8">
                  <c:v>0.44812590065181068</c:v>
                </c:pt>
                <c:pt idx="9">
                  <c:v>0.37913347853050733</c:v>
                </c:pt>
                <c:pt idx="10">
                  <c:v>0.31907999790500852</c:v>
                </c:pt>
                <c:pt idx="11">
                  <c:v>0.26563205675654555</c:v>
                </c:pt>
                <c:pt idx="12">
                  <c:v>0.21675096222741119</c:v>
                </c:pt>
                <c:pt idx="13">
                  <c:v>0.19363115252888322</c:v>
                </c:pt>
                <c:pt idx="14">
                  <c:v>0.18607396562442005</c:v>
                </c:pt>
                <c:pt idx="15">
                  <c:v>0.17986438941907965</c:v>
                </c:pt>
                <c:pt idx="16">
                  <c:v>0.17465971306556952</c:v>
                </c:pt>
                <c:pt idx="17">
                  <c:v>0.17022626668607346</c:v>
                </c:pt>
                <c:pt idx="18">
                  <c:v>0.16640030744251896</c:v>
                </c:pt>
                <c:pt idx="19">
                  <c:v>0.16306361810471798</c:v>
                </c:pt>
                <c:pt idx="20">
                  <c:v>0.16012822116602615</c:v>
                </c:pt>
                <c:pt idx="21">
                  <c:v>0.15752670345100031</c:v>
                </c:pt>
                <c:pt idx="22">
                  <c:v>0.15520600228570067</c:v>
                </c:pt>
                <c:pt idx="23">
                  <c:v>0.15312334500422506</c:v>
                </c:pt>
                <c:pt idx="24">
                  <c:v>0.15124354427670011</c:v>
                </c:pt>
                <c:pt idx="25">
                  <c:v>0.14953715981910817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exercise_PVT!$E$44</c:f>
              <c:strCache>
                <c:ptCount val="1"/>
                <c:pt idx="0">
                  <c:v>q_mix_rc_m3day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exercise_PVT!$B$45:$B$70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exercise_PVT!$E$45:$E$70</c:f>
              <c:numCache>
                <c:formatCode>0</c:formatCode>
                <c:ptCount val="26"/>
                <c:pt idx="0">
                  <c:v>3369.1795401413019</c:v>
                </c:pt>
                <c:pt idx="1">
                  <c:v>675.62573640330015</c:v>
                </c:pt>
                <c:pt idx="2">
                  <c:v>338.37331846336804</c:v>
                </c:pt>
                <c:pt idx="3">
                  <c:v>169.24424714449125</c:v>
                </c:pt>
                <c:pt idx="4">
                  <c:v>84.145766053271515</c:v>
                </c:pt>
                <c:pt idx="5">
                  <c:v>55.845800317871792</c:v>
                </c:pt>
                <c:pt idx="6">
                  <c:v>42.214572228156079</c:v>
                </c:pt>
                <c:pt idx="7">
                  <c:v>34.647716558727332</c:v>
                </c:pt>
                <c:pt idx="8">
                  <c:v>30.10119325540342</c:v>
                </c:pt>
                <c:pt idx="9">
                  <c:v>27.188925311133666</c:v>
                </c:pt>
                <c:pt idx="10">
                  <c:v>25.205321364117847</c:v>
                </c:pt>
                <c:pt idx="11">
                  <c:v>23.77220799443263</c:v>
                </c:pt>
                <c:pt idx="12">
                  <c:v>22.680131782581356</c:v>
                </c:pt>
                <c:pt idx="13">
                  <c:v>22.120145080015721</c:v>
                </c:pt>
                <c:pt idx="14">
                  <c:v>21.843639988755839</c:v>
                </c:pt>
                <c:pt idx="15">
                  <c:v>21.618678708953922</c:v>
                </c:pt>
                <c:pt idx="16">
                  <c:v>21.431708980302997</c:v>
                </c:pt>
                <c:pt idx="17">
                  <c:v>21.27361470885138</c:v>
                </c:pt>
                <c:pt idx="18">
                  <c:v>21.138058291822929</c:v>
                </c:pt>
                <c:pt idx="19">
                  <c:v>21.020490939095371</c:v>
                </c:pt>
                <c:pt idx="20">
                  <c:v>20.917548374165236</c:v>
                </c:pt>
                <c:pt idx="21">
                  <c:v>20.826673114476179</c:v>
                </c:pt>
                <c:pt idx="22">
                  <c:v>20.745872653205168</c:v>
                </c:pt>
                <c:pt idx="23">
                  <c:v>20.673560871205904</c:v>
                </c:pt>
                <c:pt idx="24">
                  <c:v>20.608451527711445</c:v>
                </c:pt>
                <c:pt idx="25">
                  <c:v>20.549485056282006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9F-4179-B497-32BC78888E0B}"/>
            </c:ext>
          </c:extLst>
        </c:ser>
        <c:ser>
          <c:idx val="1"/>
          <c:order val="1"/>
          <c:tx>
            <c:strRef>
              <c:f>exercise_PVT!$F$44</c:f>
              <c:strCache>
                <c:ptCount val="1"/>
                <c:pt idx="0">
                  <c:v>q_oil_rc_m3day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exercise_PVT!$B$45:$B$70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exercise_PVT!$F$45:$F$70</c:f>
              <c:numCache>
                <c:formatCode>0</c:formatCode>
                <c:ptCount val="26"/>
                <c:pt idx="0">
                  <c:v>15.244643169223249</c:v>
                </c:pt>
                <c:pt idx="1">
                  <c:v>15.265300100781609</c:v>
                </c:pt>
                <c:pt idx="2">
                  <c:v>15.29696237000843</c:v>
                </c:pt>
                <c:pt idx="3">
                  <c:v>15.370777475109509</c:v>
                </c:pt>
                <c:pt idx="4">
                  <c:v>15.545062381624215</c:v>
                </c:pt>
                <c:pt idx="5">
                  <c:v>15.744994193374536</c:v>
                </c:pt>
                <c:pt idx="6">
                  <c:v>15.965461757343775</c:v>
                </c:pt>
                <c:pt idx="7">
                  <c:v>16.203689419364707</c:v>
                </c:pt>
                <c:pt idx="8">
                  <c:v>16.457832483600512</c:v>
                </c:pt>
                <c:pt idx="9">
                  <c:v>16.726533287377212</c:v>
                </c:pt>
                <c:pt idx="10">
                  <c:v>17.008730350439478</c:v>
                </c:pt>
                <c:pt idx="11">
                  <c:v>17.303560259954885</c:v>
                </c:pt>
                <c:pt idx="12">
                  <c:v>17.610300885267275</c:v>
                </c:pt>
                <c:pt idx="13">
                  <c:v>17.683208932276976</c:v>
                </c:pt>
                <c:pt idx="14">
                  <c:v>17.625430685721337</c:v>
                </c:pt>
                <c:pt idx="15">
                  <c:v>17.576688878329534</c:v>
                </c:pt>
                <c:pt idx="16">
                  <c:v>17.535017483699519</c:v>
                </c:pt>
                <c:pt idx="17">
                  <c:v>17.498982198367631</c:v>
                </c:pt>
                <c:pt idx="18">
                  <c:v>17.467512076497357</c:v>
                </c:pt>
                <c:pt idx="19">
                  <c:v>17.439791325179137</c:v>
                </c:pt>
                <c:pt idx="20">
                  <c:v>17.415187591513156</c:v>
                </c:pt>
                <c:pt idx="21">
                  <c:v>17.393203148194438</c:v>
                </c:pt>
                <c:pt idx="22">
                  <c:v>17.373440878630944</c:v>
                </c:pt>
                <c:pt idx="23">
                  <c:v>17.355580078809876</c:v>
                </c:pt>
                <c:pt idx="24">
                  <c:v>17.339358922379517</c:v>
                </c:pt>
                <c:pt idx="25">
                  <c:v>17.324561542345116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9F-4179-B497-32BC78888E0B}"/>
            </c:ext>
          </c:extLst>
        </c:ser>
        <c:ser>
          <c:idx val="2"/>
          <c:order val="2"/>
          <c:tx>
            <c:strRef>
              <c:f>exercise_PVT!$G$44</c:f>
              <c:strCache>
                <c:ptCount val="1"/>
                <c:pt idx="0">
                  <c:v>q_wat_rc_m3day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exercise_PVT!$B$45:$B$70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exercise_PVT!$G$45:$G$70</c:f>
              <c:numCache>
                <c:formatCode>0.00</c:formatCode>
                <c:ptCount val="26"/>
                <c:pt idx="0">
                  <c:v>0.15454890916583935</c:v>
                </c:pt>
                <c:pt idx="1">
                  <c:v>0.15454233126719386</c:v>
                </c:pt>
                <c:pt idx="2">
                  <c:v>0.15453372487914427</c:v>
                </c:pt>
                <c:pt idx="3">
                  <c:v>0.15451523205390263</c:v>
                </c:pt>
                <c:pt idx="4">
                  <c:v>0.15447312620684964</c:v>
                </c:pt>
                <c:pt idx="5">
                  <c:v>0.15442419343103705</c:v>
                </c:pt>
                <c:pt idx="6">
                  <c:v>0.15436843372646489</c:v>
                </c:pt>
                <c:pt idx="7">
                  <c:v>0.15430584709313314</c:v>
                </c:pt>
                <c:pt idx="8">
                  <c:v>0.15423643353104174</c:v>
                </c:pt>
                <c:pt idx="9">
                  <c:v>0.1541601930401908</c:v>
                </c:pt>
                <c:pt idx="10">
                  <c:v>0.15407712562058024</c:v>
                </c:pt>
                <c:pt idx="11">
                  <c:v>0.15398723127221009</c:v>
                </c:pt>
                <c:pt idx="12">
                  <c:v>0.15389050999508033</c:v>
                </c:pt>
                <c:pt idx="13">
                  <c:v>0.15378696178919102</c:v>
                </c:pt>
                <c:pt idx="14">
                  <c:v>0.15367658665454206</c:v>
                </c:pt>
                <c:pt idx="15">
                  <c:v>0.15355938459113352</c:v>
                </c:pt>
                <c:pt idx="16">
                  <c:v>0.15343535559896543</c:v>
                </c:pt>
                <c:pt idx="17">
                  <c:v>0.15330449967803769</c:v>
                </c:pt>
                <c:pt idx="18">
                  <c:v>0.15316681682835037</c:v>
                </c:pt>
                <c:pt idx="19">
                  <c:v>0.15302230704990347</c:v>
                </c:pt>
                <c:pt idx="20">
                  <c:v>0.15287097034269698</c:v>
                </c:pt>
                <c:pt idx="21">
                  <c:v>0.15271280670673085</c:v>
                </c:pt>
                <c:pt idx="22">
                  <c:v>0.15254781614200516</c:v>
                </c:pt>
                <c:pt idx="23">
                  <c:v>0.15237599864851989</c:v>
                </c:pt>
                <c:pt idx="24">
                  <c:v>0.15219735422627498</c:v>
                </c:pt>
                <c:pt idx="25">
                  <c:v>0.15201188287527051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9F-4179-B497-32BC78888E0B}"/>
            </c:ext>
          </c:extLst>
        </c:ser>
        <c:ser>
          <c:idx val="3"/>
          <c:order val="3"/>
          <c:tx>
            <c:strRef>
              <c:f>exercise_PVT!$H$44</c:f>
              <c:strCache>
                <c:ptCount val="1"/>
                <c:pt idx="0">
                  <c:v>q_gas_rc_m3day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exercise_PVT!$B$45:$B$70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exercise_PVT!$H$45:$H$70</c:f>
              <c:numCache>
                <c:formatCode>0.00</c:formatCode>
                <c:ptCount val="26"/>
                <c:pt idx="0">
                  <c:v>3353.7803480629127</c:v>
                </c:pt>
                <c:pt idx="1">
                  <c:v>660.20589397125138</c:v>
                </c:pt>
                <c:pt idx="2">
                  <c:v>322.92182236848043</c:v>
                </c:pt>
                <c:pt idx="3">
                  <c:v>153.71895443732785</c:v>
                </c:pt>
                <c:pt idx="4">
                  <c:v>68.446230545440457</c:v>
                </c:pt>
                <c:pt idx="5">
                  <c:v>39.94638193106622</c:v>
                </c:pt>
                <c:pt idx="6">
                  <c:v>26.094742037085837</c:v>
                </c:pt>
                <c:pt idx="7">
                  <c:v>18.289721292269494</c:v>
                </c:pt>
                <c:pt idx="8">
                  <c:v>13.489124338271866</c:v>
                </c:pt>
                <c:pt idx="9">
                  <c:v>10.308231830716263</c:v>
                </c:pt>
                <c:pt idx="10">
                  <c:v>8.0425138880577887</c:v>
                </c:pt>
                <c:pt idx="11">
                  <c:v>6.3146605032055341</c:v>
                </c:pt>
                <c:pt idx="12">
                  <c:v>4.9159403873189991</c:v>
                </c:pt>
                <c:pt idx="13">
                  <c:v>4.283149185949549</c:v>
                </c:pt>
                <c:pt idx="14">
                  <c:v>4.0645327163799614</c:v>
                </c:pt>
                <c:pt idx="15">
                  <c:v>3.8884304460332544</c:v>
                </c:pt>
                <c:pt idx="16">
                  <c:v>3.7432561410045104</c:v>
                </c:pt>
                <c:pt idx="17">
                  <c:v>3.6213280108057102</c:v>
                </c:pt>
                <c:pt idx="18">
                  <c:v>3.5173793984972228</c:v>
                </c:pt>
                <c:pt idx="19">
                  <c:v>3.4276773068663324</c:v>
                </c:pt>
                <c:pt idx="20">
                  <c:v>3.3494898123093813</c:v>
                </c:pt>
                <c:pt idx="21">
                  <c:v>3.28075715957501</c:v>
                </c:pt>
                <c:pt idx="22">
                  <c:v>3.2198839584322156</c:v>
                </c:pt>
                <c:pt idx="23">
                  <c:v>3.1656047937475096</c:v>
                </c:pt>
                <c:pt idx="24">
                  <c:v>3.116895251105654</c:v>
                </c:pt>
                <c:pt idx="25">
                  <c:v>3.0729116310616167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9F-4179-B497-32BC7888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766655"/>
        <c:axId val="619110703"/>
      </c:scatterChart>
      <c:valAx>
        <c:axId val="937766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9110703"/>
        <c:crosses val="autoZero"/>
        <c:crossBetween val="midCat"/>
      </c:valAx>
      <c:valAx>
        <c:axId val="61911070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776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exercise_PVT!$D$77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exercise_PVT!$B$45:$B$70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exercise_PVT!$Q$45:$Q$70</c:f>
              <c:numCache>
                <c:formatCode>0.00E+00</c:formatCode>
                <c:ptCount val="26"/>
                <c:pt idx="0">
                  <c:v>-3.1345188025538984E-2</c:v>
                </c:pt>
                <c:pt idx="1">
                  <c:v>-3.081021465884113E-2</c:v>
                </c:pt>
                <c:pt idx="2">
                  <c:v>-3.0999872674910663E-2</c:v>
                </c:pt>
                <c:pt idx="3">
                  <c:v>-3.3450555320190076E-2</c:v>
                </c:pt>
                <c:pt idx="4">
                  <c:v>-4.0516153377015682E-2</c:v>
                </c:pt>
                <c:pt idx="5">
                  <c:v>-4.1782483390973096E-2</c:v>
                </c:pt>
                <c:pt idx="6">
                  <c:v>-3.3941146868241255E-2</c:v>
                </c:pt>
                <c:pt idx="7">
                  <c:v>-2.0292936944067783E-2</c:v>
                </c:pt>
                <c:pt idx="8">
                  <c:v>-5.4617426322837092E-3</c:v>
                </c:pt>
                <c:pt idx="9">
                  <c:v>7.7350874167315944E-3</c:v>
                </c:pt>
                <c:pt idx="10">
                  <c:v>1.8353681786540482E-2</c:v>
                </c:pt>
                <c:pt idx="11">
                  <c:v>2.6466701999985194E-2</c:v>
                </c:pt>
                <c:pt idx="12">
                  <c:v>3.2513927790054284E-2</c:v>
                </c:pt>
                <c:pt idx="13">
                  <c:v>3.5491253668757002E-2</c:v>
                </c:pt>
                <c:pt idx="14">
                  <c:v>3.6999115140925416E-2</c:v>
                </c:pt>
                <c:pt idx="15">
                  <c:v>3.8184525215370996E-2</c:v>
                </c:pt>
                <c:pt idx="16">
                  <c:v>3.9122760884485415E-2</c:v>
                </c:pt>
                <c:pt idx="17">
                  <c:v>3.987241377448747E-2</c:v>
                </c:pt>
                <c:pt idx="18">
                  <c:v>4.0477944260479973E-2</c:v>
                </c:pt>
                <c:pt idx="19">
                  <c:v>4.0972655157287742E-2</c:v>
                </c:pt>
                <c:pt idx="20">
                  <c:v>4.1381347656080869E-2</c:v>
                </c:pt>
                <c:pt idx="21">
                  <c:v>4.1722464882878951E-2</c:v>
                </c:pt>
                <c:pt idx="22">
                  <c:v>4.2009740313788749E-2</c:v>
                </c:pt>
                <c:pt idx="23">
                  <c:v>4.2253434902852306E-2</c:v>
                </c:pt>
                <c:pt idx="24">
                  <c:v>4.24612547944027E-2</c:v>
                </c:pt>
                <c:pt idx="25">
                  <c:v>4.2639029196460246E-2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0-4D52-99A8-2C691B1A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24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27</xdr:col>
      <xdr:colOff>101344</xdr:colOff>
      <xdr:row>42</xdr:row>
      <xdr:rowOff>132002</xdr:rowOff>
    </xdr:from>
    <xdr:to>
      <xdr:col>32</xdr:col>
      <xdr:colOff>486191</xdr:colOff>
      <xdr:row>56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0</xdr:col>
      <xdr:colOff>833053</xdr:colOff>
      <xdr:row>72</xdr:row>
      <xdr:rowOff>32100</xdr:rowOff>
    </xdr:from>
    <xdr:to>
      <xdr:col>6</xdr:col>
      <xdr:colOff>632030</xdr:colOff>
      <xdr:row>94</xdr:row>
      <xdr:rowOff>161602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87086</xdr:colOff>
      <xdr:row>71</xdr:row>
      <xdr:rowOff>146955</xdr:rowOff>
    </xdr:from>
    <xdr:to>
      <xdr:col>14</xdr:col>
      <xdr:colOff>239485</xdr:colOff>
      <xdr:row>95</xdr:row>
      <xdr:rowOff>130627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8C4093B-C6DB-477D-BF12-0A4C61B0F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72</xdr:row>
      <xdr:rowOff>0</xdr:rowOff>
    </xdr:from>
    <xdr:to>
      <xdr:col>20</xdr:col>
      <xdr:colOff>582749</xdr:colOff>
      <xdr:row>94</xdr:row>
      <xdr:rowOff>129502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FA9B714-18A6-4093-8A7B-13828FB77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_string"/>
      <definedName name="encode_json"/>
      <definedName name="encode_PVT_prop"/>
      <definedName name="encode_PVT_stream"/>
      <definedName name="PVT_calc"/>
      <definedName name="PVT_mod_separate_gas"/>
      <definedName name="PVT_stream_calc"/>
      <definedName name="PVT_stream_CJT_Kat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73"/>
  <sheetViews>
    <sheetView tabSelected="1" zoomScale="97" zoomScaleNormal="70" workbookViewId="0">
      <selection activeCell="G10" sqref="G10"/>
    </sheetView>
  </sheetViews>
  <sheetFormatPr defaultRowHeight="13.2" x14ac:dyDescent="0.25"/>
  <cols>
    <col min="1" max="1" width="12.33203125" customWidth="1"/>
    <col min="2" max="2" width="15.77734375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5" width="9" bestFit="1" customWidth="1"/>
    <col min="16" max="17" width="11.2187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8" x14ac:dyDescent="0.25">
      <c r="A1" s="1" t="s">
        <v>20</v>
      </c>
      <c r="F1" t="s">
        <v>22</v>
      </c>
      <c r="G1" t="str">
        <f>[1]!unf_Version()</f>
        <v>7.26</v>
      </c>
      <c r="H1" s="21" t="s">
        <v>32</v>
      </c>
      <c r="I1" s="25">
        <v>44173</v>
      </c>
      <c r="J1" s="26"/>
      <c r="K1" s="26"/>
      <c r="L1" s="27"/>
    </row>
    <row r="2" spans="1:18" x14ac:dyDescent="0.25">
      <c r="A2" t="s">
        <v>21</v>
      </c>
      <c r="H2" s="21" t="s">
        <v>33</v>
      </c>
      <c r="I2" s="28">
        <v>7.26</v>
      </c>
      <c r="J2" s="23"/>
      <c r="K2" s="23"/>
      <c r="L2" s="24"/>
    </row>
    <row r="3" spans="1:18" ht="14.4" x14ac:dyDescent="0.3">
      <c r="A3" s="22" t="s">
        <v>25</v>
      </c>
      <c r="B3" s="68" t="s">
        <v>27</v>
      </c>
      <c r="C3" s="68"/>
      <c r="D3" s="68"/>
      <c r="E3" s="69"/>
      <c r="H3" s="22" t="s">
        <v>25</v>
      </c>
      <c r="I3" s="70" t="s">
        <v>27</v>
      </c>
      <c r="J3" s="70"/>
      <c r="K3" s="70"/>
      <c r="L3" s="70"/>
    </row>
    <row r="4" spans="1:18" ht="14.4" x14ac:dyDescent="0.3">
      <c r="A4" s="22" t="s">
        <v>29</v>
      </c>
      <c r="B4" s="68" t="s">
        <v>30</v>
      </c>
      <c r="C4" s="68"/>
      <c r="D4" s="68"/>
      <c r="E4" s="69"/>
      <c r="H4" s="22" t="s">
        <v>29</v>
      </c>
      <c r="I4" s="71" t="s">
        <v>30</v>
      </c>
      <c r="J4" s="71"/>
      <c r="K4" s="71"/>
      <c r="L4" s="71"/>
    </row>
    <row r="5" spans="1:18" ht="14.4" x14ac:dyDescent="0.3">
      <c r="A5" s="22" t="s">
        <v>34</v>
      </c>
      <c r="B5" s="68" t="s">
        <v>28</v>
      </c>
      <c r="C5" s="68"/>
      <c r="D5" s="68"/>
      <c r="E5" s="69"/>
      <c r="H5" s="22" t="s">
        <v>34</v>
      </c>
      <c r="I5" s="71" t="s">
        <v>28</v>
      </c>
      <c r="J5" s="71"/>
      <c r="K5" s="71"/>
      <c r="L5" s="71"/>
    </row>
    <row r="6" spans="1:18" x14ac:dyDescent="0.25">
      <c r="A6" s="54" t="s">
        <v>26</v>
      </c>
      <c r="B6" s="57" t="s">
        <v>31</v>
      </c>
      <c r="C6" s="58"/>
      <c r="D6" s="58"/>
      <c r="E6" s="59"/>
      <c r="H6" s="66" t="s">
        <v>26</v>
      </c>
      <c r="I6" s="67" t="s">
        <v>31</v>
      </c>
      <c r="J6" s="67"/>
      <c r="K6" s="67"/>
      <c r="L6" s="67"/>
    </row>
    <row r="7" spans="1:18" x14ac:dyDescent="0.25">
      <c r="A7" s="55"/>
      <c r="B7" s="60"/>
      <c r="C7" s="61"/>
      <c r="D7" s="61"/>
      <c r="E7" s="62"/>
      <c r="H7" s="66"/>
      <c r="I7" s="67"/>
      <c r="J7" s="67"/>
      <c r="K7" s="67"/>
      <c r="L7" s="67"/>
    </row>
    <row r="8" spans="1:18" x14ac:dyDescent="0.25">
      <c r="A8" s="56"/>
      <c r="B8" s="63"/>
      <c r="C8" s="64"/>
      <c r="D8" s="64"/>
      <c r="E8" s="65"/>
      <c r="H8" s="66"/>
      <c r="I8" s="67"/>
      <c r="J8" s="67"/>
      <c r="K8" s="67"/>
      <c r="L8" s="67"/>
    </row>
    <row r="10" spans="1:18" x14ac:dyDescent="0.25">
      <c r="A10" s="1" t="s">
        <v>1</v>
      </c>
    </row>
    <row r="11" spans="1:18" ht="16.8" x14ac:dyDescent="0.35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8" ht="16.8" x14ac:dyDescent="0.35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  <c r="R12">
        <v>70</v>
      </c>
    </row>
    <row r="13" spans="1:18" ht="16.8" x14ac:dyDescent="0.35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  <c r="R13">
        <v>32</v>
      </c>
    </row>
    <row r="14" spans="1:18" ht="16.8" x14ac:dyDescent="0.35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24</v>
      </c>
    </row>
    <row r="15" spans="1:18" ht="15.6" x14ac:dyDescent="0.35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8" ht="15.6" x14ac:dyDescent="0.35">
      <c r="B16" s="4" t="s">
        <v>15</v>
      </c>
      <c r="C16" s="2">
        <v>90</v>
      </c>
      <c r="D16" s="4" t="s">
        <v>3</v>
      </c>
      <c r="E16" s="18">
        <f>Tres_*9/5+32</f>
        <v>194</v>
      </c>
      <c r="F16" s="17" t="s">
        <v>9</v>
      </c>
    </row>
    <row r="17" spans="2:19" ht="15.6" x14ac:dyDescent="0.35">
      <c r="B17" s="7" t="s">
        <v>17</v>
      </c>
      <c r="C17" s="2">
        <v>1.2</v>
      </c>
      <c r="D17" s="4" t="s">
        <v>2</v>
      </c>
      <c r="E17" s="19"/>
      <c r="F17" s="6"/>
      <c r="R17" t="str" cm="1">
        <f t="array" ref="R17">[1]!PVT_mod_separate_gas(0,R12,R13,PVT_stream_,PVT_str_)</f>
        <v>{"gamma_gas":0.9,"gamma_oil":0.9,"gamma_wat":1.1,"rsb_m3m3":40.3801901043312,"pb_atma":87.2210533517971,"t_res_C":90,"bob_m3m3":1.08368449572119,"muob_cP":1.98889701878542,"q_liq_sm3day":15,"fw_perc":1,"rp_m3m3":120,"q_gas_free_sm3day":1000}</v>
      </c>
    </row>
    <row r="18" spans="2:19" ht="15.6" x14ac:dyDescent="0.35">
      <c r="B18" s="8" t="s">
        <v>18</v>
      </c>
      <c r="C18" s="2">
        <v>1</v>
      </c>
      <c r="D18" s="4" t="s">
        <v>6</v>
      </c>
      <c r="E18" s="19"/>
      <c r="F18" s="6"/>
    </row>
    <row r="19" spans="2:19" x14ac:dyDescent="0.25">
      <c r="R19" t="str" cm="1">
        <f t="array" ref="R19:S30">[1]!decode_json_string(R17)</f>
        <v>gamma_gas</v>
      </c>
      <c r="S19">
        <v>0.9</v>
      </c>
    </row>
    <row r="20" spans="2:19" ht="15.6" x14ac:dyDescent="0.35">
      <c r="B20" s="5" t="s">
        <v>40</v>
      </c>
      <c r="C20" s="2">
        <v>15</v>
      </c>
      <c r="D20" s="5"/>
      <c r="R20" t="str">
        <v>gamma_oil</v>
      </c>
      <c r="S20">
        <v>0.9</v>
      </c>
    </row>
    <row r="21" spans="2:19" ht="15.6" x14ac:dyDescent="0.35">
      <c r="B21" s="5" t="s">
        <v>41</v>
      </c>
      <c r="C21" s="2">
        <v>1</v>
      </c>
      <c r="D21" s="5"/>
      <c r="R21" t="str">
        <v>gamma_wat</v>
      </c>
      <c r="S21">
        <v>1.1000000000000001</v>
      </c>
    </row>
    <row r="22" spans="2:19" ht="15.6" x14ac:dyDescent="0.35">
      <c r="B22" s="5" t="s">
        <v>42</v>
      </c>
      <c r="C22" s="2">
        <v>120</v>
      </c>
      <c r="D22" s="5"/>
      <c r="R22" t="str">
        <v>rsb_m3m3</v>
      </c>
      <c r="S22">
        <v>40.380190104331199</v>
      </c>
    </row>
    <row r="23" spans="2:19" ht="15.6" x14ac:dyDescent="0.35">
      <c r="B23" s="5" t="s">
        <v>43</v>
      </c>
      <c r="C23" s="2">
        <v>1000</v>
      </c>
      <c r="D23" s="5"/>
      <c r="R23" t="str">
        <v>pb_atma</v>
      </c>
      <c r="S23">
        <v>87.221053351797096</v>
      </c>
    </row>
    <row r="24" spans="2:19" x14ac:dyDescent="0.25">
      <c r="R24" t="str">
        <v>t_res_C</v>
      </c>
      <c r="S24">
        <v>90</v>
      </c>
    </row>
    <row r="25" spans="2:19" x14ac:dyDescent="0.25">
      <c r="B25" s="52" t="s">
        <v>35</v>
      </c>
      <c r="C25" s="53"/>
      <c r="D25" s="38" t="str" cm="1">
        <f t="array" ref="D25">[1]!encode_json(B26:C28)</f>
        <v>{"show_log":1,"PVT_correlation":1}</v>
      </c>
      <c r="E25" s="18"/>
      <c r="F25" s="18"/>
      <c r="R25" t="str">
        <v>bob_m3m3</v>
      </c>
      <c r="S25">
        <v>1.08368449572119</v>
      </c>
    </row>
    <row r="26" spans="2:19" x14ac:dyDescent="0.25">
      <c r="B26" s="37" t="s">
        <v>36</v>
      </c>
      <c r="C26" s="37">
        <v>1</v>
      </c>
      <c r="R26" t="str">
        <v>muob_cP</v>
      </c>
      <c r="S26">
        <v>1.98889701878542</v>
      </c>
    </row>
    <row r="27" spans="2:19" x14ac:dyDescent="0.25">
      <c r="B27" s="37" t="s">
        <v>39</v>
      </c>
      <c r="C27" s="37">
        <v>1</v>
      </c>
      <c r="R27" t="str">
        <v>q_liq_sm3day</v>
      </c>
      <c r="S27">
        <v>15</v>
      </c>
    </row>
    <row r="28" spans="2:19" x14ac:dyDescent="0.25">
      <c r="B28" s="37"/>
      <c r="C28" s="37"/>
      <c r="R28" t="str">
        <v>fw_perc</v>
      </c>
      <c r="S28">
        <v>1</v>
      </c>
    </row>
    <row r="29" spans="2:19" x14ac:dyDescent="0.25">
      <c r="R29" t="str">
        <v>rp_m3m3</v>
      </c>
      <c r="S29">
        <v>120</v>
      </c>
    </row>
    <row r="30" spans="2:19" ht="15" customHeight="1" x14ac:dyDescent="0.25">
      <c r="B30" s="39" t="s">
        <v>23</v>
      </c>
      <c r="C30" s="41"/>
      <c r="D30" s="40" t="str">
        <f>[1]!encode_PVT_prop(gamma_gas_,gamma_oil_,gamma_wat_,Rsb_,Pb_,Tres_,Bob_,muob_,C27)</f>
        <v>{"gamma_gas":0.9,"gamma_oil":0.9,"gamma_wat":1.1,"rsb_m3m3":120,"t_res_C":90,"bob_m3m3":1.2,"muob_cP":1,"PVT_corr_set":1}</v>
      </c>
      <c r="E30" s="23"/>
      <c r="F30" s="23"/>
      <c r="G30" s="23"/>
      <c r="H30" s="23"/>
      <c r="I30" s="23"/>
      <c r="J30" s="23"/>
      <c r="K30" s="23"/>
      <c r="L30" s="24"/>
      <c r="R30" t="str">
        <v>q_gas_free_sm3day</v>
      </c>
      <c r="S30">
        <v>1000</v>
      </c>
    </row>
    <row r="31" spans="2:19" ht="15" customHeight="1" x14ac:dyDescent="0.25">
      <c r="B31" s="39" t="s">
        <v>44</v>
      </c>
      <c r="C31" s="41"/>
      <c r="D31" s="44" t="str" cm="1">
        <f t="array" ref="D31">[1]!encode_PVT_stream(Qliq,fw,rp,Qgas)</f>
        <v>{"q_liq_sm3day":15,"fw_perc":1,"rp_m3m3":120,"q_gas_free_sm3day":1000}</v>
      </c>
      <c r="E31" s="44"/>
      <c r="F31" s="44"/>
      <c r="G31" s="44"/>
      <c r="H31" s="44"/>
      <c r="I31" s="44"/>
      <c r="J31" s="44"/>
      <c r="K31" s="44"/>
      <c r="L31" s="44"/>
    </row>
    <row r="33" spans="2:27" x14ac:dyDescent="0.25">
      <c r="B33" s="9" t="s">
        <v>0</v>
      </c>
      <c r="C33" s="9" t="s">
        <v>4</v>
      </c>
    </row>
    <row r="34" spans="2:27" x14ac:dyDescent="0.25">
      <c r="B34" s="12">
        <v>10</v>
      </c>
      <c r="C34" s="42">
        <v>50</v>
      </c>
      <c r="D34" s="49" cm="1">
        <f t="array" ref="D34:AA36">[1]!PVT_calc(B34,C34,D30,param)</f>
        <v>3.5723570810574001</v>
      </c>
      <c r="E34" s="50">
        <v>3.5723570810574001</v>
      </c>
      <c r="F34" s="50">
        <v>184.28233235869996</v>
      </c>
      <c r="G34" s="26">
        <v>1.0164256202704669</v>
      </c>
      <c r="H34" s="26">
        <v>0.10702921215750784</v>
      </c>
      <c r="I34" s="26">
        <v>1.0142139428192882</v>
      </c>
      <c r="J34" s="26">
        <v>7.7942175036270056</v>
      </c>
      <c r="K34" s="26">
        <v>1.0817868426218675E-2</v>
      </c>
      <c r="L34" s="26">
        <v>0.71131231590700217</v>
      </c>
      <c r="M34" s="26">
        <v>889.32027661876862</v>
      </c>
      <c r="N34" s="26">
        <v>10.273176620060458</v>
      </c>
      <c r="O34" s="26">
        <v>1084.5837880538752</v>
      </c>
      <c r="P34" s="26">
        <v>4.4804891798984878E-2</v>
      </c>
      <c r="Q34" s="26">
        <v>0.10353027943635217</v>
      </c>
      <c r="R34" s="26">
        <v>3.5097226160056848E-5</v>
      </c>
      <c r="S34" s="26">
        <v>5.8578466280318188E-2</v>
      </c>
      <c r="T34" s="26">
        <v>5.8578466280318188E-2</v>
      </c>
      <c r="U34" s="26">
        <v>6.3095734448019331E-2</v>
      </c>
      <c r="V34" s="26">
        <v>2427.4</v>
      </c>
      <c r="W34" s="26">
        <v>1784.2735643739729</v>
      </c>
      <c r="X34" s="26">
        <v>1476.4001398983432</v>
      </c>
      <c r="Y34" s="26">
        <v>4176</v>
      </c>
      <c r="Z34" s="26">
        <v>0.96696707326280773</v>
      </c>
      <c r="AA34" s="27">
        <v>136861.03231316138</v>
      </c>
    </row>
    <row r="35" spans="2:27" x14ac:dyDescent="0.25">
      <c r="D35" s="43" t="str">
        <v>rs_m3m3</v>
      </c>
      <c r="E35" s="44" t="str">
        <v>rs_m3m3</v>
      </c>
      <c r="F35" s="44" t="str">
        <v>pb_atma</v>
      </c>
      <c r="G35" s="44" t="str">
        <v>bo_m3m3</v>
      </c>
      <c r="H35" s="44" t="str">
        <v>bg_m3m3</v>
      </c>
      <c r="I35" s="44" t="str">
        <v>bw_m3m3</v>
      </c>
      <c r="J35" s="44" t="str">
        <v>mu_oil_cP</v>
      </c>
      <c r="K35" s="44" t="str">
        <v>mu_gas_cP</v>
      </c>
      <c r="L35" s="44" t="str">
        <v>mu_wat_cP</v>
      </c>
      <c r="M35" s="44" t="str">
        <v>rho_oil_rc_kgm3</v>
      </c>
      <c r="N35" s="44" t="str">
        <v>rho_gas_rc_kgm3</v>
      </c>
      <c r="O35" s="44" t="str">
        <v>rho_wat_rc_kgm3</v>
      </c>
      <c r="P35" s="44" t="str">
        <v>compressibility_oil_1atm</v>
      </c>
      <c r="Q35" s="44" t="str">
        <v>compressibility_gas_1atm</v>
      </c>
      <c r="R35" s="44" t="str">
        <v>compressibility_wat_1atm</v>
      </c>
      <c r="S35" s="44" t="str">
        <v>sigma_liq_Nm</v>
      </c>
      <c r="T35" s="44" t="str">
        <v>sigma_oil_gas_Nm</v>
      </c>
      <c r="U35" s="44" t="str">
        <v>sigma_wat_gas_Nm</v>
      </c>
      <c r="V35" s="44" t="str">
        <v>cp_oil_JkgC</v>
      </c>
      <c r="W35" s="44" t="str">
        <v>cp_gas_JkgC</v>
      </c>
      <c r="X35" s="44" t="str">
        <v>cv_gas_JkgC</v>
      </c>
      <c r="Y35" s="44" t="str">
        <v>cp_wat_JkgC</v>
      </c>
      <c r="Z35" s="44" t="str">
        <v>z</v>
      </c>
      <c r="AA35" s="45" t="str">
        <v>sal_ppm</v>
      </c>
    </row>
    <row r="36" spans="2:27" x14ac:dyDescent="0.25">
      <c r="D36" s="46" t="str">
        <v>["CPVT object created "]</v>
      </c>
      <c r="E36" s="47" t="str">
        <v/>
      </c>
      <c r="F36" s="47" t="str">
        <v/>
      </c>
      <c r="G36" s="47" t="str">
        <v/>
      </c>
      <c r="H36" s="47" t="str">
        <v/>
      </c>
      <c r="I36" s="47" t="str">
        <v/>
      </c>
      <c r="J36" s="47" t="str">
        <v/>
      </c>
      <c r="K36" s="47" t="str">
        <v/>
      </c>
      <c r="L36" s="47" t="str">
        <v/>
      </c>
      <c r="M36" s="47" t="str">
        <v/>
      </c>
      <c r="N36" s="47" t="str">
        <v/>
      </c>
      <c r="O36" s="47" t="str">
        <v/>
      </c>
      <c r="P36" s="47" t="str">
        <v/>
      </c>
      <c r="Q36" s="47" t="str">
        <v/>
      </c>
      <c r="R36" s="47" t="str">
        <v/>
      </c>
      <c r="S36" s="47" t="str">
        <v/>
      </c>
      <c r="T36" s="47" t="str">
        <v/>
      </c>
      <c r="U36" s="47" t="str">
        <v/>
      </c>
      <c r="V36" s="47" t="str">
        <v/>
      </c>
      <c r="W36" s="47" t="str">
        <v/>
      </c>
      <c r="X36" s="47" t="str">
        <v/>
      </c>
      <c r="Y36" s="47" t="str">
        <v/>
      </c>
      <c r="Z36" s="47" t="str">
        <v/>
      </c>
      <c r="AA36" s="48" t="str">
        <v/>
      </c>
    </row>
    <row r="38" spans="2:27" x14ac:dyDescent="0.25">
      <c r="D38" cm="1">
        <f t="array" ref="D38:Q40">[1]!PVT_stream_calc(B34,C34,PVT_stream_,PVT_str_,param)</f>
        <v>307.32347430025277</v>
      </c>
      <c r="E38">
        <v>307.32347430025277</v>
      </c>
      <c r="F38">
        <v>15.093920461016433</v>
      </c>
      <c r="G38">
        <v>0.15213209142289322</v>
      </c>
      <c r="H38">
        <v>292.07742174781345</v>
      </c>
      <c r="I38">
        <v>0.95039086230834402</v>
      </c>
      <c r="J38">
        <v>53.978813785596657</v>
      </c>
      <c r="K38">
        <v>0.39343941389419446</v>
      </c>
      <c r="L38">
        <v>0.15536261018116695</v>
      </c>
      <c r="M38">
        <v>1.9097222222222219E-3</v>
      </c>
      <c r="N38">
        <v>3.4728737735499712E-2</v>
      </c>
      <c r="O38">
        <v>2.6100000000000002E-2</v>
      </c>
      <c r="P38">
        <v>2328.4649835331425</v>
      </c>
      <c r="Q38">
        <v>-5.2094976856152338E-2</v>
      </c>
    </row>
    <row r="39" spans="2:27" x14ac:dyDescent="0.25">
      <c r="D39" t="str">
        <v>q_mix_rc_m3day</v>
      </c>
      <c r="E39" t="str">
        <v>q_mix_rc_m3day</v>
      </c>
      <c r="F39" t="str">
        <v>q_oil_rc_m3day</v>
      </c>
      <c r="G39" t="str">
        <v>q_wat_rc_m3day</v>
      </c>
      <c r="H39" t="str">
        <v>q_gas_rc_m3day</v>
      </c>
      <c r="I39" t="str">
        <v>gas_fraction_d</v>
      </c>
      <c r="J39" t="str">
        <v>rho_mix_rc_kgm3</v>
      </c>
      <c r="K39" t="str">
        <v>mu_mix_cP</v>
      </c>
      <c r="L39" t="str">
        <v>mo_kgsec</v>
      </c>
      <c r="M39" t="str">
        <v>mw_kgsec</v>
      </c>
      <c r="N39" t="str">
        <v>mg_kgsec</v>
      </c>
      <c r="O39" t="str">
        <v>mg_kgmol</v>
      </c>
      <c r="P39" t="str">
        <v>cmix_JkgC</v>
      </c>
      <c r="Q39" t="str">
        <v>cJT_Katm</v>
      </c>
    </row>
    <row r="40" spans="2:27" x14ac:dyDescent="0.25">
      <c r="D40" t="str">
        <v>["CPVT object created "]</v>
      </c>
      <c r="E40" t="str">
        <v/>
      </c>
      <c r="F40" t="str">
        <v/>
      </c>
      <c r="G40" t="str">
        <v/>
      </c>
      <c r="H40" t="str">
        <v/>
      </c>
      <c r="I40" t="str">
        <v/>
      </c>
      <c r="J40" t="str">
        <v/>
      </c>
      <c r="K40" t="str">
        <v/>
      </c>
      <c r="L40" t="str">
        <v/>
      </c>
      <c r="M40" t="str">
        <v/>
      </c>
      <c r="N40" t="str">
        <v/>
      </c>
      <c r="O40" t="str">
        <v/>
      </c>
      <c r="P40" t="str">
        <v/>
      </c>
      <c r="Q40" t="str">
        <v/>
      </c>
    </row>
    <row r="41" spans="2:27" x14ac:dyDescent="0.25">
      <c r="D41">
        <v>0</v>
      </c>
      <c r="E41">
        <v>1</v>
      </c>
      <c r="F41">
        <v>2</v>
      </c>
      <c r="G41">
        <v>3</v>
      </c>
      <c r="H41">
        <v>4</v>
      </c>
      <c r="I41">
        <v>5</v>
      </c>
      <c r="J41">
        <v>6</v>
      </c>
      <c r="K41">
        <v>7</v>
      </c>
      <c r="L41">
        <v>8</v>
      </c>
      <c r="M41">
        <v>9</v>
      </c>
      <c r="N41">
        <v>10</v>
      </c>
      <c r="O41">
        <v>11</v>
      </c>
      <c r="P41">
        <v>12</v>
      </c>
      <c r="Q41">
        <v>13</v>
      </c>
    </row>
    <row r="42" spans="2:27" x14ac:dyDescent="0.25">
      <c r="B42" t="s">
        <v>37</v>
      </c>
    </row>
    <row r="44" spans="2:27" s="31" customFormat="1" ht="26.4" x14ac:dyDescent="0.25">
      <c r="B44" s="32" t="s">
        <v>0</v>
      </c>
      <c r="C44" s="32" t="s">
        <v>4</v>
      </c>
      <c r="D44" s="32" t="str">
        <f>D39</f>
        <v>q_mix_rc_m3day</v>
      </c>
      <c r="E44" s="32" t="str">
        <f t="shared" ref="E44:Q44" si="0">E39</f>
        <v>q_mix_rc_m3day</v>
      </c>
      <c r="F44" s="32" t="str">
        <f t="shared" si="0"/>
        <v>q_oil_rc_m3day</v>
      </c>
      <c r="G44" s="32" t="str">
        <f t="shared" si="0"/>
        <v>q_wat_rc_m3day</v>
      </c>
      <c r="H44" s="32" t="str">
        <f t="shared" si="0"/>
        <v>q_gas_rc_m3day</v>
      </c>
      <c r="I44" s="32" t="str">
        <f t="shared" si="0"/>
        <v>gas_fraction_d</v>
      </c>
      <c r="J44" s="32" t="str">
        <f t="shared" si="0"/>
        <v>rho_mix_rc_kgm3</v>
      </c>
      <c r="K44" s="32" t="str">
        <f t="shared" si="0"/>
        <v>mu_mix_cP</v>
      </c>
      <c r="L44" s="32" t="str">
        <f t="shared" si="0"/>
        <v>mo_kgsec</v>
      </c>
      <c r="M44" s="32" t="str">
        <f t="shared" si="0"/>
        <v>mw_kgsec</v>
      </c>
      <c r="N44" s="32" t="str">
        <f t="shared" si="0"/>
        <v>mg_kgsec</v>
      </c>
      <c r="O44" s="32" t="str">
        <f t="shared" si="0"/>
        <v>mg_kgmol</v>
      </c>
      <c r="P44" s="32" t="str">
        <f t="shared" si="0"/>
        <v>cmix_JkgC</v>
      </c>
      <c r="Q44" s="32" t="str">
        <f t="shared" si="0"/>
        <v>cJT_Katm</v>
      </c>
      <c r="R44"/>
      <c r="S44"/>
      <c r="T44"/>
      <c r="U44"/>
      <c r="V44"/>
      <c r="W44"/>
      <c r="X44"/>
      <c r="Y44"/>
      <c r="Z44"/>
      <c r="AA44"/>
    </row>
    <row r="45" spans="2:27" x14ac:dyDescent="0.25">
      <c r="B45" s="12">
        <v>1</v>
      </c>
      <c r="C45" s="12">
        <v>80</v>
      </c>
      <c r="D45" s="33">
        <f t="array" ref="D45:Q45">[1]!PVT_stream_calc(B45,C45,PVT_stream_,PVT_str_,param)</f>
        <v>3369.1795401413019</v>
      </c>
      <c r="E45" s="33">
        <v>3369.1795401413019</v>
      </c>
      <c r="F45" s="33">
        <v>15.244643169223249</v>
      </c>
      <c r="G45" s="34">
        <v>0.15454890916583935</v>
      </c>
      <c r="H45" s="34">
        <v>3353.7803480629127</v>
      </c>
      <c r="I45" s="34">
        <v>0.99542939404240138</v>
      </c>
      <c r="J45" s="34">
        <v>4.9236872174085402</v>
      </c>
      <c r="K45" s="35">
        <v>3.828809214239029E-2</v>
      </c>
      <c r="L45" s="35">
        <v>0.15472430009141666</v>
      </c>
      <c r="M45" s="51">
        <v>1.9097222222222224E-3</v>
      </c>
      <c r="N45" s="51">
        <v>3.5367047825250006E-2</v>
      </c>
      <c r="O45" s="51">
        <v>2.6100000000000002E-2</v>
      </c>
      <c r="P45" s="36">
        <v>2460.4427035302597</v>
      </c>
      <c r="Q45" s="36">
        <v>-3.1345188025538984E-2</v>
      </c>
      <c r="S45" cm="1">
        <f t="array" ref="S45:S47">[1]!PVT_stream_CJT_Katm(B45,C45,PVT_stream_,PVT_str_,param)</f>
        <v>-3.1345188025538984E-2</v>
      </c>
    </row>
    <row r="46" spans="2:27" x14ac:dyDescent="0.25">
      <c r="B46" s="12">
        <v>5</v>
      </c>
      <c r="C46" s="12">
        <v>80</v>
      </c>
      <c r="D46" s="33">
        <f t="array" ref="D46:Q46">[1]!PVT_stream_calc(B46,C46,PVT_stream_,PVT_str_,param)</f>
        <v>675.62573640330015</v>
      </c>
      <c r="E46" s="33">
        <v>675.62573640330015</v>
      </c>
      <c r="F46" s="33">
        <v>15.265300100781609</v>
      </c>
      <c r="G46" s="34">
        <v>0.15454233126719386</v>
      </c>
      <c r="H46" s="34">
        <v>660.20589397125138</v>
      </c>
      <c r="I46" s="34">
        <v>0.97717694634586227</v>
      </c>
      <c r="J46" s="34">
        <v>24.553278509938934</v>
      </c>
      <c r="K46" s="35">
        <v>0.13748155449376967</v>
      </c>
      <c r="L46" s="35">
        <v>0.15494301051819265</v>
      </c>
      <c r="M46" s="51">
        <v>1.9097222222222224E-3</v>
      </c>
      <c r="N46" s="51">
        <v>3.5148337398474033E-2</v>
      </c>
      <c r="O46" s="51">
        <v>2.6100000000000002E-2</v>
      </c>
      <c r="P46" s="36">
        <v>2457.7812447188635</v>
      </c>
      <c r="Q46" s="36">
        <v>-3.081021465884113E-2</v>
      </c>
      <c r="S46" t="str">
        <v>cJT_Katm</v>
      </c>
    </row>
    <row r="47" spans="2:27" x14ac:dyDescent="0.25">
      <c r="B47" s="12">
        <v>10</v>
      </c>
      <c r="C47" s="12">
        <v>80</v>
      </c>
      <c r="D47" s="33">
        <f t="array" ref="D47:Q47">[1]!PVT_stream_calc(B47,C47,PVT_stream_,PVT_str_,param)</f>
        <v>338.37331846336804</v>
      </c>
      <c r="E47" s="33">
        <v>338.37331846336804</v>
      </c>
      <c r="F47" s="33">
        <v>15.29696237000843</v>
      </c>
      <c r="G47" s="34">
        <v>0.15453372487914427</v>
      </c>
      <c r="H47" s="34">
        <v>322.92182236848043</v>
      </c>
      <c r="I47" s="34">
        <v>0.95433595011256678</v>
      </c>
      <c r="J47" s="34">
        <v>49.025404712887671</v>
      </c>
      <c r="K47" s="35">
        <v>0.24436706634139277</v>
      </c>
      <c r="L47" s="35">
        <v>0.15527613881679278</v>
      </c>
      <c r="M47" s="51">
        <v>1.9097222222222226E-3</v>
      </c>
      <c r="N47" s="51">
        <v>3.4815209099873914E-2</v>
      </c>
      <c r="O47" s="51">
        <v>2.6100000000000002E-2</v>
      </c>
      <c r="P47" s="36">
        <v>2454.6302892704034</v>
      </c>
      <c r="Q47" s="36">
        <v>-3.0999872674910663E-2</v>
      </c>
      <c r="S47" t="str">
        <v>["CPVT object created "]</v>
      </c>
    </row>
    <row r="48" spans="2:27" x14ac:dyDescent="0.25">
      <c r="B48" s="12">
        <v>20</v>
      </c>
      <c r="C48" s="12">
        <v>80</v>
      </c>
      <c r="D48" s="33">
        <f t="array" ref="D48:Q48">[1]!PVT_stream_calc(B48,C48,PVT_stream_,PVT_str_,param)</f>
        <v>169.24424714449125</v>
      </c>
      <c r="E48" s="33">
        <v>169.24424714449125</v>
      </c>
      <c r="F48" s="33">
        <v>15.370777475109509</v>
      </c>
      <c r="G48" s="34">
        <v>0.15451523205390263</v>
      </c>
      <c r="H48" s="34">
        <v>153.71895443732785</v>
      </c>
      <c r="I48" s="34">
        <v>0.90826693982745077</v>
      </c>
      <c r="J48" s="34">
        <v>98.018298628208342</v>
      </c>
      <c r="K48" s="35">
        <v>0.41039839846144849</v>
      </c>
      <c r="L48" s="35">
        <v>0.15604359155774145</v>
      </c>
      <c r="M48" s="51">
        <v>1.9097222222222224E-3</v>
      </c>
      <c r="N48" s="51">
        <v>3.4047756358925214E-2</v>
      </c>
      <c r="O48" s="51">
        <v>2.6100000000000002E-2</v>
      </c>
      <c r="P48" s="36">
        <v>2448.4920952506277</v>
      </c>
      <c r="Q48" s="36">
        <v>-3.3450555320190076E-2</v>
      </c>
    </row>
    <row r="49" spans="2:17" x14ac:dyDescent="0.25">
      <c r="B49" s="12">
        <v>40</v>
      </c>
      <c r="C49" s="12">
        <v>80</v>
      </c>
      <c r="D49" s="33">
        <f t="array" ref="D49:Q49">[1]!PVT_stream_calc(B49,C49,PVT_stream_,PVT_str_,param)</f>
        <v>84.145766053271515</v>
      </c>
      <c r="E49" s="33">
        <v>84.145766053271515</v>
      </c>
      <c r="F49" s="33">
        <v>15.545062381624215</v>
      </c>
      <c r="G49" s="34">
        <v>0.15447312620684964</v>
      </c>
      <c r="H49" s="34">
        <v>68.446230545440457</v>
      </c>
      <c r="I49" s="34">
        <v>0.81342453406518511</v>
      </c>
      <c r="J49" s="34">
        <v>197.15043365059651</v>
      </c>
      <c r="K49" s="35">
        <v>0.62136246612223356</v>
      </c>
      <c r="L49" s="35">
        <v>0.15781163021451333</v>
      </c>
      <c r="M49" s="51">
        <v>1.9097222222222226E-3</v>
      </c>
      <c r="N49" s="51">
        <v>3.2279717702153335E-2</v>
      </c>
      <c r="O49" s="51">
        <v>2.6100000000000002E-2</v>
      </c>
      <c r="P49" s="36">
        <v>2436.4859467461024</v>
      </c>
      <c r="Q49" s="36">
        <v>-4.0516153377015682E-2</v>
      </c>
    </row>
    <row r="50" spans="2:17" x14ac:dyDescent="0.25">
      <c r="B50" s="12">
        <v>60</v>
      </c>
      <c r="C50" s="12">
        <v>80</v>
      </c>
      <c r="D50" s="33">
        <f t="array" ref="D50:Q50">[1]!PVT_stream_calc(B50,C50,PVT_stream_,PVT_str_,param)</f>
        <v>55.845800317871792</v>
      </c>
      <c r="E50" s="33">
        <v>55.845800317871792</v>
      </c>
      <c r="F50" s="33">
        <v>15.744994193374536</v>
      </c>
      <c r="G50" s="34">
        <v>0.15442419343103705</v>
      </c>
      <c r="H50" s="34">
        <v>39.94638193106622</v>
      </c>
      <c r="I50" s="34">
        <v>0.71529786848237831</v>
      </c>
      <c r="J50" s="34">
        <v>297.06385233897606</v>
      </c>
      <c r="K50" s="35">
        <v>0.74668943099529494</v>
      </c>
      <c r="L50" s="35">
        <v>0.15977779559858057</v>
      </c>
      <c r="M50" s="51">
        <v>1.9097222222222224E-3</v>
      </c>
      <c r="N50" s="51">
        <v>3.031355231808611E-2</v>
      </c>
      <c r="O50" s="51">
        <v>2.6100000000000002E-2</v>
      </c>
      <c r="P50" s="36">
        <v>2426.643216547538</v>
      </c>
      <c r="Q50" s="36">
        <v>-4.1782483390973096E-2</v>
      </c>
    </row>
    <row r="51" spans="2:17" x14ac:dyDescent="0.25">
      <c r="B51" s="12">
        <v>80</v>
      </c>
      <c r="C51" s="12">
        <v>80</v>
      </c>
      <c r="D51" s="33">
        <f t="array" ref="D51:Q51">[1]!PVT_stream_calc(B51,C51,PVT_stream_,PVT_str_,param)</f>
        <v>42.214572228156079</v>
      </c>
      <c r="E51" s="33">
        <v>42.214572228156079</v>
      </c>
      <c r="F51" s="33">
        <v>15.965461757343775</v>
      </c>
      <c r="G51" s="34">
        <v>0.15436843372646489</v>
      </c>
      <c r="H51" s="34">
        <v>26.094742037085837</v>
      </c>
      <c r="I51" s="34">
        <v>0.618145362128798</v>
      </c>
      <c r="J51" s="34">
        <v>392.99721397402772</v>
      </c>
      <c r="K51" s="35">
        <v>0.82218253064674696</v>
      </c>
      <c r="L51" s="35">
        <v>0.1618847939743763</v>
      </c>
      <c r="M51" s="51">
        <v>1.9097222222222224E-3</v>
      </c>
      <c r="N51" s="51">
        <v>2.8206553942290352E-2</v>
      </c>
      <c r="O51" s="51">
        <v>2.6100000000000002E-2</v>
      </c>
      <c r="P51" s="36">
        <v>2422.0493699796029</v>
      </c>
      <c r="Q51" s="36">
        <v>-3.3941146868241255E-2</v>
      </c>
    </row>
    <row r="52" spans="2:17" x14ac:dyDescent="0.25">
      <c r="B52" s="12">
        <v>100</v>
      </c>
      <c r="C52" s="12">
        <v>80</v>
      </c>
      <c r="D52" s="33">
        <f t="array" ref="D52:Q52">[1]!PVT_stream_calc(B52,C52,PVT_stream_,PVT_str_,param)</f>
        <v>34.647716558727332</v>
      </c>
      <c r="E52" s="33">
        <v>34.647716558727332</v>
      </c>
      <c r="F52" s="33">
        <v>16.203689419364707</v>
      </c>
      <c r="G52" s="34">
        <v>0.15430584709313314</v>
      </c>
      <c r="H52" s="34">
        <v>18.289721292269494</v>
      </c>
      <c r="I52" s="34">
        <v>0.52787667150499529</v>
      </c>
      <c r="J52" s="34">
        <v>478.83947200798934</v>
      </c>
      <c r="K52" s="35">
        <v>0.86082480621041813</v>
      </c>
      <c r="L52" s="35">
        <v>0.16410311945355094</v>
      </c>
      <c r="M52" s="51">
        <v>1.9097222222222224E-3</v>
      </c>
      <c r="N52" s="51">
        <v>2.5988228463115721E-2</v>
      </c>
      <c r="O52" s="51">
        <v>2.6100000000000002E-2</v>
      </c>
      <c r="P52" s="36">
        <v>2424.2921557408595</v>
      </c>
      <c r="Q52" s="36">
        <v>-2.0292936944067783E-2</v>
      </c>
    </row>
    <row r="53" spans="2:17" x14ac:dyDescent="0.25">
      <c r="B53" s="12">
        <v>120</v>
      </c>
      <c r="C53" s="12">
        <v>80</v>
      </c>
      <c r="D53" s="33">
        <f t="array" ref="D53:Q53">[1]!PVT_stream_calc(B53,C53,PVT_stream_,PVT_str_,param)</f>
        <v>30.10119325540342</v>
      </c>
      <c r="E53" s="33">
        <v>30.10119325540342</v>
      </c>
      <c r="F53" s="33">
        <v>16.457832483600512</v>
      </c>
      <c r="G53" s="34">
        <v>0.15423643353104174</v>
      </c>
      <c r="H53" s="34">
        <v>13.489124338271866</v>
      </c>
      <c r="I53" s="34">
        <v>0.44812590065181068</v>
      </c>
      <c r="J53" s="34">
        <v>551.18158879462715</v>
      </c>
      <c r="K53" s="35">
        <v>0.87236255829329001</v>
      </c>
      <c r="L53" s="35">
        <v>0.16641439719182055</v>
      </c>
      <c r="M53" s="51">
        <v>1.9097222222222222E-3</v>
      </c>
      <c r="N53" s="51">
        <v>2.3676950724846112E-2</v>
      </c>
      <c r="O53" s="51">
        <v>2.6100000000000002E-2</v>
      </c>
      <c r="P53" s="36">
        <v>2432.8867351081517</v>
      </c>
      <c r="Q53" s="36">
        <v>-5.4617426322837092E-3</v>
      </c>
    </row>
    <row r="54" spans="2:17" x14ac:dyDescent="0.25">
      <c r="B54" s="12">
        <v>140</v>
      </c>
      <c r="C54" s="12">
        <v>80</v>
      </c>
      <c r="D54" s="33">
        <f t="array" ref="D54:Q54">[1]!PVT_stream_calc(B54,C54,PVT_stream_,PVT_str_,param)</f>
        <v>27.188925311133666</v>
      </c>
      <c r="E54" s="33">
        <v>27.188925311133666</v>
      </c>
      <c r="F54" s="33">
        <v>16.726533287377212</v>
      </c>
      <c r="G54" s="34">
        <v>0.1541601930401908</v>
      </c>
      <c r="H54" s="34">
        <v>10.308231830716263</v>
      </c>
      <c r="I54" s="34">
        <v>0.37913347853050733</v>
      </c>
      <c r="J54" s="34">
        <v>610.24102855565093</v>
      </c>
      <c r="K54" s="35">
        <v>0.86644894301948605</v>
      </c>
      <c r="L54" s="35">
        <v>0.1688059510517009</v>
      </c>
      <c r="M54" s="51">
        <v>1.9097222222222222E-3</v>
      </c>
      <c r="N54" s="51">
        <v>2.1285396864965778E-2</v>
      </c>
      <c r="O54" s="51">
        <v>2.6100000000000002E-2</v>
      </c>
      <c r="P54" s="36">
        <v>2446.2260658285836</v>
      </c>
      <c r="Q54" s="36">
        <v>7.7350874167315944E-3</v>
      </c>
    </row>
    <row r="55" spans="2:17" x14ac:dyDescent="0.25">
      <c r="B55" s="12">
        <v>160</v>
      </c>
      <c r="C55" s="12">
        <v>80</v>
      </c>
      <c r="D55" s="33">
        <f t="array" ref="D55:Q55">[1]!PVT_stream_calc(B55,C55,PVT_stream_,PVT_str_,param)</f>
        <v>25.205321364117847</v>
      </c>
      <c r="E55" s="33">
        <v>25.205321364117847</v>
      </c>
      <c r="F55" s="33">
        <v>17.008730350439478</v>
      </c>
      <c r="G55" s="34">
        <v>0.15407712562058024</v>
      </c>
      <c r="H55" s="34">
        <v>8.0425138880577887</v>
      </c>
      <c r="I55" s="34">
        <v>0.31907999790500852</v>
      </c>
      <c r="J55" s="34">
        <v>658.29029003620417</v>
      </c>
      <c r="K55" s="35">
        <v>0.85103170249600357</v>
      </c>
      <c r="L55" s="35">
        <v>0.17126844797487914</v>
      </c>
      <c r="M55" s="51">
        <v>1.9097222222222224E-3</v>
      </c>
      <c r="N55" s="51">
        <v>1.8822899941787527E-2</v>
      </c>
      <c r="O55" s="51">
        <v>2.6100000000000002E-2</v>
      </c>
      <c r="P55" s="36">
        <v>2462.5417533009777</v>
      </c>
      <c r="Q55" s="36">
        <v>1.8353681786540482E-2</v>
      </c>
    </row>
    <row r="56" spans="2:17" x14ac:dyDescent="0.25">
      <c r="B56" s="12">
        <v>180</v>
      </c>
      <c r="C56" s="12">
        <v>80</v>
      </c>
      <c r="D56" s="33">
        <f t="array" ref="D56:Q56">[1]!PVT_stream_calc(B56,C56,PVT_stream_,PVT_str_,param)</f>
        <v>23.77220799443263</v>
      </c>
      <c r="E56" s="33">
        <v>23.77220799443263</v>
      </c>
      <c r="F56" s="33">
        <v>17.303560259954885</v>
      </c>
      <c r="G56" s="34">
        <v>0.15398723127221009</v>
      </c>
      <c r="H56" s="34">
        <v>6.3146605032055341</v>
      </c>
      <c r="I56" s="34">
        <v>0.26563205675654555</v>
      </c>
      <c r="J56" s="34">
        <v>698.00360350309347</v>
      </c>
      <c r="K56" s="35">
        <v>0.83149108022986973</v>
      </c>
      <c r="L56" s="35">
        <v>0.17379469754356647</v>
      </c>
      <c r="M56" s="51">
        <v>1.9097222222222226E-3</v>
      </c>
      <c r="N56" s="51">
        <v>1.6296650373100206E-2</v>
      </c>
      <c r="O56" s="51">
        <v>2.6100000000000002E-2</v>
      </c>
      <c r="P56" s="36">
        <v>2480.3623381172893</v>
      </c>
      <c r="Q56" s="36">
        <v>2.6466701999985194E-2</v>
      </c>
    </row>
    <row r="57" spans="2:17" x14ac:dyDescent="0.25">
      <c r="B57" s="12">
        <v>200</v>
      </c>
      <c r="C57" s="12">
        <v>80</v>
      </c>
      <c r="D57" s="33">
        <f t="array" ref="D57:Q57">[1]!PVT_stream_calc(B57,C57,PVT_stream_,PVT_str_,param)</f>
        <v>22.680131782581356</v>
      </c>
      <c r="E57" s="33">
        <v>22.680131782581356</v>
      </c>
      <c r="F57" s="33">
        <v>17.610300885267275</v>
      </c>
      <c r="G57" s="34">
        <v>0.15389050999508033</v>
      </c>
      <c r="H57" s="34">
        <v>4.9159403873189991</v>
      </c>
      <c r="I57" s="34">
        <v>0.21675096222741119</v>
      </c>
      <c r="J57" s="34">
        <v>731.64500483307711</v>
      </c>
      <c r="K57" s="35">
        <v>0.81097878328463202</v>
      </c>
      <c r="L57" s="35">
        <v>0.17637897138721911</v>
      </c>
      <c r="M57" s="51">
        <v>1.9097222222222222E-3</v>
      </c>
      <c r="N57" s="51">
        <v>1.3712376529447576E-2</v>
      </c>
      <c r="O57" s="51">
        <v>2.6100000000000002E-2</v>
      </c>
      <c r="P57" s="36">
        <v>2498.6093226075786</v>
      </c>
      <c r="Q57" s="36">
        <v>3.2513927790054284E-2</v>
      </c>
    </row>
    <row r="58" spans="2:17" x14ac:dyDescent="0.25">
      <c r="B58" s="12">
        <v>220</v>
      </c>
      <c r="C58" s="12">
        <v>80</v>
      </c>
      <c r="D58" s="33">
        <f t="array" ref="D58:Q58">[1]!PVT_stream_calc(B58,C58,PVT_stream_,PVT_str_,param)</f>
        <v>22.120145080015721</v>
      </c>
      <c r="E58" s="33">
        <v>22.120145080015721</v>
      </c>
      <c r="F58" s="33">
        <v>17.683208932276976</v>
      </c>
      <c r="G58" s="34">
        <v>0.15378696178919102</v>
      </c>
      <c r="H58" s="34">
        <v>4.283149185949549</v>
      </c>
      <c r="I58" s="34">
        <v>0.19363115252888322</v>
      </c>
      <c r="J58" s="34">
        <v>750.17428940289471</v>
      </c>
      <c r="K58" s="35">
        <v>0.82362067577675613</v>
      </c>
      <c r="L58" s="35">
        <v>0.17736530624999999</v>
      </c>
      <c r="M58" s="51">
        <v>1.9097222222222224E-3</v>
      </c>
      <c r="N58" s="51">
        <v>1.2726041666666667E-2</v>
      </c>
      <c r="O58" s="51">
        <v>2.6100000000000002E-2</v>
      </c>
      <c r="P58" s="36">
        <v>2507.4427271263412</v>
      </c>
      <c r="Q58" s="36">
        <v>3.5491253668757002E-2</v>
      </c>
    </row>
    <row r="59" spans="2:17" x14ac:dyDescent="0.25">
      <c r="B59" s="12">
        <v>240</v>
      </c>
      <c r="C59" s="12">
        <v>80</v>
      </c>
      <c r="D59" s="33">
        <f t="array" ref="D59:Q59">[1]!PVT_stream_calc(B59,C59,PVT_stream_,PVT_str_,param)</f>
        <v>21.843639988755839</v>
      </c>
      <c r="E59" s="33">
        <v>21.843639988755839</v>
      </c>
      <c r="F59" s="33">
        <v>17.625430685721337</v>
      </c>
      <c r="G59" s="34">
        <v>0.15367658665454206</v>
      </c>
      <c r="H59" s="34">
        <v>4.0645327163799614</v>
      </c>
      <c r="I59" s="34">
        <v>0.18607396562442005</v>
      </c>
      <c r="J59" s="34">
        <v>759.66357005464272</v>
      </c>
      <c r="K59" s="35">
        <v>0.85500667940964903</v>
      </c>
      <c r="L59" s="35">
        <v>0.17736530625000002</v>
      </c>
      <c r="M59" s="51">
        <v>1.9097222222222224E-3</v>
      </c>
      <c r="N59" s="51">
        <v>1.2726041666666668E-2</v>
      </c>
      <c r="O59" s="51">
        <v>2.6100000000000002E-2</v>
      </c>
      <c r="P59" s="36">
        <v>2510.9536584916418</v>
      </c>
      <c r="Q59" s="36">
        <v>3.6999115140925416E-2</v>
      </c>
    </row>
    <row r="60" spans="2:17" x14ac:dyDescent="0.25">
      <c r="B60" s="12">
        <v>260</v>
      </c>
      <c r="C60" s="12">
        <v>80</v>
      </c>
      <c r="D60" s="33">
        <f t="array" ref="D60:Q60">[1]!PVT_stream_calc(B60,C60,PVT_stream_,PVT_str_,param)</f>
        <v>21.618678708953922</v>
      </c>
      <c r="E60" s="33">
        <v>21.618678708953922</v>
      </c>
      <c r="F60" s="33">
        <v>17.576688878329534</v>
      </c>
      <c r="G60" s="34">
        <v>0.15355938459113352</v>
      </c>
      <c r="H60" s="34">
        <v>3.8884304460332544</v>
      </c>
      <c r="I60" s="34">
        <v>0.17986438941907965</v>
      </c>
      <c r="J60" s="34">
        <v>767.56327802834403</v>
      </c>
      <c r="K60" s="35">
        <v>0.88733896360767384</v>
      </c>
      <c r="L60" s="35">
        <v>0.17736530625000002</v>
      </c>
      <c r="M60" s="51">
        <v>1.9097222222222222E-3</v>
      </c>
      <c r="N60" s="51">
        <v>1.2726041666666668E-2</v>
      </c>
      <c r="O60" s="51">
        <v>2.6100000000000002E-2</v>
      </c>
      <c r="P60" s="36">
        <v>2514.708808831494</v>
      </c>
      <c r="Q60" s="36">
        <v>3.8184525215370996E-2</v>
      </c>
    </row>
    <row r="61" spans="2:17" x14ac:dyDescent="0.25">
      <c r="B61" s="12">
        <v>280</v>
      </c>
      <c r="C61" s="12">
        <v>80</v>
      </c>
      <c r="D61" s="33">
        <f t="array" ref="D61:Q61">[1]!PVT_stream_calc(B61,C61,PVT_stream_,PVT_str_,param)</f>
        <v>21.431708980302997</v>
      </c>
      <c r="E61" s="33">
        <v>21.431708980302997</v>
      </c>
      <c r="F61" s="33">
        <v>17.535017483699519</v>
      </c>
      <c r="G61" s="34">
        <v>0.15343535559896543</v>
      </c>
      <c r="H61" s="34">
        <v>3.7432561410045104</v>
      </c>
      <c r="I61" s="34">
        <v>0.17465971306556952</v>
      </c>
      <c r="J61" s="34">
        <v>774.25538630846688</v>
      </c>
      <c r="K61" s="35">
        <v>0.92075899004283501</v>
      </c>
      <c r="L61" s="35">
        <v>0.17736530624999999</v>
      </c>
      <c r="M61" s="51">
        <v>1.9097222222222222E-3</v>
      </c>
      <c r="N61" s="51">
        <v>1.2726041666666667E-2</v>
      </c>
      <c r="O61" s="51">
        <v>2.6100000000000002E-2</v>
      </c>
      <c r="P61" s="36">
        <v>2518.6348507242924</v>
      </c>
      <c r="Q61" s="36">
        <v>3.9122760884485415E-2</v>
      </c>
    </row>
    <row r="62" spans="2:17" x14ac:dyDescent="0.25">
      <c r="B62" s="12">
        <v>300</v>
      </c>
      <c r="C62" s="12">
        <v>80</v>
      </c>
      <c r="D62" s="33">
        <f t="array" ref="D62:Q62">[1]!PVT_stream_calc(B62,C62,PVT_stream_,PVT_str_,param)</f>
        <v>21.27361470885138</v>
      </c>
      <c r="E62" s="33">
        <v>21.27361470885138</v>
      </c>
      <c r="F62" s="33">
        <v>17.498982198367631</v>
      </c>
      <c r="G62" s="34">
        <v>0.15330449967803769</v>
      </c>
      <c r="H62" s="34">
        <v>3.6213280108057102</v>
      </c>
      <c r="I62" s="34">
        <v>0.17022626668607346</v>
      </c>
      <c r="J62" s="34">
        <v>780.00609561944361</v>
      </c>
      <c r="K62" s="35">
        <v>0.9553264897177588</v>
      </c>
      <c r="L62" s="35">
        <v>0.17736530624999999</v>
      </c>
      <c r="M62" s="51">
        <v>1.9097222222222222E-3</v>
      </c>
      <c r="N62" s="51">
        <v>1.2726041666666668E-2</v>
      </c>
      <c r="O62" s="51">
        <v>2.6100000000000002E-2</v>
      </c>
      <c r="P62" s="36">
        <v>2522.6843097772953</v>
      </c>
      <c r="Q62" s="36">
        <v>3.987241377448747E-2</v>
      </c>
    </row>
    <row r="63" spans="2:17" x14ac:dyDescent="0.25">
      <c r="B63" s="12">
        <v>320</v>
      </c>
      <c r="C63" s="12">
        <v>80</v>
      </c>
      <c r="D63" s="33">
        <f t="array" ref="D63:Q63">[1]!PVT_stream_calc(B63,C63,PVT_stream_,PVT_str_,param)</f>
        <v>21.138058291822929</v>
      </c>
      <c r="E63" s="33">
        <v>21.138058291822929</v>
      </c>
      <c r="F63" s="33">
        <v>17.467512076497357</v>
      </c>
      <c r="G63" s="34">
        <v>0.15316681682835037</v>
      </c>
      <c r="H63" s="34">
        <v>3.5173793984972228</v>
      </c>
      <c r="I63" s="34">
        <v>0.16640030744251896</v>
      </c>
      <c r="J63" s="34">
        <v>785.00584491957738</v>
      </c>
      <c r="K63" s="35">
        <v>0.99104928894648459</v>
      </c>
      <c r="L63" s="35">
        <v>0.17736530624999999</v>
      </c>
      <c r="M63" s="51">
        <v>1.9097222222222222E-3</v>
      </c>
      <c r="N63" s="51">
        <v>1.2726041666666667E-2</v>
      </c>
      <c r="O63" s="51">
        <v>2.6100000000000002E-2</v>
      </c>
      <c r="P63" s="36">
        <v>2526.8264544249264</v>
      </c>
      <c r="Q63" s="36">
        <v>4.0477944260479973E-2</v>
      </c>
    </row>
    <row r="64" spans="2:17" x14ac:dyDescent="0.25">
      <c r="B64" s="12">
        <v>340</v>
      </c>
      <c r="C64" s="12">
        <v>80</v>
      </c>
      <c r="D64" s="33">
        <f t="array" ref="D64:Q64">[1]!PVT_stream_calc(B64,C64,PVT_stream_,PVT_str_,param)</f>
        <v>21.020490939095371</v>
      </c>
      <c r="E64" s="33">
        <v>21.020490939095371</v>
      </c>
      <c r="F64" s="33">
        <v>17.439791325179137</v>
      </c>
      <c r="G64" s="34">
        <v>0.15302230704990347</v>
      </c>
      <c r="H64" s="34">
        <v>3.4276773068663324</v>
      </c>
      <c r="I64" s="34">
        <v>0.16306361810471798</v>
      </c>
      <c r="J64" s="34">
        <v>789.39468618339617</v>
      </c>
      <c r="K64" s="35">
        <v>1.0279016141540105</v>
      </c>
      <c r="L64" s="35">
        <v>0.17736530624999999</v>
      </c>
      <c r="M64" s="51">
        <v>1.9097222222222222E-3</v>
      </c>
      <c r="N64" s="51">
        <v>1.2726041666666668E-2</v>
      </c>
      <c r="O64" s="51">
        <v>2.6100000000000002E-2</v>
      </c>
      <c r="P64" s="36">
        <v>2531.0411415987205</v>
      </c>
      <c r="Q64" s="36">
        <v>4.0972655157287742E-2</v>
      </c>
    </row>
    <row r="65" spans="2:22" x14ac:dyDescent="0.25">
      <c r="B65" s="12">
        <v>360</v>
      </c>
      <c r="C65" s="12">
        <v>80</v>
      </c>
      <c r="D65" s="33">
        <f t="array" ref="D65:Q65">[1]!PVT_stream_calc(B65,C65,PVT_stream_,PVT_str_,param)</f>
        <v>20.917548374165236</v>
      </c>
      <c r="E65" s="33">
        <v>20.917548374165236</v>
      </c>
      <c r="F65" s="33">
        <v>17.415187591513156</v>
      </c>
      <c r="G65" s="34">
        <v>0.15287097034269698</v>
      </c>
      <c r="H65" s="34">
        <v>3.3494898123093813</v>
      </c>
      <c r="I65" s="34">
        <v>0.16012822116602615</v>
      </c>
      <c r="J65" s="34">
        <v>793.27846561716638</v>
      </c>
      <c r="K65" s="35">
        <v>1.0658353536093312</v>
      </c>
      <c r="L65" s="35">
        <v>0.17736530625000002</v>
      </c>
      <c r="M65" s="51">
        <v>1.9097222222222222E-3</v>
      </c>
      <c r="N65" s="51">
        <v>1.2726041666666665E-2</v>
      </c>
      <c r="O65" s="51">
        <v>2.6100000000000002E-2</v>
      </c>
      <c r="P65" s="36">
        <v>2535.3147589818686</v>
      </c>
      <c r="Q65" s="36">
        <v>4.1381347656080869E-2</v>
      </c>
    </row>
    <row r="66" spans="2:22" x14ac:dyDescent="0.25">
      <c r="B66" s="12">
        <v>380</v>
      </c>
      <c r="C66" s="12">
        <v>80</v>
      </c>
      <c r="D66" s="33">
        <f t="array" ref="D66:Q66">[1]!PVT_stream_calc(B66,C66,PVT_stream_,PVT_str_,param)</f>
        <v>20.826673114476179</v>
      </c>
      <c r="E66" s="33">
        <v>20.826673114476179</v>
      </c>
      <c r="F66" s="33">
        <v>17.393203148194438</v>
      </c>
      <c r="G66" s="34">
        <v>0.15271280670673085</v>
      </c>
      <c r="H66" s="34">
        <v>3.28075715957501</v>
      </c>
      <c r="I66" s="34">
        <v>0.15752670345100031</v>
      </c>
      <c r="J66" s="34">
        <v>796.73926322861428</v>
      </c>
      <c r="K66" s="35">
        <v>1.1047870561032909</v>
      </c>
      <c r="L66" s="35">
        <v>0.17736530625000002</v>
      </c>
      <c r="M66" s="51">
        <v>1.9097222222222222E-3</v>
      </c>
      <c r="N66" s="51">
        <v>1.2726041666666667E-2</v>
      </c>
      <c r="O66" s="51">
        <v>2.6100000000000002E-2</v>
      </c>
      <c r="P66" s="36">
        <v>2539.637593887594</v>
      </c>
      <c r="Q66" s="36">
        <v>4.1722464882878951E-2</v>
      </c>
    </row>
    <row r="67" spans="2:22" x14ac:dyDescent="0.25">
      <c r="B67" s="12">
        <v>400</v>
      </c>
      <c r="C67" s="12">
        <v>80</v>
      </c>
      <c r="D67" s="33">
        <f t="array" ref="D67:Q67">[1]!PVT_stream_calc(B67,C67,PVT_stream_,PVT_str_,param)</f>
        <v>20.745872653205168</v>
      </c>
      <c r="E67" s="33">
        <v>20.745872653205168</v>
      </c>
      <c r="F67" s="33">
        <v>17.373440878630944</v>
      </c>
      <c r="G67" s="34">
        <v>0.15254781614200516</v>
      </c>
      <c r="H67" s="34">
        <v>3.2198839584322156</v>
      </c>
      <c r="I67" s="34">
        <v>0.15520600228570067</v>
      </c>
      <c r="J67" s="34">
        <v>799.84223431644477</v>
      </c>
      <c r="K67" s="35">
        <v>1.1446823581670869</v>
      </c>
      <c r="L67" s="35">
        <v>0.17736530624999999</v>
      </c>
      <c r="M67" s="51">
        <v>1.9097222222222219E-3</v>
      </c>
      <c r="N67" s="51">
        <v>1.2726041666666667E-2</v>
      </c>
      <c r="O67" s="51">
        <v>2.6100000000000002E-2</v>
      </c>
      <c r="P67" s="36">
        <v>2544.002151091745</v>
      </c>
      <c r="Q67" s="36">
        <v>4.2009740313788749E-2</v>
      </c>
    </row>
    <row r="68" spans="2:22" x14ac:dyDescent="0.25">
      <c r="B68" s="12">
        <v>420</v>
      </c>
      <c r="C68" s="12">
        <v>80</v>
      </c>
      <c r="D68" s="33">
        <f t="array" ref="D68:Q68">[1]!PVT_stream_calc(B68,C68,PVT_stream_,PVT_str_,param)</f>
        <v>20.673560871205904</v>
      </c>
      <c r="E68" s="33">
        <v>20.673560871205904</v>
      </c>
      <c r="F68" s="33">
        <v>17.355580078809876</v>
      </c>
      <c r="G68" s="34">
        <v>0.15237599864851989</v>
      </c>
      <c r="H68" s="34">
        <v>3.1656047937475096</v>
      </c>
      <c r="I68" s="34">
        <v>0.15312334500422506</v>
      </c>
      <c r="J68" s="34">
        <v>802.64017516269416</v>
      </c>
      <c r="K68" s="35">
        <v>1.1854388605229942</v>
      </c>
      <c r="L68" s="35">
        <v>0.17736530624999999</v>
      </c>
      <c r="M68" s="51">
        <v>1.9097222222222224E-3</v>
      </c>
      <c r="N68" s="51">
        <v>1.2726041666666668E-2</v>
      </c>
      <c r="O68" s="51">
        <v>2.6100000000000002E-2</v>
      </c>
      <c r="P68" s="36">
        <v>2548.4020943965934</v>
      </c>
      <c r="Q68" s="36">
        <v>4.2253434902852306E-2</v>
      </c>
    </row>
    <row r="69" spans="2:22" x14ac:dyDescent="0.25">
      <c r="B69" s="12">
        <v>440</v>
      </c>
      <c r="C69" s="12">
        <v>80</v>
      </c>
      <c r="D69" s="33">
        <f t="array" ref="D69:Q69">[1]!PVT_stream_calc(B69,C69,PVT_stream_,PVT_str_,param)</f>
        <v>20.608451527711445</v>
      </c>
      <c r="E69" s="33">
        <v>20.608451527711445</v>
      </c>
      <c r="F69" s="33">
        <v>17.339358922379517</v>
      </c>
      <c r="G69" s="34">
        <v>0.15219735422627498</v>
      </c>
      <c r="H69" s="34">
        <v>3.116895251105654</v>
      </c>
      <c r="I69" s="34">
        <v>0.15124354427670011</v>
      </c>
      <c r="J69" s="34">
        <v>805.17663025394438</v>
      </c>
      <c r="K69" s="35">
        <v>1.2269680682541086</v>
      </c>
      <c r="L69" s="35">
        <v>0.17736530625000002</v>
      </c>
      <c r="M69" s="51">
        <v>1.9097222222222222E-3</v>
      </c>
      <c r="N69" s="51">
        <v>1.2726041666666667E-2</v>
      </c>
      <c r="O69" s="51">
        <v>2.6100000000000002E-2</v>
      </c>
      <c r="P69" s="36">
        <v>2552.8315960364389</v>
      </c>
      <c r="Q69" s="36">
        <v>4.24612547944027E-2</v>
      </c>
    </row>
    <row r="70" spans="2:22" x14ac:dyDescent="0.25">
      <c r="B70" s="12">
        <v>460</v>
      </c>
      <c r="C70" s="12">
        <v>80</v>
      </c>
      <c r="D70" s="33">
        <f t="array" ref="D70:Q70">[1]!PVT_stream_calc(B70,C70,PVT_stream_,PVT_str_,param)</f>
        <v>20.549485056282006</v>
      </c>
      <c r="E70" s="33">
        <v>20.549485056282006</v>
      </c>
      <c r="F70" s="33">
        <v>17.324561542345116</v>
      </c>
      <c r="G70" s="34">
        <v>0.15201188287527051</v>
      </c>
      <c r="H70" s="34">
        <v>3.0729116310616167</v>
      </c>
      <c r="I70" s="34">
        <v>0.14953715981910817</v>
      </c>
      <c r="J70" s="34">
        <v>807.48805004125836</v>
      </c>
      <c r="K70" s="35">
        <v>1.2691767648116814</v>
      </c>
      <c r="L70" s="35">
        <v>0.17736530624999997</v>
      </c>
      <c r="M70" s="51">
        <v>1.9097222222222222E-3</v>
      </c>
      <c r="N70" s="51">
        <v>1.2726041666666667E-2</v>
      </c>
      <c r="O70" s="51">
        <v>2.6100000000000002E-2</v>
      </c>
      <c r="P70" s="36">
        <v>2557.2849525990782</v>
      </c>
      <c r="Q70" s="36">
        <v>4.2639029196460246E-2</v>
      </c>
    </row>
    <row r="75" spans="2:22" x14ac:dyDescent="0.25">
      <c r="B75" t="s">
        <v>38</v>
      </c>
    </row>
    <row r="77" spans="2:22" ht="13.8" x14ac:dyDescent="0.25">
      <c r="B77" s="9" t="s">
        <v>0</v>
      </c>
      <c r="C77" s="9" t="s">
        <v>4</v>
      </c>
      <c r="D77" s="9"/>
      <c r="E77" s="9"/>
      <c r="F77" s="10"/>
      <c r="G77" s="11"/>
      <c r="H77" s="11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</row>
    <row r="78" spans="2:22" x14ac:dyDescent="0.25">
      <c r="B78" s="12">
        <v>1</v>
      </c>
      <c r="C78" s="12">
        <v>80</v>
      </c>
      <c r="D78" s="13"/>
      <c r="E78" s="14"/>
      <c r="F78" s="13"/>
      <c r="G78" s="15"/>
      <c r="H78" s="14"/>
      <c r="I78" s="13"/>
      <c r="J78" s="13"/>
      <c r="K78" s="13"/>
      <c r="L78" s="20"/>
      <c r="M78" s="20"/>
      <c r="N78" s="15"/>
      <c r="O78" s="15"/>
      <c r="P78" s="20"/>
      <c r="Q78" s="29"/>
      <c r="R78" s="29"/>
      <c r="S78" s="29"/>
      <c r="T78" s="30"/>
      <c r="U78" s="30"/>
      <c r="V78" s="30"/>
    </row>
    <row r="79" spans="2:22" x14ac:dyDescent="0.25">
      <c r="B79" s="12">
        <v>5</v>
      </c>
      <c r="C79" s="12">
        <v>80</v>
      </c>
      <c r="D79" s="13"/>
      <c r="E79" s="14"/>
      <c r="F79" s="13"/>
      <c r="G79" s="15"/>
      <c r="H79" s="14"/>
      <c r="I79" s="13"/>
      <c r="J79" s="13"/>
      <c r="K79" s="13"/>
      <c r="L79" s="20"/>
      <c r="M79" s="20"/>
      <c r="N79" s="15"/>
      <c r="O79" s="15"/>
      <c r="P79" s="20"/>
      <c r="Q79" s="29"/>
      <c r="R79" s="29"/>
      <c r="S79" s="29"/>
      <c r="T79" s="30"/>
      <c r="U79" s="30"/>
      <c r="V79" s="30"/>
    </row>
    <row r="80" spans="2:22" x14ac:dyDescent="0.25">
      <c r="B80" s="12">
        <v>10</v>
      </c>
      <c r="C80" s="12">
        <v>80</v>
      </c>
      <c r="D80" s="13"/>
      <c r="E80" s="14"/>
      <c r="F80" s="13"/>
      <c r="G80" s="15"/>
      <c r="H80" s="14"/>
      <c r="I80" s="13"/>
      <c r="J80" s="13"/>
      <c r="K80" s="13"/>
      <c r="L80" s="20"/>
      <c r="M80" s="20"/>
      <c r="N80" s="15"/>
      <c r="O80" s="15"/>
      <c r="P80" s="20"/>
      <c r="Q80" s="29"/>
      <c r="R80" s="29"/>
      <c r="S80" s="29"/>
      <c r="T80" s="30"/>
      <c r="U80" s="30"/>
      <c r="V80" s="30"/>
    </row>
    <row r="81" spans="2:22" x14ac:dyDescent="0.25">
      <c r="B81" s="12">
        <v>20</v>
      </c>
      <c r="C81" s="12">
        <v>80</v>
      </c>
      <c r="D81" s="13"/>
      <c r="E81" s="14"/>
      <c r="F81" s="13"/>
      <c r="G81" s="15"/>
      <c r="H81" s="14"/>
      <c r="I81" s="13"/>
      <c r="J81" s="13"/>
      <c r="K81" s="13"/>
      <c r="L81" s="20"/>
      <c r="M81" s="20"/>
      <c r="N81" s="15"/>
      <c r="O81" s="15"/>
      <c r="P81" s="20"/>
      <c r="Q81" s="29"/>
      <c r="R81" s="29"/>
      <c r="S81" s="29"/>
      <c r="T81" s="30"/>
      <c r="U81" s="30"/>
      <c r="V81" s="30"/>
    </row>
    <row r="82" spans="2:22" x14ac:dyDescent="0.25">
      <c r="B82" s="12">
        <v>40</v>
      </c>
      <c r="C82" s="12">
        <v>80</v>
      </c>
      <c r="D82" s="13"/>
      <c r="E82" s="14"/>
      <c r="F82" s="13"/>
      <c r="G82" s="15"/>
      <c r="H82" s="14"/>
      <c r="I82" s="13"/>
      <c r="J82" s="13"/>
      <c r="K82" s="13"/>
      <c r="L82" s="20"/>
      <c r="M82" s="20"/>
      <c r="N82" s="15"/>
      <c r="O82" s="15"/>
      <c r="P82" s="20"/>
      <c r="Q82" s="29"/>
      <c r="R82" s="29"/>
      <c r="S82" s="29"/>
      <c r="T82" s="30"/>
      <c r="U82" s="30"/>
      <c r="V82" s="30"/>
    </row>
    <row r="83" spans="2:22" x14ac:dyDescent="0.25">
      <c r="B83" s="12">
        <v>60</v>
      </c>
      <c r="C83" s="12">
        <v>80</v>
      </c>
      <c r="D83" s="13"/>
      <c r="E83" s="14"/>
      <c r="F83" s="13"/>
      <c r="G83" s="15"/>
      <c r="H83" s="14"/>
      <c r="I83" s="13"/>
      <c r="J83" s="13"/>
      <c r="K83" s="13"/>
      <c r="L83" s="20"/>
      <c r="M83" s="20"/>
      <c r="N83" s="15"/>
      <c r="O83" s="15"/>
      <c r="P83" s="20"/>
      <c r="Q83" s="29"/>
      <c r="R83" s="29"/>
      <c r="S83" s="29"/>
      <c r="T83" s="30"/>
      <c r="U83" s="30"/>
      <c r="V83" s="30"/>
    </row>
    <row r="84" spans="2:22" x14ac:dyDescent="0.25">
      <c r="B84" s="12">
        <v>80</v>
      </c>
      <c r="C84" s="12">
        <v>80</v>
      </c>
      <c r="D84" s="13"/>
      <c r="E84" s="14"/>
      <c r="F84" s="13"/>
      <c r="G84" s="15"/>
      <c r="H84" s="14"/>
      <c r="I84" s="13"/>
      <c r="J84" s="13"/>
      <c r="K84" s="13"/>
      <c r="L84" s="20"/>
      <c r="M84" s="20"/>
      <c r="N84" s="15"/>
      <c r="O84" s="15"/>
      <c r="P84" s="20"/>
      <c r="Q84" s="29"/>
      <c r="R84" s="29"/>
      <c r="S84" s="29"/>
      <c r="T84" s="30"/>
      <c r="U84" s="30"/>
      <c r="V84" s="30"/>
    </row>
    <row r="85" spans="2:22" x14ac:dyDescent="0.25">
      <c r="B85" s="12">
        <v>100</v>
      </c>
      <c r="C85" s="12">
        <v>80</v>
      </c>
      <c r="D85" s="13"/>
      <c r="E85" s="14"/>
      <c r="F85" s="13"/>
      <c r="G85" s="15"/>
      <c r="H85" s="14"/>
      <c r="I85" s="13"/>
      <c r="J85" s="13"/>
      <c r="K85" s="13"/>
      <c r="L85" s="20"/>
      <c r="M85" s="20"/>
      <c r="N85" s="15"/>
      <c r="O85" s="15"/>
      <c r="P85" s="20"/>
      <c r="Q85" s="29"/>
      <c r="R85" s="29"/>
      <c r="S85" s="29"/>
      <c r="T85" s="30"/>
      <c r="U85" s="30"/>
      <c r="V85" s="30"/>
    </row>
    <row r="86" spans="2:22" x14ac:dyDescent="0.25">
      <c r="B86" s="12">
        <v>120</v>
      </c>
      <c r="C86" s="12">
        <v>80</v>
      </c>
      <c r="D86" s="13"/>
      <c r="E86" s="14"/>
      <c r="F86" s="13"/>
      <c r="G86" s="15"/>
      <c r="H86" s="14"/>
      <c r="I86" s="13"/>
      <c r="J86" s="13"/>
      <c r="K86" s="13"/>
      <c r="L86" s="20"/>
      <c r="M86" s="20"/>
      <c r="N86" s="15"/>
      <c r="O86" s="15"/>
      <c r="P86" s="20"/>
      <c r="Q86" s="29"/>
      <c r="R86" s="29"/>
      <c r="S86" s="29"/>
      <c r="T86" s="30"/>
      <c r="U86" s="30"/>
      <c r="V86" s="30"/>
    </row>
    <row r="87" spans="2:22" x14ac:dyDescent="0.25">
      <c r="B87" s="12">
        <v>140</v>
      </c>
      <c r="C87" s="12">
        <v>80</v>
      </c>
      <c r="D87" s="13"/>
      <c r="E87" s="14"/>
      <c r="F87" s="13"/>
      <c r="G87" s="15"/>
      <c r="H87" s="14"/>
      <c r="I87" s="13"/>
      <c r="J87" s="13"/>
      <c r="K87" s="13"/>
      <c r="L87" s="20"/>
      <c r="M87" s="20"/>
      <c r="N87" s="15"/>
      <c r="O87" s="15"/>
      <c r="P87" s="20"/>
      <c r="Q87" s="29"/>
      <c r="R87" s="29"/>
      <c r="S87" s="29"/>
      <c r="T87" s="30"/>
      <c r="U87" s="30"/>
      <c r="V87" s="30"/>
    </row>
    <row r="88" spans="2:22" x14ac:dyDescent="0.25">
      <c r="B88" s="12">
        <v>160</v>
      </c>
      <c r="C88" s="12">
        <v>80</v>
      </c>
      <c r="D88" s="13"/>
      <c r="E88" s="14"/>
      <c r="F88" s="13"/>
      <c r="G88" s="15"/>
      <c r="H88" s="14"/>
      <c r="I88" s="13"/>
      <c r="J88" s="13"/>
      <c r="K88" s="13"/>
      <c r="L88" s="20"/>
      <c r="M88" s="20"/>
      <c r="N88" s="15"/>
      <c r="O88" s="15"/>
      <c r="P88" s="20"/>
      <c r="Q88" s="29"/>
      <c r="R88" s="29"/>
      <c r="S88" s="29"/>
      <c r="T88" s="30"/>
      <c r="U88" s="30"/>
      <c r="V88" s="30"/>
    </row>
    <row r="89" spans="2:22" x14ac:dyDescent="0.25">
      <c r="B89" s="12">
        <v>180</v>
      </c>
      <c r="C89" s="12">
        <v>80</v>
      </c>
      <c r="D89" s="13"/>
      <c r="E89" s="14"/>
      <c r="F89" s="13"/>
      <c r="G89" s="15"/>
      <c r="H89" s="14"/>
      <c r="I89" s="13"/>
      <c r="J89" s="13"/>
      <c r="K89" s="13"/>
      <c r="L89" s="20"/>
      <c r="M89" s="20"/>
      <c r="N89" s="15"/>
      <c r="O89" s="15"/>
      <c r="P89" s="20"/>
      <c r="Q89" s="29"/>
      <c r="R89" s="29"/>
      <c r="S89" s="29"/>
      <c r="T89" s="30"/>
      <c r="U89" s="30"/>
      <c r="V89" s="30"/>
    </row>
    <row r="90" spans="2:22" x14ac:dyDescent="0.25">
      <c r="B90" s="12">
        <v>200</v>
      </c>
      <c r="C90" s="12">
        <v>80</v>
      </c>
      <c r="D90" s="13"/>
      <c r="E90" s="14"/>
      <c r="F90" s="13"/>
      <c r="G90" s="15"/>
      <c r="H90" s="14"/>
      <c r="I90" s="13"/>
      <c r="J90" s="13"/>
      <c r="K90" s="13"/>
      <c r="L90" s="20"/>
      <c r="M90" s="20"/>
      <c r="N90" s="15"/>
      <c r="O90" s="15"/>
      <c r="P90" s="20"/>
      <c r="Q90" s="29"/>
      <c r="R90" s="29"/>
      <c r="S90" s="29"/>
      <c r="T90" s="30"/>
      <c r="U90" s="30"/>
      <c r="V90" s="30"/>
    </row>
    <row r="91" spans="2:22" x14ac:dyDescent="0.25">
      <c r="B91" s="12">
        <v>220</v>
      </c>
      <c r="C91" s="12">
        <v>80</v>
      </c>
      <c r="D91" s="13"/>
      <c r="E91" s="14"/>
      <c r="F91" s="13"/>
      <c r="G91" s="15"/>
      <c r="H91" s="14"/>
      <c r="I91" s="13"/>
      <c r="J91" s="13"/>
      <c r="K91" s="13"/>
      <c r="L91" s="20"/>
      <c r="M91" s="20"/>
      <c r="N91" s="15"/>
      <c r="O91" s="15"/>
      <c r="P91" s="20"/>
      <c r="Q91" s="29"/>
      <c r="R91" s="29"/>
      <c r="S91" s="29"/>
      <c r="T91" s="30"/>
      <c r="U91" s="30"/>
      <c r="V91" s="30"/>
    </row>
    <row r="92" spans="2:22" x14ac:dyDescent="0.25">
      <c r="B92" s="12">
        <v>240</v>
      </c>
      <c r="C92" s="12">
        <v>80</v>
      </c>
      <c r="D92" s="13"/>
      <c r="E92" s="14"/>
      <c r="F92" s="13"/>
      <c r="G92" s="15"/>
      <c r="H92" s="14"/>
      <c r="I92" s="13"/>
      <c r="J92" s="13"/>
      <c r="K92" s="13"/>
      <c r="L92" s="20"/>
      <c r="M92" s="20"/>
      <c r="N92" s="15"/>
      <c r="O92" s="15"/>
      <c r="P92" s="20"/>
      <c r="Q92" s="29"/>
      <c r="R92" s="29"/>
      <c r="S92" s="29"/>
      <c r="T92" s="30"/>
      <c r="U92" s="30"/>
      <c r="V92" s="30"/>
    </row>
    <row r="93" spans="2:22" x14ac:dyDescent="0.25">
      <c r="B93" s="12">
        <v>260</v>
      </c>
      <c r="C93" s="12">
        <v>80</v>
      </c>
      <c r="D93" s="13"/>
      <c r="E93" s="14"/>
      <c r="F93" s="13"/>
      <c r="G93" s="15"/>
      <c r="H93" s="14"/>
      <c r="I93" s="13"/>
      <c r="J93" s="13"/>
      <c r="K93" s="13"/>
      <c r="L93" s="20"/>
      <c r="M93" s="20"/>
      <c r="N93" s="15"/>
      <c r="O93" s="15"/>
      <c r="P93" s="20"/>
      <c r="Q93" s="29"/>
      <c r="R93" s="29"/>
      <c r="S93" s="29"/>
      <c r="T93" s="30"/>
      <c r="U93" s="30"/>
      <c r="V93" s="30"/>
    </row>
    <row r="94" spans="2:22" x14ac:dyDescent="0.25">
      <c r="B94" s="12">
        <v>280</v>
      </c>
      <c r="C94" s="12">
        <v>80</v>
      </c>
      <c r="D94" s="13"/>
      <c r="E94" s="14"/>
      <c r="F94" s="13"/>
      <c r="G94" s="15"/>
      <c r="H94" s="14"/>
      <c r="I94" s="13"/>
      <c r="J94" s="13"/>
      <c r="K94" s="13"/>
      <c r="L94" s="20"/>
      <c r="M94" s="20"/>
      <c r="N94" s="15"/>
      <c r="O94" s="15"/>
      <c r="P94" s="20"/>
      <c r="Q94" s="29"/>
      <c r="R94" s="29"/>
      <c r="S94" s="29"/>
      <c r="T94" s="30"/>
      <c r="U94" s="30"/>
      <c r="V94" s="30"/>
    </row>
    <row r="95" spans="2:22" x14ac:dyDescent="0.25">
      <c r="B95" s="12">
        <v>300</v>
      </c>
      <c r="C95" s="12">
        <v>80</v>
      </c>
      <c r="D95" s="13"/>
      <c r="E95" s="14"/>
      <c r="F95" s="13"/>
      <c r="G95" s="15"/>
      <c r="H95" s="14"/>
      <c r="I95" s="13"/>
      <c r="J95" s="13"/>
      <c r="K95" s="13"/>
      <c r="L95" s="20"/>
      <c r="M95" s="20"/>
      <c r="N95" s="15"/>
      <c r="O95" s="15"/>
      <c r="P95" s="20"/>
      <c r="Q95" s="29"/>
      <c r="R95" s="29"/>
      <c r="S95" s="29"/>
      <c r="T95" s="30"/>
      <c r="U95" s="30"/>
      <c r="V95" s="30"/>
    </row>
    <row r="96" spans="2:22" x14ac:dyDescent="0.25">
      <c r="B96" s="12">
        <v>320</v>
      </c>
      <c r="C96" s="12">
        <v>80</v>
      </c>
      <c r="D96" s="13"/>
      <c r="E96" s="14"/>
      <c r="F96" s="13"/>
      <c r="G96" s="15"/>
      <c r="H96" s="14"/>
      <c r="I96" s="13"/>
      <c r="J96" s="13"/>
      <c r="K96" s="13"/>
      <c r="L96" s="20"/>
      <c r="M96" s="20"/>
      <c r="N96" s="15"/>
      <c r="O96" s="15"/>
      <c r="P96" s="20"/>
      <c r="Q96" s="29"/>
      <c r="R96" s="29"/>
      <c r="S96" s="29"/>
      <c r="T96" s="30"/>
      <c r="U96" s="30"/>
      <c r="V96" s="30"/>
    </row>
    <row r="97" spans="2:22" x14ac:dyDescent="0.25">
      <c r="B97" s="12">
        <v>340</v>
      </c>
      <c r="C97" s="12">
        <v>80</v>
      </c>
      <c r="D97" s="13"/>
      <c r="E97" s="14"/>
      <c r="F97" s="13"/>
      <c r="G97" s="15"/>
      <c r="H97" s="14"/>
      <c r="I97" s="13"/>
      <c r="J97" s="13"/>
      <c r="K97" s="13"/>
      <c r="L97" s="20"/>
      <c r="M97" s="20"/>
      <c r="N97" s="15"/>
      <c r="O97" s="15"/>
      <c r="P97" s="20"/>
      <c r="Q97" s="29"/>
      <c r="R97" s="29"/>
      <c r="S97" s="29"/>
      <c r="T97" s="30"/>
      <c r="U97" s="30"/>
      <c r="V97" s="30"/>
    </row>
    <row r="98" spans="2:22" x14ac:dyDescent="0.25">
      <c r="B98" s="12">
        <v>360</v>
      </c>
      <c r="C98" s="12">
        <v>80</v>
      </c>
      <c r="D98" s="13"/>
      <c r="E98" s="14"/>
      <c r="F98" s="13"/>
      <c r="G98" s="15"/>
      <c r="H98" s="14"/>
      <c r="I98" s="13"/>
      <c r="J98" s="13"/>
      <c r="K98" s="13"/>
      <c r="L98" s="20"/>
      <c r="M98" s="20"/>
      <c r="N98" s="15"/>
      <c r="O98" s="15"/>
      <c r="P98" s="20"/>
      <c r="Q98" s="29"/>
      <c r="R98" s="29"/>
      <c r="S98" s="29"/>
      <c r="T98" s="30"/>
      <c r="U98" s="30"/>
      <c r="V98" s="30"/>
    </row>
    <row r="99" spans="2:22" x14ac:dyDescent="0.25">
      <c r="B99" s="12">
        <v>380</v>
      </c>
      <c r="C99" s="12">
        <v>80</v>
      </c>
      <c r="D99" s="13"/>
      <c r="E99" s="14"/>
      <c r="F99" s="13"/>
      <c r="G99" s="15"/>
      <c r="H99" s="14"/>
      <c r="I99" s="13"/>
      <c r="J99" s="13"/>
      <c r="K99" s="13"/>
      <c r="L99" s="20"/>
      <c r="M99" s="20"/>
      <c r="N99" s="15"/>
      <c r="O99" s="15"/>
      <c r="P99" s="20"/>
      <c r="Q99" s="29"/>
      <c r="R99" s="29"/>
      <c r="S99" s="29"/>
      <c r="T99" s="30"/>
      <c r="U99" s="30"/>
      <c r="V99" s="30"/>
    </row>
    <row r="100" spans="2:22" x14ac:dyDescent="0.25">
      <c r="B100" s="12">
        <v>400</v>
      </c>
      <c r="C100" s="12">
        <v>80</v>
      </c>
      <c r="D100" s="13"/>
      <c r="E100" s="14"/>
      <c r="F100" s="13"/>
      <c r="G100" s="15"/>
      <c r="H100" s="14"/>
      <c r="I100" s="13"/>
      <c r="J100" s="13"/>
      <c r="K100" s="13"/>
      <c r="L100" s="20"/>
      <c r="M100" s="20"/>
      <c r="N100" s="15"/>
      <c r="O100" s="15"/>
      <c r="P100" s="20"/>
      <c r="Q100" s="29"/>
      <c r="R100" s="29"/>
      <c r="S100" s="29"/>
      <c r="T100" s="30"/>
      <c r="U100" s="30"/>
      <c r="V100" s="30"/>
    </row>
    <row r="101" spans="2:22" x14ac:dyDescent="0.25">
      <c r="B101" s="12">
        <v>420</v>
      </c>
      <c r="C101" s="12">
        <v>80</v>
      </c>
      <c r="D101" s="13"/>
      <c r="E101" s="14"/>
      <c r="F101" s="13"/>
      <c r="G101" s="15"/>
      <c r="H101" s="14"/>
      <c r="I101" s="13"/>
      <c r="J101" s="13"/>
      <c r="K101" s="13"/>
      <c r="L101" s="20"/>
      <c r="M101" s="20"/>
      <c r="N101" s="15"/>
      <c r="O101" s="15"/>
      <c r="P101" s="20"/>
      <c r="Q101" s="29"/>
      <c r="R101" s="29"/>
      <c r="S101" s="29"/>
      <c r="T101" s="30"/>
      <c r="U101" s="30"/>
      <c r="V101" s="30"/>
    </row>
    <row r="102" spans="2:22" x14ac:dyDescent="0.25">
      <c r="B102" s="12">
        <v>440</v>
      </c>
      <c r="C102" s="12">
        <v>80</v>
      </c>
      <c r="D102" s="13"/>
      <c r="E102" s="14"/>
      <c r="F102" s="13"/>
      <c r="G102" s="15"/>
      <c r="H102" s="14"/>
      <c r="I102" s="13"/>
      <c r="J102" s="13"/>
      <c r="K102" s="13"/>
      <c r="L102" s="20"/>
      <c r="M102" s="20"/>
      <c r="N102" s="15"/>
      <c r="O102" s="15"/>
      <c r="P102" s="20"/>
      <c r="Q102" s="29"/>
      <c r="R102" s="29"/>
      <c r="S102" s="29"/>
      <c r="T102" s="30"/>
      <c r="U102" s="30"/>
      <c r="V102" s="30"/>
    </row>
    <row r="103" spans="2:22" x14ac:dyDescent="0.25">
      <c r="B103" s="12">
        <v>460</v>
      </c>
      <c r="C103" s="12">
        <v>80</v>
      </c>
      <c r="D103" s="13"/>
      <c r="E103" s="14"/>
      <c r="F103" s="13"/>
      <c r="G103" s="15"/>
      <c r="H103" s="14"/>
      <c r="I103" s="13"/>
      <c r="J103" s="13"/>
      <c r="K103" s="13"/>
      <c r="L103" s="20"/>
      <c r="M103" s="20"/>
      <c r="N103" s="15"/>
      <c r="O103" s="15"/>
      <c r="P103" s="20"/>
      <c r="Q103" s="29"/>
      <c r="R103" s="29"/>
      <c r="S103" s="29"/>
      <c r="T103" s="30"/>
      <c r="U103" s="30"/>
      <c r="V103" s="30"/>
    </row>
    <row r="107" spans="2:22" x14ac:dyDescent="0.25">
      <c r="O107">
        <f>O105</f>
        <v>0</v>
      </c>
    </row>
    <row r="162" spans="11:11" x14ac:dyDescent="0.25">
      <c r="K162" t="s">
        <v>5</v>
      </c>
    </row>
    <row r="173" spans="11:11" x14ac:dyDescent="0.25">
      <c r="K173" s="3"/>
    </row>
  </sheetData>
  <dataConsolidate/>
  <mergeCells count="11">
    <mergeCell ref="B3:E3"/>
    <mergeCell ref="I3:L3"/>
    <mergeCell ref="B4:E4"/>
    <mergeCell ref="I4:L4"/>
    <mergeCell ref="B5:E5"/>
    <mergeCell ref="I5:L5"/>
    <mergeCell ref="B25:C25"/>
    <mergeCell ref="A6:A8"/>
    <mergeCell ref="B6:E8"/>
    <mergeCell ref="H6:H8"/>
    <mergeCell ref="I6:L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29</vt:i4>
      </vt:variant>
    </vt:vector>
  </HeadingPairs>
  <TitlesOfParts>
    <vt:vector size="30" baseType="lpstr">
      <vt:lpstr>exercise_PVT</vt:lpstr>
      <vt:lpstr>exercise_PVT!Bob_</vt:lpstr>
      <vt:lpstr>exercise_PVT!Course</vt:lpstr>
      <vt:lpstr>fw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PVT_stream_</vt:lpstr>
      <vt:lpstr>Qgas</vt:lpstr>
      <vt:lpstr>Qliq</vt:lpstr>
      <vt:lpstr>rp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2020-12-08T06:18:17Z</dcterms:modified>
</cp:coreProperties>
</file>