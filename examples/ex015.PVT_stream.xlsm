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E0AB3D27-9D16-46B3-A7AF-29240F88F3E2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25" i="113" a="1"/>
  <c r="D30" i="113"/>
  <c r="D25" i="113" l="1"/>
  <c r="E16" i="113"/>
  <c r="E15" i="113"/>
  <c r="E14" i="113"/>
  <c r="E13" i="113"/>
  <c r="E12" i="113"/>
  <c r="E11" i="113"/>
  <c r="D59" i="113" a="1"/>
  <c r="D58" i="113" a="1"/>
  <c r="D55" i="113" a="1"/>
  <c r="D69" i="113" a="1"/>
  <c r="D56" i="113" a="1"/>
  <c r="D46" i="113" a="1"/>
  <c r="D57" i="113" a="1"/>
  <c r="D64" i="113" a="1"/>
  <c r="D70" i="113" a="1"/>
  <c r="D38" i="113" a="1"/>
  <c r="D65" i="113" a="1"/>
  <c r="D71" i="113" a="1"/>
  <c r="D52" i="113" a="1"/>
  <c r="D61" i="113" a="1"/>
  <c r="D60" i="113" a="1"/>
  <c r="D66" i="113" a="1"/>
  <c r="D67" i="113" a="1"/>
  <c r="D51" i="113" a="1"/>
  <c r="D47" i="113" a="1"/>
  <c r="D62" i="113" a="1"/>
  <c r="D54" i="113" a="1"/>
  <c r="D63" i="113" a="1"/>
  <c r="D50" i="113" a="1"/>
  <c r="D49" i="113" a="1"/>
  <c r="D48" i="113" a="1"/>
  <c r="D68" i="113" a="1"/>
  <c r="D53" i="113" a="1"/>
  <c r="G1" i="113"/>
  <c r="D31" i="113" a="1"/>
  <c r="D34" i="113" a="1"/>
  <c r="D31" i="113" l="1"/>
  <c r="O47" i="113"/>
  <c r="L47" i="113"/>
  <c r="H47" i="113"/>
  <c r="D47" i="113"/>
  <c r="M47" i="113"/>
  <c r="Q47" i="113"/>
  <c r="J47" i="113"/>
  <c r="P47" i="113"/>
  <c r="G47" i="113"/>
  <c r="N47" i="113"/>
  <c r="K47" i="113"/>
  <c r="E47" i="113"/>
  <c r="F47" i="113"/>
  <c r="I47" i="113"/>
  <c r="D51" i="113"/>
  <c r="N51" i="113"/>
  <c r="O51" i="113"/>
  <c r="L51" i="113"/>
  <c r="P51" i="113"/>
  <c r="E51" i="113"/>
  <c r="Q51" i="113"/>
  <c r="J51" i="113"/>
  <c r="F51" i="113"/>
  <c r="G51" i="113"/>
  <c r="H51" i="113"/>
  <c r="I51" i="113"/>
  <c r="K51" i="113"/>
  <c r="M51" i="113"/>
  <c r="Q55" i="113"/>
  <c r="J55" i="113"/>
  <c r="F55" i="113"/>
  <c r="H55" i="113"/>
  <c r="D55" i="113"/>
  <c r="E55" i="113"/>
  <c r="G55" i="113"/>
  <c r="N55" i="113"/>
  <c r="O55" i="113"/>
  <c r="P55" i="113"/>
  <c r="I55" i="113"/>
  <c r="L55" i="113"/>
  <c r="M55" i="113"/>
  <c r="K55" i="113"/>
  <c r="F59" i="113"/>
  <c r="L59" i="113"/>
  <c r="D59" i="113"/>
  <c r="P59" i="113"/>
  <c r="G59" i="113"/>
  <c r="I59" i="113"/>
  <c r="O59" i="113"/>
  <c r="N59" i="113"/>
  <c r="H59" i="113"/>
  <c r="J59" i="113"/>
  <c r="M59" i="113"/>
  <c r="K59" i="113"/>
  <c r="E59" i="113"/>
  <c r="Q59" i="113"/>
  <c r="G63" i="113"/>
  <c r="H63" i="113"/>
  <c r="L63" i="113"/>
  <c r="I63" i="113"/>
  <c r="K63" i="113"/>
  <c r="M63" i="113"/>
  <c r="J63" i="113"/>
  <c r="P63" i="113"/>
  <c r="O63" i="113"/>
  <c r="N63" i="113"/>
  <c r="F63" i="113"/>
  <c r="D63" i="113"/>
  <c r="E63" i="113"/>
  <c r="Q63" i="113"/>
  <c r="J67" i="113"/>
  <c r="D67" i="113"/>
  <c r="Q67" i="113"/>
  <c r="K67" i="113"/>
  <c r="G67" i="113"/>
  <c r="H67" i="113"/>
  <c r="O67" i="113"/>
  <c r="M67" i="113"/>
  <c r="L67" i="113"/>
  <c r="N67" i="113"/>
  <c r="P67" i="113"/>
  <c r="E67" i="113"/>
  <c r="I67" i="113"/>
  <c r="F67" i="113"/>
  <c r="O71" i="113"/>
  <c r="J71" i="113"/>
  <c r="Q71" i="113"/>
  <c r="M71" i="113"/>
  <c r="K71" i="113"/>
  <c r="D71" i="113"/>
  <c r="I71" i="113"/>
  <c r="F71" i="113"/>
  <c r="L71" i="113"/>
  <c r="P71" i="113"/>
  <c r="E71" i="113"/>
  <c r="G71" i="113"/>
  <c r="N71" i="113"/>
  <c r="H71" i="113"/>
  <c r="M52" i="113"/>
  <c r="L52" i="113"/>
  <c r="J52" i="113"/>
  <c r="N52" i="113"/>
  <c r="K52" i="113"/>
  <c r="O52" i="113"/>
  <c r="E52" i="113"/>
  <c r="D52" i="113"/>
  <c r="Q52" i="113"/>
  <c r="H52" i="113"/>
  <c r="P52" i="113"/>
  <c r="F52" i="113"/>
  <c r="G52" i="113"/>
  <c r="I52" i="113"/>
  <c r="I66" i="113"/>
  <c r="E66" i="113"/>
  <c r="J66" i="113"/>
  <c r="N66" i="113"/>
  <c r="Q66" i="113"/>
  <c r="M66" i="113"/>
  <c r="D66" i="113"/>
  <c r="K66" i="113"/>
  <c r="L66" i="113"/>
  <c r="F66" i="113"/>
  <c r="P66" i="113"/>
  <c r="O66" i="113"/>
  <c r="G66" i="113"/>
  <c r="H66" i="113"/>
  <c r="P56" i="113"/>
  <c r="J56" i="113"/>
  <c r="E56" i="113"/>
  <c r="Q56" i="113"/>
  <c r="N56" i="113"/>
  <c r="F56" i="113"/>
  <c r="K56" i="113"/>
  <c r="M56" i="113"/>
  <c r="I56" i="113"/>
  <c r="D56" i="113"/>
  <c r="G56" i="113"/>
  <c r="H56" i="113"/>
  <c r="O56" i="113"/>
  <c r="L56" i="113"/>
  <c r="L54" i="113"/>
  <c r="G54" i="113"/>
  <c r="H54" i="113"/>
  <c r="K54" i="113"/>
  <c r="M54" i="113"/>
  <c r="F54" i="113"/>
  <c r="P54" i="113"/>
  <c r="Q54" i="113"/>
  <c r="O54" i="113"/>
  <c r="N54" i="113"/>
  <c r="D54" i="113"/>
  <c r="E54" i="113"/>
  <c r="I54" i="113"/>
  <c r="J54" i="113"/>
  <c r="M70" i="113"/>
  <c r="G70" i="113"/>
  <c r="P70" i="113"/>
  <c r="L70" i="113"/>
  <c r="N70" i="113"/>
  <c r="J70" i="113"/>
  <c r="F70" i="113"/>
  <c r="E70" i="113"/>
  <c r="O70" i="113"/>
  <c r="D70" i="113"/>
  <c r="H70" i="113"/>
  <c r="I70" i="113"/>
  <c r="K70" i="113"/>
  <c r="Q70" i="113"/>
  <c r="L48" i="113"/>
  <c r="I48" i="113"/>
  <c r="E48" i="113"/>
  <c r="H48" i="113"/>
  <c r="K48" i="113"/>
  <c r="J48" i="113"/>
  <c r="P48" i="113"/>
  <c r="M48" i="113"/>
  <c r="O48" i="113"/>
  <c r="D48" i="113"/>
  <c r="N48" i="113"/>
  <c r="F48" i="113"/>
  <c r="Q48" i="113"/>
  <c r="G48" i="113"/>
  <c r="K60" i="113"/>
  <c r="L60" i="113"/>
  <c r="N60" i="113"/>
  <c r="I60" i="113"/>
  <c r="J60" i="113"/>
  <c r="O60" i="113"/>
  <c r="E60" i="113"/>
  <c r="G60" i="113"/>
  <c r="M60" i="113"/>
  <c r="D60" i="113"/>
  <c r="P60" i="113"/>
  <c r="Q60" i="113"/>
  <c r="F60" i="113"/>
  <c r="H60" i="113"/>
  <c r="O64" i="113"/>
  <c r="D64" i="113"/>
  <c r="M64" i="113"/>
  <c r="J64" i="113"/>
  <c r="H64" i="113"/>
  <c r="P64" i="113"/>
  <c r="G64" i="113"/>
  <c r="E64" i="113"/>
  <c r="L64" i="113"/>
  <c r="Q64" i="113"/>
  <c r="F64" i="113"/>
  <c r="I64" i="113"/>
  <c r="K64" i="113"/>
  <c r="N64" i="113"/>
  <c r="P68" i="113"/>
  <c r="I68" i="113"/>
  <c r="E68" i="113"/>
  <c r="Q68" i="113"/>
  <c r="J68" i="113"/>
  <c r="F68" i="113"/>
  <c r="K68" i="113"/>
  <c r="O68" i="113"/>
  <c r="H68" i="113"/>
  <c r="M68" i="113"/>
  <c r="L68" i="113"/>
  <c r="G68" i="113"/>
  <c r="N68" i="113"/>
  <c r="D68" i="113"/>
  <c r="K62" i="113"/>
  <c r="H62" i="113"/>
  <c r="J62" i="113"/>
  <c r="L62" i="113"/>
  <c r="E62" i="113"/>
  <c r="I62" i="113"/>
  <c r="M62" i="113"/>
  <c r="P62" i="113"/>
  <c r="F62" i="113"/>
  <c r="D62" i="113"/>
  <c r="G62" i="113"/>
  <c r="O62" i="113"/>
  <c r="Q62" i="113"/>
  <c r="N62" i="113"/>
  <c r="D61" i="113"/>
  <c r="P61" i="113"/>
  <c r="M61" i="113"/>
  <c r="O61" i="113"/>
  <c r="I61" i="113"/>
  <c r="Q61" i="113"/>
  <c r="F61" i="113"/>
  <c r="J61" i="113"/>
  <c r="G61" i="113"/>
  <c r="E61" i="113"/>
  <c r="H61" i="113"/>
  <c r="K61" i="113"/>
  <c r="L61" i="113"/>
  <c r="N61" i="113"/>
  <c r="I65" i="113"/>
  <c r="Q65" i="113"/>
  <c r="O65" i="113"/>
  <c r="J65" i="113"/>
  <c r="G65" i="113"/>
  <c r="H65" i="113"/>
  <c r="N65" i="113"/>
  <c r="P65" i="113"/>
  <c r="K65" i="113"/>
  <c r="E65" i="113"/>
  <c r="L65" i="113"/>
  <c r="F65" i="113"/>
  <c r="M65" i="113"/>
  <c r="D65" i="113"/>
  <c r="K49" i="113"/>
  <c r="J49" i="113"/>
  <c r="L49" i="113"/>
  <c r="Q49" i="113"/>
  <c r="F49" i="113"/>
  <c r="M49" i="113"/>
  <c r="D49" i="113"/>
  <c r="I49" i="113"/>
  <c r="N49" i="113"/>
  <c r="O49" i="113"/>
  <c r="G49" i="113"/>
  <c r="P49" i="113"/>
  <c r="E49" i="113"/>
  <c r="H49" i="113"/>
  <c r="L53" i="113"/>
  <c r="M53" i="113"/>
  <c r="K53" i="113"/>
  <c r="N53" i="113"/>
  <c r="O53" i="113"/>
  <c r="Q53" i="113"/>
  <c r="H53" i="113"/>
  <c r="D53" i="113"/>
  <c r="F53" i="113"/>
  <c r="P53" i="113"/>
  <c r="E53" i="113"/>
  <c r="J53" i="113"/>
  <c r="G53" i="113"/>
  <c r="I53" i="113"/>
  <c r="N57" i="113"/>
  <c r="M57" i="113"/>
  <c r="H57" i="113"/>
  <c r="D57" i="113"/>
  <c r="J57" i="113"/>
  <c r="P57" i="113"/>
  <c r="F57" i="113"/>
  <c r="L57" i="113"/>
  <c r="E57" i="113"/>
  <c r="G57" i="113"/>
  <c r="K57" i="113"/>
  <c r="I57" i="113"/>
  <c r="Q57" i="113"/>
  <c r="O57" i="113"/>
  <c r="M69" i="113"/>
  <c r="G69" i="113"/>
  <c r="Q69" i="113"/>
  <c r="N69" i="113"/>
  <c r="J69" i="113"/>
  <c r="D69" i="113"/>
  <c r="P69" i="113"/>
  <c r="E69" i="113"/>
  <c r="I69" i="113"/>
  <c r="F69" i="113"/>
  <c r="K69" i="113"/>
  <c r="L69" i="113"/>
  <c r="H69" i="113"/>
  <c r="O69" i="113"/>
  <c r="M58" i="113"/>
  <c r="I58" i="113"/>
  <c r="N58" i="113"/>
  <c r="K58" i="113"/>
  <c r="F58" i="113"/>
  <c r="D58" i="113"/>
  <c r="G58" i="113"/>
  <c r="J58" i="113"/>
  <c r="Q58" i="113"/>
  <c r="O58" i="113"/>
  <c r="P58" i="113"/>
  <c r="E58" i="113"/>
  <c r="H58" i="113"/>
  <c r="L58" i="113"/>
  <c r="F50" i="113"/>
  <c r="P50" i="113"/>
  <c r="G50" i="113"/>
  <c r="E50" i="113"/>
  <c r="Q50" i="113"/>
  <c r="H50" i="113"/>
  <c r="D50" i="113"/>
  <c r="I50" i="113"/>
  <c r="M50" i="113"/>
  <c r="J50" i="113"/>
  <c r="K50" i="113"/>
  <c r="N50" i="113"/>
  <c r="L50" i="113"/>
  <c r="O50" i="113"/>
  <c r="E46" i="113"/>
  <c r="Q46" i="113"/>
  <c r="J46" i="113"/>
  <c r="K46" i="113"/>
  <c r="M46" i="113"/>
  <c r="O46" i="113"/>
  <c r="P46" i="113"/>
  <c r="F46" i="113"/>
  <c r="G46" i="113"/>
  <c r="H46" i="113"/>
  <c r="I46" i="113"/>
  <c r="L46" i="113"/>
  <c r="N46" i="113"/>
  <c r="D46" i="113"/>
  <c r="D38" i="113"/>
  <c r="D34" i="113"/>
  <c r="O45" i="113"/>
  <c r="N45" i="113"/>
  <c r="G45" i="113"/>
  <c r="P45" i="113"/>
  <c r="K45" i="113"/>
  <c r="I45" i="113"/>
  <c r="H45" i="113"/>
  <c r="M45" i="113"/>
  <c r="E45" i="113"/>
  <c r="L45" i="113"/>
  <c r="Q45" i="113"/>
  <c r="D45" i="113"/>
  <c r="J45" i="113"/>
  <c r="F4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<sst xmlns="http://schemas.openxmlformats.org/spreadsheetml/2006/main" count="61" uniqueCount="47">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</sst>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00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10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" fontId="0" fillId="4" borderId="8" xfId="0" applyNumberFormat="1" applyFill="1" applyBorder="1"/>
    <xf numFmtId="1" fontId="0" fillId="4" borderId="9" xfId="0" applyNumberFormat="1" applyFill="1" applyBorder="1"/>
    <xf numFmtId="167" fontId="0" fillId="7" borderId="2" xfId="0" applyNumberFormat="1" applyFill="1" applyBorder="1" applyAlignment="1">
      <alignment horizontal="center"/>
    </xf>
    <xf numFmtId="0" fontId="0" fillId="4" borderId="0" xfId="0" applyFill="1"/>
    <xf numFmtId="0" fontId="0" fillId="4" borderId="8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0.00</c:formatCode>
                <c:ptCount val="26"/>
                <c:pt idx="0">
                  <c:v>0.99540395142159677</c:v>
                </c:pt>
                <c:pt idx="1">
                  <c:v>0.97484262545061118</c:v>
                </c:pt>
                <c:pt idx="2">
                  <c:v>0.94791757795528897</c:v>
                </c:pt>
                <c:pt idx="3">
                  <c:v>0.89196340429777377</c:v>
                </c:pt>
                <c:pt idx="4">
                  <c:v>0.77684214474717495</c:v>
                </c:pt>
                <c:pt idx="5">
                  <c:v>0.66298598043857671</c:v>
                </c:pt>
                <c:pt idx="6">
                  <c:v>0.55725183114106069</c:v>
                </c:pt>
                <c:pt idx="7">
                  <c:v>0.46541295548419748</c:v>
                </c:pt>
                <c:pt idx="8">
                  <c:v>0.38932610994392153</c:v>
                </c:pt>
                <c:pt idx="9">
                  <c:v>0.32726835334748605</c:v>
                </c:pt>
                <c:pt idx="10">
                  <c:v>0.27603978085232511</c:v>
                </c:pt>
                <c:pt idx="11">
                  <c:v>0.23253348022271764</c:v>
                </c:pt>
                <c:pt idx="12">
                  <c:v>0.20362319531763451</c:v>
                </c:pt>
                <c:pt idx="13">
                  <c:v>0.19414364766946185</c:v>
                </c:pt>
                <c:pt idx="14">
                  <c:v>0.18653832458046304</c:v>
                </c:pt>
                <c:pt idx="15">
                  <c:v>0.18028968799728909</c:v>
                </c:pt>
                <c:pt idx="16">
                  <c:v>0.17505272172212238</c:v>
                </c:pt>
                <c:pt idx="17">
                  <c:v>0.17059216315699827</c:v>
                </c:pt>
                <c:pt idx="18">
                  <c:v>0.16674313784590541</c:v>
                </c:pt>
                <c:pt idx="19">
                  <c:v>0.163386603330191</c:v>
                </c:pt>
                <c:pt idx="20">
                  <c:v>0.16043396595355697</c:v>
                </c:pt>
                <c:pt idx="21">
                  <c:v>0.15781734275662154</c:v>
                </c:pt>
                <c:pt idx="22">
                  <c:v>0.15548330621663217</c:v>
                </c:pt>
                <c:pt idx="23">
                  <c:v>0.15338879571193503</c:v>
                </c:pt>
                <c:pt idx="24">
                  <c:v>0.15149839342730725</c:v>
                </c:pt>
                <c:pt idx="25">
                  <c:v>0.1497824723188533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exercise_PVT!$E$45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exercise_PVT!$E$46:$E$71</c:f>
              <c:numCache>
                <c:formatCode>0</c:formatCode>
                <c:ptCount val="26"/>
                <c:pt idx="0">
                  <c:v>3361.5815165844892</c:v>
                </c:pt>
                <c:pt idx="1">
                  <c:v>625.77054412605662</c:v>
                </c:pt>
                <c:pt idx="2">
                  <c:v>304.91473482128168</c:v>
                </c:pt>
                <c:pt idx="3">
                  <c:v>148.72565344095693</c:v>
                </c:pt>
                <c:pt idx="4">
                  <c:v>73.213479542929903</c:v>
                </c:pt>
                <c:pt idx="5">
                  <c:v>49.140785706183337</c:v>
                </c:pt>
                <c:pt idx="6">
                  <c:v>37.86740277281725</c:v>
                </c:pt>
                <c:pt idx="7">
                  <c:v>31.729793902049902</c:v>
                </c:pt>
                <c:pt idx="8">
                  <c:v>28.093542672495662</c:v>
                </c:pt>
                <c:pt idx="9">
                  <c:v>25.789629672412332</c:v>
                </c:pt>
                <c:pt idx="10">
                  <c:v>24.234166898788203</c:v>
                </c:pt>
                <c:pt idx="11">
                  <c:v>23.118032455433283</c:v>
                </c:pt>
                <c:pt idx="12">
                  <c:v>22.405774993906469</c:v>
                </c:pt>
                <c:pt idx="13">
                  <c:v>22.061752920403556</c:v>
                </c:pt>
                <c:pt idx="14">
                  <c:v>21.78926354957547</c:v>
                </c:pt>
                <c:pt idx="15">
                  <c:v>21.567680820944805</c:v>
                </c:pt>
                <c:pt idx="16">
                  <c:v>21.383592920917462</c:v>
                </c:pt>
                <c:pt idx="17">
                  <c:v>21.227985763173383</c:v>
                </c:pt>
                <c:pt idx="18">
                  <c:v>21.094597618450639</c:v>
                </c:pt>
                <c:pt idx="19">
                  <c:v>20.978937299646752</c:v>
                </c:pt>
                <c:pt idx="20">
                  <c:v>20.877685048806963</c:v>
                </c:pt>
                <c:pt idx="21">
                  <c:v>20.788318332253503</c:v>
                </c:pt>
                <c:pt idx="22">
                  <c:v>20.708872462140775</c:v>
                </c:pt>
                <c:pt idx="23">
                  <c:v>20.637783738080401</c:v>
                </c:pt>
                <c:pt idx="24">
                  <c:v>20.573784187363138</c:v>
                </c:pt>
                <c:pt idx="25">
                  <c:v>20.515829278876346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exercise_PVT!$F$45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</c:formatCode>
                <c:ptCount val="26"/>
                <c:pt idx="0">
                  <c:v>15.295443041318849</c:v>
                </c:pt>
                <c:pt idx="1">
                  <c:v>15.58820162928685</c:v>
                </c:pt>
                <c:pt idx="2">
                  <c:v>15.726164181733976</c:v>
                </c:pt>
                <c:pt idx="3">
                  <c:v>15.913298059296169</c:v>
                </c:pt>
                <c:pt idx="4">
                  <c:v>16.183689944189965</c:v>
                </c:pt>
                <c:pt idx="5">
                  <c:v>16.406709521816346</c:v>
                </c:pt>
                <c:pt idx="6">
                  <c:v>16.611354803382294</c:v>
                </c:pt>
                <c:pt idx="7">
                  <c:v>16.808030898099258</c:v>
                </c:pt>
                <c:pt idx="8">
                  <c:v>17.001756555738321</c:v>
                </c:pt>
                <c:pt idx="9">
                  <c:v>17.195339843040291</c:v>
                </c:pt>
                <c:pt idx="10">
                  <c:v>17.390495653287456</c:v>
                </c:pt>
                <c:pt idx="11">
                  <c:v>17.588328681397435</c:v>
                </c:pt>
                <c:pt idx="12">
                  <c:v>17.689548986084201</c:v>
                </c:pt>
                <c:pt idx="13">
                  <c:v>17.624816772664815</c:v>
                </c:pt>
                <c:pt idx="14">
                  <c:v>17.571054246540967</c:v>
                </c:pt>
                <c:pt idx="15">
                  <c:v>17.525690990320417</c:v>
                </c:pt>
                <c:pt idx="16">
                  <c:v>17.486901424313984</c:v>
                </c:pt>
                <c:pt idx="17">
                  <c:v>17.453353252689634</c:v>
                </c:pt>
                <c:pt idx="18">
                  <c:v>17.424051403125066</c:v>
                </c:pt>
                <c:pt idx="19">
                  <c:v>17.398237685730518</c:v>
                </c:pt>
                <c:pt idx="20">
                  <c:v>17.375324266154884</c:v>
                </c:pt>
                <c:pt idx="21">
                  <c:v>17.354848365971762</c:v>
                </c:pt>
                <c:pt idx="22">
                  <c:v>17.336440687566554</c:v>
                </c:pt>
                <c:pt idx="23">
                  <c:v>17.319802945684373</c:v>
                </c:pt>
                <c:pt idx="24">
                  <c:v>17.304691582031211</c:v>
                </c:pt>
                <c:pt idx="25">
                  <c:v>17.29090576493946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exercise_PVT!$G$45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0.00</c:formatCode>
                <c:ptCount val="26"/>
                <c:pt idx="0">
                  <c:v>0.15454890916583935</c:v>
                </c:pt>
                <c:pt idx="1">
                  <c:v>0.15454233126719386</c:v>
                </c:pt>
                <c:pt idx="2">
                  <c:v>0.15453372487914427</c:v>
                </c:pt>
                <c:pt idx="3">
                  <c:v>0.15451523205390263</c:v>
                </c:pt>
                <c:pt idx="4">
                  <c:v>0.15447312620684964</c:v>
                </c:pt>
                <c:pt idx="5">
                  <c:v>0.15442419343103705</c:v>
                </c:pt>
                <c:pt idx="6">
                  <c:v>0.15436843372646489</c:v>
                </c:pt>
                <c:pt idx="7">
                  <c:v>0.15430584709313314</c:v>
                </c:pt>
                <c:pt idx="8">
                  <c:v>0.15423643353104174</c:v>
                </c:pt>
                <c:pt idx="9">
                  <c:v>0.1541601930401908</c:v>
                </c:pt>
                <c:pt idx="10">
                  <c:v>0.15407712562058024</c:v>
                </c:pt>
                <c:pt idx="11">
                  <c:v>0.15398723127221009</c:v>
                </c:pt>
                <c:pt idx="12">
                  <c:v>0.15389050999508033</c:v>
                </c:pt>
                <c:pt idx="13">
                  <c:v>0.15378696178919102</c:v>
                </c:pt>
                <c:pt idx="14">
                  <c:v>0.15367658665454206</c:v>
                </c:pt>
                <c:pt idx="15">
                  <c:v>0.15355938459113352</c:v>
                </c:pt>
                <c:pt idx="16">
                  <c:v>0.15343535559896543</c:v>
                </c:pt>
                <c:pt idx="17">
                  <c:v>0.15330449967803769</c:v>
                </c:pt>
                <c:pt idx="18">
                  <c:v>0.15316681682835037</c:v>
                </c:pt>
                <c:pt idx="19">
                  <c:v>0.15302230704990347</c:v>
                </c:pt>
                <c:pt idx="20">
                  <c:v>0.15287097034269698</c:v>
                </c:pt>
                <c:pt idx="21">
                  <c:v>0.15271280670673085</c:v>
                </c:pt>
                <c:pt idx="22">
                  <c:v>0.15254781614200516</c:v>
                </c:pt>
                <c:pt idx="23">
                  <c:v>0.15237599864851989</c:v>
                </c:pt>
                <c:pt idx="24">
                  <c:v>0.15219735422627498</c:v>
                </c:pt>
                <c:pt idx="25">
                  <c:v>0.15201188287527051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exercise_PVT!$H$45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3346.1315246340046</c:v>
                </c:pt>
                <c:pt idx="1">
                  <c:v>610.02780016550253</c:v>
                </c:pt>
                <c:pt idx="2">
                  <c:v>289.03403691466849</c:v>
                </c:pt>
                <c:pt idx="3">
                  <c:v>132.65784014960687</c:v>
                </c:pt>
                <c:pt idx="4">
                  <c:v>56.875316472533079</c:v>
                </c:pt>
                <c:pt idx="5">
                  <c:v>32.579651990935957</c:v>
                </c:pt>
                <c:pt idx="6">
                  <c:v>21.101679535708495</c:v>
                </c:pt>
                <c:pt idx="7">
                  <c:v>14.767457156857512</c:v>
                </c:pt>
                <c:pt idx="8">
                  <c:v>10.937549683226296</c:v>
                </c:pt>
                <c:pt idx="9">
                  <c:v>8.4401296363318501</c:v>
                </c:pt>
                <c:pt idx="10">
                  <c:v>6.6895941198801676</c:v>
                </c:pt>
                <c:pt idx="11">
                  <c:v>5.37571654276364</c:v>
                </c:pt>
                <c:pt idx="12">
                  <c:v>4.5623354978271884</c:v>
                </c:pt>
                <c:pt idx="13">
                  <c:v>4.283149185949549</c:v>
                </c:pt>
                <c:pt idx="14">
                  <c:v>4.0645327163799614</c:v>
                </c:pt>
                <c:pt idx="15">
                  <c:v>3.8884304460332544</c:v>
                </c:pt>
                <c:pt idx="16">
                  <c:v>3.7432561410045104</c:v>
                </c:pt>
                <c:pt idx="17">
                  <c:v>3.6213280108057102</c:v>
                </c:pt>
                <c:pt idx="18">
                  <c:v>3.5173793984972228</c:v>
                </c:pt>
                <c:pt idx="19">
                  <c:v>3.4276773068663324</c:v>
                </c:pt>
                <c:pt idx="20">
                  <c:v>3.3494898123093813</c:v>
                </c:pt>
                <c:pt idx="21">
                  <c:v>3.28075715957501</c:v>
                </c:pt>
                <c:pt idx="22">
                  <c:v>3.2198839584322156</c:v>
                </c:pt>
                <c:pt idx="23">
                  <c:v>3.1656047937475096</c:v>
                </c:pt>
                <c:pt idx="24">
                  <c:v>3.116895251105654</c:v>
                </c:pt>
                <c:pt idx="25">
                  <c:v>3.0729116310616167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exercise_PVT!$Q$46:$Q$71</c:f>
              <c:numCache>
                <c:formatCode>0.00E+00</c:formatCode>
                <c:ptCount val="26"/>
                <c:pt idx="0">
                  <c:v>-3.1057306289835458E-2</c:v>
                </c:pt>
                <c:pt idx="1">
                  <c:v>-2.4663933774002517E-2</c:v>
                </c:pt>
                <c:pt idx="2">
                  <c:v>-2.2527811984332798E-2</c:v>
                </c:pt>
                <c:pt idx="3">
                  <c:v>-2.2051605084416084E-2</c:v>
                </c:pt>
                <c:pt idx="4">
                  <c:v>-2.5170049330355583E-2</c:v>
                </c:pt>
                <c:pt idx="5">
                  <c:v>-2.4751760805981425E-2</c:v>
                </c:pt>
                <c:pt idx="6">
                  <c:v>-1.7825077245351002E-2</c:v>
                </c:pt>
                <c:pt idx="7">
                  <c:v>-6.8465233166462407E-3</c:v>
                </c:pt>
                <c:pt idx="8">
                  <c:v>4.7677608101997391E-3</c:v>
                </c:pt>
                <c:pt idx="9">
                  <c:v>1.4992065886274195E-2</c:v>
                </c:pt>
                <c:pt idx="10">
                  <c:v>2.3187988140762464E-2</c:v>
                </c:pt>
                <c:pt idx="11">
                  <c:v>2.9449670283319886E-2</c:v>
                </c:pt>
                <c:pt idx="12">
                  <c:v>3.3415214031424938E-2</c:v>
                </c:pt>
                <c:pt idx="13">
                  <c:v>3.5349589038920257E-2</c:v>
                </c:pt>
                <c:pt idx="14">
                  <c:v>3.6867369531678032E-2</c:v>
                </c:pt>
                <c:pt idx="15">
                  <c:v>3.8061144010786349E-2</c:v>
                </c:pt>
                <c:pt idx="16">
                  <c:v>3.9006529019480263E-2</c:v>
                </c:pt>
                <c:pt idx="17">
                  <c:v>3.9762363792221936E-2</c:v>
                </c:pt>
                <c:pt idx="18">
                  <c:v>4.0373293488927785E-2</c:v>
                </c:pt>
                <c:pt idx="19">
                  <c:v>4.0872761584416786E-2</c:v>
                </c:pt>
                <c:pt idx="20">
                  <c:v>4.1285678198738927E-2</c:v>
                </c:pt>
                <c:pt idx="21">
                  <c:v>4.1630572096575447E-2</c:v>
                </c:pt>
                <c:pt idx="22">
                  <c:v>4.1921244988329262E-2</c:v>
                </c:pt>
                <c:pt idx="23">
                  <c:v>4.2168012847920516E-2</c:v>
                </c:pt>
                <c:pt idx="24">
                  <c:v>4.2378626662980604E-2</c:v>
                </c:pt>
                <c:pt idx="25">
                  <c:v>4.2558952547151523E-2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topLeftCell="A16" zoomScale="85" zoomScaleNormal="85" workbookViewId="0">
      <selection activeCell="N77" sqref="N77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21" t="s">
        <v>32</v>
      </c>
      <c r="I1" s="25">
        <v>44265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7.26</v>
      </c>
      <c r="J2" s="23"/>
      <c r="K2" s="23"/>
      <c r="L2" s="24"/>
    </row>
    <row r="3" spans="1:12" ht="14.4" x14ac:dyDescent="0.3">
      <c r="A3" s="22" t="s">
        <v>25</v>
      </c>
      <c r="B3" s="54" t="s">
        <v>27</v>
      </c>
      <c r="C3" s="54"/>
      <c r="D3" s="54"/>
      <c r="E3" s="55"/>
      <c r="H3" s="22" t="s">
        <v>25</v>
      </c>
      <c r="I3" s="56" t="s">
        <v>27</v>
      </c>
      <c r="J3" s="56"/>
      <c r="K3" s="56"/>
      <c r="L3" s="56"/>
    </row>
    <row r="4" spans="1:12" ht="14.4" x14ac:dyDescent="0.3">
      <c r="A4" s="22" t="s">
        <v>29</v>
      </c>
      <c r="B4" s="54" t="s">
        <v>30</v>
      </c>
      <c r="C4" s="54"/>
      <c r="D4" s="54"/>
      <c r="E4" s="55"/>
      <c r="H4" s="22" t="s">
        <v>29</v>
      </c>
      <c r="I4" s="57" t="s">
        <v>30</v>
      </c>
      <c r="J4" s="57"/>
      <c r="K4" s="57"/>
      <c r="L4" s="57"/>
    </row>
    <row r="5" spans="1:12" ht="14.4" x14ac:dyDescent="0.3">
      <c r="A5" s="22" t="s">
        <v>34</v>
      </c>
      <c r="B5" s="54" t="s">
        <v>28</v>
      </c>
      <c r="C5" s="54"/>
      <c r="D5" s="54"/>
      <c r="E5" s="55"/>
      <c r="H5" s="22" t="s">
        <v>34</v>
      </c>
      <c r="I5" s="57" t="s">
        <v>28</v>
      </c>
      <c r="J5" s="57"/>
      <c r="K5" s="57"/>
      <c r="L5" s="57"/>
    </row>
    <row r="6" spans="1:12" x14ac:dyDescent="0.25">
      <c r="A6" s="60" t="s">
        <v>26</v>
      </c>
      <c r="B6" s="63" t="s">
        <v>31</v>
      </c>
      <c r="C6" s="64"/>
      <c r="D6" s="64"/>
      <c r="E6" s="65"/>
      <c r="H6" s="72" t="s">
        <v>26</v>
      </c>
      <c r="I6" s="73" t="s">
        <v>31</v>
      </c>
      <c r="J6" s="73"/>
      <c r="K6" s="73"/>
      <c r="L6" s="73"/>
    </row>
    <row r="7" spans="1:12" x14ac:dyDescent="0.25">
      <c r="A7" s="61"/>
      <c r="B7" s="66"/>
      <c r="C7" s="67"/>
      <c r="D7" s="67"/>
      <c r="E7" s="68"/>
      <c r="H7" s="72"/>
      <c r="I7" s="73"/>
      <c r="J7" s="73"/>
      <c r="K7" s="73"/>
      <c r="L7" s="73"/>
    </row>
    <row r="8" spans="1:12" x14ac:dyDescent="0.25">
      <c r="A8" s="62"/>
      <c r="B8" s="69"/>
      <c r="C8" s="70"/>
      <c r="D8" s="70"/>
      <c r="E8" s="71"/>
      <c r="H8" s="72"/>
      <c r="I8" s="73"/>
      <c r="J8" s="73"/>
      <c r="K8" s="73"/>
      <c r="L8" s="73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40</v>
      </c>
      <c r="C20" s="2">
        <v>15</v>
      </c>
      <c r="D20" s="5"/>
    </row>
    <row r="21" spans="2:16" ht="15.6" x14ac:dyDescent="0.35">
      <c r="B21" s="5" t="s">
        <v>41</v>
      </c>
      <c r="C21" s="2">
        <v>1</v>
      </c>
      <c r="D21" s="5"/>
    </row>
    <row r="22" spans="2:16" ht="15.6" x14ac:dyDescent="0.35">
      <c r="B22" s="5" t="s">
        <v>42</v>
      </c>
      <c r="C22" s="2">
        <v>120</v>
      </c>
      <c r="D22" s="5"/>
    </row>
    <row r="23" spans="2:16" ht="15.6" x14ac:dyDescent="0.35">
      <c r="B23" s="5" t="s">
        <v>43</v>
      </c>
      <c r="C23" s="2">
        <v>1000</v>
      </c>
      <c r="D23" s="5"/>
    </row>
    <row r="25" spans="2:16" x14ac:dyDescent="0.25">
      <c r="B25" s="58" t="s">
        <v>35</v>
      </c>
      <c r="C25" s="59"/>
      <c r="D25" s="38" t="str" cm="1">
        <f t="array" ref="D25">[1]!encode_json(B26:C28)</f>
        <v>{"show_log":1,"PVT_correlation":1}</v>
      </c>
      <c r="E25" s="18"/>
      <c r="F25" s="18"/>
    </row>
    <row r="26" spans="2:16" x14ac:dyDescent="0.25">
      <c r="B26" s="37" t="s">
        <v>36</v>
      </c>
      <c r="C26" s="37">
        <v>1</v>
      </c>
    </row>
    <row r="27" spans="2:16" x14ac:dyDescent="0.25">
      <c r="B27" s="37" t="s">
        <v>39</v>
      </c>
      <c r="C27" s="37">
        <v>1</v>
      </c>
    </row>
    <row r="28" spans="2:16" x14ac:dyDescent="0.25">
      <c r="B28" s="37"/>
      <c r="C28" s="37"/>
    </row>
    <row r="30" spans="2:16" ht="15" customHeight="1" x14ac:dyDescent="0.25">
      <c r="B30" s="39" t="s">
        <v>23</v>
      </c>
      <c r="C30" s="41"/>
      <c r="D30" s="40" t="str">
        <f>[1]!encode_PVT(gamma_gas_,gamma_oil_,gamma_wat_,Rsb_,Pb_,Tres_,Bob_,muob_,C27)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52"/>
      <c r="N30" s="52"/>
      <c r="O30" s="52"/>
      <c r="P30" s="52"/>
    </row>
    <row r="31" spans="2:16" ht="15" customHeight="1" x14ac:dyDescent="0.25">
      <c r="B31" s="39" t="s">
        <v>44</v>
      </c>
      <c r="C31" s="41"/>
      <c r="D31" s="44" t="str" cm="1">
        <f t="array" ref="D31">[1]!encode_feed(Qliq,fw,rp,Qgas,PVT_str_)</f>
        <v>{"gamma_gas":0.9,"gamma_oil":0.9,"gamma_wat":1.1,"rsb_m3m3":120,"t_res_C":90,"bob_m3m3":1.2,"muob_cP":1,"PVT_corr_set":1,"q_liq_sm3day":15,"fw_perc":1,"rp_m3m3":120,"q_gas_free_sm3day":1000}</v>
      </c>
      <c r="E31" s="44"/>
      <c r="F31" s="44"/>
      <c r="G31" s="44"/>
      <c r="H31" s="44"/>
      <c r="I31" s="44"/>
      <c r="J31" s="44"/>
      <c r="K31" s="44"/>
      <c r="L31" s="44"/>
      <c r="M31" s="52"/>
      <c r="N31" s="52"/>
      <c r="O31" s="52"/>
      <c r="P31" s="52"/>
    </row>
    <row r="33" spans="2:27" x14ac:dyDescent="0.25">
      <c r="B33" s="9" t="s">
        <v>0</v>
      </c>
      <c r="C33" s="9" t="s">
        <v>4</v>
      </c>
      <c r="D33" t="s">
        <v>45</v>
      </c>
    </row>
    <row r="34" spans="2:27" x14ac:dyDescent="0.25">
      <c r="B34" s="12">
        <v>10</v>
      </c>
      <c r="C34" s="42">
        <v>50</v>
      </c>
      <c r="D34" s="49" t="str" cm="1">
        <f t="array" ref="D34:D36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50"/>
      <c r="F34" s="50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7"/>
    </row>
    <row r="35" spans="2:27" x14ac:dyDescent="0.25">
      <c r="D35" s="43" t="str">
        <v>json</v>
      </c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5"/>
    </row>
    <row r="36" spans="2:27" x14ac:dyDescent="0.25">
      <c r="D36" s="46" t="str">
        <v>["CPVT object created "]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8"/>
    </row>
    <row r="37" spans="2:27" x14ac:dyDescent="0.25">
      <c r="D37" t="s">
        <v>46</v>
      </c>
    </row>
    <row r="38" spans="2:27" x14ac:dyDescent="0.25">
      <c r="D38" s="53" cm="1">
        <f t="array" ref="D38:Q40">[1]!feed_calc(B34,C34,PVT_stream_,param)</f>
        <v>274.21571417997677</v>
      </c>
      <c r="E38" s="26">
        <v>274.21571417997677</v>
      </c>
      <c r="F38" s="26">
        <v>15.545159647086953</v>
      </c>
      <c r="G38" s="26">
        <v>0.15213209142289322</v>
      </c>
      <c r="H38" s="26">
        <v>258.51842244146701</v>
      </c>
      <c r="I38" s="26">
        <v>0.94275568128744369</v>
      </c>
      <c r="J38" s="26">
        <v>60.499287404611458</v>
      </c>
      <c r="K38" s="26">
        <v>0.21256723929017574</v>
      </c>
      <c r="L38" s="26">
        <v>0.15935285933703019</v>
      </c>
      <c r="M38" s="26">
        <v>1.9097222222222219E-3</v>
      </c>
      <c r="N38" s="26">
        <v>3.0738488579636476E-2</v>
      </c>
      <c r="O38" s="26">
        <v>2.6100000000000002E-2</v>
      </c>
      <c r="P38" s="26">
        <v>2341.8307148543986</v>
      </c>
      <c r="Q38" s="27">
        <v>-4.0103052183111616E-2</v>
      </c>
    </row>
    <row r="39" spans="2:27" x14ac:dyDescent="0.25">
      <c r="D39" s="43" t="str">
        <v>q_mix_rc_m3day</v>
      </c>
      <c r="E39" s="44" t="str">
        <v>q_mix_rc_m3day</v>
      </c>
      <c r="F39" s="44" t="str">
        <v>q_oil_rc_m3day</v>
      </c>
      <c r="G39" s="44" t="str">
        <v>q_wat_rc_m3day</v>
      </c>
      <c r="H39" s="44" t="str">
        <v>q_gas_rc_m3day</v>
      </c>
      <c r="I39" s="44" t="str">
        <v>gas_fraction_d</v>
      </c>
      <c r="J39" s="44" t="str">
        <v>rho_mix_rc_kgm3</v>
      </c>
      <c r="K39" s="44" t="str">
        <v>mu_mix_cP</v>
      </c>
      <c r="L39" s="44" t="str">
        <v>mo_kgsec</v>
      </c>
      <c r="M39" s="44" t="str">
        <v>mw_kgsec</v>
      </c>
      <c r="N39" s="44" t="str">
        <v>mg_kgsec</v>
      </c>
      <c r="O39" s="44" t="str">
        <v>mg_kgmol</v>
      </c>
      <c r="P39" s="44" t="str">
        <v>cmix_JkgC</v>
      </c>
      <c r="Q39" s="45" t="str">
        <v>cJT_Katm</v>
      </c>
    </row>
    <row r="40" spans="2:27" x14ac:dyDescent="0.25">
      <c r="D40" s="46" t="str">
        <v>["CPVT object created "]</v>
      </c>
      <c r="E40" s="47" t="str">
        <v/>
      </c>
      <c r="F40" s="47" t="str">
        <v/>
      </c>
      <c r="G40" s="47" t="str">
        <v/>
      </c>
      <c r="H40" s="47" t="str">
        <v/>
      </c>
      <c r="I40" s="47" t="str">
        <v/>
      </c>
      <c r="J40" s="47" t="str">
        <v/>
      </c>
      <c r="K40" s="47" t="str">
        <v/>
      </c>
      <c r="L40" s="47" t="str">
        <v/>
      </c>
      <c r="M40" s="47" t="str">
        <v/>
      </c>
      <c r="N40" s="47" t="str">
        <v/>
      </c>
      <c r="O40" s="47" t="str">
        <v/>
      </c>
      <c r="P40" s="47" t="str">
        <v/>
      </c>
      <c r="Q40" s="48" t="str">
        <v/>
      </c>
    </row>
    <row r="42" spans="2:27" x14ac:dyDescent="0.25">
      <c r="D42">
        <v>0</v>
      </c>
      <c r="E42">
        <v>1</v>
      </c>
      <c r="F42">
        <v>2</v>
      </c>
      <c r="G42">
        <v>3</v>
      </c>
      <c r="H42">
        <v>4</v>
      </c>
      <c r="I42">
        <v>5</v>
      </c>
      <c r="J42">
        <v>6</v>
      </c>
      <c r="K42">
        <v>7</v>
      </c>
      <c r="L42">
        <v>8</v>
      </c>
      <c r="M42">
        <v>9</v>
      </c>
      <c r="N42">
        <v>10</v>
      </c>
      <c r="O42">
        <v>11</v>
      </c>
      <c r="P42">
        <v>12</v>
      </c>
      <c r="Q42">
        <v>13</v>
      </c>
    </row>
    <row r="43" spans="2:27" x14ac:dyDescent="0.25">
      <c r="B43" t="s">
        <v>37</v>
      </c>
    </row>
    <row r="45" spans="2:27" s="31" customFormat="1" ht="26.4" x14ac:dyDescent="0.25">
      <c r="B45" s="32" t="s">
        <v>0</v>
      </c>
      <c r="C45" s="32" t="s">
        <v>4</v>
      </c>
      <c r="D45" s="32" t="str">
        <f>D39</f>
        <v>q_mix_rc_m3day</v>
      </c>
      <c r="E45" s="32" t="str">
        <f t="shared" ref="E45:Q45" si="0">E39</f>
        <v>q_mix_rc_m3day</v>
      </c>
      <c r="F45" s="32" t="str">
        <f t="shared" si="0"/>
        <v>q_oil_rc_m3day</v>
      </c>
      <c r="G45" s="32" t="str">
        <f t="shared" si="0"/>
        <v>q_wat_rc_m3day</v>
      </c>
      <c r="H45" s="32" t="str">
        <f t="shared" si="0"/>
        <v>q_gas_rc_m3day</v>
      </c>
      <c r="I45" s="32" t="str">
        <f t="shared" si="0"/>
        <v>gas_fraction_d</v>
      </c>
      <c r="J45" s="32" t="str">
        <f t="shared" si="0"/>
        <v>rho_mix_rc_kgm3</v>
      </c>
      <c r="K45" s="32" t="str">
        <f t="shared" si="0"/>
        <v>mu_mix_cP</v>
      </c>
      <c r="L45" s="32" t="str">
        <f t="shared" si="0"/>
        <v>mo_kgsec</v>
      </c>
      <c r="M45" s="32" t="str">
        <f t="shared" si="0"/>
        <v>mw_kgsec</v>
      </c>
      <c r="N45" s="32" t="str">
        <f t="shared" si="0"/>
        <v>mg_kgsec</v>
      </c>
      <c r="O45" s="32" t="str">
        <f t="shared" si="0"/>
        <v>mg_kgmol</v>
      </c>
      <c r="P45" s="32" t="str">
        <f t="shared" si="0"/>
        <v>cmix_JkgC</v>
      </c>
      <c r="Q45" s="32" t="str">
        <f t="shared" si="0"/>
        <v>cJT_Katm</v>
      </c>
      <c r="R45"/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33">
        <f t="array" ref="D46:Q46">[1]!feed_calc(B46,C46,PVT_stream_,param)</f>
        <v>3361.5815165844892</v>
      </c>
      <c r="E46" s="33">
        <v>3361.5815165844892</v>
      </c>
      <c r="F46" s="33">
        <v>15.295443041318849</v>
      </c>
      <c r="G46" s="34">
        <v>0.15454890916583935</v>
      </c>
      <c r="H46" s="34">
        <v>3346.1315246340046</v>
      </c>
      <c r="I46" s="34">
        <v>0.99540395142159677</v>
      </c>
      <c r="J46" s="34">
        <v>4.934844779108845</v>
      </c>
      <c r="K46" s="35">
        <v>3.27905425208238E-2</v>
      </c>
      <c r="L46" s="35">
        <v>0.15480496020506224</v>
      </c>
      <c r="M46" s="51">
        <v>1.9097222222222224E-3</v>
      </c>
      <c r="N46" s="51">
        <v>3.5286387711604417E-2</v>
      </c>
      <c r="O46" s="51">
        <v>2.6100000000000002E-2</v>
      </c>
      <c r="P46" s="36">
        <v>2460.7098044877212</v>
      </c>
      <c r="Q46" s="36">
        <v>-3.1057306289835458E-2</v>
      </c>
    </row>
    <row r="47" spans="2:27" x14ac:dyDescent="0.25">
      <c r="B47" s="12">
        <v>5</v>
      </c>
      <c r="C47" s="12">
        <v>80</v>
      </c>
      <c r="D47" s="33">
        <f t="array" ref="D47:Q47">[1]!feed_calc(B47,C47,PVT_stream_,param)</f>
        <v>625.77054412605662</v>
      </c>
      <c r="E47" s="33">
        <v>625.77054412605662</v>
      </c>
      <c r="F47" s="33">
        <v>15.58820162928685</v>
      </c>
      <c r="G47" s="34">
        <v>0.15454233126719386</v>
      </c>
      <c r="H47" s="34">
        <v>610.02780016550253</v>
      </c>
      <c r="I47" s="34">
        <v>0.97484262545061118</v>
      </c>
      <c r="J47" s="34">
        <v>26.510439838935799</v>
      </c>
      <c r="K47" s="35">
        <v>9.7447807050149604E-2</v>
      </c>
      <c r="L47" s="35">
        <v>0.15761441437447743</v>
      </c>
      <c r="M47" s="51">
        <v>1.9097222222222224E-3</v>
      </c>
      <c r="N47" s="51">
        <v>3.2476933542189251E-2</v>
      </c>
      <c r="O47" s="51">
        <v>2.6100000000000002E-2</v>
      </c>
      <c r="P47" s="36">
        <v>2466.8847588070812</v>
      </c>
      <c r="Q47" s="36">
        <v>-2.4663933774002517E-2</v>
      </c>
    </row>
    <row r="48" spans="2:27" x14ac:dyDescent="0.25">
      <c r="B48" s="12">
        <v>10</v>
      </c>
      <c r="C48" s="12">
        <v>80</v>
      </c>
      <c r="D48" s="33">
        <f t="array" ref="D48:Q48">[1]!feed_calc(B48,C48,PVT_stream_,param)</f>
        <v>304.91473482128168</v>
      </c>
      <c r="E48" s="33">
        <v>304.91473482128168</v>
      </c>
      <c r="F48" s="33">
        <v>15.726164181733976</v>
      </c>
      <c r="G48" s="34">
        <v>0.15453372487914427</v>
      </c>
      <c r="H48" s="34">
        <v>289.03403691466849</v>
      </c>
      <c r="I48" s="34">
        <v>0.94791757795528897</v>
      </c>
      <c r="J48" s="34">
        <v>54.407747432544411</v>
      </c>
      <c r="K48" s="35">
        <v>0.16907053563640845</v>
      </c>
      <c r="L48" s="35">
        <v>0.1589296866874593</v>
      </c>
      <c r="M48" s="51">
        <v>1.9097222222222226E-3</v>
      </c>
      <c r="N48" s="51">
        <v>3.1161661229207351E-2</v>
      </c>
      <c r="O48" s="51">
        <v>2.6100000000000002E-2</v>
      </c>
      <c r="P48" s="36">
        <v>2467.5305148789062</v>
      </c>
      <c r="Q48" s="36">
        <v>-2.2527811984332798E-2</v>
      </c>
    </row>
    <row r="49" spans="2:17" x14ac:dyDescent="0.25">
      <c r="B49" s="12">
        <v>20</v>
      </c>
      <c r="C49" s="12">
        <v>80</v>
      </c>
      <c r="D49" s="33">
        <f t="array" ref="D49:Q49">[1]!feed_calc(B49,C49,PVT_stream_,param)</f>
        <v>148.72565344095693</v>
      </c>
      <c r="E49" s="33">
        <v>148.72565344095693</v>
      </c>
      <c r="F49" s="33">
        <v>15.913298059296169</v>
      </c>
      <c r="G49" s="34">
        <v>0.15451523205390263</v>
      </c>
      <c r="H49" s="34">
        <v>132.65784014960687</v>
      </c>
      <c r="I49" s="34">
        <v>0.89196340429777377</v>
      </c>
      <c r="J49" s="34">
        <v>111.54831531482145</v>
      </c>
      <c r="K49" s="35">
        <v>0.29297225635941049</v>
      </c>
      <c r="L49" s="35">
        <v>0.16070849245132748</v>
      </c>
      <c r="M49" s="51">
        <v>1.9097222222222224E-3</v>
      </c>
      <c r="N49" s="51">
        <v>2.9382855465339176E-2</v>
      </c>
      <c r="O49" s="51">
        <v>2.6100000000000002E-2</v>
      </c>
      <c r="P49" s="36">
        <v>2466.17554892505</v>
      </c>
      <c r="Q49" s="36">
        <v>-2.2051605084416084E-2</v>
      </c>
    </row>
    <row r="50" spans="2:17" x14ac:dyDescent="0.25">
      <c r="B50" s="12">
        <v>40</v>
      </c>
      <c r="C50" s="12">
        <v>80</v>
      </c>
      <c r="D50" s="33">
        <f t="array" ref="D50:Q50">[1]!feed_calc(B50,C50,PVT_stream_,param)</f>
        <v>73.213479542929903</v>
      </c>
      <c r="E50" s="33">
        <v>73.213479542929903</v>
      </c>
      <c r="F50" s="33">
        <v>16.183689944189965</v>
      </c>
      <c r="G50" s="34">
        <v>0.15447312620684964</v>
      </c>
      <c r="H50" s="34">
        <v>56.875316472533079</v>
      </c>
      <c r="I50" s="34">
        <v>0.77684214474717495</v>
      </c>
      <c r="J50" s="34">
        <v>226.60639978233331</v>
      </c>
      <c r="K50" s="35">
        <v>0.49115699974089666</v>
      </c>
      <c r="L50" s="35">
        <v>0.16326855365431267</v>
      </c>
      <c r="M50" s="51">
        <v>1.9097222222222226E-3</v>
      </c>
      <c r="N50" s="51">
        <v>2.6822794262353997E-2</v>
      </c>
      <c r="O50" s="51">
        <v>2.6100000000000002E-2</v>
      </c>
      <c r="P50" s="36">
        <v>2460.334421944985</v>
      </c>
      <c r="Q50" s="36">
        <v>-2.5170049330355583E-2</v>
      </c>
    </row>
    <row r="51" spans="2:17" x14ac:dyDescent="0.25">
      <c r="B51" s="12">
        <v>60</v>
      </c>
      <c r="C51" s="12">
        <v>80</v>
      </c>
      <c r="D51" s="33">
        <f t="array" ref="D51:Q51">[1]!feed_calc(B51,C51,PVT_stream_,param)</f>
        <v>49.140785706183337</v>
      </c>
      <c r="E51" s="33">
        <v>49.140785706183337</v>
      </c>
      <c r="F51" s="33">
        <v>16.406709521816346</v>
      </c>
      <c r="G51" s="34">
        <v>0.15442419343103705</v>
      </c>
      <c r="H51" s="34">
        <v>32.579651990935957</v>
      </c>
      <c r="I51" s="34">
        <v>0.66298598043857671</v>
      </c>
      <c r="J51" s="34">
        <v>337.62389396647166</v>
      </c>
      <c r="K51" s="35">
        <v>0.63986540576023043</v>
      </c>
      <c r="L51" s="35">
        <v>0.16536808294522215</v>
      </c>
      <c r="M51" s="51">
        <v>1.9097222222222224E-3</v>
      </c>
      <c r="N51" s="51">
        <v>2.4723264971444558E-2</v>
      </c>
      <c r="O51" s="51">
        <v>2.6100000000000002E-2</v>
      </c>
      <c r="P51" s="36">
        <v>2454.4743236802178</v>
      </c>
      <c r="Q51" s="36">
        <v>-2.4751760805981425E-2</v>
      </c>
    </row>
    <row r="52" spans="2:17" x14ac:dyDescent="0.25">
      <c r="B52" s="12">
        <v>80</v>
      </c>
      <c r="C52" s="12">
        <v>80</v>
      </c>
      <c r="D52" s="33">
        <f t="array" ref="D52:Q52">[1]!feed_calc(B52,C52,PVT_stream_,param)</f>
        <v>37.86740277281725</v>
      </c>
      <c r="E52" s="33">
        <v>37.86740277281725</v>
      </c>
      <c r="F52" s="33">
        <v>16.611354803382294</v>
      </c>
      <c r="G52" s="34">
        <v>0.15436843372646489</v>
      </c>
      <c r="H52" s="34">
        <v>21.101679535708495</v>
      </c>
      <c r="I52" s="34">
        <v>0.55725183114106069</v>
      </c>
      <c r="J52" s="34">
        <v>438.14819560223259</v>
      </c>
      <c r="K52" s="35">
        <v>0.74388654117689401</v>
      </c>
      <c r="L52" s="35">
        <v>0.16728193821830753</v>
      </c>
      <c r="M52" s="51">
        <v>1.9097222222222224E-3</v>
      </c>
      <c r="N52" s="51">
        <v>2.2809409698359158E-2</v>
      </c>
      <c r="O52" s="51">
        <v>2.6100000000000002E-2</v>
      </c>
      <c r="P52" s="36">
        <v>2451.8050477910788</v>
      </c>
      <c r="Q52" s="36">
        <v>-1.7825077245351002E-2</v>
      </c>
    </row>
    <row r="53" spans="2:17" x14ac:dyDescent="0.25">
      <c r="B53" s="12">
        <v>100</v>
      </c>
      <c r="C53" s="12">
        <v>80</v>
      </c>
      <c r="D53" s="33">
        <f t="array" ref="D53:Q53">[1]!feed_calc(B53,C53,PVT_stream_,param)</f>
        <v>31.729793902049902</v>
      </c>
      <c r="E53" s="33">
        <v>31.729793902049902</v>
      </c>
      <c r="F53" s="33">
        <v>16.808030898099258</v>
      </c>
      <c r="G53" s="34">
        <v>0.15430584709313314</v>
      </c>
      <c r="H53" s="34">
        <v>14.767457156857512</v>
      </c>
      <c r="I53" s="34">
        <v>0.46541295548419748</v>
      </c>
      <c r="J53" s="34">
        <v>522.91409004568129</v>
      </c>
      <c r="K53" s="35">
        <v>0.80638995964977522</v>
      </c>
      <c r="L53" s="35">
        <v>0.16910797456291862</v>
      </c>
      <c r="M53" s="51">
        <v>1.9097222222222224E-3</v>
      </c>
      <c r="N53" s="51">
        <v>2.0983373353748065E-2</v>
      </c>
      <c r="O53" s="51">
        <v>2.6100000000000002E-2</v>
      </c>
      <c r="P53" s="36">
        <v>2453.8084337737159</v>
      </c>
      <c r="Q53" s="36">
        <v>-6.8465233166462407E-3</v>
      </c>
    </row>
    <row r="54" spans="2:17" x14ac:dyDescent="0.25">
      <c r="B54" s="12">
        <v>120</v>
      </c>
      <c r="C54" s="12">
        <v>80</v>
      </c>
      <c r="D54" s="33">
        <f t="array" ref="D54:Q54">[1]!feed_calc(B54,C54,PVT_stream_,param)</f>
        <v>28.093542672495662</v>
      </c>
      <c r="E54" s="33">
        <v>28.093542672495662</v>
      </c>
      <c r="F54" s="33">
        <v>17.001756555738321</v>
      </c>
      <c r="G54" s="34">
        <v>0.15423643353104174</v>
      </c>
      <c r="H54" s="34">
        <v>10.937549683226296</v>
      </c>
      <c r="I54" s="34">
        <v>0.38932610994392153</v>
      </c>
      <c r="J54" s="34">
        <v>590.61188946788593</v>
      </c>
      <c r="K54" s="35">
        <v>0.83488603662008498</v>
      </c>
      <c r="L54" s="35">
        <v>0.1708930798596697</v>
      </c>
      <c r="M54" s="51">
        <v>1.9097222222222222E-3</v>
      </c>
      <c r="N54" s="51">
        <v>1.9198268056996974E-2</v>
      </c>
      <c r="O54" s="51">
        <v>2.6100000000000002E-2</v>
      </c>
      <c r="P54" s="36">
        <v>2460.252542111717</v>
      </c>
      <c r="Q54" s="36">
        <v>4.7677608101997391E-3</v>
      </c>
    </row>
    <row r="55" spans="2:17" x14ac:dyDescent="0.25">
      <c r="B55" s="12">
        <v>140</v>
      </c>
      <c r="C55" s="12">
        <v>80</v>
      </c>
      <c r="D55" s="33">
        <f t="array" ref="D55:Q55">[1]!feed_calc(B55,C55,PVT_stream_,param)</f>
        <v>25.789629672412332</v>
      </c>
      <c r="E55" s="33">
        <v>25.789629672412332</v>
      </c>
      <c r="F55" s="33">
        <v>17.195339843040291</v>
      </c>
      <c r="G55" s="34">
        <v>0.1541601930401908</v>
      </c>
      <c r="H55" s="34">
        <v>8.4401296363318501</v>
      </c>
      <c r="I55" s="34">
        <v>0.32726835334748605</v>
      </c>
      <c r="J55" s="34">
        <v>643.39088078155226</v>
      </c>
      <c r="K55" s="35">
        <v>0.83931334686568981</v>
      </c>
      <c r="L55" s="35">
        <v>0.17266338239829707</v>
      </c>
      <c r="M55" s="51">
        <v>1.9097222222222222E-3</v>
      </c>
      <c r="N55" s="51">
        <v>1.7427965518369573E-2</v>
      </c>
      <c r="O55" s="51">
        <v>2.6100000000000002E-2</v>
      </c>
      <c r="P55" s="36">
        <v>2470.0266930017401</v>
      </c>
      <c r="Q55" s="36">
        <v>1.4992065886274195E-2</v>
      </c>
    </row>
    <row r="56" spans="2:17" x14ac:dyDescent="0.25">
      <c r="B56" s="12">
        <v>160</v>
      </c>
      <c r="C56" s="12">
        <v>80</v>
      </c>
      <c r="D56" s="33">
        <f t="array" ref="D56:Q56">[1]!feed_calc(B56,C56,PVT_stream_,param)</f>
        <v>24.234166898788203</v>
      </c>
      <c r="E56" s="33">
        <v>24.234166898788203</v>
      </c>
      <c r="F56" s="33">
        <v>17.390495653287456</v>
      </c>
      <c r="G56" s="34">
        <v>0.15407712562058024</v>
      </c>
      <c r="H56" s="34">
        <v>6.6895941198801676</v>
      </c>
      <c r="I56" s="34">
        <v>0.27603978085232511</v>
      </c>
      <c r="J56" s="34">
        <v>684.70508069395146</v>
      </c>
      <c r="K56" s="35">
        <v>0.82865596296600119</v>
      </c>
      <c r="L56" s="35">
        <v>0.17443485511823362</v>
      </c>
      <c r="M56" s="51">
        <v>1.9097222222222224E-3</v>
      </c>
      <c r="N56" s="51">
        <v>1.5656492798433053E-2</v>
      </c>
      <c r="O56" s="51">
        <v>2.6100000000000002E-2</v>
      </c>
      <c r="P56" s="36">
        <v>2481.8899836831442</v>
      </c>
      <c r="Q56" s="36">
        <v>2.3187988140762464E-2</v>
      </c>
    </row>
    <row r="57" spans="2:17" x14ac:dyDescent="0.25">
      <c r="B57" s="12">
        <v>180</v>
      </c>
      <c r="C57" s="12">
        <v>80</v>
      </c>
      <c r="D57" s="33">
        <f t="array" ref="D57:Q57">[1]!feed_calc(B57,C57,PVT_stream_,param)</f>
        <v>23.118032455433283</v>
      </c>
      <c r="E57" s="33">
        <v>23.118032455433283</v>
      </c>
      <c r="F57" s="33">
        <v>17.588328681397435</v>
      </c>
      <c r="G57" s="34">
        <v>0.15398723127221009</v>
      </c>
      <c r="H57" s="34">
        <v>5.37571654276364</v>
      </c>
      <c r="I57" s="34">
        <v>0.23253348022271764</v>
      </c>
      <c r="J57" s="34">
        <v>717.78242087631475</v>
      </c>
      <c r="K57" s="35">
        <v>0.80948617617594554</v>
      </c>
      <c r="L57" s="35">
        <v>0.17621789059337301</v>
      </c>
      <c r="M57" s="51">
        <v>1.9097222222222226E-3</v>
      </c>
      <c r="N57" s="51">
        <v>1.3873457323293656E-2</v>
      </c>
      <c r="O57" s="51">
        <v>2.6100000000000002E-2</v>
      </c>
      <c r="P57" s="36">
        <v>2494.8146964250404</v>
      </c>
      <c r="Q57" s="36">
        <v>2.9449670283319886E-2</v>
      </c>
    </row>
    <row r="58" spans="2:17" x14ac:dyDescent="0.25">
      <c r="B58" s="12">
        <v>200</v>
      </c>
      <c r="C58" s="12">
        <v>80</v>
      </c>
      <c r="D58" s="33">
        <f t="array" ref="D58:Q58">[1]!feed_calc(B58,C58,PVT_stream_,param)</f>
        <v>22.405774993906469</v>
      </c>
      <c r="E58" s="33">
        <v>22.405774993906469</v>
      </c>
      <c r="F58" s="33">
        <v>17.689548986084201</v>
      </c>
      <c r="G58" s="34">
        <v>0.15389050999508033</v>
      </c>
      <c r="H58" s="34">
        <v>4.5623354978271884</v>
      </c>
      <c r="I58" s="34">
        <v>0.20362319531763451</v>
      </c>
      <c r="J58" s="34">
        <v>740.61022020245741</v>
      </c>
      <c r="K58" s="35">
        <v>0.80412098647823393</v>
      </c>
      <c r="L58" s="35">
        <v>0.17736530624999999</v>
      </c>
      <c r="M58" s="51">
        <v>1.9097222222222222E-3</v>
      </c>
      <c r="N58" s="51">
        <v>1.2726041666666668E-2</v>
      </c>
      <c r="O58" s="51">
        <v>2.6100000000000002E-2</v>
      </c>
      <c r="P58" s="36">
        <v>2504.288156778533</v>
      </c>
      <c r="Q58" s="36">
        <v>3.3415214031424938E-2</v>
      </c>
    </row>
    <row r="59" spans="2:17" x14ac:dyDescent="0.25">
      <c r="B59" s="12">
        <v>220</v>
      </c>
      <c r="C59" s="12">
        <v>80</v>
      </c>
      <c r="D59" s="33">
        <f t="array" ref="D59:Q59">[1]!feed_calc(B59,C59,PVT_stream_,param)</f>
        <v>22.061752920403556</v>
      </c>
      <c r="E59" s="33">
        <v>22.061752920403556</v>
      </c>
      <c r="F59" s="33">
        <v>17.624816772664815</v>
      </c>
      <c r="G59" s="34">
        <v>0.15378696178919102</v>
      </c>
      <c r="H59" s="34">
        <v>4.283149185949549</v>
      </c>
      <c r="I59" s="34">
        <v>0.19414364766946185</v>
      </c>
      <c r="J59" s="34">
        <v>752.15123680949739</v>
      </c>
      <c r="K59" s="35">
        <v>0.82834359237002042</v>
      </c>
      <c r="L59" s="35">
        <v>0.17736530625000002</v>
      </c>
      <c r="M59" s="51">
        <v>1.9097222222222224E-3</v>
      </c>
      <c r="N59" s="51">
        <v>1.2726041666666667E-2</v>
      </c>
      <c r="O59" s="51">
        <v>2.6100000000000002E-2</v>
      </c>
      <c r="P59" s="36">
        <v>2507.4427271263412</v>
      </c>
      <c r="Q59" s="36">
        <v>3.5349589038920257E-2</v>
      </c>
    </row>
    <row r="60" spans="2:17" x14ac:dyDescent="0.25">
      <c r="B60" s="12">
        <v>240</v>
      </c>
      <c r="C60" s="12">
        <v>80</v>
      </c>
      <c r="D60" s="33">
        <f t="array" ref="D60:Q60">[1]!feed_calc(B60,C60,PVT_stream_,param)</f>
        <v>21.78926354957547</v>
      </c>
      <c r="E60" s="33">
        <v>21.78926354957547</v>
      </c>
      <c r="F60" s="33">
        <v>17.571054246540967</v>
      </c>
      <c r="G60" s="34">
        <v>0.15367658665454206</v>
      </c>
      <c r="H60" s="34">
        <v>4.0645327163799614</v>
      </c>
      <c r="I60" s="34">
        <v>0.18653832458046304</v>
      </c>
      <c r="J60" s="34">
        <v>761.55134944353335</v>
      </c>
      <c r="K60" s="35">
        <v>0.85096940150244382</v>
      </c>
      <c r="L60" s="35">
        <v>0.17736530625000002</v>
      </c>
      <c r="M60" s="51">
        <v>1.9097222222222224E-3</v>
      </c>
      <c r="N60" s="51">
        <v>1.2726041666666668E-2</v>
      </c>
      <c r="O60" s="51">
        <v>2.6100000000000002E-2</v>
      </c>
      <c r="P60" s="36">
        <v>2510.9536584916418</v>
      </c>
      <c r="Q60" s="36">
        <v>3.6867369531678032E-2</v>
      </c>
    </row>
    <row r="61" spans="2:17" x14ac:dyDescent="0.25">
      <c r="B61" s="12">
        <v>260</v>
      </c>
      <c r="C61" s="12">
        <v>80</v>
      </c>
      <c r="D61" s="33">
        <f t="array" ref="D61:Q61">[1]!feed_calc(B61,C61,PVT_stream_,param)</f>
        <v>21.567680820944805</v>
      </c>
      <c r="E61" s="33">
        <v>21.567680820944805</v>
      </c>
      <c r="F61" s="33">
        <v>17.525690990320417</v>
      </c>
      <c r="G61" s="34">
        <v>0.15355938459113352</v>
      </c>
      <c r="H61" s="34">
        <v>3.8884304460332544</v>
      </c>
      <c r="I61" s="34">
        <v>0.18028968799728909</v>
      </c>
      <c r="J61" s="34">
        <v>769.37069620695797</v>
      </c>
      <c r="K61" s="35">
        <v>0.87243994041909345</v>
      </c>
      <c r="L61" s="35">
        <v>0.17736530624999999</v>
      </c>
      <c r="M61" s="51">
        <v>1.9097222222222222E-3</v>
      </c>
      <c r="N61" s="51">
        <v>1.2726041666666668E-2</v>
      </c>
      <c r="O61" s="51">
        <v>2.6100000000000002E-2</v>
      </c>
      <c r="P61" s="36">
        <v>2514.708808831494</v>
      </c>
      <c r="Q61" s="36">
        <v>3.8061144010786349E-2</v>
      </c>
    </row>
    <row r="62" spans="2:17" x14ac:dyDescent="0.25">
      <c r="B62" s="12">
        <v>280</v>
      </c>
      <c r="C62" s="12">
        <v>80</v>
      </c>
      <c r="D62" s="33">
        <f t="array" ref="D62:Q62">[1]!feed_calc(B62,C62,PVT_stream_,param)</f>
        <v>21.383592920917462</v>
      </c>
      <c r="E62" s="33">
        <v>21.383592920917462</v>
      </c>
      <c r="F62" s="33">
        <v>17.486901424313984</v>
      </c>
      <c r="G62" s="34">
        <v>0.15343535559896543</v>
      </c>
      <c r="H62" s="34">
        <v>3.7432561410045104</v>
      </c>
      <c r="I62" s="34">
        <v>0.17505272172212238</v>
      </c>
      <c r="J62" s="34">
        <v>775.99045309319797</v>
      </c>
      <c r="K62" s="35">
        <v>0.89305036272466398</v>
      </c>
      <c r="L62" s="35">
        <v>0.17736530624999999</v>
      </c>
      <c r="M62" s="51">
        <v>1.9097222222222222E-3</v>
      </c>
      <c r="N62" s="51">
        <v>1.2726041666666667E-2</v>
      </c>
      <c r="O62" s="51">
        <v>2.6100000000000002E-2</v>
      </c>
      <c r="P62" s="36">
        <v>2518.6348507242924</v>
      </c>
      <c r="Q62" s="36">
        <v>3.9006529019480263E-2</v>
      </c>
    </row>
    <row r="63" spans="2:17" x14ac:dyDescent="0.25">
      <c r="B63" s="12">
        <v>300</v>
      </c>
      <c r="C63" s="12">
        <v>80</v>
      </c>
      <c r="D63" s="33">
        <f t="array" ref="D63:Q63">[1]!feed_calc(B63,C63,PVT_stream_,param)</f>
        <v>21.227985763173383</v>
      </c>
      <c r="E63" s="33">
        <v>21.227985763173383</v>
      </c>
      <c r="F63" s="33">
        <v>17.453353252689634</v>
      </c>
      <c r="G63" s="34">
        <v>0.15330449967803769</v>
      </c>
      <c r="H63" s="34">
        <v>3.6213280108057102</v>
      </c>
      <c r="I63" s="34">
        <v>0.17059216315699827</v>
      </c>
      <c r="J63" s="34">
        <v>781.6759304238584</v>
      </c>
      <c r="K63" s="35">
        <v>0.91300168651118563</v>
      </c>
      <c r="L63" s="35">
        <v>0.17736530624999999</v>
      </c>
      <c r="M63" s="51">
        <v>1.9097222222222222E-3</v>
      </c>
      <c r="N63" s="51">
        <v>1.2726041666666668E-2</v>
      </c>
      <c r="O63" s="51">
        <v>2.6100000000000002E-2</v>
      </c>
      <c r="P63" s="36">
        <v>2522.6843097772953</v>
      </c>
      <c r="Q63" s="36">
        <v>3.9762363792221936E-2</v>
      </c>
    </row>
    <row r="64" spans="2:17" x14ac:dyDescent="0.25">
      <c r="B64" s="12">
        <v>320</v>
      </c>
      <c r="C64" s="12">
        <v>80</v>
      </c>
      <c r="D64" s="33">
        <f t="array" ref="D64:Q64">[1]!feed_calc(B64,C64,PVT_stream_,param)</f>
        <v>21.094597618450639</v>
      </c>
      <c r="E64" s="33">
        <v>21.094597618450639</v>
      </c>
      <c r="F64" s="33">
        <v>17.424051403125066</v>
      </c>
      <c r="G64" s="34">
        <v>0.15316681682835037</v>
      </c>
      <c r="H64" s="34">
        <v>3.5173793984972228</v>
      </c>
      <c r="I64" s="34">
        <v>0.16674313784590541</v>
      </c>
      <c r="J64" s="34">
        <v>786.61670837860356</v>
      </c>
      <c r="K64" s="35">
        <v>0.93243421231703094</v>
      </c>
      <c r="L64" s="35">
        <v>0.17736530625000002</v>
      </c>
      <c r="M64" s="51">
        <v>1.9097222222222222E-3</v>
      </c>
      <c r="N64" s="51">
        <v>1.2726041666666667E-2</v>
      </c>
      <c r="O64" s="51">
        <v>2.6100000000000002E-2</v>
      </c>
      <c r="P64" s="36">
        <v>2526.8264544249264</v>
      </c>
      <c r="Q64" s="36">
        <v>4.0373293488927785E-2</v>
      </c>
    </row>
    <row r="65" spans="2:22" x14ac:dyDescent="0.25">
      <c r="B65" s="12">
        <v>340</v>
      </c>
      <c r="C65" s="12">
        <v>80</v>
      </c>
      <c r="D65" s="33">
        <f t="array" ref="D65:Q65">[1]!feed_calc(B65,C65,PVT_stream_,param)</f>
        <v>20.978937299646752</v>
      </c>
      <c r="E65" s="33">
        <v>20.978937299646752</v>
      </c>
      <c r="F65" s="33">
        <v>17.398237685730518</v>
      </c>
      <c r="G65" s="34">
        <v>0.15302230704990347</v>
      </c>
      <c r="H65" s="34">
        <v>3.4276773068663324</v>
      </c>
      <c r="I65" s="34">
        <v>0.163386603330191</v>
      </c>
      <c r="J65" s="34">
        <v>790.95206213691154</v>
      </c>
      <c r="K65" s="35">
        <v>0.95144869010797728</v>
      </c>
      <c r="L65" s="35">
        <v>0.17736530625000002</v>
      </c>
      <c r="M65" s="51">
        <v>1.9097222222222222E-3</v>
      </c>
      <c r="N65" s="51">
        <v>1.2726041666666668E-2</v>
      </c>
      <c r="O65" s="51">
        <v>2.6100000000000002E-2</v>
      </c>
      <c r="P65" s="36">
        <v>2531.0411415987205</v>
      </c>
      <c r="Q65" s="36">
        <v>4.0872761584416786E-2</v>
      </c>
    </row>
    <row r="66" spans="2:22" x14ac:dyDescent="0.25">
      <c r="B66" s="12">
        <v>360</v>
      </c>
      <c r="C66" s="12">
        <v>80</v>
      </c>
      <c r="D66" s="33">
        <f t="array" ref="D66:Q66">[1]!feed_calc(B66,C66,PVT_stream_,param)</f>
        <v>20.877685048806963</v>
      </c>
      <c r="E66" s="33">
        <v>20.877685048806963</v>
      </c>
      <c r="F66" s="33">
        <v>17.375324266154884</v>
      </c>
      <c r="G66" s="34">
        <v>0.15287097034269698</v>
      </c>
      <c r="H66" s="34">
        <v>3.3494898123093813</v>
      </c>
      <c r="I66" s="34">
        <v>0.16043396595355697</v>
      </c>
      <c r="J66" s="34">
        <v>794.78715716513148</v>
      </c>
      <c r="K66" s="35">
        <v>0.97011972841177185</v>
      </c>
      <c r="L66" s="35">
        <v>0.17736530625000002</v>
      </c>
      <c r="M66" s="51">
        <v>1.9097222222222222E-3</v>
      </c>
      <c r="N66" s="51">
        <v>1.2726041666666665E-2</v>
      </c>
      <c r="O66" s="51">
        <v>2.6100000000000002E-2</v>
      </c>
      <c r="P66" s="36">
        <v>2535.3147589818686</v>
      </c>
      <c r="Q66" s="36">
        <v>4.1285678198738927E-2</v>
      </c>
    </row>
    <row r="67" spans="2:22" x14ac:dyDescent="0.25">
      <c r="B67" s="12">
        <v>380</v>
      </c>
      <c r="C67" s="12">
        <v>80</v>
      </c>
      <c r="D67" s="33">
        <f t="array" ref="D67:Q67">[1]!feed_calc(B67,C67,PVT_stream_,param)</f>
        <v>20.788318332253503</v>
      </c>
      <c r="E67" s="33">
        <v>20.788318332253503</v>
      </c>
      <c r="F67" s="33">
        <v>17.354848365971762</v>
      </c>
      <c r="G67" s="34">
        <v>0.15271280670673085</v>
      </c>
      <c r="H67" s="34">
        <v>3.28075715957501</v>
      </c>
      <c r="I67" s="34">
        <v>0.15781734275662154</v>
      </c>
      <c r="J67" s="34">
        <v>798.20348631789545</v>
      </c>
      <c r="K67" s="35">
        <v>0.98850434305563728</v>
      </c>
      <c r="L67" s="35">
        <v>0.17736530624999999</v>
      </c>
      <c r="M67" s="51">
        <v>1.9097222222222222E-3</v>
      </c>
      <c r="N67" s="51">
        <v>1.2726041666666667E-2</v>
      </c>
      <c r="O67" s="51">
        <v>2.6100000000000002E-2</v>
      </c>
      <c r="P67" s="36">
        <v>2539.637593887594</v>
      </c>
      <c r="Q67" s="36">
        <v>4.1630572096575447E-2</v>
      </c>
    </row>
    <row r="68" spans="2:22" x14ac:dyDescent="0.25">
      <c r="B68" s="12">
        <v>400</v>
      </c>
      <c r="C68" s="12">
        <v>80</v>
      </c>
      <c r="D68" s="33">
        <f t="array" ref="D68:Q68">[1]!feed_calc(B68,C68,PVT_stream_,param)</f>
        <v>20.708872462140775</v>
      </c>
      <c r="E68" s="33">
        <v>20.708872462140775</v>
      </c>
      <c r="F68" s="33">
        <v>17.336440687566554</v>
      </c>
      <c r="G68" s="34">
        <v>0.15254781614200516</v>
      </c>
      <c r="H68" s="34">
        <v>3.2198839584322156</v>
      </c>
      <c r="I68" s="34">
        <v>0.15548330621663217</v>
      </c>
      <c r="J68" s="34">
        <v>801.2657021716708</v>
      </c>
      <c r="K68" s="35">
        <v>1.0066474630652551</v>
      </c>
      <c r="L68" s="35">
        <v>0.17736530624999999</v>
      </c>
      <c r="M68" s="51">
        <v>1.9097222222222219E-3</v>
      </c>
      <c r="N68" s="51">
        <v>1.2726041666666667E-2</v>
      </c>
      <c r="O68" s="51">
        <v>2.6100000000000002E-2</v>
      </c>
      <c r="P68" s="36">
        <v>2544.002151091745</v>
      </c>
      <c r="Q68" s="36">
        <v>4.1921244988329262E-2</v>
      </c>
    </row>
    <row r="69" spans="2:22" x14ac:dyDescent="0.25">
      <c r="B69" s="12">
        <v>420</v>
      </c>
      <c r="C69" s="12">
        <v>80</v>
      </c>
      <c r="D69" s="33">
        <f t="array" ref="D69:Q69">[1]!feed_calc(B69,C69,PVT_stream_,param)</f>
        <v>20.637783738080401</v>
      </c>
      <c r="E69" s="33">
        <v>20.637783738080401</v>
      </c>
      <c r="F69" s="33">
        <v>17.319802945684373</v>
      </c>
      <c r="G69" s="34">
        <v>0.15237599864851989</v>
      </c>
      <c r="H69" s="34">
        <v>3.1656047937475096</v>
      </c>
      <c r="I69" s="34">
        <v>0.15338879571193503</v>
      </c>
      <c r="J69" s="34">
        <v>804.0261716130783</v>
      </c>
      <c r="K69" s="35">
        <v>1.0245855211813462</v>
      </c>
      <c r="L69" s="35">
        <v>0.17736530624999999</v>
      </c>
      <c r="M69" s="51">
        <v>1.9097222222222224E-3</v>
      </c>
      <c r="N69" s="51">
        <v>1.2726041666666668E-2</v>
      </c>
      <c r="O69" s="51">
        <v>2.6100000000000002E-2</v>
      </c>
      <c r="P69" s="36">
        <v>2548.4020943965934</v>
      </c>
      <c r="Q69" s="36">
        <v>4.2168012847920516E-2</v>
      </c>
    </row>
    <row r="70" spans="2:22" x14ac:dyDescent="0.25">
      <c r="B70" s="12">
        <v>440</v>
      </c>
      <c r="C70" s="12">
        <v>80</v>
      </c>
      <c r="D70" s="33">
        <f t="array" ref="D70:Q70">[1]!feed_calc(B70,C70,PVT_stream_,param)</f>
        <v>20.573784187363138</v>
      </c>
      <c r="E70" s="33">
        <v>20.573784187363138</v>
      </c>
      <c r="F70" s="33">
        <v>17.304691582031211</v>
      </c>
      <c r="G70" s="34">
        <v>0.15219735422627498</v>
      </c>
      <c r="H70" s="34">
        <v>3.116895251105654</v>
      </c>
      <c r="I70" s="34">
        <v>0.15149839342730725</v>
      </c>
      <c r="J70" s="34">
        <v>806.52807216053941</v>
      </c>
      <c r="K70" s="35">
        <v>1.0423488271991141</v>
      </c>
      <c r="L70" s="35">
        <v>0.17736530624999999</v>
      </c>
      <c r="M70" s="51">
        <v>1.9097222222222222E-3</v>
      </c>
      <c r="N70" s="51">
        <v>1.2726041666666667E-2</v>
      </c>
      <c r="O70" s="51">
        <v>2.6100000000000002E-2</v>
      </c>
      <c r="P70" s="36">
        <v>2552.8315960364389</v>
      </c>
      <c r="Q70" s="36">
        <v>4.2378626662980604E-2</v>
      </c>
    </row>
    <row r="71" spans="2:22" x14ac:dyDescent="0.25">
      <c r="B71" s="12">
        <v>460</v>
      </c>
      <c r="C71" s="12">
        <v>80</v>
      </c>
      <c r="D71" s="33">
        <f t="array" ref="D71:Q71">[1]!feed_calc(B71,C71,PVT_stream_,param)</f>
        <v>20.515829278876346</v>
      </c>
      <c r="E71" s="33">
        <v>20.515829278876346</v>
      </c>
      <c r="F71" s="33">
        <v>17.29090576493946</v>
      </c>
      <c r="G71" s="34">
        <v>0.15201188287527051</v>
      </c>
      <c r="H71" s="34">
        <v>3.0729116310616167</v>
      </c>
      <c r="I71" s="34">
        <v>0.1497824723188533</v>
      </c>
      <c r="J71" s="34">
        <v>808.80753990126914</v>
      </c>
      <c r="K71" s="35">
        <v>1.0599631583231794</v>
      </c>
      <c r="L71" s="35">
        <v>0.17736530625000002</v>
      </c>
      <c r="M71" s="51">
        <v>1.9097222222222222E-3</v>
      </c>
      <c r="N71" s="51">
        <v>1.2726041666666667E-2</v>
      </c>
      <c r="O71" s="51">
        <v>2.6100000000000002E-2</v>
      </c>
      <c r="P71" s="36">
        <v>2557.2849525990782</v>
      </c>
      <c r="Q71" s="36">
        <v>4.2558952547151523E-2</v>
      </c>
    </row>
    <row r="76" spans="2:22" x14ac:dyDescent="0.25">
      <c r="B76" t="s">
        <v>38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25:C25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2021-03-10T17:38:30Z</dcterms:modified>
</cp:coreProperties>
</file>