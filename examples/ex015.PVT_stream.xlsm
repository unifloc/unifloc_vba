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rnt\unifloc_vba\examples\"/>
    </mc:Choice>
  </mc:AlternateContent>
  <xr:revisionPtr revIDLastSave="0" documentId="13_ncr:1_{0A18580E-2E55-40DF-8E9C-22316EB4188B}" xr6:coauthVersionLast="46" xr6:coauthVersionMax="46" xr10:uidLastSave="{00000000-0000-0000-0000-000000000000}"/>
  <bookViews>
    <workbookView xWindow="-108" yWindow="-108" windowWidth="23256" windowHeight="14016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fw">exercise_PVT!$C$21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exercise_PVT!$B$79:$C$104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exercise_PVT!$D$79:$P$104</definedName>
    <definedName name="param">exercise_PVT!$D$25</definedName>
    <definedName name="Pb_" localSheetId="0">exercise_PVT!$C$15</definedName>
    <definedName name="PVT_str_" localSheetId="0">exercise_PVT!$D$30</definedName>
    <definedName name="PVT_stream_">exercise_PVT!$D$31</definedName>
    <definedName name="Qgas">exercise_PVT!$C$23</definedName>
    <definedName name="Qliq">exercise_PVT!$C$20</definedName>
    <definedName name="rp">exercise_PVT!$C$22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8" i="113" l="1"/>
  <c r="D30" i="113"/>
  <c r="D25" i="113" a="1"/>
  <c r="D25" i="113" l="1"/>
  <c r="E16" i="113"/>
  <c r="E15" i="113"/>
  <c r="E14" i="113"/>
  <c r="E13" i="113"/>
  <c r="E12" i="113"/>
  <c r="E11" i="113"/>
  <c r="D65" i="113" a="1"/>
  <c r="D71" i="113" a="1"/>
  <c r="D61" i="113" a="1"/>
  <c r="D67" i="113" a="1"/>
  <c r="D62" i="113" a="1"/>
  <c r="D63" i="113" a="1"/>
  <c r="D49" i="113" a="1"/>
  <c r="D68" i="113" a="1"/>
  <c r="D59" i="113" a="1"/>
  <c r="D64" i="113" a="1"/>
  <c r="D55" i="113" a="1"/>
  <c r="D38" i="113" a="1"/>
  <c r="D46" i="113" a="1"/>
  <c r="D57" i="113" a="1"/>
  <c r="D60" i="113" a="1"/>
  <c r="D51" i="113" a="1"/>
  <c r="D54" i="113" a="1"/>
  <c r="D50" i="113" a="1"/>
  <c r="D48" i="113" a="1"/>
  <c r="D47" i="113" a="1"/>
  <c r="D58" i="113" a="1"/>
  <c r="D70" i="113" a="1"/>
  <c r="D69" i="113" a="1"/>
  <c r="D56" i="113" a="1"/>
  <c r="D52" i="113" a="1"/>
  <c r="D53" i="113" a="1"/>
  <c r="D66" i="113" a="1"/>
  <c r="D31" i="113" a="1"/>
  <c r="G1" i="113"/>
  <c r="D34" i="113" a="1"/>
  <c r="D31" i="113" l="1"/>
  <c r="O47" i="113"/>
  <c r="L47" i="113"/>
  <c r="H47" i="113"/>
  <c r="D47" i="113"/>
  <c r="M47" i="113"/>
  <c r="Q47" i="113"/>
  <c r="J47" i="113"/>
  <c r="P47" i="113"/>
  <c r="G47" i="113"/>
  <c r="N47" i="113"/>
  <c r="K47" i="113"/>
  <c r="E47" i="113"/>
  <c r="F47" i="113"/>
  <c r="I47" i="113"/>
  <c r="D51" i="113"/>
  <c r="N51" i="113"/>
  <c r="O51" i="113"/>
  <c r="L51" i="113"/>
  <c r="P51" i="113"/>
  <c r="E51" i="113"/>
  <c r="Q51" i="113"/>
  <c r="J51" i="113"/>
  <c r="F51" i="113"/>
  <c r="G51" i="113"/>
  <c r="H51" i="113"/>
  <c r="I51" i="113"/>
  <c r="K51" i="113"/>
  <c r="M51" i="113"/>
  <c r="Q55" i="113"/>
  <c r="J55" i="113"/>
  <c r="F55" i="113"/>
  <c r="H55" i="113"/>
  <c r="D55" i="113"/>
  <c r="E55" i="113"/>
  <c r="G55" i="113"/>
  <c r="N55" i="113"/>
  <c r="O55" i="113"/>
  <c r="P55" i="113"/>
  <c r="I55" i="113"/>
  <c r="L55" i="113"/>
  <c r="M55" i="113"/>
  <c r="K55" i="113"/>
  <c r="F59" i="113"/>
  <c r="L59" i="113"/>
  <c r="D59" i="113"/>
  <c r="P59" i="113"/>
  <c r="G59" i="113"/>
  <c r="I59" i="113"/>
  <c r="O59" i="113"/>
  <c r="N59" i="113"/>
  <c r="H59" i="113"/>
  <c r="J59" i="113"/>
  <c r="M59" i="113"/>
  <c r="K59" i="113"/>
  <c r="E59" i="113"/>
  <c r="Q59" i="113"/>
  <c r="G63" i="113"/>
  <c r="H63" i="113"/>
  <c r="L63" i="113"/>
  <c r="I63" i="113"/>
  <c r="K63" i="113"/>
  <c r="M63" i="113"/>
  <c r="J63" i="113"/>
  <c r="P63" i="113"/>
  <c r="O63" i="113"/>
  <c r="N63" i="113"/>
  <c r="F63" i="113"/>
  <c r="D63" i="113"/>
  <c r="E63" i="113"/>
  <c r="Q63" i="113"/>
  <c r="J67" i="113"/>
  <c r="D67" i="113"/>
  <c r="Q67" i="113"/>
  <c r="K67" i="113"/>
  <c r="G67" i="113"/>
  <c r="H67" i="113"/>
  <c r="O67" i="113"/>
  <c r="M67" i="113"/>
  <c r="L67" i="113"/>
  <c r="N67" i="113"/>
  <c r="P67" i="113"/>
  <c r="E67" i="113"/>
  <c r="I67" i="113"/>
  <c r="F67" i="113"/>
  <c r="O71" i="113"/>
  <c r="J71" i="113"/>
  <c r="Q71" i="113"/>
  <c r="M71" i="113"/>
  <c r="K71" i="113"/>
  <c r="D71" i="113"/>
  <c r="I71" i="113"/>
  <c r="F71" i="113"/>
  <c r="L71" i="113"/>
  <c r="P71" i="113"/>
  <c r="E71" i="113"/>
  <c r="G71" i="113"/>
  <c r="N71" i="113"/>
  <c r="H71" i="113"/>
  <c r="M52" i="113"/>
  <c r="L52" i="113"/>
  <c r="J52" i="113"/>
  <c r="N52" i="113"/>
  <c r="K52" i="113"/>
  <c r="O52" i="113"/>
  <c r="E52" i="113"/>
  <c r="D52" i="113"/>
  <c r="Q52" i="113"/>
  <c r="H52" i="113"/>
  <c r="P52" i="113"/>
  <c r="F52" i="113"/>
  <c r="G52" i="113"/>
  <c r="I52" i="113"/>
  <c r="I66" i="113"/>
  <c r="E66" i="113"/>
  <c r="J66" i="113"/>
  <c r="N66" i="113"/>
  <c r="Q66" i="113"/>
  <c r="M66" i="113"/>
  <c r="D66" i="113"/>
  <c r="K66" i="113"/>
  <c r="L66" i="113"/>
  <c r="F66" i="113"/>
  <c r="P66" i="113"/>
  <c r="O66" i="113"/>
  <c r="G66" i="113"/>
  <c r="H66" i="113"/>
  <c r="P56" i="113"/>
  <c r="J56" i="113"/>
  <c r="E56" i="113"/>
  <c r="Q56" i="113"/>
  <c r="N56" i="113"/>
  <c r="F56" i="113"/>
  <c r="K56" i="113"/>
  <c r="M56" i="113"/>
  <c r="I56" i="113"/>
  <c r="D56" i="113"/>
  <c r="G56" i="113"/>
  <c r="H56" i="113"/>
  <c r="O56" i="113"/>
  <c r="L56" i="113"/>
  <c r="L54" i="113"/>
  <c r="G54" i="113"/>
  <c r="H54" i="113"/>
  <c r="K54" i="113"/>
  <c r="M54" i="113"/>
  <c r="F54" i="113"/>
  <c r="P54" i="113"/>
  <c r="Q54" i="113"/>
  <c r="O54" i="113"/>
  <c r="N54" i="113"/>
  <c r="D54" i="113"/>
  <c r="E54" i="113"/>
  <c r="I54" i="113"/>
  <c r="J54" i="113"/>
  <c r="M70" i="113"/>
  <c r="G70" i="113"/>
  <c r="P70" i="113"/>
  <c r="L70" i="113"/>
  <c r="N70" i="113"/>
  <c r="J70" i="113"/>
  <c r="F70" i="113"/>
  <c r="E70" i="113"/>
  <c r="O70" i="113"/>
  <c r="D70" i="113"/>
  <c r="H70" i="113"/>
  <c r="I70" i="113"/>
  <c r="K70" i="113"/>
  <c r="Q70" i="113"/>
  <c r="L48" i="113"/>
  <c r="I48" i="113"/>
  <c r="E48" i="113"/>
  <c r="H48" i="113"/>
  <c r="K48" i="113"/>
  <c r="J48" i="113"/>
  <c r="P48" i="113"/>
  <c r="M48" i="113"/>
  <c r="O48" i="113"/>
  <c r="D48" i="113"/>
  <c r="N48" i="113"/>
  <c r="F48" i="113"/>
  <c r="Q48" i="113"/>
  <c r="G48" i="113"/>
  <c r="K60" i="113"/>
  <c r="L60" i="113"/>
  <c r="N60" i="113"/>
  <c r="I60" i="113"/>
  <c r="J60" i="113"/>
  <c r="O60" i="113"/>
  <c r="E60" i="113"/>
  <c r="G60" i="113"/>
  <c r="M60" i="113"/>
  <c r="D60" i="113"/>
  <c r="P60" i="113"/>
  <c r="Q60" i="113"/>
  <c r="F60" i="113"/>
  <c r="H60" i="113"/>
  <c r="O64" i="113"/>
  <c r="D64" i="113"/>
  <c r="M64" i="113"/>
  <c r="J64" i="113"/>
  <c r="H64" i="113"/>
  <c r="P64" i="113"/>
  <c r="G64" i="113"/>
  <c r="E64" i="113"/>
  <c r="L64" i="113"/>
  <c r="Q64" i="113"/>
  <c r="F64" i="113"/>
  <c r="I64" i="113"/>
  <c r="K64" i="113"/>
  <c r="N64" i="113"/>
  <c r="P68" i="113"/>
  <c r="I68" i="113"/>
  <c r="E68" i="113"/>
  <c r="Q68" i="113"/>
  <c r="J68" i="113"/>
  <c r="F68" i="113"/>
  <c r="K68" i="113"/>
  <c r="O68" i="113"/>
  <c r="H68" i="113"/>
  <c r="M68" i="113"/>
  <c r="L68" i="113"/>
  <c r="G68" i="113"/>
  <c r="N68" i="113"/>
  <c r="D68" i="113"/>
  <c r="K62" i="113"/>
  <c r="H62" i="113"/>
  <c r="J62" i="113"/>
  <c r="L62" i="113"/>
  <c r="E62" i="113"/>
  <c r="I62" i="113"/>
  <c r="M62" i="113"/>
  <c r="P62" i="113"/>
  <c r="F62" i="113"/>
  <c r="D62" i="113"/>
  <c r="G62" i="113"/>
  <c r="O62" i="113"/>
  <c r="Q62" i="113"/>
  <c r="N62" i="113"/>
  <c r="D61" i="113"/>
  <c r="P61" i="113"/>
  <c r="M61" i="113"/>
  <c r="O61" i="113"/>
  <c r="I61" i="113"/>
  <c r="Q61" i="113"/>
  <c r="F61" i="113"/>
  <c r="J61" i="113"/>
  <c r="G61" i="113"/>
  <c r="E61" i="113"/>
  <c r="H61" i="113"/>
  <c r="K61" i="113"/>
  <c r="L61" i="113"/>
  <c r="N61" i="113"/>
  <c r="I65" i="113"/>
  <c r="Q65" i="113"/>
  <c r="O65" i="113"/>
  <c r="J65" i="113"/>
  <c r="G65" i="113"/>
  <c r="H65" i="113"/>
  <c r="N65" i="113"/>
  <c r="P65" i="113"/>
  <c r="K65" i="113"/>
  <c r="E65" i="113"/>
  <c r="L65" i="113"/>
  <c r="F65" i="113"/>
  <c r="M65" i="113"/>
  <c r="D65" i="113"/>
  <c r="K49" i="113"/>
  <c r="J49" i="113"/>
  <c r="L49" i="113"/>
  <c r="Q49" i="113"/>
  <c r="F49" i="113"/>
  <c r="M49" i="113"/>
  <c r="D49" i="113"/>
  <c r="I49" i="113"/>
  <c r="N49" i="113"/>
  <c r="O49" i="113"/>
  <c r="G49" i="113"/>
  <c r="P49" i="113"/>
  <c r="E49" i="113"/>
  <c r="H49" i="113"/>
  <c r="L53" i="113"/>
  <c r="M53" i="113"/>
  <c r="K53" i="113"/>
  <c r="N53" i="113"/>
  <c r="O53" i="113"/>
  <c r="Q53" i="113"/>
  <c r="H53" i="113"/>
  <c r="D53" i="113"/>
  <c r="F53" i="113"/>
  <c r="P53" i="113"/>
  <c r="E53" i="113"/>
  <c r="J53" i="113"/>
  <c r="G53" i="113"/>
  <c r="I53" i="113"/>
  <c r="N57" i="113"/>
  <c r="M57" i="113"/>
  <c r="H57" i="113"/>
  <c r="D57" i="113"/>
  <c r="J57" i="113"/>
  <c r="P57" i="113"/>
  <c r="F57" i="113"/>
  <c r="L57" i="113"/>
  <c r="E57" i="113"/>
  <c r="G57" i="113"/>
  <c r="K57" i="113"/>
  <c r="I57" i="113"/>
  <c r="Q57" i="113"/>
  <c r="O57" i="113"/>
  <c r="M69" i="113"/>
  <c r="G69" i="113"/>
  <c r="Q69" i="113"/>
  <c r="N69" i="113"/>
  <c r="J69" i="113"/>
  <c r="D69" i="113"/>
  <c r="P69" i="113"/>
  <c r="E69" i="113"/>
  <c r="I69" i="113"/>
  <c r="F69" i="113"/>
  <c r="K69" i="113"/>
  <c r="L69" i="113"/>
  <c r="H69" i="113"/>
  <c r="O69" i="113"/>
  <c r="M58" i="113"/>
  <c r="I58" i="113"/>
  <c r="N58" i="113"/>
  <c r="K58" i="113"/>
  <c r="F58" i="113"/>
  <c r="D58" i="113"/>
  <c r="G58" i="113"/>
  <c r="J58" i="113"/>
  <c r="Q58" i="113"/>
  <c r="O58" i="113"/>
  <c r="P58" i="113"/>
  <c r="E58" i="113"/>
  <c r="H58" i="113"/>
  <c r="L58" i="113"/>
  <c r="F50" i="113"/>
  <c r="P50" i="113"/>
  <c r="G50" i="113"/>
  <c r="E50" i="113"/>
  <c r="Q50" i="113"/>
  <c r="H50" i="113"/>
  <c r="D50" i="113"/>
  <c r="I50" i="113"/>
  <c r="M50" i="113"/>
  <c r="J50" i="113"/>
  <c r="K50" i="113"/>
  <c r="N50" i="113"/>
  <c r="L50" i="113"/>
  <c r="O50" i="113"/>
  <c r="E46" i="113"/>
  <c r="Q46" i="113"/>
  <c r="J46" i="113"/>
  <c r="K46" i="113"/>
  <c r="M46" i="113"/>
  <c r="O46" i="113"/>
  <c r="P46" i="113"/>
  <c r="F46" i="113"/>
  <c r="G46" i="113"/>
  <c r="H46" i="113"/>
  <c r="I46" i="113"/>
  <c r="L46" i="113"/>
  <c r="N46" i="113"/>
  <c r="D46" i="113"/>
  <c r="D38" i="113"/>
  <c r="D34" i="113"/>
  <c r="O45" i="113"/>
  <c r="N45" i="113"/>
  <c r="G45" i="113"/>
  <c r="P45" i="113"/>
  <c r="K45" i="113"/>
  <c r="I45" i="113"/>
  <c r="H45" i="113"/>
  <c r="M45" i="113"/>
  <c r="E45" i="113"/>
  <c r="L45" i="113"/>
  <c r="Q45" i="113"/>
  <c r="D45" i="113"/>
  <c r="J45" i="113"/>
  <c r="F45" i="11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<sst xmlns="http://schemas.openxmlformats.org/spreadsheetml/2006/main" count="61" uniqueCount="47">
  <si>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</si>
  <si>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</si>
  <si>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</si>
  <si>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</si>
  <si>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</si>
  <si>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</si>
  <si>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</si>
  <si>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</si>
  <si>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</si>
  <si>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</si>
  <si>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</si>
  <si>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</si>
  <si>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</si>
  <si>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</si>
  <si>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</si>
  <si>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</si>
  <si>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</si>
  <si>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</si>
  <si>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</si>
  <si>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</si>
  <si>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</si>
  <si>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</si>
  <si>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</si>
  <si>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</si>
  <si>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</si>
  <si>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t>Курс</t>
  </si>
  <si>
    <t>Примечание</t>
  </si>
  <si>
    <t>РГУ ИРДН 2020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</si>
  <si>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</si>
  <si>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</si>
  <si>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</si>
  <si>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</si>
  <si>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</si>
  <si>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</si>
  <si>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</si>
  <si>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</si>
  <si>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</si>
  <si>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</si>
  <si>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</si>
  <si>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</si>
  <si>
    <r>
      <t>Q</t>
    </r>
    <r>
      <rPr>
        <vertAlign val="subscript"/>
        <sz val="11"/>
        <color theme="1"/>
        <rFont val="Calibri"/>
        <family val="2"/>
        <charset val="204"/>
      </rPr>
      <t>liq</t>
    </r>
  </si>
  <si>
    <r>
      <t>f</t>
    </r>
    <r>
      <rPr>
        <vertAlign val="subscript"/>
        <sz val="11"/>
        <color theme="1"/>
        <rFont val="Calibri"/>
        <family val="2"/>
        <charset val="204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</si>
  <si>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</rPr>
      <t>p</t>
    </r>
  </si>
  <si>
    <r>
      <t>Q</t>
    </r>
    <r>
      <rPr>
        <vertAlign val="subscript"/>
        <sz val="11"/>
        <color theme="1"/>
        <rFont val="Calibri"/>
        <family val="2"/>
        <charset val="204"/>
      </rPr>
      <t>gas</t>
    </r>
  </si>
  <si>
    <t>PVT поток</t>
  </si>
  <si>
    <t>Параметры флюида</t>
  </si>
  <si>
    <t>Параметры потока флюидов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</si>
</sst>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000"/>
  </numFmts>
  <fonts count="16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4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3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4" fillId="4" borderId="2" xfId="0" applyFont="1" applyFill="1" applyBorder="1" applyAlignment="1">
      <alignment horizontal="center"/>
    </xf>
    <xf numFmtId="0" fontId="14" fillId="3" borderId="2" xfId="0" applyFont="1" applyFill="1" applyBorder="1" applyAlignment="1">
      <alignment horizontal="center"/>
    </xf>
    <xf numFmtId="1" fontId="14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2" borderId="2" xfId="0" applyFill="1" applyBorder="1"/>
    <xf numFmtId="1" fontId="14" fillId="4" borderId="2" xfId="0" applyNumberFormat="1" applyFont="1" applyFill="1" applyBorder="1" applyAlignment="1">
      <alignment horizontal="left"/>
    </xf>
    <xf numFmtId="0" fontId="15" fillId="3" borderId="0" xfId="0" applyFont="1" applyFill="1" applyAlignment="1">
      <alignment wrapText="1"/>
    </xf>
    <xf numFmtId="0" fontId="0" fillId="4" borderId="16" xfId="0" applyFill="1" applyBorder="1"/>
    <xf numFmtId="0" fontId="0" fillId="3" borderId="0" xfId="0" applyFill="1"/>
    <xf numFmtId="0" fontId="0" fillId="2" borderId="16" xfId="0" applyFill="1" applyBorder="1" applyAlignment="1">
      <alignment horizontal="center" vertical="center"/>
    </xf>
    <xf numFmtId="0" fontId="0" fillId="4" borderId="10" xfId="0" applyFill="1" applyBorder="1"/>
    <xf numFmtId="0" fontId="0" fillId="4" borderId="0" xfId="0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0" fillId="4" borderId="15" xfId="0" applyFill="1" applyBorder="1"/>
    <xf numFmtId="1" fontId="0" fillId="4" borderId="8" xfId="0" applyNumberFormat="1" applyFill="1" applyBorder="1"/>
    <xf numFmtId="1" fontId="0" fillId="4" borderId="9" xfId="0" applyNumberFormat="1" applyFill="1" applyBorder="1"/>
    <xf numFmtId="167" fontId="0" fillId="7" borderId="2" xfId="0" applyNumberFormat="1" applyFill="1" applyBorder="1" applyAlignment="1">
      <alignment horizontal="center"/>
    </xf>
    <xf numFmtId="0" fontId="0" fillId="4" borderId="0" xfId="0" applyFill="1"/>
    <xf numFmtId="0" fontId="0" fillId="4" borderId="8" xfId="0" applyFill="1" applyBorder="1"/>
    <xf numFmtId="0" fontId="15" fillId="3" borderId="14" xfId="0" applyFont="1" applyFill="1" applyBorder="1" applyAlignment="1">
      <alignment horizontal="left" wrapText="1"/>
    </xf>
    <xf numFmtId="0" fontId="15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exercise_PVT!$I$46:$I$71</c:f>
              <c:numCache>
                <c:formatCode>0.00</c:formatCode>
                <c:ptCount val="26"/>
                <c:pt idx="0">
                  <c:v>0.99540395142159677</c:v>
                </c:pt>
                <c:pt idx="1">
                  <c:v>0.97484262545061118</c:v>
                </c:pt>
                <c:pt idx="2">
                  <c:v>0.94791757795528897</c:v>
                </c:pt>
                <c:pt idx="3">
                  <c:v>0.89196340429777377</c:v>
                </c:pt>
                <c:pt idx="4">
                  <c:v>0.77684214474717495</c:v>
                </c:pt>
                <c:pt idx="5">
                  <c:v>0.66298598043857671</c:v>
                </c:pt>
                <c:pt idx="6">
                  <c:v>0.55725183114106069</c:v>
                </c:pt>
                <c:pt idx="7">
                  <c:v>0.46541295548419748</c:v>
                </c:pt>
                <c:pt idx="8">
                  <c:v>0.38932610994392153</c:v>
                </c:pt>
                <c:pt idx="9">
                  <c:v>0.32726835334748605</c:v>
                </c:pt>
                <c:pt idx="10">
                  <c:v>0.27603978085232511</c:v>
                </c:pt>
                <c:pt idx="11">
                  <c:v>0.23253348022271764</c:v>
                </c:pt>
                <c:pt idx="12">
                  <c:v>0.20362319531763451</c:v>
                </c:pt>
                <c:pt idx="13">
                  <c:v>0.19414364766946185</c:v>
                </c:pt>
                <c:pt idx="14">
                  <c:v>0.18653832458046304</c:v>
                </c:pt>
                <c:pt idx="15">
                  <c:v>0.18028968799728909</c:v>
                </c:pt>
                <c:pt idx="16">
                  <c:v>0.17505272172212238</c:v>
                </c:pt>
                <c:pt idx="17">
                  <c:v>0.17059216315699827</c:v>
                </c:pt>
                <c:pt idx="18">
                  <c:v>0.16674313784590541</c:v>
                </c:pt>
                <c:pt idx="19">
                  <c:v>0.163386603330191</c:v>
                </c:pt>
                <c:pt idx="20">
                  <c:v>0.16043396595355697</c:v>
                </c:pt>
                <c:pt idx="21">
                  <c:v>0.15781734275662154</c:v>
                </c:pt>
                <c:pt idx="22">
                  <c:v>0.15548330621663217</c:v>
                </c:pt>
                <c:pt idx="23">
                  <c:v>0.15338879571193503</c:v>
                </c:pt>
                <c:pt idx="24">
                  <c:v>0.15149839342730725</c:v>
                </c:pt>
                <c:pt idx="25">
                  <c:v>0.1497824723188533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exercise_PVT!$E$45</c:f>
              <c:strCache>
                <c:ptCount val="1"/>
                <c:pt idx="0">
                  <c:v>q_mix_rc_m3day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exercise_PVT!$E$46:$E$71</c:f>
              <c:numCache>
                <c:formatCode>0</c:formatCode>
                <c:ptCount val="26"/>
                <c:pt idx="0">
                  <c:v>3361.5815165844892</c:v>
                </c:pt>
                <c:pt idx="1">
                  <c:v>625.77054412605662</c:v>
                </c:pt>
                <c:pt idx="2">
                  <c:v>304.91473482128168</c:v>
                </c:pt>
                <c:pt idx="3">
                  <c:v>148.72565344095693</c:v>
                </c:pt>
                <c:pt idx="4">
                  <c:v>73.213479542929903</c:v>
                </c:pt>
                <c:pt idx="5">
                  <c:v>49.140785706183337</c:v>
                </c:pt>
                <c:pt idx="6">
                  <c:v>37.86740277281725</c:v>
                </c:pt>
                <c:pt idx="7">
                  <c:v>31.729793902049902</c:v>
                </c:pt>
                <c:pt idx="8">
                  <c:v>28.093542672495662</c:v>
                </c:pt>
                <c:pt idx="9">
                  <c:v>25.789629672412332</c:v>
                </c:pt>
                <c:pt idx="10">
                  <c:v>24.234166898788203</c:v>
                </c:pt>
                <c:pt idx="11">
                  <c:v>23.118032455433283</c:v>
                </c:pt>
                <c:pt idx="12">
                  <c:v>22.405774993906469</c:v>
                </c:pt>
                <c:pt idx="13">
                  <c:v>22.061752920403556</c:v>
                </c:pt>
                <c:pt idx="14">
                  <c:v>21.78926354957547</c:v>
                </c:pt>
                <c:pt idx="15">
                  <c:v>21.567680820944805</c:v>
                </c:pt>
                <c:pt idx="16">
                  <c:v>21.383592920917462</c:v>
                </c:pt>
                <c:pt idx="17">
                  <c:v>21.227985763173383</c:v>
                </c:pt>
                <c:pt idx="18">
                  <c:v>21.094597618450639</c:v>
                </c:pt>
                <c:pt idx="19">
                  <c:v>20.978937299646752</c:v>
                </c:pt>
                <c:pt idx="20">
                  <c:v>20.877685048806963</c:v>
                </c:pt>
                <c:pt idx="21">
                  <c:v>20.788318332253503</c:v>
                </c:pt>
                <c:pt idx="22">
                  <c:v>20.708872462140775</c:v>
                </c:pt>
                <c:pt idx="23">
                  <c:v>20.637783738080401</c:v>
                </c:pt>
                <c:pt idx="24">
                  <c:v>20.573784187363138</c:v>
                </c:pt>
                <c:pt idx="25">
                  <c:v>20.515829278876346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9F-4179-B497-32BC78888E0B}"/>
            </c:ext>
          </c:extLst>
        </c:ser>
        <c:ser>
          <c:idx val="1"/>
          <c:order val="1"/>
          <c:tx>
            <c:strRef>
              <c:f>exercise_PVT!$F$45</c:f>
              <c:strCache>
                <c:ptCount val="1"/>
                <c:pt idx="0">
                  <c:v>q_oil_rc_m3day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exercise_PVT!$F$46:$F$71</c:f>
              <c:numCache>
                <c:formatCode>0</c:formatCode>
                <c:ptCount val="26"/>
                <c:pt idx="0">
                  <c:v>15.295443041318849</c:v>
                </c:pt>
                <c:pt idx="1">
                  <c:v>15.58820162928685</c:v>
                </c:pt>
                <c:pt idx="2">
                  <c:v>15.726164181733976</c:v>
                </c:pt>
                <c:pt idx="3">
                  <c:v>15.913298059296169</c:v>
                </c:pt>
                <c:pt idx="4">
                  <c:v>16.183689944189965</c:v>
                </c:pt>
                <c:pt idx="5">
                  <c:v>16.406709521816346</c:v>
                </c:pt>
                <c:pt idx="6">
                  <c:v>16.611354803382294</c:v>
                </c:pt>
                <c:pt idx="7">
                  <c:v>16.808030898099258</c:v>
                </c:pt>
                <c:pt idx="8">
                  <c:v>17.001756555738321</c:v>
                </c:pt>
                <c:pt idx="9">
                  <c:v>17.195339843040291</c:v>
                </c:pt>
                <c:pt idx="10">
                  <c:v>17.390495653287456</c:v>
                </c:pt>
                <c:pt idx="11">
                  <c:v>17.588328681397435</c:v>
                </c:pt>
                <c:pt idx="12">
                  <c:v>17.689548986084201</c:v>
                </c:pt>
                <c:pt idx="13">
                  <c:v>17.624816772664815</c:v>
                </c:pt>
                <c:pt idx="14">
                  <c:v>17.571054246540967</c:v>
                </c:pt>
                <c:pt idx="15">
                  <c:v>17.525690990320417</c:v>
                </c:pt>
                <c:pt idx="16">
                  <c:v>17.486901424313984</c:v>
                </c:pt>
                <c:pt idx="17">
                  <c:v>17.453353252689634</c:v>
                </c:pt>
                <c:pt idx="18">
                  <c:v>17.424051403125066</c:v>
                </c:pt>
                <c:pt idx="19">
                  <c:v>17.398237685730518</c:v>
                </c:pt>
                <c:pt idx="20">
                  <c:v>17.375324266154884</c:v>
                </c:pt>
                <c:pt idx="21">
                  <c:v>17.354848365971762</c:v>
                </c:pt>
                <c:pt idx="22">
                  <c:v>17.336440687566554</c:v>
                </c:pt>
                <c:pt idx="23">
                  <c:v>17.319802945684373</c:v>
                </c:pt>
                <c:pt idx="24">
                  <c:v>17.304691582031211</c:v>
                </c:pt>
                <c:pt idx="25">
                  <c:v>17.29090576493946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9F-4179-B497-32BC78888E0B}"/>
            </c:ext>
          </c:extLst>
        </c:ser>
        <c:ser>
          <c:idx val="2"/>
          <c:order val="2"/>
          <c:tx>
            <c:strRef>
              <c:f>exercise_PVT!$G$45</c:f>
              <c:strCache>
                <c:ptCount val="1"/>
                <c:pt idx="0">
                  <c:v>q_wat_rc_m3day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exercise_PVT!$G$46:$G$71</c:f>
              <c:numCache>
                <c:formatCode>0.00</c:formatCode>
                <c:ptCount val="26"/>
                <c:pt idx="0">
                  <c:v>0.15454890916583935</c:v>
                </c:pt>
                <c:pt idx="1">
                  <c:v>0.15454233126719386</c:v>
                </c:pt>
                <c:pt idx="2">
                  <c:v>0.15453372487914427</c:v>
                </c:pt>
                <c:pt idx="3">
                  <c:v>0.15451523205390263</c:v>
                </c:pt>
                <c:pt idx="4">
                  <c:v>0.15447312620684964</c:v>
                </c:pt>
                <c:pt idx="5">
                  <c:v>0.15442419343103705</c:v>
                </c:pt>
                <c:pt idx="6">
                  <c:v>0.15436843372646489</c:v>
                </c:pt>
                <c:pt idx="7">
                  <c:v>0.15430584709313314</c:v>
                </c:pt>
                <c:pt idx="8">
                  <c:v>0.15423643353104174</c:v>
                </c:pt>
                <c:pt idx="9">
                  <c:v>0.1541601930401908</c:v>
                </c:pt>
                <c:pt idx="10">
                  <c:v>0.15407712562058024</c:v>
                </c:pt>
                <c:pt idx="11">
                  <c:v>0.15398723127221009</c:v>
                </c:pt>
                <c:pt idx="12">
                  <c:v>0.15389050999508033</c:v>
                </c:pt>
                <c:pt idx="13">
                  <c:v>0.15378696178919102</c:v>
                </c:pt>
                <c:pt idx="14">
                  <c:v>0.15367658665454206</c:v>
                </c:pt>
                <c:pt idx="15">
                  <c:v>0.15355938459113352</c:v>
                </c:pt>
                <c:pt idx="16">
                  <c:v>0.15343535559896543</c:v>
                </c:pt>
                <c:pt idx="17">
                  <c:v>0.15330449967803769</c:v>
                </c:pt>
                <c:pt idx="18">
                  <c:v>0.15316681682835037</c:v>
                </c:pt>
                <c:pt idx="19">
                  <c:v>0.15302230704990347</c:v>
                </c:pt>
                <c:pt idx="20">
                  <c:v>0.15287097034269698</c:v>
                </c:pt>
                <c:pt idx="21">
                  <c:v>0.15271280670673085</c:v>
                </c:pt>
                <c:pt idx="22">
                  <c:v>0.15254781614200516</c:v>
                </c:pt>
                <c:pt idx="23">
                  <c:v>0.15237599864851989</c:v>
                </c:pt>
                <c:pt idx="24">
                  <c:v>0.15219735422627498</c:v>
                </c:pt>
                <c:pt idx="25">
                  <c:v>0.15201188287527051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9F-4179-B497-32BC78888E0B}"/>
            </c:ext>
          </c:extLst>
        </c:ser>
        <c:ser>
          <c:idx val="3"/>
          <c:order val="3"/>
          <c:tx>
            <c:strRef>
              <c:f>exercise_PVT!$H$45</c:f>
              <c:strCache>
                <c:ptCount val="1"/>
                <c:pt idx="0">
                  <c:v>q_gas_rc_m3day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exercise_PVT!$H$46:$H$71</c:f>
              <c:numCache>
                <c:formatCode>0.00</c:formatCode>
                <c:ptCount val="26"/>
                <c:pt idx="0">
                  <c:v>3346.1315246340046</c:v>
                </c:pt>
                <c:pt idx="1">
                  <c:v>610.02780016550253</c:v>
                </c:pt>
                <c:pt idx="2">
                  <c:v>289.03403691466849</c:v>
                </c:pt>
                <c:pt idx="3">
                  <c:v>132.65784014960687</c:v>
                </c:pt>
                <c:pt idx="4">
                  <c:v>56.875316472533079</c:v>
                </c:pt>
                <c:pt idx="5">
                  <c:v>32.579651990935957</c:v>
                </c:pt>
                <c:pt idx="6">
                  <c:v>21.101679535708495</c:v>
                </c:pt>
                <c:pt idx="7">
                  <c:v>14.767457156857512</c:v>
                </c:pt>
                <c:pt idx="8">
                  <c:v>10.937549683226296</c:v>
                </c:pt>
                <c:pt idx="9">
                  <c:v>8.4401296363318501</c:v>
                </c:pt>
                <c:pt idx="10">
                  <c:v>6.6895941198801676</c:v>
                </c:pt>
                <c:pt idx="11">
                  <c:v>5.37571654276364</c:v>
                </c:pt>
                <c:pt idx="12">
                  <c:v>4.5623354978271884</c:v>
                </c:pt>
                <c:pt idx="13">
                  <c:v>4.283149185949549</c:v>
                </c:pt>
                <c:pt idx="14">
                  <c:v>4.0645327163799614</c:v>
                </c:pt>
                <c:pt idx="15">
                  <c:v>3.8884304460332544</c:v>
                </c:pt>
                <c:pt idx="16">
                  <c:v>3.7432561410045104</c:v>
                </c:pt>
                <c:pt idx="17">
                  <c:v>3.6213280108057102</c:v>
                </c:pt>
                <c:pt idx="18">
                  <c:v>3.5173793984972228</c:v>
                </c:pt>
                <c:pt idx="19">
                  <c:v>3.4276773068663324</c:v>
                </c:pt>
                <c:pt idx="20">
                  <c:v>3.3494898123093813</c:v>
                </c:pt>
                <c:pt idx="21">
                  <c:v>3.28075715957501</c:v>
                </c:pt>
                <c:pt idx="22">
                  <c:v>3.2198839584322156</c:v>
                </c:pt>
                <c:pt idx="23">
                  <c:v>3.1656047937475096</c:v>
                </c:pt>
                <c:pt idx="24">
                  <c:v>3.116895251105654</c:v>
                </c:pt>
                <c:pt idx="25">
                  <c:v>3.0729116310616167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59F-4179-B497-32BC78888E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766655"/>
        <c:axId val="619110703"/>
      </c:scatterChart>
      <c:valAx>
        <c:axId val="937766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9110703"/>
        <c:crosses val="autoZero"/>
        <c:crossBetween val="midCat"/>
      </c:valAx>
      <c:valAx>
        <c:axId val="619110703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3776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exercise_PVT!$D$78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exercise_PVT!$B$46:$B$71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exercise_PVT!$Q$46:$Q$71</c:f>
              <c:numCache>
                <c:formatCode>0.00E+00</c:formatCode>
                <c:ptCount val="26"/>
                <c:pt idx="0">
                  <c:v>-3.1057306289835458E-2</c:v>
                </c:pt>
                <c:pt idx="1">
                  <c:v>-2.4663933774002517E-2</c:v>
                </c:pt>
                <c:pt idx="2">
                  <c:v>-2.2527811984332798E-2</c:v>
                </c:pt>
                <c:pt idx="3">
                  <c:v>-2.2051605084416084E-2</c:v>
                </c:pt>
                <c:pt idx="4">
                  <c:v>-2.5170049330355583E-2</c:v>
                </c:pt>
                <c:pt idx="5">
                  <c:v>-2.4751760805981425E-2</c:v>
                </c:pt>
                <c:pt idx="6">
                  <c:v>-1.7825077245351002E-2</c:v>
                </c:pt>
                <c:pt idx="7">
                  <c:v>-6.8465233166462407E-3</c:v>
                </c:pt>
                <c:pt idx="8">
                  <c:v>4.7677608101997391E-3</c:v>
                </c:pt>
                <c:pt idx="9">
                  <c:v>1.4992065886274195E-2</c:v>
                </c:pt>
                <c:pt idx="10">
                  <c:v>2.3187988140762464E-2</c:v>
                </c:pt>
                <c:pt idx="11">
                  <c:v>2.9449670283319886E-2</c:v>
                </c:pt>
                <c:pt idx="12">
                  <c:v>3.3415214031424938E-2</c:v>
                </c:pt>
                <c:pt idx="13">
                  <c:v>3.5349589038920257E-2</c:v>
                </c:pt>
                <c:pt idx="14">
                  <c:v>3.6867369531678032E-2</c:v>
                </c:pt>
                <c:pt idx="15">
                  <c:v>3.8061144010786349E-2</c:v>
                </c:pt>
                <c:pt idx="16">
                  <c:v>3.9006529019480263E-2</c:v>
                </c:pt>
                <c:pt idx="17">
                  <c:v>3.9762363792221936E-2</c:v>
                </c:pt>
                <c:pt idx="18">
                  <c:v>4.0373293488927785E-2</c:v>
                </c:pt>
                <c:pt idx="19">
                  <c:v>4.0872761584416786E-2</c:v>
                </c:pt>
                <c:pt idx="20">
                  <c:v>4.1285678198738927E-2</c:v>
                </c:pt>
                <c:pt idx="21">
                  <c:v>4.1630572096575447E-2</c:v>
                </c:pt>
                <c:pt idx="22">
                  <c:v>4.1921244988329262E-2</c:v>
                </c:pt>
                <c:pt idx="23">
                  <c:v>4.2168012847920516E-2</c:v>
                </c:pt>
                <c:pt idx="24">
                  <c:v>4.2378626662980604E-2</c:v>
                </c:pt>
                <c:pt idx="25">
                  <c:v>4.2558952547151523E-2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0-4D52-99A8-2C691B1A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24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en-US" sz="1100"/>
                <a:t> </a:t>
              </a:r>
              <a:r>
                <a:rPr lang="ru-RU" sz="1100"/>
                <a:t>потока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27</xdr:col>
      <xdr:colOff>101344</xdr:colOff>
      <xdr:row>43</xdr:row>
      <xdr:rowOff>132002</xdr:rowOff>
    </xdr:from>
    <xdr:to>
      <xdr:col>32</xdr:col>
      <xdr:colOff>486191</xdr:colOff>
      <xdr:row>57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</xdr:col>
      <xdr:colOff>64532</xdr:colOff>
      <xdr:row>80</xdr:row>
      <xdr:rowOff>73664</xdr:rowOff>
    </xdr:from>
    <xdr:to>
      <xdr:col>6</xdr:col>
      <xdr:colOff>708636</xdr:colOff>
      <xdr:row>103</xdr:row>
      <xdr:rowOff>50766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797743</xdr:colOff>
      <xdr:row>80</xdr:row>
      <xdr:rowOff>64643</xdr:rowOff>
    </xdr:from>
    <xdr:to>
      <xdr:col>14</xdr:col>
      <xdr:colOff>146578</xdr:colOff>
      <xdr:row>104</xdr:row>
      <xdr:rowOff>62170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A8C4093B-C6DB-477D-BF12-0A4C61B0F3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274646</xdr:colOff>
      <xdr:row>80</xdr:row>
      <xdr:rowOff>56233</xdr:rowOff>
    </xdr:from>
    <xdr:to>
      <xdr:col>20</xdr:col>
      <xdr:colOff>233940</xdr:colOff>
      <xdr:row>103</xdr:row>
      <xdr:rowOff>33335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1FA9B714-18A6-4093-8A7B-13828FB77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json"/>
      <definedName name="encode_PVT"/>
      <definedName name="feed_calc"/>
      <definedName name="PVT_calc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A174"/>
  <sheetViews>
    <sheetView tabSelected="1" topLeftCell="A25" zoomScale="85" zoomScaleNormal="85" workbookViewId="0">
      <selection activeCell="J76" sqref="J76"/>
    </sheetView>
  </sheetViews>
  <sheetFormatPr defaultRowHeight="13.2" x14ac:dyDescent="0.25"/>
  <cols>
    <col min="1" max="1" width="12.33203125" customWidth="1"/>
    <col min="2" max="2" width="15.77734375" customWidth="1"/>
    <col min="3" max="3" width="10.5546875" customWidth="1"/>
    <col min="4" max="4" width="9.88671875" customWidth="1"/>
    <col min="5" max="5" width="11.33203125" customWidth="1"/>
    <col min="6" max="6" width="9.88671875" customWidth="1"/>
    <col min="7" max="7" width="11.6640625" customWidth="1"/>
    <col min="8" max="8" width="12.33203125" customWidth="1"/>
    <col min="9" max="9" width="10.5546875" bestFit="1" customWidth="1"/>
    <col min="10" max="10" width="11.33203125" customWidth="1"/>
    <col min="11" max="11" width="10.109375" customWidth="1"/>
    <col min="12" max="13" width="9" bestFit="1" customWidth="1"/>
    <col min="14" max="14" width="9.21875" customWidth="1"/>
    <col min="15" max="15" width="9" bestFit="1" customWidth="1"/>
    <col min="16" max="17" width="11.21875" customWidth="1"/>
    <col min="18" max="18" width="12.33203125" bestFit="1" customWidth="1"/>
    <col min="19" max="19" width="12.6640625" bestFit="1" customWidth="1"/>
    <col min="20" max="21" width="10.5546875" bestFit="1" customWidth="1"/>
    <col min="22" max="32" width="9.109375" customWidth="1"/>
  </cols>
  <sheetData>
    <row r="1" spans="1:12" x14ac:dyDescent="0.25">
      <c r="A1" s="1" t="s">
        <v>20</v>
      </c>
      <c r="F1" t="s">
        <v>22</v>
      </c>
      <c r="G1" t="str">
        <f>[1]!unf_Version()</f>
        <v>7.26</v>
      </c>
      <c r="H1" s="21" t="s">
        <v>32</v>
      </c>
      <c r="I1" s="25">
        <v>44221</v>
      </c>
      <c r="J1" s="26"/>
      <c r="K1" s="26"/>
      <c r="L1" s="27"/>
    </row>
    <row r="2" spans="1:12" x14ac:dyDescent="0.25">
      <c r="A2" t="s">
        <v>21</v>
      </c>
      <c r="H2" s="21" t="s">
        <v>33</v>
      </c>
      <c r="I2" s="28">
        <v>7.26</v>
      </c>
      <c r="J2" s="23"/>
      <c r="K2" s="23"/>
      <c r="L2" s="24"/>
    </row>
    <row r="3" spans="1:12" ht="14.4" x14ac:dyDescent="0.3">
      <c r="A3" s="22" t="s">
        <v>25</v>
      </c>
      <c r="B3" s="70" t="s">
        <v>27</v>
      </c>
      <c r="C3" s="70"/>
      <c r="D3" s="70"/>
      <c r="E3" s="71"/>
      <c r="H3" s="22" t="s">
        <v>25</v>
      </c>
      <c r="I3" s="72" t="s">
        <v>27</v>
      </c>
      <c r="J3" s="72"/>
      <c r="K3" s="72"/>
      <c r="L3" s="72"/>
    </row>
    <row r="4" spans="1:12" ht="14.4" x14ac:dyDescent="0.3">
      <c r="A4" s="22" t="s">
        <v>29</v>
      </c>
      <c r="B4" s="70" t="s">
        <v>30</v>
      </c>
      <c r="C4" s="70"/>
      <c r="D4" s="70"/>
      <c r="E4" s="71"/>
      <c r="H4" s="22" t="s">
        <v>29</v>
      </c>
      <c r="I4" s="73" t="s">
        <v>30</v>
      </c>
      <c r="J4" s="73"/>
      <c r="K4" s="73"/>
      <c r="L4" s="73"/>
    </row>
    <row r="5" spans="1:12" ht="14.4" x14ac:dyDescent="0.3">
      <c r="A5" s="22" t="s">
        <v>34</v>
      </c>
      <c r="B5" s="70" t="s">
        <v>28</v>
      </c>
      <c r="C5" s="70"/>
      <c r="D5" s="70"/>
      <c r="E5" s="71"/>
      <c r="H5" s="22" t="s">
        <v>34</v>
      </c>
      <c r="I5" s="73" t="s">
        <v>28</v>
      </c>
      <c r="J5" s="73"/>
      <c r="K5" s="73"/>
      <c r="L5" s="73"/>
    </row>
    <row r="6" spans="1:12" x14ac:dyDescent="0.25">
      <c r="A6" s="56" t="s">
        <v>26</v>
      </c>
      <c r="B6" s="59" t="s">
        <v>31</v>
      </c>
      <c r="C6" s="60"/>
      <c r="D6" s="60"/>
      <c r="E6" s="61"/>
      <c r="H6" s="68" t="s">
        <v>26</v>
      </c>
      <c r="I6" s="69" t="s">
        <v>31</v>
      </c>
      <c r="J6" s="69"/>
      <c r="K6" s="69"/>
      <c r="L6" s="69"/>
    </row>
    <row r="7" spans="1:12" x14ac:dyDescent="0.25">
      <c r="A7" s="57"/>
      <c r="B7" s="62"/>
      <c r="C7" s="63"/>
      <c r="D7" s="63"/>
      <c r="E7" s="64"/>
      <c r="H7" s="68"/>
      <c r="I7" s="69"/>
      <c r="J7" s="69"/>
      <c r="K7" s="69"/>
      <c r="L7" s="69"/>
    </row>
    <row r="8" spans="1:12" x14ac:dyDescent="0.25">
      <c r="A8" s="58"/>
      <c r="B8" s="65"/>
      <c r="C8" s="66"/>
      <c r="D8" s="66"/>
      <c r="E8" s="67"/>
      <c r="H8" s="68"/>
      <c r="I8" s="69"/>
      <c r="J8" s="69"/>
      <c r="K8" s="69"/>
      <c r="L8" s="69"/>
    </row>
    <row r="10" spans="1:12" x14ac:dyDescent="0.25">
      <c r="A10" s="1" t="s">
        <v>1</v>
      </c>
    </row>
    <row r="11" spans="1:12" ht="16.8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6.8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6.8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6.8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24</v>
      </c>
    </row>
    <row r="15" spans="1:12" ht="15.6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5.6" x14ac:dyDescent="0.35">
      <c r="B16" s="4" t="s">
        <v>15</v>
      </c>
      <c r="C16" s="2">
        <v>90</v>
      </c>
      <c r="D16" s="4" t="s">
        <v>3</v>
      </c>
      <c r="E16" s="18">
        <f>Tres_*9/5+32</f>
        <v>194</v>
      </c>
      <c r="F16" s="17" t="s">
        <v>9</v>
      </c>
    </row>
    <row r="17" spans="2:16" ht="15.6" x14ac:dyDescent="0.35">
      <c r="B17" s="7" t="s">
        <v>17</v>
      </c>
      <c r="C17" s="2">
        <v>1.2</v>
      </c>
      <c r="D17" s="4" t="s">
        <v>2</v>
      </c>
      <c r="E17" s="19"/>
      <c r="F17" s="6"/>
    </row>
    <row r="18" spans="2:16" ht="15.6" x14ac:dyDescent="0.35">
      <c r="B18" s="8" t="s">
        <v>18</v>
      </c>
      <c r="C18" s="2">
        <v>1</v>
      </c>
      <c r="D18" s="4" t="s">
        <v>6</v>
      </c>
      <c r="E18" s="19"/>
      <c r="F18" s="6"/>
    </row>
    <row r="20" spans="2:16" ht="15.6" x14ac:dyDescent="0.35">
      <c r="B20" s="5" t="s">
        <v>40</v>
      </c>
      <c r="C20" s="2">
        <v>15</v>
      </c>
      <c r="D20" s="5"/>
    </row>
    <row r="21" spans="2:16" ht="15.6" x14ac:dyDescent="0.35">
      <c r="B21" s="5" t="s">
        <v>41</v>
      </c>
      <c r="C21" s="2">
        <v>1</v>
      </c>
      <c r="D21" s="5"/>
    </row>
    <row r="22" spans="2:16" ht="15.6" x14ac:dyDescent="0.35">
      <c r="B22" s="5" t="s">
        <v>42</v>
      </c>
      <c r="C22" s="2">
        <v>120</v>
      </c>
      <c r="D22" s="5"/>
    </row>
    <row r="23" spans="2:16" ht="15.6" x14ac:dyDescent="0.35">
      <c r="B23" s="5" t="s">
        <v>43</v>
      </c>
      <c r="C23" s="2">
        <v>1000</v>
      </c>
      <c r="D23" s="5"/>
    </row>
    <row r="25" spans="2:16" x14ac:dyDescent="0.25">
      <c r="B25" s="54" t="s">
        <v>35</v>
      </c>
      <c r="C25" s="55"/>
      <c r="D25" s="38" t="str" cm="1">
        <f t="array" ref="D25">[1]!encode_json(B26:C28)</f>
        <v>{"show_log":1,"PVT_correlation":1}</v>
      </c>
      <c r="E25" s="18"/>
      <c r="F25" s="18"/>
    </row>
    <row r="26" spans="2:16" x14ac:dyDescent="0.25">
      <c r="B26" s="37" t="s">
        <v>36</v>
      </c>
      <c r="C26" s="37">
        <v>1</v>
      </c>
    </row>
    <row r="27" spans="2:16" x14ac:dyDescent="0.25">
      <c r="B27" s="37" t="s">
        <v>39</v>
      </c>
      <c r="C27" s="37">
        <v>1</v>
      </c>
    </row>
    <row r="28" spans="2:16" x14ac:dyDescent="0.25">
      <c r="B28" s="37"/>
      <c r="C28" s="37"/>
    </row>
    <row r="30" spans="2:16" ht="15" customHeight="1" x14ac:dyDescent="0.25">
      <c r="B30" s="39" t="s">
        <v>23</v>
      </c>
      <c r="C30" s="41"/>
      <c r="D30" s="40" t="str">
        <f>[1]!encode_PVT(gamma_gas_,gamma_oil_,gamma_wat_,Rsb_,Pb_,Tres_,Bob_,muob_,C27)</f>
        <v>{"gamma_gas":0.9,"gamma_oil":0.9,"gamma_wat":1.1,"rsb_m3m3":120,"t_res_C":90,"bob_m3m3":1.2,"muob_cP":1,"PVT_corr_set":1}</v>
      </c>
      <c r="E30" s="23"/>
      <c r="F30" s="23"/>
      <c r="G30" s="23"/>
      <c r="H30" s="23"/>
      <c r="I30" s="23"/>
      <c r="J30" s="23"/>
      <c r="K30" s="23"/>
      <c r="L30" s="24"/>
      <c r="M30" s="52"/>
      <c r="N30" s="52"/>
      <c r="O30" s="52"/>
      <c r="P30" s="52"/>
    </row>
    <row r="31" spans="2:16" ht="15" customHeight="1" x14ac:dyDescent="0.25">
      <c r="B31" s="39" t="s">
        <v>44</v>
      </c>
      <c r="C31" s="41"/>
      <c r="D31" s="44" t="str" cm="1">
        <f t="array" ref="D31">[1]!encode_feed(Qliq,fw,rp,Qgas,PVT_str_)</f>
        <v>{"q_liq_sm3day":15,"fw_perc":1,"rp_m3m3":120,"q_gas_free_sm3day":1000,"gamma_gas":0.9,"gamma_oil":0.9,"gamma_wat":1.1,"rsb_m3m3":120,"t_res_C":90,"bob_m3m3":1.2,"muob_cP":1,"PVT_corr_set":1}</v>
      </c>
      <c r="E31" s="44"/>
      <c r="F31" s="44"/>
      <c r="G31" s="44"/>
      <c r="H31" s="44"/>
      <c r="I31" s="44"/>
      <c r="J31" s="44"/>
      <c r="K31" s="44"/>
      <c r="L31" s="44"/>
      <c r="M31" s="52"/>
      <c r="N31" s="52"/>
      <c r="O31" s="52"/>
      <c r="P31" s="52"/>
    </row>
    <row r="33" spans="2:27" x14ac:dyDescent="0.25">
      <c r="B33" s="9" t="s">
        <v>0</v>
      </c>
      <c r="C33" s="9" t="s">
        <v>4</v>
      </c>
      <c r="D33" t="s">
        <v>45</v>
      </c>
    </row>
    <row r="34" spans="2:27" x14ac:dyDescent="0.25">
      <c r="B34" s="12">
        <v>10</v>
      </c>
      <c r="C34" s="42">
        <v>50</v>
      </c>
      <c r="D34" s="49" cm="1">
        <f t="array" ref="D34:AA36">[1]!PVT_calc(B34,C34,D30,param)</f>
        <v>24.686828799572414</v>
      </c>
      <c r="E34" s="50">
        <v>24.686828799572414</v>
      </c>
      <c r="F34" s="50">
        <v>169.55790619854187</v>
      </c>
      <c r="G34" s="26">
        <v>1.0468120974469328</v>
      </c>
      <c r="H34" s="26">
        <v>0.10702921215750784</v>
      </c>
      <c r="I34" s="26">
        <v>1.0142139428192882</v>
      </c>
      <c r="J34" s="26">
        <v>3.5628097028647132</v>
      </c>
      <c r="K34" s="26">
        <v>1.0817868426218675E-2</v>
      </c>
      <c r="L34" s="26">
        <v>0.71131231590700217</v>
      </c>
      <c r="M34" s="26">
        <v>885.68321968307646</v>
      </c>
      <c r="N34" s="26">
        <v>10.273176620060458</v>
      </c>
      <c r="O34" s="26">
        <v>1084.5837880538752</v>
      </c>
      <c r="P34" s="26">
        <v>9.764412874200698E-3</v>
      </c>
      <c r="Q34" s="26">
        <v>0.10353027943635217</v>
      </c>
      <c r="R34" s="26">
        <v>3.5097226160056848E-5</v>
      </c>
      <c r="S34" s="26">
        <v>5.8578466280318188E-2</v>
      </c>
      <c r="T34" s="26">
        <v>5.8578466280318188E-2</v>
      </c>
      <c r="U34" s="26">
        <v>6.3095734448019331E-2</v>
      </c>
      <c r="V34" s="26">
        <v>2427.4</v>
      </c>
      <c r="W34" s="26">
        <v>1784.2735643739729</v>
      </c>
      <c r="X34" s="26">
        <v>1476.4001398983432</v>
      </c>
      <c r="Y34" s="26">
        <v>4176</v>
      </c>
      <c r="Z34" s="26">
        <v>0.96696707326280773</v>
      </c>
      <c r="AA34" s="27">
        <v>136861.03231316138</v>
      </c>
    </row>
    <row r="35" spans="2:27" x14ac:dyDescent="0.25">
      <c r="D35" s="43" t="str">
        <v>rs_m3m3</v>
      </c>
      <c r="E35" s="44" t="str">
        <v>rs_m3m3</v>
      </c>
      <c r="F35" s="44" t="str">
        <v>pb_atma</v>
      </c>
      <c r="G35" s="44" t="str">
        <v>bo_m3m3</v>
      </c>
      <c r="H35" s="44" t="str">
        <v>bg_m3m3</v>
      </c>
      <c r="I35" s="44" t="str">
        <v>bw_m3m3</v>
      </c>
      <c r="J35" s="44" t="str">
        <v>mu_oil_cP</v>
      </c>
      <c r="K35" s="44" t="str">
        <v>mu_gas_cP</v>
      </c>
      <c r="L35" s="44" t="str">
        <v>mu_wat_cP</v>
      </c>
      <c r="M35" s="44" t="str">
        <v>rho_oil_rc_kgm3</v>
      </c>
      <c r="N35" s="44" t="str">
        <v>rho_gas_rc_kgm3</v>
      </c>
      <c r="O35" s="44" t="str">
        <v>rho_wat_rc_kgm3</v>
      </c>
      <c r="P35" s="44" t="str">
        <v>compressibility_oil_1atm</v>
      </c>
      <c r="Q35" s="44" t="str">
        <v>compressibility_gas_1atm</v>
      </c>
      <c r="R35" s="44" t="str">
        <v>compressibility_wat_1atm</v>
      </c>
      <c r="S35" s="44" t="str">
        <v>sigma_liq_Nm</v>
      </c>
      <c r="T35" s="44" t="str">
        <v>sigma_oil_gas_Nm</v>
      </c>
      <c r="U35" s="44" t="str">
        <v>sigma_wat_gas_Nm</v>
      </c>
      <c r="V35" s="44" t="str">
        <v>cp_oil_JkgC</v>
      </c>
      <c r="W35" s="44" t="str">
        <v>cp_gas_JkgC</v>
      </c>
      <c r="X35" s="44" t="str">
        <v>cv_gas_JkgC</v>
      </c>
      <c r="Y35" s="44" t="str">
        <v>cp_wat_JkgC</v>
      </c>
      <c r="Z35" s="44" t="str">
        <v>z</v>
      </c>
      <c r="AA35" s="45" t="str">
        <v>sal_ppm</v>
      </c>
    </row>
    <row r="36" spans="2:27" x14ac:dyDescent="0.25">
      <c r="D36" s="46" t="str">
        <v>["CPVT object created "]</v>
      </c>
      <c r="E36" s="47" t="str">
        <v/>
      </c>
      <c r="F36" s="47" t="str">
        <v/>
      </c>
      <c r="G36" s="47" t="str">
        <v/>
      </c>
      <c r="H36" s="47" t="str">
        <v/>
      </c>
      <c r="I36" s="47" t="str">
        <v/>
      </c>
      <c r="J36" s="47" t="str">
        <v/>
      </c>
      <c r="K36" s="47" t="str">
        <v/>
      </c>
      <c r="L36" s="47" t="str">
        <v/>
      </c>
      <c r="M36" s="47" t="str">
        <v/>
      </c>
      <c r="N36" s="47" t="str">
        <v/>
      </c>
      <c r="O36" s="47" t="str">
        <v/>
      </c>
      <c r="P36" s="47" t="str">
        <v/>
      </c>
      <c r="Q36" s="47" t="str">
        <v/>
      </c>
      <c r="R36" s="47" t="str">
        <v/>
      </c>
      <c r="S36" s="47" t="str">
        <v/>
      </c>
      <c r="T36" s="47" t="str">
        <v/>
      </c>
      <c r="U36" s="47" t="str">
        <v/>
      </c>
      <c r="V36" s="47" t="str">
        <v/>
      </c>
      <c r="W36" s="47" t="str">
        <v/>
      </c>
      <c r="X36" s="47" t="str">
        <v/>
      </c>
      <c r="Y36" s="47" t="str">
        <v/>
      </c>
      <c r="Z36" s="47" t="str">
        <v/>
      </c>
      <c r="AA36" s="48" t="str">
        <v/>
      </c>
    </row>
    <row r="37" spans="2:27" x14ac:dyDescent="0.25">
      <c r="D37" t="s">
        <v>46</v>
      </c>
    </row>
    <row r="38" spans="2:27" x14ac:dyDescent="0.25">
      <c r="D38" s="53" cm="1">
        <f t="array" ref="D38:Q40">[1]!feed_calc(B34,C34,PVT_stream_,param)</f>
        <v>274.21571417997677</v>
      </c>
      <c r="E38" s="26">
        <v>274.21571417997677</v>
      </c>
      <c r="F38" s="26">
        <v>15.545159647086953</v>
      </c>
      <c r="G38" s="26">
        <v>0.15213209142289322</v>
      </c>
      <c r="H38" s="26">
        <v>258.51842244146701</v>
      </c>
      <c r="I38" s="26">
        <v>0.94275568128744369</v>
      </c>
      <c r="J38" s="26">
        <v>60.499287404611458</v>
      </c>
      <c r="K38" s="26">
        <v>0.21256723929017574</v>
      </c>
      <c r="L38" s="26">
        <v>0.15935285933703019</v>
      </c>
      <c r="M38" s="26">
        <v>1.9097222222222219E-3</v>
      </c>
      <c r="N38" s="26">
        <v>3.0738488579636476E-2</v>
      </c>
      <c r="O38" s="26">
        <v>2.6100000000000002E-2</v>
      </c>
      <c r="P38" s="26">
        <v>2341.8307148543986</v>
      </c>
      <c r="Q38" s="27">
        <v>-4.0103052183111616E-2</v>
      </c>
    </row>
    <row r="39" spans="2:27" x14ac:dyDescent="0.25">
      <c r="D39" s="43" t="str">
        <v>q_mix_rc_m3day</v>
      </c>
      <c r="E39" s="44" t="str">
        <v>q_mix_rc_m3day</v>
      </c>
      <c r="F39" s="44" t="str">
        <v>q_oil_rc_m3day</v>
      </c>
      <c r="G39" s="44" t="str">
        <v>q_wat_rc_m3day</v>
      </c>
      <c r="H39" s="44" t="str">
        <v>q_gas_rc_m3day</v>
      </c>
      <c r="I39" s="44" t="str">
        <v>gas_fraction_d</v>
      </c>
      <c r="J39" s="44" t="str">
        <v>rho_mix_rc_kgm3</v>
      </c>
      <c r="K39" s="44" t="str">
        <v>mu_mix_cP</v>
      </c>
      <c r="L39" s="44" t="str">
        <v>mo_kgsec</v>
      </c>
      <c r="M39" s="44" t="str">
        <v>mw_kgsec</v>
      </c>
      <c r="N39" s="44" t="str">
        <v>mg_kgsec</v>
      </c>
      <c r="O39" s="44" t="str">
        <v>mg_kgmol</v>
      </c>
      <c r="P39" s="44" t="str">
        <v>cmix_JkgC</v>
      </c>
      <c r="Q39" s="45" t="str">
        <v>cJT_Katm</v>
      </c>
    </row>
    <row r="40" spans="2:27" x14ac:dyDescent="0.25">
      <c r="D40" s="46" t="str">
        <v>["CPVT object created "]</v>
      </c>
      <c r="E40" s="47" t="str">
        <v/>
      </c>
      <c r="F40" s="47" t="str">
        <v/>
      </c>
      <c r="G40" s="47" t="str">
        <v/>
      </c>
      <c r="H40" s="47" t="str">
        <v/>
      </c>
      <c r="I40" s="47" t="str">
        <v/>
      </c>
      <c r="J40" s="47" t="str">
        <v/>
      </c>
      <c r="K40" s="47" t="str">
        <v/>
      </c>
      <c r="L40" s="47" t="str">
        <v/>
      </c>
      <c r="M40" s="47" t="str">
        <v/>
      </c>
      <c r="N40" s="47" t="str">
        <v/>
      </c>
      <c r="O40" s="47" t="str">
        <v/>
      </c>
      <c r="P40" s="47" t="str">
        <v/>
      </c>
      <c r="Q40" s="48" t="str">
        <v/>
      </c>
    </row>
    <row r="42" spans="2:27" x14ac:dyDescent="0.25">
      <c r="D42">
        <v>0</v>
      </c>
      <c r="E42">
        <v>1</v>
      </c>
      <c r="F42">
        <v>2</v>
      </c>
      <c r="G42">
        <v>3</v>
      </c>
      <c r="H42">
        <v>4</v>
      </c>
      <c r="I42">
        <v>5</v>
      </c>
      <c r="J42">
        <v>6</v>
      </c>
      <c r="K42">
        <v>7</v>
      </c>
      <c r="L42">
        <v>8</v>
      </c>
      <c r="M42">
        <v>9</v>
      </c>
      <c r="N42">
        <v>10</v>
      </c>
      <c r="O42">
        <v>11</v>
      </c>
      <c r="P42">
        <v>12</v>
      </c>
      <c r="Q42">
        <v>13</v>
      </c>
    </row>
    <row r="43" spans="2:27" x14ac:dyDescent="0.25">
      <c r="B43" t="s">
        <v>37</v>
      </c>
    </row>
    <row r="45" spans="2:27" s="31" customFormat="1" ht="26.4" x14ac:dyDescent="0.25">
      <c r="B45" s="32" t="s">
        <v>0</v>
      </c>
      <c r="C45" s="32" t="s">
        <v>4</v>
      </c>
      <c r="D45" s="32" t="str">
        <f>D39</f>
        <v>q_mix_rc_m3day</v>
      </c>
      <c r="E45" s="32" t="str">
        <f t="shared" ref="E45:Q45" si="0">E39</f>
        <v>q_mix_rc_m3day</v>
      </c>
      <c r="F45" s="32" t="str">
        <f t="shared" si="0"/>
        <v>q_oil_rc_m3day</v>
      </c>
      <c r="G45" s="32" t="str">
        <f t="shared" si="0"/>
        <v>q_wat_rc_m3day</v>
      </c>
      <c r="H45" s="32" t="str">
        <f t="shared" si="0"/>
        <v>q_gas_rc_m3day</v>
      </c>
      <c r="I45" s="32" t="str">
        <f t="shared" si="0"/>
        <v>gas_fraction_d</v>
      </c>
      <c r="J45" s="32" t="str">
        <f t="shared" si="0"/>
        <v>rho_mix_rc_kgm3</v>
      </c>
      <c r="K45" s="32" t="str">
        <f t="shared" si="0"/>
        <v>mu_mix_cP</v>
      </c>
      <c r="L45" s="32" t="str">
        <f t="shared" si="0"/>
        <v>mo_kgsec</v>
      </c>
      <c r="M45" s="32" t="str">
        <f t="shared" si="0"/>
        <v>mw_kgsec</v>
      </c>
      <c r="N45" s="32" t="str">
        <f t="shared" si="0"/>
        <v>mg_kgsec</v>
      </c>
      <c r="O45" s="32" t="str">
        <f t="shared" si="0"/>
        <v>mg_kgmol</v>
      </c>
      <c r="P45" s="32" t="str">
        <f t="shared" si="0"/>
        <v>cmix_JkgC</v>
      </c>
      <c r="Q45" s="32" t="str">
        <f t="shared" si="0"/>
        <v>cJT_Katm</v>
      </c>
      <c r="R45"/>
      <c r="S45"/>
      <c r="T45"/>
      <c r="U45"/>
      <c r="V45"/>
      <c r="W45"/>
      <c r="X45"/>
      <c r="Y45"/>
      <c r="Z45"/>
      <c r="AA45"/>
    </row>
    <row r="46" spans="2:27" x14ac:dyDescent="0.25">
      <c r="B46" s="12">
        <v>1</v>
      </c>
      <c r="C46" s="12">
        <v>80</v>
      </c>
      <c r="D46" s="33">
        <f t="array" ref="D46:Q46">[1]!feed_calc(B46,C46,PVT_stream_,param)</f>
        <v>3361.5815165844892</v>
      </c>
      <c r="E46" s="33">
        <v>3361.5815165844892</v>
      </c>
      <c r="F46" s="33">
        <v>15.295443041318849</v>
      </c>
      <c r="G46" s="34">
        <v>0.15454890916583935</v>
      </c>
      <c r="H46" s="34">
        <v>3346.1315246340046</v>
      </c>
      <c r="I46" s="34">
        <v>0.99540395142159677</v>
      </c>
      <c r="J46" s="34">
        <v>4.934844779108845</v>
      </c>
      <c r="K46" s="35">
        <v>3.27905425208238E-2</v>
      </c>
      <c r="L46" s="35">
        <v>0.15480496020506224</v>
      </c>
      <c r="M46" s="51">
        <v>1.9097222222222224E-3</v>
      </c>
      <c r="N46" s="51">
        <v>3.5286387711604417E-2</v>
      </c>
      <c r="O46" s="51">
        <v>2.6100000000000002E-2</v>
      </c>
      <c r="P46" s="36">
        <v>2460.7098044877212</v>
      </c>
      <c r="Q46" s="36">
        <v>-3.1057306289835458E-2</v>
      </c>
    </row>
    <row r="47" spans="2:27" x14ac:dyDescent="0.25">
      <c r="B47" s="12">
        <v>5</v>
      </c>
      <c r="C47" s="12">
        <v>80</v>
      </c>
      <c r="D47" s="33">
        <f t="array" ref="D47:Q47">[1]!feed_calc(B47,C47,PVT_stream_,param)</f>
        <v>625.77054412605662</v>
      </c>
      <c r="E47" s="33">
        <v>625.77054412605662</v>
      </c>
      <c r="F47" s="33">
        <v>15.58820162928685</v>
      </c>
      <c r="G47" s="34">
        <v>0.15454233126719386</v>
      </c>
      <c r="H47" s="34">
        <v>610.02780016550253</v>
      </c>
      <c r="I47" s="34">
        <v>0.97484262545061118</v>
      </c>
      <c r="J47" s="34">
        <v>26.510439838935799</v>
      </c>
      <c r="K47" s="35">
        <v>9.7447807050149604E-2</v>
      </c>
      <c r="L47" s="35">
        <v>0.15761441437447743</v>
      </c>
      <c r="M47" s="51">
        <v>1.9097222222222224E-3</v>
      </c>
      <c r="N47" s="51">
        <v>3.2476933542189251E-2</v>
      </c>
      <c r="O47" s="51">
        <v>2.6100000000000002E-2</v>
      </c>
      <c r="P47" s="36">
        <v>2466.8847588070812</v>
      </c>
      <c r="Q47" s="36">
        <v>-2.4663933774002517E-2</v>
      </c>
    </row>
    <row r="48" spans="2:27" x14ac:dyDescent="0.25">
      <c r="B48" s="12">
        <v>10</v>
      </c>
      <c r="C48" s="12">
        <v>80</v>
      </c>
      <c r="D48" s="33">
        <f t="array" ref="D48:Q48">[1]!feed_calc(B48,C48,PVT_stream_,param)</f>
        <v>304.91473482128168</v>
      </c>
      <c r="E48" s="33">
        <v>304.91473482128168</v>
      </c>
      <c r="F48" s="33">
        <v>15.726164181733976</v>
      </c>
      <c r="G48" s="34">
        <v>0.15453372487914427</v>
      </c>
      <c r="H48" s="34">
        <v>289.03403691466849</v>
      </c>
      <c r="I48" s="34">
        <v>0.94791757795528897</v>
      </c>
      <c r="J48" s="34">
        <v>54.407747432544411</v>
      </c>
      <c r="K48" s="35">
        <v>0.16907053563640845</v>
      </c>
      <c r="L48" s="35">
        <v>0.1589296866874593</v>
      </c>
      <c r="M48" s="51">
        <v>1.9097222222222226E-3</v>
      </c>
      <c r="N48" s="51">
        <v>3.1161661229207351E-2</v>
      </c>
      <c r="O48" s="51">
        <v>2.6100000000000002E-2</v>
      </c>
      <c r="P48" s="36">
        <v>2467.5305148789062</v>
      </c>
      <c r="Q48" s="36">
        <v>-2.2527811984332798E-2</v>
      </c>
    </row>
    <row r="49" spans="2:17" x14ac:dyDescent="0.25">
      <c r="B49" s="12">
        <v>20</v>
      </c>
      <c r="C49" s="12">
        <v>80</v>
      </c>
      <c r="D49" s="33">
        <f t="array" ref="D49:Q49">[1]!feed_calc(B49,C49,PVT_stream_,param)</f>
        <v>148.72565344095693</v>
      </c>
      <c r="E49" s="33">
        <v>148.72565344095693</v>
      </c>
      <c r="F49" s="33">
        <v>15.913298059296169</v>
      </c>
      <c r="G49" s="34">
        <v>0.15451523205390263</v>
      </c>
      <c r="H49" s="34">
        <v>132.65784014960687</v>
      </c>
      <c r="I49" s="34">
        <v>0.89196340429777377</v>
      </c>
      <c r="J49" s="34">
        <v>111.54831531482145</v>
      </c>
      <c r="K49" s="35">
        <v>0.29297225635941049</v>
      </c>
      <c r="L49" s="35">
        <v>0.16070849245132748</v>
      </c>
      <c r="M49" s="51">
        <v>1.9097222222222224E-3</v>
      </c>
      <c r="N49" s="51">
        <v>2.9382855465339176E-2</v>
      </c>
      <c r="O49" s="51">
        <v>2.6100000000000002E-2</v>
      </c>
      <c r="P49" s="36">
        <v>2466.17554892505</v>
      </c>
      <c r="Q49" s="36">
        <v>-2.2051605084416084E-2</v>
      </c>
    </row>
    <row r="50" spans="2:17" x14ac:dyDescent="0.25">
      <c r="B50" s="12">
        <v>40</v>
      </c>
      <c r="C50" s="12">
        <v>80</v>
      </c>
      <c r="D50" s="33">
        <f t="array" ref="D50:Q50">[1]!feed_calc(B50,C50,PVT_stream_,param)</f>
        <v>73.213479542929903</v>
      </c>
      <c r="E50" s="33">
        <v>73.213479542929903</v>
      </c>
      <c r="F50" s="33">
        <v>16.183689944189965</v>
      </c>
      <c r="G50" s="34">
        <v>0.15447312620684964</v>
      </c>
      <c r="H50" s="34">
        <v>56.875316472533079</v>
      </c>
      <c r="I50" s="34">
        <v>0.77684214474717495</v>
      </c>
      <c r="J50" s="34">
        <v>226.60639978233331</v>
      </c>
      <c r="K50" s="35">
        <v>0.49115699974089666</v>
      </c>
      <c r="L50" s="35">
        <v>0.16326855365431267</v>
      </c>
      <c r="M50" s="51">
        <v>1.9097222222222226E-3</v>
      </c>
      <c r="N50" s="51">
        <v>2.6822794262353997E-2</v>
      </c>
      <c r="O50" s="51">
        <v>2.6100000000000002E-2</v>
      </c>
      <c r="P50" s="36">
        <v>2460.334421944985</v>
      </c>
      <c r="Q50" s="36">
        <v>-2.5170049330355583E-2</v>
      </c>
    </row>
    <row r="51" spans="2:17" x14ac:dyDescent="0.25">
      <c r="B51" s="12">
        <v>60</v>
      </c>
      <c r="C51" s="12">
        <v>80</v>
      </c>
      <c r="D51" s="33">
        <f t="array" ref="D51:Q51">[1]!feed_calc(B51,C51,PVT_stream_,param)</f>
        <v>49.140785706183337</v>
      </c>
      <c r="E51" s="33">
        <v>49.140785706183337</v>
      </c>
      <c r="F51" s="33">
        <v>16.406709521816346</v>
      </c>
      <c r="G51" s="34">
        <v>0.15442419343103705</v>
      </c>
      <c r="H51" s="34">
        <v>32.579651990935957</v>
      </c>
      <c r="I51" s="34">
        <v>0.66298598043857671</v>
      </c>
      <c r="J51" s="34">
        <v>337.62389396647166</v>
      </c>
      <c r="K51" s="35">
        <v>0.63986540576023043</v>
      </c>
      <c r="L51" s="35">
        <v>0.16536808294522215</v>
      </c>
      <c r="M51" s="51">
        <v>1.9097222222222224E-3</v>
      </c>
      <c r="N51" s="51">
        <v>2.4723264971444558E-2</v>
      </c>
      <c r="O51" s="51">
        <v>2.6100000000000002E-2</v>
      </c>
      <c r="P51" s="36">
        <v>2454.4743236802178</v>
      </c>
      <c r="Q51" s="36">
        <v>-2.4751760805981425E-2</v>
      </c>
    </row>
    <row r="52" spans="2:17" x14ac:dyDescent="0.25">
      <c r="B52" s="12">
        <v>80</v>
      </c>
      <c r="C52" s="12">
        <v>80</v>
      </c>
      <c r="D52" s="33">
        <f t="array" ref="D52:Q52">[1]!feed_calc(B52,C52,PVT_stream_,param)</f>
        <v>37.86740277281725</v>
      </c>
      <c r="E52" s="33">
        <v>37.86740277281725</v>
      </c>
      <c r="F52" s="33">
        <v>16.611354803382294</v>
      </c>
      <c r="G52" s="34">
        <v>0.15436843372646489</v>
      </c>
      <c r="H52" s="34">
        <v>21.101679535708495</v>
      </c>
      <c r="I52" s="34">
        <v>0.55725183114106069</v>
      </c>
      <c r="J52" s="34">
        <v>438.14819560223259</v>
      </c>
      <c r="K52" s="35">
        <v>0.74388654117689401</v>
      </c>
      <c r="L52" s="35">
        <v>0.16728193821830753</v>
      </c>
      <c r="M52" s="51">
        <v>1.9097222222222224E-3</v>
      </c>
      <c r="N52" s="51">
        <v>2.2809409698359158E-2</v>
      </c>
      <c r="O52" s="51">
        <v>2.6100000000000002E-2</v>
      </c>
      <c r="P52" s="36">
        <v>2451.8050477910788</v>
      </c>
      <c r="Q52" s="36">
        <v>-1.7825077245351002E-2</v>
      </c>
    </row>
    <row r="53" spans="2:17" x14ac:dyDescent="0.25">
      <c r="B53" s="12">
        <v>100</v>
      </c>
      <c r="C53" s="12">
        <v>80</v>
      </c>
      <c r="D53" s="33">
        <f t="array" ref="D53:Q53">[1]!feed_calc(B53,C53,PVT_stream_,param)</f>
        <v>31.729793902049902</v>
      </c>
      <c r="E53" s="33">
        <v>31.729793902049902</v>
      </c>
      <c r="F53" s="33">
        <v>16.808030898099258</v>
      </c>
      <c r="G53" s="34">
        <v>0.15430584709313314</v>
      </c>
      <c r="H53" s="34">
        <v>14.767457156857512</v>
      </c>
      <c r="I53" s="34">
        <v>0.46541295548419748</v>
      </c>
      <c r="J53" s="34">
        <v>522.91409004568129</v>
      </c>
      <c r="K53" s="35">
        <v>0.80638995964977522</v>
      </c>
      <c r="L53" s="35">
        <v>0.16910797456291862</v>
      </c>
      <c r="M53" s="51">
        <v>1.9097222222222224E-3</v>
      </c>
      <c r="N53" s="51">
        <v>2.0983373353748065E-2</v>
      </c>
      <c r="O53" s="51">
        <v>2.6100000000000002E-2</v>
      </c>
      <c r="P53" s="36">
        <v>2453.8084337737159</v>
      </c>
      <c r="Q53" s="36">
        <v>-6.8465233166462407E-3</v>
      </c>
    </row>
    <row r="54" spans="2:17" x14ac:dyDescent="0.25">
      <c r="B54" s="12">
        <v>120</v>
      </c>
      <c r="C54" s="12">
        <v>80</v>
      </c>
      <c r="D54" s="33">
        <f t="array" ref="D54:Q54">[1]!feed_calc(B54,C54,PVT_stream_,param)</f>
        <v>28.093542672495662</v>
      </c>
      <c r="E54" s="33">
        <v>28.093542672495662</v>
      </c>
      <c r="F54" s="33">
        <v>17.001756555738321</v>
      </c>
      <c r="G54" s="34">
        <v>0.15423643353104174</v>
      </c>
      <c r="H54" s="34">
        <v>10.937549683226296</v>
      </c>
      <c r="I54" s="34">
        <v>0.38932610994392153</v>
      </c>
      <c r="J54" s="34">
        <v>590.61188946788593</v>
      </c>
      <c r="K54" s="35">
        <v>0.83488603662008498</v>
      </c>
      <c r="L54" s="35">
        <v>0.1708930798596697</v>
      </c>
      <c r="M54" s="51">
        <v>1.9097222222222222E-3</v>
      </c>
      <c r="N54" s="51">
        <v>1.9198268056996974E-2</v>
      </c>
      <c r="O54" s="51">
        <v>2.6100000000000002E-2</v>
      </c>
      <c r="P54" s="36">
        <v>2460.252542111717</v>
      </c>
      <c r="Q54" s="36">
        <v>4.7677608101997391E-3</v>
      </c>
    </row>
    <row r="55" spans="2:17" x14ac:dyDescent="0.25">
      <c r="B55" s="12">
        <v>140</v>
      </c>
      <c r="C55" s="12">
        <v>80</v>
      </c>
      <c r="D55" s="33">
        <f t="array" ref="D55:Q55">[1]!feed_calc(B55,C55,PVT_stream_,param)</f>
        <v>25.789629672412332</v>
      </c>
      <c r="E55" s="33">
        <v>25.789629672412332</v>
      </c>
      <c r="F55" s="33">
        <v>17.195339843040291</v>
      </c>
      <c r="G55" s="34">
        <v>0.1541601930401908</v>
      </c>
      <c r="H55" s="34">
        <v>8.4401296363318501</v>
      </c>
      <c r="I55" s="34">
        <v>0.32726835334748605</v>
      </c>
      <c r="J55" s="34">
        <v>643.39088078155226</v>
      </c>
      <c r="K55" s="35">
        <v>0.83931334686568981</v>
      </c>
      <c r="L55" s="35">
        <v>0.17266338239829707</v>
      </c>
      <c r="M55" s="51">
        <v>1.9097222222222222E-3</v>
      </c>
      <c r="N55" s="51">
        <v>1.7427965518369573E-2</v>
      </c>
      <c r="O55" s="51">
        <v>2.6100000000000002E-2</v>
      </c>
      <c r="P55" s="36">
        <v>2470.0266930017401</v>
      </c>
      <c r="Q55" s="36">
        <v>1.4992065886274195E-2</v>
      </c>
    </row>
    <row r="56" spans="2:17" x14ac:dyDescent="0.25">
      <c r="B56" s="12">
        <v>160</v>
      </c>
      <c r="C56" s="12">
        <v>80</v>
      </c>
      <c r="D56" s="33">
        <f t="array" ref="D56:Q56">[1]!feed_calc(B56,C56,PVT_stream_,param)</f>
        <v>24.234166898788203</v>
      </c>
      <c r="E56" s="33">
        <v>24.234166898788203</v>
      </c>
      <c r="F56" s="33">
        <v>17.390495653287456</v>
      </c>
      <c r="G56" s="34">
        <v>0.15407712562058024</v>
      </c>
      <c r="H56" s="34">
        <v>6.6895941198801676</v>
      </c>
      <c r="I56" s="34">
        <v>0.27603978085232511</v>
      </c>
      <c r="J56" s="34">
        <v>684.70508069395146</v>
      </c>
      <c r="K56" s="35">
        <v>0.82865596296600119</v>
      </c>
      <c r="L56" s="35">
        <v>0.17443485511823362</v>
      </c>
      <c r="M56" s="51">
        <v>1.9097222222222224E-3</v>
      </c>
      <c r="N56" s="51">
        <v>1.5656492798433053E-2</v>
      </c>
      <c r="O56" s="51">
        <v>2.6100000000000002E-2</v>
      </c>
      <c r="P56" s="36">
        <v>2481.8899836831442</v>
      </c>
      <c r="Q56" s="36">
        <v>2.3187988140762464E-2</v>
      </c>
    </row>
    <row r="57" spans="2:17" x14ac:dyDescent="0.25">
      <c r="B57" s="12">
        <v>180</v>
      </c>
      <c r="C57" s="12">
        <v>80</v>
      </c>
      <c r="D57" s="33">
        <f t="array" ref="D57:Q57">[1]!feed_calc(B57,C57,PVT_stream_,param)</f>
        <v>23.118032455433283</v>
      </c>
      <c r="E57" s="33">
        <v>23.118032455433283</v>
      </c>
      <c r="F57" s="33">
        <v>17.588328681397435</v>
      </c>
      <c r="G57" s="34">
        <v>0.15398723127221009</v>
      </c>
      <c r="H57" s="34">
        <v>5.37571654276364</v>
      </c>
      <c r="I57" s="34">
        <v>0.23253348022271764</v>
      </c>
      <c r="J57" s="34">
        <v>717.78242087631475</v>
      </c>
      <c r="K57" s="35">
        <v>0.80948617617594554</v>
      </c>
      <c r="L57" s="35">
        <v>0.17621789059337301</v>
      </c>
      <c r="M57" s="51">
        <v>1.9097222222222226E-3</v>
      </c>
      <c r="N57" s="51">
        <v>1.3873457323293656E-2</v>
      </c>
      <c r="O57" s="51">
        <v>2.6100000000000002E-2</v>
      </c>
      <c r="P57" s="36">
        <v>2494.8146964250404</v>
      </c>
      <c r="Q57" s="36">
        <v>2.9449670283319886E-2</v>
      </c>
    </row>
    <row r="58" spans="2:17" x14ac:dyDescent="0.25">
      <c r="B58" s="12">
        <v>200</v>
      </c>
      <c r="C58" s="12">
        <v>80</v>
      </c>
      <c r="D58" s="33">
        <f t="array" ref="D58:Q58">[1]!feed_calc(B58,C58,PVT_stream_,param)</f>
        <v>22.405774993906469</v>
      </c>
      <c r="E58" s="33">
        <v>22.405774993906469</v>
      </c>
      <c r="F58" s="33">
        <v>17.689548986084201</v>
      </c>
      <c r="G58" s="34">
        <v>0.15389050999508033</v>
      </c>
      <c r="H58" s="34">
        <v>4.5623354978271884</v>
      </c>
      <c r="I58" s="34">
        <v>0.20362319531763451</v>
      </c>
      <c r="J58" s="34">
        <v>740.61022020245741</v>
      </c>
      <c r="K58" s="35">
        <v>9.4161916733863787E-3</v>
      </c>
      <c r="L58" s="35">
        <v>0.17736530624999999</v>
      </c>
      <c r="M58" s="51">
        <v>1.9097222222222222E-3</v>
      </c>
      <c r="N58" s="51">
        <v>1.2726041666666668E-2</v>
      </c>
      <c r="O58" s="51">
        <v>2.6100000000000002E-2</v>
      </c>
      <c r="P58" s="36">
        <v>2504.288156778533</v>
      </c>
      <c r="Q58" s="36">
        <v>3.3415214031424938E-2</v>
      </c>
    </row>
    <row r="59" spans="2:17" x14ac:dyDescent="0.25">
      <c r="B59" s="12">
        <v>220</v>
      </c>
      <c r="C59" s="12">
        <v>80</v>
      </c>
      <c r="D59" s="33">
        <f t="array" ref="D59:Q59">[1]!feed_calc(B59,C59,PVT_stream_,param)</f>
        <v>22.061752920403556</v>
      </c>
      <c r="E59" s="33">
        <v>22.061752920403556</v>
      </c>
      <c r="F59" s="33">
        <v>17.624816772664815</v>
      </c>
      <c r="G59" s="34">
        <v>0.15378696178919102</v>
      </c>
      <c r="H59" s="34">
        <v>4.283149185949549</v>
      </c>
      <c r="I59" s="34">
        <v>0.19414364766946185</v>
      </c>
      <c r="J59" s="34">
        <v>752.15123680949739</v>
      </c>
      <c r="K59" s="35">
        <v>9.6648653369599564E-3</v>
      </c>
      <c r="L59" s="35">
        <v>0.17736530625000002</v>
      </c>
      <c r="M59" s="51">
        <v>1.9097222222222224E-3</v>
      </c>
      <c r="N59" s="51">
        <v>1.2726041666666667E-2</v>
      </c>
      <c r="O59" s="51">
        <v>2.6100000000000002E-2</v>
      </c>
      <c r="P59" s="36">
        <v>2507.4427271263412</v>
      </c>
      <c r="Q59" s="36">
        <v>3.5349589038920257E-2</v>
      </c>
    </row>
    <row r="60" spans="2:17" x14ac:dyDescent="0.25">
      <c r="B60" s="12">
        <v>240</v>
      </c>
      <c r="C60" s="12">
        <v>80</v>
      </c>
      <c r="D60" s="33">
        <f t="array" ref="D60:Q60">[1]!feed_calc(B60,C60,PVT_stream_,param)</f>
        <v>21.78926354957547</v>
      </c>
      <c r="E60" s="33">
        <v>21.78926354957547</v>
      </c>
      <c r="F60" s="33">
        <v>17.571054246540967</v>
      </c>
      <c r="G60" s="34">
        <v>0.15367658665454206</v>
      </c>
      <c r="H60" s="34">
        <v>4.0645327163799614</v>
      </c>
      <c r="I60" s="34">
        <v>0.18653832458046304</v>
      </c>
      <c r="J60" s="34">
        <v>761.55134944353335</v>
      </c>
      <c r="K60" s="35">
        <v>9.9091110046010556E-3</v>
      </c>
      <c r="L60" s="35">
        <v>0.17736530625000002</v>
      </c>
      <c r="M60" s="51">
        <v>1.9097222222222224E-3</v>
      </c>
      <c r="N60" s="51">
        <v>1.2726041666666668E-2</v>
      </c>
      <c r="O60" s="51">
        <v>2.6100000000000002E-2</v>
      </c>
      <c r="P60" s="36">
        <v>2510.9536584916418</v>
      </c>
      <c r="Q60" s="36">
        <v>3.6867369531678032E-2</v>
      </c>
    </row>
    <row r="61" spans="2:17" x14ac:dyDescent="0.25">
      <c r="B61" s="12">
        <v>260</v>
      </c>
      <c r="C61" s="12">
        <v>80</v>
      </c>
      <c r="D61" s="33">
        <f t="array" ref="D61:Q61">[1]!feed_calc(B61,C61,PVT_stream_,param)</f>
        <v>21.567680820944805</v>
      </c>
      <c r="E61" s="33">
        <v>21.567680820944805</v>
      </c>
      <c r="F61" s="33">
        <v>17.525690990320417</v>
      </c>
      <c r="G61" s="34">
        <v>0.15355938459113352</v>
      </c>
      <c r="H61" s="34">
        <v>3.8884304460332544</v>
      </c>
      <c r="I61" s="34">
        <v>0.18028968799728909</v>
      </c>
      <c r="J61" s="34">
        <v>769.37069620695797</v>
      </c>
      <c r="K61" s="35">
        <v>1.014799103748687E-2</v>
      </c>
      <c r="L61" s="35">
        <v>0.17736530624999999</v>
      </c>
      <c r="M61" s="51">
        <v>1.9097222222222222E-3</v>
      </c>
      <c r="N61" s="51">
        <v>1.2726041666666668E-2</v>
      </c>
      <c r="O61" s="51">
        <v>2.6100000000000002E-2</v>
      </c>
      <c r="P61" s="36">
        <v>2514.708808831494</v>
      </c>
      <c r="Q61" s="36">
        <v>3.8061144010786349E-2</v>
      </c>
    </row>
    <row r="62" spans="2:17" x14ac:dyDescent="0.25">
      <c r="B62" s="12">
        <v>280</v>
      </c>
      <c r="C62" s="12">
        <v>80</v>
      </c>
      <c r="D62" s="33">
        <f t="array" ref="D62:Q62">[1]!feed_calc(B62,C62,PVT_stream_,param)</f>
        <v>21.383592920917462</v>
      </c>
      <c r="E62" s="33">
        <v>21.383592920917462</v>
      </c>
      <c r="F62" s="33">
        <v>17.486901424313984</v>
      </c>
      <c r="G62" s="34">
        <v>0.15343535559896543</v>
      </c>
      <c r="H62" s="34">
        <v>3.7432561410045104</v>
      </c>
      <c r="I62" s="34">
        <v>0.17505272172212238</v>
      </c>
      <c r="J62" s="34">
        <v>775.99045309319797</v>
      </c>
      <c r="K62" s="35">
        <v>1.0381323449885566E-2</v>
      </c>
      <c r="L62" s="35">
        <v>0.17736530624999999</v>
      </c>
      <c r="M62" s="51">
        <v>1.9097222222222222E-3</v>
      </c>
      <c r="N62" s="51">
        <v>1.2726041666666667E-2</v>
      </c>
      <c r="O62" s="51">
        <v>2.6100000000000002E-2</v>
      </c>
      <c r="P62" s="36">
        <v>2518.6348507242924</v>
      </c>
      <c r="Q62" s="36">
        <v>3.9006529019480263E-2</v>
      </c>
    </row>
    <row r="63" spans="2:17" x14ac:dyDescent="0.25">
      <c r="B63" s="12">
        <v>300</v>
      </c>
      <c r="C63" s="12">
        <v>80</v>
      </c>
      <c r="D63" s="33">
        <f t="array" ref="D63:Q63">[1]!feed_calc(B63,C63,PVT_stream_,param)</f>
        <v>21.227985763173383</v>
      </c>
      <c r="E63" s="33">
        <v>21.227985763173383</v>
      </c>
      <c r="F63" s="33">
        <v>17.453353252689634</v>
      </c>
      <c r="G63" s="34">
        <v>0.15330449967803769</v>
      </c>
      <c r="H63" s="34">
        <v>3.6213280108057102</v>
      </c>
      <c r="I63" s="34">
        <v>0.17059216315699827</v>
      </c>
      <c r="J63" s="34">
        <v>781.6759304238584</v>
      </c>
      <c r="K63" s="35">
        <v>1.0609215952386418E-2</v>
      </c>
      <c r="L63" s="35">
        <v>0.17736530624999999</v>
      </c>
      <c r="M63" s="51">
        <v>1.9097222222222222E-3</v>
      </c>
      <c r="N63" s="51">
        <v>1.2726041666666668E-2</v>
      </c>
      <c r="O63" s="51">
        <v>2.6100000000000002E-2</v>
      </c>
      <c r="P63" s="36">
        <v>2522.6843097772953</v>
      </c>
      <c r="Q63" s="36">
        <v>3.9762363792221936E-2</v>
      </c>
    </row>
    <row r="64" spans="2:17" x14ac:dyDescent="0.25">
      <c r="B64" s="12">
        <v>320</v>
      </c>
      <c r="C64" s="12">
        <v>80</v>
      </c>
      <c r="D64" s="33">
        <f t="array" ref="D64:Q64">[1]!feed_calc(B64,C64,PVT_stream_,param)</f>
        <v>21.094597618450639</v>
      </c>
      <c r="E64" s="33">
        <v>21.094597618450639</v>
      </c>
      <c r="F64" s="33">
        <v>17.424051403125066</v>
      </c>
      <c r="G64" s="34">
        <v>0.15316681682835037</v>
      </c>
      <c r="H64" s="34">
        <v>3.5173793984972228</v>
      </c>
      <c r="I64" s="34">
        <v>0.16674313784590541</v>
      </c>
      <c r="J64" s="34">
        <v>786.61670837860356</v>
      </c>
      <c r="K64" s="35">
        <v>1.0831865379348868E-2</v>
      </c>
      <c r="L64" s="35">
        <v>0.17736530625000002</v>
      </c>
      <c r="M64" s="51">
        <v>1.9097222222222222E-3</v>
      </c>
      <c r="N64" s="51">
        <v>1.2726041666666667E-2</v>
      </c>
      <c r="O64" s="51">
        <v>2.6100000000000002E-2</v>
      </c>
      <c r="P64" s="36">
        <v>2526.8264544249264</v>
      </c>
      <c r="Q64" s="36">
        <v>4.0373293488927785E-2</v>
      </c>
    </row>
    <row r="65" spans="2:22" x14ac:dyDescent="0.25">
      <c r="B65" s="12">
        <v>340</v>
      </c>
      <c r="C65" s="12">
        <v>80</v>
      </c>
      <c r="D65" s="33">
        <f t="array" ref="D65:Q65">[1]!feed_calc(B65,C65,PVT_stream_,param)</f>
        <v>20.978937299646752</v>
      </c>
      <c r="E65" s="33">
        <v>20.978937299646752</v>
      </c>
      <c r="F65" s="33">
        <v>17.398237685730518</v>
      </c>
      <c r="G65" s="34">
        <v>0.15302230704990347</v>
      </c>
      <c r="H65" s="34">
        <v>3.4276773068663324</v>
      </c>
      <c r="I65" s="34">
        <v>0.163386603330191</v>
      </c>
      <c r="J65" s="34">
        <v>790.95206213691154</v>
      </c>
      <c r="K65" s="35">
        <v>1.1049487058040994E-2</v>
      </c>
      <c r="L65" s="35">
        <v>0.17736530625000002</v>
      </c>
      <c r="M65" s="51">
        <v>1.9097222222222222E-3</v>
      </c>
      <c r="N65" s="51">
        <v>1.2726041666666668E-2</v>
      </c>
      <c r="O65" s="51">
        <v>2.6100000000000002E-2</v>
      </c>
      <c r="P65" s="36">
        <v>2531.0411415987205</v>
      </c>
      <c r="Q65" s="36">
        <v>4.0872761584416786E-2</v>
      </c>
    </row>
    <row r="66" spans="2:22" x14ac:dyDescent="0.25">
      <c r="B66" s="12">
        <v>360</v>
      </c>
      <c r="C66" s="12">
        <v>80</v>
      </c>
      <c r="D66" s="33">
        <f t="array" ref="D66:Q66">[1]!feed_calc(B66,C66,PVT_stream_,param)</f>
        <v>20.877685048806963</v>
      </c>
      <c r="E66" s="33">
        <v>20.877685048806963</v>
      </c>
      <c r="F66" s="33">
        <v>17.375324266154884</v>
      </c>
      <c r="G66" s="34">
        <v>0.15287097034269698</v>
      </c>
      <c r="H66" s="34">
        <v>3.3494898123093813</v>
      </c>
      <c r="I66" s="34">
        <v>0.16043396595355697</v>
      </c>
      <c r="J66" s="34">
        <v>794.78715716513148</v>
      </c>
      <c r="K66" s="35">
        <v>1.1262300914017696E-2</v>
      </c>
      <c r="L66" s="35">
        <v>0.17736530625000002</v>
      </c>
      <c r="M66" s="51">
        <v>1.9097222222222222E-3</v>
      </c>
      <c r="N66" s="51">
        <v>1.2726041666666665E-2</v>
      </c>
      <c r="O66" s="51">
        <v>2.6100000000000002E-2</v>
      </c>
      <c r="P66" s="36">
        <v>2535.3147589818686</v>
      </c>
      <c r="Q66" s="36">
        <v>4.1285678198738927E-2</v>
      </c>
    </row>
    <row r="67" spans="2:22" x14ac:dyDescent="0.25">
      <c r="B67" s="12">
        <v>380</v>
      </c>
      <c r="C67" s="12">
        <v>80</v>
      </c>
      <c r="D67" s="33">
        <f t="array" ref="D67:Q67">[1]!feed_calc(B67,C67,PVT_stream_,param)</f>
        <v>20.788318332253503</v>
      </c>
      <c r="E67" s="33">
        <v>20.788318332253503</v>
      </c>
      <c r="F67" s="33">
        <v>17.354848365971762</v>
      </c>
      <c r="G67" s="34">
        <v>0.15271280670673085</v>
      </c>
      <c r="H67" s="34">
        <v>3.28075715957501</v>
      </c>
      <c r="I67" s="34">
        <v>0.15781734275662154</v>
      </c>
      <c r="J67" s="34">
        <v>798.20348631789545</v>
      </c>
      <c r="K67" s="35">
        <v>1.1470538180791289E-2</v>
      </c>
      <c r="L67" s="35">
        <v>0.17736530624999999</v>
      </c>
      <c r="M67" s="51">
        <v>1.9097222222222222E-3</v>
      </c>
      <c r="N67" s="51">
        <v>1.2726041666666667E-2</v>
      </c>
      <c r="O67" s="51">
        <v>2.6100000000000002E-2</v>
      </c>
      <c r="P67" s="36">
        <v>2539.637593887594</v>
      </c>
      <c r="Q67" s="36">
        <v>4.1630572096575447E-2</v>
      </c>
    </row>
    <row r="68" spans="2:22" x14ac:dyDescent="0.25">
      <c r="B68" s="12">
        <v>400</v>
      </c>
      <c r="C68" s="12">
        <v>80</v>
      </c>
      <c r="D68" s="33">
        <f t="array" ref="D68:Q68">[1]!feed_calc(B68,C68,PVT_stream_,param)</f>
        <v>20.708872462140775</v>
      </c>
      <c r="E68" s="33">
        <v>20.708872462140775</v>
      </c>
      <c r="F68" s="33">
        <v>17.336440687566554</v>
      </c>
      <c r="G68" s="34">
        <v>0.15254781614200516</v>
      </c>
      <c r="H68" s="34">
        <v>3.2198839584322156</v>
      </c>
      <c r="I68" s="34">
        <v>0.15548330621663217</v>
      </c>
      <c r="J68" s="34">
        <v>801.2657021716708</v>
      </c>
      <c r="K68" s="35">
        <v>1.1674452365167487E-2</v>
      </c>
      <c r="L68" s="35">
        <v>0.17736530624999999</v>
      </c>
      <c r="M68" s="51">
        <v>1.9097222222222219E-3</v>
      </c>
      <c r="N68" s="51">
        <v>1.2726041666666667E-2</v>
      </c>
      <c r="O68" s="51">
        <v>2.6100000000000002E-2</v>
      </c>
      <c r="P68" s="36">
        <v>2544.002151091745</v>
      </c>
      <c r="Q68" s="36">
        <v>4.1921244988329262E-2</v>
      </c>
    </row>
    <row r="69" spans="2:22" x14ac:dyDescent="0.25">
      <c r="B69" s="12">
        <v>420</v>
      </c>
      <c r="C69" s="12">
        <v>80</v>
      </c>
      <c r="D69" s="33">
        <f t="array" ref="D69:Q69">[1]!feed_calc(B69,C69,PVT_stream_,param)</f>
        <v>20.637783738080401</v>
      </c>
      <c r="E69" s="33">
        <v>20.637783738080401</v>
      </c>
      <c r="F69" s="33">
        <v>17.319802945684373</v>
      </c>
      <c r="G69" s="34">
        <v>0.15237599864851989</v>
      </c>
      <c r="H69" s="34">
        <v>3.1656047937475096</v>
      </c>
      <c r="I69" s="34">
        <v>0.15338879571193503</v>
      </c>
      <c r="J69" s="34">
        <v>804.0261716130783</v>
      </c>
      <c r="K69" s="35">
        <v>1.1874327953071388E-2</v>
      </c>
      <c r="L69" s="35">
        <v>0.17736530624999999</v>
      </c>
      <c r="M69" s="51">
        <v>1.9097222222222224E-3</v>
      </c>
      <c r="N69" s="51">
        <v>1.2726041666666668E-2</v>
      </c>
      <c r="O69" s="51">
        <v>2.6100000000000002E-2</v>
      </c>
      <c r="P69" s="36">
        <v>2548.4020943965934</v>
      </c>
      <c r="Q69" s="36">
        <v>4.2168012847920516E-2</v>
      </c>
    </row>
    <row r="70" spans="2:22" x14ac:dyDescent="0.25">
      <c r="B70" s="12">
        <v>440</v>
      </c>
      <c r="C70" s="12">
        <v>80</v>
      </c>
      <c r="D70" s="33">
        <f t="array" ref="D70:Q70">[1]!feed_calc(B70,C70,PVT_stream_,param)</f>
        <v>20.573784187363138</v>
      </c>
      <c r="E70" s="33">
        <v>20.573784187363138</v>
      </c>
      <c r="F70" s="33">
        <v>17.304691582031211</v>
      </c>
      <c r="G70" s="34">
        <v>0.15219735422627498</v>
      </c>
      <c r="H70" s="34">
        <v>3.116895251105654</v>
      </c>
      <c r="I70" s="34">
        <v>0.15149839342730725</v>
      </c>
      <c r="J70" s="34">
        <v>806.52807216053941</v>
      </c>
      <c r="K70" s="35">
        <v>1.2070484934465687E-2</v>
      </c>
      <c r="L70" s="35">
        <v>0.17736530624999999</v>
      </c>
      <c r="M70" s="51">
        <v>1.9097222222222222E-3</v>
      </c>
      <c r="N70" s="51">
        <v>1.2726041666666667E-2</v>
      </c>
      <c r="O70" s="51">
        <v>2.6100000000000002E-2</v>
      </c>
      <c r="P70" s="36">
        <v>2552.8315960364389</v>
      </c>
      <c r="Q70" s="36">
        <v>4.2378626662980604E-2</v>
      </c>
    </row>
    <row r="71" spans="2:22" x14ac:dyDescent="0.25">
      <c r="B71" s="12">
        <v>460</v>
      </c>
      <c r="C71" s="12">
        <v>80</v>
      </c>
      <c r="D71" s="33">
        <f t="array" ref="D71:Q71">[1]!feed_calc(B71,C71,PVT_stream_,param)</f>
        <v>20.515829278876346</v>
      </c>
      <c r="E71" s="33">
        <v>20.515829278876346</v>
      </c>
      <c r="F71" s="33">
        <v>17.29090576493946</v>
      </c>
      <c r="G71" s="34">
        <v>0.15201188287527051</v>
      </c>
      <c r="H71" s="34">
        <v>3.0729116310616167</v>
      </c>
      <c r="I71" s="34">
        <v>0.1497824723188533</v>
      </c>
      <c r="J71" s="34">
        <v>808.80753990126914</v>
      </c>
      <c r="K71" s="35">
        <v>1.2263279205436123E-2</v>
      </c>
      <c r="L71" s="35">
        <v>0.17736530625000002</v>
      </c>
      <c r="M71" s="51">
        <v>1.9097222222222222E-3</v>
      </c>
      <c r="N71" s="51">
        <v>1.2726041666666667E-2</v>
      </c>
      <c r="O71" s="51">
        <v>2.6100000000000002E-2</v>
      </c>
      <c r="P71" s="36">
        <v>2557.2849525990782</v>
      </c>
      <c r="Q71" s="36">
        <v>4.2558952547151523E-2</v>
      </c>
    </row>
    <row r="76" spans="2:22" x14ac:dyDescent="0.25">
      <c r="B76" t="s">
        <v>38</v>
      </c>
    </row>
    <row r="78" spans="2:22" ht="13.8" x14ac:dyDescent="0.25">
      <c r="B78" s="9" t="s">
        <v>0</v>
      </c>
      <c r="C78" s="9" t="s">
        <v>4</v>
      </c>
      <c r="D78" s="9"/>
      <c r="E78" s="9"/>
      <c r="F78" s="10"/>
      <c r="G78" s="11"/>
      <c r="H78" s="11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</row>
    <row r="79" spans="2:22" x14ac:dyDescent="0.25">
      <c r="B79" s="12">
        <v>1</v>
      </c>
      <c r="C79" s="12">
        <v>80</v>
      </c>
      <c r="D79" s="13"/>
      <c r="E79" s="14"/>
      <c r="F79" s="13"/>
      <c r="G79" s="15"/>
      <c r="H79" s="14"/>
      <c r="I79" s="13"/>
      <c r="J79" s="13"/>
      <c r="K79" s="13"/>
      <c r="L79" s="20"/>
      <c r="M79" s="20"/>
      <c r="N79" s="15"/>
      <c r="O79" s="15"/>
      <c r="P79" s="20"/>
      <c r="Q79" s="29"/>
      <c r="R79" s="29"/>
      <c r="S79" s="29"/>
      <c r="T79" s="30"/>
      <c r="U79" s="30"/>
      <c r="V79" s="30"/>
    </row>
    <row r="80" spans="2:22" x14ac:dyDescent="0.25">
      <c r="B80" s="12">
        <v>5</v>
      </c>
      <c r="C80" s="12">
        <v>80</v>
      </c>
      <c r="D80" s="13"/>
      <c r="E80" s="14"/>
      <c r="F80" s="13"/>
      <c r="G80" s="15"/>
      <c r="H80" s="14"/>
      <c r="I80" s="13"/>
      <c r="J80" s="13"/>
      <c r="K80" s="13"/>
      <c r="L80" s="20"/>
      <c r="M80" s="20"/>
      <c r="N80" s="15"/>
      <c r="O80" s="15"/>
      <c r="P80" s="20"/>
      <c r="Q80" s="29"/>
      <c r="R80" s="29"/>
      <c r="S80" s="29"/>
      <c r="T80" s="30"/>
      <c r="U80" s="30"/>
      <c r="V80" s="30"/>
    </row>
    <row r="81" spans="2:22" x14ac:dyDescent="0.25">
      <c r="B81" s="12">
        <v>10</v>
      </c>
      <c r="C81" s="12">
        <v>80</v>
      </c>
      <c r="D81" s="13"/>
      <c r="E81" s="14"/>
      <c r="F81" s="13"/>
      <c r="G81" s="15"/>
      <c r="H81" s="14"/>
      <c r="I81" s="13"/>
      <c r="J81" s="13"/>
      <c r="K81" s="13"/>
      <c r="L81" s="20"/>
      <c r="M81" s="20"/>
      <c r="N81" s="15"/>
      <c r="O81" s="15"/>
      <c r="P81" s="20"/>
      <c r="Q81" s="29"/>
      <c r="R81" s="29"/>
      <c r="S81" s="29"/>
      <c r="T81" s="30"/>
      <c r="U81" s="30"/>
      <c r="V81" s="30"/>
    </row>
    <row r="82" spans="2:22" x14ac:dyDescent="0.25">
      <c r="B82" s="12">
        <v>20</v>
      </c>
      <c r="C82" s="12">
        <v>80</v>
      </c>
      <c r="D82" s="13"/>
      <c r="E82" s="14"/>
      <c r="F82" s="13"/>
      <c r="G82" s="15"/>
      <c r="H82" s="14"/>
      <c r="I82" s="13"/>
      <c r="J82" s="13"/>
      <c r="K82" s="13"/>
      <c r="L82" s="20"/>
      <c r="M82" s="20"/>
      <c r="N82" s="15"/>
      <c r="O82" s="15"/>
      <c r="P82" s="20"/>
      <c r="Q82" s="29"/>
      <c r="R82" s="29"/>
      <c r="S82" s="29"/>
      <c r="T82" s="30"/>
      <c r="U82" s="30"/>
      <c r="V82" s="30"/>
    </row>
    <row r="83" spans="2:22" x14ac:dyDescent="0.25">
      <c r="B83" s="12">
        <v>40</v>
      </c>
      <c r="C83" s="12">
        <v>80</v>
      </c>
      <c r="D83" s="13"/>
      <c r="E83" s="14"/>
      <c r="F83" s="13"/>
      <c r="G83" s="15"/>
      <c r="H83" s="14"/>
      <c r="I83" s="13"/>
      <c r="J83" s="13"/>
      <c r="K83" s="13"/>
      <c r="L83" s="20"/>
      <c r="M83" s="20"/>
      <c r="N83" s="15"/>
      <c r="O83" s="15"/>
      <c r="P83" s="20"/>
      <c r="Q83" s="29"/>
      <c r="R83" s="29"/>
      <c r="S83" s="29"/>
      <c r="T83" s="30"/>
      <c r="U83" s="30"/>
      <c r="V83" s="30"/>
    </row>
    <row r="84" spans="2:22" x14ac:dyDescent="0.25">
      <c r="B84" s="12">
        <v>60</v>
      </c>
      <c r="C84" s="12">
        <v>80</v>
      </c>
      <c r="D84" s="13"/>
      <c r="E84" s="14"/>
      <c r="F84" s="13"/>
      <c r="G84" s="15"/>
      <c r="H84" s="14"/>
      <c r="I84" s="13"/>
      <c r="J84" s="13"/>
      <c r="K84" s="13"/>
      <c r="L84" s="20"/>
      <c r="M84" s="20"/>
      <c r="N84" s="15"/>
      <c r="O84" s="15"/>
      <c r="P84" s="20"/>
      <c r="Q84" s="29"/>
      <c r="R84" s="29"/>
      <c r="S84" s="29"/>
      <c r="T84" s="30"/>
      <c r="U84" s="30"/>
      <c r="V84" s="30"/>
    </row>
    <row r="85" spans="2:22" x14ac:dyDescent="0.25">
      <c r="B85" s="12">
        <v>80</v>
      </c>
      <c r="C85" s="12">
        <v>80</v>
      </c>
      <c r="D85" s="13"/>
      <c r="E85" s="14"/>
      <c r="F85" s="13"/>
      <c r="G85" s="15"/>
      <c r="H85" s="14"/>
      <c r="I85" s="13"/>
      <c r="J85" s="13"/>
      <c r="K85" s="13"/>
      <c r="L85" s="20"/>
      <c r="M85" s="20"/>
      <c r="N85" s="15"/>
      <c r="O85" s="15"/>
      <c r="P85" s="20"/>
      <c r="Q85" s="29"/>
      <c r="R85" s="29"/>
      <c r="S85" s="29"/>
      <c r="T85" s="30"/>
      <c r="U85" s="30"/>
      <c r="V85" s="30"/>
    </row>
    <row r="86" spans="2:22" x14ac:dyDescent="0.25">
      <c r="B86" s="12">
        <v>100</v>
      </c>
      <c r="C86" s="12">
        <v>80</v>
      </c>
      <c r="D86" s="13"/>
      <c r="E86" s="14"/>
      <c r="F86" s="13"/>
      <c r="G86" s="15"/>
      <c r="H86" s="14"/>
      <c r="I86" s="13"/>
      <c r="J86" s="13"/>
      <c r="K86" s="13"/>
      <c r="L86" s="20"/>
      <c r="M86" s="20"/>
      <c r="N86" s="15"/>
      <c r="O86" s="15"/>
      <c r="P86" s="20"/>
      <c r="Q86" s="29"/>
      <c r="R86" s="29"/>
      <c r="S86" s="29"/>
      <c r="T86" s="30"/>
      <c r="U86" s="30"/>
      <c r="V86" s="30"/>
    </row>
    <row r="87" spans="2:22" x14ac:dyDescent="0.25">
      <c r="B87" s="12">
        <v>120</v>
      </c>
      <c r="C87" s="12">
        <v>80</v>
      </c>
      <c r="D87" s="13"/>
      <c r="E87" s="14"/>
      <c r="F87" s="13"/>
      <c r="G87" s="15"/>
      <c r="H87" s="14"/>
      <c r="I87" s="13"/>
      <c r="J87" s="13"/>
      <c r="K87" s="13"/>
      <c r="L87" s="20"/>
      <c r="M87" s="20"/>
      <c r="N87" s="15"/>
      <c r="O87" s="15"/>
      <c r="P87" s="20"/>
      <c r="Q87" s="29"/>
      <c r="R87" s="29"/>
      <c r="S87" s="29"/>
      <c r="T87" s="30"/>
      <c r="U87" s="30"/>
      <c r="V87" s="30"/>
    </row>
    <row r="88" spans="2:22" x14ac:dyDescent="0.25">
      <c r="B88" s="12">
        <v>140</v>
      </c>
      <c r="C88" s="12">
        <v>80</v>
      </c>
      <c r="D88" s="13"/>
      <c r="E88" s="14"/>
      <c r="F88" s="13"/>
      <c r="G88" s="15"/>
      <c r="H88" s="14"/>
      <c r="I88" s="13"/>
      <c r="J88" s="13"/>
      <c r="K88" s="13"/>
      <c r="L88" s="20"/>
      <c r="M88" s="20"/>
      <c r="N88" s="15"/>
      <c r="O88" s="15"/>
      <c r="P88" s="20"/>
      <c r="Q88" s="29"/>
      <c r="R88" s="29"/>
      <c r="S88" s="29"/>
      <c r="T88" s="30"/>
      <c r="U88" s="30"/>
      <c r="V88" s="30"/>
    </row>
    <row r="89" spans="2:22" x14ac:dyDescent="0.25">
      <c r="B89" s="12">
        <v>160</v>
      </c>
      <c r="C89" s="12">
        <v>80</v>
      </c>
      <c r="D89" s="13"/>
      <c r="E89" s="14"/>
      <c r="F89" s="13"/>
      <c r="G89" s="15"/>
      <c r="H89" s="14"/>
      <c r="I89" s="13"/>
      <c r="J89" s="13"/>
      <c r="K89" s="13"/>
      <c r="L89" s="20"/>
      <c r="M89" s="20"/>
      <c r="N89" s="15"/>
      <c r="O89" s="15"/>
      <c r="P89" s="20"/>
      <c r="Q89" s="29"/>
      <c r="R89" s="29"/>
      <c r="S89" s="29"/>
      <c r="T89" s="30"/>
      <c r="U89" s="30"/>
      <c r="V89" s="30"/>
    </row>
    <row r="90" spans="2:22" x14ac:dyDescent="0.25">
      <c r="B90" s="12">
        <v>180</v>
      </c>
      <c r="C90" s="12">
        <v>80</v>
      </c>
      <c r="D90" s="13"/>
      <c r="E90" s="14"/>
      <c r="F90" s="13"/>
      <c r="G90" s="15"/>
      <c r="H90" s="14"/>
      <c r="I90" s="13"/>
      <c r="J90" s="13"/>
      <c r="K90" s="13"/>
      <c r="L90" s="20"/>
      <c r="M90" s="20"/>
      <c r="N90" s="15"/>
      <c r="O90" s="15"/>
      <c r="P90" s="20"/>
      <c r="Q90" s="29"/>
      <c r="R90" s="29"/>
      <c r="S90" s="29"/>
      <c r="T90" s="30"/>
      <c r="U90" s="30"/>
      <c r="V90" s="30"/>
    </row>
    <row r="91" spans="2:22" x14ac:dyDescent="0.25">
      <c r="B91" s="12">
        <v>200</v>
      </c>
      <c r="C91" s="12">
        <v>80</v>
      </c>
      <c r="D91" s="13"/>
      <c r="E91" s="14"/>
      <c r="F91" s="13"/>
      <c r="G91" s="15"/>
      <c r="H91" s="14"/>
      <c r="I91" s="13"/>
      <c r="J91" s="13"/>
      <c r="K91" s="13"/>
      <c r="L91" s="20"/>
      <c r="M91" s="20"/>
      <c r="N91" s="15"/>
      <c r="O91" s="15"/>
      <c r="P91" s="20"/>
      <c r="Q91" s="29"/>
      <c r="R91" s="29"/>
      <c r="S91" s="29"/>
      <c r="T91" s="30"/>
      <c r="U91" s="30"/>
      <c r="V91" s="30"/>
    </row>
    <row r="92" spans="2:22" x14ac:dyDescent="0.25">
      <c r="B92" s="12">
        <v>220</v>
      </c>
      <c r="C92" s="12">
        <v>80</v>
      </c>
      <c r="D92" s="13"/>
      <c r="E92" s="14"/>
      <c r="F92" s="13"/>
      <c r="G92" s="15"/>
      <c r="H92" s="14"/>
      <c r="I92" s="13"/>
      <c r="J92" s="13"/>
      <c r="K92" s="13"/>
      <c r="L92" s="20"/>
      <c r="M92" s="20"/>
      <c r="N92" s="15"/>
      <c r="O92" s="15"/>
      <c r="P92" s="20"/>
      <c r="Q92" s="29"/>
      <c r="R92" s="29"/>
      <c r="S92" s="29"/>
      <c r="T92" s="30"/>
      <c r="U92" s="30"/>
      <c r="V92" s="30"/>
    </row>
    <row r="93" spans="2:22" x14ac:dyDescent="0.25">
      <c r="B93" s="12">
        <v>240</v>
      </c>
      <c r="C93" s="12">
        <v>80</v>
      </c>
      <c r="D93" s="13"/>
      <c r="E93" s="14"/>
      <c r="F93" s="13"/>
      <c r="G93" s="15"/>
      <c r="H93" s="14"/>
      <c r="I93" s="13"/>
      <c r="J93" s="13"/>
      <c r="K93" s="13"/>
      <c r="L93" s="20"/>
      <c r="M93" s="20"/>
      <c r="N93" s="15"/>
      <c r="O93" s="15"/>
      <c r="P93" s="20"/>
      <c r="Q93" s="29"/>
      <c r="R93" s="29"/>
      <c r="S93" s="29"/>
      <c r="T93" s="30"/>
      <c r="U93" s="30"/>
      <c r="V93" s="30"/>
    </row>
    <row r="94" spans="2:22" x14ac:dyDescent="0.25">
      <c r="B94" s="12">
        <v>260</v>
      </c>
      <c r="C94" s="12">
        <v>80</v>
      </c>
      <c r="D94" s="13"/>
      <c r="E94" s="14"/>
      <c r="F94" s="13"/>
      <c r="G94" s="15"/>
      <c r="H94" s="14"/>
      <c r="I94" s="13"/>
      <c r="J94" s="13"/>
      <c r="K94" s="13"/>
      <c r="L94" s="20"/>
      <c r="M94" s="20"/>
      <c r="N94" s="15"/>
      <c r="O94" s="15"/>
      <c r="P94" s="20"/>
      <c r="Q94" s="29"/>
      <c r="R94" s="29"/>
      <c r="S94" s="29"/>
      <c r="T94" s="30"/>
      <c r="U94" s="30"/>
      <c r="V94" s="30"/>
    </row>
    <row r="95" spans="2:22" x14ac:dyDescent="0.25">
      <c r="B95" s="12">
        <v>280</v>
      </c>
      <c r="C95" s="12">
        <v>80</v>
      </c>
      <c r="D95" s="13"/>
      <c r="E95" s="14"/>
      <c r="F95" s="13"/>
      <c r="G95" s="15"/>
      <c r="H95" s="14"/>
      <c r="I95" s="13"/>
      <c r="J95" s="13"/>
      <c r="K95" s="13"/>
      <c r="L95" s="20"/>
      <c r="M95" s="20"/>
      <c r="N95" s="15"/>
      <c r="O95" s="15"/>
      <c r="P95" s="20"/>
      <c r="Q95" s="29"/>
      <c r="R95" s="29"/>
      <c r="S95" s="29"/>
      <c r="T95" s="30"/>
      <c r="U95" s="30"/>
      <c r="V95" s="30"/>
    </row>
    <row r="96" spans="2:22" x14ac:dyDescent="0.25">
      <c r="B96" s="12">
        <v>300</v>
      </c>
      <c r="C96" s="12">
        <v>80</v>
      </c>
      <c r="D96" s="13"/>
      <c r="E96" s="14"/>
      <c r="F96" s="13"/>
      <c r="G96" s="15"/>
      <c r="H96" s="14"/>
      <c r="I96" s="13"/>
      <c r="J96" s="13"/>
      <c r="K96" s="13"/>
      <c r="L96" s="20"/>
      <c r="M96" s="20"/>
      <c r="N96" s="15"/>
      <c r="O96" s="15"/>
      <c r="P96" s="20"/>
      <c r="Q96" s="29"/>
      <c r="R96" s="29"/>
      <c r="S96" s="29"/>
      <c r="T96" s="30"/>
      <c r="U96" s="30"/>
      <c r="V96" s="30"/>
    </row>
    <row r="97" spans="2:22" x14ac:dyDescent="0.25">
      <c r="B97" s="12">
        <v>320</v>
      </c>
      <c r="C97" s="12">
        <v>80</v>
      </c>
      <c r="D97" s="13"/>
      <c r="E97" s="14"/>
      <c r="F97" s="13"/>
      <c r="G97" s="15"/>
      <c r="H97" s="14"/>
      <c r="I97" s="13"/>
      <c r="J97" s="13"/>
      <c r="K97" s="13"/>
      <c r="L97" s="20"/>
      <c r="M97" s="20"/>
      <c r="N97" s="15"/>
      <c r="O97" s="15"/>
      <c r="P97" s="20"/>
      <c r="Q97" s="29"/>
      <c r="R97" s="29"/>
      <c r="S97" s="29"/>
      <c r="T97" s="30"/>
      <c r="U97" s="30"/>
      <c r="V97" s="30"/>
    </row>
    <row r="98" spans="2:22" x14ac:dyDescent="0.25">
      <c r="B98" s="12">
        <v>340</v>
      </c>
      <c r="C98" s="12">
        <v>80</v>
      </c>
      <c r="D98" s="13"/>
      <c r="E98" s="14"/>
      <c r="F98" s="13"/>
      <c r="G98" s="15"/>
      <c r="H98" s="14"/>
      <c r="I98" s="13"/>
      <c r="J98" s="13"/>
      <c r="K98" s="13"/>
      <c r="L98" s="20"/>
      <c r="M98" s="20"/>
      <c r="N98" s="15"/>
      <c r="O98" s="15"/>
      <c r="P98" s="20"/>
      <c r="Q98" s="29"/>
      <c r="R98" s="29"/>
      <c r="S98" s="29"/>
      <c r="T98" s="30"/>
      <c r="U98" s="30"/>
      <c r="V98" s="30"/>
    </row>
    <row r="99" spans="2:22" x14ac:dyDescent="0.25">
      <c r="B99" s="12">
        <v>360</v>
      </c>
      <c r="C99" s="12">
        <v>80</v>
      </c>
      <c r="D99" s="13"/>
      <c r="E99" s="14"/>
      <c r="F99" s="13"/>
      <c r="G99" s="15"/>
      <c r="H99" s="14"/>
      <c r="I99" s="13"/>
      <c r="J99" s="13"/>
      <c r="K99" s="13"/>
      <c r="L99" s="20"/>
      <c r="M99" s="20"/>
      <c r="N99" s="15"/>
      <c r="O99" s="15"/>
      <c r="P99" s="20"/>
      <c r="Q99" s="29"/>
      <c r="R99" s="29"/>
      <c r="S99" s="29"/>
      <c r="T99" s="30"/>
      <c r="U99" s="30"/>
      <c r="V99" s="30"/>
    </row>
    <row r="100" spans="2:22" x14ac:dyDescent="0.25">
      <c r="B100" s="12">
        <v>380</v>
      </c>
      <c r="C100" s="12">
        <v>80</v>
      </c>
      <c r="D100" s="13"/>
      <c r="E100" s="14"/>
      <c r="F100" s="13"/>
      <c r="G100" s="15"/>
      <c r="H100" s="14"/>
      <c r="I100" s="13"/>
      <c r="J100" s="13"/>
      <c r="K100" s="13"/>
      <c r="L100" s="20"/>
      <c r="M100" s="20"/>
      <c r="N100" s="15"/>
      <c r="O100" s="15"/>
      <c r="P100" s="20"/>
      <c r="Q100" s="29"/>
      <c r="R100" s="29"/>
      <c r="S100" s="29"/>
      <c r="T100" s="30"/>
      <c r="U100" s="30"/>
      <c r="V100" s="30"/>
    </row>
    <row r="101" spans="2:22" x14ac:dyDescent="0.25">
      <c r="B101" s="12">
        <v>400</v>
      </c>
      <c r="C101" s="12">
        <v>80</v>
      </c>
      <c r="D101" s="13"/>
      <c r="E101" s="14"/>
      <c r="F101" s="13"/>
      <c r="G101" s="15"/>
      <c r="H101" s="14"/>
      <c r="I101" s="13"/>
      <c r="J101" s="13"/>
      <c r="K101" s="13"/>
      <c r="L101" s="20"/>
      <c r="M101" s="20"/>
      <c r="N101" s="15"/>
      <c r="O101" s="15"/>
      <c r="P101" s="20"/>
      <c r="Q101" s="29"/>
      <c r="R101" s="29"/>
      <c r="S101" s="29"/>
      <c r="T101" s="30"/>
      <c r="U101" s="30"/>
      <c r="V101" s="30"/>
    </row>
    <row r="102" spans="2:22" x14ac:dyDescent="0.25">
      <c r="B102" s="12">
        <v>420</v>
      </c>
      <c r="C102" s="12">
        <v>80</v>
      </c>
      <c r="D102" s="13"/>
      <c r="E102" s="14"/>
      <c r="F102" s="13"/>
      <c r="G102" s="15"/>
      <c r="H102" s="14"/>
      <c r="I102" s="13"/>
      <c r="J102" s="13"/>
      <c r="K102" s="13"/>
      <c r="L102" s="20"/>
      <c r="M102" s="20"/>
      <c r="N102" s="15"/>
      <c r="O102" s="15"/>
      <c r="P102" s="20"/>
      <c r="Q102" s="29"/>
      <c r="R102" s="29"/>
      <c r="S102" s="29"/>
      <c r="T102" s="30"/>
      <c r="U102" s="30"/>
      <c r="V102" s="30"/>
    </row>
    <row r="103" spans="2:22" x14ac:dyDescent="0.25">
      <c r="B103" s="12">
        <v>440</v>
      </c>
      <c r="C103" s="12">
        <v>80</v>
      </c>
      <c r="D103" s="13"/>
      <c r="E103" s="14"/>
      <c r="F103" s="13"/>
      <c r="G103" s="15"/>
      <c r="H103" s="14"/>
      <c r="I103" s="13"/>
      <c r="J103" s="13"/>
      <c r="K103" s="13"/>
      <c r="L103" s="20"/>
      <c r="M103" s="20"/>
      <c r="N103" s="15"/>
      <c r="O103" s="15"/>
      <c r="P103" s="20"/>
      <c r="Q103" s="29"/>
      <c r="R103" s="29"/>
      <c r="S103" s="29"/>
      <c r="T103" s="30"/>
      <c r="U103" s="30"/>
      <c r="V103" s="30"/>
    </row>
    <row r="104" spans="2:22" x14ac:dyDescent="0.25">
      <c r="B104" s="12">
        <v>460</v>
      </c>
      <c r="C104" s="12">
        <v>80</v>
      </c>
      <c r="D104" s="13"/>
      <c r="E104" s="14"/>
      <c r="F104" s="13"/>
      <c r="G104" s="15"/>
      <c r="H104" s="14"/>
      <c r="I104" s="13"/>
      <c r="J104" s="13"/>
      <c r="K104" s="13"/>
      <c r="L104" s="20"/>
      <c r="M104" s="20"/>
      <c r="N104" s="15"/>
      <c r="O104" s="15"/>
      <c r="P104" s="20"/>
      <c r="Q104" s="29"/>
      <c r="R104" s="29"/>
      <c r="S104" s="29"/>
      <c r="T104" s="30"/>
      <c r="U104" s="30"/>
      <c r="V104" s="30"/>
    </row>
    <row r="108" spans="2:22" x14ac:dyDescent="0.25">
      <c r="O108">
        <f>O106</f>
        <v>0</v>
      </c>
    </row>
    <row r="163" spans="11:11" x14ac:dyDescent="0.25">
      <c r="K163" t="s">
        <v>5</v>
      </c>
    </row>
    <row r="174" spans="11:11" x14ac:dyDescent="0.25">
      <c r="K174" s="3"/>
    </row>
  </sheetData>
  <dataConsolidate/>
  <mergeCells count="11">
    <mergeCell ref="B3:E3"/>
    <mergeCell ref="I3:L3"/>
    <mergeCell ref="B4:E4"/>
    <mergeCell ref="I4:L4"/>
    <mergeCell ref="B5:E5"/>
    <mergeCell ref="I5:L5"/>
    <mergeCell ref="B25:C25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29</vt:i4>
      </vt:variant>
    </vt:vector>
  </HeadingPairs>
  <TitlesOfParts>
    <vt:vector size="30" baseType="lpstr">
      <vt:lpstr>exercise_PVT</vt:lpstr>
      <vt:lpstr>exercise_PVT!Bob_</vt:lpstr>
      <vt:lpstr>exercise_PVT!Course</vt:lpstr>
      <vt:lpstr>fw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PVT_stream_</vt:lpstr>
      <vt:lpstr>Qgas</vt:lpstr>
      <vt:lpstr>Qliq</vt:lpstr>
      <vt:lpstr>rp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2020-04-13T13:26:12Z</dcterms:created>
  <dcterms:modified xsi:type="dcterms:W3CDTF">2021-01-25T06:38:29Z</dcterms:modified>
</cp:coreProperties>
</file>