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8_{1F33D90B-748F-4B28-8041-A37DF92B9BFA}" xr6:coauthVersionLast="46" xr6:coauthVersionMax="46" xr10:uidLastSave="{00000000-0000-0000-0000-000000000000}"/>
  <bookViews>
    <workbookView xWindow="-108" yWindow="-108" windowWidth="30936" windowHeight="1689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30" i="113"/>
  <c r="G1" i="113"/>
  <c r="D25" i="113" a="1"/>
  <c r="D25" i="113" l="1"/>
  <c r="E16" i="113"/>
  <c r="E15" i="113"/>
  <c r="E14" i="113"/>
  <c r="E13" i="113"/>
  <c r="E12" i="113"/>
  <c r="E11" i="113"/>
  <c r="D31" i="113" a="1"/>
  <c r="D34" i="113" a="1"/>
  <c r="D31" i="113" l="1"/>
  <c r="D34" i="113"/>
  <c r="H34" i="113" s="1"/>
  <c r="D62" i="113" a="1"/>
  <c r="D56" i="113" a="1"/>
  <c r="D47" i="113" a="1"/>
  <c r="D67" i="113" a="1"/>
  <c r="D54" i="113" a="1"/>
  <c r="D59" i="113" a="1"/>
  <c r="D71" i="113" a="1"/>
  <c r="D68" i="113" a="1"/>
  <c r="D52" i="113" a="1"/>
  <c r="D66" i="113" a="1"/>
  <c r="D64" i="113" a="1"/>
  <c r="D48" i="113" a="1"/>
  <c r="D53" i="113" a="1"/>
  <c r="D57" i="113" a="1"/>
  <c r="D60" i="113" a="1"/>
  <c r="D63" i="113" a="1"/>
  <c r="D69" i="113" a="1"/>
  <c r="D65" i="113" a="1"/>
  <c r="D70" i="113" a="1"/>
  <c r="D58" i="113" a="1"/>
  <c r="D55" i="113" a="1"/>
  <c r="D50" i="113" a="1"/>
  <c r="D51" i="113" a="1"/>
  <c r="D49" i="113" a="1"/>
  <c r="D61" i="113" a="1"/>
  <c r="D46" i="113" a="1"/>
  <c r="D38" i="113" a="1"/>
  <c r="D38" i="113" l="1"/>
  <c r="H38" i="113" s="1"/>
  <c r="E45" i="113"/>
  <c r="D45" i="113"/>
  <c r="D46" i="113"/>
  <c r="E46" i="113"/>
  <c r="E61" i="113"/>
  <c r="D61" i="113"/>
  <c r="E49" i="113"/>
  <c r="D49" i="113"/>
  <c r="D51" i="113"/>
  <c r="E51" i="113"/>
  <c r="D50" i="113"/>
  <c r="E50" i="113"/>
  <c r="D55" i="113"/>
  <c r="E55" i="113"/>
  <c r="D58" i="113"/>
  <c r="E58" i="113"/>
  <c r="D70" i="113"/>
  <c r="E70" i="113"/>
  <c r="D65" i="113"/>
  <c r="E65" i="113"/>
  <c r="D69" i="113"/>
  <c r="E69" i="113"/>
  <c r="D63" i="113"/>
  <c r="E63" i="113"/>
  <c r="D60" i="113"/>
  <c r="E60" i="113"/>
  <c r="D57" i="113"/>
  <c r="E57" i="113"/>
  <c r="D53" i="113"/>
  <c r="E53" i="113"/>
  <c r="D48" i="113"/>
  <c r="E48" i="113"/>
  <c r="D64" i="113"/>
  <c r="E64" i="113"/>
  <c r="D66" i="113"/>
  <c r="E66" i="113"/>
  <c r="D52" i="113"/>
  <c r="E52" i="113"/>
  <c r="E68" i="113"/>
  <c r="D68" i="113"/>
  <c r="D71" i="113"/>
  <c r="E71" i="113"/>
  <c r="E59" i="113"/>
  <c r="D59" i="113"/>
  <c r="D54" i="113"/>
  <c r="E54" i="113"/>
  <c r="D67" i="113"/>
  <c r="E67" i="113"/>
  <c r="D47" i="113"/>
  <c r="E47" i="113"/>
  <c r="E56" i="113"/>
  <c r="D56" i="113"/>
  <c r="D62" i="113"/>
  <c r="E62" i="113"/>
  <c r="F55" i="113" a="1"/>
  <c r="F60" i="113" a="1"/>
  <c r="F52" i="113" a="1"/>
  <c r="F47" i="113" a="1"/>
  <c r="F53" i="113" a="1"/>
  <c r="F61" i="113" a="1"/>
  <c r="F49" i="113" a="1"/>
  <c r="F51" i="113" a="1"/>
  <c r="F62" i="113" a="1"/>
  <c r="F65" i="113" a="1"/>
  <c r="F59" i="113" a="1"/>
  <c r="F69" i="113" a="1"/>
  <c r="F54" i="113" a="1"/>
  <c r="F63" i="113" a="1"/>
  <c r="F56" i="113" a="1"/>
  <c r="F71" i="113" a="1"/>
  <c r="F48" i="113" a="1"/>
  <c r="F64" i="113" a="1"/>
  <c r="F50" i="113" a="1"/>
  <c r="F67" i="113" a="1"/>
  <c r="F46" i="113" a="1"/>
  <c r="F45" i="113" a="1"/>
  <c r="F58" i="113" a="1"/>
  <c r="F57" i="113" a="1"/>
  <c r="F68" i="113" a="1"/>
  <c r="F70" i="113" a="1"/>
  <c r="F66" i="113" a="1"/>
  <c r="F66" i="113" l="1"/>
  <c r="F70" i="113"/>
  <c r="F68" i="113"/>
  <c r="F57" i="113"/>
  <c r="F58" i="113"/>
  <c r="H45" i="113"/>
  <c r="I45" i="113"/>
  <c r="J45" i="113"/>
  <c r="M45" i="113"/>
  <c r="N45" i="113"/>
  <c r="P45" i="113"/>
  <c r="Q45" i="113"/>
  <c r="L45" i="113"/>
  <c r="G45" i="113"/>
  <c r="R45" i="113"/>
  <c r="O45" i="113"/>
  <c r="K45" i="113"/>
  <c r="F45" i="113"/>
  <c r="F46" i="113"/>
  <c r="F67" i="113"/>
  <c r="F50" i="113"/>
  <c r="F64" i="113"/>
  <c r="F48" i="113"/>
  <c r="F71" i="113"/>
  <c r="F56" i="113"/>
  <c r="F63" i="113"/>
  <c r="F54" i="113"/>
  <c r="F69" i="113"/>
  <c r="F59" i="113"/>
  <c r="F65" i="113"/>
  <c r="F62" i="113"/>
  <c r="F51" i="113"/>
  <c r="F49" i="113"/>
  <c r="F61" i="113"/>
  <c r="F53" i="113"/>
  <c r="F47" i="113"/>
  <c r="F52" i="113"/>
  <c r="F60" i="113"/>
  <c r="F55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<sst xmlns="http://schemas.openxmlformats.org/spreadsheetml/2006/main" count="61" uniqueCount="47">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</sst>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7" fontId="0" fillId="4" borderId="2" xfId="0" applyNumberFormat="1" applyFill="1" applyBorder="1"/>
    <xf numFmtId="167" fontId="0" fillId="4" borderId="2" xfId="0" applyNumberFormat="1" applyFill="1" applyBorder="1" applyAlignment="1">
      <alignment horizontal="center"/>
    </xf>
    <xf numFmtId="0" fontId="0" fillId="8" borderId="2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zoomScale="70" zoomScaleNormal="70" workbookViewId="0">
      <selection activeCell="H40" sqref="H40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7.27</v>
      </c>
      <c r="H1" s="21" t="s">
        <v>32</v>
      </c>
      <c r="I1" s="25">
        <v>44303</v>
      </c>
      <c r="J1" s="26"/>
      <c r="K1" s="26"/>
      <c r="L1" s="27"/>
    </row>
    <row r="2" spans="1:12" x14ac:dyDescent="0.25">
      <c r="A2" t="s">
        <v>21</v>
      </c>
      <c r="H2" s="21" t="s">
        <v>33</v>
      </c>
      <c r="I2" s="28">
        <v>7.27</v>
      </c>
      <c r="J2" s="23"/>
      <c r="K2" s="23"/>
      <c r="L2" s="24"/>
    </row>
    <row r="3" spans="1:12" ht="14.4" x14ac:dyDescent="0.3">
      <c r="A3" s="22" t="s">
        <v>25</v>
      </c>
      <c r="B3" s="52" t="s">
        <v>27</v>
      </c>
      <c r="C3" s="52"/>
      <c r="D3" s="52"/>
      <c r="E3" s="53"/>
      <c r="H3" s="22" t="s">
        <v>25</v>
      </c>
      <c r="I3" s="54" t="s">
        <v>27</v>
      </c>
      <c r="J3" s="54"/>
      <c r="K3" s="54"/>
      <c r="L3" s="54"/>
    </row>
    <row r="4" spans="1:12" ht="14.4" x14ac:dyDescent="0.3">
      <c r="A4" s="22" t="s">
        <v>29</v>
      </c>
      <c r="B4" s="52" t="s">
        <v>30</v>
      </c>
      <c r="C4" s="52"/>
      <c r="D4" s="52"/>
      <c r="E4" s="53"/>
      <c r="H4" s="22" t="s">
        <v>29</v>
      </c>
      <c r="I4" s="55" t="s">
        <v>30</v>
      </c>
      <c r="J4" s="55"/>
      <c r="K4" s="55"/>
      <c r="L4" s="55"/>
    </row>
    <row r="5" spans="1:12" ht="14.4" x14ac:dyDescent="0.3">
      <c r="A5" s="22" t="s">
        <v>34</v>
      </c>
      <c r="B5" s="52" t="s">
        <v>28</v>
      </c>
      <c r="C5" s="52"/>
      <c r="D5" s="52"/>
      <c r="E5" s="53"/>
      <c r="H5" s="22" t="s">
        <v>34</v>
      </c>
      <c r="I5" s="55" t="s">
        <v>28</v>
      </c>
      <c r="J5" s="55"/>
      <c r="K5" s="55"/>
      <c r="L5" s="55"/>
    </row>
    <row r="6" spans="1:12" x14ac:dyDescent="0.25">
      <c r="A6" s="58" t="s">
        <v>26</v>
      </c>
      <c r="B6" s="61" t="s">
        <v>31</v>
      </c>
      <c r="C6" s="62"/>
      <c r="D6" s="62"/>
      <c r="E6" s="63"/>
      <c r="H6" s="70" t="s">
        <v>26</v>
      </c>
      <c r="I6" s="71" t="s">
        <v>31</v>
      </c>
      <c r="J6" s="71"/>
      <c r="K6" s="71"/>
      <c r="L6" s="71"/>
    </row>
    <row r="7" spans="1:12" x14ac:dyDescent="0.25">
      <c r="A7" s="59"/>
      <c r="B7" s="64"/>
      <c r="C7" s="65"/>
      <c r="D7" s="65"/>
      <c r="E7" s="66"/>
      <c r="H7" s="70"/>
      <c r="I7" s="71"/>
      <c r="J7" s="71"/>
      <c r="K7" s="71"/>
      <c r="L7" s="71"/>
    </row>
    <row r="8" spans="1:12" x14ac:dyDescent="0.25">
      <c r="A8" s="60"/>
      <c r="B8" s="67"/>
      <c r="C8" s="68"/>
      <c r="D8" s="68"/>
      <c r="E8" s="69"/>
      <c r="H8" s="70"/>
      <c r="I8" s="71"/>
      <c r="J8" s="71"/>
      <c r="K8" s="71"/>
      <c r="L8" s="71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6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5.6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5.6" x14ac:dyDescent="0.35">
      <c r="B20" s="5" t="s">
        <v>39</v>
      </c>
      <c r="C20" s="2">
        <v>15</v>
      </c>
      <c r="D20" s="5"/>
    </row>
    <row r="21" spans="2:16" ht="15.6" x14ac:dyDescent="0.35">
      <c r="B21" s="5" t="s">
        <v>40</v>
      </c>
      <c r="C21" s="2">
        <v>1</v>
      </c>
      <c r="D21" s="5"/>
    </row>
    <row r="22" spans="2:16" ht="15.6" x14ac:dyDescent="0.35">
      <c r="B22" s="5" t="s">
        <v>41</v>
      </c>
      <c r="C22" s="2">
        <v>120</v>
      </c>
      <c r="D22" s="5"/>
    </row>
    <row r="23" spans="2:16" ht="15.6" x14ac:dyDescent="0.35">
      <c r="B23" s="5" t="s">
        <v>42</v>
      </c>
      <c r="C23" s="2">
        <v>1000</v>
      </c>
      <c r="D23" s="5"/>
    </row>
    <row r="25" spans="2:16" x14ac:dyDescent="0.25">
      <c r="B25" s="56" t="s">
        <v>35</v>
      </c>
      <c r="C25" s="57"/>
      <c r="D25" s="34" t="str" cm="1">
        <f t="array" ref="D25">[1]!encode_json(B26:C28)</f>
        <v>{"show_log":1,"PVT_correlation":1}</v>
      </c>
      <c r="E25" s="18"/>
      <c r="F25" s="18"/>
    </row>
    <row r="26" spans="2:16" x14ac:dyDescent="0.25">
      <c r="B26" s="33" t="s">
        <v>36</v>
      </c>
      <c r="C26" s="33">
        <v>1</v>
      </c>
    </row>
    <row r="27" spans="2:16" x14ac:dyDescent="0.25">
      <c r="B27" s="33" t="s">
        <v>38</v>
      </c>
      <c r="C27" s="33">
        <v>1</v>
      </c>
    </row>
    <row r="28" spans="2:16" x14ac:dyDescent="0.25">
      <c r="B28" s="33"/>
      <c r="C28" s="33"/>
    </row>
    <row r="30" spans="2:16" ht="15" customHeight="1" x14ac:dyDescent="0.25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{"gamma_gas":0.9,"gamma_oil":0.9,"gamma_wat":1.1,"rsb_m3m3":120,"t_res_C":90,"bob_m3m3":1.2,"muob_cP":1,"PVT_corr_set":1}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25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{"gamma_gas":0.9,"gamma_oil":0.9,"gamma_wat":1.1,"rsb_m3m3":120,"t_res_C":90,"bob_m3m3":1.2,"muob_cP":1,"PVT_corr_set":1,"q_liq_sm3day":15,"fw_perc":1,"rp_m3m3":120,"q_gas_free_sm3day":1000}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25">
      <c r="B33" s="9" t="s">
        <v>0</v>
      </c>
      <c r="C33" s="9" t="s">
        <v>4</v>
      </c>
      <c r="D33" t="s">
        <v>44</v>
      </c>
    </row>
    <row r="34" spans="2:27" x14ac:dyDescent="0.25">
      <c r="B34" s="12">
        <v>10</v>
      </c>
      <c r="C34" s="38">
        <v>50</v>
      </c>
      <c r="D34" s="42" t="str" cm="1">
        <f t="array" ref="D34:E35">[1]!PVT_calc(B34,C34,D30,param)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E34" s="46" t="str">
        <v>["CPVT object created "]</v>
      </c>
      <c r="F34" s="44"/>
      <c r="G34" s="45"/>
      <c r="H34" s="44" t="str">
        <f>D34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</row>
    <row r="35" spans="2:27" x14ac:dyDescent="0.25">
      <c r="D35" s="40" t="str">
        <v>json</v>
      </c>
      <c r="E35" s="41" t="str">
        <v>log</v>
      </c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</row>
    <row r="36" spans="2:27" x14ac:dyDescent="0.25"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</row>
    <row r="37" spans="2:27" x14ac:dyDescent="0.25">
      <c r="D37" t="s">
        <v>45</v>
      </c>
    </row>
    <row r="38" spans="2:27" x14ac:dyDescent="0.25">
      <c r="D38" s="42" t="str" cm="1">
        <f t="array" ref="D38:E39">[1]!feed_calc(B34,C34,PVT_stream_,param)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E38" s="46" t="str">
        <v>["CPVT object created "]</v>
      </c>
      <c r="F38" s="44"/>
      <c r="G38" s="45"/>
      <c r="H38" s="44" t="str">
        <f>D38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I38" s="45"/>
      <c r="J38" s="45"/>
      <c r="K38" s="45"/>
      <c r="L38" s="45"/>
      <c r="M38" s="45"/>
      <c r="N38" s="45"/>
      <c r="O38" s="45"/>
      <c r="P38" s="45"/>
      <c r="Q38" s="45"/>
    </row>
    <row r="39" spans="2:27" x14ac:dyDescent="0.25">
      <c r="D39" s="40" t="str">
        <v>json</v>
      </c>
      <c r="E39" s="41" t="str">
        <v>log</v>
      </c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2:27" x14ac:dyDescent="0.25"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</row>
    <row r="43" spans="2:27" x14ac:dyDescent="0.25">
      <c r="B43" t="s">
        <v>46</v>
      </c>
    </row>
    <row r="45" spans="2:27" s="31" customFormat="1" x14ac:dyDescent="0.25">
      <c r="B45" s="32" t="s">
        <v>0</v>
      </c>
      <c r="C45" s="32" t="s">
        <v>4</v>
      </c>
      <c r="D45" s="32" t="str">
        <f>D39</f>
        <v>json</v>
      </c>
      <c r="E45" s="32" t="str">
        <f t="shared" ref="E45" si="0">E39</f>
        <v>log</v>
      </c>
      <c r="F45" s="51" t="str">
        <f t="array" ref="F45:R45">[1]!decode_json(D46,1,,)</f>
        <v>q_mix_rc_m3day</v>
      </c>
      <c r="G45" s="51" t="str">
        <v>q_oil_rc_m3day</v>
      </c>
      <c r="H45" s="51" t="str">
        <v>q_wat_rc_m3day</v>
      </c>
      <c r="I45" s="51" t="str">
        <v>q_gas_rc_m3day</v>
      </c>
      <c r="J45" s="51" t="str">
        <v>gas_fraction_d</v>
      </c>
      <c r="K45" s="51" t="str">
        <v>rho_mix_rc_kgm3</v>
      </c>
      <c r="L45" s="51" t="str">
        <v>mu_mix_cP</v>
      </c>
      <c r="M45" s="51" t="str">
        <v>mo_kgsec</v>
      </c>
      <c r="N45" s="51" t="str">
        <v>mw_kgsec</v>
      </c>
      <c r="O45" s="51" t="str">
        <v>mg_kgsec</v>
      </c>
      <c r="P45" s="51" t="str">
        <v>mg_kgmol</v>
      </c>
      <c r="Q45" s="51" t="str">
        <v>cmix_JkgC</v>
      </c>
      <c r="R45" s="51" t="str">
        <v>cJT_Katm</v>
      </c>
      <c r="S45"/>
      <c r="T45"/>
      <c r="U45"/>
      <c r="V45"/>
      <c r="W45"/>
      <c r="X45"/>
      <c r="Y45"/>
      <c r="Z45"/>
      <c r="AA45"/>
    </row>
    <row r="46" spans="2:27" x14ac:dyDescent="0.25">
      <c r="B46" s="12">
        <v>1</v>
      </c>
      <c r="C46" s="12">
        <v>80</v>
      </c>
      <c r="D46" s="47" t="str">
        <f t="array" ref="D46:E46">[1]!feed_calc(B46,C46,PVT_stream_,param)</f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E46" s="47" t="str">
        <v>["CPVT object created "]</v>
      </c>
      <c r="F46" s="49" cm="1">
        <f t="array" ref="F46:R46">[1]!decode_json(D46,1,,1)</f>
        <v>3361.5815165844901</v>
      </c>
      <c r="G46" s="50">
        <v>15.2954430413188</v>
      </c>
      <c r="H46" s="48">
        <v>0.15454890916583899</v>
      </c>
      <c r="I46" s="50">
        <v>3346.131524634</v>
      </c>
      <c r="J46" s="48">
        <v>0.99540395142159699</v>
      </c>
      <c r="K46" s="29">
        <v>4.9348447791088503</v>
      </c>
      <c r="L46" s="48">
        <v>3.27905425208238E-2</v>
      </c>
      <c r="M46" s="48">
        <v>0.15480496020506199</v>
      </c>
      <c r="N46" s="48">
        <v>1.90972222222222E-3</v>
      </c>
      <c r="O46" s="48">
        <v>3.5286387711604403E-2</v>
      </c>
      <c r="P46" s="48">
        <v>2.6100000000000002E-2</v>
      </c>
      <c r="Q46" s="29">
        <v>2460.7098044877198</v>
      </c>
      <c r="R46" s="48">
        <v>-3.1057306289835499E-2</v>
      </c>
    </row>
    <row r="47" spans="2:27" x14ac:dyDescent="0.25">
      <c r="B47" s="12">
        <v>5</v>
      </c>
      <c r="C47" s="12">
        <v>80</v>
      </c>
      <c r="D47" s="47" t="str">
        <f t="array" ref="D47:E47">[1]!feed_calc(B47,C47,PVT_stream_,param)</f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E47" s="47" t="str">
        <v>["CPVT object created "]</v>
      </c>
      <c r="F47" s="49" cm="1">
        <f t="array" ref="F47:R47">[1]!decode_json(D47,1,,1)</f>
        <v>625.77054412605696</v>
      </c>
      <c r="G47" s="50">
        <v>15.5882016292868</v>
      </c>
      <c r="H47" s="48">
        <v>0.15454233126719399</v>
      </c>
      <c r="I47" s="50">
        <v>610.02780016550298</v>
      </c>
      <c r="J47" s="48">
        <v>0.97484262545061096</v>
      </c>
      <c r="K47" s="29">
        <v>26.510439838935799</v>
      </c>
      <c r="L47" s="48">
        <v>9.7447807050149604E-2</v>
      </c>
      <c r="M47" s="48">
        <v>0.15761441437447701</v>
      </c>
      <c r="N47" s="48">
        <v>1.90972222222222E-3</v>
      </c>
      <c r="O47" s="48">
        <v>3.24769335421893E-2</v>
      </c>
      <c r="P47" s="48">
        <v>2.6100000000000002E-2</v>
      </c>
      <c r="Q47" s="29">
        <v>2466.8847588070798</v>
      </c>
      <c r="R47" s="48">
        <v>-2.46639337740025E-2</v>
      </c>
    </row>
    <row r="48" spans="2:27" x14ac:dyDescent="0.25">
      <c r="B48" s="12">
        <v>10</v>
      </c>
      <c r="C48" s="12">
        <v>80</v>
      </c>
      <c r="D48" s="47" t="str">
        <f t="array" ref="D48:E48">[1]!feed_calc(B48,C48,PVT_stream_,param)</f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E48" s="47" t="str">
        <v>["CPVT object created "]</v>
      </c>
      <c r="F48" s="49" cm="1">
        <f t="array" ref="F48:R48">[1]!decode_json(D48,1,,1)</f>
        <v>304.91473482128202</v>
      </c>
      <c r="G48" s="50">
        <v>15.726164181733999</v>
      </c>
      <c r="H48" s="48">
        <v>0.15453372487914399</v>
      </c>
      <c r="I48" s="50">
        <v>289.03403691466798</v>
      </c>
      <c r="J48" s="48">
        <v>0.94791757795528897</v>
      </c>
      <c r="K48" s="29">
        <v>54.407747432544397</v>
      </c>
      <c r="L48" s="48">
        <v>0.169070535636408</v>
      </c>
      <c r="M48" s="48">
        <v>0.15892968668745899</v>
      </c>
      <c r="N48" s="48">
        <v>1.90972222222222E-3</v>
      </c>
      <c r="O48" s="48">
        <v>3.11616612292074E-2</v>
      </c>
      <c r="P48" s="48">
        <v>2.6100000000000002E-2</v>
      </c>
      <c r="Q48" s="29">
        <v>2467.5305148789098</v>
      </c>
      <c r="R48" s="48">
        <v>-2.2527811984332801E-2</v>
      </c>
    </row>
    <row r="49" spans="2:18" x14ac:dyDescent="0.25">
      <c r="B49" s="12">
        <v>20</v>
      </c>
      <c r="C49" s="12">
        <v>80</v>
      </c>
      <c r="D49" s="47" t="str">
        <f t="array" ref="D49:E49">[1]!feed_calc(B49,C49,PVT_stream_,param)</f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E49" s="47" t="str">
        <v>["CPVT object created "]</v>
      </c>
      <c r="F49" s="49" cm="1">
        <f t="array" ref="F49:R49">[1]!decode_json(D49,1,,1)</f>
        <v>148.72565344095699</v>
      </c>
      <c r="G49" s="50">
        <v>15.913298059296199</v>
      </c>
      <c r="H49" s="48">
        <v>0.154515232053903</v>
      </c>
      <c r="I49" s="50">
        <v>132.65784014960701</v>
      </c>
      <c r="J49" s="48">
        <v>0.89196340429777399</v>
      </c>
      <c r="K49" s="29">
        <v>111.548315314821</v>
      </c>
      <c r="L49" s="48">
        <v>0.29297225635940999</v>
      </c>
      <c r="M49" s="48">
        <v>0.16070849245132701</v>
      </c>
      <c r="N49" s="48">
        <v>1.90972222222222E-3</v>
      </c>
      <c r="O49" s="48">
        <v>2.9382855465339201E-2</v>
      </c>
      <c r="P49" s="48">
        <v>2.6100000000000002E-2</v>
      </c>
      <c r="Q49" s="29">
        <v>2466.17554892505</v>
      </c>
      <c r="R49" s="48">
        <v>-2.2051605084416101E-2</v>
      </c>
    </row>
    <row r="50" spans="2:18" x14ac:dyDescent="0.25">
      <c r="B50" s="12">
        <v>40</v>
      </c>
      <c r="C50" s="12">
        <v>80</v>
      </c>
      <c r="D50" s="47" t="str">
        <f t="array" ref="D50:E50">[1]!feed_calc(B50,C50,PVT_stream_,param)</f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E50" s="47" t="str">
        <v>["CPVT object created "]</v>
      </c>
      <c r="F50" s="49" cm="1">
        <f t="array" ref="F50:R50">[1]!decode_json(D50,1,,1)</f>
        <v>73.213479542929903</v>
      </c>
      <c r="G50" s="50">
        <v>16.18368994419</v>
      </c>
      <c r="H50" s="48">
        <v>0.15447312620685</v>
      </c>
      <c r="I50" s="50">
        <v>56.8753164725331</v>
      </c>
      <c r="J50" s="48">
        <v>0.77684214474717495</v>
      </c>
      <c r="K50" s="29">
        <v>226.606399782333</v>
      </c>
      <c r="L50" s="48">
        <v>0.49115699974089699</v>
      </c>
      <c r="M50" s="48">
        <v>0.163268553654313</v>
      </c>
      <c r="N50" s="48">
        <v>1.90972222222222E-3</v>
      </c>
      <c r="O50" s="48">
        <v>2.6822794262354E-2</v>
      </c>
      <c r="P50" s="48">
        <v>2.6100000000000002E-2</v>
      </c>
      <c r="Q50" s="29">
        <v>2460.33442194499</v>
      </c>
      <c r="R50" s="48">
        <v>-2.51700493303556E-2</v>
      </c>
    </row>
    <row r="51" spans="2:18" x14ac:dyDescent="0.25">
      <c r="B51" s="12">
        <v>60</v>
      </c>
      <c r="C51" s="12">
        <v>80</v>
      </c>
      <c r="D51" s="47" t="str">
        <f t="array" ref="D51:E51">[1]!feed_calc(B51,C51,PVT_stream_,param)</f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E51" s="47" t="str">
        <v>["CPVT object created "]</v>
      </c>
      <c r="F51" s="49" cm="1">
        <f t="array" ref="F51:R51">[1]!decode_json(D51,1,,1)</f>
        <v>49.140785706183301</v>
      </c>
      <c r="G51" s="50">
        <v>16.4067095218163</v>
      </c>
      <c r="H51" s="48">
        <v>0.154424193431037</v>
      </c>
      <c r="I51" s="50">
        <v>32.579651990936</v>
      </c>
      <c r="J51" s="48">
        <v>0.66298598043857704</v>
      </c>
      <c r="K51" s="29">
        <v>337.623893966472</v>
      </c>
      <c r="L51" s="48">
        <v>0.63986540576022999</v>
      </c>
      <c r="M51" s="48">
        <v>0.16536808294522201</v>
      </c>
      <c r="N51" s="48">
        <v>1.90972222222222E-3</v>
      </c>
      <c r="O51" s="48">
        <v>2.47232649714446E-2</v>
      </c>
      <c r="P51" s="48">
        <v>2.6100000000000002E-2</v>
      </c>
      <c r="Q51" s="29">
        <v>2454.4743236802201</v>
      </c>
      <c r="R51" s="48">
        <v>-2.4751760805981401E-2</v>
      </c>
    </row>
    <row r="52" spans="2:18" x14ac:dyDescent="0.25">
      <c r="B52" s="12">
        <v>80</v>
      </c>
      <c r="C52" s="12">
        <v>80</v>
      </c>
      <c r="D52" s="47" t="str">
        <f t="array" ref="D52:E52">[1]!feed_calc(B52,C52,PVT_stream_,param)</f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E52" s="47" t="str">
        <v>["CPVT object created "]</v>
      </c>
      <c r="F52" s="49" cm="1">
        <f t="array" ref="F52:R52">[1]!decode_json(D52,1,,1)</f>
        <v>37.8674027728173</v>
      </c>
      <c r="G52" s="50">
        <v>16.611354803382302</v>
      </c>
      <c r="H52" s="48">
        <v>0.154368433726465</v>
      </c>
      <c r="I52" s="50">
        <v>21.101679535708499</v>
      </c>
      <c r="J52" s="48">
        <v>0.55725183114106103</v>
      </c>
      <c r="K52" s="29">
        <v>438.14819560223299</v>
      </c>
      <c r="L52" s="48">
        <v>0.74388654117689401</v>
      </c>
      <c r="M52" s="48">
        <v>0.167281938218308</v>
      </c>
      <c r="N52" s="48">
        <v>1.90972222222222E-3</v>
      </c>
      <c r="O52" s="48">
        <v>2.28094096983592E-2</v>
      </c>
      <c r="P52" s="48">
        <v>2.6100000000000002E-2</v>
      </c>
      <c r="Q52" s="29">
        <v>2451.8050477910801</v>
      </c>
      <c r="R52" s="48">
        <v>-1.7825077245351002E-2</v>
      </c>
    </row>
    <row r="53" spans="2:18" x14ac:dyDescent="0.25">
      <c r="B53" s="12">
        <v>100</v>
      </c>
      <c r="C53" s="12">
        <v>80</v>
      </c>
      <c r="D53" s="47" t="str">
        <f t="array" ref="D53:E53">[1]!feed_calc(B53,C53,PVT_stream_,param)</f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E53" s="47" t="str">
        <v>["CPVT object created "]</v>
      </c>
      <c r="F53" s="49" cm="1">
        <f t="array" ref="F53:R53">[1]!decode_json(D53,1,,1)</f>
        <v>31.729793902049899</v>
      </c>
      <c r="G53" s="50">
        <v>16.8080308980993</v>
      </c>
      <c r="H53" s="48">
        <v>0.154305847093133</v>
      </c>
      <c r="I53" s="50">
        <v>14.7674571568575</v>
      </c>
      <c r="J53" s="48">
        <v>0.46541295548419698</v>
      </c>
      <c r="K53" s="29">
        <v>522.91409004568095</v>
      </c>
      <c r="L53" s="48">
        <v>0.806389959649775</v>
      </c>
      <c r="M53" s="48">
        <v>0.16910797456291901</v>
      </c>
      <c r="N53" s="48">
        <v>1.90972222222222E-3</v>
      </c>
      <c r="O53" s="48">
        <v>2.09833733537481E-2</v>
      </c>
      <c r="P53" s="48">
        <v>2.6100000000000002E-2</v>
      </c>
      <c r="Q53" s="29">
        <v>2453.80843377372</v>
      </c>
      <c r="R53" s="48">
        <v>-6.8465233166462398E-3</v>
      </c>
    </row>
    <row r="54" spans="2:18" x14ac:dyDescent="0.25">
      <c r="B54" s="12">
        <v>120</v>
      </c>
      <c r="C54" s="12">
        <v>80</v>
      </c>
      <c r="D54" s="47" t="str">
        <f t="array" ref="D54:E54">[1]!feed_calc(B54,C54,PVT_stream_,param)</f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E54" s="47" t="str">
        <v>["CPVT object created "]</v>
      </c>
      <c r="F54" s="49" cm="1">
        <f t="array" ref="F54:R54">[1]!decode_json(D54,1,,1)</f>
        <v>28.093542672495701</v>
      </c>
      <c r="G54" s="50">
        <v>17.0017565557383</v>
      </c>
      <c r="H54" s="48">
        <v>0.15423643353104199</v>
      </c>
      <c r="I54" s="50">
        <v>10.937549683226299</v>
      </c>
      <c r="J54" s="48">
        <v>0.38932610994392203</v>
      </c>
      <c r="K54" s="29">
        <v>590.61188946788604</v>
      </c>
      <c r="L54" s="48">
        <v>0.83488603662008498</v>
      </c>
      <c r="M54" s="48">
        <v>0.17089307985967001</v>
      </c>
      <c r="N54" s="48">
        <v>1.90972222222222E-3</v>
      </c>
      <c r="O54" s="48">
        <v>1.9198268056996998E-2</v>
      </c>
      <c r="P54" s="48">
        <v>2.6100000000000002E-2</v>
      </c>
      <c r="Q54" s="29">
        <v>2460.2525421117198</v>
      </c>
      <c r="R54" s="48">
        <v>4.76776081019974E-3</v>
      </c>
    </row>
    <row r="55" spans="2:18" x14ac:dyDescent="0.25">
      <c r="B55" s="12">
        <v>140</v>
      </c>
      <c r="C55" s="12">
        <v>80</v>
      </c>
      <c r="D55" s="47" t="str">
        <f t="array" ref="D55:E55">[1]!feed_calc(B55,C55,PVT_stream_,param)</f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E55" s="47" t="str">
        <v>["CPVT object created "]</v>
      </c>
      <c r="F55" s="49" cm="1">
        <f t="array" ref="F55:R55">[1]!decode_json(D55,1,,1)</f>
        <v>25.7896296724123</v>
      </c>
      <c r="G55" s="50">
        <v>17.195339843040301</v>
      </c>
      <c r="H55" s="48">
        <v>0.15416019304019099</v>
      </c>
      <c r="I55" s="50">
        <v>8.4401296363318501</v>
      </c>
      <c r="J55" s="48">
        <v>0.327268353347486</v>
      </c>
      <c r="K55" s="29">
        <v>643.39088078155203</v>
      </c>
      <c r="L55" s="48">
        <v>0.83931334686569004</v>
      </c>
      <c r="M55" s="48">
        <v>0.17266338239829701</v>
      </c>
      <c r="N55" s="48">
        <v>1.90972222222222E-3</v>
      </c>
      <c r="O55" s="48">
        <v>1.7427965518369601E-2</v>
      </c>
      <c r="P55" s="48">
        <v>2.6100000000000002E-2</v>
      </c>
      <c r="Q55" s="29">
        <v>2470.0266930017401</v>
      </c>
      <c r="R55" s="48">
        <v>1.49920658862742E-2</v>
      </c>
    </row>
    <row r="56" spans="2:18" x14ac:dyDescent="0.25">
      <c r="B56" s="12">
        <v>160</v>
      </c>
      <c r="C56" s="12">
        <v>80</v>
      </c>
      <c r="D56" s="47" t="str">
        <f t="array" ref="D56:E56">[1]!feed_calc(B56,C56,PVT_stream_,param)</f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E56" s="47" t="str">
        <v>["CPVT object created "]</v>
      </c>
      <c r="F56" s="49" cm="1">
        <f t="array" ref="F56:R56">[1]!decode_json(D56,1,,1)</f>
        <v>24.2341668987882</v>
      </c>
      <c r="G56" s="50">
        <v>17.390495653287498</v>
      </c>
      <c r="H56" s="48">
        <v>0.15407712562058001</v>
      </c>
      <c r="I56" s="50">
        <v>6.6895941198801703</v>
      </c>
      <c r="J56" s="48">
        <v>0.276039780852325</v>
      </c>
      <c r="K56" s="29">
        <v>684.705080693951</v>
      </c>
      <c r="L56" s="48">
        <v>0.82865596296600097</v>
      </c>
      <c r="M56" s="48">
        <v>0.17443485511823401</v>
      </c>
      <c r="N56" s="48">
        <v>1.90972222222222E-3</v>
      </c>
      <c r="O56" s="48">
        <v>1.5656492798433098E-2</v>
      </c>
      <c r="P56" s="48">
        <v>2.6100000000000002E-2</v>
      </c>
      <c r="Q56" s="29">
        <v>2481.8899836831401</v>
      </c>
      <c r="R56" s="48">
        <v>2.3187988140762499E-2</v>
      </c>
    </row>
    <row r="57" spans="2:18" x14ac:dyDescent="0.25">
      <c r="B57" s="12">
        <v>180</v>
      </c>
      <c r="C57" s="12">
        <v>80</v>
      </c>
      <c r="D57" s="47" t="str">
        <f t="array" ref="D57:E57">[1]!feed_calc(B57,C57,PVT_stream_,param)</f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E57" s="47" t="str">
        <v>["CPVT object created "]</v>
      </c>
      <c r="F57" s="49" cm="1">
        <f t="array" ref="F57:R57">[1]!decode_json(D57,1,,1)</f>
        <v>23.118032455433301</v>
      </c>
      <c r="G57" s="50">
        <v>17.5883286813974</v>
      </c>
      <c r="H57" s="48">
        <v>0.15398723127221001</v>
      </c>
      <c r="I57" s="50">
        <v>5.37571654276364</v>
      </c>
      <c r="J57" s="48">
        <v>0.232533480222718</v>
      </c>
      <c r="K57" s="29">
        <v>717.78242087631497</v>
      </c>
      <c r="L57" s="48">
        <v>0.80948617617594598</v>
      </c>
      <c r="M57" s="48">
        <v>0.17621789059337301</v>
      </c>
      <c r="N57" s="48">
        <v>1.90972222222222E-3</v>
      </c>
      <c r="O57" s="48">
        <v>1.38734573232937E-2</v>
      </c>
      <c r="P57" s="48">
        <v>2.6100000000000002E-2</v>
      </c>
      <c r="Q57" s="29">
        <v>2494.81469642504</v>
      </c>
      <c r="R57" s="48">
        <v>2.9449670283319899E-2</v>
      </c>
    </row>
    <row r="58" spans="2:18" x14ac:dyDescent="0.25">
      <c r="B58" s="12">
        <v>200</v>
      </c>
      <c r="C58" s="12">
        <v>80</v>
      </c>
      <c r="D58" s="47" t="str">
        <f t="array" ref="D58:E58">[1]!feed_calc(B58,C58,PVT_stream_,param)</f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E58" s="47" t="str">
        <v>["CPVT object created "]</v>
      </c>
      <c r="F58" s="49" cm="1">
        <f t="array" ref="F58:R58">[1]!decode_json(D58,1,,1)</f>
        <v>22.405774993906501</v>
      </c>
      <c r="G58" s="50">
        <v>17.689548986084201</v>
      </c>
      <c r="H58" s="48">
        <v>0.15389050999508</v>
      </c>
      <c r="I58" s="50">
        <v>4.5623354978271902</v>
      </c>
      <c r="J58" s="48">
        <v>0.20362319531763501</v>
      </c>
      <c r="K58" s="29">
        <v>740.61022020245696</v>
      </c>
      <c r="L58" s="48">
        <v>0.80412098647823405</v>
      </c>
      <c r="M58" s="48">
        <v>0.17736530624999999</v>
      </c>
      <c r="N58" s="48">
        <v>1.90972222222222E-3</v>
      </c>
      <c r="O58" s="48">
        <v>1.27260416666667E-2</v>
      </c>
      <c r="P58" s="48">
        <v>2.6100000000000002E-2</v>
      </c>
      <c r="Q58" s="29">
        <v>2504.2881567785298</v>
      </c>
      <c r="R58" s="48">
        <v>3.3415214031424903E-2</v>
      </c>
    </row>
    <row r="59" spans="2:18" x14ac:dyDescent="0.25">
      <c r="B59" s="12">
        <v>220</v>
      </c>
      <c r="C59" s="12">
        <v>80</v>
      </c>
      <c r="D59" s="47" t="str">
        <f t="array" ref="D59:E59">[1]!feed_calc(B59,C59,PVT_stream_,param)</f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E59" s="47" t="str">
        <v>["CPVT object created "]</v>
      </c>
      <c r="F59" s="49" cm="1">
        <f t="array" ref="F59:R59">[1]!decode_json(D59,1,,1)</f>
        <v>22.061752920403599</v>
      </c>
      <c r="G59" s="50">
        <v>17.624816772664801</v>
      </c>
      <c r="H59" s="48">
        <v>0.15378696178919099</v>
      </c>
      <c r="I59" s="50">
        <v>4.2831491859495499</v>
      </c>
      <c r="J59" s="48">
        <v>0.19414364766946199</v>
      </c>
      <c r="K59" s="29">
        <v>752.15123680949705</v>
      </c>
      <c r="L59" s="48">
        <v>0.82834359237001998</v>
      </c>
      <c r="M59" s="48">
        <v>0.17736530624999999</v>
      </c>
      <c r="N59" s="48">
        <v>1.90972222222222E-3</v>
      </c>
      <c r="O59" s="48">
        <v>1.27260416666667E-2</v>
      </c>
      <c r="P59" s="48">
        <v>2.6100000000000002E-2</v>
      </c>
      <c r="Q59" s="29">
        <v>2507.4427271263398</v>
      </c>
      <c r="R59" s="48">
        <v>3.5349589038920298E-2</v>
      </c>
    </row>
    <row r="60" spans="2:18" x14ac:dyDescent="0.25">
      <c r="B60" s="12">
        <v>240</v>
      </c>
      <c r="C60" s="12">
        <v>80</v>
      </c>
      <c r="D60" s="47" t="str">
        <f t="array" ref="D60:E60">[1]!feed_calc(B60,C60,PVT_stream_,param)</f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E60" s="47" t="str">
        <v>["CPVT object created "]</v>
      </c>
      <c r="F60" s="49" cm="1">
        <f t="array" ref="F60:R60">[1]!decode_json(D60,1,,1)</f>
        <v>21.789263549575502</v>
      </c>
      <c r="G60" s="50">
        <v>17.571054246540999</v>
      </c>
      <c r="H60" s="48">
        <v>0.15367658665454201</v>
      </c>
      <c r="I60" s="50">
        <v>4.0645327163799596</v>
      </c>
      <c r="J60" s="48">
        <v>0.18653832458046299</v>
      </c>
      <c r="K60" s="29">
        <v>761.55134944353301</v>
      </c>
      <c r="L60" s="48">
        <v>0.85096940150244404</v>
      </c>
      <c r="M60" s="48">
        <v>0.17736530624999999</v>
      </c>
      <c r="N60" s="48">
        <v>1.90972222222222E-3</v>
      </c>
      <c r="O60" s="48">
        <v>1.27260416666667E-2</v>
      </c>
      <c r="P60" s="48">
        <v>2.6100000000000002E-2</v>
      </c>
      <c r="Q60" s="29">
        <v>2510.95365849164</v>
      </c>
      <c r="R60" s="48">
        <v>3.6867369531677997E-2</v>
      </c>
    </row>
    <row r="61" spans="2:18" x14ac:dyDescent="0.25">
      <c r="B61" s="12">
        <v>260</v>
      </c>
      <c r="C61" s="12">
        <v>80</v>
      </c>
      <c r="D61" s="47" t="str">
        <f t="array" ref="D61:E61">[1]!feed_calc(B61,C61,PVT_stream_,param)</f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E61" s="47" t="str">
        <v>["CPVT object created "]</v>
      </c>
      <c r="F61" s="49" cm="1">
        <f t="array" ref="F61:R61">[1]!decode_json(D61,1,,1)</f>
        <v>21.567680820944801</v>
      </c>
      <c r="G61" s="50">
        <v>17.525690990320399</v>
      </c>
      <c r="H61" s="48">
        <v>0.153559384591134</v>
      </c>
      <c r="I61" s="50">
        <v>3.8884304460332499</v>
      </c>
      <c r="J61" s="48">
        <v>0.18028968799728901</v>
      </c>
      <c r="K61" s="29">
        <v>769.37069620695797</v>
      </c>
      <c r="L61" s="48">
        <v>0.87243994041909301</v>
      </c>
      <c r="M61" s="48">
        <v>0.17736530624999999</v>
      </c>
      <c r="N61" s="48">
        <v>1.90972222222222E-3</v>
      </c>
      <c r="O61" s="48">
        <v>1.27260416666667E-2</v>
      </c>
      <c r="P61" s="48">
        <v>2.6100000000000002E-2</v>
      </c>
      <c r="Q61" s="29">
        <v>2514.7088088314899</v>
      </c>
      <c r="R61" s="48">
        <v>3.8061144010786301E-2</v>
      </c>
    </row>
    <row r="62" spans="2:18" x14ac:dyDescent="0.25">
      <c r="B62" s="12">
        <v>280</v>
      </c>
      <c r="C62" s="12">
        <v>80</v>
      </c>
      <c r="D62" s="47" t="str">
        <f t="array" ref="D62:E62">[1]!feed_calc(B62,C62,PVT_stream_,param)</f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E62" s="47" t="str">
        <v>["CPVT object created "]</v>
      </c>
      <c r="F62" s="49" cm="1">
        <f t="array" ref="F62:R62">[1]!decode_json(D62,1,,1)</f>
        <v>21.383592920917501</v>
      </c>
      <c r="G62" s="50">
        <v>17.486901424313999</v>
      </c>
      <c r="H62" s="48">
        <v>0.15343535559896501</v>
      </c>
      <c r="I62" s="50">
        <v>3.74325614100451</v>
      </c>
      <c r="J62" s="48">
        <v>0.175052721722122</v>
      </c>
      <c r="K62" s="29">
        <v>775.99045309319797</v>
      </c>
      <c r="L62" s="48">
        <v>0.89305036272466398</v>
      </c>
      <c r="M62" s="48">
        <v>0.17736530624999999</v>
      </c>
      <c r="N62" s="48">
        <v>1.90972222222222E-3</v>
      </c>
      <c r="O62" s="48">
        <v>1.27260416666667E-2</v>
      </c>
      <c r="P62" s="48">
        <v>2.6100000000000002E-2</v>
      </c>
      <c r="Q62" s="29">
        <v>2518.6348507242901</v>
      </c>
      <c r="R62" s="48">
        <v>3.9006529019480297E-2</v>
      </c>
    </row>
    <row r="63" spans="2:18" x14ac:dyDescent="0.25">
      <c r="B63" s="12">
        <v>300</v>
      </c>
      <c r="C63" s="12">
        <v>80</v>
      </c>
      <c r="D63" s="47" t="str">
        <f t="array" ref="D63:E63">[1]!feed_calc(B63,C63,PVT_stream_,param)</f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E63" s="47" t="str">
        <v>["CPVT object created "]</v>
      </c>
      <c r="F63" s="49" cm="1">
        <f t="array" ref="F63:R63">[1]!decode_json(D63,1,,1)</f>
        <v>21.2279857631734</v>
      </c>
      <c r="G63" s="50">
        <v>17.453353252689599</v>
      </c>
      <c r="H63" s="48">
        <v>0.153304499678038</v>
      </c>
      <c r="I63" s="50">
        <v>3.6213280108057102</v>
      </c>
      <c r="J63" s="48">
        <v>0.17059216315699799</v>
      </c>
      <c r="K63" s="29">
        <v>781.67593042385795</v>
      </c>
      <c r="L63" s="48">
        <v>0.91300168651118596</v>
      </c>
      <c r="M63" s="48">
        <v>0.17736530624999999</v>
      </c>
      <c r="N63" s="48">
        <v>1.90972222222222E-3</v>
      </c>
      <c r="O63" s="48">
        <v>1.27260416666667E-2</v>
      </c>
      <c r="P63" s="48">
        <v>2.6100000000000002E-2</v>
      </c>
      <c r="Q63" s="29">
        <v>2522.6843097772999</v>
      </c>
      <c r="R63" s="48">
        <v>3.9762363792221901E-2</v>
      </c>
    </row>
    <row r="64" spans="2:18" x14ac:dyDescent="0.25">
      <c r="B64" s="12">
        <v>320</v>
      </c>
      <c r="C64" s="12">
        <v>80</v>
      </c>
      <c r="D64" s="47" t="str">
        <f t="array" ref="D64:E64">[1]!feed_calc(B64,C64,PVT_stream_,param)</f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E64" s="47" t="str">
        <v>["CPVT object created "]</v>
      </c>
      <c r="F64" s="49" cm="1">
        <f t="array" ref="F64:R64">[1]!decode_json(D64,1,,1)</f>
        <v>21.094597618450599</v>
      </c>
      <c r="G64" s="50">
        <v>17.424051403125102</v>
      </c>
      <c r="H64" s="48">
        <v>0.15316681682835001</v>
      </c>
      <c r="I64" s="50">
        <v>3.5173793984972201</v>
      </c>
      <c r="J64" s="48">
        <v>0.166743137845905</v>
      </c>
      <c r="K64" s="29">
        <v>786.61670837860402</v>
      </c>
      <c r="L64" s="48">
        <v>0.93243421231703105</v>
      </c>
      <c r="M64" s="48">
        <v>0.17736530624999999</v>
      </c>
      <c r="N64" s="48">
        <v>1.90972222222222E-3</v>
      </c>
      <c r="O64" s="48">
        <v>1.27260416666667E-2</v>
      </c>
      <c r="P64" s="48">
        <v>2.6100000000000002E-2</v>
      </c>
      <c r="Q64" s="29">
        <v>2526.82645442493</v>
      </c>
      <c r="R64" s="48">
        <v>4.0373293488927799E-2</v>
      </c>
    </row>
    <row r="65" spans="2:22" x14ac:dyDescent="0.25">
      <c r="B65" s="12">
        <v>340</v>
      </c>
      <c r="C65" s="12">
        <v>80</v>
      </c>
      <c r="D65" s="47" t="str">
        <f t="array" ref="D65:E65">[1]!feed_calc(B65,C65,PVT_stream_,param)</f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E65" s="47" t="str">
        <v>["CPVT object created "]</v>
      </c>
      <c r="F65" s="49" cm="1">
        <f t="array" ref="F65:R65">[1]!decode_json(D65,1,,1)</f>
        <v>20.978937299646802</v>
      </c>
      <c r="G65" s="50">
        <v>17.3982376857305</v>
      </c>
      <c r="H65" s="48">
        <v>0.15302230704990299</v>
      </c>
      <c r="I65" s="50">
        <v>3.4276773068663302</v>
      </c>
      <c r="J65" s="48">
        <v>0.163386603330191</v>
      </c>
      <c r="K65" s="29">
        <v>790.95206213691199</v>
      </c>
      <c r="L65" s="48">
        <v>0.95144869010797695</v>
      </c>
      <c r="M65" s="48">
        <v>0.17736530624999999</v>
      </c>
      <c r="N65" s="48">
        <v>1.90972222222222E-3</v>
      </c>
      <c r="O65" s="48">
        <v>1.27260416666667E-2</v>
      </c>
      <c r="P65" s="48">
        <v>2.6100000000000002E-2</v>
      </c>
      <c r="Q65" s="29">
        <v>2531.0411415987201</v>
      </c>
      <c r="R65" s="48">
        <v>4.08727615844168E-2</v>
      </c>
    </row>
    <row r="66" spans="2:22" x14ac:dyDescent="0.25">
      <c r="B66" s="12">
        <v>360</v>
      </c>
      <c r="C66" s="12">
        <v>80</v>
      </c>
      <c r="D66" s="47" t="str">
        <f t="array" ref="D66:E66">[1]!feed_calc(B66,C66,PVT_stream_,param)</f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E66" s="47" t="str">
        <v>["CPVT object created "]</v>
      </c>
      <c r="F66" s="49" cm="1">
        <f t="array" ref="F66:R66">[1]!decode_json(D66,1,,1)</f>
        <v>20.877685048806999</v>
      </c>
      <c r="G66" s="50">
        <v>17.375324266154902</v>
      </c>
      <c r="H66" s="48">
        <v>0.152870970342697</v>
      </c>
      <c r="I66" s="50">
        <v>3.3494898123093799</v>
      </c>
      <c r="J66" s="48">
        <v>0.160433965953557</v>
      </c>
      <c r="K66" s="29">
        <v>794.78715716513102</v>
      </c>
      <c r="L66" s="48">
        <v>0.97011972841177196</v>
      </c>
      <c r="M66" s="48">
        <v>0.17736530624999999</v>
      </c>
      <c r="N66" s="48">
        <v>1.90972222222222E-3</v>
      </c>
      <c r="O66" s="48">
        <v>1.27260416666667E-2</v>
      </c>
      <c r="P66" s="48">
        <v>2.6100000000000002E-2</v>
      </c>
      <c r="Q66" s="29">
        <v>2535.31475898187</v>
      </c>
      <c r="R66" s="48">
        <v>4.12856781987389E-2</v>
      </c>
    </row>
    <row r="67" spans="2:22" x14ac:dyDescent="0.25">
      <c r="B67" s="12">
        <v>380</v>
      </c>
      <c r="C67" s="12">
        <v>80</v>
      </c>
      <c r="D67" s="47" t="str">
        <f t="array" ref="D67:E67">[1]!feed_calc(B67,C67,PVT_stream_,param)</f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E67" s="47" t="str">
        <v>["CPVT object created "]</v>
      </c>
      <c r="F67" s="49" cm="1">
        <f t="array" ref="F67:R67">[1]!decode_json(D67,1,,1)</f>
        <v>20.7883183322535</v>
      </c>
      <c r="G67" s="50">
        <v>17.354848365971801</v>
      </c>
      <c r="H67" s="48">
        <v>0.15271280670673101</v>
      </c>
      <c r="I67" s="50">
        <v>3.28075715957501</v>
      </c>
      <c r="J67" s="48">
        <v>0.15781734275662199</v>
      </c>
      <c r="K67" s="29">
        <v>798.203486317895</v>
      </c>
      <c r="L67" s="48">
        <v>0.98850434305563695</v>
      </c>
      <c r="M67" s="48">
        <v>0.17736530624999999</v>
      </c>
      <c r="N67" s="48">
        <v>1.90972222222222E-3</v>
      </c>
      <c r="O67" s="48">
        <v>1.27260416666667E-2</v>
      </c>
      <c r="P67" s="48">
        <v>2.6100000000000002E-2</v>
      </c>
      <c r="Q67" s="29">
        <v>2539.6375938875899</v>
      </c>
      <c r="R67" s="48">
        <v>4.1630572096575398E-2</v>
      </c>
    </row>
    <row r="68" spans="2:22" x14ac:dyDescent="0.25">
      <c r="B68" s="12">
        <v>400</v>
      </c>
      <c r="C68" s="12">
        <v>80</v>
      </c>
      <c r="D68" s="47" t="str">
        <f t="array" ref="D68:E68">[1]!feed_calc(B68,C68,PVT_stream_,param)</f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E68" s="47" t="str">
        <v>["CPVT object created "]</v>
      </c>
      <c r="F68" s="49" cm="1">
        <f t="array" ref="F68:R68">[1]!decode_json(D68,1,,1)</f>
        <v>20.7088724621408</v>
      </c>
      <c r="G68" s="50">
        <v>17.336440687566601</v>
      </c>
      <c r="H68" s="48">
        <v>0.15254781614200499</v>
      </c>
      <c r="I68" s="50">
        <v>3.2198839584322201</v>
      </c>
      <c r="J68" s="48">
        <v>0.15548330621663201</v>
      </c>
      <c r="K68" s="29">
        <v>801.26570217167102</v>
      </c>
      <c r="L68" s="48">
        <v>1.00664746306526</v>
      </c>
      <c r="M68" s="48">
        <v>0.17736530624999999</v>
      </c>
      <c r="N68" s="48">
        <v>1.90972222222222E-3</v>
      </c>
      <c r="O68" s="48">
        <v>1.27260416666667E-2</v>
      </c>
      <c r="P68" s="48">
        <v>2.6100000000000002E-2</v>
      </c>
      <c r="Q68" s="29">
        <v>2544.00215109174</v>
      </c>
      <c r="R68" s="48">
        <v>4.1921244988329297E-2</v>
      </c>
    </row>
    <row r="69" spans="2:22" x14ac:dyDescent="0.25">
      <c r="B69" s="12">
        <v>420</v>
      </c>
      <c r="C69" s="12">
        <v>80</v>
      </c>
      <c r="D69" s="47" t="str">
        <f t="array" ref="D69:E69">[1]!feed_calc(B69,C69,PVT_stream_,param)</f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E69" s="47" t="str">
        <v>["CPVT object created "]</v>
      </c>
      <c r="F69" s="49" cm="1">
        <f t="array" ref="F69:R69">[1]!decode_json(D69,1,,1)</f>
        <v>20.637783738080401</v>
      </c>
      <c r="G69" s="50">
        <v>17.319802945684401</v>
      </c>
      <c r="H69" s="48">
        <v>0.15237599864852</v>
      </c>
      <c r="I69" s="50">
        <v>3.16560479374751</v>
      </c>
      <c r="J69" s="48">
        <v>0.15338879571193501</v>
      </c>
      <c r="K69" s="29">
        <v>804.02617161307796</v>
      </c>
      <c r="L69" s="48">
        <v>1.0245855211813499</v>
      </c>
      <c r="M69" s="48">
        <v>0.17736530624999999</v>
      </c>
      <c r="N69" s="48">
        <v>1.90972222222222E-3</v>
      </c>
      <c r="O69" s="48">
        <v>1.27260416666667E-2</v>
      </c>
      <c r="P69" s="48">
        <v>2.6100000000000002E-2</v>
      </c>
      <c r="Q69" s="29">
        <v>2548.4020943965902</v>
      </c>
      <c r="R69" s="48">
        <v>4.2168012847920502E-2</v>
      </c>
    </row>
    <row r="70" spans="2:22" x14ac:dyDescent="0.25">
      <c r="B70" s="12">
        <v>440</v>
      </c>
      <c r="C70" s="12">
        <v>80</v>
      </c>
      <c r="D70" s="47" t="str">
        <f t="array" ref="D70:E70">[1]!feed_calc(B70,C70,PVT_stream_,param)</f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E70" s="47" t="str">
        <v>["CPVT object created "]</v>
      </c>
      <c r="F70" s="49" cm="1">
        <f t="array" ref="F70:R70">[1]!decode_json(D70,1,,1)</f>
        <v>20.573784187363099</v>
      </c>
      <c r="G70" s="50">
        <v>17.3046915820312</v>
      </c>
      <c r="H70" s="48">
        <v>0.15219735422627501</v>
      </c>
      <c r="I70" s="50">
        <v>3.11689525110565</v>
      </c>
      <c r="J70" s="48">
        <v>0.151498393427307</v>
      </c>
      <c r="K70" s="29">
        <v>806.52807216053895</v>
      </c>
      <c r="L70" s="48">
        <v>1.0423488271991099</v>
      </c>
      <c r="M70" s="48">
        <v>0.17736530624999999</v>
      </c>
      <c r="N70" s="48">
        <v>1.90972222222222E-3</v>
      </c>
      <c r="O70" s="48">
        <v>1.27260416666667E-2</v>
      </c>
      <c r="P70" s="48">
        <v>2.6100000000000002E-2</v>
      </c>
      <c r="Q70" s="29">
        <v>2552.8315960364398</v>
      </c>
      <c r="R70" s="48">
        <v>4.2378626662980597E-2</v>
      </c>
    </row>
    <row r="71" spans="2:22" x14ac:dyDescent="0.25">
      <c r="B71" s="12">
        <v>460</v>
      </c>
      <c r="C71" s="12">
        <v>80</v>
      </c>
      <c r="D71" s="47" t="str">
        <f t="array" ref="D71:E71">[1]!feed_calc(B71,C71,PVT_stream_,param)</f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E71" s="47" t="str">
        <v>["CPVT object created "]</v>
      </c>
      <c r="F71" s="49" cm="1">
        <f t="array" ref="F71:R71">[1]!decode_json(D71,1,,1)</f>
        <v>20.5158292788763</v>
      </c>
      <c r="G71" s="50">
        <v>17.290905764939499</v>
      </c>
      <c r="H71" s="48">
        <v>0.15201188287527101</v>
      </c>
      <c r="I71" s="50">
        <v>3.0729116310616198</v>
      </c>
      <c r="J71" s="48">
        <v>0.149782472318853</v>
      </c>
      <c r="K71" s="29">
        <v>808.80753990126902</v>
      </c>
      <c r="L71" s="48">
        <v>1.0599631583231801</v>
      </c>
      <c r="M71" s="48">
        <v>0.17736530624999999</v>
      </c>
      <c r="N71" s="48">
        <v>1.90972222222222E-3</v>
      </c>
      <c r="O71" s="48">
        <v>1.27260416666667E-2</v>
      </c>
      <c r="P71" s="48">
        <v>2.6100000000000002E-2</v>
      </c>
      <c r="Q71" s="29">
        <v>2557.28495259908</v>
      </c>
      <c r="R71" s="48">
        <v>4.2558952547151502E-2</v>
      </c>
    </row>
    <row r="76" spans="2:22" x14ac:dyDescent="0.25">
      <c r="B76" t="s">
        <v>37</v>
      </c>
    </row>
    <row r="78" spans="2:22" ht="13.8" x14ac:dyDescent="0.2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5">
      <c r="O108">
        <f>O106</f>
        <v>0</v>
      </c>
    </row>
    <row r="163" spans="11:11" x14ac:dyDescent="0.25">
      <c r="K163" t="s">
        <v>5</v>
      </c>
    </row>
    <row r="174" spans="11:11" x14ac:dyDescent="0.25">
      <c r="K174" s="3"/>
    </row>
  </sheetData>
  <dataConsolidate/>
  <mergeCells count="11">
    <mergeCell ref="B25:C25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2021-04-17T05:51:23Z</dcterms:modified>
</cp:coreProperties>
</file>