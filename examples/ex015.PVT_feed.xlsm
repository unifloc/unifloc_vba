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EA806746-2BFC-40C1-A2ED-0A0E1E93A3C0}" xr6:coauthVersionLast="47" xr6:coauthVersionMax="47" xr10:uidLastSave="{00000000-0000-0000-0000-000000000000}"/>
  <bookViews>
    <workbookView xWindow="-98" yWindow="-98" windowWidth="19396" windowHeight="10395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exercise_PVT!$B$79:$C$104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exercise_PVT!$D$79:$P$104</definedName>
    <definedName name="param">exercise_PVT!$D$25</definedName>
    <definedName name="Pb_" localSheetId="0">exercise_PVT!$C$15</definedName>
    <definedName name="PVT_str_" localSheetId="0">exercise_PVT!$D$30</definedName>
    <definedName name="PVT_stream_">exercise_PVT!$D$31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8" i="113" l="1"/>
  <c r="G1" i="113"/>
  <c r="D25" i="113" a="1"/>
  <c r="D30" i="113"/>
  <c r="D25" i="113" l="1"/>
  <c r="E16" i="113"/>
  <c r="E15" i="113"/>
  <c r="E14" i="113"/>
  <c r="E13" i="113"/>
  <c r="E12" i="113"/>
  <c r="E11" i="113"/>
  <c r="D34" i="113" a="1"/>
  <c r="D31" i="113" a="1"/>
  <c r="D31" i="113" l="1"/>
  <c r="D34" i="113"/>
  <c r="H34" i="113" s="1"/>
  <c r="D69" i="113" a="1"/>
  <c r="D57" i="113" a="1"/>
  <c r="D61" i="113" a="1"/>
  <c r="D71" i="113" a="1"/>
  <c r="D62" i="113" a="1"/>
  <c r="D66" i="113" a="1"/>
  <c r="D52" i="113" a="1"/>
  <c r="D49" i="113" a="1"/>
  <c r="D53" i="113" a="1"/>
  <c r="D58" i="113" a="1"/>
  <c r="D55" i="113" a="1"/>
  <c r="D59" i="113" a="1"/>
  <c r="D67" i="113" a="1"/>
  <c r="D68" i="113" a="1"/>
  <c r="D70" i="113" a="1"/>
  <c r="D51" i="113" a="1"/>
  <c r="D47" i="113" a="1"/>
  <c r="D63" i="113" a="1"/>
  <c r="D60" i="113" a="1"/>
  <c r="D56" i="113" a="1"/>
  <c r="D38" i="113" a="1"/>
  <c r="D65" i="113" a="1"/>
  <c r="D48" i="113" a="1"/>
  <c r="D50" i="113" a="1"/>
  <c r="D54" i="113" a="1"/>
  <c r="D46" i="113" a="1"/>
  <c r="D64" i="113" a="1"/>
  <c r="D38" i="113" l="1"/>
  <c r="H38" i="113" s="1"/>
  <c r="E45" i="113"/>
  <c r="D45" i="113"/>
  <c r="D46" i="113"/>
  <c r="E46" i="113"/>
  <c r="E61" i="113"/>
  <c r="D61" i="113"/>
  <c r="E49" i="113"/>
  <c r="D49" i="113"/>
  <c r="D51" i="113"/>
  <c r="E51" i="113"/>
  <c r="D50" i="113"/>
  <c r="E50" i="113"/>
  <c r="D55" i="113"/>
  <c r="E55" i="113"/>
  <c r="D58" i="113"/>
  <c r="E58" i="113"/>
  <c r="D70" i="113"/>
  <c r="E70" i="113"/>
  <c r="D65" i="113"/>
  <c r="E65" i="113"/>
  <c r="D69" i="113"/>
  <c r="E69" i="113"/>
  <c r="D63" i="113"/>
  <c r="E63" i="113"/>
  <c r="D60" i="113"/>
  <c r="E60" i="113"/>
  <c r="D57" i="113"/>
  <c r="E57" i="113"/>
  <c r="D53" i="113"/>
  <c r="E53" i="113"/>
  <c r="D48" i="113"/>
  <c r="E48" i="113"/>
  <c r="D64" i="113"/>
  <c r="E64" i="113"/>
  <c r="D66" i="113"/>
  <c r="E66" i="113"/>
  <c r="D52" i="113"/>
  <c r="E52" i="113"/>
  <c r="E68" i="113"/>
  <c r="D68" i="113"/>
  <c r="D71" i="113"/>
  <c r="E71" i="113"/>
  <c r="E59" i="113"/>
  <c r="D59" i="113"/>
  <c r="D54" i="113"/>
  <c r="E54" i="113"/>
  <c r="D67" i="113"/>
  <c r="E67" i="113"/>
  <c r="D47" i="113"/>
  <c r="E47" i="113"/>
  <c r="E56" i="113"/>
  <c r="D56" i="113"/>
  <c r="D62" i="113"/>
  <c r="E62" i="113"/>
  <c r="F45" i="113" a="1"/>
  <c r="F46" i="113" a="1"/>
  <c r="F53" i="113" a="1"/>
  <c r="F57" i="113" a="1"/>
  <c r="F60" i="113" a="1"/>
  <c r="F52" i="113" a="1"/>
  <c r="F68" i="113" a="1"/>
  <c r="F47" i="113" a="1"/>
  <c r="F55" i="113" a="1"/>
  <c r="F50" i="113" a="1"/>
  <c r="F58" i="113" a="1"/>
  <c r="F71" i="113" a="1"/>
  <c r="F64" i="113" a="1"/>
  <c r="F61" i="113" a="1"/>
  <c r="F67" i="113" a="1"/>
  <c r="F49" i="113" a="1"/>
  <c r="F66" i="113" a="1"/>
  <c r="F62" i="113" a="1"/>
  <c r="F69" i="113" a="1"/>
  <c r="F70" i="113" a="1"/>
  <c r="F63" i="113" a="1"/>
  <c r="F59" i="113" a="1"/>
  <c r="F51" i="113" a="1"/>
  <c r="F65" i="113" a="1"/>
  <c r="F54" i="113" a="1"/>
  <c r="F56" i="113" a="1"/>
  <c r="F48" i="113" a="1"/>
  <c r="F66" i="113" l="1"/>
  <c r="F70" i="113"/>
  <c r="F68" i="113"/>
  <c r="F57" i="113"/>
  <c r="F58" i="113"/>
  <c r="H45" i="113"/>
  <c r="I45" i="113"/>
  <c r="J45" i="113"/>
  <c r="M45" i="113"/>
  <c r="N45" i="113"/>
  <c r="P45" i="113"/>
  <c r="Q45" i="113"/>
  <c r="L45" i="113"/>
  <c r="G45" i="113"/>
  <c r="R45" i="113"/>
  <c r="O45" i="113"/>
  <c r="K45" i="113"/>
  <c r="F45" i="113"/>
  <c r="F46" i="113"/>
  <c r="F67" i="113"/>
  <c r="F50" i="113"/>
  <c r="F64" i="113"/>
  <c r="F48" i="113"/>
  <c r="F71" i="113"/>
  <c r="F56" i="113"/>
  <c r="F63" i="113"/>
  <c r="F54" i="113"/>
  <c r="F69" i="113"/>
  <c r="F59" i="113"/>
  <c r="F65" i="113"/>
  <c r="F62" i="113"/>
  <c r="F51" i="113"/>
  <c r="F49" i="113"/>
  <c r="F61" i="113"/>
  <c r="F53" i="113"/>
  <c r="F47" i="113"/>
  <c r="F52" i="113"/>
  <c r="F60" i="113"/>
  <c r="F55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<sst xmlns="http://schemas.openxmlformats.org/spreadsheetml/2006/main" count="61" uniqueCount="47">
  <si>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</si>
  <si>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</si>
  <si>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</si>
  <si>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</si>
  <si>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</si>
  <si>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</si>
  <si>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</si>
  <si>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</si>
  <si>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</si>
  <si>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</si>
  <si>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</si>
  <si>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</si>
  <si>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</si>
  <si>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</si>
  <si>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</si>
  <si>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</si>
  <si>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</si>
  <si>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</si>
  <si>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</si>
  <si>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</si>
  <si>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</si>
  <si>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</si>
  <si>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</si>
  <si>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</si>
  <si>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</si>
  <si>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</si>
  <si>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</si>
  <si>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</si>
  <si>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</si>
  <si>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</si>
  <si>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</si>
  <si>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</si>
  <si>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</si>
  <si>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</si>
  <si>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</si>
  <si>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</si>
  <si>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</si>
  <si>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свойств флюида с использованием отдельных функций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</si>
  <si>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</si>
  <si>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</si>
  <si>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</si>
  <si>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</si>
  <si>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</si>
  <si>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</si>
  <si>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Параметры флюида</t>
  </si>
  <si>
    <t>Параметры потока флюидов</t>
  </si>
  <si>
    <t>Расчет параметров флюида с использованием функции feed_calc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</si>
</sst>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1" fontId="14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4" fillId="4" borderId="2" xfId="0" applyNumberFormat="1" applyFont="1" applyFill="1" applyBorder="1" applyAlignment="1">
      <alignment horizontal="left"/>
    </xf>
    <xf numFmtId="0" fontId="15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4" borderId="0" xfId="0" applyFill="1" applyBorder="1"/>
    <xf numFmtId="0" fontId="0" fillId="4" borderId="13" xfId="0" applyFill="1" applyBorder="1"/>
    <xf numFmtId="0" fontId="0" fillId="4" borderId="15" xfId="0" applyFill="1" applyBorder="1"/>
    <xf numFmtId="1" fontId="0" fillId="4" borderId="8" xfId="0" applyNumberFormat="1" applyFill="1" applyBorder="1"/>
    <xf numFmtId="0" fontId="0" fillId="4" borderId="0" xfId="0" applyFill="1"/>
    <xf numFmtId="1" fontId="0" fillId="0" borderId="0" xfId="0" applyNumberFormat="1" applyFill="1" applyBorder="1"/>
    <xf numFmtId="0" fontId="0" fillId="0" borderId="0" xfId="0" applyFill="1" applyBorder="1"/>
    <xf numFmtId="1" fontId="0" fillId="4" borderId="11" xfId="0" applyNumberFormat="1" applyFill="1" applyBorder="1"/>
    <xf numFmtId="1" fontId="0" fillId="7" borderId="2" xfId="0" applyNumberFormat="1" applyFill="1" applyBorder="1" applyAlignment="1">
      <alignment horizontal="left"/>
    </xf>
    <xf numFmtId="2" fontId="0" fillId="4" borderId="2" xfId="0" applyNumberFormat="1" applyFill="1" applyBorder="1" applyAlignment="1">
      <alignment horizontal="center"/>
    </xf>
    <xf numFmtId="167" fontId="0" fillId="4" borderId="2" xfId="0" applyNumberFormat="1" applyFill="1" applyBorder="1"/>
    <xf numFmtId="167" fontId="0" fillId="4" borderId="2" xfId="0" applyNumberFormat="1" applyFill="1" applyBorder="1" applyAlignment="1">
      <alignment horizontal="center"/>
    </xf>
    <xf numFmtId="0" fontId="0" fillId="8" borderId="2" xfId="0" applyFill="1" applyBorder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5" fillId="3" borderId="14" xfId="0" applyFont="1" applyFill="1" applyBorder="1" applyAlignment="1">
      <alignment horizontal="left" wrapText="1"/>
    </xf>
    <xf numFmtId="0" fontId="15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8">
    <cellStyle name="Iau?iue_AA_1" xfId="1" xr:uid="{00000000-0005-0000-0000-000000000000}"/>
    <cellStyle name="Normal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exercise_PVT!$J$46:$J$71</c:f>
              <c:numCache>
                <c:formatCode>0.00</c:formatCode>
                <c:ptCount val="26"/>
                <c:pt idx="0">
                  <c:v>0.99540395142159699</c:v>
                </c:pt>
                <c:pt idx="1">
                  <c:v>0.97484262545061096</c:v>
                </c:pt>
                <c:pt idx="2">
                  <c:v>0.94791757795528897</c:v>
                </c:pt>
                <c:pt idx="3">
                  <c:v>0.89196340429777399</c:v>
                </c:pt>
                <c:pt idx="4">
                  <c:v>0.77684214474717495</c:v>
                </c:pt>
                <c:pt idx="5">
                  <c:v>0.66298598043857704</c:v>
                </c:pt>
                <c:pt idx="6">
                  <c:v>0.55725183114106103</c:v>
                </c:pt>
                <c:pt idx="7">
                  <c:v>0.46541295548419698</c:v>
                </c:pt>
                <c:pt idx="8">
                  <c:v>0.38932610994392203</c:v>
                </c:pt>
                <c:pt idx="9">
                  <c:v>0.327268353347486</c:v>
                </c:pt>
                <c:pt idx="10">
                  <c:v>0.276039780852325</c:v>
                </c:pt>
                <c:pt idx="11">
                  <c:v>0.232533480222718</c:v>
                </c:pt>
                <c:pt idx="12">
                  <c:v>0.20362319531763501</c:v>
                </c:pt>
                <c:pt idx="13">
                  <c:v>0.19414364766946199</c:v>
                </c:pt>
                <c:pt idx="14">
                  <c:v>0.18653832458046299</c:v>
                </c:pt>
                <c:pt idx="15">
                  <c:v>0.18028968799728901</c:v>
                </c:pt>
                <c:pt idx="16">
                  <c:v>0.175052721722122</c:v>
                </c:pt>
                <c:pt idx="17">
                  <c:v>0.17059216315699799</c:v>
                </c:pt>
                <c:pt idx="18">
                  <c:v>0.166743137845905</c:v>
                </c:pt>
                <c:pt idx="19">
                  <c:v>0.163386603330191</c:v>
                </c:pt>
                <c:pt idx="20">
                  <c:v>0.160433965953557</c:v>
                </c:pt>
                <c:pt idx="21">
                  <c:v>0.15781734275662199</c:v>
                </c:pt>
                <c:pt idx="22">
                  <c:v>0.15548330621663201</c:v>
                </c:pt>
                <c:pt idx="23">
                  <c:v>0.15338879571193501</c:v>
                </c:pt>
                <c:pt idx="24">
                  <c:v>0.151498393427307</c:v>
                </c:pt>
                <c:pt idx="25">
                  <c:v>0.149782472318853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 в потоке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 расход</a:t>
            </a:r>
            <a:r>
              <a:rPr lang="ru-RU" baseline="0"/>
              <a:t> в рабочих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exercise_PVT!$F$45</c:f>
              <c:strCache>
                <c:ptCount val="1"/>
                <c:pt idx="0">
                  <c:v>q_mix_rc_m3day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exercise_PVT!$F$46:$F$71</c:f>
              <c:numCache>
                <c:formatCode>0.0</c:formatCode>
                <c:ptCount val="26"/>
                <c:pt idx="0">
                  <c:v>3361.5815165844901</c:v>
                </c:pt>
                <c:pt idx="1">
                  <c:v>625.77054412605696</c:v>
                </c:pt>
                <c:pt idx="2">
                  <c:v>304.91473482128202</c:v>
                </c:pt>
                <c:pt idx="3">
                  <c:v>148.72565344095699</c:v>
                </c:pt>
                <c:pt idx="4">
                  <c:v>73.213479542929903</c:v>
                </c:pt>
                <c:pt idx="5">
                  <c:v>49.140785706183301</c:v>
                </c:pt>
                <c:pt idx="6">
                  <c:v>37.8674027728173</c:v>
                </c:pt>
                <c:pt idx="7">
                  <c:v>31.729793902049899</c:v>
                </c:pt>
                <c:pt idx="8">
                  <c:v>28.093542672495701</c:v>
                </c:pt>
                <c:pt idx="9">
                  <c:v>25.7896296724123</c:v>
                </c:pt>
                <c:pt idx="10">
                  <c:v>24.2341668987882</c:v>
                </c:pt>
                <c:pt idx="11">
                  <c:v>23.118032455433301</c:v>
                </c:pt>
                <c:pt idx="12">
                  <c:v>22.405774993906501</c:v>
                </c:pt>
                <c:pt idx="13">
                  <c:v>22.061752920403599</c:v>
                </c:pt>
                <c:pt idx="14">
                  <c:v>21.789263549575502</c:v>
                </c:pt>
                <c:pt idx="15">
                  <c:v>21.567680820944801</c:v>
                </c:pt>
                <c:pt idx="16">
                  <c:v>21.383592920917501</c:v>
                </c:pt>
                <c:pt idx="17">
                  <c:v>21.2279857631734</c:v>
                </c:pt>
                <c:pt idx="18">
                  <c:v>21.094597618450599</c:v>
                </c:pt>
                <c:pt idx="19">
                  <c:v>20.978937299646802</c:v>
                </c:pt>
                <c:pt idx="20">
                  <c:v>20.877685048806999</c:v>
                </c:pt>
                <c:pt idx="21">
                  <c:v>20.7883183322535</c:v>
                </c:pt>
                <c:pt idx="22">
                  <c:v>20.7088724621408</c:v>
                </c:pt>
                <c:pt idx="23">
                  <c:v>20.637783738080401</c:v>
                </c:pt>
                <c:pt idx="24">
                  <c:v>20.573784187363099</c:v>
                </c:pt>
                <c:pt idx="25">
                  <c:v>20.5158292788763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9F-4179-B497-32BC78888E0B}"/>
            </c:ext>
          </c:extLst>
        </c:ser>
        <c:ser>
          <c:idx val="1"/>
          <c:order val="1"/>
          <c:tx>
            <c:strRef>
              <c:f>exercise_PVT!$G$45</c:f>
              <c:strCache>
                <c:ptCount val="1"/>
                <c:pt idx="0">
                  <c:v>q_oil_rc_m3day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exercise_PVT!$G$46:$G$71</c:f>
              <c:numCache>
                <c:formatCode>0.0</c:formatCode>
                <c:ptCount val="26"/>
                <c:pt idx="0">
                  <c:v>15.2954430413188</c:v>
                </c:pt>
                <c:pt idx="1">
                  <c:v>15.5882016292868</c:v>
                </c:pt>
                <c:pt idx="2">
                  <c:v>15.726164181733999</c:v>
                </c:pt>
                <c:pt idx="3">
                  <c:v>15.913298059296199</c:v>
                </c:pt>
                <c:pt idx="4">
                  <c:v>16.18368994419</c:v>
                </c:pt>
                <c:pt idx="5">
                  <c:v>16.4067095218163</c:v>
                </c:pt>
                <c:pt idx="6">
                  <c:v>16.611354803382302</c:v>
                </c:pt>
                <c:pt idx="7">
                  <c:v>16.8080308980993</c:v>
                </c:pt>
                <c:pt idx="8">
                  <c:v>17.0017565557383</c:v>
                </c:pt>
                <c:pt idx="9">
                  <c:v>17.195339843040301</c:v>
                </c:pt>
                <c:pt idx="10">
                  <c:v>17.390495653287498</c:v>
                </c:pt>
                <c:pt idx="11">
                  <c:v>17.5883286813974</c:v>
                </c:pt>
                <c:pt idx="12">
                  <c:v>17.689548986084201</c:v>
                </c:pt>
                <c:pt idx="13">
                  <c:v>17.624816772664801</c:v>
                </c:pt>
                <c:pt idx="14">
                  <c:v>17.571054246540999</c:v>
                </c:pt>
                <c:pt idx="15">
                  <c:v>17.525690990320399</c:v>
                </c:pt>
                <c:pt idx="16">
                  <c:v>17.486901424313999</c:v>
                </c:pt>
                <c:pt idx="17">
                  <c:v>17.453353252689599</c:v>
                </c:pt>
                <c:pt idx="18">
                  <c:v>17.424051403125102</c:v>
                </c:pt>
                <c:pt idx="19">
                  <c:v>17.3982376857305</c:v>
                </c:pt>
                <c:pt idx="20">
                  <c:v>17.375324266154902</c:v>
                </c:pt>
                <c:pt idx="21">
                  <c:v>17.354848365971801</c:v>
                </c:pt>
                <c:pt idx="22">
                  <c:v>17.336440687566601</c:v>
                </c:pt>
                <c:pt idx="23">
                  <c:v>17.319802945684401</c:v>
                </c:pt>
                <c:pt idx="24">
                  <c:v>17.3046915820312</c:v>
                </c:pt>
                <c:pt idx="25">
                  <c:v>17.290905764939499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9F-4179-B497-32BC78888E0B}"/>
            </c:ext>
          </c:extLst>
        </c:ser>
        <c:ser>
          <c:idx val="2"/>
          <c:order val="2"/>
          <c:tx>
            <c:strRef>
              <c:f>exercise_PVT!$H$45</c:f>
              <c:strCache>
                <c:ptCount val="1"/>
                <c:pt idx="0">
                  <c:v>q_wat_rc_m3day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exercise_PVT!$H$46:$H$71</c:f>
              <c:numCache>
                <c:formatCode>0.00</c:formatCode>
                <c:ptCount val="26"/>
                <c:pt idx="0">
                  <c:v>0.15454890916583899</c:v>
                </c:pt>
                <c:pt idx="1">
                  <c:v>0.15454233126719399</c:v>
                </c:pt>
                <c:pt idx="2">
                  <c:v>0.15453372487914399</c:v>
                </c:pt>
                <c:pt idx="3">
                  <c:v>0.154515232053903</c:v>
                </c:pt>
                <c:pt idx="4">
                  <c:v>0.15447312620685</c:v>
                </c:pt>
                <c:pt idx="5">
                  <c:v>0.154424193431037</c:v>
                </c:pt>
                <c:pt idx="6">
                  <c:v>0.154368433726465</c:v>
                </c:pt>
                <c:pt idx="7">
                  <c:v>0.154305847093133</c:v>
                </c:pt>
                <c:pt idx="8">
                  <c:v>0.15423643353104199</c:v>
                </c:pt>
                <c:pt idx="9">
                  <c:v>0.15416019304019099</c:v>
                </c:pt>
                <c:pt idx="10">
                  <c:v>0.15407712562058001</c:v>
                </c:pt>
                <c:pt idx="11">
                  <c:v>0.15398723127221001</c:v>
                </c:pt>
                <c:pt idx="12">
                  <c:v>0.15389050999508</c:v>
                </c:pt>
                <c:pt idx="13">
                  <c:v>0.15378696178919099</c:v>
                </c:pt>
                <c:pt idx="14">
                  <c:v>0.15367658665454201</c:v>
                </c:pt>
                <c:pt idx="15">
                  <c:v>0.153559384591134</c:v>
                </c:pt>
                <c:pt idx="16">
                  <c:v>0.15343535559896501</c:v>
                </c:pt>
                <c:pt idx="17">
                  <c:v>0.153304499678038</c:v>
                </c:pt>
                <c:pt idx="18">
                  <c:v>0.15316681682835001</c:v>
                </c:pt>
                <c:pt idx="19">
                  <c:v>0.15302230704990299</c:v>
                </c:pt>
                <c:pt idx="20">
                  <c:v>0.152870970342697</c:v>
                </c:pt>
                <c:pt idx="21">
                  <c:v>0.15271280670673101</c:v>
                </c:pt>
                <c:pt idx="22">
                  <c:v>0.15254781614200499</c:v>
                </c:pt>
                <c:pt idx="23">
                  <c:v>0.15237599864852</c:v>
                </c:pt>
                <c:pt idx="24">
                  <c:v>0.15219735422627501</c:v>
                </c:pt>
                <c:pt idx="25">
                  <c:v>0.15201188287527101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9F-4179-B497-32BC78888E0B}"/>
            </c:ext>
          </c:extLst>
        </c:ser>
        <c:ser>
          <c:idx val="3"/>
          <c:order val="3"/>
          <c:tx>
            <c:strRef>
              <c:f>exercise_PVT!$I$45</c:f>
              <c:strCache>
                <c:ptCount val="1"/>
                <c:pt idx="0">
                  <c:v>q_gas_rc_m3day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exercise_PVT!$I$46:$I$71</c:f>
              <c:numCache>
                <c:formatCode>0.0</c:formatCode>
                <c:ptCount val="26"/>
                <c:pt idx="0">
                  <c:v>3346.131524634</c:v>
                </c:pt>
                <c:pt idx="1">
                  <c:v>610.02780016550298</c:v>
                </c:pt>
                <c:pt idx="2">
                  <c:v>289.03403691466798</c:v>
                </c:pt>
                <c:pt idx="3">
                  <c:v>132.65784014960701</c:v>
                </c:pt>
                <c:pt idx="4">
                  <c:v>56.8753164725331</c:v>
                </c:pt>
                <c:pt idx="5">
                  <c:v>32.579651990936</c:v>
                </c:pt>
                <c:pt idx="6">
                  <c:v>21.101679535708499</c:v>
                </c:pt>
                <c:pt idx="7">
                  <c:v>14.7674571568575</c:v>
                </c:pt>
                <c:pt idx="8">
                  <c:v>10.937549683226299</c:v>
                </c:pt>
                <c:pt idx="9">
                  <c:v>8.4401296363318501</c:v>
                </c:pt>
                <c:pt idx="10">
                  <c:v>6.6895941198801703</c:v>
                </c:pt>
                <c:pt idx="11">
                  <c:v>5.37571654276364</c:v>
                </c:pt>
                <c:pt idx="12">
                  <c:v>4.5623354978271902</c:v>
                </c:pt>
                <c:pt idx="13">
                  <c:v>4.2831491859495499</c:v>
                </c:pt>
                <c:pt idx="14">
                  <c:v>4.0645327163799596</c:v>
                </c:pt>
                <c:pt idx="15">
                  <c:v>3.8884304460332499</c:v>
                </c:pt>
                <c:pt idx="16">
                  <c:v>3.74325614100451</c:v>
                </c:pt>
                <c:pt idx="17">
                  <c:v>3.6213280108057102</c:v>
                </c:pt>
                <c:pt idx="18">
                  <c:v>3.5173793984972201</c:v>
                </c:pt>
                <c:pt idx="19">
                  <c:v>3.4276773068663302</c:v>
                </c:pt>
                <c:pt idx="20">
                  <c:v>3.3494898123093799</c:v>
                </c:pt>
                <c:pt idx="21">
                  <c:v>3.28075715957501</c:v>
                </c:pt>
                <c:pt idx="22">
                  <c:v>3.2198839584322201</c:v>
                </c:pt>
                <c:pt idx="23">
                  <c:v>3.16560479374751</c:v>
                </c:pt>
                <c:pt idx="24">
                  <c:v>3.11689525110565</c:v>
                </c:pt>
                <c:pt idx="25">
                  <c:v>3.0729116310616198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9F-4179-B497-32BC7888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766655"/>
        <c:axId val="619110703"/>
      </c:scatterChart>
      <c:valAx>
        <c:axId val="9377666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110703"/>
        <c:crosses val="autoZero"/>
        <c:crossBetween val="midCat"/>
      </c:valAx>
      <c:valAx>
        <c:axId val="6191107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776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Джоуля Томсона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exercise_PVT!$R$46:$R$71</c:f>
              <c:numCache>
                <c:formatCode>0.00</c:formatCode>
                <c:ptCount val="26"/>
                <c:pt idx="0">
                  <c:v>-3.1057306289835499E-2</c:v>
                </c:pt>
                <c:pt idx="1">
                  <c:v>-2.46639337740025E-2</c:v>
                </c:pt>
                <c:pt idx="2">
                  <c:v>-2.2527811984332801E-2</c:v>
                </c:pt>
                <c:pt idx="3">
                  <c:v>-2.2051605084416101E-2</c:v>
                </c:pt>
                <c:pt idx="4">
                  <c:v>-2.51700493303556E-2</c:v>
                </c:pt>
                <c:pt idx="5">
                  <c:v>-2.4751760805981401E-2</c:v>
                </c:pt>
                <c:pt idx="6">
                  <c:v>-1.7825077245351002E-2</c:v>
                </c:pt>
                <c:pt idx="7">
                  <c:v>-6.8465233166462398E-3</c:v>
                </c:pt>
                <c:pt idx="8">
                  <c:v>4.76776081019974E-3</c:v>
                </c:pt>
                <c:pt idx="9">
                  <c:v>1.49920658862742E-2</c:v>
                </c:pt>
                <c:pt idx="10">
                  <c:v>2.3187988140762499E-2</c:v>
                </c:pt>
                <c:pt idx="11">
                  <c:v>2.9449670283319899E-2</c:v>
                </c:pt>
                <c:pt idx="12">
                  <c:v>3.3415214031424903E-2</c:v>
                </c:pt>
                <c:pt idx="13">
                  <c:v>3.5349589038920298E-2</c:v>
                </c:pt>
                <c:pt idx="14">
                  <c:v>3.6867369531677997E-2</c:v>
                </c:pt>
                <c:pt idx="15">
                  <c:v>3.8061144010786301E-2</c:v>
                </c:pt>
                <c:pt idx="16">
                  <c:v>3.9006529019480297E-2</c:v>
                </c:pt>
                <c:pt idx="17">
                  <c:v>3.9762363792221901E-2</c:v>
                </c:pt>
                <c:pt idx="18">
                  <c:v>4.0373293488927799E-2</c:v>
                </c:pt>
                <c:pt idx="19">
                  <c:v>4.08727615844168E-2</c:v>
                </c:pt>
                <c:pt idx="20">
                  <c:v>4.12856781987389E-2</c:v>
                </c:pt>
                <c:pt idx="21">
                  <c:v>4.1630572096575398E-2</c:v>
                </c:pt>
                <c:pt idx="22">
                  <c:v>4.1921244988329297E-2</c:v>
                </c:pt>
                <c:pt idx="23">
                  <c:v>4.2168012847920502E-2</c:v>
                </c:pt>
                <c:pt idx="24">
                  <c:v>4.2378626662980597E-2</c:v>
                </c:pt>
                <c:pt idx="25">
                  <c:v>4.2558952547151502E-2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0-4D52-99A8-2C691B1A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коэффициент Джоуля Томсона К/атм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24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encode_feed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feed_calc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encode_feed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feed_calc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43</xdr:row>
      <xdr:rowOff>132002</xdr:rowOff>
    </xdr:from>
    <xdr:to>
      <xdr:col>32</xdr:col>
      <xdr:colOff>486191</xdr:colOff>
      <xdr:row>57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</xdr:col>
      <xdr:colOff>64532</xdr:colOff>
      <xdr:row>80</xdr:row>
      <xdr:rowOff>73664</xdr:rowOff>
    </xdr:from>
    <xdr:to>
      <xdr:col>6</xdr:col>
      <xdr:colOff>708636</xdr:colOff>
      <xdr:row>103</xdr:row>
      <xdr:rowOff>50766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797743</xdr:colOff>
      <xdr:row>80</xdr:row>
      <xdr:rowOff>64643</xdr:rowOff>
    </xdr:from>
    <xdr:to>
      <xdr:col>14</xdr:col>
      <xdr:colOff>146578</xdr:colOff>
      <xdr:row>104</xdr:row>
      <xdr:rowOff>62170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8C4093B-C6DB-477D-BF12-0A4C61B0F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274646</xdr:colOff>
      <xdr:row>80</xdr:row>
      <xdr:rowOff>56233</xdr:rowOff>
    </xdr:from>
    <xdr:to>
      <xdr:col>20</xdr:col>
      <xdr:colOff>233940</xdr:colOff>
      <xdr:row>104</xdr:row>
      <xdr:rowOff>53788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FA9B714-18A6-4093-8A7B-13828FB77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calc"/>
      <definedName name="PVT_cal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74"/>
  <sheetViews>
    <sheetView tabSelected="1" zoomScale="70" zoomScaleNormal="70" workbookViewId="0">
      <selection activeCell="G21" sqref="G21"/>
    </sheetView>
  </sheetViews>
  <sheetFormatPr defaultRowHeight="12.75" x14ac:dyDescent="0.35"/>
  <cols>
    <col min="1" max="1" width="12.33203125" customWidth="1"/>
    <col min="2" max="2" width="15.796875" customWidth="1"/>
    <col min="3" max="3" width="10.53125" customWidth="1"/>
    <col min="4" max="4" width="9.86328125" customWidth="1"/>
    <col min="5" max="5" width="11.33203125" customWidth="1"/>
    <col min="6" max="6" width="9.86328125" customWidth="1"/>
    <col min="7" max="7" width="11.6640625" customWidth="1"/>
    <col min="8" max="8" width="12.33203125" customWidth="1"/>
    <col min="9" max="9" width="10.53125" bestFit="1" customWidth="1"/>
    <col min="10" max="10" width="11.33203125" customWidth="1"/>
    <col min="11" max="11" width="10.1328125" customWidth="1"/>
    <col min="12" max="13" width="9" bestFit="1" customWidth="1"/>
    <col min="14" max="14" width="9.19921875" customWidth="1"/>
    <col min="15" max="15" width="9" bestFit="1" customWidth="1"/>
    <col min="16" max="17" width="11.19921875" customWidth="1"/>
    <col min="18" max="18" width="12.33203125" bestFit="1" customWidth="1"/>
    <col min="19" max="19" width="12.6640625" bestFit="1" customWidth="1"/>
    <col min="20" max="21" width="10.53125" bestFit="1" customWidth="1"/>
    <col min="22" max="32" width="9.1328125" customWidth="1"/>
  </cols>
  <sheetData>
    <row r="1" spans="1:12" ht="13.15" x14ac:dyDescent="0.4">
      <c r="A1" s="1" t="s">
        <v>20</v>
      </c>
      <c r="F1" t="s">
        <v>22</v>
      </c>
      <c r="G1" t="str">
        <f>[1]!unf_version()</f>
        <v>7.38</v>
      </c>
      <c r="H1" s="21" t="s">
        <v>32</v>
      </c>
      <c r="I1" s="25">
        <v>44757</v>
      </c>
      <c r="J1" s="26"/>
      <c r="K1" s="26"/>
      <c r="L1" s="27"/>
    </row>
    <row r="2" spans="1:12" x14ac:dyDescent="0.35">
      <c r="A2" t="s">
        <v>21</v>
      </c>
      <c r="H2" s="21" t="s">
        <v>33</v>
      </c>
      <c r="I2" s="28">
        <v>7.38</v>
      </c>
      <c r="J2" s="23"/>
      <c r="K2" s="23"/>
      <c r="L2" s="24"/>
    </row>
    <row r="3" spans="1:12" ht="14.25" x14ac:dyDescent="0.45">
      <c r="A3" s="22" t="s">
        <v>25</v>
      </c>
      <c r="B3" s="52" t="s">
        <v>27</v>
      </c>
      <c r="C3" s="52"/>
      <c r="D3" s="52"/>
      <c r="E3" s="53"/>
      <c r="H3" s="22" t="s">
        <v>25</v>
      </c>
      <c r="I3" s="54" t="s">
        <v>27</v>
      </c>
      <c r="J3" s="54"/>
      <c r="K3" s="54"/>
      <c r="L3" s="54"/>
    </row>
    <row r="4" spans="1:12" ht="14.25" x14ac:dyDescent="0.45">
      <c r="A4" s="22" t="s">
        <v>29</v>
      </c>
      <c r="B4" s="52" t="s">
        <v>30</v>
      </c>
      <c r="C4" s="52"/>
      <c r="D4" s="52"/>
      <c r="E4" s="53"/>
      <c r="H4" s="22" t="s">
        <v>29</v>
      </c>
      <c r="I4" s="55" t="s">
        <v>30</v>
      </c>
      <c r="J4" s="55"/>
      <c r="K4" s="55"/>
      <c r="L4" s="55"/>
    </row>
    <row r="5" spans="1:12" ht="14.25" x14ac:dyDescent="0.45">
      <c r="A5" s="22" t="s">
        <v>34</v>
      </c>
      <c r="B5" s="52" t="s">
        <v>28</v>
      </c>
      <c r="C5" s="52"/>
      <c r="D5" s="52"/>
      <c r="E5" s="53"/>
      <c r="H5" s="22" t="s">
        <v>34</v>
      </c>
      <c r="I5" s="55" t="s">
        <v>28</v>
      </c>
      <c r="J5" s="55"/>
      <c r="K5" s="55"/>
      <c r="L5" s="55"/>
    </row>
    <row r="6" spans="1:12" x14ac:dyDescent="0.35">
      <c r="A6" s="58" t="s">
        <v>26</v>
      </c>
      <c r="B6" s="61" t="s">
        <v>31</v>
      </c>
      <c r="C6" s="62"/>
      <c r="D6" s="62"/>
      <c r="E6" s="63"/>
      <c r="H6" s="70" t="s">
        <v>26</v>
      </c>
      <c r="I6" s="71" t="s">
        <v>31</v>
      </c>
      <c r="J6" s="71"/>
      <c r="K6" s="71"/>
      <c r="L6" s="71"/>
    </row>
    <row r="7" spans="1:12" x14ac:dyDescent="0.35">
      <c r="A7" s="59"/>
      <c r="B7" s="64"/>
      <c r="C7" s="65"/>
      <c r="D7" s="65"/>
      <c r="E7" s="66"/>
      <c r="H7" s="70"/>
      <c r="I7" s="71"/>
      <c r="J7" s="71"/>
      <c r="K7" s="71"/>
      <c r="L7" s="71"/>
    </row>
    <row r="8" spans="1:12" x14ac:dyDescent="0.35">
      <c r="A8" s="60"/>
      <c r="B8" s="67"/>
      <c r="C8" s="68"/>
      <c r="D8" s="68"/>
      <c r="E8" s="69"/>
      <c r="H8" s="70"/>
      <c r="I8" s="71"/>
      <c r="J8" s="71"/>
      <c r="K8" s="71"/>
      <c r="L8" s="71"/>
    </row>
    <row r="10" spans="1:12" ht="13.15" x14ac:dyDescent="0.4">
      <c r="A10" s="1" t="s">
        <v>1</v>
      </c>
    </row>
    <row r="11" spans="1:12" ht="16.5" x14ac:dyDescent="0.55000000000000004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2" ht="16.5" x14ac:dyDescent="0.55000000000000004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2" ht="16.5" x14ac:dyDescent="0.55000000000000004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2" ht="16.5" x14ac:dyDescent="0.55000000000000004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24</v>
      </c>
    </row>
    <row r="15" spans="1:12" ht="15.75" x14ac:dyDescent="0.55000000000000004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2" ht="15.75" x14ac:dyDescent="0.55000000000000004">
      <c r="B16" s="4" t="s">
        <v>15</v>
      </c>
      <c r="C16" s="2">
        <v>90</v>
      </c>
      <c r="D16" s="4" t="s">
        <v>3</v>
      </c>
      <c r="E16" s="18">
        <f>Tres_*9/5+32</f>
        <v>194</v>
      </c>
      <c r="F16" s="17" t="s">
        <v>9</v>
      </c>
    </row>
    <row r="17" spans="2:16" ht="15.75" x14ac:dyDescent="0.55000000000000004">
      <c r="B17" s="7" t="s">
        <v>17</v>
      </c>
      <c r="C17" s="2">
        <v>1.2</v>
      </c>
      <c r="D17" s="4" t="s">
        <v>2</v>
      </c>
      <c r="E17" s="19"/>
      <c r="F17" s="6"/>
    </row>
    <row r="18" spans="2:16" ht="15.75" x14ac:dyDescent="0.55000000000000004">
      <c r="B18" s="8" t="s">
        <v>18</v>
      </c>
      <c r="C18" s="2">
        <v>1</v>
      </c>
      <c r="D18" s="4" t="s">
        <v>6</v>
      </c>
      <c r="E18" s="19"/>
      <c r="F18" s="6"/>
    </row>
    <row r="20" spans="2:16" ht="15.75" x14ac:dyDescent="0.55000000000000004">
      <c r="B20" s="5" t="s">
        <v>39</v>
      </c>
      <c r="C20" s="2">
        <v>15</v>
      </c>
      <c r="D20" s="5"/>
    </row>
    <row r="21" spans="2:16" ht="15.75" x14ac:dyDescent="0.55000000000000004">
      <c r="B21" s="5" t="s">
        <v>40</v>
      </c>
      <c r="C21" s="2">
        <v>1</v>
      </c>
      <c r="D21" s="5"/>
    </row>
    <row r="22" spans="2:16" ht="15.75" x14ac:dyDescent="0.55000000000000004">
      <c r="B22" s="5" t="s">
        <v>41</v>
      </c>
      <c r="C22" s="2">
        <v>120</v>
      </c>
      <c r="D22" s="5"/>
    </row>
    <row r="23" spans="2:16" ht="15.75" x14ac:dyDescent="0.55000000000000004">
      <c r="B23" s="5" t="s">
        <v>42</v>
      </c>
      <c r="C23" s="2">
        <v>1000</v>
      </c>
      <c r="D23" s="5"/>
    </row>
    <row r="25" spans="2:16" ht="13.15" x14ac:dyDescent="0.4">
      <c r="B25" s="56" t="s">
        <v>35</v>
      </c>
      <c r="C25" s="57"/>
      <c r="D25" s="34" t="str" cm="1">
        <f t="array" ref="D25">[1]!encode_json(B26:C28)</f>
        <v>{"show_log":1,"PVT_correlation":1}</v>
      </c>
      <c r="E25" s="18"/>
      <c r="F25" s="18"/>
    </row>
    <row r="26" spans="2:16" x14ac:dyDescent="0.35">
      <c r="B26" s="33" t="s">
        <v>36</v>
      </c>
      <c r="C26" s="33">
        <v>1</v>
      </c>
    </row>
    <row r="27" spans="2:16" x14ac:dyDescent="0.35">
      <c r="B27" s="33" t="s">
        <v>38</v>
      </c>
      <c r="C27" s="33">
        <v>1</v>
      </c>
    </row>
    <row r="28" spans="2:16" x14ac:dyDescent="0.35">
      <c r="B28" s="33"/>
      <c r="C28" s="33"/>
    </row>
    <row r="30" spans="2:16" ht="15" customHeight="1" x14ac:dyDescent="0.4">
      <c r="B30" s="35" t="s">
        <v>23</v>
      </c>
      <c r="C30" s="37"/>
      <c r="D30" s="36" t="str">
        <f>[1]!encode_PVT(gamma_gas_,gamma_oil_,gamma_wat_,Rsb_,Pb_,Tres_,Bob_,muob_,C27)</f>
        <v>{"gamma_gas":0.9,"gamma_oil":0.9,"gamma_wat":1.1,"rsb_m3m3":120,"bob_m3m3":1.2,"muob_cP":1,"PVT_corr_set":1}</v>
      </c>
      <c r="E30" s="23"/>
      <c r="F30" s="23"/>
      <c r="G30" s="23"/>
      <c r="H30" s="23"/>
      <c r="I30" s="23"/>
      <c r="J30" s="23"/>
      <c r="K30" s="23"/>
      <c r="L30" s="24"/>
      <c r="M30" s="43"/>
      <c r="N30" s="43"/>
      <c r="O30" s="43"/>
      <c r="P30" s="43"/>
    </row>
    <row r="31" spans="2:16" ht="15" customHeight="1" x14ac:dyDescent="0.4">
      <c r="B31" s="35" t="s">
        <v>43</v>
      </c>
      <c r="C31" s="37"/>
      <c r="D31" s="39" t="str" cm="1">
        <f t="array" ref="D31">[1]!encode_feed(Qliq,fw,rp,Qgas,PVT_str_)</f>
        <v>{"gamma_gas":0.9,"gamma_oil":0.9,"gamma_wat":1.1,"rsb_m3m3":120,"bob_m3m3":1.2,"muob_cP":1,"PVT_corr_set":1,"q_liq_sm3day":15,"fw_perc":1,"rp_m3m3":120,"q_gas_free_sm3day":1000}</v>
      </c>
      <c r="E31" s="39"/>
      <c r="F31" s="39"/>
      <c r="G31" s="39"/>
      <c r="H31" s="39"/>
      <c r="I31" s="39"/>
      <c r="J31" s="39"/>
      <c r="K31" s="39"/>
      <c r="L31" s="39"/>
      <c r="M31" s="43"/>
      <c r="N31" s="43"/>
      <c r="O31" s="43"/>
      <c r="P31" s="43"/>
    </row>
    <row r="33" spans="2:27" x14ac:dyDescent="0.35">
      <c r="B33" s="9" t="s">
        <v>0</v>
      </c>
      <c r="C33" s="9" t="s">
        <v>4</v>
      </c>
      <c r="D33" t="s">
        <v>44</v>
      </c>
    </row>
    <row r="34" spans="2:27" x14ac:dyDescent="0.35">
      <c r="B34" s="12">
        <v>10</v>
      </c>
      <c r="C34" s="38">
        <v>50</v>
      </c>
      <c r="D34" s="42" t="str" cm="1">
        <f t="array" ref="D34">[1]!PVT_calc(B34,C34,D30,param)</f>
        <v>{"rs_m3m3":24.6868287995724,"pb_atma":169.557906198542,"bo_m3m3":1.04681209744693,"bg_m3m3":0.107029212157508,"bw_m3m3":1.01421394281929,"mu_oil_cP":7.42628181432697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6.56508411128893E-02,"sigma_oil_gas_Nm":6.56508411128893E-02,"sigma_wat_gas_Nm":6.44149612692212E-02,"cp_oil_JkgC":2427.4,"cp_gas_JkgC":1784.27356437397,"cv_gas_JkgC":1476.40013989834,"cp_wat_JkgC":4176,"z":0.966967073262808,"sal_ppm":136861.032313161}</v>
      </c>
      <c r="E34" s="46"/>
      <c r="F34" s="44"/>
      <c r="G34" s="45"/>
      <c r="H34" s="44" t="str">
        <f>D34</f>
        <v>{"rs_m3m3":24.6868287995724,"pb_atma":169.557906198542,"bo_m3m3":1.04681209744693,"bg_m3m3":0.107029212157508,"bw_m3m3":1.01421394281929,"mu_oil_cP":7.42628181432697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6.56508411128893E-02,"sigma_oil_gas_Nm":6.56508411128893E-02,"sigma_wat_gas_Nm":6.44149612692212E-02,"cp_oil_JkgC":2427.4,"cp_gas_JkgC":1784.27356437397,"cv_gas_JkgC":1476.40013989834,"cp_wat_JkgC":4176,"z":0.966967073262808,"sal_ppm":136861.032313161}</v>
      </c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</row>
    <row r="35" spans="2:27" x14ac:dyDescent="0.35">
      <c r="D35" s="40"/>
      <c r="E35" s="41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</row>
    <row r="36" spans="2:27" x14ac:dyDescent="0.35"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</row>
    <row r="37" spans="2:27" x14ac:dyDescent="0.35">
      <c r="D37" t="s">
        <v>45</v>
      </c>
    </row>
    <row r="38" spans="2:27" x14ac:dyDescent="0.35">
      <c r="D38" s="42" t="str" cm="1">
        <f t="array" ref="D38">[1]!feed_calc(B34,C34,PVT_stream_,param)</f>
        <v>{"q_mix_rc_m3day":274.215714179977,"q_oil_rc_m3day":15.545159647087,"q_wat_rc_m3day":0.152132091422893,"q_gas_rc_m3day":258.518422441467,"gas_fraction_d":0.942755681287444,"rho_mix_rc_kgm3":60.4992874046115,"mu_mix_cP":0.431585653112115,"mo_kgsec":0.15935285933703,"mw_kgsec":1.90972222222222E-03,"mg_kgsec":3.07384885796365E-02,"mg_kgmol":0.0261,"cmix_JkgC":2341.8307148544,"cJT_Katm":-4.01030521831116E-02}</v>
      </c>
      <c r="E38" s="46"/>
      <c r="F38" s="44"/>
      <c r="G38" s="45"/>
      <c r="H38" s="44" t="str">
        <f>D38</f>
        <v>{"q_mix_rc_m3day":274.215714179977,"q_oil_rc_m3day":15.545159647087,"q_wat_rc_m3day":0.152132091422893,"q_gas_rc_m3day":258.518422441467,"gas_fraction_d":0.942755681287444,"rho_mix_rc_kgm3":60.4992874046115,"mu_mix_cP":0.431585653112115,"mo_kgsec":0.15935285933703,"mw_kgsec":1.90972222222222E-03,"mg_kgsec":3.07384885796365E-02,"mg_kgmol":0.0261,"cmix_JkgC":2341.8307148544,"cJT_Katm":-4.01030521831116E-02}</v>
      </c>
      <c r="I38" s="45"/>
      <c r="J38" s="45"/>
      <c r="K38" s="45"/>
      <c r="L38" s="45"/>
      <c r="M38" s="45"/>
      <c r="N38" s="45"/>
      <c r="O38" s="45"/>
      <c r="P38" s="45"/>
      <c r="Q38" s="45"/>
    </row>
    <row r="39" spans="2:27" x14ac:dyDescent="0.35">
      <c r="D39" s="40"/>
      <c r="E39" s="41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</row>
    <row r="40" spans="2:27" x14ac:dyDescent="0.35"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</row>
    <row r="43" spans="2:27" x14ac:dyDescent="0.35">
      <c r="B43" t="s">
        <v>46</v>
      </c>
    </row>
    <row r="45" spans="2:27" s="31" customFormat="1" x14ac:dyDescent="0.35">
      <c r="B45" s="32" t="s">
        <v>0</v>
      </c>
      <c r="C45" s="32" t="s">
        <v>4</v>
      </c>
      <c r="D45" s="32">
        <f>D39</f>
        <v>0</v>
      </c>
      <c r="E45" s="32">
        <f t="shared" ref="E45" si="0">E39</f>
        <v>0</v>
      </c>
      <c r="F45" s="51" t="str">
        <f t="array" ref="F45:R45">[1]!decode_json(D46,1,,)</f>
        <v>q_mix_rc_m3day</v>
      </c>
      <c r="G45" s="51" t="str">
        <v>q_oil_rc_m3day</v>
      </c>
      <c r="H45" s="51" t="str">
        <v>q_wat_rc_m3day</v>
      </c>
      <c r="I45" s="51" t="str">
        <v>q_gas_rc_m3day</v>
      </c>
      <c r="J45" s="51" t="str">
        <v>gas_fraction_d</v>
      </c>
      <c r="K45" s="51" t="str">
        <v>rho_mix_rc_kgm3</v>
      </c>
      <c r="L45" s="51" t="str">
        <v>mu_mix_cP</v>
      </c>
      <c r="M45" s="51" t="str">
        <v>mo_kgsec</v>
      </c>
      <c r="N45" s="51" t="str">
        <v>mw_kgsec</v>
      </c>
      <c r="O45" s="51" t="str">
        <v>mg_kgsec</v>
      </c>
      <c r="P45" s="51" t="str">
        <v>mg_kgmol</v>
      </c>
      <c r="Q45" s="51" t="str">
        <v>cmix_JkgC</v>
      </c>
      <c r="R45" s="51" t="str">
        <v>cJT_Katm</v>
      </c>
      <c r="S45"/>
      <c r="T45"/>
      <c r="U45"/>
      <c r="V45"/>
      <c r="W45"/>
      <c r="X45"/>
      <c r="Y45"/>
      <c r="Z45"/>
      <c r="AA45"/>
    </row>
    <row r="46" spans="2:27" x14ac:dyDescent="0.35">
      <c r="B46" s="12">
        <v>1</v>
      </c>
      <c r="C46" s="12">
        <v>80</v>
      </c>
      <c r="D46" s="47" t="str">
        <f t="array" ref="D46:E46">[1]!feed_calc(B46,C46,PVT_stream_,param)</f>
        <v>{"q_mix_rc_m3day":3361.58151658449,"q_oil_rc_m3day":15.2954430413188,"q_wat_rc_m3day":0.154548909165839,"q_gas_rc_m3day":3346.131524634,"gas_fraction_d":0.995403951421597,"rho_mix_rc_kgm3":4.93484477910885,"mu_mix_cP":3.67160428973758E-02,"mo_kgsec":0.154804960205062,"mw_kgsec":1.90972222222222E-03,"mg_kgsec":3.52863877116044E-02,"mg_kgmol":0.0261,"cmix_JkgC":2460.70980448772,"cJT_Katm":-3.10573062898355E-02}</v>
      </c>
      <c r="E46" s="47" t="str">
        <v>{"q_mix_rc_m3day":3361.58151658449,"q_oil_rc_m3day":15.2954430413188,"q_wat_rc_m3day":0.154548909165839,"q_gas_rc_m3day":3346.131524634,"gas_fraction_d":0.995403951421597,"rho_mix_rc_kgm3":4.93484477910885,"mu_mix_cP":3.67160428973758E-02,"mo_kgsec":0.154804960205062,"mw_kgsec":1.90972222222222E-03,"mg_kgsec":3.52863877116044E-02,"mg_kgmol":0.0261,"cmix_JkgC":2460.70980448772,"cJT_Katm":-3.10573062898355E-02}</v>
      </c>
      <c r="F46" s="49" cm="1">
        <f t="array" ref="F46:R46">[1]!decode_json(D46,1,,1)</f>
        <v>3361.5815165844901</v>
      </c>
      <c r="G46" s="50">
        <v>15.2954430413188</v>
      </c>
      <c r="H46" s="48">
        <v>0.15454890916583899</v>
      </c>
      <c r="I46" s="50">
        <v>3346.131524634</v>
      </c>
      <c r="J46" s="48">
        <v>0.99540395142159699</v>
      </c>
      <c r="K46" s="29">
        <v>4.9348447791088503</v>
      </c>
      <c r="L46" s="48">
        <v>3.6716042897375803E-2</v>
      </c>
      <c r="M46" s="48">
        <v>0.15480496020506199</v>
      </c>
      <c r="N46" s="48">
        <v>1.90972222222222E-3</v>
      </c>
      <c r="O46" s="48">
        <v>3.5286387711604403E-2</v>
      </c>
      <c r="P46" s="48">
        <v>2.6100000000000002E-2</v>
      </c>
      <c r="Q46" s="29">
        <v>2460.7098044877198</v>
      </c>
      <c r="R46" s="48">
        <v>-3.1057306289835499E-2</v>
      </c>
    </row>
    <row r="47" spans="2:27" x14ac:dyDescent="0.35">
      <c r="B47" s="12">
        <v>5</v>
      </c>
      <c r="C47" s="12">
        <v>80</v>
      </c>
      <c r="D47" s="47" t="str">
        <f t="array" ref="D47:E47">[1]!feed_calc(B47,C47,PVT_stream_,param)</f>
        <v>{"q_mix_rc_m3day":625.770544126057,"q_oil_rc_m3day":15.5882016292868,"q_wat_rc_m3day":0.154542331267194,"q_gas_rc_m3day":610.027800165503,"gas_fraction_d":0.974842625450611,"rho_mix_rc_kgm3":26.5104398389358,"mu_mix_cP":0.113383944520664,"mo_kgsec":0.157614414374477,"mw_kgsec":1.90972222222222E-03,"mg_kgsec":3.24769335421893E-02,"mg_kgmol":0.0261,"cmix_JkgC":2466.88475880708,"cJT_Katm":-2.46639337740025E-02}</v>
      </c>
      <c r="E47" s="47" t="str">
        <v>{"q_mix_rc_m3day":625.770544126057,"q_oil_rc_m3day":15.5882016292868,"q_wat_rc_m3day":0.154542331267194,"q_gas_rc_m3day":610.027800165503,"gas_fraction_d":0.974842625450611,"rho_mix_rc_kgm3":26.5104398389358,"mu_mix_cP":0.113383944520664,"mo_kgsec":0.157614414374477,"mw_kgsec":1.90972222222222E-03,"mg_kgsec":3.24769335421893E-02,"mg_kgmol":0.0261,"cmix_JkgC":2466.88475880708,"cJT_Katm":-2.46639337740025E-02}</v>
      </c>
      <c r="F47" s="49" cm="1">
        <f t="array" ref="F47:R47">[1]!decode_json(D47,1,,1)</f>
        <v>625.77054412605696</v>
      </c>
      <c r="G47" s="50">
        <v>15.5882016292868</v>
      </c>
      <c r="H47" s="48">
        <v>0.15454233126719399</v>
      </c>
      <c r="I47" s="50">
        <v>610.02780016550298</v>
      </c>
      <c r="J47" s="48">
        <v>0.97484262545061096</v>
      </c>
      <c r="K47" s="29">
        <v>26.510439838935799</v>
      </c>
      <c r="L47" s="48">
        <v>0.113383944520664</v>
      </c>
      <c r="M47" s="48">
        <v>0.15761441437447701</v>
      </c>
      <c r="N47" s="48">
        <v>1.90972222222222E-3</v>
      </c>
      <c r="O47" s="48">
        <v>3.24769335421893E-2</v>
      </c>
      <c r="P47" s="48">
        <v>2.6100000000000002E-2</v>
      </c>
      <c r="Q47" s="29">
        <v>2466.8847588070798</v>
      </c>
      <c r="R47" s="48">
        <v>-2.46639337740025E-2</v>
      </c>
    </row>
    <row r="48" spans="2:27" x14ac:dyDescent="0.35">
      <c r="B48" s="12">
        <v>10</v>
      </c>
      <c r="C48" s="12">
        <v>80</v>
      </c>
      <c r="D48" s="47" t="str">
        <f t="array" ref="D48:E48">[1]!feed_calc(B48,C48,PVT_stream_,param)</f>
        <v>{"q_mix_rc_m3day":304.914734821282,"q_oil_rc_m3day":15.726164181734,"q_wat_rc_m3day":0.154533724879144,"q_gas_rc_m3day":289.034036914668,"gas_fraction_d":0.947917577955289,"rho_mix_rc_kgm3":54.4077474325444,"mu_mix_cP":0.198311621968887,"mo_kgsec":0.158929686687459,"mw_kgsec":1.90972222222222E-03,"mg_kgsec":3.11616612292074E-02,"mg_kgmol":0.0261,"cmix_JkgC":2467.53051487891,"cJT_Katm":-2.25278119843328E-02}</v>
      </c>
      <c r="E48" s="47" t="str">
        <v>{"q_mix_rc_m3day":304.914734821282,"q_oil_rc_m3day":15.726164181734,"q_wat_rc_m3day":0.154533724879144,"q_gas_rc_m3day":289.034036914668,"gas_fraction_d":0.947917577955289,"rho_mix_rc_kgm3":54.4077474325444,"mu_mix_cP":0.198311621968887,"mo_kgsec":0.158929686687459,"mw_kgsec":1.90972222222222E-03,"mg_kgsec":3.11616612292074E-02,"mg_kgmol":0.0261,"cmix_JkgC":2467.53051487891,"cJT_Katm":-2.25278119843328E-02}</v>
      </c>
      <c r="F48" s="49" cm="1">
        <f t="array" ref="F48:R48">[1]!decode_json(D48,1,,1)</f>
        <v>304.91473482128202</v>
      </c>
      <c r="G48" s="50">
        <v>15.726164181733999</v>
      </c>
      <c r="H48" s="48">
        <v>0.15453372487914399</v>
      </c>
      <c r="I48" s="50">
        <v>289.03403691466798</v>
      </c>
      <c r="J48" s="48">
        <v>0.94791757795528897</v>
      </c>
      <c r="K48" s="29">
        <v>54.407747432544397</v>
      </c>
      <c r="L48" s="48">
        <v>0.19831162196888699</v>
      </c>
      <c r="M48" s="48">
        <v>0.15892968668745899</v>
      </c>
      <c r="N48" s="48">
        <v>1.90972222222222E-3</v>
      </c>
      <c r="O48" s="48">
        <v>3.11616612292074E-2</v>
      </c>
      <c r="P48" s="48">
        <v>2.6100000000000002E-2</v>
      </c>
      <c r="Q48" s="29">
        <v>2467.5305148789098</v>
      </c>
      <c r="R48" s="48">
        <v>-2.2527811984332801E-2</v>
      </c>
    </row>
    <row r="49" spans="2:18" x14ac:dyDescent="0.35">
      <c r="B49" s="12">
        <v>20</v>
      </c>
      <c r="C49" s="12">
        <v>80</v>
      </c>
      <c r="D49" s="47" t="str">
        <f t="array" ref="D49:E49">[1]!feed_calc(B49,C49,PVT_stream_,param)</f>
        <v>{"q_mix_rc_m3day":148.725653440957,"q_oil_rc_m3day":15.9132980592962,"q_wat_rc_m3day":0.154515232053903,"q_gas_rc_m3day":132.657840149607,"gas_fraction_d":0.891963404297774,"rho_mix_rc_kgm3":111.548315314821,"mu_mix_cP":0.345231820071542,"mo_kgsec":0.160708492451327,"mw_kgsec":1.90972222222222E-03,"mg_kgsec":2.93828554653392E-02,"mg_kgmol":0.0261,"cmix_JkgC":2466.17554892505,"cJT_Katm":-2.20516050844161E-02}</v>
      </c>
      <c r="E49" s="47" t="str">
        <v>{"q_mix_rc_m3day":148.725653440957,"q_oil_rc_m3day":15.9132980592962,"q_wat_rc_m3day":0.154515232053903,"q_gas_rc_m3day":132.657840149607,"gas_fraction_d":0.891963404297774,"rho_mix_rc_kgm3":111.548315314821,"mu_mix_cP":0.345231820071542,"mo_kgsec":0.160708492451327,"mw_kgsec":1.90972222222222E-03,"mg_kgsec":2.93828554653392E-02,"mg_kgmol":0.0261,"cmix_JkgC":2466.17554892505,"cJT_Katm":-2.20516050844161E-02}</v>
      </c>
      <c r="F49" s="49" cm="1">
        <f t="array" ref="F49:R49">[1]!decode_json(D49,1,,1)</f>
        <v>148.72565344095699</v>
      </c>
      <c r="G49" s="50">
        <v>15.913298059296199</v>
      </c>
      <c r="H49" s="48">
        <v>0.154515232053903</v>
      </c>
      <c r="I49" s="50">
        <v>132.65784014960701</v>
      </c>
      <c r="J49" s="48">
        <v>0.89196340429777399</v>
      </c>
      <c r="K49" s="29">
        <v>111.548315314821</v>
      </c>
      <c r="L49" s="48">
        <v>0.34523182007154202</v>
      </c>
      <c r="M49" s="48">
        <v>0.16070849245132701</v>
      </c>
      <c r="N49" s="48">
        <v>1.90972222222222E-3</v>
      </c>
      <c r="O49" s="48">
        <v>2.9382855465339201E-2</v>
      </c>
      <c r="P49" s="48">
        <v>2.6100000000000002E-2</v>
      </c>
      <c r="Q49" s="29">
        <v>2466.17554892505</v>
      </c>
      <c r="R49" s="48">
        <v>-2.2051605084416101E-2</v>
      </c>
    </row>
    <row r="50" spans="2:18" x14ac:dyDescent="0.35">
      <c r="B50" s="12">
        <v>40</v>
      </c>
      <c r="C50" s="12">
        <v>80</v>
      </c>
      <c r="D50" s="47" t="str">
        <f t="array" ref="D50:E50">[1]!feed_calc(B50,C50,PVT_stream_,param)</f>
        <v>{"q_mix_rc_m3day":73.2134795429299,"q_oil_rc_m3day":16.18368994419,"q_wat_rc_m3day":0.15447312620685,"q_gas_rc_m3day":56.8753164725331,"gas_fraction_d":0.776842144747175,"rho_mix_rc_kgm3":226.606399782333,"mu_mix_cP":0.580240860425331,"mo_kgsec":0.163268553654313,"mw_kgsec":1.90972222222222E-03,"mg_kgsec":0.026822794262354,"mg_kgmol":0.0261,"cmix_JkgC":2460.33442194499,"cJT_Katm":-2.51700493303556E-02}</v>
      </c>
      <c r="E50" s="47" t="str">
        <v>{"q_mix_rc_m3day":73.2134795429299,"q_oil_rc_m3day":16.18368994419,"q_wat_rc_m3day":0.15447312620685,"q_gas_rc_m3day":56.8753164725331,"gas_fraction_d":0.776842144747175,"rho_mix_rc_kgm3":226.606399782333,"mu_mix_cP":0.580240860425331,"mo_kgsec":0.163268553654313,"mw_kgsec":1.90972222222222E-03,"mg_kgsec":0.026822794262354,"mg_kgmol":0.0261,"cmix_JkgC":2460.33442194499,"cJT_Katm":-2.51700493303556E-02}</v>
      </c>
      <c r="F50" s="49" cm="1">
        <f t="array" ref="F50:R50">[1]!decode_json(D50,1,,1)</f>
        <v>73.213479542929903</v>
      </c>
      <c r="G50" s="50">
        <v>16.18368994419</v>
      </c>
      <c r="H50" s="48">
        <v>0.15447312620685</v>
      </c>
      <c r="I50" s="50">
        <v>56.8753164725331</v>
      </c>
      <c r="J50" s="48">
        <v>0.77684214474717495</v>
      </c>
      <c r="K50" s="29">
        <v>226.606399782333</v>
      </c>
      <c r="L50" s="48">
        <v>0.58024086042533096</v>
      </c>
      <c r="M50" s="48">
        <v>0.163268553654313</v>
      </c>
      <c r="N50" s="48">
        <v>1.90972222222222E-3</v>
      </c>
      <c r="O50" s="48">
        <v>2.6822794262354E-2</v>
      </c>
      <c r="P50" s="48">
        <v>2.6100000000000002E-2</v>
      </c>
      <c r="Q50" s="29">
        <v>2460.33442194499</v>
      </c>
      <c r="R50" s="48">
        <v>-2.51700493303556E-2</v>
      </c>
    </row>
    <row r="51" spans="2:18" x14ac:dyDescent="0.35">
      <c r="B51" s="12">
        <v>60</v>
      </c>
      <c r="C51" s="12">
        <v>80</v>
      </c>
      <c r="D51" s="47" t="str">
        <f t="array" ref="D51:E51">[1]!feed_calc(B51,C51,PVT_stream_,param)</f>
        <v>{"q_mix_rc_m3day":49.1407857061833,"q_oil_rc_m3day":16.4067095218163,"q_wat_rc_m3day":0.154424193431037,"q_gas_rc_m3day":32.579651990936,"gas_fraction_d":0.662985980438577,"rho_mix_rc_kgm3":337.623893966472,"mu_mix_cP":0.756585528883243,"mo_kgsec":0.165368082945222,"mw_kgsec":1.90972222222222E-03,"mg_kgsec":2.47232649714446E-02,"mg_kgmol":0.0261,"cmix_JkgC":2454.47432368022,"cJT_Katm":-2.47517608059814E-02}</v>
      </c>
      <c r="E51" s="47" t="str">
        <v>{"q_mix_rc_m3day":49.1407857061833,"q_oil_rc_m3day":16.4067095218163,"q_wat_rc_m3day":0.154424193431037,"q_gas_rc_m3day":32.579651990936,"gas_fraction_d":0.662985980438577,"rho_mix_rc_kgm3":337.623893966472,"mu_mix_cP":0.756585528883243,"mo_kgsec":0.165368082945222,"mw_kgsec":1.90972222222222E-03,"mg_kgsec":2.47232649714446E-02,"mg_kgmol":0.0261,"cmix_JkgC":2454.47432368022,"cJT_Katm":-2.47517608059814E-02}</v>
      </c>
      <c r="F51" s="49" cm="1">
        <f t="array" ref="F51:R51">[1]!decode_json(D51,1,,1)</f>
        <v>49.140785706183301</v>
      </c>
      <c r="G51" s="50">
        <v>16.4067095218163</v>
      </c>
      <c r="H51" s="48">
        <v>0.154424193431037</v>
      </c>
      <c r="I51" s="50">
        <v>32.579651990936</v>
      </c>
      <c r="J51" s="48">
        <v>0.66298598043857704</v>
      </c>
      <c r="K51" s="29">
        <v>337.623893966472</v>
      </c>
      <c r="L51" s="48">
        <v>0.75658552888324304</v>
      </c>
      <c r="M51" s="48">
        <v>0.16536808294522201</v>
      </c>
      <c r="N51" s="48">
        <v>1.90972222222222E-3</v>
      </c>
      <c r="O51" s="48">
        <v>2.47232649714446E-2</v>
      </c>
      <c r="P51" s="48">
        <v>2.6100000000000002E-2</v>
      </c>
      <c r="Q51" s="29">
        <v>2454.4743236802201</v>
      </c>
      <c r="R51" s="48">
        <v>-2.4751760805981401E-2</v>
      </c>
    </row>
    <row r="52" spans="2:18" x14ac:dyDescent="0.35">
      <c r="B52" s="12">
        <v>80</v>
      </c>
      <c r="C52" s="12">
        <v>80</v>
      </c>
      <c r="D52" s="47" t="str">
        <f t="array" ref="D52:E52">[1]!feed_calc(B52,C52,PVT_stream_,param)</f>
        <v>{"q_mix_rc_m3day":37.8674027728173,"q_oil_rc_m3day":16.6113548033823,"q_wat_rc_m3day":0.154368433726465,"q_gas_rc_m3day":21.1016795357085,"gas_fraction_d":0.557251831141061,"rho_mix_rc_kgm3":438.148195602233,"mu_mix_cP":0.879942331174532,"mo_kgsec":0.167281938218308,"mw_kgsec":1.90972222222222E-03,"mg_kgsec":2.28094096983592E-02,"mg_kgmol":0.0261,"cmix_JkgC":2451.80504779108,"cJT_Katm":-0.017825077245351}</v>
      </c>
      <c r="E52" s="47" t="str">
        <v>{"q_mix_rc_m3day":37.8674027728173,"q_oil_rc_m3day":16.6113548033823,"q_wat_rc_m3day":0.154368433726465,"q_gas_rc_m3day":21.1016795357085,"gas_fraction_d":0.557251831141061,"rho_mix_rc_kgm3":438.148195602233,"mu_mix_cP":0.879942331174532,"mo_kgsec":0.167281938218308,"mw_kgsec":1.90972222222222E-03,"mg_kgsec":2.28094096983592E-02,"mg_kgmol":0.0261,"cmix_JkgC":2451.80504779108,"cJT_Katm":-0.017825077245351}</v>
      </c>
      <c r="F52" s="49" cm="1">
        <f t="array" ref="F52:R52">[1]!decode_json(D52,1,,1)</f>
        <v>37.8674027728173</v>
      </c>
      <c r="G52" s="50">
        <v>16.611354803382302</v>
      </c>
      <c r="H52" s="48">
        <v>0.154368433726465</v>
      </c>
      <c r="I52" s="50">
        <v>21.101679535708499</v>
      </c>
      <c r="J52" s="48">
        <v>0.55725183114106103</v>
      </c>
      <c r="K52" s="29">
        <v>438.14819560223299</v>
      </c>
      <c r="L52" s="48">
        <v>0.87994233117453202</v>
      </c>
      <c r="M52" s="48">
        <v>0.167281938218308</v>
      </c>
      <c r="N52" s="48">
        <v>1.90972222222222E-3</v>
      </c>
      <c r="O52" s="48">
        <v>2.28094096983592E-2</v>
      </c>
      <c r="P52" s="48">
        <v>2.6100000000000002E-2</v>
      </c>
      <c r="Q52" s="29">
        <v>2451.8050477910801</v>
      </c>
      <c r="R52" s="48">
        <v>-1.7825077245351002E-2</v>
      </c>
    </row>
    <row r="53" spans="2:18" x14ac:dyDescent="0.35">
      <c r="B53" s="12">
        <v>100</v>
      </c>
      <c r="C53" s="12">
        <v>80</v>
      </c>
      <c r="D53" s="47" t="str">
        <f t="array" ref="D53:E53">[1]!feed_calc(B53,C53,PVT_stream_,param)</f>
        <v>{"q_mix_rc_m3day":31.7297939020499,"q_oil_rc_m3day":16.8080308980993,"q_wat_rc_m3day":0.154305847093133,"q_gas_rc_m3day":14.7674571568575,"gas_fraction_d":0.465412955484197,"rho_mix_rc_kgm3":522.914090045681,"mu_mix_cP":0.95407023384803,"mo_kgsec":0.169107974562919,"mw_kgsec":1.90972222222222E-03,"mg_kgsec":2.09833733537481E-02,"mg_kgmol":0.0261,"cmix_JkgC":2453.80843377372,"cJT_Katm":-6.84652331664624E-03}</v>
      </c>
      <c r="E53" s="47" t="str">
        <v>{"q_mix_rc_m3day":31.7297939020499,"q_oil_rc_m3day":16.8080308980993,"q_wat_rc_m3day":0.154305847093133,"q_gas_rc_m3day":14.7674571568575,"gas_fraction_d":0.465412955484197,"rho_mix_rc_kgm3":522.914090045681,"mu_mix_cP":0.95407023384803,"mo_kgsec":0.169107974562919,"mw_kgsec":1.90972222222222E-03,"mg_kgsec":2.09833733537481E-02,"mg_kgmol":0.0261,"cmix_JkgC":2453.80843377372,"cJT_Katm":-6.84652331664624E-03}</v>
      </c>
      <c r="F53" s="49" cm="1">
        <f t="array" ref="F53:R53">[1]!decode_json(D53,1,,1)</f>
        <v>31.729793902049899</v>
      </c>
      <c r="G53" s="50">
        <v>16.8080308980993</v>
      </c>
      <c r="H53" s="48">
        <v>0.154305847093133</v>
      </c>
      <c r="I53" s="50">
        <v>14.7674571568575</v>
      </c>
      <c r="J53" s="48">
        <v>0.46541295548419698</v>
      </c>
      <c r="K53" s="29">
        <v>522.91409004568095</v>
      </c>
      <c r="L53" s="48">
        <v>0.95407023384803002</v>
      </c>
      <c r="M53" s="48">
        <v>0.16910797456291901</v>
      </c>
      <c r="N53" s="48">
        <v>1.90972222222222E-3</v>
      </c>
      <c r="O53" s="48">
        <v>2.09833733537481E-2</v>
      </c>
      <c r="P53" s="48">
        <v>2.6100000000000002E-2</v>
      </c>
      <c r="Q53" s="29">
        <v>2453.80843377372</v>
      </c>
      <c r="R53" s="48">
        <v>-6.8465233166462398E-3</v>
      </c>
    </row>
    <row r="54" spans="2:18" x14ac:dyDescent="0.35">
      <c r="B54" s="12">
        <v>120</v>
      </c>
      <c r="C54" s="12">
        <v>80</v>
      </c>
      <c r="D54" s="47" t="str">
        <f t="array" ref="D54:E54">[1]!feed_calc(B54,C54,PVT_stream_,param)</f>
        <v>{"q_mix_rc_m3day":28.0935426724957,"q_oil_rc_m3day":17.0017565557383,"q_wat_rc_m3day":0.154236433531042,"q_gas_rc_m3day":10.9375496832263,"gas_fraction_d":0.389326109943922,"rho_mix_rc_kgm3":590.611889467886,"mu_mix_cP":0.9878782229438,"mo_kgsec":0.17089307985967,"mw_kgsec":1.90972222222222E-03,"mg_kgsec":0.019198268056997,"mg_kgmol":0.0261,"cmix_JkgC":2460.25254211172,"cJT_Katm":4.76776081019974E-03}</v>
      </c>
      <c r="E54" s="47" t="str">
        <v>{"q_mix_rc_m3day":28.0935426724957,"q_oil_rc_m3day":17.0017565557383,"q_wat_rc_m3day":0.154236433531042,"q_gas_rc_m3day":10.9375496832263,"gas_fraction_d":0.389326109943922,"rho_mix_rc_kgm3":590.611889467886,"mu_mix_cP":0.9878782229438,"mo_kgsec":0.17089307985967,"mw_kgsec":1.90972222222222E-03,"mg_kgsec":0.019198268056997,"mg_kgmol":0.0261,"cmix_JkgC":2460.25254211172,"cJT_Katm":4.76776081019974E-03}</v>
      </c>
      <c r="F54" s="49" cm="1">
        <f t="array" ref="F54:R54">[1]!decode_json(D54,1,,1)</f>
        <v>28.093542672495701</v>
      </c>
      <c r="G54" s="50">
        <v>17.0017565557383</v>
      </c>
      <c r="H54" s="48">
        <v>0.15423643353104199</v>
      </c>
      <c r="I54" s="50">
        <v>10.937549683226299</v>
      </c>
      <c r="J54" s="48">
        <v>0.38932610994392203</v>
      </c>
      <c r="K54" s="29">
        <v>590.61188946788604</v>
      </c>
      <c r="L54" s="48">
        <v>0.98787822294380001</v>
      </c>
      <c r="M54" s="48">
        <v>0.17089307985967001</v>
      </c>
      <c r="N54" s="48">
        <v>1.90972222222222E-3</v>
      </c>
      <c r="O54" s="48">
        <v>1.9198268056996998E-2</v>
      </c>
      <c r="P54" s="48">
        <v>2.6100000000000002E-2</v>
      </c>
      <c r="Q54" s="29">
        <v>2460.2525421117198</v>
      </c>
      <c r="R54" s="48">
        <v>4.76776081019974E-3</v>
      </c>
    </row>
    <row r="55" spans="2:18" x14ac:dyDescent="0.35">
      <c r="B55" s="12">
        <v>140</v>
      </c>
      <c r="C55" s="12">
        <v>80</v>
      </c>
      <c r="D55" s="47" t="str">
        <f t="array" ref="D55:E55">[1]!feed_calc(B55,C55,PVT_stream_,param)</f>
        <v>{"q_mix_rc_m3day":25.7896296724123,"q_oil_rc_m3day":17.1953398430403,"q_wat_rc_m3day":0.154160193040191,"q_gas_rc_m3day":8.44012963633185,"gas_fraction_d":0.327268353347486,"rho_mix_rc_kgm3":643.390880781552,"mu_mix_cP":0.993155652272616,"mo_kgsec":0.172663382398297,"mw_kgsec":1.90972222222222E-03,"mg_kgsec":1.74279655183696E-02,"mg_kgmol":0.0261,"cmix_JkgC":2470.02669300174,"cJT_Katm":1.49920658862742E-02}</v>
      </c>
      <c r="E55" s="47" t="str">
        <v>{"q_mix_rc_m3day":25.7896296724123,"q_oil_rc_m3day":17.1953398430403,"q_wat_rc_m3day":0.154160193040191,"q_gas_rc_m3day":8.44012963633185,"gas_fraction_d":0.327268353347486,"rho_mix_rc_kgm3":643.390880781552,"mu_mix_cP":0.993155652272616,"mo_kgsec":0.172663382398297,"mw_kgsec":1.90972222222222E-03,"mg_kgsec":1.74279655183696E-02,"mg_kgmol":0.0261,"cmix_JkgC":2470.02669300174,"cJT_Katm":1.49920658862742E-02}</v>
      </c>
      <c r="F55" s="49" cm="1">
        <f t="array" ref="F55:R55">[1]!decode_json(D55,1,,1)</f>
        <v>25.7896296724123</v>
      </c>
      <c r="G55" s="50">
        <v>17.195339843040301</v>
      </c>
      <c r="H55" s="48">
        <v>0.15416019304019099</v>
      </c>
      <c r="I55" s="50">
        <v>8.4401296363318501</v>
      </c>
      <c r="J55" s="48">
        <v>0.327268353347486</v>
      </c>
      <c r="K55" s="29">
        <v>643.39088078155203</v>
      </c>
      <c r="L55" s="48">
        <v>0.99315565227261604</v>
      </c>
      <c r="M55" s="48">
        <v>0.17266338239829701</v>
      </c>
      <c r="N55" s="48">
        <v>1.90972222222222E-3</v>
      </c>
      <c r="O55" s="48">
        <v>1.7427965518369601E-2</v>
      </c>
      <c r="P55" s="48">
        <v>2.6100000000000002E-2</v>
      </c>
      <c r="Q55" s="29">
        <v>2470.0266930017401</v>
      </c>
      <c r="R55" s="48">
        <v>1.49920658862742E-2</v>
      </c>
    </row>
    <row r="56" spans="2:18" x14ac:dyDescent="0.35">
      <c r="B56" s="12">
        <v>160</v>
      </c>
      <c r="C56" s="12">
        <v>80</v>
      </c>
      <c r="D56" s="47" t="str">
        <f t="array" ref="D56:E56">[1]!feed_calc(B56,C56,PVT_stream_,param)</f>
        <v>{"q_mix_rc_m3day":24.2341668987882,"q_oil_rc_m3day":17.3904956532875,"q_wat_rc_m3day":0.15407712562058,"q_gas_rc_m3day":6.68959411988017,"gas_fraction_d":0.276039780852325,"rho_mix_rc_kgm3":684.705080693951,"mu_mix_cP":0.980559244424426,"mo_kgsec":0.174434855118234,"mw_kgsec":1.90972222222222E-03,"mg_kgsec":1.56564927984331E-02,"mg_kgmol":0.0261,"cmix_JkgC":2481.88998368314,"cJT_Katm":2.31879881407625E-02}</v>
      </c>
      <c r="E56" s="47" t="str">
        <v>{"q_mix_rc_m3day":24.2341668987882,"q_oil_rc_m3day":17.3904956532875,"q_wat_rc_m3day":0.15407712562058,"q_gas_rc_m3day":6.68959411988017,"gas_fraction_d":0.276039780852325,"rho_mix_rc_kgm3":684.705080693951,"mu_mix_cP":0.980559244424426,"mo_kgsec":0.174434855118234,"mw_kgsec":1.90972222222222E-03,"mg_kgsec":1.56564927984331E-02,"mg_kgmol":0.0261,"cmix_JkgC":2481.88998368314,"cJT_Katm":2.31879881407625E-02}</v>
      </c>
      <c r="F56" s="49" cm="1">
        <f t="array" ref="F56:R56">[1]!decode_json(D56,1,,1)</f>
        <v>24.2341668987882</v>
      </c>
      <c r="G56" s="50">
        <v>17.390495653287498</v>
      </c>
      <c r="H56" s="48">
        <v>0.15407712562058001</v>
      </c>
      <c r="I56" s="50">
        <v>6.6895941198801703</v>
      </c>
      <c r="J56" s="48">
        <v>0.276039780852325</v>
      </c>
      <c r="K56" s="29">
        <v>684.705080693951</v>
      </c>
      <c r="L56" s="48">
        <v>0.98055924442442599</v>
      </c>
      <c r="M56" s="48">
        <v>0.17443485511823401</v>
      </c>
      <c r="N56" s="48">
        <v>1.90972222222222E-3</v>
      </c>
      <c r="O56" s="48">
        <v>1.5656492798433098E-2</v>
      </c>
      <c r="P56" s="48">
        <v>2.6100000000000002E-2</v>
      </c>
      <c r="Q56" s="29">
        <v>2481.8899836831401</v>
      </c>
      <c r="R56" s="48">
        <v>2.3187988140762499E-2</v>
      </c>
    </row>
    <row r="57" spans="2:18" x14ac:dyDescent="0.35">
      <c r="B57" s="12">
        <v>180</v>
      </c>
      <c r="C57" s="12">
        <v>80</v>
      </c>
      <c r="D57" s="47" t="str">
        <f t="array" ref="D57:E57">[1]!feed_calc(B57,C57,PVT_stream_,param)</f>
        <v>{"q_mix_rc_m3day":23.1180324554333,"q_oil_rc_m3day":17.5883286813974,"q_wat_rc_m3day":0.15398723127221,"q_gas_rc_m3day":5.37571654276364,"gas_fraction_d":0.232533480222718,"rho_mix_rc_kgm3":717.782420876315,"mu_mix_cP":0.957884337884415,"mo_kgsec":0.176217890593373,"mw_kgsec":1.90972222222222E-03,"mg_kgsec":1.38734573232937E-02,"mg_kgmol":0.0261,"cmix_JkgC":2494.81469642504,"cJT_Katm":2.94496702833199E-02}</v>
      </c>
      <c r="E57" s="47" t="str">
        <v>{"q_mix_rc_m3day":23.1180324554333,"q_oil_rc_m3day":17.5883286813974,"q_wat_rc_m3day":0.15398723127221,"q_gas_rc_m3day":5.37571654276364,"gas_fraction_d":0.232533480222718,"rho_mix_rc_kgm3":717.782420876315,"mu_mix_cP":0.957884337884415,"mo_kgsec":0.176217890593373,"mw_kgsec":1.90972222222222E-03,"mg_kgsec":1.38734573232937E-02,"mg_kgmol":0.0261,"cmix_JkgC":2494.81469642504,"cJT_Katm":2.94496702833199E-02}</v>
      </c>
      <c r="F57" s="49" cm="1">
        <f t="array" ref="F57:R57">[1]!decode_json(D57,1,,1)</f>
        <v>23.118032455433301</v>
      </c>
      <c r="G57" s="50">
        <v>17.5883286813974</v>
      </c>
      <c r="H57" s="48">
        <v>0.15398723127221001</v>
      </c>
      <c r="I57" s="50">
        <v>5.37571654276364</v>
      </c>
      <c r="J57" s="48">
        <v>0.232533480222718</v>
      </c>
      <c r="K57" s="29">
        <v>717.78242087631497</v>
      </c>
      <c r="L57" s="48">
        <v>0.95788433788441496</v>
      </c>
      <c r="M57" s="48">
        <v>0.17621789059337301</v>
      </c>
      <c r="N57" s="48">
        <v>1.90972222222222E-3</v>
      </c>
      <c r="O57" s="48">
        <v>1.38734573232937E-2</v>
      </c>
      <c r="P57" s="48">
        <v>2.6100000000000002E-2</v>
      </c>
      <c r="Q57" s="29">
        <v>2494.81469642504</v>
      </c>
      <c r="R57" s="48">
        <v>2.9449670283319899E-2</v>
      </c>
    </row>
    <row r="58" spans="2:18" x14ac:dyDescent="0.35">
      <c r="B58" s="12">
        <v>200</v>
      </c>
      <c r="C58" s="12">
        <v>80</v>
      </c>
      <c r="D58" s="47" t="str">
        <f t="array" ref="D58:E58">[1]!feed_calc(B58,C58,PVT_stream_,param)</f>
        <v>{"q_mix_rc_m3day":22.4057749939065,"q_oil_rc_m3day":17.6895489860842,"q_wat_rc_m3day":0.15389050999508,"q_gas_rc_m3day":4.56233549782719,"gas_fraction_d":0.203623195317635,"rho_mix_rc_kgm3":740.610220202457,"mu_mix_cP":0.951547397473326,"mo_kgsec":0.17736530625,"mw_kgsec":1.90972222222222E-03,"mg_kgsec":1.27260416666667E-02,"mg_kgmol":0.0261,"cmix_JkgC":2504.28815677853,"cJT_Katm":3.34152140314249E-02}</v>
      </c>
      <c r="E58" s="47" t="str">
        <v>{"q_mix_rc_m3day":22.4057749939065,"q_oil_rc_m3day":17.6895489860842,"q_wat_rc_m3day":0.15389050999508,"q_gas_rc_m3day":4.56233549782719,"gas_fraction_d":0.203623195317635,"rho_mix_rc_kgm3":740.610220202457,"mu_mix_cP":0.951547397473326,"mo_kgsec":0.17736530625,"mw_kgsec":1.90972222222222E-03,"mg_kgsec":1.27260416666667E-02,"mg_kgmol":0.0261,"cmix_JkgC":2504.28815677853,"cJT_Katm":3.34152140314249E-02}</v>
      </c>
      <c r="F58" s="49" cm="1">
        <f t="array" ref="F58:R58">[1]!decode_json(D58,1,,1)</f>
        <v>22.405774993906501</v>
      </c>
      <c r="G58" s="50">
        <v>17.689548986084201</v>
      </c>
      <c r="H58" s="48">
        <v>0.15389050999508</v>
      </c>
      <c r="I58" s="50">
        <v>4.5623354978271902</v>
      </c>
      <c r="J58" s="48">
        <v>0.20362319531763501</v>
      </c>
      <c r="K58" s="29">
        <v>740.61022020245696</v>
      </c>
      <c r="L58" s="48">
        <v>0.95154739747332595</v>
      </c>
      <c r="M58" s="48">
        <v>0.17736530624999999</v>
      </c>
      <c r="N58" s="48">
        <v>1.90972222222222E-3</v>
      </c>
      <c r="O58" s="48">
        <v>1.27260416666667E-2</v>
      </c>
      <c r="P58" s="48">
        <v>2.6100000000000002E-2</v>
      </c>
      <c r="Q58" s="29">
        <v>2504.2881567785298</v>
      </c>
      <c r="R58" s="48">
        <v>3.3415214031424903E-2</v>
      </c>
    </row>
    <row r="59" spans="2:18" x14ac:dyDescent="0.35">
      <c r="B59" s="12">
        <v>220</v>
      </c>
      <c r="C59" s="12">
        <v>80</v>
      </c>
      <c r="D59" s="47" t="str">
        <f t="array" ref="D59:E59">[1]!feed_calc(B59,C59,PVT_stream_,param)</f>
        <v>{"q_mix_rc_m3day":22.0617529204036,"q_oil_rc_m3day":17.6248167726648,"q_wat_rc_m3day":0.153786961789191,"q_gas_rc_m3day":4.28314918594955,"gas_fraction_d":0.194143647669462,"rho_mix_rc_kgm3":752.151236809497,"mu_mix_cP":0.980217429389153,"mo_kgsec":0.17736530625,"mw_kgsec":1.90972222222222E-03,"mg_kgsec":1.27260416666667E-02,"mg_kgmol":0.0261,"cmix_JkgC":2507.44272712634,"cJT_Katm":3.53495890389203E-02}</v>
      </c>
      <c r="E59" s="47" t="str">
        <v>{"q_mix_rc_m3day":22.0617529204036,"q_oil_rc_m3day":17.6248167726648,"q_wat_rc_m3day":0.153786961789191,"q_gas_rc_m3day":4.28314918594955,"gas_fraction_d":0.194143647669462,"rho_mix_rc_kgm3":752.151236809497,"mu_mix_cP":0.980217429389153,"mo_kgsec":0.17736530625,"mw_kgsec":1.90972222222222E-03,"mg_kgsec":1.27260416666667E-02,"mg_kgmol":0.0261,"cmix_JkgC":2507.44272712634,"cJT_Katm":3.53495890389203E-02}</v>
      </c>
      <c r="F59" s="49" cm="1">
        <f t="array" ref="F59:R59">[1]!decode_json(D59,1,,1)</f>
        <v>22.061752920403599</v>
      </c>
      <c r="G59" s="50">
        <v>17.624816772664801</v>
      </c>
      <c r="H59" s="48">
        <v>0.15378696178919099</v>
      </c>
      <c r="I59" s="50">
        <v>4.2831491859495499</v>
      </c>
      <c r="J59" s="48">
        <v>0.19414364766946199</v>
      </c>
      <c r="K59" s="29">
        <v>752.15123680949705</v>
      </c>
      <c r="L59" s="48">
        <v>0.98021742938915302</v>
      </c>
      <c r="M59" s="48">
        <v>0.17736530624999999</v>
      </c>
      <c r="N59" s="48">
        <v>1.90972222222222E-3</v>
      </c>
      <c r="O59" s="48">
        <v>1.27260416666667E-2</v>
      </c>
      <c r="P59" s="48">
        <v>2.6100000000000002E-2</v>
      </c>
      <c r="Q59" s="29">
        <v>2507.4427271263398</v>
      </c>
      <c r="R59" s="48">
        <v>3.5349589038920298E-2</v>
      </c>
    </row>
    <row r="60" spans="2:18" x14ac:dyDescent="0.35">
      <c r="B60" s="12">
        <v>240</v>
      </c>
      <c r="C60" s="12">
        <v>80</v>
      </c>
      <c r="D60" s="47" t="str">
        <f t="array" ref="D60:E60">[1]!feed_calc(B60,C60,PVT_stream_,param)</f>
        <v>{"q_mix_rc_m3day":21.7892635495755,"q_oil_rc_m3day":17.571054246541,"q_wat_rc_m3day":0.153676586654542,"q_gas_rc_m3day":4.06453271637996,"gas_fraction_d":0.186538324580463,"rho_mix_rc_kgm3":761.551349443533,"mu_mix_cP":1.00699526276459,"mo_kgsec":0.17736530625,"mw_kgsec":1.90972222222222E-03,"mg_kgsec":1.27260416666667E-02,"mg_kgmol":0.0261,"cmix_JkgC":2510.95365849164,"cJT_Katm":0.036867369531678}</v>
      </c>
      <c r="E60" s="47" t="str">
        <v>{"q_mix_rc_m3day":21.7892635495755,"q_oil_rc_m3day":17.571054246541,"q_wat_rc_m3day":0.153676586654542,"q_gas_rc_m3day":4.06453271637996,"gas_fraction_d":0.186538324580463,"rho_mix_rc_kgm3":761.551349443533,"mu_mix_cP":1.00699526276459,"mo_kgsec":0.17736530625,"mw_kgsec":1.90972222222222E-03,"mg_kgsec":1.27260416666667E-02,"mg_kgmol":0.0261,"cmix_JkgC":2510.95365849164,"cJT_Katm":0.036867369531678}</v>
      </c>
      <c r="F60" s="49" cm="1">
        <f t="array" ref="F60:R60">[1]!decode_json(D60,1,,1)</f>
        <v>21.789263549575502</v>
      </c>
      <c r="G60" s="50">
        <v>17.571054246540999</v>
      </c>
      <c r="H60" s="48">
        <v>0.15367658665454201</v>
      </c>
      <c r="I60" s="50">
        <v>4.0645327163799596</v>
      </c>
      <c r="J60" s="48">
        <v>0.18653832458046299</v>
      </c>
      <c r="K60" s="29">
        <v>761.55134944353301</v>
      </c>
      <c r="L60" s="48">
        <v>1.0069952627645899</v>
      </c>
      <c r="M60" s="48">
        <v>0.17736530624999999</v>
      </c>
      <c r="N60" s="48">
        <v>1.90972222222222E-3</v>
      </c>
      <c r="O60" s="48">
        <v>1.27260416666667E-2</v>
      </c>
      <c r="P60" s="48">
        <v>2.6100000000000002E-2</v>
      </c>
      <c r="Q60" s="29">
        <v>2510.95365849164</v>
      </c>
      <c r="R60" s="48">
        <v>3.6867369531677997E-2</v>
      </c>
    </row>
    <row r="61" spans="2:18" x14ac:dyDescent="0.35">
      <c r="B61" s="12">
        <v>260</v>
      </c>
      <c r="C61" s="12">
        <v>80</v>
      </c>
      <c r="D61" s="47" t="str">
        <f t="array" ref="D61:E61">[1]!feed_calc(B61,C61,PVT_stream_,param)</f>
        <v>{"q_mix_rc_m3day":21.5676808209448,"q_oil_rc_m3day":17.5256909903204,"q_wat_rc_m3day":0.153559384591134,"q_gas_rc_m3day":3.88843044603325,"gas_fraction_d":0.180289687997289,"rho_mix_rc_kgm3":769.370696206958,"mu_mix_cP":1.0324045060771,"mo_kgsec":0.17736530625,"mw_kgsec":1.90972222222222E-03,"mg_kgsec":1.27260416666667E-02,"mg_kgmol":0.0261,"cmix_JkgC":2514.70880883149,"cJT_Katm":3.80611440107863E-02}</v>
      </c>
      <c r="E61" s="47" t="str">
        <v>{"q_mix_rc_m3day":21.5676808209448,"q_oil_rc_m3day":17.5256909903204,"q_wat_rc_m3day":0.153559384591134,"q_gas_rc_m3day":3.88843044603325,"gas_fraction_d":0.180289687997289,"rho_mix_rc_kgm3":769.370696206958,"mu_mix_cP":1.0324045060771,"mo_kgsec":0.17736530625,"mw_kgsec":1.90972222222222E-03,"mg_kgsec":1.27260416666667E-02,"mg_kgmol":0.0261,"cmix_JkgC":2514.70880883149,"cJT_Katm":3.80611440107863E-02}</v>
      </c>
      <c r="F61" s="49" cm="1">
        <f t="array" ref="F61:R61">[1]!decode_json(D61,1,,1)</f>
        <v>21.567680820944801</v>
      </c>
      <c r="G61" s="50">
        <v>17.525690990320399</v>
      </c>
      <c r="H61" s="48">
        <v>0.153559384591134</v>
      </c>
      <c r="I61" s="50">
        <v>3.8884304460332499</v>
      </c>
      <c r="J61" s="48">
        <v>0.18028968799728901</v>
      </c>
      <c r="K61" s="29">
        <v>769.37069620695797</v>
      </c>
      <c r="L61" s="48">
        <v>1.0324045060771001</v>
      </c>
      <c r="M61" s="48">
        <v>0.17736530624999999</v>
      </c>
      <c r="N61" s="48">
        <v>1.90972222222222E-3</v>
      </c>
      <c r="O61" s="48">
        <v>1.27260416666667E-2</v>
      </c>
      <c r="P61" s="48">
        <v>2.6100000000000002E-2</v>
      </c>
      <c r="Q61" s="29">
        <v>2514.7088088314899</v>
      </c>
      <c r="R61" s="48">
        <v>3.8061144010786301E-2</v>
      </c>
    </row>
    <row r="62" spans="2:18" x14ac:dyDescent="0.35">
      <c r="B62" s="12">
        <v>280</v>
      </c>
      <c r="C62" s="12">
        <v>80</v>
      </c>
      <c r="D62" s="47" t="str">
        <f t="array" ref="D62:E62">[1]!feed_calc(B62,C62,PVT_stream_,param)</f>
        <v>{"q_mix_rc_m3day":21.3835929209175,"q_oil_rc_m3day":17.486901424314,"q_wat_rc_m3day":0.153435355598965,"q_gas_rc_m3day":3.74325614100451,"gas_fraction_d":0.175052721722122,"rho_mix_rc_kgm3":775.990453093198,"mu_mix_cP":1.05679510090599,"mo_kgsec":0.17736530625,"mw_kgsec":1.90972222222222E-03,"mg_kgsec":1.27260416666667E-02,"mg_kgmol":0.0261,"cmix_JkgC":2518.63485072429,"cJT_Katm":3.90065290194803E-02}</v>
      </c>
      <c r="E62" s="47" t="str">
        <v>{"q_mix_rc_m3day":21.3835929209175,"q_oil_rc_m3day":17.486901424314,"q_wat_rc_m3day":0.153435355598965,"q_gas_rc_m3day":3.74325614100451,"gas_fraction_d":0.175052721722122,"rho_mix_rc_kgm3":775.990453093198,"mu_mix_cP":1.05679510090599,"mo_kgsec":0.17736530625,"mw_kgsec":1.90972222222222E-03,"mg_kgsec":1.27260416666667E-02,"mg_kgmol":0.0261,"cmix_JkgC":2518.63485072429,"cJT_Katm":3.90065290194803E-02}</v>
      </c>
      <c r="F62" s="49" cm="1">
        <f t="array" ref="F62:R62">[1]!decode_json(D62,1,,1)</f>
        <v>21.383592920917501</v>
      </c>
      <c r="G62" s="50">
        <v>17.486901424313999</v>
      </c>
      <c r="H62" s="48">
        <v>0.15343535559896501</v>
      </c>
      <c r="I62" s="50">
        <v>3.74325614100451</v>
      </c>
      <c r="J62" s="48">
        <v>0.175052721722122</v>
      </c>
      <c r="K62" s="29">
        <v>775.99045309319797</v>
      </c>
      <c r="L62" s="48">
        <v>1.0567951009059899</v>
      </c>
      <c r="M62" s="48">
        <v>0.17736530624999999</v>
      </c>
      <c r="N62" s="48">
        <v>1.90972222222222E-3</v>
      </c>
      <c r="O62" s="48">
        <v>1.27260416666667E-2</v>
      </c>
      <c r="P62" s="48">
        <v>2.6100000000000002E-2</v>
      </c>
      <c r="Q62" s="29">
        <v>2518.6348507242901</v>
      </c>
      <c r="R62" s="48">
        <v>3.9006529019480297E-2</v>
      </c>
    </row>
    <row r="63" spans="2:18" x14ac:dyDescent="0.35">
      <c r="B63" s="12">
        <v>300</v>
      </c>
      <c r="C63" s="12">
        <v>80</v>
      </c>
      <c r="D63" s="47" t="str">
        <f t="array" ref="D63:E63">[1]!feed_calc(B63,C63,PVT_stream_,param)</f>
        <v>{"q_mix_rc_m3day":21.2279857631734,"q_oil_rc_m3day":17.4533532526896,"q_wat_rc_m3day":0.153304499678038,"q_gas_rc_m3day":3.62132801080571,"gas_fraction_d":0.170592163156998,"rho_mix_rc_kgm3":781.675930423858,"mu_mix_cP":1.08040533641133,"mo_kgsec":0.17736530625,"mw_kgsec":1.90972222222222E-03,"mg_kgsec":1.27260416666667E-02,"mg_kgmol":0.0261,"cmix_JkgC":2522.6843097773,"cJT_Katm":3.97623637922219E-02}</v>
      </c>
      <c r="E63" s="47" t="str">
        <v>{"q_mix_rc_m3day":21.2279857631734,"q_oil_rc_m3day":17.4533532526896,"q_wat_rc_m3day":0.153304499678038,"q_gas_rc_m3day":3.62132801080571,"gas_fraction_d":0.170592163156998,"rho_mix_rc_kgm3":781.675930423858,"mu_mix_cP":1.08040533641133,"mo_kgsec":0.17736530625,"mw_kgsec":1.90972222222222E-03,"mg_kgsec":1.27260416666667E-02,"mg_kgmol":0.0261,"cmix_JkgC":2522.6843097773,"cJT_Katm":3.97623637922219E-02}</v>
      </c>
      <c r="F63" s="49" cm="1">
        <f t="array" ref="F63:R63">[1]!decode_json(D63,1,,1)</f>
        <v>21.2279857631734</v>
      </c>
      <c r="G63" s="50">
        <v>17.453353252689599</v>
      </c>
      <c r="H63" s="48">
        <v>0.153304499678038</v>
      </c>
      <c r="I63" s="50">
        <v>3.6213280108057102</v>
      </c>
      <c r="J63" s="48">
        <v>0.17059216315699799</v>
      </c>
      <c r="K63" s="29">
        <v>781.67593042385795</v>
      </c>
      <c r="L63" s="48">
        <v>1.08040533641133</v>
      </c>
      <c r="M63" s="48">
        <v>0.17736530624999999</v>
      </c>
      <c r="N63" s="48">
        <v>1.90972222222222E-3</v>
      </c>
      <c r="O63" s="48">
        <v>1.27260416666667E-2</v>
      </c>
      <c r="P63" s="48">
        <v>2.6100000000000002E-2</v>
      </c>
      <c r="Q63" s="29">
        <v>2522.6843097772999</v>
      </c>
      <c r="R63" s="48">
        <v>3.9762363792221901E-2</v>
      </c>
    </row>
    <row r="64" spans="2:18" x14ac:dyDescent="0.35">
      <c r="B64" s="12">
        <v>320</v>
      </c>
      <c r="C64" s="12">
        <v>80</v>
      </c>
      <c r="D64" s="47" t="str">
        <f t="array" ref="D64:E64">[1]!feed_calc(B64,C64,PVT_stream_,param)</f>
        <v>{"q_mix_rc_m3day":21.0945976184506,"q_oil_rc_m3day":17.4240514031251,"q_wat_rc_m3day":0.15316681682835,"q_gas_rc_m3day":3.51737939849722,"gas_fraction_d":0.166743137845905,"rho_mix_rc_kgm3":786.616708378604,"mu_mix_cP":1.10340150389735,"mo_kgsec":0.17736530625,"mw_kgsec":1.90972222222222E-03,"mg_kgsec":1.27260416666667E-02,"mg_kgmol":0.0261,"cmix_JkgC":2526.82645442493,"cJT_Katm":4.03732934889278E-02}</v>
      </c>
      <c r="E64" s="47" t="str">
        <v>{"q_mix_rc_m3day":21.0945976184506,"q_oil_rc_m3day":17.4240514031251,"q_wat_rc_m3day":0.15316681682835,"q_gas_rc_m3day":3.51737939849722,"gas_fraction_d":0.166743137845905,"rho_mix_rc_kgm3":786.616708378604,"mu_mix_cP":1.10340150389735,"mo_kgsec":0.17736530625,"mw_kgsec":1.90972222222222E-03,"mg_kgsec":1.27260416666667E-02,"mg_kgmol":0.0261,"cmix_JkgC":2526.82645442493,"cJT_Katm":4.03732934889278E-02}</v>
      </c>
      <c r="F64" s="49" cm="1">
        <f t="array" ref="F64:R64">[1]!decode_json(D64,1,,1)</f>
        <v>21.094597618450599</v>
      </c>
      <c r="G64" s="50">
        <v>17.424051403125102</v>
      </c>
      <c r="H64" s="48">
        <v>0.15316681682835001</v>
      </c>
      <c r="I64" s="50">
        <v>3.5173793984972201</v>
      </c>
      <c r="J64" s="48">
        <v>0.166743137845905</v>
      </c>
      <c r="K64" s="29">
        <v>786.61670837860402</v>
      </c>
      <c r="L64" s="48">
        <v>1.1034015038973499</v>
      </c>
      <c r="M64" s="48">
        <v>0.17736530624999999</v>
      </c>
      <c r="N64" s="48">
        <v>1.90972222222222E-3</v>
      </c>
      <c r="O64" s="48">
        <v>1.27260416666667E-2</v>
      </c>
      <c r="P64" s="48">
        <v>2.6100000000000002E-2</v>
      </c>
      <c r="Q64" s="29">
        <v>2526.82645442493</v>
      </c>
      <c r="R64" s="48">
        <v>4.0373293488927799E-2</v>
      </c>
    </row>
    <row r="65" spans="2:22" x14ac:dyDescent="0.35">
      <c r="B65" s="12">
        <v>340</v>
      </c>
      <c r="C65" s="12">
        <v>80</v>
      </c>
      <c r="D65" s="47" t="str">
        <f t="array" ref="D65:E65">[1]!feed_calc(B65,C65,PVT_stream_,param)</f>
        <v>{"q_mix_rc_m3day":20.9789372996468,"q_oil_rc_m3day":17.3982376857305,"q_wat_rc_m3day":0.153022307049903,"q_gas_rc_m3day":3.42767730686633,"gas_fraction_d":0.163386603330191,"rho_mix_rc_kgm3":790.952062136912,"mu_mix_cP":1.12590300360226,"mo_kgsec":0.17736530625,"mw_kgsec":1.90972222222222E-03,"mg_kgsec":1.27260416666667E-02,"mg_kgmol":0.0261,"cmix_JkgC":2531.04114159872,"cJT_Katm":4.08727615844168E-02}</v>
      </c>
      <c r="E65" s="47" t="str">
        <v>{"q_mix_rc_m3day":20.9789372996468,"q_oil_rc_m3day":17.3982376857305,"q_wat_rc_m3day":0.153022307049903,"q_gas_rc_m3day":3.42767730686633,"gas_fraction_d":0.163386603330191,"rho_mix_rc_kgm3":790.952062136912,"mu_mix_cP":1.12590300360226,"mo_kgsec":0.17736530625,"mw_kgsec":1.90972222222222E-03,"mg_kgsec":1.27260416666667E-02,"mg_kgmol":0.0261,"cmix_JkgC":2531.04114159872,"cJT_Katm":4.08727615844168E-02}</v>
      </c>
      <c r="F65" s="49" cm="1">
        <f t="array" ref="F65:R65">[1]!decode_json(D65,1,,1)</f>
        <v>20.978937299646802</v>
      </c>
      <c r="G65" s="50">
        <v>17.3982376857305</v>
      </c>
      <c r="H65" s="48">
        <v>0.15302230704990299</v>
      </c>
      <c r="I65" s="50">
        <v>3.4276773068663302</v>
      </c>
      <c r="J65" s="48">
        <v>0.163386603330191</v>
      </c>
      <c r="K65" s="29">
        <v>790.95206213691199</v>
      </c>
      <c r="L65" s="48">
        <v>1.1259030036022599</v>
      </c>
      <c r="M65" s="48">
        <v>0.17736530624999999</v>
      </c>
      <c r="N65" s="48">
        <v>1.90972222222222E-3</v>
      </c>
      <c r="O65" s="48">
        <v>1.27260416666667E-2</v>
      </c>
      <c r="P65" s="48">
        <v>2.6100000000000002E-2</v>
      </c>
      <c r="Q65" s="29">
        <v>2531.0411415987201</v>
      </c>
      <c r="R65" s="48">
        <v>4.08727615844168E-2</v>
      </c>
    </row>
    <row r="66" spans="2:22" x14ac:dyDescent="0.35">
      <c r="B66" s="12">
        <v>360</v>
      </c>
      <c r="C66" s="12">
        <v>80</v>
      </c>
      <c r="D66" s="47" t="str">
        <f t="array" ref="D66:E66">[1]!feed_calc(B66,C66,PVT_stream_,param)</f>
        <v>{"q_mix_rc_m3day":20.877685048807,"q_oil_rc_m3day":17.3753242661549,"q_wat_rc_m3day":0.152870970342697,"q_gas_rc_m3day":3.34948981230938,"gas_fraction_d":0.160433965953557,"rho_mix_rc_kgm3":794.787157165131,"mu_mix_cP":1.14799824395124,"mo_kgsec":0.17736530625,"mw_kgsec":1.90972222222222E-03,"mg_kgsec":1.27260416666667E-02,"mg_kgmol":0.0261,"cmix_JkgC":2535.31475898187,"cJT_Katm":4.12856781987389E-02}</v>
      </c>
      <c r="E66" s="47" t="str">
        <v>{"q_mix_rc_m3day":20.877685048807,"q_oil_rc_m3day":17.3753242661549,"q_wat_rc_m3day":0.152870970342697,"q_gas_rc_m3day":3.34948981230938,"gas_fraction_d":0.160433965953557,"rho_mix_rc_kgm3":794.787157165131,"mu_mix_cP":1.14799824395124,"mo_kgsec":0.17736530625,"mw_kgsec":1.90972222222222E-03,"mg_kgsec":1.27260416666667E-02,"mg_kgmol":0.0261,"cmix_JkgC":2535.31475898187,"cJT_Katm":4.12856781987389E-02}</v>
      </c>
      <c r="F66" s="49" cm="1">
        <f t="array" ref="F66:R66">[1]!decode_json(D66,1,,1)</f>
        <v>20.877685048806999</v>
      </c>
      <c r="G66" s="50">
        <v>17.375324266154902</v>
      </c>
      <c r="H66" s="48">
        <v>0.152870970342697</v>
      </c>
      <c r="I66" s="50">
        <v>3.3494898123093799</v>
      </c>
      <c r="J66" s="48">
        <v>0.160433965953557</v>
      </c>
      <c r="K66" s="29">
        <v>794.78715716513102</v>
      </c>
      <c r="L66" s="48">
        <v>1.1479982439512399</v>
      </c>
      <c r="M66" s="48">
        <v>0.17736530624999999</v>
      </c>
      <c r="N66" s="48">
        <v>1.90972222222222E-3</v>
      </c>
      <c r="O66" s="48">
        <v>1.27260416666667E-2</v>
      </c>
      <c r="P66" s="48">
        <v>2.6100000000000002E-2</v>
      </c>
      <c r="Q66" s="29">
        <v>2535.31475898187</v>
      </c>
      <c r="R66" s="48">
        <v>4.12856781987389E-2</v>
      </c>
    </row>
    <row r="67" spans="2:22" x14ac:dyDescent="0.35">
      <c r="B67" s="12">
        <v>380</v>
      </c>
      <c r="C67" s="12">
        <v>80</v>
      </c>
      <c r="D67" s="47" t="str">
        <f t="array" ref="D67:E67">[1]!feed_calc(B67,C67,PVT_stream_,param)</f>
        <v>{"q_mix_rc_m3day":20.7883183322535,"q_oil_rc_m3day":17.3548483659718,"q_wat_rc_m3day":0.152712806706731,"q_gas_rc_m3day":3.28075715957501,"gas_fraction_d":0.157817342756622,"rho_mix_rc_kgm3":798.203486317895,"mu_mix_cP":1.16975477493324,"mo_kgsec":0.17736530625,"mw_kgsec":1.90972222222222E-03,"mg_kgsec":1.27260416666667E-02,"mg_kgmol":0.0261,"cmix_JkgC":2539.63759388759,"cJT_Katm":4.16305720965754E-02}</v>
      </c>
      <c r="E67" s="47" t="str">
        <v>{"q_mix_rc_m3day":20.7883183322535,"q_oil_rc_m3day":17.3548483659718,"q_wat_rc_m3day":0.152712806706731,"q_gas_rc_m3day":3.28075715957501,"gas_fraction_d":0.157817342756622,"rho_mix_rc_kgm3":798.203486317895,"mu_mix_cP":1.16975477493324,"mo_kgsec":0.17736530625,"mw_kgsec":1.90972222222222E-03,"mg_kgsec":1.27260416666667E-02,"mg_kgmol":0.0261,"cmix_JkgC":2539.63759388759,"cJT_Katm":4.16305720965754E-02}</v>
      </c>
      <c r="F67" s="49" cm="1">
        <f t="array" ref="F67:R67">[1]!decode_json(D67,1,,1)</f>
        <v>20.7883183322535</v>
      </c>
      <c r="G67" s="50">
        <v>17.354848365971801</v>
      </c>
      <c r="H67" s="48">
        <v>0.15271280670673101</v>
      </c>
      <c r="I67" s="50">
        <v>3.28075715957501</v>
      </c>
      <c r="J67" s="48">
        <v>0.15781734275662199</v>
      </c>
      <c r="K67" s="29">
        <v>798.203486317895</v>
      </c>
      <c r="L67" s="48">
        <v>1.16975477493324</v>
      </c>
      <c r="M67" s="48">
        <v>0.17736530624999999</v>
      </c>
      <c r="N67" s="48">
        <v>1.90972222222222E-3</v>
      </c>
      <c r="O67" s="48">
        <v>1.27260416666667E-2</v>
      </c>
      <c r="P67" s="48">
        <v>2.6100000000000002E-2</v>
      </c>
      <c r="Q67" s="29">
        <v>2539.6375938875899</v>
      </c>
      <c r="R67" s="48">
        <v>4.1630572096575398E-2</v>
      </c>
    </row>
    <row r="68" spans="2:22" x14ac:dyDescent="0.35">
      <c r="B68" s="12">
        <v>400</v>
      </c>
      <c r="C68" s="12">
        <v>80</v>
      </c>
      <c r="D68" s="47" t="str">
        <f t="array" ref="D68:E68">[1]!feed_calc(B68,C68,PVT_stream_,param)</f>
        <v>{"q_mix_rc_m3day":20.7088724621408,"q_oil_rc_m3day":17.3364406875666,"q_wat_rc_m3day":0.152547816142005,"q_gas_rc_m3day":3.21988395843222,"gas_fraction_d":0.155483306216632,"rho_mix_rc_kgm3":801.265702171671,"mu_mix_cP":1.19122581337018,"mo_kgsec":0.17736530625,"mw_kgsec":1.90972222222222E-03,"mg_kgsec":1.27260416666667E-02,"mg_kgmol":0.0261,"cmix_JkgC":2544.00215109174,"cJT_Katm":4.19212449883293E-02}</v>
      </c>
      <c r="E68" s="47" t="str">
        <v>{"q_mix_rc_m3day":20.7088724621408,"q_oil_rc_m3day":17.3364406875666,"q_wat_rc_m3day":0.152547816142005,"q_gas_rc_m3day":3.21988395843222,"gas_fraction_d":0.155483306216632,"rho_mix_rc_kgm3":801.265702171671,"mu_mix_cP":1.19122581337018,"mo_kgsec":0.17736530625,"mw_kgsec":1.90972222222222E-03,"mg_kgsec":1.27260416666667E-02,"mg_kgmol":0.0261,"cmix_JkgC":2544.00215109174,"cJT_Katm":4.19212449883293E-02}</v>
      </c>
      <c r="F68" s="49" cm="1">
        <f t="array" ref="F68:R68">[1]!decode_json(D68,1,,1)</f>
        <v>20.7088724621408</v>
      </c>
      <c r="G68" s="50">
        <v>17.336440687566601</v>
      </c>
      <c r="H68" s="48">
        <v>0.15254781614200499</v>
      </c>
      <c r="I68" s="50">
        <v>3.2198839584322201</v>
      </c>
      <c r="J68" s="48">
        <v>0.15548330621663201</v>
      </c>
      <c r="K68" s="29">
        <v>801.26570217167102</v>
      </c>
      <c r="L68" s="48">
        <v>1.1912258133701801</v>
      </c>
      <c r="M68" s="48">
        <v>0.17736530624999999</v>
      </c>
      <c r="N68" s="48">
        <v>1.90972222222222E-3</v>
      </c>
      <c r="O68" s="48">
        <v>1.27260416666667E-2</v>
      </c>
      <c r="P68" s="48">
        <v>2.6100000000000002E-2</v>
      </c>
      <c r="Q68" s="29">
        <v>2544.00215109174</v>
      </c>
      <c r="R68" s="48">
        <v>4.1921244988329297E-2</v>
      </c>
    </row>
    <row r="69" spans="2:22" x14ac:dyDescent="0.35">
      <c r="B69" s="12">
        <v>420</v>
      </c>
      <c r="C69" s="12">
        <v>80</v>
      </c>
      <c r="D69" s="47" t="str">
        <f t="array" ref="D69:E69">[1]!feed_calc(B69,C69,PVT_stream_,param)</f>
        <v>{"q_mix_rc_m3day":20.6377837380804,"q_oil_rc_m3day":17.3198029456844,"q_wat_rc_m3day":0.15237599864852,"q_gas_rc_m3day":3.16560479374751,"gas_fraction_d":0.153388795711935,"rho_mix_rc_kgm3":804.026171613078,"mu_mix_cP":1.2124544978985,"mo_kgsec":0.17736530625,"mw_kgsec":1.90972222222222E-03,"mg_kgsec":1.27260416666667E-02,"mg_kgmol":0.0261,"cmix_JkgC":2548.40209439659,"cJT_Katm":4.21680128479205E-02}</v>
      </c>
      <c r="E69" s="47" t="str">
        <v>{"q_mix_rc_m3day":20.6377837380804,"q_oil_rc_m3day":17.3198029456844,"q_wat_rc_m3day":0.15237599864852,"q_gas_rc_m3day":3.16560479374751,"gas_fraction_d":0.153388795711935,"rho_mix_rc_kgm3":804.026171613078,"mu_mix_cP":1.2124544978985,"mo_kgsec":0.17736530625,"mw_kgsec":1.90972222222222E-03,"mg_kgsec":1.27260416666667E-02,"mg_kgmol":0.0261,"cmix_JkgC":2548.40209439659,"cJT_Katm":4.21680128479205E-02}</v>
      </c>
      <c r="F69" s="49" cm="1">
        <f t="array" ref="F69:R69">[1]!decode_json(D69,1,,1)</f>
        <v>20.637783738080401</v>
      </c>
      <c r="G69" s="50">
        <v>17.319802945684401</v>
      </c>
      <c r="H69" s="48">
        <v>0.15237599864852</v>
      </c>
      <c r="I69" s="50">
        <v>3.16560479374751</v>
      </c>
      <c r="J69" s="48">
        <v>0.15338879571193501</v>
      </c>
      <c r="K69" s="29">
        <v>804.02617161307796</v>
      </c>
      <c r="L69" s="48">
        <v>1.2124544978984999</v>
      </c>
      <c r="M69" s="48">
        <v>0.17736530624999999</v>
      </c>
      <c r="N69" s="48">
        <v>1.90972222222222E-3</v>
      </c>
      <c r="O69" s="48">
        <v>1.27260416666667E-2</v>
      </c>
      <c r="P69" s="48">
        <v>2.6100000000000002E-2</v>
      </c>
      <c r="Q69" s="29">
        <v>2548.4020943965902</v>
      </c>
      <c r="R69" s="48">
        <v>4.2168012847920502E-2</v>
      </c>
    </row>
    <row r="70" spans="2:22" x14ac:dyDescent="0.35">
      <c r="B70" s="12">
        <v>440</v>
      </c>
      <c r="C70" s="12">
        <v>80</v>
      </c>
      <c r="D70" s="47" t="str">
        <f t="array" ref="D70:E70">[1]!feed_calc(B70,C70,PVT_stream_,param)</f>
        <v>{"q_mix_rc_m3day":20.5737841873631,"q_oil_rc_m3day":17.3046915820312,"q_wat_rc_m3day":0.152197354226275,"q_gas_rc_m3day":3.11689525110565,"gas_fraction_d":0.151498393427307,"rho_mix_rc_kgm3":806.528072160539,"mu_mix_cP":1.2334767017495,"mo_kgsec":0.17736530625,"mw_kgsec":1.90972222222222E-03,"mg_kgsec":1.27260416666667E-02,"mg_kgmol":0.0261,"cmix_JkgC":2552.83159603644,"cJT_Katm":4.23786266629806E-02}</v>
      </c>
      <c r="E70" s="47" t="str">
        <v>{"q_mix_rc_m3day":20.5737841873631,"q_oil_rc_m3day":17.3046915820312,"q_wat_rc_m3day":0.152197354226275,"q_gas_rc_m3day":3.11689525110565,"gas_fraction_d":0.151498393427307,"rho_mix_rc_kgm3":806.528072160539,"mu_mix_cP":1.2334767017495,"mo_kgsec":0.17736530625,"mw_kgsec":1.90972222222222E-03,"mg_kgsec":1.27260416666667E-02,"mg_kgmol":0.0261,"cmix_JkgC":2552.83159603644,"cJT_Katm":4.23786266629806E-02}</v>
      </c>
      <c r="F70" s="49" cm="1">
        <f t="array" ref="F70:R70">[1]!decode_json(D70,1,,1)</f>
        <v>20.573784187363099</v>
      </c>
      <c r="G70" s="50">
        <v>17.3046915820312</v>
      </c>
      <c r="H70" s="48">
        <v>0.15219735422627501</v>
      </c>
      <c r="I70" s="50">
        <v>3.11689525110565</v>
      </c>
      <c r="J70" s="48">
        <v>0.151498393427307</v>
      </c>
      <c r="K70" s="29">
        <v>806.52807216053895</v>
      </c>
      <c r="L70" s="48">
        <v>1.2334767017495001</v>
      </c>
      <c r="M70" s="48">
        <v>0.17736530624999999</v>
      </c>
      <c r="N70" s="48">
        <v>1.90972222222222E-3</v>
      </c>
      <c r="O70" s="48">
        <v>1.27260416666667E-2</v>
      </c>
      <c r="P70" s="48">
        <v>2.6100000000000002E-2</v>
      </c>
      <c r="Q70" s="29">
        <v>2552.8315960364398</v>
      </c>
      <c r="R70" s="48">
        <v>4.2378626662980597E-2</v>
      </c>
    </row>
    <row r="71" spans="2:22" x14ac:dyDescent="0.35">
      <c r="B71" s="12">
        <v>460</v>
      </c>
      <c r="C71" s="12">
        <v>80</v>
      </c>
      <c r="D71" s="47" t="str">
        <f t="array" ref="D71:E71">[1]!feed_calc(B71,C71,PVT_stream_,param)</f>
        <v>{"q_mix_rc_m3day":20.5158292788763,"q_oil_rc_m3day":17.2909057649395,"q_wat_rc_m3day":0.152011882875271,"q_gas_rc_m3day":3.07291163106162,"gas_fraction_d":0.149782472318853,"rho_mix_rc_kgm3":808.807539901269,"mu_mix_cP":1.25432291805793,"mo_kgsec":0.17736530625,"mw_kgsec":1.90972222222222E-03,"mg_kgsec":1.27260416666667E-02,"mg_kgmol":0.0261,"cmix_JkgC":2557.28495259908,"cJT_Katm":4.25589525471515E-02}</v>
      </c>
      <c r="E71" s="47" t="str">
        <v>{"q_mix_rc_m3day":20.5158292788763,"q_oil_rc_m3day":17.2909057649395,"q_wat_rc_m3day":0.152011882875271,"q_gas_rc_m3day":3.07291163106162,"gas_fraction_d":0.149782472318853,"rho_mix_rc_kgm3":808.807539901269,"mu_mix_cP":1.25432291805793,"mo_kgsec":0.17736530625,"mw_kgsec":1.90972222222222E-03,"mg_kgsec":1.27260416666667E-02,"mg_kgmol":0.0261,"cmix_JkgC":2557.28495259908,"cJT_Katm":4.25589525471515E-02}</v>
      </c>
      <c r="F71" s="49" cm="1">
        <f t="array" ref="F71:R71">[1]!decode_json(D71,1,,1)</f>
        <v>20.5158292788763</v>
      </c>
      <c r="G71" s="50">
        <v>17.290905764939499</v>
      </c>
      <c r="H71" s="48">
        <v>0.15201188287527101</v>
      </c>
      <c r="I71" s="50">
        <v>3.0729116310616198</v>
      </c>
      <c r="J71" s="48">
        <v>0.149782472318853</v>
      </c>
      <c r="K71" s="29">
        <v>808.80753990126902</v>
      </c>
      <c r="L71" s="48">
        <v>1.2543229180579301</v>
      </c>
      <c r="M71" s="48">
        <v>0.17736530624999999</v>
      </c>
      <c r="N71" s="48">
        <v>1.90972222222222E-3</v>
      </c>
      <c r="O71" s="48">
        <v>1.27260416666667E-2</v>
      </c>
      <c r="P71" s="48">
        <v>2.6100000000000002E-2</v>
      </c>
      <c r="Q71" s="29">
        <v>2557.28495259908</v>
      </c>
      <c r="R71" s="48">
        <v>4.2558952547151502E-2</v>
      </c>
    </row>
    <row r="76" spans="2:22" x14ac:dyDescent="0.35">
      <c r="B76" t="s">
        <v>37</v>
      </c>
    </row>
    <row r="78" spans="2:22" ht="13.15" x14ac:dyDescent="0.35">
      <c r="B78" s="9" t="s">
        <v>0</v>
      </c>
      <c r="C78" s="9" t="s">
        <v>4</v>
      </c>
      <c r="D78" s="9"/>
      <c r="E78" s="9"/>
      <c r="F78" s="10"/>
      <c r="G78" s="11"/>
      <c r="H78" s="11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</row>
    <row r="79" spans="2:22" x14ac:dyDescent="0.35">
      <c r="B79" s="12">
        <v>1</v>
      </c>
      <c r="C79" s="12">
        <v>80</v>
      </c>
      <c r="D79" s="13"/>
      <c r="E79" s="14"/>
      <c r="F79" s="13"/>
      <c r="G79" s="15"/>
      <c r="H79" s="14"/>
      <c r="I79" s="13"/>
      <c r="J79" s="13"/>
      <c r="K79" s="13"/>
      <c r="L79" s="20"/>
      <c r="M79" s="20"/>
      <c r="N79" s="15"/>
      <c r="O79" s="15"/>
      <c r="P79" s="20"/>
      <c r="Q79" s="29"/>
      <c r="R79" s="29"/>
      <c r="S79" s="29"/>
      <c r="T79" s="30"/>
      <c r="U79" s="30"/>
      <c r="V79" s="30"/>
    </row>
    <row r="80" spans="2:22" x14ac:dyDescent="0.35">
      <c r="B80" s="12">
        <v>5</v>
      </c>
      <c r="C80" s="12">
        <v>80</v>
      </c>
      <c r="D80" s="13"/>
      <c r="E80" s="14"/>
      <c r="F80" s="13"/>
      <c r="G80" s="15"/>
      <c r="H80" s="14"/>
      <c r="I80" s="13"/>
      <c r="J80" s="13"/>
      <c r="K80" s="13"/>
      <c r="L80" s="20"/>
      <c r="M80" s="20"/>
      <c r="N80" s="15"/>
      <c r="O80" s="15"/>
      <c r="P80" s="20"/>
      <c r="Q80" s="29"/>
      <c r="R80" s="29"/>
      <c r="S80" s="29"/>
      <c r="T80" s="30"/>
      <c r="U80" s="30"/>
      <c r="V80" s="30"/>
    </row>
    <row r="81" spans="2:22" x14ac:dyDescent="0.35">
      <c r="B81" s="12">
        <v>10</v>
      </c>
      <c r="C81" s="12">
        <v>80</v>
      </c>
      <c r="D81" s="13"/>
      <c r="E81" s="14"/>
      <c r="F81" s="13"/>
      <c r="G81" s="15"/>
      <c r="H81" s="14"/>
      <c r="I81" s="13"/>
      <c r="J81" s="13"/>
      <c r="K81" s="13"/>
      <c r="L81" s="20"/>
      <c r="M81" s="20"/>
      <c r="N81" s="15"/>
      <c r="O81" s="15"/>
      <c r="P81" s="20"/>
      <c r="Q81" s="29"/>
      <c r="R81" s="29"/>
      <c r="S81" s="29"/>
      <c r="T81" s="30"/>
      <c r="U81" s="30"/>
      <c r="V81" s="30"/>
    </row>
    <row r="82" spans="2:22" x14ac:dyDescent="0.35">
      <c r="B82" s="12">
        <v>20</v>
      </c>
      <c r="C82" s="12">
        <v>80</v>
      </c>
      <c r="D82" s="13"/>
      <c r="E82" s="14"/>
      <c r="F82" s="13"/>
      <c r="G82" s="15"/>
      <c r="H82" s="14"/>
      <c r="I82" s="13"/>
      <c r="J82" s="13"/>
      <c r="K82" s="13"/>
      <c r="L82" s="20"/>
      <c r="M82" s="20"/>
      <c r="N82" s="15"/>
      <c r="O82" s="15"/>
      <c r="P82" s="20"/>
      <c r="Q82" s="29"/>
      <c r="R82" s="29"/>
      <c r="S82" s="29"/>
      <c r="T82" s="30"/>
      <c r="U82" s="30"/>
      <c r="V82" s="30"/>
    </row>
    <row r="83" spans="2:22" x14ac:dyDescent="0.35">
      <c r="B83" s="12">
        <v>40</v>
      </c>
      <c r="C83" s="12">
        <v>80</v>
      </c>
      <c r="D83" s="13"/>
      <c r="E83" s="14"/>
      <c r="F83" s="13"/>
      <c r="G83" s="15"/>
      <c r="H83" s="14"/>
      <c r="I83" s="13"/>
      <c r="J83" s="13"/>
      <c r="K83" s="13"/>
      <c r="L83" s="20"/>
      <c r="M83" s="20"/>
      <c r="N83" s="15"/>
      <c r="O83" s="15"/>
      <c r="P83" s="20"/>
      <c r="Q83" s="29"/>
      <c r="R83" s="29"/>
      <c r="S83" s="29"/>
      <c r="T83" s="30"/>
      <c r="U83" s="30"/>
      <c r="V83" s="30"/>
    </row>
    <row r="84" spans="2:22" x14ac:dyDescent="0.35">
      <c r="B84" s="12">
        <v>60</v>
      </c>
      <c r="C84" s="12">
        <v>80</v>
      </c>
      <c r="D84" s="13"/>
      <c r="E84" s="14"/>
      <c r="F84" s="13"/>
      <c r="G84" s="15"/>
      <c r="H84" s="14"/>
      <c r="I84" s="13"/>
      <c r="J84" s="13"/>
      <c r="K84" s="13"/>
      <c r="L84" s="20"/>
      <c r="M84" s="20"/>
      <c r="N84" s="15"/>
      <c r="O84" s="15"/>
      <c r="P84" s="20"/>
      <c r="Q84" s="29"/>
      <c r="R84" s="29"/>
      <c r="S84" s="29"/>
      <c r="T84" s="30"/>
      <c r="U84" s="30"/>
      <c r="V84" s="30"/>
    </row>
    <row r="85" spans="2:22" x14ac:dyDescent="0.35">
      <c r="B85" s="12">
        <v>80</v>
      </c>
      <c r="C85" s="12">
        <v>80</v>
      </c>
      <c r="D85" s="13"/>
      <c r="E85" s="14"/>
      <c r="F85" s="13"/>
      <c r="G85" s="15"/>
      <c r="H85" s="14"/>
      <c r="I85" s="13"/>
      <c r="J85" s="13"/>
      <c r="K85" s="13"/>
      <c r="L85" s="20"/>
      <c r="M85" s="20"/>
      <c r="N85" s="15"/>
      <c r="O85" s="15"/>
      <c r="P85" s="20"/>
      <c r="Q85" s="29"/>
      <c r="R85" s="29"/>
      <c r="S85" s="29"/>
      <c r="T85" s="30"/>
      <c r="U85" s="30"/>
      <c r="V85" s="30"/>
    </row>
    <row r="86" spans="2:22" x14ac:dyDescent="0.35">
      <c r="B86" s="12">
        <v>100</v>
      </c>
      <c r="C86" s="12">
        <v>80</v>
      </c>
      <c r="D86" s="13"/>
      <c r="E86" s="14"/>
      <c r="F86" s="13"/>
      <c r="G86" s="15"/>
      <c r="H86" s="14"/>
      <c r="I86" s="13"/>
      <c r="J86" s="13"/>
      <c r="K86" s="13"/>
      <c r="L86" s="20"/>
      <c r="M86" s="20"/>
      <c r="N86" s="15"/>
      <c r="O86" s="15"/>
      <c r="P86" s="20"/>
      <c r="Q86" s="29"/>
      <c r="R86" s="29"/>
      <c r="S86" s="29"/>
      <c r="T86" s="30"/>
      <c r="U86" s="30"/>
      <c r="V86" s="30"/>
    </row>
    <row r="87" spans="2:22" x14ac:dyDescent="0.35">
      <c r="B87" s="12">
        <v>120</v>
      </c>
      <c r="C87" s="12">
        <v>80</v>
      </c>
      <c r="D87" s="13"/>
      <c r="E87" s="14"/>
      <c r="F87" s="13"/>
      <c r="G87" s="15"/>
      <c r="H87" s="14"/>
      <c r="I87" s="13"/>
      <c r="J87" s="13"/>
      <c r="K87" s="13"/>
      <c r="L87" s="20"/>
      <c r="M87" s="20"/>
      <c r="N87" s="15"/>
      <c r="O87" s="15"/>
      <c r="P87" s="20"/>
      <c r="Q87" s="29"/>
      <c r="R87" s="29"/>
      <c r="S87" s="29"/>
      <c r="T87" s="30"/>
      <c r="U87" s="30"/>
      <c r="V87" s="30"/>
    </row>
    <row r="88" spans="2:22" x14ac:dyDescent="0.35">
      <c r="B88" s="12">
        <v>140</v>
      </c>
      <c r="C88" s="12">
        <v>80</v>
      </c>
      <c r="D88" s="13"/>
      <c r="E88" s="14"/>
      <c r="F88" s="13"/>
      <c r="G88" s="15"/>
      <c r="H88" s="14"/>
      <c r="I88" s="13"/>
      <c r="J88" s="13"/>
      <c r="K88" s="13"/>
      <c r="L88" s="20"/>
      <c r="M88" s="20"/>
      <c r="N88" s="15"/>
      <c r="O88" s="15"/>
      <c r="P88" s="20"/>
      <c r="Q88" s="29"/>
      <c r="R88" s="29"/>
      <c r="S88" s="29"/>
      <c r="T88" s="30"/>
      <c r="U88" s="30"/>
      <c r="V88" s="30"/>
    </row>
    <row r="89" spans="2:22" x14ac:dyDescent="0.35">
      <c r="B89" s="12">
        <v>160</v>
      </c>
      <c r="C89" s="12">
        <v>80</v>
      </c>
      <c r="D89" s="13"/>
      <c r="E89" s="14"/>
      <c r="F89" s="13"/>
      <c r="G89" s="15"/>
      <c r="H89" s="14"/>
      <c r="I89" s="13"/>
      <c r="J89" s="13"/>
      <c r="K89" s="13"/>
      <c r="L89" s="20"/>
      <c r="M89" s="20"/>
      <c r="N89" s="15"/>
      <c r="O89" s="15"/>
      <c r="P89" s="20"/>
      <c r="Q89" s="29"/>
      <c r="R89" s="29"/>
      <c r="S89" s="29"/>
      <c r="T89" s="30"/>
      <c r="U89" s="30"/>
      <c r="V89" s="30"/>
    </row>
    <row r="90" spans="2:22" x14ac:dyDescent="0.35">
      <c r="B90" s="12">
        <v>180</v>
      </c>
      <c r="C90" s="12">
        <v>80</v>
      </c>
      <c r="D90" s="13"/>
      <c r="E90" s="14"/>
      <c r="F90" s="13"/>
      <c r="G90" s="15"/>
      <c r="H90" s="14"/>
      <c r="I90" s="13"/>
      <c r="J90" s="13"/>
      <c r="K90" s="13"/>
      <c r="L90" s="20"/>
      <c r="M90" s="20"/>
      <c r="N90" s="15"/>
      <c r="O90" s="15"/>
      <c r="P90" s="20"/>
      <c r="Q90" s="29"/>
      <c r="R90" s="29"/>
      <c r="S90" s="29"/>
      <c r="T90" s="30"/>
      <c r="U90" s="30"/>
      <c r="V90" s="30"/>
    </row>
    <row r="91" spans="2:22" x14ac:dyDescent="0.35">
      <c r="B91" s="12">
        <v>200</v>
      </c>
      <c r="C91" s="12">
        <v>80</v>
      </c>
      <c r="D91" s="13"/>
      <c r="E91" s="14"/>
      <c r="F91" s="13"/>
      <c r="G91" s="15"/>
      <c r="H91" s="14"/>
      <c r="I91" s="13"/>
      <c r="J91" s="13"/>
      <c r="K91" s="13"/>
      <c r="L91" s="20"/>
      <c r="M91" s="20"/>
      <c r="N91" s="15"/>
      <c r="O91" s="15"/>
      <c r="P91" s="20"/>
      <c r="Q91" s="29"/>
      <c r="R91" s="29"/>
      <c r="S91" s="29"/>
      <c r="T91" s="30"/>
      <c r="U91" s="30"/>
      <c r="V91" s="30"/>
    </row>
    <row r="92" spans="2:22" x14ac:dyDescent="0.35">
      <c r="B92" s="12">
        <v>220</v>
      </c>
      <c r="C92" s="12">
        <v>80</v>
      </c>
      <c r="D92" s="13"/>
      <c r="E92" s="14"/>
      <c r="F92" s="13"/>
      <c r="G92" s="15"/>
      <c r="H92" s="14"/>
      <c r="I92" s="13"/>
      <c r="J92" s="13"/>
      <c r="K92" s="13"/>
      <c r="L92" s="20"/>
      <c r="M92" s="20"/>
      <c r="N92" s="15"/>
      <c r="O92" s="15"/>
      <c r="P92" s="20"/>
      <c r="Q92" s="29"/>
      <c r="R92" s="29"/>
      <c r="S92" s="29"/>
      <c r="T92" s="30"/>
      <c r="U92" s="30"/>
      <c r="V92" s="30"/>
    </row>
    <row r="93" spans="2:22" x14ac:dyDescent="0.35">
      <c r="B93" s="12">
        <v>240</v>
      </c>
      <c r="C93" s="12">
        <v>80</v>
      </c>
      <c r="D93" s="13"/>
      <c r="E93" s="14"/>
      <c r="F93" s="13"/>
      <c r="G93" s="15"/>
      <c r="H93" s="14"/>
      <c r="I93" s="13"/>
      <c r="J93" s="13"/>
      <c r="K93" s="13"/>
      <c r="L93" s="20"/>
      <c r="M93" s="20"/>
      <c r="N93" s="15"/>
      <c r="O93" s="15"/>
      <c r="P93" s="20"/>
      <c r="Q93" s="29"/>
      <c r="R93" s="29"/>
      <c r="S93" s="29"/>
      <c r="T93" s="30"/>
      <c r="U93" s="30"/>
      <c r="V93" s="30"/>
    </row>
    <row r="94" spans="2:22" x14ac:dyDescent="0.35">
      <c r="B94" s="12">
        <v>260</v>
      </c>
      <c r="C94" s="12">
        <v>80</v>
      </c>
      <c r="D94" s="13"/>
      <c r="E94" s="14"/>
      <c r="F94" s="13"/>
      <c r="G94" s="15"/>
      <c r="H94" s="14"/>
      <c r="I94" s="13"/>
      <c r="J94" s="13"/>
      <c r="K94" s="13"/>
      <c r="L94" s="20"/>
      <c r="M94" s="20"/>
      <c r="N94" s="15"/>
      <c r="O94" s="15"/>
      <c r="P94" s="20"/>
      <c r="Q94" s="29"/>
      <c r="R94" s="29"/>
      <c r="S94" s="29"/>
      <c r="T94" s="30"/>
      <c r="U94" s="30"/>
      <c r="V94" s="30"/>
    </row>
    <row r="95" spans="2:22" x14ac:dyDescent="0.35">
      <c r="B95" s="12">
        <v>280</v>
      </c>
      <c r="C95" s="12">
        <v>80</v>
      </c>
      <c r="D95" s="13"/>
      <c r="E95" s="14"/>
      <c r="F95" s="13"/>
      <c r="G95" s="15"/>
      <c r="H95" s="14"/>
      <c r="I95" s="13"/>
      <c r="J95" s="13"/>
      <c r="K95" s="13"/>
      <c r="L95" s="20"/>
      <c r="M95" s="20"/>
      <c r="N95" s="15"/>
      <c r="O95" s="15"/>
      <c r="P95" s="20"/>
      <c r="Q95" s="29"/>
      <c r="R95" s="29"/>
      <c r="S95" s="29"/>
      <c r="T95" s="30"/>
      <c r="U95" s="30"/>
      <c r="V95" s="30"/>
    </row>
    <row r="96" spans="2:22" x14ac:dyDescent="0.35">
      <c r="B96" s="12">
        <v>300</v>
      </c>
      <c r="C96" s="12">
        <v>80</v>
      </c>
      <c r="D96" s="13"/>
      <c r="E96" s="14"/>
      <c r="F96" s="13"/>
      <c r="G96" s="15"/>
      <c r="H96" s="14"/>
      <c r="I96" s="13"/>
      <c r="J96" s="13"/>
      <c r="K96" s="13"/>
      <c r="L96" s="20"/>
      <c r="M96" s="20"/>
      <c r="N96" s="15"/>
      <c r="O96" s="15"/>
      <c r="P96" s="20"/>
      <c r="Q96" s="29"/>
      <c r="R96" s="29"/>
      <c r="S96" s="29"/>
      <c r="T96" s="30"/>
      <c r="U96" s="30"/>
      <c r="V96" s="30"/>
    </row>
    <row r="97" spans="2:22" x14ac:dyDescent="0.35">
      <c r="B97" s="12">
        <v>320</v>
      </c>
      <c r="C97" s="12">
        <v>80</v>
      </c>
      <c r="D97" s="13"/>
      <c r="E97" s="14"/>
      <c r="F97" s="13"/>
      <c r="G97" s="15"/>
      <c r="H97" s="14"/>
      <c r="I97" s="13"/>
      <c r="J97" s="13"/>
      <c r="K97" s="13"/>
      <c r="L97" s="20"/>
      <c r="M97" s="20"/>
      <c r="N97" s="15"/>
      <c r="O97" s="15"/>
      <c r="P97" s="20"/>
      <c r="Q97" s="29"/>
      <c r="R97" s="29"/>
      <c r="S97" s="29"/>
      <c r="T97" s="30"/>
      <c r="U97" s="30"/>
      <c r="V97" s="30"/>
    </row>
    <row r="98" spans="2:22" x14ac:dyDescent="0.35">
      <c r="B98" s="12">
        <v>340</v>
      </c>
      <c r="C98" s="12">
        <v>80</v>
      </c>
      <c r="D98" s="13"/>
      <c r="E98" s="14"/>
      <c r="F98" s="13"/>
      <c r="G98" s="15"/>
      <c r="H98" s="14"/>
      <c r="I98" s="13"/>
      <c r="J98" s="13"/>
      <c r="K98" s="13"/>
      <c r="L98" s="20"/>
      <c r="M98" s="20"/>
      <c r="N98" s="15"/>
      <c r="O98" s="15"/>
      <c r="P98" s="20"/>
      <c r="Q98" s="29"/>
      <c r="R98" s="29"/>
      <c r="S98" s="29"/>
      <c r="T98" s="30"/>
      <c r="U98" s="30"/>
      <c r="V98" s="30"/>
    </row>
    <row r="99" spans="2:22" x14ac:dyDescent="0.35">
      <c r="B99" s="12">
        <v>360</v>
      </c>
      <c r="C99" s="12">
        <v>80</v>
      </c>
      <c r="D99" s="13"/>
      <c r="E99" s="14"/>
      <c r="F99" s="13"/>
      <c r="G99" s="15"/>
      <c r="H99" s="14"/>
      <c r="I99" s="13"/>
      <c r="J99" s="13"/>
      <c r="K99" s="13"/>
      <c r="L99" s="20"/>
      <c r="M99" s="20"/>
      <c r="N99" s="15"/>
      <c r="O99" s="15"/>
      <c r="P99" s="20"/>
      <c r="Q99" s="29"/>
      <c r="R99" s="29"/>
      <c r="S99" s="29"/>
      <c r="T99" s="30"/>
      <c r="U99" s="30"/>
      <c r="V99" s="30"/>
    </row>
    <row r="100" spans="2:22" x14ac:dyDescent="0.35">
      <c r="B100" s="12">
        <v>380</v>
      </c>
      <c r="C100" s="12">
        <v>80</v>
      </c>
      <c r="D100" s="13"/>
      <c r="E100" s="14"/>
      <c r="F100" s="13"/>
      <c r="G100" s="15"/>
      <c r="H100" s="14"/>
      <c r="I100" s="13"/>
      <c r="J100" s="13"/>
      <c r="K100" s="13"/>
      <c r="L100" s="20"/>
      <c r="M100" s="20"/>
      <c r="N100" s="15"/>
      <c r="O100" s="15"/>
      <c r="P100" s="20"/>
      <c r="Q100" s="29"/>
      <c r="R100" s="29"/>
      <c r="S100" s="29"/>
      <c r="T100" s="30"/>
      <c r="U100" s="30"/>
      <c r="V100" s="30"/>
    </row>
    <row r="101" spans="2:22" x14ac:dyDescent="0.35">
      <c r="B101" s="12">
        <v>400</v>
      </c>
      <c r="C101" s="12">
        <v>80</v>
      </c>
      <c r="D101" s="13"/>
      <c r="E101" s="14"/>
      <c r="F101" s="13"/>
      <c r="G101" s="15"/>
      <c r="H101" s="14"/>
      <c r="I101" s="13"/>
      <c r="J101" s="13"/>
      <c r="K101" s="13"/>
      <c r="L101" s="20"/>
      <c r="M101" s="20"/>
      <c r="N101" s="15"/>
      <c r="O101" s="15"/>
      <c r="P101" s="20"/>
      <c r="Q101" s="29"/>
      <c r="R101" s="29"/>
      <c r="S101" s="29"/>
      <c r="T101" s="30"/>
      <c r="U101" s="30"/>
      <c r="V101" s="30"/>
    </row>
    <row r="102" spans="2:22" x14ac:dyDescent="0.35">
      <c r="B102" s="12">
        <v>420</v>
      </c>
      <c r="C102" s="12">
        <v>80</v>
      </c>
      <c r="D102" s="13"/>
      <c r="E102" s="14"/>
      <c r="F102" s="13"/>
      <c r="G102" s="15"/>
      <c r="H102" s="14"/>
      <c r="I102" s="13"/>
      <c r="J102" s="13"/>
      <c r="K102" s="13"/>
      <c r="L102" s="20"/>
      <c r="M102" s="20"/>
      <c r="N102" s="15"/>
      <c r="O102" s="15"/>
      <c r="P102" s="20"/>
      <c r="Q102" s="29"/>
      <c r="R102" s="29"/>
      <c r="S102" s="29"/>
      <c r="T102" s="30"/>
      <c r="U102" s="30"/>
      <c r="V102" s="30"/>
    </row>
    <row r="103" spans="2:22" x14ac:dyDescent="0.35">
      <c r="B103" s="12">
        <v>440</v>
      </c>
      <c r="C103" s="12">
        <v>80</v>
      </c>
      <c r="D103" s="13"/>
      <c r="E103" s="14"/>
      <c r="F103" s="13"/>
      <c r="G103" s="15"/>
      <c r="H103" s="14"/>
      <c r="I103" s="13"/>
      <c r="J103" s="13"/>
      <c r="K103" s="13"/>
      <c r="L103" s="20"/>
      <c r="M103" s="20"/>
      <c r="N103" s="15"/>
      <c r="O103" s="15"/>
      <c r="P103" s="20"/>
      <c r="Q103" s="29"/>
      <c r="R103" s="29"/>
      <c r="S103" s="29"/>
      <c r="T103" s="30"/>
      <c r="U103" s="30"/>
      <c r="V103" s="30"/>
    </row>
    <row r="104" spans="2:22" x14ac:dyDescent="0.35">
      <c r="B104" s="12">
        <v>460</v>
      </c>
      <c r="C104" s="12">
        <v>80</v>
      </c>
      <c r="D104" s="13"/>
      <c r="E104" s="14"/>
      <c r="F104" s="13"/>
      <c r="G104" s="15"/>
      <c r="H104" s="14"/>
      <c r="I104" s="13"/>
      <c r="J104" s="13"/>
      <c r="K104" s="13"/>
      <c r="L104" s="20"/>
      <c r="M104" s="20"/>
      <c r="N104" s="15"/>
      <c r="O104" s="15"/>
      <c r="P104" s="20"/>
      <c r="Q104" s="29"/>
      <c r="R104" s="29"/>
      <c r="S104" s="29"/>
      <c r="T104" s="30"/>
      <c r="U104" s="30"/>
      <c r="V104" s="30"/>
    </row>
    <row r="108" spans="2:22" x14ac:dyDescent="0.35">
      <c r="O108">
        <f>O106</f>
        <v>0</v>
      </c>
    </row>
    <row r="163" spans="11:11" x14ac:dyDescent="0.35">
      <c r="K163" t="s">
        <v>5</v>
      </c>
    </row>
    <row r="174" spans="11:11" x14ac:dyDescent="0.35">
      <c r="K174" s="3"/>
    </row>
  </sheetData>
  <dataConsolidate/>
  <mergeCells count="11">
    <mergeCell ref="B25:C25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29</vt:i4>
      </vt:variant>
    </vt:vector>
  </HeadingPairs>
  <TitlesOfParts>
    <vt:vector size="30" baseType="lpstr">
      <vt:lpstr>exercise_PVT</vt:lpstr>
      <vt:lpstr>exercise_PVT!Bob_</vt:lpstr>
      <vt:lpstr>exercise_PVT!Course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PVT_stream_</vt:lpstr>
      <vt:lpstr>Qgas</vt:lpstr>
      <vt:lpstr>Qliq</vt:lpstr>
      <vt:lpstr>rp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2020-04-13T13:26:12Z</dcterms:created>
  <dcterms:modified xsi:type="dcterms:W3CDTF">2022-07-15T10:08:50Z</dcterms:modified>
</cp:coreProperties>
</file>