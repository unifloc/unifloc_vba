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42F9B3D-B1AA-482C-A445-3BB04C769734}" xr6:coauthVersionLast="47" xr6:coauthVersionMax="47" xr10:uidLastSave="{00000000-0000-0000-0000-000000000000}"/>
  <bookViews>
    <workbookView xWindow="-103" yWindow="-103" windowWidth="22149" windowHeight="1320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exercise_PVT!#REF!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exercise_PVT!#REF!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8" i="113" l="1"/>
  <c r="G1" i="113"/>
  <c r="D30" i="113"/>
  <c r="D34" i="113" s="1" a="1"/>
  <c r="D34" i="113" l="1"/>
  <c r="E16" i="113"/>
  <c r="E15" i="113"/>
  <c r="E14" i="113"/>
  <c r="E13" i="113"/>
  <c r="E12" i="113"/>
  <c r="E11" i="113"/>
  <c r="D31" i="113" a="1"/>
  <c r="D31" i="113" l="1"/>
  <c r="D38" i="113" a="1"/>
  <c r="D46" i="113" a="1"/>
  <c r="D70" i="113" a="1"/>
  <c r="D66" i="113" a="1"/>
  <c r="D62" i="113" a="1"/>
  <c r="D58" i="113" a="1"/>
  <c r="D54" i="113" a="1"/>
  <c r="D50" i="113" a="1"/>
  <c r="D69" i="113" a="1"/>
  <c r="D65" i="113" a="1"/>
  <c r="D61" i="113" a="1"/>
  <c r="D57" i="113" a="1"/>
  <c r="D53" i="113" a="1"/>
  <c r="D49" i="113" a="1"/>
  <c r="D68" i="113" a="1"/>
  <c r="D64" i="113" a="1"/>
  <c r="D60" i="113" a="1"/>
  <c r="D56" i="113" a="1"/>
  <c r="D52" i="113" a="1"/>
  <c r="D48" i="113" a="1"/>
  <c r="D71" i="113" a="1"/>
  <c r="D67" i="113" a="1"/>
  <c r="D63" i="113" a="1"/>
  <c r="D59" i="113" a="1"/>
  <c r="D55" i="113" a="1"/>
  <c r="D51" i="113" a="1"/>
  <c r="D47" i="113" a="1"/>
  <c r="D47" i="113" l="1"/>
  <c r="D51" i="113"/>
  <c r="D55" i="113"/>
  <c r="D59" i="113"/>
  <c r="D63" i="113"/>
  <c r="D67" i="113"/>
  <c r="D71" i="113"/>
  <c r="D48" i="113"/>
  <c r="D52" i="113"/>
  <c r="D56" i="113"/>
  <c r="D60" i="113"/>
  <c r="D64" i="113"/>
  <c r="D68" i="113"/>
  <c r="D49" i="113"/>
  <c r="D53" i="113"/>
  <c r="D57" i="113"/>
  <c r="D61" i="113"/>
  <c r="D65" i="113"/>
  <c r="D69" i="113"/>
  <c r="D50" i="113"/>
  <c r="D54" i="113"/>
  <c r="D58" i="113"/>
  <c r="D62" i="113"/>
  <c r="D66" i="113"/>
  <c r="D70" i="113"/>
  <c r="D46" i="113"/>
  <c r="D38" i="113"/>
  <c r="E45" i="113"/>
  <c r="D45" i="113"/>
  <c r="F47" i="113" a="1"/>
  <c r="F52" i="113" a="1"/>
  <c r="F61" i="113" a="1"/>
  <c r="F70" i="113" a="1"/>
  <c r="F60" i="113" a="1"/>
  <c r="F64" i="113" a="1"/>
  <c r="F67" i="113" a="1"/>
  <c r="F49" i="113" a="1"/>
  <c r="F58" i="113" a="1"/>
  <c r="F71" i="113" a="1"/>
  <c r="F62" i="113" a="1"/>
  <c r="F57" i="113" a="1"/>
  <c r="F66" i="113" a="1"/>
  <c r="F51" i="113" a="1"/>
  <c r="F56" i="113" a="1"/>
  <c r="F65" i="113" a="1"/>
  <c r="F55" i="113" a="1"/>
  <c r="F69" i="113" a="1"/>
  <c r="F59" i="113" a="1"/>
  <c r="F50" i="113" a="1"/>
  <c r="F63" i="113" a="1"/>
  <c r="F68" i="113" a="1"/>
  <c r="F54" i="113" a="1"/>
  <c r="F53" i="113" a="1"/>
  <c r="F48" i="113" a="1"/>
  <c r="F46" i="113" a="1"/>
  <c r="F45" i="113" a="1"/>
  <c r="F48" i="113" l="1"/>
  <c r="F53" i="113"/>
  <c r="F54" i="113"/>
  <c r="F68" i="113"/>
  <c r="F63" i="113"/>
  <c r="F50" i="113"/>
  <c r="F59" i="113"/>
  <c r="F69" i="113"/>
  <c r="F55" i="113"/>
  <c r="F65" i="113"/>
  <c r="F56" i="113"/>
  <c r="F51" i="113"/>
  <c r="F66" i="113"/>
  <c r="F57" i="113"/>
  <c r="F62" i="113"/>
  <c r="F71" i="113"/>
  <c r="F58" i="113"/>
  <c r="F49" i="113"/>
  <c r="F67" i="113"/>
  <c r="F64" i="113"/>
  <c r="F60" i="113"/>
  <c r="F70" i="113"/>
  <c r="F61" i="113"/>
  <c r="F52" i="113"/>
  <c r="F47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<sst xmlns="http://schemas.openxmlformats.org/spreadsheetml/2006/main" count="58" uniqueCount="46">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</sst>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1" fontId="0" fillId="0" borderId="0" xfId="0" applyNumberFormat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37.867402772817201</c:v>
                </c:pt>
                <c:pt idx="7">
                  <c:v>31.729793902049899</c:v>
                </c:pt>
                <c:pt idx="8">
                  <c:v>28.093542672495602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20.978937299646699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289.034036914669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32.579651990935901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8.4401296363318394</c:v>
                </c:pt>
                <c:pt idx="10">
                  <c:v>6.6895941198801596</c:v>
                </c:pt>
                <c:pt idx="11">
                  <c:v>5.3757165427636302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exercise_PVT!$J$45</c:f>
              <c:strCache>
                <c:ptCount val="1"/>
                <c:pt idx="0">
                  <c:v>gas_fraction_d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0.66298598043857604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0.38932610994392097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0.232533480222717</c:v>
                </c:pt>
                <c:pt idx="12">
                  <c:v>0.20362319531763401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CA-488B-B1E5-9225BB3E595C}"/>
            </c:ext>
          </c:extLst>
        </c:ser>
        <c:ser>
          <c:idx val="1"/>
          <c:order val="1"/>
          <c:tx>
            <c:strRef>
              <c:f>exercise_PVT!$K$45</c:f>
              <c:strCache>
                <c:ptCount val="1"/>
                <c:pt idx="0">
                  <c:v>rho_mix_rc_kgm3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exercise_PVT!$K$46:$K$71</c:f>
              <c:numCache>
                <c:formatCode>0</c:formatCode>
                <c:ptCount val="26"/>
                <c:pt idx="0">
                  <c:v>4.9348447791088503</c:v>
                </c:pt>
                <c:pt idx="1">
                  <c:v>26.510439838935799</c:v>
                </c:pt>
                <c:pt idx="2">
                  <c:v>54.407747432544198</c:v>
                </c:pt>
                <c:pt idx="3">
                  <c:v>111.548315314821</c:v>
                </c:pt>
                <c:pt idx="4">
                  <c:v>226.606399782333</c:v>
                </c:pt>
                <c:pt idx="5">
                  <c:v>337.623893966472</c:v>
                </c:pt>
                <c:pt idx="6">
                  <c:v>438.14819560223299</c:v>
                </c:pt>
                <c:pt idx="7">
                  <c:v>522.91409004568197</c:v>
                </c:pt>
                <c:pt idx="8">
                  <c:v>590.61188946788604</c:v>
                </c:pt>
                <c:pt idx="9">
                  <c:v>643.39088078155203</c:v>
                </c:pt>
                <c:pt idx="10">
                  <c:v>684.70508069395203</c:v>
                </c:pt>
                <c:pt idx="11">
                  <c:v>717.78242087631497</c:v>
                </c:pt>
                <c:pt idx="12">
                  <c:v>740.61022020245696</c:v>
                </c:pt>
                <c:pt idx="13">
                  <c:v>752.15123680949705</c:v>
                </c:pt>
                <c:pt idx="14">
                  <c:v>761.55134944353301</c:v>
                </c:pt>
                <c:pt idx="15">
                  <c:v>769.37069620695797</c:v>
                </c:pt>
                <c:pt idx="16">
                  <c:v>775.99045309319797</c:v>
                </c:pt>
                <c:pt idx="17">
                  <c:v>781.67593042385795</c:v>
                </c:pt>
                <c:pt idx="18">
                  <c:v>786.61670837860402</c:v>
                </c:pt>
                <c:pt idx="19">
                  <c:v>790.95206213691199</c:v>
                </c:pt>
                <c:pt idx="20">
                  <c:v>794.78715716513204</c:v>
                </c:pt>
                <c:pt idx="21">
                  <c:v>798.20348631789602</c:v>
                </c:pt>
                <c:pt idx="22">
                  <c:v>801.26570217167102</c:v>
                </c:pt>
                <c:pt idx="23">
                  <c:v>804.02617161307796</c:v>
                </c:pt>
                <c:pt idx="24">
                  <c:v>806.52807216053895</c:v>
                </c:pt>
                <c:pt idx="25">
                  <c:v>808.80753990126902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CA-488B-B1E5-9225BB3E595C}"/>
            </c:ext>
          </c:extLst>
        </c:ser>
        <c:ser>
          <c:idx val="2"/>
          <c:order val="2"/>
          <c:tx>
            <c:strRef>
              <c:f>exercise_PVT!$L$45</c:f>
              <c:strCache>
                <c:ptCount val="1"/>
                <c:pt idx="0">
                  <c:v>mu_mix_cP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exercise_PVT!$L$46:$L$71</c:f>
              <c:numCache>
                <c:formatCode>0.00</c:formatCode>
                <c:ptCount val="26"/>
                <c:pt idx="0">
                  <c:v>3.6716042897375803E-2</c:v>
                </c:pt>
                <c:pt idx="1">
                  <c:v>0.113383944520664</c:v>
                </c:pt>
                <c:pt idx="2">
                  <c:v>0.19831162196888699</c:v>
                </c:pt>
                <c:pt idx="3">
                  <c:v>0.34523182007154202</c:v>
                </c:pt>
                <c:pt idx="4">
                  <c:v>0.58024086042533096</c:v>
                </c:pt>
                <c:pt idx="5">
                  <c:v>0.75658552888324304</c:v>
                </c:pt>
                <c:pt idx="6">
                  <c:v>0.87994233117453102</c:v>
                </c:pt>
                <c:pt idx="7">
                  <c:v>0.95407023384802903</c:v>
                </c:pt>
                <c:pt idx="8">
                  <c:v>0.98787822294379901</c:v>
                </c:pt>
                <c:pt idx="9">
                  <c:v>0.99315565227261604</c:v>
                </c:pt>
                <c:pt idx="10">
                  <c:v>0.98055924442442499</c:v>
                </c:pt>
                <c:pt idx="11">
                  <c:v>0.95788433788441496</c:v>
                </c:pt>
                <c:pt idx="12">
                  <c:v>0.95154739747332695</c:v>
                </c:pt>
                <c:pt idx="13">
                  <c:v>0.98021742938915402</c:v>
                </c:pt>
                <c:pt idx="14">
                  <c:v>1.0069952627645899</c:v>
                </c:pt>
                <c:pt idx="15">
                  <c:v>1.0324045060771001</c:v>
                </c:pt>
                <c:pt idx="16">
                  <c:v>1.0567951009059899</c:v>
                </c:pt>
                <c:pt idx="17">
                  <c:v>1.08040533641133</c:v>
                </c:pt>
                <c:pt idx="18">
                  <c:v>1.1034015038973499</c:v>
                </c:pt>
                <c:pt idx="19">
                  <c:v>1.1259030036022599</c:v>
                </c:pt>
                <c:pt idx="20">
                  <c:v>1.1479982439512399</c:v>
                </c:pt>
                <c:pt idx="21">
                  <c:v>1.16975477493324</c:v>
                </c:pt>
                <c:pt idx="22">
                  <c:v>1.1912258133701801</c:v>
                </c:pt>
                <c:pt idx="23">
                  <c:v>1.2124544978984999</c:v>
                </c:pt>
                <c:pt idx="24">
                  <c:v>1.2334767017495001</c:v>
                </c:pt>
                <c:pt idx="25">
                  <c:v>1.2543229180579301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CA-488B-B1E5-9225BB3E595C}"/>
            </c:ext>
          </c:extLst>
        </c:ser>
        <c:ser>
          <c:idx val="3"/>
          <c:order val="3"/>
          <c:tx>
            <c:strRef>
              <c:f>exercise_PVT!$M$45</c:f>
              <c:strCache>
                <c:ptCount val="1"/>
                <c:pt idx="0">
                  <c:v>mo_kgsec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exercise_PVT!$M$46:$M$71</c:f>
              <c:numCache>
                <c:formatCode>0.00</c:formatCode>
                <c:ptCount val="26"/>
                <c:pt idx="0">
                  <c:v>0.15480496020506199</c:v>
                </c:pt>
                <c:pt idx="1">
                  <c:v>0.15761441437447701</c:v>
                </c:pt>
                <c:pt idx="2">
                  <c:v>0.15892968668745899</c:v>
                </c:pt>
                <c:pt idx="3">
                  <c:v>0.16070849245132701</c:v>
                </c:pt>
                <c:pt idx="4">
                  <c:v>0.163268553654313</c:v>
                </c:pt>
                <c:pt idx="5">
                  <c:v>0.16536808294522201</c:v>
                </c:pt>
                <c:pt idx="6">
                  <c:v>0.167281938218308</c:v>
                </c:pt>
                <c:pt idx="7">
                  <c:v>0.16910797456291901</c:v>
                </c:pt>
                <c:pt idx="8">
                  <c:v>0.17089307985967001</c:v>
                </c:pt>
                <c:pt idx="9">
                  <c:v>0.17266338239829701</c:v>
                </c:pt>
                <c:pt idx="10">
                  <c:v>0.17443485511823401</c:v>
                </c:pt>
                <c:pt idx="11">
                  <c:v>0.17621789059337301</c:v>
                </c:pt>
                <c:pt idx="12">
                  <c:v>0.17736530624999999</c:v>
                </c:pt>
                <c:pt idx="13">
                  <c:v>0.17736530624999999</c:v>
                </c:pt>
                <c:pt idx="14">
                  <c:v>0.17736530624999999</c:v>
                </c:pt>
                <c:pt idx="15">
                  <c:v>0.17736530624999999</c:v>
                </c:pt>
                <c:pt idx="16">
                  <c:v>0.17736530624999999</c:v>
                </c:pt>
                <c:pt idx="17">
                  <c:v>0.17736530624999999</c:v>
                </c:pt>
                <c:pt idx="18">
                  <c:v>0.17736530624999999</c:v>
                </c:pt>
                <c:pt idx="19">
                  <c:v>0.17736530624999999</c:v>
                </c:pt>
                <c:pt idx="20">
                  <c:v>0.17736530624999999</c:v>
                </c:pt>
                <c:pt idx="21">
                  <c:v>0.17736530624999999</c:v>
                </c:pt>
                <c:pt idx="22">
                  <c:v>0.17736530624999999</c:v>
                </c:pt>
                <c:pt idx="23">
                  <c:v>0.17736530624999999</c:v>
                </c:pt>
                <c:pt idx="24">
                  <c:v>0.17736530624999999</c:v>
                </c:pt>
                <c:pt idx="25">
                  <c:v>0.17736530624999999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CA-488B-B1E5-9225BB3E5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exercise_PVT!$N$45</c:f>
              <c:strCache>
                <c:ptCount val="1"/>
                <c:pt idx="0">
                  <c:v>mw_kgsec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exercise_PVT!$N$46:$N$71</c:f>
              <c:numCache>
                <c:formatCode>0.00</c:formatCode>
                <c:ptCount val="26"/>
                <c:pt idx="0">
                  <c:v>1.90972222222222E-3</c:v>
                </c:pt>
                <c:pt idx="1">
                  <c:v>1.90972222222222E-3</c:v>
                </c:pt>
                <c:pt idx="2">
                  <c:v>1.90972222222222E-3</c:v>
                </c:pt>
                <c:pt idx="3">
                  <c:v>1.90972222222222E-3</c:v>
                </c:pt>
                <c:pt idx="4">
                  <c:v>1.90972222222222E-3</c:v>
                </c:pt>
                <c:pt idx="5">
                  <c:v>1.90972222222222E-3</c:v>
                </c:pt>
                <c:pt idx="6">
                  <c:v>1.90972222222222E-3</c:v>
                </c:pt>
                <c:pt idx="7">
                  <c:v>1.90972222222222E-3</c:v>
                </c:pt>
                <c:pt idx="8">
                  <c:v>1.90972222222222E-3</c:v>
                </c:pt>
                <c:pt idx="9">
                  <c:v>1.90972222222222E-3</c:v>
                </c:pt>
                <c:pt idx="10">
                  <c:v>1.90972222222222E-3</c:v>
                </c:pt>
                <c:pt idx="11">
                  <c:v>1.90972222222222E-3</c:v>
                </c:pt>
                <c:pt idx="12">
                  <c:v>1.90972222222222E-3</c:v>
                </c:pt>
                <c:pt idx="13">
                  <c:v>1.90972222222222E-3</c:v>
                </c:pt>
                <c:pt idx="14">
                  <c:v>1.90972222222222E-3</c:v>
                </c:pt>
                <c:pt idx="15">
                  <c:v>1.90972222222222E-3</c:v>
                </c:pt>
                <c:pt idx="16">
                  <c:v>1.90972222222222E-3</c:v>
                </c:pt>
                <c:pt idx="17">
                  <c:v>1.90972222222222E-3</c:v>
                </c:pt>
                <c:pt idx="18">
                  <c:v>1.90972222222222E-3</c:v>
                </c:pt>
                <c:pt idx="19">
                  <c:v>1.90972222222222E-3</c:v>
                </c:pt>
                <c:pt idx="20">
                  <c:v>1.90972222222222E-3</c:v>
                </c:pt>
                <c:pt idx="21">
                  <c:v>1.90972222222222E-3</c:v>
                </c:pt>
                <c:pt idx="22">
                  <c:v>1.90972222222222E-3</c:v>
                </c:pt>
                <c:pt idx="23">
                  <c:v>1.90972222222222E-3</c:v>
                </c:pt>
                <c:pt idx="24">
                  <c:v>1.90972222222222E-3</c:v>
                </c:pt>
                <c:pt idx="25">
                  <c:v>1.90972222222222E-3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78-45B3-BE61-9E3E371BD2D7}"/>
            </c:ext>
          </c:extLst>
        </c:ser>
        <c:ser>
          <c:idx val="1"/>
          <c:order val="1"/>
          <c:tx>
            <c:strRef>
              <c:f>exercise_PVT!$O$45</c:f>
              <c:strCache>
                <c:ptCount val="1"/>
                <c:pt idx="0">
                  <c:v>mg_kgsec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exercise_PVT!$O$46:$O$71</c:f>
              <c:numCache>
                <c:formatCode>0.00</c:formatCode>
                <c:ptCount val="26"/>
                <c:pt idx="0">
                  <c:v>3.5286387711604403E-2</c:v>
                </c:pt>
                <c:pt idx="1">
                  <c:v>3.24769335421893E-2</c:v>
                </c:pt>
                <c:pt idx="2">
                  <c:v>3.11616612292074E-2</c:v>
                </c:pt>
                <c:pt idx="3">
                  <c:v>2.9382855465339201E-2</c:v>
                </c:pt>
                <c:pt idx="4">
                  <c:v>2.6822794262354E-2</c:v>
                </c:pt>
                <c:pt idx="5">
                  <c:v>2.4723264971444499E-2</c:v>
                </c:pt>
                <c:pt idx="6">
                  <c:v>2.28094096983592E-2</c:v>
                </c:pt>
                <c:pt idx="7">
                  <c:v>2.09833733537481E-2</c:v>
                </c:pt>
                <c:pt idx="8">
                  <c:v>1.9198268056996998E-2</c:v>
                </c:pt>
                <c:pt idx="9">
                  <c:v>1.7427965518369601E-2</c:v>
                </c:pt>
                <c:pt idx="10">
                  <c:v>1.5656492798433001E-2</c:v>
                </c:pt>
                <c:pt idx="11">
                  <c:v>1.3873457323293601E-2</c:v>
                </c:pt>
                <c:pt idx="12">
                  <c:v>1.27260416666667E-2</c:v>
                </c:pt>
                <c:pt idx="13">
                  <c:v>1.27260416666667E-2</c:v>
                </c:pt>
                <c:pt idx="14">
                  <c:v>1.27260416666667E-2</c:v>
                </c:pt>
                <c:pt idx="15">
                  <c:v>1.27260416666667E-2</c:v>
                </c:pt>
                <c:pt idx="16">
                  <c:v>1.27260416666667E-2</c:v>
                </c:pt>
                <c:pt idx="17">
                  <c:v>1.27260416666667E-2</c:v>
                </c:pt>
                <c:pt idx="18">
                  <c:v>1.27260416666667E-2</c:v>
                </c:pt>
                <c:pt idx="19">
                  <c:v>1.27260416666667E-2</c:v>
                </c:pt>
                <c:pt idx="20">
                  <c:v>1.27260416666667E-2</c:v>
                </c:pt>
                <c:pt idx="21">
                  <c:v>1.27260416666667E-2</c:v>
                </c:pt>
                <c:pt idx="22">
                  <c:v>1.27260416666667E-2</c:v>
                </c:pt>
                <c:pt idx="23">
                  <c:v>1.27260416666667E-2</c:v>
                </c:pt>
                <c:pt idx="24">
                  <c:v>1.27260416666667E-2</c:v>
                </c:pt>
                <c:pt idx="25">
                  <c:v>1.27260416666667E-2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78-45B3-BE61-9E3E371BD2D7}"/>
            </c:ext>
          </c:extLst>
        </c:ser>
        <c:ser>
          <c:idx val="2"/>
          <c:order val="2"/>
          <c:tx>
            <c:strRef>
              <c:f>exercise_PVT!$P$45</c:f>
              <c:strCache>
                <c:ptCount val="1"/>
                <c:pt idx="0">
                  <c:v>mg_kgmol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exercise_PVT!$P$46:$P$71</c:f>
              <c:numCache>
                <c:formatCode>0.00</c:formatCode>
                <c:ptCount val="26"/>
                <c:pt idx="0">
                  <c:v>2.6100000000000002E-2</c:v>
                </c:pt>
                <c:pt idx="1">
                  <c:v>2.6100000000000002E-2</c:v>
                </c:pt>
                <c:pt idx="2">
                  <c:v>2.6100000000000002E-2</c:v>
                </c:pt>
                <c:pt idx="3">
                  <c:v>2.6100000000000002E-2</c:v>
                </c:pt>
                <c:pt idx="4">
                  <c:v>2.6100000000000002E-2</c:v>
                </c:pt>
                <c:pt idx="5">
                  <c:v>2.6100000000000002E-2</c:v>
                </c:pt>
                <c:pt idx="6">
                  <c:v>2.6100000000000002E-2</c:v>
                </c:pt>
                <c:pt idx="7">
                  <c:v>2.6100000000000002E-2</c:v>
                </c:pt>
                <c:pt idx="8">
                  <c:v>2.6100000000000002E-2</c:v>
                </c:pt>
                <c:pt idx="9">
                  <c:v>2.6100000000000002E-2</c:v>
                </c:pt>
                <c:pt idx="10">
                  <c:v>2.6100000000000002E-2</c:v>
                </c:pt>
                <c:pt idx="11">
                  <c:v>2.6100000000000002E-2</c:v>
                </c:pt>
                <c:pt idx="12">
                  <c:v>2.6100000000000002E-2</c:v>
                </c:pt>
                <c:pt idx="13">
                  <c:v>2.6100000000000002E-2</c:v>
                </c:pt>
                <c:pt idx="14">
                  <c:v>2.6100000000000002E-2</c:v>
                </c:pt>
                <c:pt idx="15">
                  <c:v>2.6100000000000002E-2</c:v>
                </c:pt>
                <c:pt idx="16">
                  <c:v>2.6100000000000002E-2</c:v>
                </c:pt>
                <c:pt idx="17">
                  <c:v>2.6100000000000002E-2</c:v>
                </c:pt>
                <c:pt idx="18">
                  <c:v>2.6100000000000002E-2</c:v>
                </c:pt>
                <c:pt idx="19">
                  <c:v>2.6100000000000002E-2</c:v>
                </c:pt>
                <c:pt idx="20">
                  <c:v>2.6100000000000002E-2</c:v>
                </c:pt>
                <c:pt idx="21">
                  <c:v>2.6100000000000002E-2</c:v>
                </c:pt>
                <c:pt idx="22">
                  <c:v>2.6100000000000002E-2</c:v>
                </c:pt>
                <c:pt idx="23">
                  <c:v>2.6100000000000002E-2</c:v>
                </c:pt>
                <c:pt idx="24">
                  <c:v>2.6100000000000002E-2</c:v>
                </c:pt>
                <c:pt idx="25">
                  <c:v>2.6100000000000002E-2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78-45B3-BE61-9E3E371BD2D7}"/>
            </c:ext>
          </c:extLst>
        </c:ser>
        <c:ser>
          <c:idx val="4"/>
          <c:order val="3"/>
          <c:tx>
            <c:strRef>
              <c:f>exercise_PVT!$R$45</c:f>
              <c:strCache>
                <c:ptCount val="1"/>
                <c:pt idx="0">
                  <c:v>cJT_Katm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-3.1057306296361199E-2</c:v>
                </c:pt>
                <c:pt idx="1">
                  <c:v>-2.46639337740025E-2</c:v>
                </c:pt>
                <c:pt idx="2">
                  <c:v>-2.2527811983470699E-2</c:v>
                </c:pt>
                <c:pt idx="3">
                  <c:v>-2.20516050845516E-2</c:v>
                </c:pt>
                <c:pt idx="4">
                  <c:v>-2.5170049330479598E-2</c:v>
                </c:pt>
                <c:pt idx="5">
                  <c:v>-2.4751760806019599E-2</c:v>
                </c:pt>
                <c:pt idx="6">
                  <c:v>-1.78250772454304E-2</c:v>
                </c:pt>
                <c:pt idx="7">
                  <c:v>-6.84652331666568E-3</c:v>
                </c:pt>
                <c:pt idx="8">
                  <c:v>4.7677608101553597E-3</c:v>
                </c:pt>
                <c:pt idx="9">
                  <c:v>1.4992065886297199E-2</c:v>
                </c:pt>
                <c:pt idx="10">
                  <c:v>2.3187988140780401E-2</c:v>
                </c:pt>
                <c:pt idx="11">
                  <c:v>2.9449670283333999E-2</c:v>
                </c:pt>
                <c:pt idx="12">
                  <c:v>3.3415214031413398E-2</c:v>
                </c:pt>
                <c:pt idx="13">
                  <c:v>3.5349589038925502E-2</c:v>
                </c:pt>
                <c:pt idx="14">
                  <c:v>3.6867369531658797E-2</c:v>
                </c:pt>
                <c:pt idx="15">
                  <c:v>3.8061144010786398E-2</c:v>
                </c:pt>
                <c:pt idx="16">
                  <c:v>3.9006529019467898E-2</c:v>
                </c:pt>
                <c:pt idx="17">
                  <c:v>3.9762363792218099E-2</c:v>
                </c:pt>
                <c:pt idx="18">
                  <c:v>4.0373293488934897E-2</c:v>
                </c:pt>
                <c:pt idx="19">
                  <c:v>4.0872761584443702E-2</c:v>
                </c:pt>
                <c:pt idx="20">
                  <c:v>4.1285678198751598E-2</c:v>
                </c:pt>
                <c:pt idx="21">
                  <c:v>4.1630572096575398E-2</c:v>
                </c:pt>
                <c:pt idx="22">
                  <c:v>4.19212449883406E-2</c:v>
                </c:pt>
                <c:pt idx="23">
                  <c:v>4.21680128479422E-2</c:v>
                </c:pt>
                <c:pt idx="24">
                  <c:v>4.2378626662970299E-2</c:v>
                </c:pt>
                <c:pt idx="25">
                  <c:v>4.2558952547171201E-2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78-45B3-BE61-9E3E371BD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59069</xdr:colOff>
      <xdr:row>74</xdr:row>
      <xdr:rowOff>126845</xdr:rowOff>
    </xdr:from>
    <xdr:to>
      <xdr:col>7</xdr:col>
      <xdr:colOff>395393</xdr:colOff>
      <xdr:row>98</xdr:row>
      <xdr:rowOff>124373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482081</xdr:colOff>
      <xdr:row>74</xdr:row>
      <xdr:rowOff>108857</xdr:rowOff>
    </xdr:from>
    <xdr:to>
      <xdr:col>15</xdr:col>
      <xdr:colOff>17527</xdr:colOff>
      <xdr:row>98</xdr:row>
      <xdr:rowOff>106385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65EDF99-94AD-44F8-AB10-E42972B94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163286</xdr:colOff>
      <xdr:row>74</xdr:row>
      <xdr:rowOff>108857</xdr:rowOff>
    </xdr:from>
    <xdr:to>
      <xdr:col>21</xdr:col>
      <xdr:colOff>538489</xdr:colOff>
      <xdr:row>98</xdr:row>
      <xdr:rowOff>106385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022BEC2-47C2-438F-BDA8-7D7AA2D16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feed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44"/>
  <sheetViews>
    <sheetView tabSelected="1" zoomScale="70" zoomScaleNormal="70" workbookViewId="0">
      <selection activeCell="X80" sqref="X80"/>
    </sheetView>
  </sheetViews>
  <sheetFormatPr defaultRowHeight="12.45" x14ac:dyDescent="0.3"/>
  <cols>
    <col min="1" max="1" width="12.3046875" customWidth="1"/>
    <col min="2" max="2" width="15.84375" customWidth="1"/>
    <col min="3" max="3" width="10.53515625" customWidth="1"/>
    <col min="4" max="4" width="9.84375" customWidth="1"/>
    <col min="5" max="5" width="11.3046875" customWidth="1"/>
    <col min="6" max="6" width="9.84375" customWidth="1"/>
    <col min="7" max="7" width="11.69140625" customWidth="1"/>
    <col min="8" max="8" width="12.3046875" customWidth="1"/>
    <col min="9" max="9" width="10.53515625" bestFit="1" customWidth="1"/>
    <col min="10" max="10" width="11.3046875" customWidth="1"/>
    <col min="11" max="11" width="10.15234375" customWidth="1"/>
    <col min="12" max="13" width="9" bestFit="1" customWidth="1"/>
    <col min="14" max="14" width="9.15234375" customWidth="1"/>
    <col min="15" max="15" width="9" bestFit="1" customWidth="1"/>
    <col min="16" max="17" width="11.15234375" customWidth="1"/>
    <col min="18" max="18" width="12.3046875" bestFit="1" customWidth="1"/>
    <col min="19" max="19" width="12.69140625" bestFit="1" customWidth="1"/>
    <col min="20" max="21" width="10.53515625" bestFit="1" customWidth="1"/>
    <col min="22" max="32" width="9.15234375" customWidth="1"/>
  </cols>
  <sheetData>
    <row r="1" spans="1:12" x14ac:dyDescent="0.3">
      <c r="A1" s="1" t="s">
        <v>20</v>
      </c>
      <c r="F1" t="s">
        <v>22</v>
      </c>
      <c r="G1" t="str">
        <f>[1]!unf_version()</f>
        <v>7.49</v>
      </c>
      <c r="H1" s="15" t="s">
        <v>32</v>
      </c>
      <c r="I1" s="19">
        <v>45230</v>
      </c>
      <c r="J1" s="20"/>
      <c r="K1" s="20"/>
      <c r="L1" s="21"/>
    </row>
    <row r="2" spans="1:12" x14ac:dyDescent="0.3">
      <c r="A2" t="s">
        <v>21</v>
      </c>
      <c r="H2" s="15" t="s">
        <v>33</v>
      </c>
      <c r="I2" s="22">
        <v>7.49</v>
      </c>
      <c r="J2" s="17"/>
      <c r="K2" s="17"/>
      <c r="L2" s="18"/>
    </row>
    <row r="3" spans="1:12" ht="14.6" x14ac:dyDescent="0.4">
      <c r="A3" s="16" t="s">
        <v>25</v>
      </c>
      <c r="B3" s="43" t="s">
        <v>27</v>
      </c>
      <c r="C3" s="43"/>
      <c r="D3" s="43"/>
      <c r="E3" s="44"/>
      <c r="H3" s="16" t="s">
        <v>25</v>
      </c>
      <c r="I3" s="45" t="s">
        <v>27</v>
      </c>
      <c r="J3" s="45"/>
      <c r="K3" s="45"/>
      <c r="L3" s="45"/>
    </row>
    <row r="4" spans="1:12" ht="14.6" x14ac:dyDescent="0.4">
      <c r="A4" s="16" t="s">
        <v>29</v>
      </c>
      <c r="B4" s="43" t="s">
        <v>30</v>
      </c>
      <c r="C4" s="43"/>
      <c r="D4" s="43"/>
      <c r="E4" s="44"/>
      <c r="H4" s="16" t="s">
        <v>29</v>
      </c>
      <c r="I4" s="46" t="s">
        <v>30</v>
      </c>
      <c r="J4" s="46"/>
      <c r="K4" s="46"/>
      <c r="L4" s="46"/>
    </row>
    <row r="5" spans="1:12" ht="14.6" x14ac:dyDescent="0.4">
      <c r="A5" s="16" t="s">
        <v>34</v>
      </c>
      <c r="B5" s="43" t="s">
        <v>28</v>
      </c>
      <c r="C5" s="43"/>
      <c r="D5" s="43"/>
      <c r="E5" s="44"/>
      <c r="H5" s="16" t="s">
        <v>34</v>
      </c>
      <c r="I5" s="46" t="s">
        <v>28</v>
      </c>
      <c r="J5" s="46"/>
      <c r="K5" s="46"/>
      <c r="L5" s="46"/>
    </row>
    <row r="6" spans="1:12" x14ac:dyDescent="0.3">
      <c r="A6" s="49" t="s">
        <v>26</v>
      </c>
      <c r="B6" s="52" t="s">
        <v>31</v>
      </c>
      <c r="C6" s="53"/>
      <c r="D6" s="53"/>
      <c r="E6" s="54"/>
      <c r="H6" s="61" t="s">
        <v>26</v>
      </c>
      <c r="I6" s="62" t="s">
        <v>31</v>
      </c>
      <c r="J6" s="62"/>
      <c r="K6" s="62"/>
      <c r="L6" s="62"/>
    </row>
    <row r="7" spans="1:12" x14ac:dyDescent="0.3">
      <c r="A7" s="50"/>
      <c r="B7" s="55"/>
      <c r="C7" s="56"/>
      <c r="D7" s="56"/>
      <c r="E7" s="57"/>
      <c r="H7" s="61"/>
      <c r="I7" s="62"/>
      <c r="J7" s="62"/>
      <c r="K7" s="62"/>
      <c r="L7" s="62"/>
    </row>
    <row r="8" spans="1:12" x14ac:dyDescent="0.3">
      <c r="A8" s="51"/>
      <c r="B8" s="58"/>
      <c r="C8" s="59"/>
      <c r="D8" s="59"/>
      <c r="E8" s="60"/>
      <c r="H8" s="61"/>
      <c r="I8" s="62"/>
      <c r="J8" s="62"/>
      <c r="K8" s="62"/>
      <c r="L8" s="62"/>
    </row>
    <row r="10" spans="1:12" x14ac:dyDescent="0.3">
      <c r="A10" s="1" t="s">
        <v>1</v>
      </c>
    </row>
    <row r="11" spans="1:12" ht="17.600000000000001" x14ac:dyDescent="0.55000000000000004">
      <c r="B11" s="5" t="s">
        <v>10</v>
      </c>
      <c r="C11" s="2">
        <v>0.9</v>
      </c>
      <c r="D11" s="6"/>
      <c r="E11" s="11">
        <f>gamma_oil_*1000</f>
        <v>900</v>
      </c>
      <c r="F11" s="12" t="s">
        <v>19</v>
      </c>
    </row>
    <row r="12" spans="1:12" ht="17.600000000000001" x14ac:dyDescent="0.55000000000000004">
      <c r="B12" s="4" t="s">
        <v>12</v>
      </c>
      <c r="C12" s="2">
        <v>1.1000000000000001</v>
      </c>
      <c r="D12" s="6"/>
      <c r="E12" s="11">
        <f>gamma_wat_*1000</f>
        <v>1100</v>
      </c>
      <c r="F12" s="12" t="s">
        <v>19</v>
      </c>
    </row>
    <row r="13" spans="1:12" ht="17.600000000000001" x14ac:dyDescent="0.55000000000000004">
      <c r="B13" s="4" t="s">
        <v>11</v>
      </c>
      <c r="C13" s="2">
        <v>0.9</v>
      </c>
      <c r="D13" s="6"/>
      <c r="E13" s="11">
        <f>gamma_gas_*1.22</f>
        <v>1.0980000000000001</v>
      </c>
      <c r="F13" s="12" t="s">
        <v>19</v>
      </c>
    </row>
    <row r="14" spans="1:12" ht="17.600000000000001" x14ac:dyDescent="0.55000000000000004">
      <c r="B14" s="7" t="s">
        <v>13</v>
      </c>
      <c r="C14" s="2">
        <v>120</v>
      </c>
      <c r="D14" s="4" t="s">
        <v>14</v>
      </c>
      <c r="E14" s="13">
        <f>Rsb_/gamma_oil_</f>
        <v>133.33333333333334</v>
      </c>
      <c r="F14" s="12" t="s">
        <v>24</v>
      </c>
    </row>
    <row r="15" spans="1:12" ht="17.149999999999999" x14ac:dyDescent="0.55000000000000004">
      <c r="B15" s="4" t="s">
        <v>16</v>
      </c>
      <c r="C15" s="2"/>
      <c r="D15" s="4" t="s">
        <v>7</v>
      </c>
      <c r="E15" s="13">
        <f>Pb_*1.01325/10</f>
        <v>0</v>
      </c>
      <c r="F15" s="12" t="s">
        <v>8</v>
      </c>
    </row>
    <row r="16" spans="1:12" ht="17.149999999999999" x14ac:dyDescent="0.55000000000000004">
      <c r="B16" s="4" t="s">
        <v>15</v>
      </c>
      <c r="C16" s="2">
        <v>90</v>
      </c>
      <c r="D16" s="4" t="s">
        <v>3</v>
      </c>
      <c r="E16" s="13">
        <f>Tres_*9/5+32</f>
        <v>194</v>
      </c>
      <c r="F16" s="12" t="s">
        <v>9</v>
      </c>
    </row>
    <row r="17" spans="2:16" ht="17.149999999999999" x14ac:dyDescent="0.55000000000000004">
      <c r="B17" s="7" t="s">
        <v>17</v>
      </c>
      <c r="C17" s="2">
        <v>1.2</v>
      </c>
      <c r="D17" s="4" t="s">
        <v>2</v>
      </c>
      <c r="E17" s="14"/>
      <c r="F17" s="6"/>
    </row>
    <row r="18" spans="2:16" ht="17.149999999999999" x14ac:dyDescent="0.55000000000000004">
      <c r="B18" s="8" t="s">
        <v>18</v>
      </c>
      <c r="C18" s="2">
        <v>1</v>
      </c>
      <c r="D18" s="4" t="s">
        <v>6</v>
      </c>
      <c r="E18" s="14"/>
      <c r="F18" s="6"/>
    </row>
    <row r="20" spans="2:16" ht="17.149999999999999" x14ac:dyDescent="0.55000000000000004">
      <c r="B20" s="5" t="s">
        <v>38</v>
      </c>
      <c r="C20" s="2">
        <v>15</v>
      </c>
      <c r="D20" s="5"/>
    </row>
    <row r="21" spans="2:16" ht="17.149999999999999" x14ac:dyDescent="0.55000000000000004">
      <c r="B21" s="5" t="s">
        <v>39</v>
      </c>
      <c r="C21" s="2">
        <v>1</v>
      </c>
      <c r="D21" s="5"/>
    </row>
    <row r="22" spans="2:16" ht="17.149999999999999" x14ac:dyDescent="0.55000000000000004">
      <c r="B22" s="5" t="s">
        <v>40</v>
      </c>
      <c r="C22" s="2">
        <v>120</v>
      </c>
      <c r="D22" s="5"/>
    </row>
    <row r="23" spans="2:16" ht="17.149999999999999" x14ac:dyDescent="0.55000000000000004">
      <c r="B23" s="5" t="s">
        <v>41</v>
      </c>
      <c r="C23" s="2">
        <v>1000</v>
      </c>
      <c r="D23" s="5"/>
    </row>
    <row r="25" spans="2:16" x14ac:dyDescent="0.3">
      <c r="B25" s="47" t="s">
        <v>35</v>
      </c>
      <c r="C25" s="48"/>
      <c r="D25" s="27"/>
      <c r="E25" s="13"/>
      <c r="F25" s="13"/>
    </row>
    <row r="26" spans="2:16" x14ac:dyDescent="0.3">
      <c r="B26" s="26" t="s">
        <v>36</v>
      </c>
      <c r="C26" s="26">
        <v>1</v>
      </c>
    </row>
    <row r="27" spans="2:16" x14ac:dyDescent="0.3">
      <c r="B27" s="26" t="s">
        <v>37</v>
      </c>
      <c r="C27" s="26">
        <v>1</v>
      </c>
    </row>
    <row r="28" spans="2:16" x14ac:dyDescent="0.3">
      <c r="B28" s="26"/>
      <c r="C28" s="26"/>
    </row>
    <row r="30" spans="2:16" ht="15" customHeight="1" x14ac:dyDescent="0.3">
      <c r="B30" s="28" t="s">
        <v>23</v>
      </c>
      <c r="C30" s="30"/>
      <c r="D30" s="29" t="str">
        <f>[1]!encode_PVT(gamma_gas_,gamma_oil_,gamma_wat_,Rsb_,Pb_,Tres_,Bob_,muob_,C27)</f>
        <v>{"gamma_gas":0.9,"gamma_oil":0.9,"gamma_wat":1.1,"rsb_m3m3":120,"bob_m3m3":1.2,"muob_cP":1,"PVT_corr_set":1}</v>
      </c>
      <c r="E30" s="17"/>
      <c r="F30" s="17"/>
      <c r="G30" s="17"/>
      <c r="H30" s="17"/>
      <c r="I30" s="17"/>
      <c r="J30" s="17"/>
      <c r="K30" s="17"/>
      <c r="L30" s="18"/>
      <c r="M30" s="32"/>
      <c r="N30" s="32"/>
      <c r="O30" s="32"/>
      <c r="P30" s="32"/>
    </row>
    <row r="31" spans="2:16" ht="15" customHeight="1" x14ac:dyDescent="0.3">
      <c r="B31" s="28" t="s">
        <v>42</v>
      </c>
      <c r="C31" s="30"/>
      <c r="D31" s="32" t="str" cm="1">
        <f t="array" ref="D31">[1]!encode_feed(Qliq,fw,rp,Qgas,PVT_str_)</f>
        <v>{"gamma_gas":0.9,"gamma_oil":0.9,"gamma_wat":1.1,"rsb_m3m3":120,"bob_m3m3":1.2,"muob_cP":1,"PVT_corr_set":1,"q_liq_sm3day":15,"fw_perc":1,"rp_m3m3":120,"q_gas_free_sm3day":1000}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</row>
    <row r="33" spans="2:27" x14ac:dyDescent="0.3">
      <c r="B33" s="9" t="s">
        <v>0</v>
      </c>
      <c r="C33" s="9" t="s">
        <v>4</v>
      </c>
      <c r="D33" t="s">
        <v>43</v>
      </c>
    </row>
    <row r="34" spans="2:27" x14ac:dyDescent="0.3">
      <c r="B34" s="10">
        <v>10</v>
      </c>
      <c r="C34" s="31">
        <v>50</v>
      </c>
      <c r="D34" s="35" t="str" cm="1">
        <f t="array" ref="D34">[1]!PVT_calc(B34,C34,D30,1)</f>
        <v>{"rs_m3m3":24.687,"pb_atma":169.558,"bo_m3m3":1.047,"bg_m3m3":0.107,"bw_m3m3":1.014,"mu_oil_cP":7.426,"mu_gas_cP":0.011,"mu_wat_cP":0.711,"rho_oil_rc_kgm3":885.683,"rho_gas_rc_kgm3":10.273,"rho_wat_rc_kgm3":1084.584,"compressibility_oil_1atm":0.009764,"compressibility_gas_1atm":0.10353,"compressibility_wat_1atm":0.000035,"sigma_liq_Nm":0.03,"sigma_oil_gas_Nm":0.03,"sigma_wat_gas_Nm":0.064,"cp_oil_JkgC":2427.4,"cp_gas_JkgC":1784.274,"cv_gas_JkgC":1476.4,"cp_wat_JkgC":4176,"z":0.967,"sal_ppm":136861.032,"log":"[\"CPVT object created \"]"}</v>
      </c>
      <c r="E34" s="37"/>
      <c r="F34" s="36"/>
      <c r="H34" s="36"/>
    </row>
    <row r="35" spans="2:27" x14ac:dyDescent="0.3">
      <c r="D35" s="33"/>
      <c r="E35" s="34"/>
    </row>
    <row r="37" spans="2:27" x14ac:dyDescent="0.3">
      <c r="D37" t="s">
        <v>44</v>
      </c>
    </row>
    <row r="38" spans="2:27" x14ac:dyDescent="0.3">
      <c r="D38" s="35" t="str" cm="1">
        <f t="array" ref="D38">[1]!feed_calc(B34,C34,PVT_stream_,0)</f>
        <v>{"q_mix_rc_m3day":274.215714179977,"q_oil_rc_m3day":15.545159647087,"q_wat_rc_m3day":0.152132091422893,"q_gas_rc_m3day":258.518422441467,"gas_fraction_d":0.942755681287444,"rho_mix_rc_kgm3":60.4992874046116,"mu_mix_cP":0.431585653112114,"mo_kgsec":0.15935285933703,"mw_kgsec":1.90972222222222E-03,"mg_kgsec":3.07384885796365E-02,"mg_kgmol":0.0261,"cmix_JkgC":2341.8307148544,"cJT_Katm":-4.01030521828615E-02,"log":"[\"set show_log=1 in param to show calc log\"]"}</v>
      </c>
      <c r="E38" s="37"/>
      <c r="F38" s="36"/>
      <c r="H38" s="36"/>
    </row>
    <row r="39" spans="2:27" x14ac:dyDescent="0.3">
      <c r="D39" s="33"/>
      <c r="E39" s="34"/>
    </row>
    <row r="43" spans="2:27" x14ac:dyDescent="0.3">
      <c r="B43" t="s">
        <v>45</v>
      </c>
    </row>
    <row r="45" spans="2:27" s="24" customFormat="1" x14ac:dyDescent="0.3">
      <c r="B45" s="25" t="s">
        <v>0</v>
      </c>
      <c r="C45" s="25" t="s">
        <v>4</v>
      </c>
      <c r="D45" s="25">
        <f>D39</f>
        <v>0</v>
      </c>
      <c r="E45" s="25">
        <f t="shared" ref="E45" si="0">E39</f>
        <v>0</v>
      </c>
      <c r="F45" s="42" t="str">
        <f t="array" ref="F45:R45">[1]!decode_json(D46,1,,)</f>
        <v>q_mix_rc_m3day</v>
      </c>
      <c r="G45" s="42" t="str">
        <v>q_oil_rc_m3day</v>
      </c>
      <c r="H45" s="42" t="str">
        <v>q_wat_rc_m3day</v>
      </c>
      <c r="I45" s="42" t="str">
        <v>q_gas_rc_m3day</v>
      </c>
      <c r="J45" s="42" t="str">
        <v>gas_fraction_d</v>
      </c>
      <c r="K45" s="42" t="str">
        <v>rho_mix_rc_kgm3</v>
      </c>
      <c r="L45" s="42" t="str">
        <v>mu_mix_cP</v>
      </c>
      <c r="M45" s="42" t="str">
        <v>mo_kgsec</v>
      </c>
      <c r="N45" s="42" t="str">
        <v>mw_kgsec</v>
      </c>
      <c r="O45" s="42" t="str">
        <v>mg_kgsec</v>
      </c>
      <c r="P45" s="42" t="str">
        <v>mg_kgmol</v>
      </c>
      <c r="Q45" s="42" t="str">
        <v>cmix_JkgC</v>
      </c>
      <c r="R45" s="42" t="str">
        <v>cJT_Katm</v>
      </c>
      <c r="S45"/>
      <c r="T45"/>
      <c r="U45"/>
      <c r="V45"/>
      <c r="W45"/>
      <c r="X45"/>
      <c r="Y45"/>
      <c r="Z45"/>
      <c r="AA45"/>
    </row>
    <row r="46" spans="2:27" x14ac:dyDescent="0.3">
      <c r="B46" s="10">
        <v>1</v>
      </c>
      <c r="C46" s="10">
        <v>80</v>
      </c>
      <c r="D46" s="38" t="str" cm="1">
        <f t="array" ref="D46">[1]!feed_calc(B46,C46,PVT_stream_,0)</f>
        <v>{"q_mix_rc_m3day":3361.58151658449,"q_oil_rc_m3day":15.2954430413188,"q_wat_rc_m3day":0.154548909165839,"q_gas_rc_m3day":3346.131524634,"gas_fraction_d":0.995403951421597,"rho_mix_rc_kgm3":4.93484477910885,"mu_mix_cP":3.67160428973758E-02,"mo_kgsec":0.154804960205062,"mw_kgsec":1.90972222222222E-03,"mg_kgsec":3.52863877116044E-02,"mg_kgmol":0.0261,"cmix_JkgC":2460.70980448772,"cJT_Katm":-3.10573062963612E-02,"log":"[\"set show_log=1 in param to show calc log\"]"}</v>
      </c>
      <c r="E46" s="38"/>
      <c r="F46" s="40" cm="1">
        <f t="array" ref="F46:S46">[1]!decode_json(D46,1,,1)</f>
        <v>3361.5815165844901</v>
      </c>
      <c r="G46" s="41">
        <v>15.2954430413188</v>
      </c>
      <c r="H46" s="39">
        <v>0.15454890916583899</v>
      </c>
      <c r="I46" s="41">
        <v>3346.131524634</v>
      </c>
      <c r="J46" s="39">
        <v>0.99540395142159699</v>
      </c>
      <c r="K46" s="23">
        <v>4.9348447791088503</v>
      </c>
      <c r="L46" s="39">
        <v>3.6716042897375803E-2</v>
      </c>
      <c r="M46" s="39">
        <v>0.15480496020506199</v>
      </c>
      <c r="N46" s="39">
        <v>1.90972222222222E-3</v>
      </c>
      <c r="O46" s="39">
        <v>3.5286387711604403E-2</v>
      </c>
      <c r="P46" s="39">
        <v>2.6100000000000002E-2</v>
      </c>
      <c r="Q46" s="23">
        <v>2460.7098044877198</v>
      </c>
      <c r="R46" s="39">
        <v>-3.1057306296361199E-2</v>
      </c>
      <c r="S46" t="str">
        <v>["set show_log=1 in param to show calc log"]</v>
      </c>
    </row>
    <row r="47" spans="2:27" x14ac:dyDescent="0.3">
      <c r="B47" s="10">
        <v>5</v>
      </c>
      <c r="C47" s="10">
        <v>80</v>
      </c>
      <c r="D47" s="38" t="str" cm="1">
        <f t="array" ref="D47">[1]!feed_calc(B47,C47,PVT_stream_,0)</f>
        <v>{"q_mix_rc_m3day":625.770544126057,"q_oil_rc_m3day":15.5882016292868,"q_wat_rc_m3day":0.154542331267194,"q_gas_rc_m3day":610.027800165503,"gas_fraction_d":0.974842625450611,"rho_mix_rc_kgm3":26.5104398389358,"mu_mix_cP":0.113383944520664,"mo_kgsec":0.157614414374477,"mw_kgsec":1.90972222222222E-03,"mg_kgsec":3.24769335421893E-02,"mg_kgmol":0.0261,"cmix_JkgC":2466.88475880708,"cJT_Katm":-2.46639337740025E-02,"log":"[\"set show_log=1 in param to show calc log\"]"}</v>
      </c>
      <c r="E47" s="38"/>
      <c r="F47" s="40" cm="1">
        <f t="array" ref="F47:S47">[1]!decode_json(D47,1,,1)</f>
        <v>625.77054412605696</v>
      </c>
      <c r="G47" s="41">
        <v>15.5882016292868</v>
      </c>
      <c r="H47" s="39">
        <v>0.15454233126719399</v>
      </c>
      <c r="I47" s="41">
        <v>610.02780016550298</v>
      </c>
      <c r="J47" s="39">
        <v>0.97484262545061096</v>
      </c>
      <c r="K47" s="23">
        <v>26.510439838935799</v>
      </c>
      <c r="L47" s="39">
        <v>0.113383944520664</v>
      </c>
      <c r="M47" s="39">
        <v>0.15761441437447701</v>
      </c>
      <c r="N47" s="39">
        <v>1.90972222222222E-3</v>
      </c>
      <c r="O47" s="39">
        <v>3.24769335421893E-2</v>
      </c>
      <c r="P47" s="39">
        <v>2.6100000000000002E-2</v>
      </c>
      <c r="Q47" s="23">
        <v>2466.8847588070798</v>
      </c>
      <c r="R47" s="39">
        <v>-2.46639337740025E-2</v>
      </c>
      <c r="S47" t="str">
        <v>["set show_log=1 in param to show calc log"]</v>
      </c>
    </row>
    <row r="48" spans="2:27" x14ac:dyDescent="0.3">
      <c r="B48" s="10">
        <v>10</v>
      </c>
      <c r="C48" s="10">
        <v>80</v>
      </c>
      <c r="D48" s="38" t="str" cm="1">
        <f t="array" ref="D48">[1]!feed_calc(B48,C48,PVT_stream_,0)</f>
        <v>{"q_mix_rc_m3day":304.914734821282,"q_oil_rc_m3day":15.726164181734,"q_wat_rc_m3day":0.154533724879144,"q_gas_rc_m3day":289.034036914669,"gas_fraction_d":0.947917577955289,"rho_mix_rc_kgm3":54.4077474325442,"mu_mix_cP":0.198311621968887,"mo_kgsec":0.158929686687459,"mw_kgsec":1.90972222222222E-03,"mg_kgsec":3.11616612292074E-02,"mg_kgmol":0.0261,"cmix_JkgC":2467.53051487891,"cJT_Katm":-2.25278119834707E-02,"log":"[\"set show_log=1 in param to show calc log\"]"}</v>
      </c>
      <c r="E48" s="38"/>
      <c r="F48" s="40" cm="1">
        <f t="array" ref="F48:S48">[1]!decode_json(D48,1,,1)</f>
        <v>304.91473482128202</v>
      </c>
      <c r="G48" s="41">
        <v>15.726164181733999</v>
      </c>
      <c r="H48" s="39">
        <v>0.15453372487914399</v>
      </c>
      <c r="I48" s="41">
        <v>289.034036914669</v>
      </c>
      <c r="J48" s="39">
        <v>0.94791757795528897</v>
      </c>
      <c r="K48" s="23">
        <v>54.407747432544198</v>
      </c>
      <c r="L48" s="39">
        <v>0.19831162196888699</v>
      </c>
      <c r="M48" s="39">
        <v>0.15892968668745899</v>
      </c>
      <c r="N48" s="39">
        <v>1.90972222222222E-3</v>
      </c>
      <c r="O48" s="39">
        <v>3.11616612292074E-2</v>
      </c>
      <c r="P48" s="39">
        <v>2.6100000000000002E-2</v>
      </c>
      <c r="Q48" s="23">
        <v>2467.5305148789098</v>
      </c>
      <c r="R48" s="39">
        <v>-2.2527811983470699E-2</v>
      </c>
      <c r="S48" t="str">
        <v>["set show_log=1 in param to show calc log"]</v>
      </c>
    </row>
    <row r="49" spans="2:19" x14ac:dyDescent="0.3">
      <c r="B49" s="10">
        <v>20</v>
      </c>
      <c r="C49" s="10">
        <v>80</v>
      </c>
      <c r="D49" s="38" t="str" cm="1">
        <f t="array" ref="D49">[1]!feed_calc(B49,C49,PVT_stream_,0)</f>
        <v>{"q_mix_rc_m3day":148.725653440957,"q_oil_rc_m3day":15.9132980592962,"q_wat_rc_m3day":0.154515232053903,"q_gas_rc_m3day":132.657840149607,"gas_fraction_d":0.891963404297774,"rho_mix_rc_kgm3":111.548315314821,"mu_mix_cP":0.345231820071542,"mo_kgsec":0.160708492451327,"mw_kgsec":1.90972222222222E-03,"mg_kgsec":2.93828554653392E-02,"mg_kgmol":0.0261,"cmix_JkgC":2466.17554892505,"cJT_Katm":-2.20516050845516E-02,"log":"[\"set show_log=1 in param to show calc log\"]"}</v>
      </c>
      <c r="E49" s="38"/>
      <c r="F49" s="40" cm="1">
        <f t="array" ref="F49:S49">[1]!decode_json(D49,1,,1)</f>
        <v>148.72565344095699</v>
      </c>
      <c r="G49" s="41">
        <v>15.913298059296199</v>
      </c>
      <c r="H49" s="39">
        <v>0.154515232053903</v>
      </c>
      <c r="I49" s="41">
        <v>132.65784014960701</v>
      </c>
      <c r="J49" s="39">
        <v>0.89196340429777399</v>
      </c>
      <c r="K49" s="23">
        <v>111.548315314821</v>
      </c>
      <c r="L49" s="39">
        <v>0.34523182007154202</v>
      </c>
      <c r="M49" s="39">
        <v>0.16070849245132701</v>
      </c>
      <c r="N49" s="39">
        <v>1.90972222222222E-3</v>
      </c>
      <c r="O49" s="39">
        <v>2.9382855465339201E-2</v>
      </c>
      <c r="P49" s="39">
        <v>2.6100000000000002E-2</v>
      </c>
      <c r="Q49" s="23">
        <v>2466.17554892505</v>
      </c>
      <c r="R49" s="39">
        <v>-2.20516050845516E-2</v>
      </c>
      <c r="S49" t="str">
        <v>["set show_log=1 in param to show calc log"]</v>
      </c>
    </row>
    <row r="50" spans="2:19" x14ac:dyDescent="0.3">
      <c r="B50" s="10">
        <v>40</v>
      </c>
      <c r="C50" s="10">
        <v>80</v>
      </c>
      <c r="D50" s="38" t="str" cm="1">
        <f t="array" ref="D50">[1]!feed_calc(B50,C50,PVT_stream_,0)</f>
        <v>{"q_mix_rc_m3day":73.2134795429299,"q_oil_rc_m3day":16.18368994419,"q_wat_rc_m3day":0.15447312620685,"q_gas_rc_m3day":56.8753164725331,"gas_fraction_d":0.776842144747175,"rho_mix_rc_kgm3":226.606399782333,"mu_mix_cP":0.580240860425331,"mo_kgsec":0.163268553654313,"mw_kgsec":1.90972222222222E-03,"mg_kgsec":0.026822794262354,"mg_kgmol":0.0261,"cmix_JkgC":2460.33442194498,"cJT_Katm":-2.51700493304796E-02,"log":"[\"set show_log=1 in param to show calc log\"]"}</v>
      </c>
      <c r="E50" s="38"/>
      <c r="F50" s="40" cm="1">
        <f t="array" ref="F50:S50">[1]!decode_json(D50,1,,1)</f>
        <v>73.213479542929903</v>
      </c>
      <c r="G50" s="41">
        <v>16.18368994419</v>
      </c>
      <c r="H50" s="39">
        <v>0.15447312620685</v>
      </c>
      <c r="I50" s="41">
        <v>56.8753164725331</v>
      </c>
      <c r="J50" s="39">
        <v>0.77684214474717495</v>
      </c>
      <c r="K50" s="23">
        <v>226.606399782333</v>
      </c>
      <c r="L50" s="39">
        <v>0.58024086042533096</v>
      </c>
      <c r="M50" s="39">
        <v>0.163268553654313</v>
      </c>
      <c r="N50" s="39">
        <v>1.90972222222222E-3</v>
      </c>
      <c r="O50" s="39">
        <v>2.6822794262354E-2</v>
      </c>
      <c r="P50" s="39">
        <v>2.6100000000000002E-2</v>
      </c>
      <c r="Q50" s="23">
        <v>2460.33442194498</v>
      </c>
      <c r="R50" s="39">
        <v>-2.5170049330479598E-2</v>
      </c>
      <c r="S50" t="str">
        <v>["set show_log=1 in param to show calc log"]</v>
      </c>
    </row>
    <row r="51" spans="2:19" x14ac:dyDescent="0.3">
      <c r="B51" s="10">
        <v>60</v>
      </c>
      <c r="C51" s="10">
        <v>80</v>
      </c>
      <c r="D51" s="38" t="str" cm="1">
        <f t="array" ref="D51">[1]!feed_calc(B51,C51,PVT_stream_,0)</f>
        <v>{"q_mix_rc_m3day":49.1407857061833,"q_oil_rc_m3day":16.4067095218163,"q_wat_rc_m3day":0.154424193431037,"q_gas_rc_m3day":32.5796519909359,"gas_fraction_d":0.662985980438576,"rho_mix_rc_kgm3":337.623893966472,"mu_mix_cP":0.756585528883243,"mo_kgsec":0.165368082945222,"mw_kgsec":1.90972222222222E-03,"mg_kgsec":2.47232649714445E-02,"mg_kgmol":0.0261,"cmix_JkgC":2454.47432368022,"cJT_Katm":-2.47517608060196E-02,"log":"[\"set show_log=1 in param to show calc log\"]"}</v>
      </c>
      <c r="E51" s="38"/>
      <c r="F51" s="40" cm="1">
        <f t="array" ref="F51:S51">[1]!decode_json(D51,1,,1)</f>
        <v>49.140785706183301</v>
      </c>
      <c r="G51" s="41">
        <v>16.4067095218163</v>
      </c>
      <c r="H51" s="39">
        <v>0.154424193431037</v>
      </c>
      <c r="I51" s="41">
        <v>32.579651990935901</v>
      </c>
      <c r="J51" s="39">
        <v>0.66298598043857604</v>
      </c>
      <c r="K51" s="23">
        <v>337.623893966472</v>
      </c>
      <c r="L51" s="39">
        <v>0.75658552888324304</v>
      </c>
      <c r="M51" s="39">
        <v>0.16536808294522201</v>
      </c>
      <c r="N51" s="39">
        <v>1.90972222222222E-3</v>
      </c>
      <c r="O51" s="39">
        <v>2.4723264971444499E-2</v>
      </c>
      <c r="P51" s="39">
        <v>2.6100000000000002E-2</v>
      </c>
      <c r="Q51" s="23">
        <v>2454.4743236802201</v>
      </c>
      <c r="R51" s="39">
        <v>-2.4751760806019599E-2</v>
      </c>
      <c r="S51" t="str">
        <v>["set show_log=1 in param to show calc log"]</v>
      </c>
    </row>
    <row r="52" spans="2:19" x14ac:dyDescent="0.3">
      <c r="B52" s="10">
        <v>80</v>
      </c>
      <c r="C52" s="10">
        <v>80</v>
      </c>
      <c r="D52" s="38" t="str" cm="1">
        <f t="array" ref="D52">[1]!feed_calc(B52,C52,PVT_stream_,0)</f>
        <v>{"q_mix_rc_m3day":37.8674027728172,"q_oil_rc_m3day":16.6113548033823,"q_wat_rc_m3day":0.154368433726465,"q_gas_rc_m3day":21.1016795357085,"gas_fraction_d":0.557251831141061,"rho_mix_rc_kgm3":438.148195602233,"mu_mix_cP":0.879942331174531,"mo_kgsec":0.167281938218308,"mw_kgsec":1.90972222222222E-03,"mg_kgsec":2.28094096983592E-02,"mg_kgmol":0.0261,"cmix_JkgC":2451.80504779108,"cJT_Katm":-1.78250772454304E-02,"log":"[\"set show_log=1 in param to show calc log\"]"}</v>
      </c>
      <c r="E52" s="38"/>
      <c r="F52" s="40" cm="1">
        <f t="array" ref="F52:S52">[1]!decode_json(D52,1,,1)</f>
        <v>37.867402772817201</v>
      </c>
      <c r="G52" s="41">
        <v>16.611354803382302</v>
      </c>
      <c r="H52" s="39">
        <v>0.154368433726465</v>
      </c>
      <c r="I52" s="41">
        <v>21.101679535708499</v>
      </c>
      <c r="J52" s="39">
        <v>0.55725183114106103</v>
      </c>
      <c r="K52" s="23">
        <v>438.14819560223299</v>
      </c>
      <c r="L52" s="39">
        <v>0.87994233117453102</v>
      </c>
      <c r="M52" s="39">
        <v>0.167281938218308</v>
      </c>
      <c r="N52" s="39">
        <v>1.90972222222222E-3</v>
      </c>
      <c r="O52" s="39">
        <v>2.28094096983592E-2</v>
      </c>
      <c r="P52" s="39">
        <v>2.6100000000000002E-2</v>
      </c>
      <c r="Q52" s="23">
        <v>2451.8050477910801</v>
      </c>
      <c r="R52" s="39">
        <v>-1.78250772454304E-2</v>
      </c>
      <c r="S52" t="str">
        <v>["set show_log=1 in param to show calc log"]</v>
      </c>
    </row>
    <row r="53" spans="2:19" x14ac:dyDescent="0.3">
      <c r="B53" s="10">
        <v>100</v>
      </c>
      <c r="C53" s="10">
        <v>80</v>
      </c>
      <c r="D53" s="38" t="str" cm="1">
        <f t="array" ref="D53">[1]!feed_calc(B53,C53,PVT_stream_,0)</f>
        <v>{"q_mix_rc_m3day":31.7297939020499,"q_oil_rc_m3day":16.8080308980993,"q_wat_rc_m3day":0.154305847093133,"q_gas_rc_m3day":14.7674571568575,"gas_fraction_d":0.465412955484197,"rho_mix_rc_kgm3":522.914090045682,"mu_mix_cP":0.954070233848029,"mo_kgsec":0.169107974562919,"mw_kgsec":1.90972222222222E-03,"mg_kgsec":2.09833733537481E-02,"mg_kgmol":0.0261,"cmix_JkgC":2453.80843377372,"cJT_Katm":-6.84652331666568E-03,"log":"[\"set show_log=1 in param to show calc log\"]"}</v>
      </c>
      <c r="E53" s="38"/>
      <c r="F53" s="40" cm="1">
        <f t="array" ref="F53:S53">[1]!decode_json(D53,1,,1)</f>
        <v>31.729793902049899</v>
      </c>
      <c r="G53" s="41">
        <v>16.8080308980993</v>
      </c>
      <c r="H53" s="39">
        <v>0.154305847093133</v>
      </c>
      <c r="I53" s="41">
        <v>14.7674571568575</v>
      </c>
      <c r="J53" s="39">
        <v>0.46541295548419698</v>
      </c>
      <c r="K53" s="23">
        <v>522.91409004568197</v>
      </c>
      <c r="L53" s="39">
        <v>0.95407023384802903</v>
      </c>
      <c r="M53" s="39">
        <v>0.16910797456291901</v>
      </c>
      <c r="N53" s="39">
        <v>1.90972222222222E-3</v>
      </c>
      <c r="O53" s="39">
        <v>2.09833733537481E-2</v>
      </c>
      <c r="P53" s="39">
        <v>2.6100000000000002E-2</v>
      </c>
      <c r="Q53" s="23">
        <v>2453.80843377372</v>
      </c>
      <c r="R53" s="39">
        <v>-6.84652331666568E-3</v>
      </c>
      <c r="S53" t="str">
        <v>["set show_log=1 in param to show calc log"]</v>
      </c>
    </row>
    <row r="54" spans="2:19" x14ac:dyDescent="0.3">
      <c r="B54" s="10">
        <v>120</v>
      </c>
      <c r="C54" s="10">
        <v>80</v>
      </c>
      <c r="D54" s="38" t="str" cm="1">
        <f t="array" ref="D54">[1]!feed_calc(B54,C54,PVT_stream_,0)</f>
        <v>{"q_mix_rc_m3day":28.0935426724956,"q_oil_rc_m3day":17.0017565557383,"q_wat_rc_m3day":0.154236433531042,"q_gas_rc_m3day":10.9375496832263,"gas_fraction_d":0.389326109943921,"rho_mix_rc_kgm3":590.611889467886,"mu_mix_cP":0.987878222943799,"mo_kgsec":0.17089307985967,"mw_kgsec":1.90972222222222E-03,"mg_kgsec":0.019198268056997,"mg_kgmol":0.0261,"cmix_JkgC":2460.25254211172,"cJT_Katm":4.76776081015536E-03,"log":"[\"set show_log=1 in param to show calc log\"]"}</v>
      </c>
      <c r="E54" s="38"/>
      <c r="F54" s="40" cm="1">
        <f t="array" ref="F54:S54">[1]!decode_json(D54,1,,1)</f>
        <v>28.093542672495602</v>
      </c>
      <c r="G54" s="41">
        <v>17.0017565557383</v>
      </c>
      <c r="H54" s="39">
        <v>0.15423643353104199</v>
      </c>
      <c r="I54" s="41">
        <v>10.937549683226299</v>
      </c>
      <c r="J54" s="39">
        <v>0.38932610994392097</v>
      </c>
      <c r="K54" s="23">
        <v>590.61188946788604</v>
      </c>
      <c r="L54" s="39">
        <v>0.98787822294379901</v>
      </c>
      <c r="M54" s="39">
        <v>0.17089307985967001</v>
      </c>
      <c r="N54" s="39">
        <v>1.90972222222222E-3</v>
      </c>
      <c r="O54" s="39">
        <v>1.9198268056996998E-2</v>
      </c>
      <c r="P54" s="39">
        <v>2.6100000000000002E-2</v>
      </c>
      <c r="Q54" s="23">
        <v>2460.2525421117198</v>
      </c>
      <c r="R54" s="39">
        <v>4.7677608101553597E-3</v>
      </c>
      <c r="S54" t="str">
        <v>["set show_log=1 in param to show calc log"]</v>
      </c>
    </row>
    <row r="55" spans="2:19" x14ac:dyDescent="0.3">
      <c r="B55" s="10">
        <v>140</v>
      </c>
      <c r="C55" s="10">
        <v>80</v>
      </c>
      <c r="D55" s="38" t="str" cm="1">
        <f t="array" ref="D55">[1]!feed_calc(B55,C55,PVT_stream_,0)</f>
        <v>{"q_mix_rc_m3day":25.7896296724123,"q_oil_rc_m3day":17.1953398430403,"q_wat_rc_m3day":0.154160193040191,"q_gas_rc_m3day":8.44012963633184,"gas_fraction_d":0.327268353347486,"rho_mix_rc_kgm3":643.390880781552,"mu_mix_cP":0.993155652272616,"mo_kgsec":0.172663382398297,"mw_kgsec":1.90972222222222E-03,"mg_kgsec":1.74279655183696E-02,"mg_kgmol":0.0261,"cmix_JkgC":2470.02669300174,"cJT_Katm":1.49920658862972E-02,"log":"[\"set show_log=1 in param to show calc log\"]"}</v>
      </c>
      <c r="E55" s="38"/>
      <c r="F55" s="40" cm="1">
        <f t="array" ref="F55:S55">[1]!decode_json(D55,1,,1)</f>
        <v>25.7896296724123</v>
      </c>
      <c r="G55" s="41">
        <v>17.195339843040301</v>
      </c>
      <c r="H55" s="39">
        <v>0.15416019304019099</v>
      </c>
      <c r="I55" s="41">
        <v>8.4401296363318394</v>
      </c>
      <c r="J55" s="39">
        <v>0.327268353347486</v>
      </c>
      <c r="K55" s="23">
        <v>643.39088078155203</v>
      </c>
      <c r="L55" s="39">
        <v>0.99315565227261604</v>
      </c>
      <c r="M55" s="39">
        <v>0.17266338239829701</v>
      </c>
      <c r="N55" s="39">
        <v>1.90972222222222E-3</v>
      </c>
      <c r="O55" s="39">
        <v>1.7427965518369601E-2</v>
      </c>
      <c r="P55" s="39">
        <v>2.6100000000000002E-2</v>
      </c>
      <c r="Q55" s="23">
        <v>2470.0266930017401</v>
      </c>
      <c r="R55" s="39">
        <v>1.4992065886297199E-2</v>
      </c>
      <c r="S55" t="str">
        <v>["set show_log=1 in param to show calc log"]</v>
      </c>
    </row>
    <row r="56" spans="2:19" x14ac:dyDescent="0.3">
      <c r="B56" s="10">
        <v>160</v>
      </c>
      <c r="C56" s="10">
        <v>80</v>
      </c>
      <c r="D56" s="38" t="str" cm="1">
        <f t="array" ref="D56">[1]!feed_calc(B56,C56,PVT_stream_,0)</f>
        <v>{"q_mix_rc_m3day":24.2341668987882,"q_oil_rc_m3day":17.3904956532875,"q_wat_rc_m3day":0.15407712562058,"q_gas_rc_m3day":6.68959411988016,"gas_fraction_d":0.276039780852325,"rho_mix_rc_kgm3":684.705080693952,"mu_mix_cP":0.980559244424425,"mo_kgsec":0.174434855118234,"mw_kgsec":1.90972222222222E-03,"mg_kgsec":0.015656492798433,"mg_kgmol":0.0261,"cmix_JkgC":2481.88998368314,"cJT_Katm":2.31879881407804E-02,"log":"[\"set show_log=1 in param to show calc log\"]"}</v>
      </c>
      <c r="E56" s="38"/>
      <c r="F56" s="40" cm="1">
        <f t="array" ref="F56:S56">[1]!decode_json(D56,1,,1)</f>
        <v>24.2341668987882</v>
      </c>
      <c r="G56" s="41">
        <v>17.390495653287498</v>
      </c>
      <c r="H56" s="39">
        <v>0.15407712562058001</v>
      </c>
      <c r="I56" s="41">
        <v>6.6895941198801596</v>
      </c>
      <c r="J56" s="39">
        <v>0.276039780852325</v>
      </c>
      <c r="K56" s="23">
        <v>684.70508069395203</v>
      </c>
      <c r="L56" s="39">
        <v>0.98055924442442499</v>
      </c>
      <c r="M56" s="39">
        <v>0.17443485511823401</v>
      </c>
      <c r="N56" s="39">
        <v>1.90972222222222E-3</v>
      </c>
      <c r="O56" s="39">
        <v>1.5656492798433001E-2</v>
      </c>
      <c r="P56" s="39">
        <v>2.6100000000000002E-2</v>
      </c>
      <c r="Q56" s="23">
        <v>2481.8899836831401</v>
      </c>
      <c r="R56" s="39">
        <v>2.3187988140780401E-2</v>
      </c>
      <c r="S56" t="str">
        <v>["set show_log=1 in param to show calc log"]</v>
      </c>
    </row>
    <row r="57" spans="2:19" x14ac:dyDescent="0.3">
      <c r="B57" s="10">
        <v>180</v>
      </c>
      <c r="C57" s="10">
        <v>80</v>
      </c>
      <c r="D57" s="38" t="str" cm="1">
        <f t="array" ref="D57">[1]!feed_calc(B57,C57,PVT_stream_,0)</f>
        <v>{"q_mix_rc_m3day":23.1180324554333,"q_oil_rc_m3day":17.5883286813974,"q_wat_rc_m3day":0.15398723127221,"q_gas_rc_m3day":5.37571654276363,"gas_fraction_d":0.232533480222717,"rho_mix_rc_kgm3":717.782420876315,"mu_mix_cP":0.957884337884415,"mo_kgsec":0.176217890593373,"mw_kgsec":1.90972222222222E-03,"mg_kgsec":1.38734573232936E-02,"mg_kgmol":0.0261,"cmix_JkgC":2494.81469642504,"cJT_Katm":0.029449670283334,"log":"[\"set show_log=1 in param to show calc log\"]"}</v>
      </c>
      <c r="E57" s="38"/>
      <c r="F57" s="40" cm="1">
        <f t="array" ref="F57:S57">[1]!decode_json(D57,1,,1)</f>
        <v>23.118032455433301</v>
      </c>
      <c r="G57" s="41">
        <v>17.5883286813974</v>
      </c>
      <c r="H57" s="39">
        <v>0.15398723127221001</v>
      </c>
      <c r="I57" s="41">
        <v>5.3757165427636302</v>
      </c>
      <c r="J57" s="39">
        <v>0.232533480222717</v>
      </c>
      <c r="K57" s="23">
        <v>717.78242087631497</v>
      </c>
      <c r="L57" s="39">
        <v>0.95788433788441496</v>
      </c>
      <c r="M57" s="39">
        <v>0.17621789059337301</v>
      </c>
      <c r="N57" s="39">
        <v>1.90972222222222E-3</v>
      </c>
      <c r="O57" s="39">
        <v>1.3873457323293601E-2</v>
      </c>
      <c r="P57" s="39">
        <v>2.6100000000000002E-2</v>
      </c>
      <c r="Q57" s="23">
        <v>2494.81469642504</v>
      </c>
      <c r="R57" s="39">
        <v>2.9449670283333999E-2</v>
      </c>
      <c r="S57" t="str">
        <v>["set show_log=1 in param to show calc log"]</v>
      </c>
    </row>
    <row r="58" spans="2:19" x14ac:dyDescent="0.3">
      <c r="B58" s="10">
        <v>200</v>
      </c>
      <c r="C58" s="10">
        <v>80</v>
      </c>
      <c r="D58" s="38" t="str" cm="1">
        <f t="array" ref="D58">[1]!feed_calc(B58,C58,PVT_stream_,0)</f>
        <v>{"q_mix_rc_m3day":22.4057749939065,"q_oil_rc_m3day":17.6895489860842,"q_wat_rc_m3day":0.15389050999508,"q_gas_rc_m3day":4.56233549782719,"gas_fraction_d":0.203623195317634,"rho_mix_rc_kgm3":740.610220202457,"mu_mix_cP":0.951547397473327,"mo_kgsec":0.17736530625,"mw_kgsec":1.90972222222222E-03,"mg_kgsec":1.27260416666667E-02,"mg_kgmol":0.0261,"cmix_JkgC":2504.28815677853,"cJT_Katm":3.34152140314134E-02,"log":"[\"set show_log=1 in param to show calc log\"]"}</v>
      </c>
      <c r="E58" s="38"/>
      <c r="F58" s="40" cm="1">
        <f t="array" ref="F58:S58">[1]!decode_json(D58,1,,1)</f>
        <v>22.405774993906501</v>
      </c>
      <c r="G58" s="41">
        <v>17.689548986084201</v>
      </c>
      <c r="H58" s="39">
        <v>0.15389050999508</v>
      </c>
      <c r="I58" s="41">
        <v>4.5623354978271902</v>
      </c>
      <c r="J58" s="39">
        <v>0.20362319531763401</v>
      </c>
      <c r="K58" s="23">
        <v>740.61022020245696</v>
      </c>
      <c r="L58" s="39">
        <v>0.95154739747332695</v>
      </c>
      <c r="M58" s="39">
        <v>0.17736530624999999</v>
      </c>
      <c r="N58" s="39">
        <v>1.90972222222222E-3</v>
      </c>
      <c r="O58" s="39">
        <v>1.27260416666667E-2</v>
      </c>
      <c r="P58" s="39">
        <v>2.6100000000000002E-2</v>
      </c>
      <c r="Q58" s="23">
        <v>2504.2881567785298</v>
      </c>
      <c r="R58" s="39">
        <v>3.3415214031413398E-2</v>
      </c>
      <c r="S58" t="str">
        <v>["set show_log=1 in param to show calc log"]</v>
      </c>
    </row>
    <row r="59" spans="2:19" x14ac:dyDescent="0.3">
      <c r="B59" s="10">
        <v>220</v>
      </c>
      <c r="C59" s="10">
        <v>80</v>
      </c>
      <c r="D59" s="38" t="str" cm="1">
        <f t="array" ref="D59">[1]!feed_calc(B59,C59,PVT_stream_,0)</f>
        <v>{"q_mix_rc_m3day":22.0617529204036,"q_oil_rc_m3day":17.6248167726648,"q_wat_rc_m3day":0.153786961789191,"q_gas_rc_m3day":4.28314918594955,"gas_fraction_d":0.194143647669462,"rho_mix_rc_kgm3":752.151236809497,"mu_mix_cP":0.980217429389154,"mo_kgsec":0.17736530625,"mw_kgsec":1.90972222222222E-03,"mg_kgsec":1.27260416666667E-02,"mg_kgmol":0.0261,"cmix_JkgC":2507.44272712634,"cJT_Katm":3.53495890389255E-02,"log":"[\"set show_log=1 in param to show calc log\"]"}</v>
      </c>
      <c r="E59" s="38"/>
      <c r="F59" s="40" cm="1">
        <f t="array" ref="F59:S59">[1]!decode_json(D59,1,,1)</f>
        <v>22.061752920403599</v>
      </c>
      <c r="G59" s="41">
        <v>17.624816772664801</v>
      </c>
      <c r="H59" s="39">
        <v>0.15378696178919099</v>
      </c>
      <c r="I59" s="41">
        <v>4.2831491859495499</v>
      </c>
      <c r="J59" s="39">
        <v>0.19414364766946199</v>
      </c>
      <c r="K59" s="23">
        <v>752.15123680949705</v>
      </c>
      <c r="L59" s="39">
        <v>0.98021742938915402</v>
      </c>
      <c r="M59" s="39">
        <v>0.17736530624999999</v>
      </c>
      <c r="N59" s="39">
        <v>1.90972222222222E-3</v>
      </c>
      <c r="O59" s="39">
        <v>1.27260416666667E-2</v>
      </c>
      <c r="P59" s="39">
        <v>2.6100000000000002E-2</v>
      </c>
      <c r="Q59" s="23">
        <v>2507.4427271263398</v>
      </c>
      <c r="R59" s="39">
        <v>3.5349589038925502E-2</v>
      </c>
      <c r="S59" t="str">
        <v>["set show_log=1 in param to show calc log"]</v>
      </c>
    </row>
    <row r="60" spans="2:19" x14ac:dyDescent="0.3">
      <c r="B60" s="10">
        <v>240</v>
      </c>
      <c r="C60" s="10">
        <v>80</v>
      </c>
      <c r="D60" s="38" t="str" cm="1">
        <f t="array" ref="D60">[1]!feed_calc(B60,C60,PVT_stream_,0)</f>
        <v>{"q_mix_rc_m3day":21.7892635495755,"q_oil_rc_m3day":17.571054246541,"q_wat_rc_m3day":0.153676586654542,"q_gas_rc_m3day":4.06453271637996,"gas_fraction_d":0.186538324580463,"rho_mix_rc_kgm3":761.551349443533,"mu_mix_cP":1.00699526276459,"mo_kgsec":0.17736530625,"mw_kgsec":1.90972222222222E-03,"mg_kgsec":1.27260416666667E-02,"mg_kgmol":0.0261,"cmix_JkgC":2510.95365849164,"cJT_Katm":3.68673695316588E-02,"log":"[\"set show_log=1 in param to show calc log\"]"}</v>
      </c>
      <c r="E60" s="38"/>
      <c r="F60" s="40" cm="1">
        <f t="array" ref="F60:S60">[1]!decode_json(D60,1,,1)</f>
        <v>21.789263549575502</v>
      </c>
      <c r="G60" s="41">
        <v>17.571054246540999</v>
      </c>
      <c r="H60" s="39">
        <v>0.15367658665454201</v>
      </c>
      <c r="I60" s="41">
        <v>4.0645327163799596</v>
      </c>
      <c r="J60" s="39">
        <v>0.18653832458046299</v>
      </c>
      <c r="K60" s="23">
        <v>761.55134944353301</v>
      </c>
      <c r="L60" s="39">
        <v>1.0069952627645899</v>
      </c>
      <c r="M60" s="39">
        <v>0.17736530624999999</v>
      </c>
      <c r="N60" s="39">
        <v>1.90972222222222E-3</v>
      </c>
      <c r="O60" s="39">
        <v>1.27260416666667E-2</v>
      </c>
      <c r="P60" s="39">
        <v>2.6100000000000002E-2</v>
      </c>
      <c r="Q60" s="23">
        <v>2510.95365849164</v>
      </c>
      <c r="R60" s="39">
        <v>3.6867369531658797E-2</v>
      </c>
      <c r="S60" t="str">
        <v>["set show_log=1 in param to show calc log"]</v>
      </c>
    </row>
    <row r="61" spans="2:19" x14ac:dyDescent="0.3">
      <c r="B61" s="10">
        <v>260</v>
      </c>
      <c r="C61" s="10">
        <v>80</v>
      </c>
      <c r="D61" s="38" t="str" cm="1">
        <f t="array" ref="D61">[1]!feed_calc(B61,C61,PVT_stream_,0)</f>
        <v>{"q_mix_rc_m3day":21.5676808209448,"q_oil_rc_m3day":17.5256909903204,"q_wat_rc_m3day":0.153559384591134,"q_gas_rc_m3day":3.88843044603325,"gas_fraction_d":0.180289687997289,"rho_mix_rc_kgm3":769.370696206958,"mu_mix_cP":1.0324045060771,"mo_kgsec":0.17736530625,"mw_kgsec":1.90972222222222E-03,"mg_kgsec":1.27260416666667E-02,"mg_kgmol":0.0261,"cmix_JkgC":2514.70880883149,"cJT_Katm":3.80611440107864E-02,"log":"[\"set show_log=1 in param to show calc log\"]"}</v>
      </c>
      <c r="E61" s="38"/>
      <c r="F61" s="40" cm="1">
        <f t="array" ref="F61:S61">[1]!decode_json(D61,1,,1)</f>
        <v>21.567680820944801</v>
      </c>
      <c r="G61" s="41">
        <v>17.525690990320399</v>
      </c>
      <c r="H61" s="39">
        <v>0.153559384591134</v>
      </c>
      <c r="I61" s="41">
        <v>3.8884304460332499</v>
      </c>
      <c r="J61" s="39">
        <v>0.18028968799728901</v>
      </c>
      <c r="K61" s="23">
        <v>769.37069620695797</v>
      </c>
      <c r="L61" s="39">
        <v>1.0324045060771001</v>
      </c>
      <c r="M61" s="39">
        <v>0.17736530624999999</v>
      </c>
      <c r="N61" s="39">
        <v>1.90972222222222E-3</v>
      </c>
      <c r="O61" s="39">
        <v>1.27260416666667E-2</v>
      </c>
      <c r="P61" s="39">
        <v>2.6100000000000002E-2</v>
      </c>
      <c r="Q61" s="23">
        <v>2514.7088088314899</v>
      </c>
      <c r="R61" s="39">
        <v>3.8061144010786398E-2</v>
      </c>
      <c r="S61" t="str">
        <v>["set show_log=1 in param to show calc log"]</v>
      </c>
    </row>
    <row r="62" spans="2:19" x14ac:dyDescent="0.3">
      <c r="B62" s="10">
        <v>280</v>
      </c>
      <c r="C62" s="10">
        <v>80</v>
      </c>
      <c r="D62" s="38" t="str" cm="1">
        <f t="array" ref="D62">[1]!feed_calc(B62,C62,PVT_stream_,0)</f>
        <v>{"q_mix_rc_m3day":21.3835929209175,"q_oil_rc_m3day":17.486901424314,"q_wat_rc_m3day":0.153435355598965,"q_gas_rc_m3day":3.74325614100451,"gas_fraction_d":0.175052721722122,"rho_mix_rc_kgm3":775.990453093198,"mu_mix_cP":1.05679510090599,"mo_kgsec":0.17736530625,"mw_kgsec":1.90972222222222E-03,"mg_kgsec":1.27260416666667E-02,"mg_kgmol":0.0261,"cmix_JkgC":2518.63485072429,"cJT_Katm":3.90065290194679E-02,"log":"[\"set show_log=1 in param to show calc log\"]"}</v>
      </c>
      <c r="E62" s="38"/>
      <c r="F62" s="40" cm="1">
        <f t="array" ref="F62:S62">[1]!decode_json(D62,1,,1)</f>
        <v>21.383592920917501</v>
      </c>
      <c r="G62" s="41">
        <v>17.486901424313999</v>
      </c>
      <c r="H62" s="39">
        <v>0.15343535559896501</v>
      </c>
      <c r="I62" s="41">
        <v>3.74325614100451</v>
      </c>
      <c r="J62" s="39">
        <v>0.175052721722122</v>
      </c>
      <c r="K62" s="23">
        <v>775.99045309319797</v>
      </c>
      <c r="L62" s="39">
        <v>1.0567951009059899</v>
      </c>
      <c r="M62" s="39">
        <v>0.17736530624999999</v>
      </c>
      <c r="N62" s="39">
        <v>1.90972222222222E-3</v>
      </c>
      <c r="O62" s="39">
        <v>1.27260416666667E-2</v>
      </c>
      <c r="P62" s="39">
        <v>2.6100000000000002E-2</v>
      </c>
      <c r="Q62" s="23">
        <v>2518.6348507242901</v>
      </c>
      <c r="R62" s="39">
        <v>3.9006529019467898E-2</v>
      </c>
      <c r="S62" t="str">
        <v>["set show_log=1 in param to show calc log"]</v>
      </c>
    </row>
    <row r="63" spans="2:19" x14ac:dyDescent="0.3">
      <c r="B63" s="10">
        <v>300</v>
      </c>
      <c r="C63" s="10">
        <v>80</v>
      </c>
      <c r="D63" s="38" t="str" cm="1">
        <f t="array" ref="D63">[1]!feed_calc(B63,C63,PVT_stream_,0)</f>
        <v>{"q_mix_rc_m3day":21.2279857631734,"q_oil_rc_m3day":17.4533532526896,"q_wat_rc_m3day":0.153304499678038,"q_gas_rc_m3day":3.62132801080571,"gas_fraction_d":0.170592163156998,"rho_mix_rc_kgm3":781.675930423858,"mu_mix_cP":1.08040533641133,"mo_kgsec":0.17736530625,"mw_kgsec":1.90972222222222E-03,"mg_kgsec":1.27260416666667E-02,"mg_kgmol":0.0261,"cmix_JkgC":2522.6843097773,"cJT_Katm":3.97623637922181E-02,"log":"[\"set show_log=1 in param to show calc log\"]"}</v>
      </c>
      <c r="E63" s="38"/>
      <c r="F63" s="40" cm="1">
        <f t="array" ref="F63:S63">[1]!decode_json(D63,1,,1)</f>
        <v>21.2279857631734</v>
      </c>
      <c r="G63" s="41">
        <v>17.453353252689599</v>
      </c>
      <c r="H63" s="39">
        <v>0.153304499678038</v>
      </c>
      <c r="I63" s="41">
        <v>3.6213280108057102</v>
      </c>
      <c r="J63" s="39">
        <v>0.17059216315699799</v>
      </c>
      <c r="K63" s="23">
        <v>781.67593042385795</v>
      </c>
      <c r="L63" s="39">
        <v>1.08040533641133</v>
      </c>
      <c r="M63" s="39">
        <v>0.17736530624999999</v>
      </c>
      <c r="N63" s="39">
        <v>1.90972222222222E-3</v>
      </c>
      <c r="O63" s="39">
        <v>1.27260416666667E-2</v>
      </c>
      <c r="P63" s="39">
        <v>2.6100000000000002E-2</v>
      </c>
      <c r="Q63" s="23">
        <v>2522.6843097772999</v>
      </c>
      <c r="R63" s="39">
        <v>3.9762363792218099E-2</v>
      </c>
      <c r="S63" t="str">
        <v>["set show_log=1 in param to show calc log"]</v>
      </c>
    </row>
    <row r="64" spans="2:19" x14ac:dyDescent="0.3">
      <c r="B64" s="10">
        <v>320</v>
      </c>
      <c r="C64" s="10">
        <v>80</v>
      </c>
      <c r="D64" s="38" t="str" cm="1">
        <f t="array" ref="D64">[1]!feed_calc(B64,C64,PVT_stream_,0)</f>
        <v>{"q_mix_rc_m3day":21.0945976184506,"q_oil_rc_m3day":17.4240514031251,"q_wat_rc_m3day":0.15316681682835,"q_gas_rc_m3day":3.51737939849722,"gas_fraction_d":0.166743137845905,"rho_mix_rc_kgm3":786.616708378604,"mu_mix_cP":1.10340150389735,"mo_kgsec":0.17736530625,"mw_kgsec":1.90972222222222E-03,"mg_kgsec":1.27260416666667E-02,"mg_kgmol":0.0261,"cmix_JkgC":2526.82645442493,"cJT_Katm":4.03732934889349E-02,"log":"[\"set show_log=1 in param to show calc log\"]"}</v>
      </c>
      <c r="E64" s="38"/>
      <c r="F64" s="40" cm="1">
        <f t="array" ref="F64:S64">[1]!decode_json(D64,1,,1)</f>
        <v>21.094597618450599</v>
      </c>
      <c r="G64" s="41">
        <v>17.424051403125102</v>
      </c>
      <c r="H64" s="39">
        <v>0.15316681682835001</v>
      </c>
      <c r="I64" s="41">
        <v>3.5173793984972201</v>
      </c>
      <c r="J64" s="39">
        <v>0.166743137845905</v>
      </c>
      <c r="K64" s="23">
        <v>786.61670837860402</v>
      </c>
      <c r="L64" s="39">
        <v>1.1034015038973499</v>
      </c>
      <c r="M64" s="39">
        <v>0.17736530624999999</v>
      </c>
      <c r="N64" s="39">
        <v>1.90972222222222E-3</v>
      </c>
      <c r="O64" s="39">
        <v>1.27260416666667E-2</v>
      </c>
      <c r="P64" s="39">
        <v>2.6100000000000002E-2</v>
      </c>
      <c r="Q64" s="23">
        <v>2526.82645442493</v>
      </c>
      <c r="R64" s="39">
        <v>4.0373293488934897E-2</v>
      </c>
      <c r="S64" t="str">
        <v>["set show_log=1 in param to show calc log"]</v>
      </c>
    </row>
    <row r="65" spans="2:19" x14ac:dyDescent="0.3">
      <c r="B65" s="10">
        <v>340</v>
      </c>
      <c r="C65" s="10">
        <v>80</v>
      </c>
      <c r="D65" s="38" t="str" cm="1">
        <f t="array" ref="D65">[1]!feed_calc(B65,C65,PVT_stream_,0)</f>
        <v>{"q_mix_rc_m3day":20.9789372996467,"q_oil_rc_m3day":17.3982376857305,"q_wat_rc_m3day":0.153022307049903,"q_gas_rc_m3day":3.42767730686633,"gas_fraction_d":0.163386603330191,"rho_mix_rc_kgm3":790.952062136912,"mu_mix_cP":1.12590300360226,"mo_kgsec":0.17736530625,"mw_kgsec":1.90972222222222E-03,"mg_kgsec":1.27260416666667E-02,"mg_kgmol":0.0261,"cmix_JkgC":2531.04114159872,"cJT_Katm":4.08727615844437E-02,"log":"[\"set show_log=1 in param to show calc log\"]"}</v>
      </c>
      <c r="E65" s="38"/>
      <c r="F65" s="40" cm="1">
        <f t="array" ref="F65:S65">[1]!decode_json(D65,1,,1)</f>
        <v>20.978937299646699</v>
      </c>
      <c r="G65" s="41">
        <v>17.3982376857305</v>
      </c>
      <c r="H65" s="39">
        <v>0.15302230704990299</v>
      </c>
      <c r="I65" s="41">
        <v>3.4276773068663302</v>
      </c>
      <c r="J65" s="39">
        <v>0.163386603330191</v>
      </c>
      <c r="K65" s="23">
        <v>790.95206213691199</v>
      </c>
      <c r="L65" s="39">
        <v>1.1259030036022599</v>
      </c>
      <c r="M65" s="39">
        <v>0.17736530624999999</v>
      </c>
      <c r="N65" s="39">
        <v>1.90972222222222E-3</v>
      </c>
      <c r="O65" s="39">
        <v>1.27260416666667E-2</v>
      </c>
      <c r="P65" s="39">
        <v>2.6100000000000002E-2</v>
      </c>
      <c r="Q65" s="23">
        <v>2531.0411415987201</v>
      </c>
      <c r="R65" s="39">
        <v>4.0872761584443702E-2</v>
      </c>
      <c r="S65" t="str">
        <v>["set show_log=1 in param to show calc log"]</v>
      </c>
    </row>
    <row r="66" spans="2:19" x14ac:dyDescent="0.3">
      <c r="B66" s="10">
        <v>360</v>
      </c>
      <c r="C66" s="10">
        <v>80</v>
      </c>
      <c r="D66" s="38" t="str" cm="1">
        <f t="array" ref="D66">[1]!feed_calc(B66,C66,PVT_stream_,0)</f>
        <v>{"q_mix_rc_m3day":20.877685048807,"q_oil_rc_m3day":17.3753242661549,"q_wat_rc_m3day":0.152870970342697,"q_gas_rc_m3day":3.34948981230938,"gas_fraction_d":0.160433965953557,"rho_mix_rc_kgm3":794.787157165132,"mu_mix_cP":1.14799824395124,"mo_kgsec":0.17736530625,"mw_kgsec":1.90972222222222E-03,"mg_kgsec":1.27260416666667E-02,"mg_kgmol":0.0261,"cmix_JkgC":2535.31475898187,"cJT_Katm":4.12856781987516E-02,"log":"[\"set show_log=1 in param to show calc log\"]"}</v>
      </c>
      <c r="E66" s="38"/>
      <c r="F66" s="40" cm="1">
        <f t="array" ref="F66:S66">[1]!decode_json(D66,1,,1)</f>
        <v>20.877685048806999</v>
      </c>
      <c r="G66" s="41">
        <v>17.375324266154902</v>
      </c>
      <c r="H66" s="39">
        <v>0.152870970342697</v>
      </c>
      <c r="I66" s="41">
        <v>3.3494898123093799</v>
      </c>
      <c r="J66" s="39">
        <v>0.160433965953557</v>
      </c>
      <c r="K66" s="23">
        <v>794.78715716513204</v>
      </c>
      <c r="L66" s="39">
        <v>1.1479982439512399</v>
      </c>
      <c r="M66" s="39">
        <v>0.17736530624999999</v>
      </c>
      <c r="N66" s="39">
        <v>1.90972222222222E-3</v>
      </c>
      <c r="O66" s="39">
        <v>1.27260416666667E-2</v>
      </c>
      <c r="P66" s="39">
        <v>2.6100000000000002E-2</v>
      </c>
      <c r="Q66" s="23">
        <v>2535.31475898187</v>
      </c>
      <c r="R66" s="39">
        <v>4.1285678198751598E-2</v>
      </c>
      <c r="S66" t="str">
        <v>["set show_log=1 in param to show calc log"]</v>
      </c>
    </row>
    <row r="67" spans="2:19" x14ac:dyDescent="0.3">
      <c r="B67" s="10">
        <v>380</v>
      </c>
      <c r="C67" s="10">
        <v>80</v>
      </c>
      <c r="D67" s="38" t="str" cm="1">
        <f t="array" ref="D67">[1]!feed_calc(B67,C67,PVT_stream_,0)</f>
        <v>{"q_mix_rc_m3day":20.7883183322535,"q_oil_rc_m3day":17.3548483659718,"q_wat_rc_m3day":0.152712806706731,"q_gas_rc_m3day":3.28075715957501,"gas_fraction_d":0.157817342756622,"rho_mix_rc_kgm3":798.203486317896,"mu_mix_cP":1.16975477493324,"mo_kgsec":0.17736530625,"mw_kgsec":1.90972222222222E-03,"mg_kgsec":1.27260416666667E-02,"mg_kgmol":0.0261,"cmix_JkgC":2539.63759388759,"cJT_Katm":4.16305720965754E-02,"log":"[\"set show_log=1 in param to show calc log\"]"}</v>
      </c>
      <c r="E67" s="38"/>
      <c r="F67" s="40" cm="1">
        <f t="array" ref="F67:S67">[1]!decode_json(D67,1,,1)</f>
        <v>20.7883183322535</v>
      </c>
      <c r="G67" s="41">
        <v>17.354848365971801</v>
      </c>
      <c r="H67" s="39">
        <v>0.15271280670673101</v>
      </c>
      <c r="I67" s="41">
        <v>3.28075715957501</v>
      </c>
      <c r="J67" s="39">
        <v>0.15781734275662199</v>
      </c>
      <c r="K67" s="23">
        <v>798.20348631789602</v>
      </c>
      <c r="L67" s="39">
        <v>1.16975477493324</v>
      </c>
      <c r="M67" s="39">
        <v>0.17736530624999999</v>
      </c>
      <c r="N67" s="39">
        <v>1.90972222222222E-3</v>
      </c>
      <c r="O67" s="39">
        <v>1.27260416666667E-2</v>
      </c>
      <c r="P67" s="39">
        <v>2.6100000000000002E-2</v>
      </c>
      <c r="Q67" s="23">
        <v>2539.6375938875899</v>
      </c>
      <c r="R67" s="39">
        <v>4.1630572096575398E-2</v>
      </c>
      <c r="S67" t="str">
        <v>["set show_log=1 in param to show calc log"]</v>
      </c>
    </row>
    <row r="68" spans="2:19" x14ac:dyDescent="0.3">
      <c r="B68" s="10">
        <v>400</v>
      </c>
      <c r="C68" s="10">
        <v>80</v>
      </c>
      <c r="D68" s="38" t="str" cm="1">
        <f t="array" ref="D68">[1]!feed_calc(B68,C68,PVT_stream_,0)</f>
        <v>{"q_mix_rc_m3day":20.7088724621408,"q_oil_rc_m3day":17.3364406875666,"q_wat_rc_m3day":0.152547816142005,"q_gas_rc_m3day":3.21988395843222,"gas_fraction_d":0.155483306216632,"rho_mix_rc_kgm3":801.265702171671,"mu_mix_cP":1.19122581337018,"mo_kgsec":0.17736530625,"mw_kgsec":1.90972222222222E-03,"mg_kgsec":1.27260416666667E-02,"mg_kgmol":0.0261,"cmix_JkgC":2544.00215109174,"cJT_Katm":4.19212449883406E-02,"log":"[\"set show_log=1 in param to show calc log\"]"}</v>
      </c>
      <c r="E68" s="38"/>
      <c r="F68" s="40" cm="1">
        <f t="array" ref="F68:S68">[1]!decode_json(D68,1,,1)</f>
        <v>20.7088724621408</v>
      </c>
      <c r="G68" s="41">
        <v>17.336440687566601</v>
      </c>
      <c r="H68" s="39">
        <v>0.15254781614200499</v>
      </c>
      <c r="I68" s="41">
        <v>3.2198839584322201</v>
      </c>
      <c r="J68" s="39">
        <v>0.15548330621663201</v>
      </c>
      <c r="K68" s="23">
        <v>801.26570217167102</v>
      </c>
      <c r="L68" s="39">
        <v>1.1912258133701801</v>
      </c>
      <c r="M68" s="39">
        <v>0.17736530624999999</v>
      </c>
      <c r="N68" s="39">
        <v>1.90972222222222E-3</v>
      </c>
      <c r="O68" s="39">
        <v>1.27260416666667E-2</v>
      </c>
      <c r="P68" s="39">
        <v>2.6100000000000002E-2</v>
      </c>
      <c r="Q68" s="23">
        <v>2544.00215109174</v>
      </c>
      <c r="R68" s="39">
        <v>4.19212449883406E-2</v>
      </c>
      <c r="S68" t="str">
        <v>["set show_log=1 in param to show calc log"]</v>
      </c>
    </row>
    <row r="69" spans="2:19" x14ac:dyDescent="0.3">
      <c r="B69" s="10">
        <v>420</v>
      </c>
      <c r="C69" s="10">
        <v>80</v>
      </c>
      <c r="D69" s="38" t="str" cm="1">
        <f t="array" ref="D69">[1]!feed_calc(B69,C69,PVT_stream_,0)</f>
        <v>{"q_mix_rc_m3day":20.6377837380804,"q_oil_rc_m3day":17.3198029456844,"q_wat_rc_m3day":0.15237599864852,"q_gas_rc_m3day":3.16560479374751,"gas_fraction_d":0.153388795711935,"rho_mix_rc_kgm3":804.026171613078,"mu_mix_cP":1.2124544978985,"mo_kgsec":0.17736530625,"mw_kgsec":1.90972222222222E-03,"mg_kgsec":1.27260416666667E-02,"mg_kgmol":0.0261,"cmix_JkgC":2548.40209439659,"cJT_Katm":4.21680128479422E-02,"log":"[\"set show_log=1 in param to show calc log\"]"}</v>
      </c>
      <c r="E69" s="38"/>
      <c r="F69" s="40" cm="1">
        <f t="array" ref="F69:S69">[1]!decode_json(D69,1,,1)</f>
        <v>20.637783738080401</v>
      </c>
      <c r="G69" s="41">
        <v>17.319802945684401</v>
      </c>
      <c r="H69" s="39">
        <v>0.15237599864852</v>
      </c>
      <c r="I69" s="41">
        <v>3.16560479374751</v>
      </c>
      <c r="J69" s="39">
        <v>0.15338879571193501</v>
      </c>
      <c r="K69" s="23">
        <v>804.02617161307796</v>
      </c>
      <c r="L69" s="39">
        <v>1.2124544978984999</v>
      </c>
      <c r="M69" s="39">
        <v>0.17736530624999999</v>
      </c>
      <c r="N69" s="39">
        <v>1.90972222222222E-3</v>
      </c>
      <c r="O69" s="39">
        <v>1.27260416666667E-2</v>
      </c>
      <c r="P69" s="39">
        <v>2.6100000000000002E-2</v>
      </c>
      <c r="Q69" s="23">
        <v>2548.4020943965902</v>
      </c>
      <c r="R69" s="39">
        <v>4.21680128479422E-2</v>
      </c>
      <c r="S69" t="str">
        <v>["set show_log=1 in param to show calc log"]</v>
      </c>
    </row>
    <row r="70" spans="2:19" x14ac:dyDescent="0.3">
      <c r="B70" s="10">
        <v>440</v>
      </c>
      <c r="C70" s="10">
        <v>80</v>
      </c>
      <c r="D70" s="38" t="str" cm="1">
        <f t="array" ref="D70">[1]!feed_calc(B70,C70,PVT_stream_,0)</f>
        <v>{"q_mix_rc_m3day":20.5737841873631,"q_oil_rc_m3day":17.3046915820312,"q_wat_rc_m3day":0.152197354226275,"q_gas_rc_m3day":3.11689525110565,"gas_fraction_d":0.151498393427307,"rho_mix_rc_kgm3":806.528072160539,"mu_mix_cP":1.2334767017495,"mo_kgsec":0.17736530625,"mw_kgsec":1.90972222222222E-03,"mg_kgsec":1.27260416666667E-02,"mg_kgmol":0.0261,"cmix_JkgC":2552.83159603644,"cJT_Katm":4.23786266629703E-02,"log":"[\"set show_log=1 in param to show calc log\"]"}</v>
      </c>
      <c r="E70" s="38"/>
      <c r="F70" s="40" cm="1">
        <f t="array" ref="F70:S70">[1]!decode_json(D70,1,,1)</f>
        <v>20.573784187363099</v>
      </c>
      <c r="G70" s="41">
        <v>17.3046915820312</v>
      </c>
      <c r="H70" s="39">
        <v>0.15219735422627501</v>
      </c>
      <c r="I70" s="41">
        <v>3.11689525110565</v>
      </c>
      <c r="J70" s="39">
        <v>0.151498393427307</v>
      </c>
      <c r="K70" s="23">
        <v>806.52807216053895</v>
      </c>
      <c r="L70" s="39">
        <v>1.2334767017495001</v>
      </c>
      <c r="M70" s="39">
        <v>0.17736530624999999</v>
      </c>
      <c r="N70" s="39">
        <v>1.90972222222222E-3</v>
      </c>
      <c r="O70" s="39">
        <v>1.27260416666667E-2</v>
      </c>
      <c r="P70" s="39">
        <v>2.6100000000000002E-2</v>
      </c>
      <c r="Q70" s="23">
        <v>2552.8315960364398</v>
      </c>
      <c r="R70" s="39">
        <v>4.2378626662970299E-2</v>
      </c>
      <c r="S70" t="str">
        <v>["set show_log=1 in param to show calc log"]</v>
      </c>
    </row>
    <row r="71" spans="2:19" x14ac:dyDescent="0.3">
      <c r="B71" s="10">
        <v>460</v>
      </c>
      <c r="C71" s="10">
        <v>80</v>
      </c>
      <c r="D71" s="38" t="str" cm="1">
        <f t="array" ref="D71">[1]!feed_calc(B71,C71,PVT_stream_,0)</f>
        <v>{"q_mix_rc_m3day":20.5158292788763,"q_oil_rc_m3day":17.2909057649395,"q_wat_rc_m3day":0.152011882875271,"q_gas_rc_m3day":3.07291163106162,"gas_fraction_d":0.149782472318853,"rho_mix_rc_kgm3":808.807539901269,"mu_mix_cP":1.25432291805793,"mo_kgsec":0.17736530625,"mw_kgsec":1.90972222222222E-03,"mg_kgsec":1.27260416666667E-02,"mg_kgmol":0.0261,"cmix_JkgC":2557.28495259908,"cJT_Katm":4.25589525471712E-02,"log":"[\"set show_log=1 in param to show calc log\"]"}</v>
      </c>
      <c r="E71" s="38"/>
      <c r="F71" s="40" cm="1">
        <f t="array" ref="F71:S71">[1]!decode_json(D71,1,,1)</f>
        <v>20.5158292788763</v>
      </c>
      <c r="G71" s="41">
        <v>17.290905764939499</v>
      </c>
      <c r="H71" s="39">
        <v>0.15201188287527101</v>
      </c>
      <c r="I71" s="41">
        <v>3.0729116310616198</v>
      </c>
      <c r="J71" s="39">
        <v>0.149782472318853</v>
      </c>
      <c r="K71" s="23">
        <v>808.80753990126902</v>
      </c>
      <c r="L71" s="39">
        <v>1.2543229180579301</v>
      </c>
      <c r="M71" s="39">
        <v>0.17736530624999999</v>
      </c>
      <c r="N71" s="39">
        <v>1.90972222222222E-3</v>
      </c>
      <c r="O71" s="39">
        <v>1.27260416666667E-2</v>
      </c>
      <c r="P71" s="39">
        <v>2.6100000000000002E-2</v>
      </c>
      <c r="Q71" s="23">
        <v>2557.28495259908</v>
      </c>
      <c r="R71" s="39">
        <v>4.2558952547171201E-2</v>
      </c>
      <c r="S71" t="str">
        <v>["set show_log=1 in param to show calc log"]</v>
      </c>
    </row>
    <row r="78" spans="2:19" x14ac:dyDescent="0.3">
      <c r="O78">
        <f>O76</f>
        <v>0</v>
      </c>
    </row>
    <row r="133" spans="11:11" x14ac:dyDescent="0.3">
      <c r="K133" t="s">
        <v>5</v>
      </c>
    </row>
    <row r="144" spans="11:11" x14ac:dyDescent="0.3">
      <c r="K144" s="3"/>
    </row>
  </sheetData>
  <dataConsolidate/>
  <mergeCells count="11">
    <mergeCell ref="B25:C25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27</vt:i4>
      </vt:variant>
    </vt:vector>
  </HeadingPairs>
  <TitlesOfParts>
    <vt:vector size="28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2023-10-31T16:01:12Z</dcterms:modified>
</cp:coreProperties>
</file>