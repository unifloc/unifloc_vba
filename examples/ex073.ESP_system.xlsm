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AF18E6F-0C3D-44E3-87AC-2021B662DC9F}" xr6:coauthVersionLast="47" xr6:coauthVersionMax="47" xr10:uidLastSave="{00000000-0000-0000-0000-000000000000}"/>
  <bookViews>
    <workbookView xWindow="-103" yWindow="-103" windowWidth="22149" windowHeight="13200" tabRatio="422" xr2:uid="{00000000-000D-0000-FFFF-FFFF00000000}"/>
  </bookViews>
  <sheets>
    <sheet name="Exercise_ESP" sheetId="111" r:id="rId1"/>
  </sheets>
  <externalReferences>
    <externalReference r:id="rId2"/>
  </externalReferences>
  <definedNames>
    <definedName name="cable_json">#REF!</definedName>
    <definedName name="cable_json_1">Exercise_ESP!#REF!</definedName>
    <definedName name="cable_json_2">Exercise_ESP!$I$10</definedName>
    <definedName name="Cable_length">#REF!</definedName>
    <definedName name="cable_R_Omkm">#REF!</definedName>
    <definedName name="Cable_type">#REF!</definedName>
    <definedName name="calc_along_flow">#REF!</definedName>
    <definedName name="calibr_array_">#REF!</definedName>
    <definedName name="cos_phi">#REF!</definedName>
    <definedName name="cos_ϕ_nom">#REF!</definedName>
    <definedName name="dN">#REF!</definedName>
    <definedName name="dod">#REF!</definedName>
    <definedName name="effnom">#REF!</definedName>
    <definedName name="Energy_fact">#REF!</definedName>
    <definedName name="esp_json">Exercise_ESP!#REF!</definedName>
    <definedName name="esp_json_1">Exercise_ESP!$O$14</definedName>
    <definedName name="ESPstr">#REF!</definedName>
    <definedName name="feed">#REF!</definedName>
    <definedName name="feed_json">Exercise_ESP!#REF!</definedName>
    <definedName name="feed_json_1">Exercise_ESP!$C$17</definedName>
    <definedName name="Fnom">#REF!</definedName>
    <definedName name="Fsurf">#REF!</definedName>
    <definedName name="gas_degr_type_">#REF!</definedName>
    <definedName name="gas_separation_json">Exercise_ESP!$L$19</definedName>
    <definedName name="gassep">#REF!</definedName>
    <definedName name="input_Course">#REF!</definedName>
    <definedName name="input_Date">#REF!</definedName>
    <definedName name="input_Group">#REF!</definedName>
    <definedName name="input_Notes">#REF!</definedName>
    <definedName name="input_Student_Name">#REF!</definedName>
    <definedName name="input_Version">#REF!</definedName>
    <definedName name="Ixcf">#REF!</definedName>
    <definedName name="ksep_gassep">Exercise_ESP!#REF!</definedName>
    <definedName name="Ksep_man">#REF!</definedName>
    <definedName name="M_gassep">#REF!</definedName>
    <definedName name="motor_ID">#REF!</definedName>
    <definedName name="motor_json">#REF!</definedName>
    <definedName name="motor_json_1">Exercise_ESP!#REF!</definedName>
    <definedName name="motor_json_2">Exercise_ESP!#REF!</definedName>
    <definedName name="motor_json_3">Exercise_ESP!$F$15</definedName>
    <definedName name="PKsep">#REF!</definedName>
    <definedName name="Pnom">#REF!</definedName>
    <definedName name="pump_json">#REF!</definedName>
    <definedName name="PVT_json">#REF!</definedName>
    <definedName name="PVT_json_1">Exercise_ESP!#REF!</definedName>
    <definedName name="PVT_json_2">Exercise_ESP!$C$12</definedName>
    <definedName name="slipnom">#REF!</definedName>
    <definedName name="Tdis_">#REF!</definedName>
    <definedName name="TKsep_">#REF!</definedName>
    <definedName name="U">#REF!</definedName>
    <definedName name="Unom">#REF!</definedName>
    <definedName name="well_res_from_pwf">#REF!</definedName>
    <definedName name="α">#REF!</definedName>
    <definedName name="λ">#REF!</definedName>
    <definedName name="χ">#REF!</definedName>
    <definedName name="ПКВ_останов">#REF!</definedName>
    <definedName name="ПКВ_работа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9" i="111" l="1"/>
  <c r="O6" i="111"/>
  <c r="O7" i="111"/>
  <c r="O14" i="111" s="1"/>
  <c r="I10" i="111"/>
  <c r="F15" i="111"/>
  <c r="C12" i="111"/>
  <c r="R11" i="111" l="1"/>
  <c r="R12" i="111"/>
  <c r="R10" i="111"/>
  <c r="R13" i="111"/>
  <c r="C17" i="111"/>
  <c r="R9" i="111" l="1"/>
  <c r="R20" i="111"/>
  <c r="D21" i="111" a="1"/>
  <c r="E36" i="111" l="1"/>
  <c r="D21" i="111"/>
  <c r="D41" i="111"/>
  <c r="D42" i="111"/>
  <c r="E24" i="111"/>
  <c r="E38" i="111"/>
  <c r="E45" i="111"/>
  <c r="D40" i="111"/>
  <c r="E39" i="111"/>
  <c r="D45" i="111"/>
  <c r="E44" i="111"/>
  <c r="D43" i="111"/>
  <c r="D29" i="111"/>
  <c r="E35" i="111"/>
  <c r="D34" i="111"/>
  <c r="E42" i="111"/>
  <c r="E23" i="111"/>
  <c r="E22" i="111"/>
  <c r="D27" i="111"/>
  <c r="E37" i="111"/>
  <c r="D46" i="111"/>
  <c r="D44" i="111"/>
  <c r="D36" i="111"/>
  <c r="E46" i="111"/>
  <c r="D25" i="111"/>
  <c r="E32" i="111"/>
  <c r="E28" i="111"/>
  <c r="E30" i="111"/>
  <c r="E25" i="111"/>
  <c r="E27" i="111"/>
  <c r="D33" i="111"/>
  <c r="D37" i="111"/>
  <c r="E33" i="111"/>
  <c r="D38" i="111"/>
  <c r="E29" i="111"/>
  <c r="D39" i="111"/>
  <c r="D35" i="111"/>
  <c r="D32" i="111"/>
  <c r="E34" i="111"/>
  <c r="D23" i="111"/>
  <c r="D28" i="111"/>
  <c r="D24" i="111"/>
  <c r="E21" i="111"/>
  <c r="D30" i="111"/>
  <c r="E31" i="111"/>
  <c r="D26" i="111"/>
  <c r="E41" i="111"/>
  <c r="E43" i="111"/>
  <c r="D22" i="111"/>
  <c r="E40" i="111"/>
  <c r="D31" i="111"/>
  <c r="E26" i="111"/>
</calcChain>
</file>

<file path=xl/sharedStrings.xml><?xml version="1.0" encoding="utf-8"?>
<sst xmlns="http://schemas.openxmlformats.org/spreadsheetml/2006/main" count="85" uniqueCount="76">
  <si>
    <t>Ixcf</t>
  </si>
  <si>
    <t>feed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</si>
  <si>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</si>
  <si>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</si>
  <si>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</si>
  <si>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</si>
  <si>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</si>
  <si>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</si>
  <si>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</si>
  <si>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</si>
  <si>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</si>
  <si>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</si>
  <si>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</si>
  <si>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</si>
  <si>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</si>
  <si>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</si>
  <si>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motor_ID</t>
  </si>
  <si>
    <t>power_nom_kW</t>
  </si>
  <si>
    <t>U_nom_lin_V</t>
  </si>
  <si>
    <t>f_nom_Hz</t>
  </si>
  <si>
    <t>eff_nom_fr</t>
  </si>
  <si>
    <t>cosphi_nom_fr</t>
  </si>
  <si>
    <t>slip_nom_fr</t>
  </si>
  <si>
    <t>f_surf_Hz</t>
  </si>
  <si>
    <t>power_fact_kW</t>
  </si>
  <si>
    <t>d_od_mm</t>
  </si>
  <si>
    <t>lambda_</t>
  </si>
  <si>
    <t>alpha0</t>
  </si>
  <si>
    <t>xi0</t>
  </si>
  <si>
    <t>motor_json</t>
  </si>
  <si>
    <t>length_m</t>
  </si>
  <si>
    <t>cable_R_Omkm</t>
  </si>
  <si>
    <t>cable_X_Omkm</t>
  </si>
  <si>
    <t>cable_t_max_C</t>
  </si>
  <si>
    <t>manufacturer</t>
  </si>
  <si>
    <t>default</t>
  </si>
  <si>
    <t>name</t>
  </si>
  <si>
    <t>d_mm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</si>
  <si>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</si>
  <si>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</si>
  <si>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</si>
  <si>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</si>
  <si>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</si>
  <si>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</si>
  <si>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</si>
  <si>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</si>
  <si>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</si>
  <si>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</si>
  <si>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</si>
  <si>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</si>
  <si>
    <t>p_calc_atma</t>
  </si>
  <si>
    <t>U_surf_high_lin_V</t>
  </si>
  <si>
    <t>t_intake_C</t>
  </si>
  <si>
    <t>t_dis_C</t>
  </si>
  <si>
    <t>pump_json</t>
  </si>
  <si>
    <t>cable_json</t>
  </si>
  <si>
    <t>gassep_json</t>
  </si>
  <si>
    <t>calc_along_flow</t>
  </si>
  <si>
    <t>param</t>
  </si>
  <si>
    <t>esp_system</t>
  </si>
  <si>
    <t>calc_mode</t>
  </si>
  <si>
    <t>p_sep_atma</t>
  </si>
  <si>
    <t>t_sep_C</t>
  </si>
  <si>
    <t>natsep_model</t>
  </si>
  <si>
    <t>d_intake_od_mm</t>
  </si>
  <si>
    <t>d_cas_id_mm</t>
  </si>
  <si>
    <t>d_tub_od_mm</t>
  </si>
  <si>
    <t>pkv_prod_period_ratio</t>
  </si>
  <si>
    <t>ksep_gassep_man_d</t>
  </si>
  <si>
    <t>ksep_nat_man_d</t>
  </si>
  <si>
    <t>ksep_liquid_man_d</t>
  </si>
  <si>
    <t>h_intake_m</t>
  </si>
  <si>
    <t>h_perf_m</t>
  </si>
  <si>
    <t>gassep_type</t>
  </si>
  <si>
    <t>gassep_qnom_sm3day</t>
  </si>
  <si>
    <t>separation 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</si>
</sst>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encode_ESP_cable"/>
      <definedName name="encode_ESP_motor"/>
      <definedName name="encode_ESP_pump"/>
      <definedName name="encode_ESP_separation"/>
      <definedName name="encode_feed"/>
      <definedName name="encode_PVT"/>
      <definedName name="ESP_calc_stages_num"/>
      <definedName name="ESP_id_by_rate"/>
      <definedName name="ESP_system_cal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R46"/>
  <sheetViews>
    <sheetView tabSelected="1" workbookViewId="0">
      <selection activeCell="B26" sqref="B26"/>
    </sheetView>
  </sheetViews>
  <sheetFormatPr defaultRowHeight="12.45" x14ac:dyDescent="0.3"/>
  <cols>
    <col min="2" max="2" width="16.921875" customWidth="1"/>
  </cols>
  <sheetData>
    <row r="3" spans="2:18" x14ac:dyDescent="0.3">
      <c r="B3" s="2" t="s">
        <v>2</v>
      </c>
      <c r="C3" s="1">
        <v>0.6</v>
      </c>
      <c r="E3" s="2" t="s">
        <v>16</v>
      </c>
      <c r="F3" s="1">
        <v>0</v>
      </c>
      <c r="H3" s="2" t="s">
        <v>30</v>
      </c>
      <c r="I3" s="1">
        <v>1000</v>
      </c>
      <c r="K3" s="2" t="s">
        <v>60</v>
      </c>
      <c r="L3" s="1">
        <v>0</v>
      </c>
      <c r="N3" s="2" t="s">
        <v>38</v>
      </c>
      <c r="O3" s="1">
        <v>80</v>
      </c>
      <c r="Q3" s="2" t="s">
        <v>50</v>
      </c>
      <c r="R3" s="1">
        <v>100</v>
      </c>
    </row>
    <row r="4" spans="2:18" x14ac:dyDescent="0.3">
      <c r="B4" s="2" t="s">
        <v>3</v>
      </c>
      <c r="C4" s="1">
        <v>0.86</v>
      </c>
      <c r="E4" s="2" t="s">
        <v>17</v>
      </c>
      <c r="F4" s="1">
        <v>30</v>
      </c>
      <c r="H4" s="2" t="s">
        <v>31</v>
      </c>
      <c r="I4" s="1">
        <v>1.18</v>
      </c>
      <c r="K4" s="2" t="s">
        <v>61</v>
      </c>
      <c r="L4" s="1">
        <v>40</v>
      </c>
      <c r="N4" s="2" t="s">
        <v>39</v>
      </c>
      <c r="O4" s="1">
        <v>1500</v>
      </c>
      <c r="Q4" s="2" t="s">
        <v>51</v>
      </c>
      <c r="R4" s="1">
        <v>1000</v>
      </c>
    </row>
    <row r="5" spans="2:18" x14ac:dyDescent="0.3">
      <c r="B5" s="2" t="s">
        <v>4</v>
      </c>
      <c r="C5" s="1">
        <v>1.1000000000000001</v>
      </c>
      <c r="E5" s="2" t="s">
        <v>18</v>
      </c>
      <c r="F5" s="1">
        <v>1000</v>
      </c>
      <c r="H5" s="2" t="s">
        <v>32</v>
      </c>
      <c r="I5" s="1">
        <v>0.01</v>
      </c>
      <c r="K5" s="2" t="s">
        <v>62</v>
      </c>
      <c r="L5" s="1">
        <v>60</v>
      </c>
      <c r="N5" s="2" t="s">
        <v>40</v>
      </c>
      <c r="O5" s="1">
        <v>50</v>
      </c>
      <c r="Q5" s="2" t="s">
        <v>23</v>
      </c>
      <c r="R5" s="1">
        <v>50</v>
      </c>
    </row>
    <row r="6" spans="2:18" x14ac:dyDescent="0.3">
      <c r="B6" s="2" t="s">
        <v>5</v>
      </c>
      <c r="C6" s="1">
        <v>120</v>
      </c>
      <c r="E6" s="2" t="s">
        <v>19</v>
      </c>
      <c r="F6" s="1">
        <v>50</v>
      </c>
      <c r="H6" s="2" t="s">
        <v>33</v>
      </c>
      <c r="I6" s="1">
        <v>120</v>
      </c>
      <c r="K6" s="2" t="s">
        <v>63</v>
      </c>
      <c r="L6" s="1">
        <v>0</v>
      </c>
      <c r="N6" s="2" t="s">
        <v>41</v>
      </c>
      <c r="O6" s="4">
        <f>[1]!ESP_id_by_rate(O3, O5)</f>
        <v>1006</v>
      </c>
      <c r="Q6" s="2" t="s">
        <v>24</v>
      </c>
      <c r="R6" s="1">
        <v>35</v>
      </c>
    </row>
    <row r="7" spans="2:18" x14ac:dyDescent="0.3">
      <c r="B7" s="2" t="s">
        <v>6</v>
      </c>
      <c r="C7" s="1">
        <v>130</v>
      </c>
      <c r="E7" s="2" t="s">
        <v>20</v>
      </c>
      <c r="F7" s="1">
        <v>0.82</v>
      </c>
      <c r="H7" s="2" t="s">
        <v>34</v>
      </c>
      <c r="I7" s="1" t="s">
        <v>35</v>
      </c>
      <c r="K7" s="2" t="s">
        <v>64</v>
      </c>
      <c r="L7" s="1">
        <v>92</v>
      </c>
      <c r="N7" s="2" t="s">
        <v>42</v>
      </c>
      <c r="O7" s="4">
        <f>[1]!ESP_calc_stages_num(O6,O4,O5,O3)</f>
        <v>250</v>
      </c>
      <c r="Q7" s="2" t="s">
        <v>52</v>
      </c>
      <c r="R7" s="1">
        <v>50</v>
      </c>
    </row>
    <row r="8" spans="2:18" x14ac:dyDescent="0.3">
      <c r="B8" s="2" t="s">
        <v>7</v>
      </c>
      <c r="C8" s="1">
        <v>80</v>
      </c>
      <c r="E8" s="2" t="s">
        <v>21</v>
      </c>
      <c r="F8" s="1">
        <v>0.88</v>
      </c>
      <c r="H8" s="2" t="s">
        <v>36</v>
      </c>
      <c r="I8" s="1" t="s">
        <v>35</v>
      </c>
      <c r="K8" s="2" t="s">
        <v>65</v>
      </c>
      <c r="L8" s="1">
        <v>125</v>
      </c>
      <c r="N8" s="2" t="s">
        <v>43</v>
      </c>
      <c r="O8" s="1">
        <v>1</v>
      </c>
      <c r="Q8" s="2" t="s">
        <v>53</v>
      </c>
      <c r="R8" s="1">
        <v>50</v>
      </c>
    </row>
    <row r="9" spans="2:18" x14ac:dyDescent="0.3">
      <c r="B9" s="2" t="s">
        <v>8</v>
      </c>
      <c r="C9" s="1">
        <v>1.2</v>
      </c>
      <c r="E9" s="2" t="s">
        <v>22</v>
      </c>
      <c r="F9" s="1">
        <v>5.2999999999999999E-2</v>
      </c>
      <c r="H9" s="2" t="s">
        <v>37</v>
      </c>
      <c r="I9" s="1">
        <v>16</v>
      </c>
      <c r="K9" s="2" t="s">
        <v>66</v>
      </c>
      <c r="L9" s="1">
        <v>72</v>
      </c>
      <c r="N9" s="2" t="s">
        <v>44</v>
      </c>
      <c r="O9" s="1">
        <v>1</v>
      </c>
      <c r="Q9" s="2" t="s">
        <v>1</v>
      </c>
      <c r="R9" s="4" t="str">
        <f>feed_json_1</f>
        <v>{"gamma_gas":0.6,"gamma_oil":0.86,"gamma_wat":1.1,"rsb_m3m3":120,"pb_atma":130,"t_res_C":80,"bob_m3m3":1.2,"muob_cP":0.6,"PVT_corr_set":0,"q_liq_sm3day":30,"fw_perc":10,"rp_m3m3":120}</v>
      </c>
    </row>
    <row r="10" spans="2:18" x14ac:dyDescent="0.3">
      <c r="B10" s="2" t="s">
        <v>9</v>
      </c>
      <c r="C10" s="1">
        <v>0.6</v>
      </c>
      <c r="E10" s="2" t="s">
        <v>25</v>
      </c>
      <c r="F10" s="1">
        <v>117</v>
      </c>
      <c r="H10" s="2" t="s">
        <v>29</v>
      </c>
      <c r="I10" s="3" t="str">
        <f>[1]!encode_ESP_cable( I3, I4, I5, I6, I7, I8, I9)</f>
        <v>{"cable_R_Omkm":1.18,"cable_X_Omkm":0.01,"cable_t_max_C":120,"manufacturer":"default","name":"default","d_mm":16,"length_m":1000}</v>
      </c>
      <c r="K10" s="2" t="s">
        <v>67</v>
      </c>
      <c r="L10" s="1"/>
      <c r="N10" s="2" t="s">
        <v>45</v>
      </c>
      <c r="O10" s="1">
        <v>1</v>
      </c>
      <c r="Q10" s="2" t="s">
        <v>54</v>
      </c>
      <c r="R10" s="4" t="str">
        <f>esp_json_1</f>
        <v>{"q_nom_sm3day":80,"head_nom_m":1500,"freq_nom_Hz":50,"name":"ESP-80-1500","ESP_ID":1006,"num_stages":250,"gas_correct_model":1,"gas_correct_stage_by_stage":0,"calibr_head":1,"calibr_power":1,"calibr_rate":1,"dnum_stages_integrate":1}</v>
      </c>
    </row>
    <row r="11" spans="2:18" x14ac:dyDescent="0.3">
      <c r="B11" s="2" t="s">
        <v>10</v>
      </c>
      <c r="C11" s="1">
        <v>0</v>
      </c>
      <c r="E11" s="2" t="s">
        <v>26</v>
      </c>
      <c r="F11" s="1">
        <v>2.8</v>
      </c>
      <c r="K11" s="2" t="s">
        <v>68</v>
      </c>
      <c r="L11" s="1"/>
      <c r="N11" s="2" t="s">
        <v>46</v>
      </c>
      <c r="O11" s="1">
        <v>1</v>
      </c>
      <c r="Q11" s="2" t="s">
        <v>29</v>
      </c>
      <c r="R11" s="4" t="str">
        <f>motor_json_3</f>
        <v>{"motor_ID":0,"U_nom_lin_V":1000,"P_nom_kW":30,"F_nom_Hz":50,"eff_nom_fr":0.82,"cosphi_nom_fr":0.88,"slip_nom_fr":0.053,"d_od_mm":117,"lambda":2.8,"alpha0":0.5,"xi0":1.05,"Ixcf":0.4}</v>
      </c>
    </row>
    <row r="12" spans="2:18" x14ac:dyDescent="0.3">
      <c r="B12" s="2" t="s">
        <v>11</v>
      </c>
      <c r="C12" s="3" t="str">
        <f>[1]!encode_PVT(C3,C4,C5,C6,C7,C8,C9,C10,C11)</f>
        <v>{"gamma_gas":0.6,"gamma_oil":0.86,"gamma_wat":1.1,"rsb_m3m3":120,"pb_atma":130,"t_res_C":80,"bob_m3m3":1.2,"muob_cP":0.6,"PVT_corr_set":0}</v>
      </c>
      <c r="E12" s="2" t="s">
        <v>27</v>
      </c>
      <c r="F12" s="1">
        <v>0.5</v>
      </c>
      <c r="K12" s="2" t="s">
        <v>69</v>
      </c>
      <c r="L12" s="1"/>
      <c r="N12" s="2" t="s">
        <v>47</v>
      </c>
      <c r="O12" s="1">
        <v>0</v>
      </c>
      <c r="Q12" s="2" t="s">
        <v>55</v>
      </c>
      <c r="R12" s="4" t="str">
        <f>cable_json_2</f>
        <v>{"cable_R_Omkm":1.18,"cable_X_Omkm":0.01,"cable_t_max_C":120,"manufacturer":"default","name":"default","d_mm":16,"length_m":1000}</v>
      </c>
    </row>
    <row r="13" spans="2:18" x14ac:dyDescent="0.3">
      <c r="B13" s="2" t="s">
        <v>12</v>
      </c>
      <c r="C13" s="1">
        <v>30</v>
      </c>
      <c r="E13" s="2" t="s">
        <v>28</v>
      </c>
      <c r="F13" s="1">
        <v>1.05</v>
      </c>
      <c r="K13" s="2" t="s">
        <v>70</v>
      </c>
      <c r="L13" s="1"/>
      <c r="N13" s="2" t="s">
        <v>48</v>
      </c>
      <c r="O13" s="1">
        <v>1</v>
      </c>
      <c r="Q13" s="2" t="s">
        <v>56</v>
      </c>
      <c r="R13" s="4" t="str">
        <f>gas_separation_json</f>
        <v>{"calc_mode":"by_correlation","natsep_model":"0","d_intake_mm":"92","d_cas_mm":"125","d_tub_mm":"72","gassep_type":"-1","param":{"show_array":1,"gas_goes_into_solution":1,"calibr_li":2}}</v>
      </c>
    </row>
    <row r="14" spans="2:18" x14ac:dyDescent="0.3">
      <c r="B14" s="2" t="s">
        <v>13</v>
      </c>
      <c r="C14" s="1">
        <v>10</v>
      </c>
      <c r="E14" s="2" t="s">
        <v>0</v>
      </c>
      <c r="F14" s="1">
        <v>0.4</v>
      </c>
      <c r="K14" s="2" t="s">
        <v>71</v>
      </c>
      <c r="L14" s="1"/>
      <c r="N14" s="2" t="s">
        <v>49</v>
      </c>
      <c r="O14" s="3" t="str">
        <f>[1]!encode_ESP_pump(, , O5, O6, O7, O8, O9, O10, O11, O12, O13)</f>
        <v>{"q_nom_sm3day":80,"head_nom_m":1500,"freq_nom_Hz":50,"name":"ESP-80-1500","ESP_ID":1006,"num_stages":250,"gas_correct_model":1,"gas_correct_stage_by_stage":0,"calibr_head":1,"calibr_power":1,"calibr_rate":1,"dnum_stages_integrate":1}</v>
      </c>
      <c r="Q14" s="2" t="s">
        <v>57</v>
      </c>
      <c r="R14" s="1">
        <v>1</v>
      </c>
    </row>
    <row r="15" spans="2:18" x14ac:dyDescent="0.3">
      <c r="B15" s="2" t="s">
        <v>14</v>
      </c>
      <c r="C15" s="1">
        <v>120</v>
      </c>
      <c r="E15" s="2" t="s">
        <v>29</v>
      </c>
      <c r="F15" s="3" t="str">
        <f>[1]!encode_ESP_motor(F3, F4, F5, F6, F7, F8, F9, F10, F11, F12, F13, F14)</f>
        <v>{"motor_ID":0,"U_nom_lin_V":1000,"P_nom_kW":30,"F_nom_Hz":50,"eff_nom_fr":0.82,"cosphi_nom_fr":0.88,"slip_nom_fr":0.053,"d_od_mm":117,"lambda":2.8,"alpha0":0.5,"xi0":1.05,"Ixcf":0.4}</v>
      </c>
      <c r="K15" s="2" t="s">
        <v>72</v>
      </c>
      <c r="L15" s="1"/>
      <c r="Q15" s="2" t="s">
        <v>58</v>
      </c>
      <c r="R15" s="1"/>
    </row>
    <row r="16" spans="2:18" x14ac:dyDescent="0.3">
      <c r="B16" s="2" t="s">
        <v>15</v>
      </c>
      <c r="C16" s="1">
        <v>0</v>
      </c>
      <c r="K16" s="2" t="s">
        <v>73</v>
      </c>
      <c r="L16" s="1"/>
      <c r="Q16" s="2" t="s">
        <v>12</v>
      </c>
      <c r="R16" s="1"/>
    </row>
    <row r="17" spans="2:18" x14ac:dyDescent="0.3">
      <c r="B17" s="2" t="s">
        <v>1</v>
      </c>
      <c r="C17" s="3" t="str">
        <f>[1]!encode_feed(C13,C14,C15,C16,C12)</f>
        <v>{"gamma_gas":0.6,"gamma_oil":0.86,"gamma_wat":1.1,"rsb_m3m3":120,"pb_atma":130,"t_res_C":80,"bob_m3m3":1.2,"muob_cP":0.6,"PVT_corr_set":0,"q_liq_sm3day":30,"fw_perc":10,"rp_m3m3":120}</v>
      </c>
      <c r="K17" s="2" t="s">
        <v>74</v>
      </c>
      <c r="L17" s="1"/>
      <c r="Q17" s="2" t="s">
        <v>13</v>
      </c>
      <c r="R17" s="1"/>
    </row>
    <row r="18" spans="2:18" x14ac:dyDescent="0.3">
      <c r="K18" s="2" t="s">
        <v>58</v>
      </c>
      <c r="L18" s="1"/>
      <c r="Q18" s="2" t="s">
        <v>14</v>
      </c>
      <c r="R18" s="1"/>
    </row>
    <row r="19" spans="2:18" x14ac:dyDescent="0.3">
      <c r="K19" s="2" t="s">
        <v>75</v>
      </c>
      <c r="L19" s="3" t="str">
        <f>[1]!encode_ESP_separation(L3,L4, L5, L6,L7, L8, L9, L10, L11, L12, L13, L14, L15, L16, L17, L18)</f>
        <v>{"calc_mode":"by_correlation","natsep_model":"0","d_intake_mm":"92","d_cas_mm":"125","d_tub_mm":"72","gassep_type":"-1","param":{"show_array":1,"gas_goes_into_solution":1,"calibr_li":2}}</v>
      </c>
      <c r="Q19" s="2" t="s">
        <v>15</v>
      </c>
      <c r="R19" s="1"/>
    </row>
    <row r="20" spans="2:18" x14ac:dyDescent="0.3">
      <c r="Q20" s="2" t="s">
        <v>59</v>
      </c>
      <c r="R20" s="3" t="str">
        <f>[1]!ESP_system_calc(R3,R4,R5,R6,R7,R8,R9,R10,R11,R12,R13,R14,R15,R16,R17,R18,R19)</f>
        <v>{"p_int_atma":100,"t_int_C":50,"p_dis_atma":223.974,"t_dis_C":50,"head_m":1513.692,"M_pump_Nm":56.599,"gas_frac_intake":0.037,"eff_ESP_d":0.293,"power_fluid_W":4928.584,"power_ESP_W":16838.639,"calc_from_dis":0,"stage_num":250,"freq_Hz":47.35,"w_obmin":2841,"rate_nom_sm3day":75.76,"rate_max_sm3day":165.725,"calibr_head":1,"calibr_rate":1,"calibr_power":1,"gas_correct_model":1,"gas_correct_stage_by_stage":false,"gas_corr_":1.01,"M_motor_Nm":57.6,"geometry":{"length_motor_m":10,"length_pump_m":12.5,"angle":90,"d_od_m":0.092,"d_cas_mm":150,"d_cas_min_m":0.1217,"d_motor_cas_min_mm":123,"d_motor_od_m":117},"dict_power":{"Pow_freq_Hz":50,"ESP_freq_Hz":47.35,"I_A":13.71,"load_%":0.57,"power_CS_kW":22.88,"power_motor_kW":20.9,"power_shaft_kW":17.14,"power_ESP_kW":16.84,"power_fluid_kW":4.93,"U_motor_V":1000,"eff_total_d":0.22,"eff_ESP_d":0.29,"eff_fact_d":0,"dp_unknown_kW":0,"Pmotor_nom_kW":17.14,"power_CS_fact_kW":0,"motor_eff_fr":0.82,"cable_R_Omkm":1.18,"dPower_protector_kW":0.4,"dPower_GasSep_kW":0.31,"dPower_CS_kW":0.67,"dPower_transform_kW":0.65,"cos_phi":0.88},"dict_separ":{"ksep_nat_fr":0.780346036494257,"ksep_gassep_fr":0,"ksep_total_fr":0.780346036494257,"p_ksep_atma":100,"t_ksep_C":50,"d_od_m":0.092,"d_cas_m":0.125,"gassep_type":-1,"natsep_type":0,"M_Nm":1,"freq_Hz":50}}</v>
      </c>
    </row>
    <row r="21" spans="2:18" x14ac:dyDescent="0.3">
      <c r="D21" t="str">
        <f t="array" ref="D21:E46">[1]!decode_json($R$20)</f>
        <v>p_int_atma</v>
      </c>
      <c r="E21" t="str">
        <v>100</v>
      </c>
    </row>
    <row r="22" spans="2:18" x14ac:dyDescent="0.3">
      <c r="D22" t="str">
        <v>t_int_C</v>
      </c>
      <c r="E22" t="str">
        <v>50</v>
      </c>
    </row>
    <row r="23" spans="2:18" x14ac:dyDescent="0.3">
      <c r="D23" t="str">
        <v>p_dis_atma</v>
      </c>
      <c r="E23" t="str">
        <v>223.974</v>
      </c>
    </row>
    <row r="24" spans="2:18" x14ac:dyDescent="0.3">
      <c r="D24" t="str">
        <v>t_dis_C</v>
      </c>
      <c r="E24" t="str">
        <v>50</v>
      </c>
    </row>
    <row r="25" spans="2:18" x14ac:dyDescent="0.3">
      <c r="D25" t="str">
        <v>head_m</v>
      </c>
      <c r="E25" t="str">
        <v>1513.692</v>
      </c>
    </row>
    <row r="26" spans="2:18" x14ac:dyDescent="0.3">
      <c r="D26" t="str">
        <v>M_pump_Nm</v>
      </c>
      <c r="E26" t="str">
        <v>56.599</v>
      </c>
    </row>
    <row r="27" spans="2:18" x14ac:dyDescent="0.3">
      <c r="D27" t="str">
        <v>gas_frac_intake</v>
      </c>
      <c r="E27" t="str">
        <v>0.037</v>
      </c>
    </row>
    <row r="28" spans="2:18" x14ac:dyDescent="0.3">
      <c r="D28" t="str">
        <v>eff_ESP_d</v>
      </c>
      <c r="E28" t="str">
        <v>0.293</v>
      </c>
    </row>
    <row r="29" spans="2:18" x14ac:dyDescent="0.3">
      <c r="D29" t="str">
        <v>power_fluid_W</v>
      </c>
      <c r="E29" t="str">
        <v>4928.584</v>
      </c>
    </row>
    <row r="30" spans="2:18" x14ac:dyDescent="0.3">
      <c r="D30" t="str">
        <v>power_ESP_W</v>
      </c>
      <c r="E30" t="str">
        <v>16838.639</v>
      </c>
    </row>
    <row r="31" spans="2:18" x14ac:dyDescent="0.3">
      <c r="D31" t="str">
        <v>calc_from_dis</v>
      </c>
      <c r="E31" t="str">
        <v>0</v>
      </c>
    </row>
    <row r="32" spans="2:18" x14ac:dyDescent="0.3">
      <c r="D32" t="str">
        <v>stage_num</v>
      </c>
      <c r="E32" t="str">
        <v>250</v>
      </c>
    </row>
    <row r="33" spans="4:5" x14ac:dyDescent="0.3">
      <c r="D33" t="str">
        <v>freq_Hz</v>
      </c>
      <c r="E33" t="str">
        <v>47.35</v>
      </c>
    </row>
    <row r="34" spans="4:5" x14ac:dyDescent="0.3">
      <c r="D34" t="str">
        <v>w_obmin</v>
      </c>
      <c r="E34" t="str">
        <v>2841</v>
      </c>
    </row>
    <row r="35" spans="4:5" x14ac:dyDescent="0.3">
      <c r="D35" t="str">
        <v>rate_nom_sm3day</v>
      </c>
      <c r="E35" t="str">
        <v>75.76</v>
      </c>
    </row>
    <row r="36" spans="4:5" x14ac:dyDescent="0.3">
      <c r="D36" t="str">
        <v>rate_max_sm3day</v>
      </c>
      <c r="E36" t="str">
        <v>165.725</v>
      </c>
    </row>
    <row r="37" spans="4:5" x14ac:dyDescent="0.3">
      <c r="D37" t="str">
        <v>calibr_head</v>
      </c>
      <c r="E37" t="str">
        <v>1</v>
      </c>
    </row>
    <row r="38" spans="4:5" x14ac:dyDescent="0.3">
      <c r="D38" t="str">
        <v>calibr_rate</v>
      </c>
      <c r="E38" t="str">
        <v>1</v>
      </c>
    </row>
    <row r="39" spans="4:5" x14ac:dyDescent="0.3">
      <c r="D39" t="str">
        <v>calibr_power</v>
      </c>
      <c r="E39" t="str">
        <v>1</v>
      </c>
    </row>
    <row r="40" spans="4:5" x14ac:dyDescent="0.3">
      <c r="D40" t="str">
        <v>gas_correct_model</v>
      </c>
      <c r="E40" t="str">
        <v>1</v>
      </c>
    </row>
    <row r="41" spans="4:5" x14ac:dyDescent="0.3">
      <c r="D41" t="str">
        <v>gas_correct_stage_by_stage</v>
      </c>
      <c r="E41" t="str">
        <v>False</v>
      </c>
    </row>
    <row r="42" spans="4:5" x14ac:dyDescent="0.3">
      <c r="D42" t="str">
        <v>gas_corr_</v>
      </c>
      <c r="E42" t="str">
        <v>1.01</v>
      </c>
    </row>
    <row r="43" spans="4:5" x14ac:dyDescent="0.3">
      <c r="D43" t="str">
        <v>M_motor_Nm</v>
      </c>
      <c r="E43" t="str">
        <v>57.6</v>
      </c>
    </row>
    <row r="44" spans="4:5" x14ac:dyDescent="0.3">
      <c r="D44" t="str">
        <v>geometry</v>
      </c>
      <c r="E44" t="str">
        <v>{"length_motor_m":10,"length_pump_m":12.5,"angle":90,"d_od_m":0.092,"d_cas_mm":150,"d_cas_min_m":0.1217,"d_motor_cas_min_mm":123,"d_motor_od_m":117}</v>
      </c>
    </row>
    <row r="45" spans="4:5" x14ac:dyDescent="0.3">
      <c r="D45" t="str">
        <v>dict_power</v>
      </c>
      <c r="E45" t="str">
        <v>{"Pow_freq_Hz":50,"ESP_freq_Hz":47.35,"I_A":13.71,"load_%":0.57,"power_CS_kW":22.88,"power_motor_kW":20.9,"power_shaft_kW":17.14,"power_ESP_kW":16.84,"power_fluid_kW":4.93,"U_motor_V":1000,"eff_total_d":0.22,"eff_ESP_d":0.29,"eff_fact_d":0,"dp_unknown_kW":0,"Pmotor_nom_kW":17.14,"power_CS_fact_kW":0,"motor_eff_fr":0.82,"cable_R_Omkm":1.18,"dPower_protector_kW":0.4,"dPower_GasSep_kW":0.31,"dPower_CS_kW":0.67,"dPower_transform_kW":0.65,"cos_phi":0.88}</v>
      </c>
    </row>
    <row r="46" spans="4:5" x14ac:dyDescent="0.3">
      <c r="D46" t="str">
        <v>dict_separ</v>
      </c>
      <c r="E46" t="str">
        <v>{"ksep_nat_fr":0.780346036494257,"ksep_gassep_fr":0,"ksep_total_fr":0.780346036494257,"p_ksep_atma":100,"t_ksep_C":50,"d_od_m":0.092,"d_cas_m":0.125,"gassep_type":-1,"natsep_type":0,"M_Nm":1,"freq_Hz":50}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6</vt:i4>
      </vt:variant>
    </vt:vector>
  </HeadingPairs>
  <TitlesOfParts>
    <vt:vector size="7" baseType="lpstr">
      <vt:lpstr>Exercise_ESP</vt:lpstr>
      <vt:lpstr>cable_json_2</vt:lpstr>
      <vt:lpstr>esp_json_1</vt:lpstr>
      <vt:lpstr>feed_json_1</vt:lpstr>
      <vt:lpstr>gas_separation_json</vt:lpstr>
      <vt:lpstr>motor_json_3</vt:lpstr>
      <vt:lpstr>PVT_json_2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2025-04-03T10:53:23Z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