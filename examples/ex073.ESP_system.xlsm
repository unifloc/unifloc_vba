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C72BE464-245A-4F01-85A0-9DC004235259}" xr6:coauthVersionLast="47" xr6:coauthVersionMax="47" xr10:uidLastSave="{00000000-0000-0000-0000-000000000000}"/>
  <bookViews>
    <workbookView xWindow="-98" yWindow="-98" windowWidth="20715" windowHeight="1327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Exercise_ESP!$C$44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eed">Exercise_ESP!$C$41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gassep">Exercise_ESP!$C$45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Exercise_ESP!$C$43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Exercise_ESP!$C$42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2" i="110" l="1"/>
  <c r="C45" i="110" a="1"/>
  <c r="C25" i="110" a="1"/>
  <c r="C44" i="110" a="1"/>
  <c r="B86" i="110" a="1"/>
  <c r="C43" i="110" a="1"/>
  <c r="C40" i="110" a="1"/>
  <c r="B86" i="110" l="1"/>
  <c r="C25" i="110"/>
  <c r="C45" i="110"/>
  <c r="C44" i="110"/>
  <c r="C43" i="110"/>
  <c r="C40" i="110"/>
  <c r="C41" i="110" a="1"/>
  <c r="C41" i="110" l="1"/>
  <c r="G1" i="110"/>
  <c r="E17" i="110" l="1"/>
  <c r="E16" i="110"/>
  <c r="U26" i="110"/>
  <c r="E14" i="110"/>
  <c r="E13" i="110"/>
  <c r="E12" i="110"/>
  <c r="E11" i="110"/>
  <c r="C35" i="110" a="1"/>
  <c r="C36" i="110" a="1"/>
  <c r="C37" i="110" a="1"/>
  <c r="C42" i="110" a="1"/>
  <c r="C42" i="110" l="1"/>
  <c r="C35" i="110"/>
  <c r="C37" i="110"/>
  <c r="C36" i="110"/>
  <c r="B88" i="110" a="1"/>
  <c r="B47" i="110" a="1"/>
  <c r="B88" i="110" l="1"/>
  <c r="B47" i="110"/>
  <c r="K38" i="110"/>
  <c r="AC43" i="110" a="1"/>
  <c r="B92" i="110" a="1"/>
  <c r="B50" i="110" a="1"/>
  <c r="F50" i="110" a="1"/>
  <c r="L50" i="110" a="1"/>
  <c r="I50" i="110" a="1"/>
  <c r="B92" i="110" l="1"/>
  <c r="I50" i="110"/>
  <c r="L50" i="110"/>
  <c r="F50" i="110"/>
  <c r="B50" i="110"/>
  <c r="AC43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<sst xmlns="http://schemas.openxmlformats.org/spreadsheetml/2006/main" count="119" uniqueCount="98">
  <si>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</si>
  <si>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</si>
  <si>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</si>
  <si>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</si>
  <si>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</si>
  <si>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</si>
  <si>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</si>
  <si>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</si>
  <si>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</si>
  <si>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</si>
  <si>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</si>
  <si>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</si>
  <si>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</si>
  <si>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</si>
  <si>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</si>
  <si>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</si>
  <si>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</si>
  <si>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</si>
  <si>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</si>
  <si>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</si>
  <si>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</si>
  <si>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</si>
  <si>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</si>
  <si>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</si>
  <si>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</si>
  <si>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</si>
  <si>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</si>
  <si>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</si>
  <si>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</si>
  <si>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</si>
  <si>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</si>
  <si>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</si>
  <si>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</si>
  <si>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</si>
  <si>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</si>
  <si>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</si>
  <si>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</si>
  <si>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</si>
  <si>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</si>
  <si>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</si>
  <si>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</si>
  <si>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</si>
  <si>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</si>
  <si>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</si>
  <si>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</si>
  <si>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</si>
  <si>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</si>
  <si>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</si>
  <si>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</si>
  <si>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</si>
  <si>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</si>
  <si>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</si>
  <si>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</si>
  <si>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</si>
  <si>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</si>
  <si>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</si>
  <si>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</si>
  <si>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</si>
  <si>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</si>
  <si>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</si>
  <si>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</si>
  <si>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</si>
  <si>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</si>
  <si>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</si>
  <si>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</si>
  <si>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</si>
  <si>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</si>
  <si>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</si>
  <si>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</si>
  <si>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</si>
  <si>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</si>
  <si>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</si>
  <si>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</si>
  <si>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</si>
  <si>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</si>
  <si>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</si>
  <si>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</si>
  <si>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</si>
  <si>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</si>
  <si>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</si>
  <si>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</si>
  <si>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</si>
  <si>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</si>
  <si>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</si>
  <si>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</si>
  <si>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</si>
  <si>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</si>
  <si>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</si>
  <si>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</si>
  <si>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</si>
  <si>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</si>
  <si>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</si>
  <si>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</si>
  <si>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</si>
  <si>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</si>
  <si>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</si>
  <si>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</si>
  <si>
    <t>feed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</si>
</sst>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5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0" fontId="0" fillId="7" borderId="2" xfId="0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0" fontId="0" fillId="6" borderId="0" xfId="0" applyFill="1" applyBorder="1"/>
    <xf numFmtId="1" fontId="0" fillId="7" borderId="7" xfId="0" applyNumberFormat="1" applyFill="1" applyBorder="1" applyAlignment="1">
      <alignment horizontal="left"/>
    </xf>
    <xf numFmtId="0" fontId="0" fillId="0" borderId="0" xfId="0" applyAlignment="1"/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Normal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r>
            <a:rPr lang="en-US" sz="1100" baseline="0"/>
            <a:t> </a:t>
          </a:r>
          <a:r>
            <a:rPr lang="ru-RU" sz="1100" baseline="0"/>
            <a:t>и параметры работы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Что такое проскальзывание и чем отличается частота тока и частота вращения вала ЭЦН? Всегда ли они отличаются?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 что влияет напряжение подаваемое на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 отличается КПД ЭЦН и КПД УЭЦН?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Что такое загрузка ЭЦН? А нагрузка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 что влияет коэффициент мощности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 phi?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26</xdr:col>
      <xdr:colOff>81643</xdr:colOff>
      <xdr:row>58</xdr:row>
      <xdr:rowOff>152400</xdr:rowOff>
    </xdr:from>
    <xdr:to>
      <xdr:col>29</xdr:col>
      <xdr:colOff>299358</xdr:colOff>
      <xdr:row>62</xdr:row>
      <xdr:rowOff>81558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152179" y="12099471"/>
          <a:ext cx="3796393" cy="58230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23</xdr:col>
      <xdr:colOff>347455</xdr:colOff>
      <xdr:row>6</xdr:row>
      <xdr:rowOff>138573</xdr:rowOff>
    </xdr:from>
    <xdr:to>
      <xdr:col>25</xdr:col>
      <xdr:colOff>549551</xdr:colOff>
      <xdr:row>11</xdr:row>
      <xdr:rowOff>234695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18587830" y="1195848"/>
          <a:ext cx="1859446" cy="981947"/>
        </a:xfrm>
        <a:prstGeom prst="leftArrowCallout">
          <a:avLst>
            <a:gd name="adj1" fmla="val 20027"/>
            <a:gd name="adj2" fmla="val 25000"/>
            <a:gd name="adj3" fmla="val 19198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string"/>
      <definedName name="encode_arange"/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head_m"/>
      <definedName name="ESP_id_by_rate"/>
      <definedName name="ESP_name"/>
      <definedName name="ESP_rate_max_sm3day"/>
      <definedName name="ESP_system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141"/>
  <sheetViews>
    <sheetView tabSelected="1" zoomScale="55" zoomScaleNormal="55" workbookViewId="0">
      <selection activeCell="F63" sqref="F63"/>
    </sheetView>
  </sheetViews>
  <sheetFormatPr defaultRowHeight="12.75" x14ac:dyDescent="0.35"/>
  <cols>
    <col min="2" max="2" width="15.1328125" customWidth="1"/>
    <col min="3" max="3" width="9.86328125" customWidth="1"/>
    <col min="4" max="4" width="11.53125" bestFit="1" customWidth="1"/>
    <col min="5" max="5" width="11.1328125" customWidth="1"/>
    <col min="6" max="6" width="13.46484375" customWidth="1"/>
    <col min="7" max="7" width="11.1328125" customWidth="1"/>
    <col min="8" max="8" width="11.86328125" customWidth="1"/>
    <col min="9" max="9" width="11.1328125" customWidth="1"/>
    <col min="10" max="10" width="13.1328125" customWidth="1"/>
    <col min="11" max="25" width="11.1328125" customWidth="1"/>
    <col min="26" max="26" width="19.53125" bestFit="1" customWidth="1"/>
    <col min="27" max="27" width="19" bestFit="1" customWidth="1"/>
    <col min="28" max="28" width="14.6640625" bestFit="1" customWidth="1"/>
    <col min="29" max="29" width="20" bestFit="1" customWidth="1"/>
    <col min="30" max="30" width="9.6640625" bestFit="1" customWidth="1"/>
    <col min="31" max="31" width="13.46484375" bestFit="1" customWidth="1"/>
    <col min="32" max="37" width="12.46484375" customWidth="1"/>
  </cols>
  <sheetData>
    <row r="1" spans="1:12" ht="13.15" x14ac:dyDescent="0.4">
      <c r="A1" s="1" t="s">
        <v>8</v>
      </c>
      <c r="F1" t="s">
        <v>9</v>
      </c>
      <c r="G1" t="str">
        <f>[1]!unf_version()</f>
        <v>7.38</v>
      </c>
      <c r="H1" t="s">
        <v>40</v>
      </c>
      <c r="I1" s="18">
        <v>44706</v>
      </c>
      <c r="J1" s="15"/>
      <c r="K1" s="15"/>
      <c r="L1" s="15"/>
    </row>
    <row r="2" spans="1:12" x14ac:dyDescent="0.35">
      <c r="A2" t="s">
        <v>56</v>
      </c>
      <c r="H2" t="s">
        <v>41</v>
      </c>
      <c r="I2" s="19">
        <v>7.38</v>
      </c>
      <c r="J2" s="15"/>
      <c r="K2" s="15"/>
      <c r="L2" s="15"/>
    </row>
    <row r="3" spans="1:12" ht="14.25" x14ac:dyDescent="0.45">
      <c r="A3" s="20" t="s">
        <v>42</v>
      </c>
      <c r="B3" s="38" t="s">
        <v>43</v>
      </c>
      <c r="C3" s="39"/>
      <c r="D3" s="39"/>
      <c r="E3" s="40"/>
      <c r="H3" t="s">
        <v>44</v>
      </c>
      <c r="I3" s="15" t="s">
        <v>43</v>
      </c>
      <c r="J3" s="15"/>
      <c r="K3" s="15"/>
      <c r="L3" s="15"/>
    </row>
    <row r="4" spans="1:12" ht="14.25" x14ac:dyDescent="0.45">
      <c r="A4" s="20" t="s">
        <v>45</v>
      </c>
      <c r="B4" s="38" t="s">
        <v>46</v>
      </c>
      <c r="C4" s="39"/>
      <c r="D4" s="39"/>
      <c r="E4" s="40"/>
      <c r="H4" t="s">
        <v>47</v>
      </c>
      <c r="I4" s="15" t="s">
        <v>46</v>
      </c>
      <c r="J4" s="15"/>
      <c r="K4" s="15"/>
      <c r="L4" s="15"/>
    </row>
    <row r="5" spans="1:12" ht="14.25" x14ac:dyDescent="0.45">
      <c r="A5" s="20" t="s">
        <v>48</v>
      </c>
      <c r="B5" s="38" t="s">
        <v>49</v>
      </c>
      <c r="C5" s="39"/>
      <c r="D5" s="39"/>
      <c r="E5" s="40"/>
      <c r="H5" t="s">
        <v>50</v>
      </c>
      <c r="I5" s="15" t="s">
        <v>49</v>
      </c>
      <c r="J5" s="15"/>
      <c r="K5" s="15"/>
      <c r="L5" s="15"/>
    </row>
    <row r="6" spans="1:12" x14ac:dyDescent="0.35">
      <c r="A6" s="21" t="s">
        <v>51</v>
      </c>
      <c r="B6" s="41" t="s">
        <v>52</v>
      </c>
      <c r="C6" s="42"/>
      <c r="D6" s="42"/>
      <c r="E6" s="43"/>
      <c r="H6" s="22" t="s">
        <v>53</v>
      </c>
      <c r="I6" s="23" t="s">
        <v>52</v>
      </c>
      <c r="J6" s="23"/>
      <c r="K6" s="23"/>
      <c r="L6" s="23"/>
    </row>
    <row r="7" spans="1:12" x14ac:dyDescent="0.35">
      <c r="A7" s="24"/>
      <c r="B7" s="44"/>
      <c r="C7" s="45"/>
      <c r="D7" s="45"/>
      <c r="E7" s="46"/>
      <c r="H7" s="22"/>
      <c r="I7" s="23"/>
      <c r="J7" s="23"/>
      <c r="K7" s="23"/>
      <c r="L7" s="23"/>
    </row>
    <row r="8" spans="1:12" x14ac:dyDescent="0.35">
      <c r="A8" s="25"/>
      <c r="B8" s="47"/>
      <c r="C8" s="48"/>
      <c r="D8" s="48"/>
      <c r="E8" s="49"/>
      <c r="H8" s="22"/>
      <c r="I8" s="23"/>
      <c r="J8" s="23"/>
      <c r="K8" s="23"/>
      <c r="L8" s="23"/>
    </row>
    <row r="10" spans="1:12" ht="13.15" x14ac:dyDescent="0.4">
      <c r="A10" s="1" t="s">
        <v>6</v>
      </c>
    </row>
    <row r="11" spans="1:12" ht="18" customHeight="1" x14ac:dyDescent="0.55000000000000004">
      <c r="B11" s="7" t="s">
        <v>10</v>
      </c>
      <c r="C11" s="2">
        <v>0.9</v>
      </c>
      <c r="D11" s="8"/>
      <c r="E11" s="9">
        <f>gamma_oil_*1000</f>
        <v>900</v>
      </c>
      <c r="F11" s="10" t="s">
        <v>11</v>
      </c>
    </row>
    <row r="12" spans="1:12" ht="18" customHeight="1" x14ac:dyDescent="0.55000000000000004">
      <c r="B12" s="10" t="s">
        <v>12</v>
      </c>
      <c r="C12" s="2">
        <v>1</v>
      </c>
      <c r="D12" s="8"/>
      <c r="E12" s="9">
        <f>gamma_wat_*1000</f>
        <v>1000</v>
      </c>
      <c r="F12" s="10" t="s">
        <v>11</v>
      </c>
    </row>
    <row r="13" spans="1:12" ht="18" customHeight="1" x14ac:dyDescent="0.55000000000000004">
      <c r="B13" s="10" t="s">
        <v>13</v>
      </c>
      <c r="C13" s="2">
        <v>0.8</v>
      </c>
      <c r="D13" s="8"/>
      <c r="E13" s="9">
        <f>gamma_gas_*1.22</f>
        <v>0.97599999999999998</v>
      </c>
      <c r="F13" s="10" t="s">
        <v>11</v>
      </c>
    </row>
    <row r="14" spans="1:12" ht="18" customHeight="1" x14ac:dyDescent="0.55000000000000004">
      <c r="B14" s="11" t="s">
        <v>14</v>
      </c>
      <c r="C14" s="2">
        <v>80</v>
      </c>
      <c r="D14" s="10" t="s">
        <v>15</v>
      </c>
      <c r="E14" s="12">
        <f>Rsb_/gamma_oil_</f>
        <v>88.888888888888886</v>
      </c>
      <c r="F14" s="10" t="s">
        <v>16</v>
      </c>
    </row>
    <row r="15" spans="1:12" ht="18" customHeight="1" x14ac:dyDescent="0.35"/>
    <row r="16" spans="1:12" ht="18" customHeight="1" x14ac:dyDescent="0.55000000000000004">
      <c r="B16" s="10" t="s">
        <v>18</v>
      </c>
      <c r="C16" s="2">
        <v>120</v>
      </c>
      <c r="D16" s="8" t="s">
        <v>19</v>
      </c>
      <c r="E16" s="12">
        <f>Pb_*1.01325</f>
        <v>121.59</v>
      </c>
      <c r="F16" s="8" t="s">
        <v>20</v>
      </c>
    </row>
    <row r="17" spans="1:26" ht="18" customHeight="1" x14ac:dyDescent="0.55000000000000004">
      <c r="B17" s="10" t="s">
        <v>21</v>
      </c>
      <c r="C17" s="2">
        <v>100</v>
      </c>
      <c r="D17" s="8" t="s">
        <v>1</v>
      </c>
      <c r="E17" s="12">
        <f>Tres_*9/5+32</f>
        <v>212</v>
      </c>
      <c r="F17" s="8" t="s">
        <v>22</v>
      </c>
    </row>
    <row r="18" spans="1:26" ht="18" customHeight="1" x14ac:dyDescent="0.55000000000000004">
      <c r="B18" s="11" t="s">
        <v>23</v>
      </c>
      <c r="C18" s="2">
        <v>1.2</v>
      </c>
      <c r="D18" s="10" t="s">
        <v>15</v>
      </c>
    </row>
    <row r="19" spans="1:26" ht="18" customHeight="1" x14ac:dyDescent="0.55000000000000004">
      <c r="B19" s="16" t="s">
        <v>38</v>
      </c>
      <c r="C19" s="2">
        <v>1</v>
      </c>
      <c r="D19" s="10" t="s">
        <v>37</v>
      </c>
    </row>
    <row r="20" spans="1:26" ht="18" customHeight="1" x14ac:dyDescent="0.35"/>
    <row r="21" spans="1:26" ht="18" customHeight="1" x14ac:dyDescent="0.35"/>
    <row r="22" spans="1:26" ht="18" customHeight="1" x14ac:dyDescent="0.35">
      <c r="A22" t="s">
        <v>81</v>
      </c>
    </row>
    <row r="23" spans="1:26" ht="18" customHeight="1" x14ac:dyDescent="0.4">
      <c r="B23" s="1" t="s">
        <v>36</v>
      </c>
      <c r="F23" t="s">
        <v>64</v>
      </c>
      <c r="J23" t="s">
        <v>77</v>
      </c>
      <c r="N23" t="s">
        <v>80</v>
      </c>
      <c r="R23" t="s">
        <v>65</v>
      </c>
      <c r="S23" s="3"/>
      <c r="T23" s="4"/>
    </row>
    <row r="24" spans="1:26" ht="18" customHeight="1" x14ac:dyDescent="0.5">
      <c r="B24" s="14" t="s">
        <v>85</v>
      </c>
      <c r="C24" s="2">
        <v>50</v>
      </c>
      <c r="D24" s="14" t="s">
        <v>2</v>
      </c>
      <c r="F24" s="17" t="s">
        <v>66</v>
      </c>
      <c r="G24" s="2">
        <v>0</v>
      </c>
      <c r="H24" s="17"/>
      <c r="J24" s="13" t="s">
        <v>78</v>
      </c>
      <c r="K24" s="2">
        <v>1000</v>
      </c>
      <c r="L24" s="17"/>
      <c r="N24" s="17" t="s">
        <v>59</v>
      </c>
      <c r="O24" s="5">
        <v>0.5</v>
      </c>
      <c r="P24" s="17"/>
      <c r="R24" s="13" t="s">
        <v>26</v>
      </c>
      <c r="S24" s="2">
        <v>30</v>
      </c>
      <c r="T24" s="17" t="s">
        <v>2</v>
      </c>
    </row>
    <row r="25" spans="1:26" ht="18" customHeight="1" x14ac:dyDescent="0.55000000000000004">
      <c r="B25" s="14" t="s">
        <v>66</v>
      </c>
      <c r="C25" s="9" cm="1">
        <f t="array" ref="C25">[1]!ESP_id_by_rate(Q_ESP_)</f>
        <v>1005</v>
      </c>
      <c r="D25" s="14"/>
      <c r="F25" s="17" t="s">
        <v>67</v>
      </c>
      <c r="G25" s="2">
        <v>1000</v>
      </c>
      <c r="H25" s="17" t="s">
        <v>57</v>
      </c>
      <c r="J25" s="13" t="s">
        <v>79</v>
      </c>
      <c r="K25" s="2">
        <v>1.18</v>
      </c>
      <c r="L25" s="17"/>
      <c r="N25" s="14" t="s">
        <v>33</v>
      </c>
      <c r="O25" s="5">
        <v>0.2</v>
      </c>
      <c r="P25" s="14"/>
      <c r="R25" s="13" t="s">
        <v>29</v>
      </c>
      <c r="S25" s="2">
        <v>10</v>
      </c>
      <c r="T25" s="17" t="s">
        <v>28</v>
      </c>
    </row>
    <row r="26" spans="1:26" ht="18" customHeight="1" x14ac:dyDescent="0.55000000000000004">
      <c r="B26" s="14" t="s">
        <v>86</v>
      </c>
      <c r="C26" s="2">
        <v>2000</v>
      </c>
      <c r="D26" s="14" t="s">
        <v>3</v>
      </c>
      <c r="F26" s="17" t="s">
        <v>68</v>
      </c>
      <c r="G26" s="2">
        <v>50</v>
      </c>
      <c r="H26" s="17" t="s">
        <v>4</v>
      </c>
      <c r="N26" s="14" t="s">
        <v>34</v>
      </c>
      <c r="O26" s="6">
        <v>50</v>
      </c>
      <c r="P26" s="14" t="s">
        <v>0</v>
      </c>
      <c r="R26" s="11" t="s">
        <v>17</v>
      </c>
      <c r="S26" s="2">
        <v>80</v>
      </c>
      <c r="T26" s="10" t="s">
        <v>15</v>
      </c>
      <c r="U26" s="12">
        <f>Rsb_/gamma_oil_</f>
        <v>88.888888888888886</v>
      </c>
      <c r="V26" s="10" t="s">
        <v>16</v>
      </c>
    </row>
    <row r="27" spans="1:26" ht="18" customHeight="1" x14ac:dyDescent="0.55000000000000004">
      <c r="B27" s="14" t="s">
        <v>30</v>
      </c>
      <c r="C27" s="2">
        <v>55</v>
      </c>
      <c r="D27" s="14" t="s">
        <v>4</v>
      </c>
      <c r="F27" s="17" t="s">
        <v>69</v>
      </c>
      <c r="G27" s="2">
        <v>20</v>
      </c>
      <c r="H27" s="17" t="s">
        <v>58</v>
      </c>
      <c r="N27" s="14" t="s">
        <v>35</v>
      </c>
      <c r="O27" s="6">
        <v>80</v>
      </c>
      <c r="P27" s="14" t="s">
        <v>1</v>
      </c>
    </row>
    <row r="28" spans="1:26" ht="18" customHeight="1" x14ac:dyDescent="0.55000000000000004">
      <c r="B28" s="13" t="s">
        <v>84</v>
      </c>
      <c r="C28" s="2">
        <v>120</v>
      </c>
      <c r="D28" s="17"/>
      <c r="F28" s="17" t="s">
        <v>70</v>
      </c>
      <c r="G28" s="2">
        <v>0.05</v>
      </c>
      <c r="H28" s="17"/>
      <c r="N28" s="17" t="s">
        <v>95</v>
      </c>
      <c r="O28" s="6">
        <v>0</v>
      </c>
      <c r="P28" s="17" t="s">
        <v>96</v>
      </c>
      <c r="R28" s="13" t="s">
        <v>93</v>
      </c>
      <c r="S28" s="2">
        <v>50</v>
      </c>
      <c r="T28" s="17" t="s">
        <v>4</v>
      </c>
    </row>
    <row r="29" spans="1:26" ht="18" customHeight="1" x14ac:dyDescent="0.55000000000000004">
      <c r="B29" s="13" t="s">
        <v>55</v>
      </c>
      <c r="C29" s="2">
        <v>10</v>
      </c>
      <c r="D29" s="17"/>
      <c r="F29" s="17" t="s">
        <v>71</v>
      </c>
      <c r="G29" s="2">
        <v>0.85</v>
      </c>
      <c r="H29" s="17"/>
      <c r="R29" s="13" t="s">
        <v>92</v>
      </c>
      <c r="S29" s="2">
        <v>1000</v>
      </c>
      <c r="T29" s="17" t="s">
        <v>57</v>
      </c>
      <c r="Z29">
        <v>10</v>
      </c>
    </row>
    <row r="30" spans="1:26" ht="18" customHeight="1" x14ac:dyDescent="0.55000000000000004">
      <c r="B30" s="1" t="s">
        <v>60</v>
      </c>
      <c r="F30" s="17" t="s">
        <v>72</v>
      </c>
      <c r="G30" s="2">
        <v>0.9</v>
      </c>
      <c r="H30" s="17"/>
      <c r="R30" s="13" t="s">
        <v>91</v>
      </c>
      <c r="S30" s="2">
        <v>30</v>
      </c>
      <c r="T30" s="17" t="s">
        <v>58</v>
      </c>
      <c r="Z30">
        <v>3</v>
      </c>
    </row>
    <row r="31" spans="1:26" ht="18" customHeight="1" x14ac:dyDescent="0.5">
      <c r="B31" s="13" t="s">
        <v>88</v>
      </c>
      <c r="C31" s="2">
        <v>1</v>
      </c>
      <c r="D31" s="17"/>
      <c r="F31" s="17" t="s">
        <v>73</v>
      </c>
      <c r="G31" s="2"/>
      <c r="H31" s="17"/>
      <c r="Z31">
        <v>30</v>
      </c>
    </row>
    <row r="32" spans="1:26" ht="18" customHeight="1" x14ac:dyDescent="0.5">
      <c r="B32" s="13" t="s">
        <v>89</v>
      </c>
      <c r="C32" s="2">
        <v>1</v>
      </c>
      <c r="D32" s="17"/>
      <c r="F32" s="17" t="s">
        <v>74</v>
      </c>
      <c r="G32" s="2"/>
      <c r="H32" s="17"/>
      <c r="R32" s="1" t="s">
        <v>36</v>
      </c>
      <c r="S32" s="3"/>
      <c r="T32" s="4"/>
      <c r="Z32">
        <f>Z31*Z30*Z29</f>
        <v>900</v>
      </c>
    </row>
    <row r="33" spans="1:29" ht="18" customHeight="1" x14ac:dyDescent="0.5">
      <c r="B33" s="13" t="s">
        <v>90</v>
      </c>
      <c r="C33" s="2">
        <v>1</v>
      </c>
      <c r="D33" s="17"/>
      <c r="F33" s="17" t="s">
        <v>75</v>
      </c>
      <c r="G33" s="2"/>
      <c r="H33" s="17"/>
      <c r="R33" s="13" t="s">
        <v>24</v>
      </c>
      <c r="S33" s="2">
        <v>50</v>
      </c>
      <c r="T33" s="14" t="s">
        <v>0</v>
      </c>
    </row>
    <row r="34" spans="1:29" ht="18" customHeight="1" x14ac:dyDescent="0.5">
      <c r="F34" s="17" t="s">
        <v>76</v>
      </c>
      <c r="G34" s="2"/>
      <c r="H34" s="17"/>
      <c r="R34" s="13" t="s">
        <v>25</v>
      </c>
      <c r="S34" s="2">
        <v>80</v>
      </c>
      <c r="T34" s="14" t="s">
        <v>1</v>
      </c>
    </row>
    <row r="35" spans="1:29" ht="18" customHeight="1" x14ac:dyDescent="0.5">
      <c r="B35" s="14" t="s">
        <v>31</v>
      </c>
      <c r="C35" s="9" t="str" cm="1">
        <f t="array" ref="C35">[1]!ESP_name(PumpID_)</f>
        <v>ЭЦН5-50</v>
      </c>
      <c r="D35" s="14"/>
      <c r="F35" s="17" t="s">
        <v>82</v>
      </c>
      <c r="G35" s="2">
        <v>117</v>
      </c>
      <c r="H35" s="17" t="s">
        <v>83</v>
      </c>
      <c r="R35" s="13" t="s">
        <v>27</v>
      </c>
      <c r="S35" s="2">
        <v>150</v>
      </c>
      <c r="T35" s="14" t="s">
        <v>0</v>
      </c>
    </row>
    <row r="36" spans="1:29" ht="18" customHeight="1" x14ac:dyDescent="0.5">
      <c r="B36" s="14" t="s">
        <v>32</v>
      </c>
      <c r="C36" s="9" cm="1">
        <f t="array" ref="C36">[1]!ESP_rate_max_sm3day(Freq_,PumpID_)</f>
        <v>104.5</v>
      </c>
      <c r="D36" s="14"/>
      <c r="R36" s="13" t="s">
        <v>39</v>
      </c>
      <c r="S36" s="2">
        <v>90</v>
      </c>
      <c r="T36" s="17" t="s">
        <v>1</v>
      </c>
    </row>
    <row r="37" spans="1:29" ht="18" customHeight="1" x14ac:dyDescent="0.4">
      <c r="A37" s="1"/>
      <c r="B37" s="14" t="s">
        <v>7</v>
      </c>
      <c r="C37" s="32" cm="1">
        <f t="array" ref="C37">INT(Head_ESP_/[1]!ESP_head_m(Q_ESP_,1,,PumpID_))</f>
        <v>392</v>
      </c>
      <c r="D37" s="14" t="s">
        <v>5</v>
      </c>
    </row>
    <row r="38" spans="1:29" ht="18" customHeight="1" x14ac:dyDescent="0.35">
      <c r="K38" s="27">
        <f>K47</f>
        <v>0</v>
      </c>
    </row>
    <row r="39" spans="1:29" ht="18" customHeight="1" x14ac:dyDescent="0.35"/>
    <row r="40" spans="1:29" ht="18" customHeight="1" x14ac:dyDescent="0.35">
      <c r="B40" s="33" t="s">
        <v>87</v>
      </c>
      <c r="C40" s="34" t="str" cm="1">
        <f t="array" ref="C40">[1]!encode_PVT(gamma_gas_,gamma_oil_,,Rsb_,Pb_,Tres_,Bob_,muob_)</f>
        <v>{"gamma_gas":0.8,"gamma_oil":0.9,"gamma_wat":1,"rsb_m3m3":80,"pb_atma":120,"t_res_C":100,"bob_m3m3":1.2,"muob_cP":1,"PVT_corr_set":0}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</row>
    <row r="41" spans="1:29" ht="18" customHeight="1" x14ac:dyDescent="0.35">
      <c r="B41" s="33" t="s">
        <v>97</v>
      </c>
      <c r="C41" s="34" t="str" cm="1">
        <f t="array" ref="C41">[1]!encode_feed(Q_,fw_,Rp_,,PVT_json)</f>
        <v>{"gamma_gas":0.8,"gamma_oil":0.9,"gamma_wat":1,"rsb_m3m3":80,"pb_atma":120,"t_res_C":100,"bob_m3m3":1.2,"muob_cP":1,"PVT_corr_set":0,"q_liq_sm3day":30,"fw_perc":10,"rp_m3m3":80}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</row>
    <row r="42" spans="1:29" ht="18" customHeight="1" x14ac:dyDescent="0.35">
      <c r="B42" s="33" t="s">
        <v>61</v>
      </c>
      <c r="C42" s="34" t="str" cm="1">
        <f t="array" ref="C42">[1]!encode_ESP_pump(PumpID_,Head_ESP_,,Freq_)</f>
        <v>{"ESP_ID":1005,"head_nom_m":2000,"freq_Hz":55,"gas_correct_model":0,"gas_correct_stage_by_stage":0,"calibr_head":1,"calibr_power":1,"calibr_rate":1,"dnum_stages_integrate":1}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</row>
    <row r="43" spans="1:29" ht="18" customHeight="1" x14ac:dyDescent="0.35">
      <c r="B43" s="33" t="s">
        <v>62</v>
      </c>
      <c r="C43" s="34" t="str" cm="1">
        <f t="array" ref="C43">[1]!encode_ESP_motor()</f>
        <v>{"motor_ID":0,"U_surf_high_lin_V":1000,"f_surf_Hz":50,"power_fact_kW":30,"U_nom_lin_V":1000,"P_nom_kW":30,"F_nom_Hz":50,"eff_nom_fr":0.82,"cosphi_nom_fr":0.88,"slip_nom_fr":0.053}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AC43" t="e" cm="1">
        <f t="array" aca="1" ref="AC43" ca="1">[1]!decode_json_string(K38)</f>
        <v>#NAME?</v>
      </c>
    </row>
    <row r="44" spans="1:29" ht="18" customHeight="1" x14ac:dyDescent="0.35">
      <c r="B44" s="33" t="s">
        <v>63</v>
      </c>
      <c r="C44" s="34" t="str" cm="1">
        <f t="array" ref="C44">[1]!encode_ESP_cable()</f>
        <v>{"cable_R_Omkm":1.18,"cable_X_Omkm":0.01,"cable_t_max_C":120,"manufacturer":"default","name":"default_name","d_mm":16,"length_m":1000}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</row>
    <row r="45" spans="1:29" ht="18" customHeight="1" x14ac:dyDescent="0.35">
      <c r="B45" s="35" t="s">
        <v>94</v>
      </c>
      <c r="C45" s="34" t="str" cm="1">
        <f t="array" ref="C45">[1]!encode_ESP_separation(0)</f>
        <v>{"separation_mode":"byCorrealation","gassep_type":0,"natsep_type":0}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</row>
    <row r="46" spans="1:29" ht="24.75" customHeight="1" x14ac:dyDescent="0.35">
      <c r="B46" t="s">
        <v>54</v>
      </c>
    </row>
    <row r="47" spans="1:29" x14ac:dyDescent="0.35">
      <c r="B47" s="36" t="str" cm="1">
        <f t="array" ref="B47">[1]!ESP_system_calc(Pintake_,U,Fsurf,Energy_fact,Tintake_,Tdis_,feed,pump_json,motor_json,cable_json,gassep,1)</f>
        <v>{"p_int_atma":50,"t_int_C":80,"p_dis_atma":222.046443480859,"t_dis_C":89.9999999999977,"head_m":2046.71663032117,"m_Nm":53.2114661461236,"gas_frac_intake":5.66052146704509E-02,"eff_ESP_d":0.414007512297769,"power_fluid_W":6554.10354939759,"power_ESP_W":15830.8807321439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172.046443480859,"M_Nm":54.2114661461236,"geometry":{"length_motor_m":10,"length_pump_m":19.6,"angle":90,"d_od_m":0.092,"d_cas_mm":150,"d_cas_min_m":0.1217,"d_motor_cas_min_mm":123,"d_motor_od_m":117},"dict_power":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,"dict_separ":{"ksep_nat_fr":0.617758412710653,"ksep_gassep_fr":0.831329969285638,"ksep_total_fr":0.935527299731599,"p_ksep_atma":50,"t_ksep_C":80,"isGasSep":true,"ksep_liquid_man_d":0,"d_od_m":0.125,"d_cas_m":0.135,"angle_deg":90,"gassep_type":0,"natsep_type":0,"M_Nm":1,"freq_Hz":47.35}}</v>
      </c>
    </row>
    <row r="48" spans="1:29" s="3" customFormat="1" x14ac:dyDescent="0.35">
      <c r="B48"/>
    </row>
    <row r="49" spans="2:17" s="3" customFormat="1" x14ac:dyDescent="0.35">
      <c r="B49"/>
    </row>
    <row r="50" spans="2:17" s="3" customFormat="1" x14ac:dyDescent="0.35">
      <c r="B50" t="str" cm="1">
        <f t="array" ref="B50:C80">[1]!decode_json(B47)</f>
        <v>p_int_atma</v>
      </c>
      <c r="C50" s="3" t="str">
        <v>50</v>
      </c>
      <c r="F50" s="3" t="str" cm="1">
        <f t="array" ref="F50:G57">[1]!decode_json(C78)</f>
        <v>length_motor_m</v>
      </c>
      <c r="G50" s="3">
        <v>10</v>
      </c>
      <c r="I50" s="3" t="str" cm="1">
        <f t="array" ref="I50:J72">[1]!decode_json(C79)</f>
        <v>Pow_freq_Hz</v>
      </c>
      <c r="J50" s="3">
        <v>50</v>
      </c>
      <c r="L50" s="3" t="str" cm="1">
        <f t="array" ref="L50:M63">[1]!decode_json(C80)</f>
        <v>ksep_nat_fr</v>
      </c>
      <c r="M50" s="3">
        <v>0.61775841271065302</v>
      </c>
      <c r="Q50" s="37"/>
    </row>
    <row r="51" spans="2:17" s="3" customFormat="1" x14ac:dyDescent="0.35">
      <c r="B51" t="str">
        <v>t_int_C</v>
      </c>
      <c r="C51" s="3" t="str">
        <v>80</v>
      </c>
      <c r="F51" s="3" t="str">
        <v>length_pump_m</v>
      </c>
      <c r="G51" s="3">
        <v>19.600000000000001</v>
      </c>
      <c r="I51" s="3" t="str">
        <v>ESP_freq_Hz</v>
      </c>
      <c r="J51" s="3">
        <v>47.35</v>
      </c>
      <c r="L51" s="3" t="str">
        <v>ksep_gassep_fr</v>
      </c>
      <c r="M51" s="3">
        <v>0.83132996928563796</v>
      </c>
    </row>
    <row r="52" spans="2:17" s="3" customFormat="1" x14ac:dyDescent="0.35">
      <c r="B52" t="str">
        <v>p_dis_atma</v>
      </c>
      <c r="C52" s="3" t="str">
        <v>222.046443480859</v>
      </c>
      <c r="F52" s="3" t="str">
        <v>angle</v>
      </c>
      <c r="G52" s="3">
        <v>90</v>
      </c>
      <c r="I52" s="3" t="str">
        <v>I_A</v>
      </c>
      <c r="J52" s="3">
        <v>12.9042822228453</v>
      </c>
      <c r="L52" s="3" t="str">
        <v>ksep_total_fr</v>
      </c>
      <c r="M52" s="3">
        <v>0.93552729973159898</v>
      </c>
    </row>
    <row r="53" spans="2:17" s="3" customFormat="1" x14ac:dyDescent="0.35">
      <c r="B53" t="str">
        <v>t_dis_C</v>
      </c>
      <c r="C53" s="3" t="str">
        <v>89.9999999999977</v>
      </c>
      <c r="F53" s="3" t="str">
        <v>d_od_m</v>
      </c>
      <c r="G53" s="3">
        <v>9.1999999999999998E-2</v>
      </c>
      <c r="I53" s="3" t="str">
        <v>load_%</v>
      </c>
      <c r="J53" s="3">
        <v>53.761298521462898</v>
      </c>
      <c r="L53" s="3" t="str">
        <v>p_ksep_atma</v>
      </c>
      <c r="M53" s="3">
        <v>50</v>
      </c>
    </row>
    <row r="54" spans="2:17" s="3" customFormat="1" x14ac:dyDescent="0.35">
      <c r="B54" t="str">
        <v>head_m</v>
      </c>
      <c r="C54" s="3" t="str">
        <v>2046.71663032117</v>
      </c>
      <c r="F54" s="3" t="str">
        <v>d_cas_mm</v>
      </c>
      <c r="G54" s="3">
        <v>150</v>
      </c>
      <c r="I54" s="3" t="str">
        <v>power_CS_kW</v>
      </c>
      <c r="J54" s="3">
        <v>21.491977765173498</v>
      </c>
      <c r="L54" s="3" t="str">
        <v>t_ksep_C</v>
      </c>
      <c r="M54" s="3">
        <v>80</v>
      </c>
    </row>
    <row r="55" spans="2:17" s="3" customFormat="1" x14ac:dyDescent="0.35">
      <c r="B55" t="str">
        <v>m_Nm</v>
      </c>
      <c r="C55" s="3" t="str">
        <v>53.2114661461236</v>
      </c>
      <c r="F55" s="3" t="str">
        <v>d_cas_min_m</v>
      </c>
      <c r="G55" s="3">
        <v>0.1217</v>
      </c>
      <c r="I55" s="3" t="str">
        <v>power_motor_kW</v>
      </c>
      <c r="J55" s="3">
        <v>19.6687677517547</v>
      </c>
      <c r="L55" s="3" t="str">
        <v>isGasSep</v>
      </c>
      <c r="M55" s="3" t="b">
        <v>1</v>
      </c>
    </row>
    <row r="56" spans="2:17" s="3" customFormat="1" x14ac:dyDescent="0.35">
      <c r="B56" t="str">
        <v>gas_frac_intake</v>
      </c>
      <c r="C56" s="3" t="str">
        <v>5.66052146704509E-02</v>
      </c>
      <c r="F56" s="3" t="str">
        <v>d_motor_cas_min_mm</v>
      </c>
      <c r="G56" s="3">
        <v>123</v>
      </c>
      <c r="I56" s="3" t="str">
        <v>power_shaft_kW</v>
      </c>
      <c r="J56" s="3">
        <v>16.128389556438901</v>
      </c>
      <c r="L56" s="3" t="str">
        <v>ksep_liquid_man_d</v>
      </c>
      <c r="M56" s="3">
        <v>0</v>
      </c>
    </row>
    <row r="57" spans="2:17" s="3" customFormat="1" x14ac:dyDescent="0.35">
      <c r="B57" t="str">
        <v>eff_ESP_d</v>
      </c>
      <c r="C57" s="3" t="str">
        <v>0.414007512297769</v>
      </c>
      <c r="F57" s="3" t="str">
        <v>d_motor_od_m</v>
      </c>
      <c r="G57" s="3">
        <v>117</v>
      </c>
      <c r="I57" s="3" t="str">
        <v>power_ESP_kW</v>
      </c>
      <c r="J57" s="3">
        <v>15.8308807321439</v>
      </c>
      <c r="L57" s="3" t="str">
        <v>d_od_m</v>
      </c>
      <c r="M57" s="3">
        <v>0.125</v>
      </c>
    </row>
    <row r="58" spans="2:17" s="3" customFormat="1" x14ac:dyDescent="0.35">
      <c r="B58" t="str">
        <v>power_fluid_W</v>
      </c>
      <c r="C58" s="3" t="str">
        <v>6554.10354939759</v>
      </c>
      <c r="I58" s="3" t="str">
        <v>power_fluid_kW</v>
      </c>
      <c r="J58" s="3">
        <v>6.5541035493975901</v>
      </c>
      <c r="L58" s="3" t="str">
        <v>d_cas_m</v>
      </c>
      <c r="M58" s="3">
        <v>0.13500000000000001</v>
      </c>
    </row>
    <row r="59" spans="2:17" s="3" customFormat="1" x14ac:dyDescent="0.35">
      <c r="B59" t="str">
        <v>power_ESP_W</v>
      </c>
      <c r="C59" s="3" t="str">
        <v>15830.8807321439</v>
      </c>
      <c r="I59" s="3" t="str">
        <v>U_motor_V</v>
      </c>
      <c r="J59" s="3">
        <v>1000</v>
      </c>
      <c r="L59" s="3" t="str">
        <v>angle_deg</v>
      </c>
      <c r="M59" s="3">
        <v>90</v>
      </c>
    </row>
    <row r="60" spans="2:17" s="3" customFormat="1" x14ac:dyDescent="0.35">
      <c r="B60" t="str">
        <v>length_pump_m</v>
      </c>
      <c r="C60" s="3" t="str">
        <v>19.6</v>
      </c>
      <c r="I60" s="3" t="str">
        <v>eff_total_d</v>
      </c>
      <c r="J60" s="3">
        <v>0.30495581286232898</v>
      </c>
      <c r="L60" s="3" t="str">
        <v>gassep_type</v>
      </c>
      <c r="M60" s="3">
        <v>0</v>
      </c>
    </row>
    <row r="61" spans="2:17" s="3" customFormat="1" x14ac:dyDescent="0.35">
      <c r="B61" t="str">
        <v>angle</v>
      </c>
      <c r="C61" s="3" t="str">
        <v>0</v>
      </c>
      <c r="I61" s="3" t="str">
        <v>eff_ESP_d</v>
      </c>
      <c r="J61" s="3">
        <v>0.414007512297769</v>
      </c>
      <c r="L61" s="3" t="str">
        <v>natsep_type</v>
      </c>
      <c r="M61" s="3">
        <v>0</v>
      </c>
    </row>
    <row r="62" spans="2:17" s="3" customFormat="1" x14ac:dyDescent="0.35">
      <c r="B62" t="str">
        <v>d_od_m</v>
      </c>
      <c r="C62" s="3" t="str">
        <v>0.092</v>
      </c>
      <c r="I62" s="3" t="str">
        <v>eff_fact_d</v>
      </c>
      <c r="J62" s="3">
        <v>0</v>
      </c>
      <c r="L62" s="3" t="str">
        <v>M_Nm</v>
      </c>
      <c r="M62" s="3">
        <v>1</v>
      </c>
    </row>
    <row r="63" spans="2:17" s="3" customFormat="1" x14ac:dyDescent="0.35">
      <c r="B63" t="str">
        <v>d_cas_min_m</v>
      </c>
      <c r="C63" s="3" t="str">
        <v>0.1217</v>
      </c>
      <c r="I63" s="3" t="str">
        <v>dp_unknown_kW</v>
      </c>
      <c r="J63" s="3">
        <v>0</v>
      </c>
      <c r="L63" s="3" t="str">
        <v>freq_Hz</v>
      </c>
      <c r="M63" s="3">
        <v>47.35</v>
      </c>
    </row>
    <row r="64" spans="2:17" s="3" customFormat="1" x14ac:dyDescent="0.35">
      <c r="B64" t="str">
        <v>d_motor_od_m</v>
      </c>
      <c r="C64" s="3" t="str">
        <v>0.117</v>
      </c>
      <c r="I64" s="3" t="str">
        <v>Pmotor_nom_kW</v>
      </c>
      <c r="J64" s="3">
        <v>16.128389556438901</v>
      </c>
    </row>
    <row r="65" spans="2:25" s="3" customFormat="1" x14ac:dyDescent="0.35">
      <c r="B65" t="str">
        <v>calc_from_dis</v>
      </c>
      <c r="C65" s="3" t="str">
        <v>False</v>
      </c>
      <c r="I65" s="3" t="str">
        <v>power_CS_fact_kW</v>
      </c>
      <c r="J65" s="3">
        <v>0</v>
      </c>
    </row>
    <row r="66" spans="2:25" s="3" customFormat="1" x14ac:dyDescent="0.35">
      <c r="B66" t="str">
        <v>stage_num</v>
      </c>
      <c r="C66" s="3" t="str">
        <v>392</v>
      </c>
      <c r="I66" s="3" t="str">
        <v>motor_eff_fr</v>
      </c>
      <c r="J66" s="3">
        <v>0.82</v>
      </c>
    </row>
    <row r="67" spans="2:25" s="3" customFormat="1" x14ac:dyDescent="0.35">
      <c r="B67" t="str">
        <v>freq_Hz</v>
      </c>
      <c r="C67" s="3" t="str">
        <v>47.35</v>
      </c>
      <c r="I67" s="3" t="str">
        <v>cable_R_Omkm</v>
      </c>
      <c r="J67" s="3">
        <v>1.18</v>
      </c>
    </row>
    <row r="68" spans="2:25" s="3" customFormat="1" x14ac:dyDescent="0.35">
      <c r="B68" t="str">
        <v>w_obmin</v>
      </c>
      <c r="C68" s="3" t="str">
        <v>2841</v>
      </c>
      <c r="I68" s="3" t="str">
        <v>dPower_protector_kW</v>
      </c>
      <c r="J68" s="3">
        <v>0.4</v>
      </c>
    </row>
    <row r="69" spans="2:25" s="3" customFormat="1" x14ac:dyDescent="0.35">
      <c r="B69" t="str">
        <v>rate_nom_sm3day</v>
      </c>
      <c r="C69" s="3" t="str">
        <v>47.35</v>
      </c>
      <c r="I69" s="3" t="str">
        <v>dPower_GasSep_kW</v>
      </c>
      <c r="J69" s="3">
        <v>0.29750882429495301</v>
      </c>
    </row>
    <row r="70" spans="2:25" s="3" customFormat="1" x14ac:dyDescent="0.35">
      <c r="B70" t="str">
        <v>rate_max_sm3day</v>
      </c>
      <c r="C70" s="3" t="str">
        <v>89.965</v>
      </c>
      <c r="I70" s="3" t="str">
        <v>dPower_CS_kW</v>
      </c>
      <c r="J70" s="3">
        <v>0.625979934907967</v>
      </c>
    </row>
    <row r="71" spans="2:25" s="3" customFormat="1" x14ac:dyDescent="0.35">
      <c r="B71" t="str">
        <v>calibr_head</v>
      </c>
      <c r="C71" s="3" t="str">
        <v>1</v>
      </c>
      <c r="I71" s="3" t="str">
        <v>dPower_transform_kW</v>
      </c>
      <c r="J71" s="3">
        <v>0.60774750961938495</v>
      </c>
    </row>
    <row r="72" spans="2:25" s="3" customFormat="1" x14ac:dyDescent="0.35">
      <c r="B72" t="str">
        <v>calibr_rate</v>
      </c>
      <c r="C72" s="3" t="str">
        <v>1</v>
      </c>
      <c r="I72" s="3" t="str">
        <v>cos_phi</v>
      </c>
      <c r="J72" s="3">
        <v>0.88</v>
      </c>
    </row>
    <row r="73" spans="2:25" s="3" customFormat="1" x14ac:dyDescent="0.35">
      <c r="B73" t="str">
        <v>calibr_power</v>
      </c>
      <c r="C73" s="3" t="str">
        <v>1</v>
      </c>
    </row>
    <row r="74" spans="2:25" s="3" customFormat="1" x14ac:dyDescent="0.35">
      <c r="B74" t="str">
        <v>gas_correct_model</v>
      </c>
      <c r="C74" s="3" t="str">
        <v>0</v>
      </c>
    </row>
    <row r="75" spans="2:25" s="3" customFormat="1" x14ac:dyDescent="0.35">
      <c r="B75" t="str">
        <v>gas_corr_</v>
      </c>
      <c r="C75" s="3" t="str">
        <v>1</v>
      </c>
    </row>
    <row r="76" spans="2:25" s="3" customFormat="1" x14ac:dyDescent="0.35">
      <c r="B76" t="str">
        <v>dP_atm</v>
      </c>
      <c r="C76" s="3" t="str">
        <v>172.046443480859</v>
      </c>
    </row>
    <row r="77" spans="2:25" s="3" customFormat="1" x14ac:dyDescent="0.35">
      <c r="B77" t="str">
        <v>M_Nm</v>
      </c>
      <c r="C77" s="3" t="str">
        <v>54.2114661461236</v>
      </c>
    </row>
    <row r="78" spans="2:25" s="3" customFormat="1" ht="204" x14ac:dyDescent="0.35">
      <c r="B78" t="str">
        <v>geometry</v>
      </c>
      <c r="C78" s="3" t="str">
        <v>{"length_motor_m":10,"length_pump_m":19.6,"angle":90,"d_od_m":0.092,"d_cas_mm":150,"d_cas_min_m":0.1217,"d_motor_cas_min_mm":123,"d_motor_od_m":117}</v>
      </c>
    </row>
    <row r="79" spans="2:25" s="3" customFormat="1" x14ac:dyDescent="0.35">
      <c r="B79" t="str">
        <v>dict_power</v>
      </c>
      <c r="C79" t="str">
        <v>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2:25" s="3" customFormat="1" x14ac:dyDescent="0.35">
      <c r="B80" t="str">
        <v>dict_separ</v>
      </c>
      <c r="C80" t="str">
        <v>{"ksep_nat_fr":0.617758412710653,"ksep_gassep_fr":0.831329969285638,"ksep_total_fr":0.935527299731599,"p_ksep_atma":50,"t_ksep_C":80,"isGasSep":true,"ksep_liquid_man_d":0,"d_od_m":0.125,"d_cas_m":0.135,"angle_deg":90,"gassep_type":0,"natsep_type":0,"M_Nm":1,"freq_Hz":47.35}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2:25" s="3" customFormat="1" x14ac:dyDescent="0.3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2:25" s="3" customFormat="1" x14ac:dyDescent="0.3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6" spans="2:25" x14ac:dyDescent="0.35">
      <c r="B86" t="str" cm="1">
        <f t="array" ref="B86">[1]!encode_arange(45,65,5)</f>
        <v>[45,50,55,60,65]</v>
      </c>
    </row>
    <row r="88" spans="2:25" x14ac:dyDescent="0.35">
      <c r="B88" t="str" cm="1">
        <f t="array" ref="B88">[1]!ESP_system_calc(B86,U,Fsurf,Energy_fact,Tintake_,Tdis_,feed,pump_json,motor_json,cable_json,gassep,1)</f>
        <v>[{"p_int_atma":45,"t_int_C":80,"p_dis_atma":217.439069611803,"t_dis_C":89.9999999999977,"head_m":2048.46770484639,"m_Nm":53.2348753085869,"gas_frac_intake":6.71114926865531E-02,"eff_ESP_d":0.412833462235064,"power_fluid_W":6538.39245362244,"power_ESP_W":15837.8451645461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172.439069611803,"M_Nm":54.2348753085869,"geometry":{"length_motor_m":10,"length_pump_m":19.6,"angle":90,"d_od_m":0.092,"d_cas_mm":150,"d_cas_min_m":0.1217,"d_motor_cas_min_mm":123,"d_motor_od_m":117},"dict_power":{"Pow_freq_Hz":50,"ESP_freq_Hz":47.35,"I_A":12.9098544469613,"load_%":53.7845132961369,"power_CS_kW":21.5015284235072,"power_motor_kW":19.6772609620013,"power_shaft_kW":16.1353539888411,"power_ESP_kW":15.8378451645461,"power_fluid_kW":6.53839245362244,"U_motor_V":1000,"eff_total_d":0.30408965934134,"eff_ESP_d":0.412833462235064,"eff_fact_d":0,"dp_unknown_kW":0,"Pmotor_nom_kW":16.1353539888411,"power_CS_fact_kW":0,"motor_eff_fr":0.82,"cable_R_Omkm":1.18,"dPower_protector_kW":0.4,"dPower_GasSep_kW":0.297508824294953,"dPower_CS_kW":0.62625810942254,"dPower_transform_kW":0.608017581963631,"cos_phi":0.88},"dict_separ":{"ksep_nat_fr":0.62238462280441,"ksep_gassep_fr":0.829742786564695,"ksep_total_fr":0.935708258128357,"p_ksep_atma":45,"t_ksep_C":80,"isGasSep":true,"ksep_liquid_man_d":0,"d_od_m":0.125,"d_cas_m":0.135,"angle_deg":90,"gassep_type":0,"natsep_type":0,"M_Nm":1,"freq_Hz":47.35}},{"p_int_atma":50,"t_int_C":80,"p_dis_atma":222.046443480859,"t_dis_C":89.9999999999977,"head_m":2046.71663032117,"m_Nm":53.2114661461236,"gas_frac_intake":5.66052146704509E-02,"eff_ESP_d":0.414007512297769,"power_fluid_W":6554.10354939759,"power_ESP_W":15830.8807321439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172.046443480859,"M_Nm":54.2114661461236,"geometry":{"length_motor_m":10,"length_pump_m":19.6,"angle":90,"d_od_m":0.092,"d_cas_mm":150,"d_cas_min_m":0.1217,"d_motor_cas_min_mm":123,"d_motor_od_m":117},"dict_power":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,"dict_separ":{"ksep_nat_fr":0.617758412710653,"ksep_gassep_fr":0.831329969285638,"ksep_total_fr":0.935527299731599,"p_ksep_atma":50,"t_ksep_C":80,"isGasSep":true,"ksep_liquid_man_d":0,"d_od_m":0.125,"d_cas_m":0.135,"angle_deg":90,"gassep_type":0,"natsep_type":0,"M_Nm":1,"freq_Hz":47.35}},{"p_int_atma":55,"t_int_C":80,"p_dis_atma":226.628770284505,"t_dis_C":89.9999999999977,"head_m":2044.88148199084,"m_Nm":53.1840152149956,"gas_frac_intake":4.78167774672431E-02,"eff_ESP_d":0.415225104364901,"power_fluid_W":6569.98800467727,"power_ESP_W":15822.7138378982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171.628770284505,"M_Nm":54.1840152149956,"geometry":{"length_motor_m":10,"length_pump_m":19.6,"angle":90,"d_od_m":0.092,"d_cas_mm":150,"d_cas_min_m":0.1217,"d_motor_cas_min_mm":123,"d_motor_od_m":117},"dict_power":{"Pow_freq_Hz":50,"ESP_freq_Hz":47.35,"I_A":12.897747912159,"load_%":53.734075540644,"power_CS_kW":21.4807784106567,"power_motor_kW":19.6588081246258,"power_shaft_kW":16.1202226621932,"power_ESP_kW":15.8227138378982,"power_fluid_kW":6.56998800467727,"U_motor_V":1000,"eff_total_d":0.305854279536624,"eff_ESP_d":0.415225104364901,"eff_fact_d":0,"dp_unknown_kW":0,"Pmotor_nom_kW":16.1202226621932,"power_CS_fact_kW":0,"motor_eff_fr":0.82,"cable_R_Omkm":1.18,"dPower_protector_kW":0.4,"dPower_GasSep_kW":0.297508824294953,"dPower_CS_kW":0.625653740116215,"dPower_transform_kW":0.607430815646811,"cos_phi":0.88},"dict_separ":{"ksep_nat_fr":0.613085437812253,"ksep_gassep_fr":0.832609890788536,"ksep_total_fr":0.935234329179887,"p_ksep_atma":55,"t_ksep_C":80,"isGasSep":true,"ksep_liquid_man_d":0,"d_od_m":0.125,"d_cas_m":0.135,"angle_deg":90,"gassep_type":0,"natsep_type":0,"M_Nm":1,"freq_Hz":47.35}},{"p_int_atma":60,"t_int_C":80,"p_dis_atma":231.188309153549,"t_dis_C":89.9999999999977,"head_m":2042.96777286881,"m_Nm":53.1528388186167,"gas_frac_intake":4.07320562247963E-02,"eff_ESP_d":0.416482363767701,"power_fluid_W":6586.01828112027,"power_ESP_W":15813.4385848658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171.188309153549,"M_Nm":54.1528388186167,"geometry":{"length_motor_m":10,"length_pump_m":19.6,"angle":90,"d_od_m":0.092,"d_cas_mm":150,"d_cas_min_m":0.1217,"d_motor_cas_min_mm":123,"d_motor_od_m":117},"dict_power":{"Pow_freq_Hz":50,"ESP_freq_Hz":47.35,"I_A":12.8903268065117,"load_%":53.7031580305358,"power_CS_kW":21.4680595401364,"power_motor_kW":19.6474968404399,"power_shaft_kW":16.1109474091607,"power_ESP_kW":15.8134385848658,"power_fluid_kW":6.58601828112027,"U_motor_V":1000,"eff_total_d":0.306782188152923,"eff_ESP_d":0.416482363767701,"eff_fact_d":0,"dp_unknown_kW":0,"Pmotor_nom_kW":16.1109474091607,"power_CS_fact_kW":0,"motor_eff_fr":0.82,"cable_R_Omkm":1.18,"dPower_protector_kW":0.4,"dPower_GasSep_kW":0.297508824294953,"dPower_CS_kW":0.625283287576789,"dPower_transform_kW":0.607071152987174,"cos_phi":0.88},"dict_separ":{"ksep_nat_fr":0.608368326592486,"ksep_gassep_fr":0.833602800913252,"ksep_total_fr":0.934833586471334,"p_ksep_atma":60,"t_ksep_C":80,"isGasSep":true,"ksep_liquid_man_d":0,"d_od_m":0.125,"d_cas_m":0.135,"angle_deg":90,"gassep_type":0,"natsep_type":0,"M_Nm":1,"freq_Hz":47.35}},{"p_int_atma":65,"t_int_C":80,"p_dis_atma":235.729774873933,"t_dis_C":89.9999999999977,"head_m":2040.98617890447,"m_Nm":53.1187679791326,"gas_frac_intake":3.43473585898235E-02,"eff_ESP_d":0.417772562199367,"power_fluid_W":6602.18605526043,"power_ESP_W":15803.3022094681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170.729774873933,"M_Nm":54.1187679791326,"geometry":{"length_motor_m":10,"length_pump_m":19.6,"angle":90,"d_od_m":0.092,"d_cas_mm":150,"d_cas_min_m":0.1217,"d_motor_cas_min_mm":123,"d_motor_od_m":117},"dict_power":{"Pow_freq_Hz":50,"ESP_freq_Hz":47.35,"I_A":12.8822167191164,"load_%":53.6693701125437,"power_CS_kW":21.4541603119312,"power_motor_kW":19.6351354070282,"power_shaft_kW":16.1008110337631,"power_ESP_kW":15.8033022094681,"power_fluid_kW":6.60218605526043,"U_motor_V":1000,"eff_total_d":0.307734535366028,"eff_ESP_d":0.417772562199367,"eff_fact_d":0,"dp_unknown_kW":0,"Pmotor_nom_kW":16.1008110337631,"power_CS_fact_kW":0,"motor_eff_fr":0.82,"cable_R_Omkm":1.18,"dPower_protector_kW":0.4,"dPower_GasSep_kW":0.297508824294953,"dPower_CS_kW":0.624878455687317,"dPower_transform_kW":0.606678112317783,"cos_phi":0.88},"dict_separ":{"ksep_nat_fr":0.60360981061781,"ksep_gassep_fr":0.834400408852214,"ksep_total_fr":0.934357946703316,"p_ksep_atma":65,"t_ksep_C":80,"isGasSep":true,"ksep_liquid_man_d":0,"d_od_m":0.125,"d_cas_m":0.135,"angle_deg":90,"gassep_type":0,"natsep_type":0,"M_Nm":1,"freq_Hz":47.35}}]</v>
      </c>
    </row>
    <row r="92" spans="2:25" x14ac:dyDescent="0.35">
      <c r="B92" t="str" cm="1">
        <f t="array" ref="B92:B96">[1]!decode_json(B88)</f>
        <v>{"p_int_atma":45,"t_int_C":80,"p_dis_atma":217.439069611803,"t_dis_C":89.9999999999977,"head_m":2048.46770484639,"m_Nm":53.2348753085869,"gas_frac_intake":6.71114926865531E-02,"eff_ESP_d":0.412833462235064,"power_fluid_W":6538.39245362244,"power_ESP_W":15837.8451645461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172.439069611803,"M_Nm":54.2348753085869,"geometry":{"length_motor_m":10,"length_pump_m":19.6,"angle":90,"d_od_m":0.092,"d_cas_mm":150,"d_cas_min_m":0.1217,"d_motor_cas_min_mm":123,"d_motor_od_m":117},"dict_power":{"Pow_freq_Hz":50,"ESP_freq_Hz":47.35,"I_A":12.9098544469613,"load_%":53.7845132961369,"power_CS_kW":21.5015284235072,"power_motor_kW":19.6772609620013,"power_shaft_kW":16.1353539888411,"power_ESP_kW":15.8378451645461,"power_fluid_kW":6.53839245362244,"U_motor_V":1000,"eff_total_d":0.30408965934134,"eff_ESP_d":0.412833462235064,"eff_fact_d":0,"dp_unknown_kW":0,"Pmotor_nom_kW":16.1353539888411,"power_CS_fact_kW":0,"motor_eff_fr":0.82,"cable_R_Omkm":1.18,"dPower_protector_kW":0.4,"dPower_GasSep_kW":0.297508824294953,"dPower_CS_kW":0.62625810942254,"dPower_transform_kW":0.608017581963631,"cos_phi":0.88},"dict_separ":{"ksep_nat_fr":0.62238462280441,"ksep_gassep_fr":0.829742786564695,"ksep_total_fr":0.935708258128357,"p_ksep_atma":45,"t_ksep_C":80,"isGasSep":true,"ksep_liquid_man_d":0,"d_od_m":0.125,"d_cas_m":0.135,"angle_deg":90,"gassep_type":0,"natsep_type":0,"M_Nm":1,"freq_Hz":47.35}}</v>
      </c>
    </row>
    <row r="93" spans="2:25" x14ac:dyDescent="0.35">
      <c r="B93" t="str">
        <v>{"p_int_atma":50,"t_int_C":80,"p_dis_atma":222.046443480859,"t_dis_C":89.9999999999977,"head_m":2046.71663032117,"m_Nm":53.2114661461236,"gas_frac_intake":5.66052146704509E-02,"eff_ESP_d":0.414007512297769,"power_fluid_W":6554.10354939759,"power_ESP_W":15830.8807321439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172.046443480859,"M_Nm":54.2114661461236,"geometry":{"length_motor_m":10,"length_pump_m":19.6,"angle":90,"d_od_m":0.092,"d_cas_mm":150,"d_cas_min_m":0.1217,"d_motor_cas_min_mm":123,"d_motor_od_m":117},"dict_power":{"Pow_freq_Hz":50,"ESP_freq_Hz":47.35,"I_A":12.9042822228453,"load_%":53.7612985214629,"power_CS_kW":21.4919777651735,"power_motor_kW":19.6687677517547,"power_shaft_kW":16.1283895564389,"power_ESP_kW":15.8308807321439,"power_fluid_kW":6.55410354939759,"U_motor_V":1000,"eff_total_d":0.304955812862329,"eff_ESP_d":0.414007512297769,"eff_fact_d":0,"dp_unknown_kW":0,"Pmotor_nom_kW":16.1283895564389,"power_CS_fact_kW":0,"motor_eff_fr":0.82,"cable_R_Omkm":1.18,"dPower_protector_kW":0.4,"dPower_GasSep_kW":0.297508824294953,"dPower_CS_kW":0.625979934907967,"dPower_transform_kW":0.607747509619385,"cos_phi":0.88},"dict_separ":{"ksep_nat_fr":0.617758412710653,"ksep_gassep_fr":0.831329969285638,"ksep_total_fr":0.935527299731599,"p_ksep_atma":50,"t_ksep_C":80,"isGasSep":true,"ksep_liquid_man_d":0,"d_od_m":0.125,"d_cas_m":0.135,"angle_deg":90,"gassep_type":0,"natsep_type":0,"M_Nm":1,"freq_Hz":47.35}}</v>
      </c>
      <c r="D93" s="28"/>
      <c r="F93" s="27"/>
      <c r="H93" s="27"/>
      <c r="I93" s="27"/>
      <c r="J93" s="26"/>
      <c r="K93" s="27"/>
    </row>
    <row r="94" spans="2:25" x14ac:dyDescent="0.35">
      <c r="B94" t="str">
        <v>{"p_int_atma":55,"t_int_C":80,"p_dis_atma":226.628770284505,"t_dis_C":89.9999999999977,"head_m":2044.88148199084,"m_Nm":53.1840152149956,"gas_frac_intake":4.78167774672431E-02,"eff_ESP_d":0.415225104364901,"power_fluid_W":6569.98800467727,"power_ESP_W":15822.7138378982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171.628770284505,"M_Nm":54.1840152149956,"geometry":{"length_motor_m":10,"length_pump_m":19.6,"angle":90,"d_od_m":0.092,"d_cas_mm":150,"d_cas_min_m":0.1217,"d_motor_cas_min_mm":123,"d_motor_od_m":117},"dict_power":{"Pow_freq_Hz":50,"ESP_freq_Hz":47.35,"I_A":12.897747912159,"load_%":53.734075540644,"power_CS_kW":21.4807784106567,"power_motor_kW":19.6588081246258,"power_shaft_kW":16.1202226621932,"power_ESP_kW":15.8227138378982,"power_fluid_kW":6.56998800467727,"U_motor_V":1000,"eff_total_d":0.305854279536624,"eff_ESP_d":0.415225104364901,"eff_fact_d":0,"dp_unknown_kW":0,"Pmotor_nom_kW":16.1202226621932,"power_CS_fact_kW":0,"motor_eff_fr":0.82,"cable_R_Omkm":1.18,"dPower_protector_kW":0.4,"dPower_GasSep_kW":0.297508824294953,"dPower_CS_kW":0.625653740116215,"dPower_transform_kW":0.607430815646811,"cos_phi":0.88},"dict_separ":{"ksep_nat_fr":0.613085437812253,"ksep_gassep_fr":0.832609890788536,"ksep_total_fr":0.935234329179887,"p_ksep_atma":55,"t_ksep_C":80,"isGasSep":true,"ksep_liquid_man_d":0,"d_od_m":0.125,"d_cas_m":0.135,"angle_deg":90,"gassep_type":0,"natsep_type":0,"M_Nm":1,"freq_Hz":47.35}}</v>
      </c>
      <c r="D94" s="28"/>
      <c r="F94" s="27"/>
      <c r="H94" s="27"/>
      <c r="I94" s="27"/>
      <c r="J94" s="26"/>
      <c r="K94" s="27"/>
    </row>
    <row r="95" spans="2:25" x14ac:dyDescent="0.35">
      <c r="B95" t="str">
        <v>{"p_int_atma":60,"t_int_C":80,"p_dis_atma":231.188309153549,"t_dis_C":89.9999999999977,"head_m":2042.96777286881,"m_Nm":53.1528388186167,"gas_frac_intake":4.07320562247963E-02,"eff_ESP_d":0.416482363767701,"power_fluid_W":6586.01828112027,"power_ESP_W":15813.4385848658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171.188309153549,"M_Nm":54.1528388186167,"geometry":{"length_motor_m":10,"length_pump_m":19.6,"angle":90,"d_od_m":0.092,"d_cas_mm":150,"d_cas_min_m":0.1217,"d_motor_cas_min_mm":123,"d_motor_od_m":117},"dict_power":{"Pow_freq_Hz":50,"ESP_freq_Hz":47.35,"I_A":12.8903268065117,"load_%":53.7031580305358,"power_CS_kW":21.4680595401364,"power_motor_kW":19.6474968404399,"power_shaft_kW":16.1109474091607,"power_ESP_kW":15.8134385848658,"power_fluid_kW":6.58601828112027,"U_motor_V":1000,"eff_total_d":0.306782188152923,"eff_ESP_d":0.416482363767701,"eff_fact_d":0,"dp_unknown_kW":0,"Pmotor_nom_kW":16.1109474091607,"power_CS_fact_kW":0,"motor_eff_fr":0.82,"cable_R_Omkm":1.18,"dPower_protector_kW":0.4,"dPower_GasSep_kW":0.297508824294953,"dPower_CS_kW":0.625283287576789,"dPower_transform_kW":0.607071152987174,"cos_phi":0.88},"dict_separ":{"ksep_nat_fr":0.608368326592486,"ksep_gassep_fr":0.833602800913252,"ksep_total_fr":0.934833586471334,"p_ksep_atma":60,"t_ksep_C":80,"isGasSep":true,"ksep_liquid_man_d":0,"d_od_m":0.125,"d_cas_m":0.135,"angle_deg":90,"gassep_type":0,"natsep_type":0,"M_Nm":1,"freq_Hz":47.35}}</v>
      </c>
      <c r="D95" s="28"/>
      <c r="F95" s="27"/>
      <c r="H95" s="27"/>
      <c r="I95" s="27"/>
      <c r="J95" s="26"/>
      <c r="K95" s="27"/>
    </row>
    <row r="96" spans="2:25" x14ac:dyDescent="0.35">
      <c r="B96" t="str">
        <v>{"p_int_atma":65,"t_int_C":80,"p_dis_atma":235.729774873933,"t_dis_C":89.9999999999977,"head_m":2040.98617890447,"m_Nm":53.1187679791326,"gas_frac_intake":3.43473585898235E-02,"eff_ESP_d":0.417772562199367,"power_fluid_W":6602.18605526043,"power_ESP_W":15803.3022094681,"length_pump_m":19.6,"angle":0,"d_od_m":0.092,"d_cas_min_m":0.1217,"d_motor_od_m":0.117,"calc_from_dis":false,"stage_num":392,"freq_Hz":47.35,"w_obmin":2841,"rate_nom_sm3day":47.35,"rate_max_sm3day":89.965,"calibr_head":1,"calibr_rate":1,"calibr_power":1,"gas_correct_model":0,"gas_corr_":1,"dP_atm":170.729774873933,"M_Nm":54.1187679791326,"geometry":{"length_motor_m":10,"length_pump_m":19.6,"angle":90,"d_od_m":0.092,"d_cas_mm":150,"d_cas_min_m":0.1217,"d_motor_cas_min_mm":123,"d_motor_od_m":117},"dict_power":{"Pow_freq_Hz":50,"ESP_freq_Hz":47.35,"I_A":12.8822167191164,"load_%":53.6693701125437,"power_CS_kW":21.4541603119312,"power_motor_kW":19.6351354070282,"power_shaft_kW":16.1008110337631,"power_ESP_kW":15.8033022094681,"power_fluid_kW":6.60218605526043,"U_motor_V":1000,"eff_total_d":0.307734535366028,"eff_ESP_d":0.417772562199367,"eff_fact_d":0,"dp_unknown_kW":0,"Pmotor_nom_kW":16.1008110337631,"power_CS_fact_kW":0,"motor_eff_fr":0.82,"cable_R_Omkm":1.18,"dPower_protector_kW":0.4,"dPower_GasSep_kW":0.297508824294953,"dPower_CS_kW":0.624878455687317,"dPower_transform_kW":0.606678112317783,"cos_phi":0.88},"dict_separ":{"ksep_nat_fr":0.60360981061781,"ksep_gassep_fr":0.834400408852214,"ksep_total_fr":0.934357946703316,"p_ksep_atma":65,"t_ksep_C":80,"isGasSep":true,"ksep_liquid_man_d":0,"d_od_m":0.125,"d_cas_m":0.135,"angle_deg":90,"gassep_type":0,"natsep_type":0,"M_Nm":1,"freq_Hz":47.35}}</v>
      </c>
      <c r="D96" s="28"/>
      <c r="F96" s="27"/>
      <c r="H96" s="27"/>
      <c r="I96" s="27"/>
      <c r="J96" s="26"/>
      <c r="K96" s="27"/>
    </row>
    <row r="97" spans="4:30" x14ac:dyDescent="0.35">
      <c r="D97" s="28"/>
      <c r="F97" s="27"/>
      <c r="H97" s="27"/>
      <c r="I97" s="27"/>
      <c r="J97" s="26"/>
      <c r="K97" s="27"/>
    </row>
    <row r="98" spans="4:30" x14ac:dyDescent="0.35">
      <c r="D98" s="28"/>
      <c r="E98" s="27"/>
      <c r="F98" s="27"/>
      <c r="H98" s="27"/>
      <c r="I98" s="27"/>
      <c r="J98" s="26"/>
      <c r="K98" s="27"/>
    </row>
    <row r="99" spans="4:30" x14ac:dyDescent="0.35">
      <c r="D99" s="28"/>
      <c r="E99" s="27"/>
      <c r="F99" s="27"/>
      <c r="H99" s="27"/>
      <c r="I99" s="27"/>
      <c r="J99" s="26"/>
      <c r="K99" s="27"/>
    </row>
    <row r="100" spans="4:30" x14ac:dyDescent="0.35">
      <c r="D100" s="28"/>
      <c r="E100" s="27"/>
      <c r="F100" s="27"/>
      <c r="H100" s="27"/>
      <c r="I100" s="27"/>
      <c r="J100" s="26"/>
      <c r="K100" s="27"/>
    </row>
    <row r="101" spans="4:30" x14ac:dyDescent="0.35">
      <c r="D101" s="28"/>
      <c r="E101" s="27"/>
      <c r="F101" s="27"/>
      <c r="H101" s="27"/>
      <c r="I101" s="27"/>
      <c r="J101" s="26"/>
      <c r="K101" s="27"/>
    </row>
    <row r="102" spans="4:30" x14ac:dyDescent="0.35">
      <c r="D102" s="28"/>
      <c r="E102" s="27"/>
      <c r="F102" s="27"/>
      <c r="H102" s="27"/>
      <c r="I102" s="27"/>
      <c r="J102" s="26"/>
      <c r="K102" s="27"/>
    </row>
    <row r="103" spans="4:30" x14ac:dyDescent="0.35">
      <c r="D103" s="28"/>
      <c r="E103" s="27"/>
      <c r="F103" s="27"/>
      <c r="H103" s="27"/>
      <c r="I103" s="27"/>
      <c r="J103" s="26"/>
      <c r="K103" s="27"/>
    </row>
    <row r="104" spans="4:30" x14ac:dyDescent="0.35">
      <c r="D104" s="28"/>
      <c r="E104" s="27"/>
      <c r="F104" s="27"/>
      <c r="G104" s="26"/>
      <c r="H104" s="27"/>
      <c r="I104" s="27"/>
      <c r="J104" s="26"/>
      <c r="K104" s="27"/>
    </row>
    <row r="105" spans="4:30" x14ac:dyDescent="0.35">
      <c r="D105" s="28"/>
      <c r="E105" s="27"/>
      <c r="F105" s="27"/>
      <c r="G105" s="26"/>
      <c r="H105" s="27"/>
      <c r="I105" s="27"/>
      <c r="J105" s="26"/>
      <c r="K105" s="27"/>
    </row>
    <row r="106" spans="4:30" x14ac:dyDescent="0.35">
      <c r="D106" s="28"/>
      <c r="E106" s="27"/>
      <c r="F106" s="27"/>
      <c r="G106" s="26"/>
      <c r="H106" s="27"/>
      <c r="I106" s="27"/>
      <c r="J106" s="26"/>
      <c r="K106" s="27"/>
    </row>
    <row r="107" spans="4:30" x14ac:dyDescent="0.35">
      <c r="D107" s="28"/>
      <c r="E107" s="27"/>
      <c r="F107" s="27"/>
      <c r="G107" s="26"/>
      <c r="H107" s="27"/>
      <c r="I107" s="27"/>
      <c r="J107" s="26"/>
      <c r="K107" s="27"/>
      <c r="AD107" s="27"/>
    </row>
    <row r="108" spans="4:30" x14ac:dyDescent="0.35">
      <c r="D108" s="28"/>
      <c r="E108" s="27"/>
      <c r="F108" s="27"/>
      <c r="G108" s="26"/>
      <c r="H108" s="27"/>
      <c r="I108" s="27"/>
      <c r="J108" s="26"/>
      <c r="K108" s="27"/>
    </row>
    <row r="109" spans="4:30" x14ac:dyDescent="0.35">
      <c r="D109" s="28"/>
      <c r="E109" s="27"/>
      <c r="F109" s="27"/>
      <c r="G109" s="26"/>
      <c r="H109" s="27"/>
      <c r="I109" s="27"/>
      <c r="J109" s="26"/>
      <c r="K109" s="27"/>
    </row>
    <row r="110" spans="4:30" x14ac:dyDescent="0.35">
      <c r="D110" s="28"/>
      <c r="E110" s="27"/>
      <c r="F110" s="27"/>
      <c r="G110" s="26"/>
      <c r="H110" s="27"/>
      <c r="I110" s="27"/>
      <c r="J110" s="26"/>
      <c r="K110" s="27"/>
    </row>
    <row r="111" spans="4:30" x14ac:dyDescent="0.35">
      <c r="D111" s="28"/>
      <c r="E111" s="27"/>
      <c r="F111" s="27"/>
      <c r="G111" s="26"/>
      <c r="H111" s="27"/>
      <c r="I111" s="27"/>
      <c r="J111" s="26"/>
      <c r="K111" s="27"/>
    </row>
    <row r="112" spans="4:30" x14ac:dyDescent="0.35">
      <c r="D112" s="27"/>
      <c r="E112" s="27"/>
      <c r="F112" s="27"/>
      <c r="G112" s="26"/>
      <c r="H112" s="27"/>
      <c r="I112" s="27"/>
      <c r="J112" s="26"/>
      <c r="K112" s="27"/>
    </row>
    <row r="117" spans="6:14" x14ac:dyDescent="0.35">
      <c r="F117" s="28"/>
      <c r="K117" s="28"/>
      <c r="M117" s="27"/>
      <c r="N117" s="26"/>
    </row>
    <row r="120" spans="6:14" x14ac:dyDescent="0.35">
      <c r="J120" s="29"/>
      <c r="K120" s="29"/>
      <c r="L120" s="29"/>
    </row>
    <row r="121" spans="6:14" x14ac:dyDescent="0.35">
      <c r="J121" s="29"/>
      <c r="K121" s="29"/>
      <c r="L121" s="29"/>
    </row>
    <row r="122" spans="6:14" x14ac:dyDescent="0.35">
      <c r="J122" s="29"/>
      <c r="K122" s="29"/>
      <c r="L122" s="29"/>
    </row>
    <row r="123" spans="6:14" x14ac:dyDescent="0.35">
      <c r="J123" s="29"/>
      <c r="K123" s="29"/>
      <c r="L123" s="29"/>
    </row>
    <row r="124" spans="6:14" x14ac:dyDescent="0.35">
      <c r="J124" s="29"/>
      <c r="K124" s="30"/>
      <c r="L124" s="29"/>
    </row>
    <row r="125" spans="6:14" x14ac:dyDescent="0.35">
      <c r="J125" s="29"/>
      <c r="K125" s="29"/>
      <c r="L125" s="29"/>
    </row>
    <row r="126" spans="6:14" x14ac:dyDescent="0.35">
      <c r="J126" s="29"/>
      <c r="K126" s="29"/>
      <c r="L126" s="29"/>
    </row>
    <row r="127" spans="6:14" x14ac:dyDescent="0.35">
      <c r="J127" s="29"/>
      <c r="K127" s="29"/>
      <c r="L127" s="29"/>
    </row>
    <row r="128" spans="6:14" x14ac:dyDescent="0.35">
      <c r="J128" s="29"/>
      <c r="K128" s="29"/>
      <c r="L128" s="29"/>
    </row>
    <row r="129" spans="10:13" x14ac:dyDescent="0.35">
      <c r="J129" s="29"/>
      <c r="K129" s="29"/>
      <c r="L129" s="29"/>
    </row>
    <row r="130" spans="10:13" x14ac:dyDescent="0.35">
      <c r="J130" s="29"/>
      <c r="K130" s="29"/>
      <c r="L130" s="29"/>
    </row>
    <row r="131" spans="10:13" x14ac:dyDescent="0.35">
      <c r="J131" s="29"/>
      <c r="K131" s="29"/>
      <c r="L131" s="29"/>
    </row>
    <row r="132" spans="10:13" x14ac:dyDescent="0.35">
      <c r="J132" s="29"/>
      <c r="K132" s="29"/>
      <c r="L132" s="29"/>
    </row>
    <row r="133" spans="10:13" x14ac:dyDescent="0.35">
      <c r="J133" s="29"/>
      <c r="K133" s="29"/>
      <c r="L133" s="29"/>
    </row>
    <row r="134" spans="10:13" x14ac:dyDescent="0.35">
      <c r="J134" s="29"/>
      <c r="K134" s="29"/>
      <c r="L134" s="29"/>
    </row>
    <row r="135" spans="10:13" x14ac:dyDescent="0.35">
      <c r="J135" s="29"/>
      <c r="K135" s="29"/>
      <c r="L135" s="29"/>
    </row>
    <row r="136" spans="10:13" x14ac:dyDescent="0.35">
      <c r="J136" s="29"/>
      <c r="K136" s="29"/>
      <c r="L136" s="29"/>
    </row>
    <row r="137" spans="10:13" x14ac:dyDescent="0.35">
      <c r="J137" s="29"/>
      <c r="K137" s="29"/>
      <c r="L137" s="29"/>
    </row>
    <row r="138" spans="10:13" x14ac:dyDescent="0.35">
      <c r="J138" s="29"/>
      <c r="K138" s="29"/>
      <c r="L138" s="29"/>
    </row>
    <row r="139" spans="10:13" x14ac:dyDescent="0.35">
      <c r="J139" s="29"/>
      <c r="K139" s="29"/>
      <c r="L139" s="29"/>
    </row>
    <row r="140" spans="10:13" x14ac:dyDescent="0.35">
      <c r="M140" s="31"/>
    </row>
    <row r="141" spans="10:13" x14ac:dyDescent="0.35">
      <c r="M141" s="31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60</vt:i4>
      </vt:variant>
    </vt:vector>
  </HeadingPairs>
  <TitlesOfParts>
    <vt:vector size="61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feed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gassep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2022-05-25T08:04:40Z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