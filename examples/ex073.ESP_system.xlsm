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27C0F33-DDC7-4146-84DA-24C1F182DB58}" xr6:coauthVersionLast="47" xr6:coauthVersionMax="47" xr10:uidLastSave="{00000000-0000-0000-0000-000000000000}"/>
  <bookViews>
    <workbookView xWindow="375" yWindow="2220" windowWidth="14400" windowHeight="8235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ble_json">Exercise_ESP!$C$44</definedName>
    <definedName name="Cable_length">Exercise_ESP!$K$24</definedName>
    <definedName name="cable_R_Omkm">Exercise_ESP!$K$25</definedName>
    <definedName name="Cable_type">Exercise_ESP!$K$26</definedName>
    <definedName name="calc_along_flow">Exercise_ESP!#REF!</definedName>
    <definedName name="calibr_array_">Exercise_ESP!$C$31:$C$33</definedName>
    <definedName name="cos_phi">Exercise_ESP!$G$30</definedName>
    <definedName name="cos_ϕ_nom">Exercise_ESP!$G$30</definedName>
    <definedName name="dN">Exercise_ESP!$C$29</definedName>
    <definedName name="dod">Exercise_ESP!$G$35</definedName>
    <definedName name="effnom">Exercise_ESP!$G$29</definedName>
    <definedName name="Energy_fact">Exercise_ESP!$S$30</definedName>
    <definedName name="ESPstr">Exercise_ESP!#REF!</definedName>
    <definedName name="feed">Exercise_ESP!$C$41</definedName>
    <definedName name="Fnom">Exercise_ESP!$G$26</definedName>
    <definedName name="Freq_" localSheetId="0">Exercise_ESP!$C$27</definedName>
    <definedName name="Fsurf">Exercise_ESP!$S$28</definedName>
    <definedName name="fw_" localSheetId="0">Exercise_ESP!$S$25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Exercise_ESP!$C$28</definedName>
    <definedName name="gassep">Exercise_ESP!$C$45</definedName>
    <definedName name="Head_ESP_" localSheetId="0">Exercise_ESP!$C$26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Ixcf">Exercise_ESP!$G$34</definedName>
    <definedName name="Ksep_man">Exercise_ESP!$O$24</definedName>
    <definedName name="KsepGasSep_" localSheetId="0">Exercise_ESP!$O$25</definedName>
    <definedName name="M_gassep">Exercise_ESP!$O$28</definedName>
    <definedName name="motor_ID">Exercise_ESP!$G$24</definedName>
    <definedName name="motor_json">Exercise_ESP!$C$43</definedName>
    <definedName name="muob_" localSheetId="0">Exercise_ESP!$C$19</definedName>
    <definedName name="N_" localSheetId="0">Exercise_ESP!#REF!</definedName>
    <definedName name="NumStage_" localSheetId="0">Exercise_ESP!$C$37</definedName>
    <definedName name="Pb_" localSheetId="0">Exercise_ESP!$C$16</definedName>
    <definedName name="Pdis_" localSheetId="0">Exercise_ESP!$S$35</definedName>
    <definedName name="Pintake_" localSheetId="0">Exercise_ESP!$S$33</definedName>
    <definedName name="PKsep">Exercise_ESP!$O$26</definedName>
    <definedName name="Pnom">Exercise_ESP!$G$27</definedName>
    <definedName name="pump_json">Exercise_ESP!$C$42</definedName>
    <definedName name="PumpID_" localSheetId="0">Exercise_ESP!$C$25</definedName>
    <definedName name="PVT_json">Exercise_ESP!$C$40</definedName>
    <definedName name="Q_" localSheetId="0">Exercise_ESP!$S$24</definedName>
    <definedName name="Q_ESP_" localSheetId="0">Exercise_ESP!$C$24</definedName>
    <definedName name="Qmax_" localSheetId="0">Exercise_ESP!$C$36</definedName>
    <definedName name="Rp_" localSheetId="0">Exercise_ESP!$S$26</definedName>
    <definedName name="Rsb_" localSheetId="0">Exercise_ESP!$C$14</definedName>
    <definedName name="slipnom">Exercise_ESP!$G$28</definedName>
    <definedName name="Tdis_">Exercise_ESP!$S$36</definedName>
    <definedName name="Tintake_" localSheetId="0">Exercise_ESP!$S$34</definedName>
    <definedName name="TKsep_">Exercise_ESP!$O$27</definedName>
    <definedName name="Tres_" localSheetId="0">Exercise_ESP!$C$17</definedName>
    <definedName name="U">Exercise_ESP!$S$29</definedName>
    <definedName name="Unom">Exercise_ESP!$G$25</definedName>
    <definedName name="α">Exercise_ESP!$G$32</definedName>
    <definedName name="λ">Exercise_ESP!$G$31</definedName>
    <definedName name="χ">Exercise_ESP!$G$33</definedName>
    <definedName name="ПКВ_останов">Exercise_ESP!#REF!</definedName>
    <definedName name="ПКВ_работа">Exercise_ESP!#REF!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2" i="110" l="1"/>
  <c r="V52" i="110" a="1"/>
  <c r="S52" i="110" a="1"/>
  <c r="C25" i="110" a="1"/>
  <c r="C45" i="110" a="1"/>
  <c r="C44" i="110" a="1"/>
  <c r="C43" i="110" a="1"/>
  <c r="C40" i="110" a="1"/>
  <c r="V52" i="110" l="1"/>
  <c r="S52" i="110"/>
  <c r="C25" i="110"/>
  <c r="C45" i="110"/>
  <c r="C44" i="110"/>
  <c r="C43" i="110"/>
  <c r="C40" i="110"/>
  <c r="C41" i="110" a="1"/>
  <c r="C41" i="110" l="1"/>
  <c r="C107" i="110"/>
  <c r="G1" i="110"/>
  <c r="E17" i="110" l="1"/>
  <c r="E16" i="110"/>
  <c r="U26" i="110"/>
  <c r="E14" i="110"/>
  <c r="E13" i="110"/>
  <c r="E12" i="110"/>
  <c r="E11" i="110"/>
  <c r="C42" i="110" a="1"/>
  <c r="C37" i="110" a="1"/>
  <c r="C35" i="110" a="1"/>
  <c r="C36" i="110" a="1"/>
  <c r="C42" i="110" l="1"/>
  <c r="C35" i="110"/>
  <c r="C37" i="110"/>
  <c r="C36" i="110"/>
  <c r="C80" i="110" s="1"/>
  <c r="C81" i="110" s="1"/>
  <c r="C82" i="110" s="1"/>
  <c r="B47" i="110" a="1"/>
  <c r="P52" i="110" s="1" a="1"/>
  <c r="D80" i="110" a="1"/>
  <c r="D79" i="110" a="1"/>
  <c r="D81" i="110" a="1"/>
  <c r="D107" i="110" a="1"/>
  <c r="D82" i="110" a="1"/>
  <c r="P52" i="110" l="1"/>
  <c r="B47" i="110"/>
  <c r="K38" i="110"/>
  <c r="F79" i="110"/>
  <c r="H79" i="110"/>
  <c r="D79" i="110"/>
  <c r="E79" i="110"/>
  <c r="G79" i="110"/>
  <c r="F82" i="110"/>
  <c r="D82" i="110"/>
  <c r="G82" i="110"/>
  <c r="H82" i="110"/>
  <c r="E82" i="110"/>
  <c r="D81" i="110"/>
  <c r="F81" i="110"/>
  <c r="E81" i="110"/>
  <c r="G81" i="110"/>
  <c r="H81" i="110"/>
  <c r="E80" i="110"/>
  <c r="D80" i="110"/>
  <c r="F80" i="110"/>
  <c r="G80" i="110"/>
  <c r="H80" i="110"/>
  <c r="G107" i="110"/>
  <c r="D107" i="110"/>
  <c r="H107" i="110"/>
  <c r="E107" i="110"/>
  <c r="F107" i="110"/>
  <c r="C108" i="110"/>
  <c r="C83" i="110"/>
  <c r="C109" i="110"/>
  <c r="AC43" i="110" a="1"/>
  <c r="D109" i="110" a="1"/>
  <c r="D83" i="110" a="1"/>
  <c r="D108" i="110" a="1"/>
  <c r="AC43" i="110" l="1"/>
  <c r="G109" i="110"/>
  <c r="H109" i="110"/>
  <c r="D109" i="110"/>
  <c r="E109" i="110"/>
  <c r="F109" i="110"/>
  <c r="H83" i="110"/>
  <c r="G83" i="110"/>
  <c r="D83" i="110"/>
  <c r="E83" i="110"/>
  <c r="F83" i="110"/>
  <c r="D108" i="110"/>
  <c r="H108" i="110"/>
  <c r="E108" i="110"/>
  <c r="F108" i="110"/>
  <c r="G108" i="110"/>
  <c r="C84" i="110"/>
  <c r="C110" i="110"/>
  <c r="D84" i="110" a="1"/>
  <c r="D110" i="110" a="1"/>
  <c r="G84" i="110" l="1"/>
  <c r="H84" i="110"/>
  <c r="F84" i="110"/>
  <c r="D84" i="110"/>
  <c r="E84" i="110"/>
  <c r="D110" i="110"/>
  <c r="E110" i="110"/>
  <c r="F110" i="110"/>
  <c r="G110" i="110"/>
  <c r="H110" i="110"/>
  <c r="C85" i="110"/>
  <c r="C112" i="110"/>
  <c r="C111" i="110"/>
  <c r="D85" i="110" a="1"/>
  <c r="D112" i="110" a="1"/>
  <c r="D111" i="110" a="1"/>
  <c r="D85" i="110" l="1"/>
  <c r="F85" i="110"/>
  <c r="H85" i="110"/>
  <c r="G85" i="110"/>
  <c r="E85" i="110"/>
  <c r="F111" i="110"/>
  <c r="G111" i="110"/>
  <c r="H111" i="110"/>
  <c r="E111" i="110"/>
  <c r="D111" i="110"/>
  <c r="H112" i="110"/>
  <c r="D112" i="110"/>
  <c r="G112" i="110"/>
  <c r="E112" i="110"/>
  <c r="F112" i="110"/>
  <c r="C86" i="110"/>
  <c r="C113" i="110"/>
  <c r="D86" i="110" a="1"/>
  <c r="D113" i="110" a="1"/>
  <c r="H113" i="110" l="1"/>
  <c r="E113" i="110"/>
  <c r="D113" i="110"/>
  <c r="F113" i="110"/>
  <c r="G113" i="110"/>
  <c r="F86" i="110"/>
  <c r="E86" i="110"/>
  <c r="H86" i="110"/>
  <c r="D86" i="110"/>
  <c r="G86" i="110"/>
  <c r="C87" i="110"/>
  <c r="C114" i="110"/>
  <c r="D87" i="110" a="1"/>
  <c r="D114" i="110" a="1"/>
  <c r="E87" i="110" l="1"/>
  <c r="G87" i="110"/>
  <c r="H87" i="110"/>
  <c r="F87" i="110"/>
  <c r="D87" i="110"/>
  <c r="E114" i="110"/>
  <c r="F114" i="110"/>
  <c r="G114" i="110"/>
  <c r="H114" i="110"/>
  <c r="D114" i="110"/>
  <c r="C88" i="110"/>
  <c r="C115" i="110"/>
  <c r="D115" i="110" a="1"/>
  <c r="D88" i="110" a="1"/>
  <c r="D88" i="110" l="1"/>
  <c r="G88" i="110"/>
  <c r="H88" i="110"/>
  <c r="E88" i="110"/>
  <c r="F88" i="110"/>
  <c r="D115" i="110"/>
  <c r="F115" i="110"/>
  <c r="G115" i="110"/>
  <c r="H115" i="110"/>
  <c r="E115" i="110"/>
  <c r="C89" i="110"/>
  <c r="C116" i="110"/>
  <c r="D116" i="110" a="1"/>
  <c r="D89" i="110" a="1"/>
  <c r="H116" i="110" l="1"/>
  <c r="E116" i="110"/>
  <c r="G116" i="110"/>
  <c r="F116" i="110"/>
  <c r="D116" i="110"/>
  <c r="F89" i="110"/>
  <c r="H89" i="110"/>
  <c r="D89" i="110"/>
  <c r="G89" i="110"/>
  <c r="E89" i="110"/>
  <c r="C90" i="110"/>
  <c r="C117" i="110"/>
  <c r="D90" i="110" a="1"/>
  <c r="D117" i="110" a="1"/>
  <c r="G117" i="110" l="1"/>
  <c r="F117" i="110"/>
  <c r="H117" i="110"/>
  <c r="E117" i="110"/>
  <c r="D117" i="110"/>
  <c r="E90" i="110"/>
  <c r="D90" i="110"/>
  <c r="H90" i="110"/>
  <c r="G90" i="110"/>
  <c r="F90" i="110"/>
  <c r="C91" i="110"/>
  <c r="C118" i="110"/>
  <c r="D91" i="110" a="1"/>
  <c r="D118" i="110" a="1"/>
  <c r="H91" i="110" l="1"/>
  <c r="G91" i="110"/>
  <c r="D91" i="110"/>
  <c r="F91" i="110"/>
  <c r="E91" i="110"/>
  <c r="D118" i="110"/>
  <c r="E118" i="110"/>
  <c r="F118" i="110"/>
  <c r="G118" i="110"/>
  <c r="H118" i="110"/>
  <c r="C92" i="110"/>
  <c r="C119" i="110"/>
  <c r="D119" i="110" a="1"/>
  <c r="D92" i="110" a="1"/>
  <c r="D92" i="110" l="1"/>
  <c r="E92" i="110"/>
  <c r="F92" i="110"/>
  <c r="G92" i="110"/>
  <c r="H92" i="110"/>
  <c r="D119" i="110"/>
  <c r="G119" i="110"/>
  <c r="F119" i="110"/>
  <c r="H119" i="110"/>
  <c r="E119" i="110"/>
  <c r="C93" i="110"/>
  <c r="C120" i="110"/>
  <c r="D93" i="110" a="1"/>
  <c r="D120" i="110" a="1"/>
  <c r="F120" i="110" l="1"/>
  <c r="G120" i="110"/>
  <c r="H120" i="110"/>
  <c r="E120" i="110"/>
  <c r="D120" i="110"/>
  <c r="G93" i="110"/>
  <c r="H93" i="110"/>
  <c r="D93" i="110"/>
  <c r="F93" i="110"/>
  <c r="E93" i="110"/>
  <c r="C94" i="110"/>
  <c r="C121" i="110"/>
  <c r="D94" i="110" a="1"/>
  <c r="D121" i="110" a="1"/>
  <c r="D94" i="110" l="1"/>
  <c r="F94" i="110"/>
  <c r="G94" i="110"/>
  <c r="E94" i="110"/>
  <c r="H94" i="110"/>
  <c r="D121" i="110"/>
  <c r="E121" i="110"/>
  <c r="F121" i="110"/>
  <c r="G121" i="110"/>
  <c r="H121" i="110"/>
  <c r="C95" i="110"/>
  <c r="C122" i="110"/>
  <c r="D122" i="110" a="1"/>
  <c r="D95" i="110" a="1"/>
  <c r="G122" i="110" l="1"/>
  <c r="E122" i="110"/>
  <c r="H122" i="110"/>
  <c r="D122" i="110"/>
  <c r="F122" i="110"/>
  <c r="E95" i="110"/>
  <c r="D95" i="110"/>
  <c r="F95" i="110"/>
  <c r="G95" i="110"/>
  <c r="H95" i="110"/>
  <c r="C96" i="110"/>
  <c r="C123" i="110"/>
  <c r="D96" i="110" a="1"/>
  <c r="D123" i="110" a="1"/>
  <c r="E123" i="110" l="1"/>
  <c r="D123" i="110"/>
  <c r="F123" i="110"/>
  <c r="G123" i="110"/>
  <c r="H123" i="110"/>
  <c r="E96" i="110"/>
  <c r="F96" i="110"/>
  <c r="D96" i="110"/>
  <c r="G96" i="110"/>
  <c r="H96" i="110"/>
  <c r="C97" i="110"/>
  <c r="C124" i="110"/>
  <c r="D124" i="110" a="1"/>
  <c r="D97" i="110" a="1"/>
  <c r="H124" i="110" l="1"/>
  <c r="D124" i="110"/>
  <c r="E124" i="110"/>
  <c r="F124" i="110"/>
  <c r="G124" i="110"/>
  <c r="D97" i="110"/>
  <c r="E97" i="110"/>
  <c r="F97" i="110"/>
  <c r="G97" i="110"/>
  <c r="H97" i="110"/>
  <c r="C98" i="110"/>
  <c r="C125" i="110"/>
  <c r="D125" i="110" a="1"/>
  <c r="D98" i="110" a="1"/>
  <c r="H125" i="110" l="1"/>
  <c r="D125" i="110"/>
  <c r="F125" i="110"/>
  <c r="E125" i="110"/>
  <c r="G125" i="110"/>
  <c r="D98" i="110"/>
  <c r="G98" i="110"/>
  <c r="H98" i="110"/>
  <c r="E98" i="110"/>
  <c r="F98" i="110"/>
  <c r="C99" i="110"/>
  <c r="C126" i="110"/>
  <c r="D126" i="110" a="1"/>
  <c r="D99" i="110" a="1"/>
  <c r="E99" i="110" l="1"/>
  <c r="F99" i="110"/>
  <c r="D99" i="110"/>
  <c r="G99" i="110"/>
  <c r="H99" i="110"/>
  <c r="G126" i="110"/>
  <c r="H126" i="110"/>
  <c r="E126" i="110"/>
  <c r="F126" i="110"/>
  <c r="D126" i="110"/>
  <c r="C127" i="110"/>
  <c r="D127" i="110" a="1"/>
  <c r="E127" i="110" l="1"/>
  <c r="F127" i="110"/>
  <c r="G128" i="110"/>
  <c r="G127" i="110"/>
  <c r="H128" i="110"/>
  <c r="H127" i="110"/>
  <c r="D128" i="110"/>
  <c r="E128" i="110"/>
  <c r="F128" i="110"/>
  <c r="D127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<sst xmlns="http://schemas.openxmlformats.org/spreadsheetml/2006/main" count="133" uniqueCount="105">
  <si>
    <t>Дебит</t>
  </si>
  <si>
    <t>атм</t>
  </si>
  <si>
    <t>С</t>
  </si>
  <si>
    <t>м3/сут</t>
  </si>
  <si>
    <t xml:space="preserve">м </t>
  </si>
  <si>
    <t>Гц</t>
  </si>
  <si>
    <t>шт</t>
  </si>
  <si>
    <t>Физико - химические свойства флюида</t>
  </si>
  <si>
    <t>Ступени</t>
  </si>
  <si>
    <t>Снизу вверх</t>
  </si>
  <si>
    <t>Сверху вниз</t>
  </si>
  <si>
    <t>Давление на входе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</si>
  <si>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</si>
  <si>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</si>
  <si>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</si>
  <si>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</si>
  <si>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</si>
  <si>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</si>
  <si>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</si>
  <si>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</si>
  <si>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</si>
  <si>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</si>
  <si>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</si>
  <si>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</si>
  <si>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</si>
  <si>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</si>
  <si>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</si>
  <si>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</si>
  <si>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</si>
  <si>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</si>
  <si>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</si>
  <si>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</si>
  <si>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</si>
  <si>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</si>
  <si>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</si>
  <si>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имя</t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</si>
  <si>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</si>
  <si>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</si>
  <si>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</si>
  <si>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</si>
  <si>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</si>
  <si>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</si>
  <si>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</si>
  <si>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Давление на выкиде</t>
  </si>
  <si>
    <t>Температура на выкиде</t>
  </si>
  <si>
    <t>Температура на входе</t>
  </si>
  <si>
    <r>
      <t>T</t>
    </r>
    <r>
      <rPr>
        <vertAlign val="subscript"/>
        <sz val="10"/>
        <rFont val="Arial Cyr"/>
        <charset val="204"/>
      </rPr>
      <t>dis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</si>
  <si>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</si>
  <si>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</si>
  <si>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</si>
  <si>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</si>
  <si>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</si>
  <si>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</si>
  <si>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</si>
  <si>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</si>
  <si>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</si>
  <si>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</si>
  <si>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</si>
  <si>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</si>
  <si>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</si>
  <si>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</si>
  <si>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</si>
  <si>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dN</t>
  </si>
  <si>
    <t>Расчет системы УЭЦН</t>
  </si>
  <si>
    <t>В</t>
  </si>
  <si>
    <t>кВт</t>
  </si>
  <si>
    <r>
      <t>K</t>
    </r>
    <r>
      <rPr>
        <vertAlign val="subscript"/>
        <sz val="10"/>
        <rFont val="Arial Cyr"/>
        <charset val="204"/>
      </rPr>
      <t>sep man</t>
    </r>
  </si>
  <si>
    <t>калибровки</t>
  </si>
  <si>
    <t>pump</t>
  </si>
  <si>
    <t>motor</t>
  </si>
  <si>
    <t>cable</t>
  </si>
  <si>
    <t>ПЭД ЭЦН</t>
  </si>
  <si>
    <t>Параметры потока</t>
  </si>
  <si>
    <t>ID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</si>
  <si>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</si>
  <si>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</si>
  <si>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</si>
  <si>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</si>
  <si>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</si>
  <si>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0"/>
        <rFont val="Arial Cyr"/>
        <charset val="204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</si>
  <si>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</si>
  <si>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</si>
  <si>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</si>
  <si>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Ixcf</t>
  </si>
  <si>
    <t>Кабельная линия</t>
  </si>
  <si>
    <t>L</t>
  </si>
  <si>
    <t>R</t>
  </si>
  <si>
    <t>Сепарация газа</t>
  </si>
  <si>
    <t>Система УЭЦН</t>
  </si>
  <si>
    <r>
      <t>d</t>
    </r>
    <r>
      <rPr>
        <vertAlign val="subscript"/>
        <sz val="10"/>
        <rFont val="Arial Cyr"/>
        <charset val="204"/>
      </rPr>
      <t>od</t>
    </r>
  </si>
  <si>
    <t>мм</t>
  </si>
  <si>
    <t>gas_corr</t>
  </si>
  <si>
    <r>
      <t>Q</t>
    </r>
    <r>
      <rPr>
        <vertAlign val="subscript"/>
        <sz val="10"/>
        <rFont val="Arial Cyr"/>
        <charset val="204"/>
      </rPr>
      <t>nom</t>
    </r>
  </si>
  <si>
    <r>
      <t>H</t>
    </r>
    <r>
      <rPr>
        <vertAlign val="subscript"/>
        <sz val="10"/>
        <rFont val="Arial Cyr"/>
        <charset val="204"/>
      </rPr>
      <t>nom</t>
    </r>
  </si>
  <si>
    <t xml:space="preserve">PVT </t>
  </si>
  <si>
    <r>
      <t>c</t>
    </r>
    <r>
      <rPr>
        <vertAlign val="subscript"/>
        <sz val="10"/>
        <rFont val="Arial Cyr"/>
        <charset val="204"/>
      </rPr>
      <t>calibr_head</t>
    </r>
  </si>
  <si>
    <r>
      <t>c</t>
    </r>
    <r>
      <rPr>
        <vertAlign val="subscript"/>
        <sz val="10"/>
        <rFont val="Arial Cyr"/>
        <charset val="204"/>
      </rPr>
      <t>calibr_rate</t>
    </r>
  </si>
  <si>
    <r>
      <t>c</t>
    </r>
    <r>
      <rPr>
        <vertAlign val="subscript"/>
        <sz val="10"/>
        <rFont val="Arial Cyr"/>
        <charset val="204"/>
      </rPr>
      <t>calibr_power</t>
    </r>
  </si>
  <si>
    <r>
      <t>P</t>
    </r>
    <r>
      <rPr>
        <vertAlign val="subscript"/>
        <sz val="10"/>
        <rFont val="Arial Cyr"/>
        <charset val="204"/>
      </rPr>
      <t>fact</t>
    </r>
  </si>
  <si>
    <r>
      <t>U</t>
    </r>
    <r>
      <rPr>
        <vertAlign val="subscript"/>
        <sz val="10"/>
        <rFont val="Arial Cyr"/>
        <charset val="204"/>
      </rPr>
      <t>раб</t>
    </r>
  </si>
  <si>
    <r>
      <t>F</t>
    </r>
    <r>
      <rPr>
        <vertAlign val="subscript"/>
        <sz val="10"/>
        <rFont val="Arial Cyr"/>
        <charset val="204"/>
      </rPr>
      <t>surf</t>
    </r>
  </si>
  <si>
    <t>gassep</t>
  </si>
  <si>
    <t>M_gassep</t>
  </si>
  <si>
    <t>Nm</t>
  </si>
  <si>
    <t>feed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</si>
</sst>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0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2" fontId="0" fillId="7" borderId="0" xfId="0" applyNumberForma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/>
    </xf>
    <xf numFmtId="2" fontId="0" fillId="7" borderId="8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6" borderId="3" xfId="0" applyFill="1" applyBorder="1"/>
    <xf numFmtId="0" fontId="0" fillId="5" borderId="0" xfId="0" applyFill="1" applyBorder="1"/>
    <xf numFmtId="1" fontId="0" fillId="7" borderId="0" xfId="0" applyNumberFormat="1" applyFill="1" applyBorder="1" applyAlignment="1">
      <alignment horizontal="center" vertical="center" wrapText="1"/>
    </xf>
    <xf numFmtId="0" fontId="0" fillId="6" borderId="0" xfId="0" applyFill="1" applyBorder="1"/>
    <xf numFmtId="164" fontId="0" fillId="9" borderId="8" xfId="0" applyNumberFormat="1" applyFill="1" applyBorder="1" applyAlignment="1">
      <alignment horizontal="center"/>
    </xf>
    <xf numFmtId="2" fontId="0" fillId="9" borderId="8" xfId="0" applyNumberFormat="1" applyFill="1" applyBorder="1" applyAlignment="1">
      <alignment horizontal="center"/>
    </xf>
    <xf numFmtId="165" fontId="0" fillId="0" borderId="0" xfId="0" applyNumberFormat="1" applyAlignment="1">
      <alignment wrapText="1"/>
    </xf>
    <xf numFmtId="1" fontId="0" fillId="7" borderId="7" xfId="0" applyNumberFormat="1" applyFill="1" applyBorder="1" applyAlignment="1">
      <alignment horizontal="left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Exercise_ESP!$D$78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Exercise_ESP!$C$79:$C$99</c:f>
              <c:numCache>
                <c:formatCode>0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Exercise_ESP!$D$79:$D$99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Exercise_ESP!$E$78</c:f>
              <c:strCache>
                <c:ptCount val="1"/>
                <c:pt idx="0">
                  <c:v>Давление на входе</c:v>
                </c:pt>
              </c:strCache>
            </c:strRef>
          </c:tx>
          <c:xVal>
            <c:numRef>
              <c:f>Exercise_ESP!$C$79:$C$99</c:f>
              <c:numCache>
                <c:formatCode>0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Exercise_ESP!$E$79:$E$99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Exercise_ESP!$F$78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Exercise_ESP!$C$79:$C$99</c:f>
              <c:numCache>
                <c:formatCode>0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Exercise_ESP!$F$79:$F$99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Exercise_ESP!$H$78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Exercise_ESP!$C$79:$C$99</c:f>
              <c:numCache>
                <c:formatCode>0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Exercise_ESP!$H$79:$H$99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Exercise_ESP!$E$106</c:f>
              <c:strCache>
                <c:ptCount val="1"/>
                <c:pt idx="0">
                  <c:v>Давление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Exercise_ESP!$C$107:$C$127</c:f>
              <c:numCache>
                <c:formatCode>0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Exercise_ESP!$E$107:$E$127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Exercise_ESP!$G$106</c:f>
              <c:strCache>
                <c:ptCount val="1"/>
                <c:pt idx="0">
                  <c:v>Давление на выкиде</c:v>
                </c:pt>
              </c:strCache>
            </c:strRef>
          </c:tx>
          <c:xVal>
            <c:numRef>
              <c:f>Exercise_ESP!$C$79:$C$99</c:f>
              <c:numCache>
                <c:formatCode>0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Exercise_ESP!$G$107:$G$127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Exercise_ESP!$F$106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Exercise_ESP!$C$107:$C$127</c:f>
              <c:numCache>
                <c:formatCode>0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Exercise_ESP!$F$107:$F$127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Exercise_ESP!$H$106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Exercise_ESP!$C$79:$C$99</c:f>
              <c:numCache>
                <c:formatCode>0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Exercise_ESP!$H$107:$H$127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Exercise_ESP!$E$49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Exercise_ESP!$C$50:$C$69</c:f>
              <c:numCache>
                <c:formatCode>0</c:formatCode>
                <c:ptCount val="20"/>
              </c:numCache>
            </c:numRef>
          </c:xVal>
          <c:yVal>
            <c:numRef>
              <c:f>Exercise_ESP!$E$50:$E$69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Exercise_ESP!$F$49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Exercise_ESP!$C$50:$C$69</c:f>
              <c:numCache>
                <c:formatCode>0</c:formatCode>
                <c:ptCount val="20"/>
              </c:numCache>
            </c:numRef>
          </c:xVal>
          <c:yVal>
            <c:numRef>
              <c:f>Exercise_ESP!$F$50:$F$69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Exercise_ESP!$H$49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Exercise_ESP!$C$50:$C$69</c:f>
              <c:numCache>
                <c:formatCode>0</c:formatCode>
                <c:ptCount val="20"/>
              </c:numCache>
            </c:numRef>
          </c:xVal>
          <c:yVal>
            <c:numRef>
              <c:f>Exercise_ESP!$H$50:$H$69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Exercise_ESP!$G$49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Exercise_ESP!$C$50:$C$69</c:f>
              <c:numCache>
                <c:formatCode>0</c:formatCode>
                <c:ptCount val="20"/>
              </c:numCache>
            </c:numRef>
          </c:xVal>
          <c:yVal>
            <c:numRef>
              <c:f>Exercise_ESP!$G$50:$G$69</c:f>
              <c:numCache>
                <c:formatCode>0.00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r>
            <a:rPr lang="en-US" sz="1100" baseline="0"/>
            <a:t> </a:t>
          </a:r>
          <a:r>
            <a:rPr lang="ru-RU" sz="1100" baseline="0"/>
            <a:t>и параметры работы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ESP_system_calc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77</xdr:row>
      <xdr:rowOff>26194</xdr:rowOff>
    </xdr:from>
    <xdr:to>
      <xdr:col>21</xdr:col>
      <xdr:colOff>577183</xdr:colOff>
      <xdr:row>100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Что такое проскальзывание и чем отличается частота тока и частота вращения вала ЭЦН? Всегда ли они отличаются?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 что влияет напряжение подаваемое на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 отличается КПД ЭЦН и КПД УЭЦН?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Что такое загрузка ЭЦН? А нагрузка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 что влияет коэффициент мощности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 phi?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26</xdr:col>
      <xdr:colOff>81643</xdr:colOff>
      <xdr:row>58</xdr:row>
      <xdr:rowOff>152400</xdr:rowOff>
    </xdr:from>
    <xdr:to>
      <xdr:col>29</xdr:col>
      <xdr:colOff>299358</xdr:colOff>
      <xdr:row>62</xdr:row>
      <xdr:rowOff>81558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20152179" y="12099471"/>
          <a:ext cx="3796393" cy="58230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83</xdr:row>
      <xdr:rowOff>69849</xdr:rowOff>
    </xdr:from>
    <xdr:to>
      <xdr:col>12</xdr:col>
      <xdr:colOff>37043</xdr:colOff>
      <xdr:row>90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77</xdr:row>
      <xdr:rowOff>9525</xdr:rowOff>
    </xdr:from>
    <xdr:to>
      <xdr:col>30</xdr:col>
      <xdr:colOff>413684</xdr:colOff>
      <xdr:row>99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104</xdr:row>
      <xdr:rowOff>70036</xdr:rowOff>
    </xdr:from>
    <xdr:to>
      <xdr:col>21</xdr:col>
      <xdr:colOff>679263</xdr:colOff>
      <xdr:row>127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104</xdr:row>
      <xdr:rowOff>28575</xdr:rowOff>
    </xdr:from>
    <xdr:to>
      <xdr:col>30</xdr:col>
      <xdr:colOff>423209</xdr:colOff>
      <xdr:row>127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112</xdr:row>
      <xdr:rowOff>3174</xdr:rowOff>
    </xdr:from>
    <xdr:to>
      <xdr:col>12</xdr:col>
      <xdr:colOff>132293</xdr:colOff>
      <xdr:row>118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96908</xdr:colOff>
      <xdr:row>76</xdr:row>
      <xdr:rowOff>156648</xdr:rowOff>
    </xdr:from>
    <xdr:to>
      <xdr:col>36</xdr:col>
      <xdr:colOff>498385</xdr:colOff>
      <xdr:row>103</xdr:row>
      <xdr:rowOff>90255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589987</xdr:colOff>
      <xdr:row>76</xdr:row>
      <xdr:rowOff>137805</xdr:rowOff>
    </xdr:from>
    <xdr:to>
      <xdr:col>44</xdr:col>
      <xdr:colOff>91140</xdr:colOff>
      <xdr:row>103</xdr:row>
      <xdr:rowOff>26031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347455</xdr:colOff>
      <xdr:row>6</xdr:row>
      <xdr:rowOff>138573</xdr:rowOff>
    </xdr:from>
    <xdr:to>
      <xdr:col>25</xdr:col>
      <xdr:colOff>549551</xdr:colOff>
      <xdr:row>11</xdr:row>
      <xdr:rowOff>234695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18587830" y="1195848"/>
          <a:ext cx="1859446" cy="981947"/>
        </a:xfrm>
        <a:prstGeom prst="leftArrowCallout">
          <a:avLst>
            <a:gd name="adj1" fmla="val 20027"/>
            <a:gd name="adj2" fmla="val 25000"/>
            <a:gd name="adj3" fmla="val 19198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UniflocVBA_7"/>
    </sheetNames>
    <definedNames>
      <definedName name="decode_json"/>
      <definedName name="decode_json_string"/>
      <definedName name="encode_ESP_cable"/>
      <definedName name="encode_ESP_motor"/>
      <definedName name="encode_ESP_pump"/>
      <definedName name="encode_ESP_separation"/>
      <definedName name="encode_feed"/>
      <definedName name="encode_PVT"/>
      <definedName name="ESP_head_m"/>
      <definedName name="ESP_id_by_rate"/>
      <definedName name="ESP_name"/>
      <definedName name="ESP_p_atma"/>
      <definedName name="ESP_rate_max_sm3day"/>
      <definedName name="ESP_system_calc"/>
      <definedName name="unf_Versio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D189"/>
  <sheetViews>
    <sheetView tabSelected="1" topLeftCell="A10" zoomScale="115" zoomScaleNormal="115" workbookViewId="0">
      <selection activeCell="B47" sqref="B47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140625" customWidth="1"/>
    <col min="6" max="6" width="13.42578125" customWidth="1"/>
    <col min="7" max="7" width="11.140625" customWidth="1"/>
    <col min="8" max="8" width="11.85546875" customWidth="1"/>
    <col min="9" max="9" width="11.140625" customWidth="1"/>
    <col min="10" max="10" width="13.140625" customWidth="1"/>
    <col min="11" max="25" width="11.140625" customWidth="1"/>
    <col min="26" max="26" width="19.5703125" bestFit="1" customWidth="1"/>
    <col min="27" max="27" width="19" bestFit="1" customWidth="1"/>
    <col min="28" max="28" width="14.7109375" bestFit="1" customWidth="1"/>
    <col min="29" max="29" width="20" bestFit="1" customWidth="1"/>
    <col min="30" max="30" width="9.7109375" bestFit="1" customWidth="1"/>
    <col min="31" max="31" width="13.42578125" bestFit="1" customWidth="1"/>
    <col min="32" max="37" width="12.42578125" customWidth="1"/>
  </cols>
  <sheetData>
    <row r="1" spans="1:12" x14ac:dyDescent="0.2">
      <c r="A1" s="1" t="s">
        <v>12</v>
      </c>
      <c r="F1" t="s">
        <v>13</v>
      </c>
      <c r="G1" t="str">
        <f>[1]!unf_Version()</f>
        <v>7.30</v>
      </c>
      <c r="H1" t="s">
        <v>47</v>
      </c>
      <c r="I1" s="24">
        <v>44362</v>
      </c>
      <c r="J1" s="18"/>
      <c r="K1" s="18"/>
      <c r="L1" s="18"/>
    </row>
    <row r="2" spans="1:12" x14ac:dyDescent="0.2">
      <c r="A2" t="s">
        <v>63</v>
      </c>
      <c r="H2" t="s">
        <v>48</v>
      </c>
      <c r="I2" s="25">
        <v>7.3</v>
      </c>
      <c r="J2" s="18"/>
      <c r="K2" s="18"/>
      <c r="L2" s="18"/>
    </row>
    <row r="3" spans="1:12" ht="15" x14ac:dyDescent="0.25">
      <c r="A3" s="26" t="s">
        <v>49</v>
      </c>
      <c r="B3" s="58" t="s">
        <v>50</v>
      </c>
      <c r="C3" s="59"/>
      <c r="D3" s="59"/>
      <c r="E3" s="60"/>
      <c r="H3" t="s">
        <v>51</v>
      </c>
      <c r="I3" s="18" t="s">
        <v>50</v>
      </c>
      <c r="J3" s="18"/>
      <c r="K3" s="18"/>
      <c r="L3" s="18"/>
    </row>
    <row r="4" spans="1:12" ht="15" x14ac:dyDescent="0.25">
      <c r="A4" s="26" t="s">
        <v>52</v>
      </c>
      <c r="B4" s="58" t="s">
        <v>53</v>
      </c>
      <c r="C4" s="59"/>
      <c r="D4" s="59"/>
      <c r="E4" s="60"/>
      <c r="H4" t="s">
        <v>54</v>
      </c>
      <c r="I4" s="18" t="s">
        <v>53</v>
      </c>
      <c r="J4" s="18"/>
      <c r="K4" s="18"/>
      <c r="L4" s="18"/>
    </row>
    <row r="5" spans="1:12" ht="15" x14ac:dyDescent="0.25">
      <c r="A5" s="26" t="s">
        <v>55</v>
      </c>
      <c r="B5" s="58" t="s">
        <v>56</v>
      </c>
      <c r="C5" s="59"/>
      <c r="D5" s="59"/>
      <c r="E5" s="60"/>
      <c r="H5" t="s">
        <v>57</v>
      </c>
      <c r="I5" s="18" t="s">
        <v>56</v>
      </c>
      <c r="J5" s="18"/>
      <c r="K5" s="18"/>
      <c r="L5" s="18"/>
    </row>
    <row r="6" spans="1:12" x14ac:dyDescent="0.2">
      <c r="A6" s="27" t="s">
        <v>58</v>
      </c>
      <c r="B6" s="61" t="s">
        <v>59</v>
      </c>
      <c r="C6" s="62"/>
      <c r="D6" s="62"/>
      <c r="E6" s="63"/>
      <c r="H6" s="28" t="s">
        <v>60</v>
      </c>
      <c r="I6" s="29" t="s">
        <v>59</v>
      </c>
      <c r="J6" s="29"/>
      <c r="K6" s="29"/>
      <c r="L6" s="29"/>
    </row>
    <row r="7" spans="1:12" x14ac:dyDescent="0.2">
      <c r="A7" s="30"/>
      <c r="B7" s="64"/>
      <c r="C7" s="65"/>
      <c r="D7" s="65"/>
      <c r="E7" s="66"/>
      <c r="H7" s="28"/>
      <c r="I7" s="29"/>
      <c r="J7" s="29"/>
      <c r="K7" s="29"/>
      <c r="L7" s="29"/>
    </row>
    <row r="8" spans="1:12" x14ac:dyDescent="0.2">
      <c r="A8" s="31"/>
      <c r="B8" s="67"/>
      <c r="C8" s="68"/>
      <c r="D8" s="68"/>
      <c r="E8" s="69"/>
      <c r="H8" s="28"/>
      <c r="I8" s="29"/>
      <c r="J8" s="29"/>
      <c r="K8" s="29"/>
      <c r="L8" s="29"/>
    </row>
    <row r="10" spans="1:12" x14ac:dyDescent="0.2">
      <c r="A10" s="1" t="s">
        <v>7</v>
      </c>
    </row>
    <row r="11" spans="1:12" ht="18" customHeight="1" x14ac:dyDescent="0.35">
      <c r="B11" s="8" t="s">
        <v>14</v>
      </c>
      <c r="C11" s="2">
        <v>0.9</v>
      </c>
      <c r="D11" s="9"/>
      <c r="E11" s="10">
        <f>gamma_oil_*1000</f>
        <v>900</v>
      </c>
      <c r="F11" s="11" t="s">
        <v>15</v>
      </c>
    </row>
    <row r="12" spans="1:12" ht="18" customHeight="1" x14ac:dyDescent="0.35">
      <c r="B12" s="11" t="s">
        <v>16</v>
      </c>
      <c r="C12" s="2">
        <v>1</v>
      </c>
      <c r="D12" s="9"/>
      <c r="E12" s="10">
        <f>gamma_wat_*1000</f>
        <v>1000</v>
      </c>
      <c r="F12" s="11" t="s">
        <v>15</v>
      </c>
    </row>
    <row r="13" spans="1:12" ht="18" customHeight="1" x14ac:dyDescent="0.35">
      <c r="B13" s="11" t="s">
        <v>17</v>
      </c>
      <c r="C13" s="2">
        <v>0.8</v>
      </c>
      <c r="D13" s="9"/>
      <c r="E13" s="10">
        <f>gamma_gas_*1.22</f>
        <v>0.97599999999999998</v>
      </c>
      <c r="F13" s="11" t="s">
        <v>15</v>
      </c>
    </row>
    <row r="14" spans="1:12" ht="18" customHeight="1" x14ac:dyDescent="0.35">
      <c r="B14" s="12" t="s">
        <v>18</v>
      </c>
      <c r="C14" s="2">
        <v>80</v>
      </c>
      <c r="D14" s="11" t="s">
        <v>19</v>
      </c>
      <c r="E14" s="13">
        <f>Rsb_/gamma_oil_</f>
        <v>88.888888888888886</v>
      </c>
      <c r="F14" s="11" t="s">
        <v>20</v>
      </c>
    </row>
    <row r="15" spans="1:12" ht="18" customHeight="1" x14ac:dyDescent="0.2"/>
    <row r="16" spans="1:12" ht="18" customHeight="1" x14ac:dyDescent="0.35">
      <c r="B16" s="11" t="s">
        <v>22</v>
      </c>
      <c r="C16" s="2">
        <v>120</v>
      </c>
      <c r="D16" s="9" t="s">
        <v>23</v>
      </c>
      <c r="E16" s="13">
        <f>Pb_*1.01325</f>
        <v>121.59</v>
      </c>
      <c r="F16" s="9" t="s">
        <v>24</v>
      </c>
    </row>
    <row r="17" spans="1:26" ht="18" customHeight="1" x14ac:dyDescent="0.35">
      <c r="B17" s="11" t="s">
        <v>25</v>
      </c>
      <c r="C17" s="2">
        <v>100</v>
      </c>
      <c r="D17" s="9" t="s">
        <v>2</v>
      </c>
      <c r="E17" s="13">
        <f>Tres_*9/5+32</f>
        <v>212</v>
      </c>
      <c r="F17" s="9" t="s">
        <v>26</v>
      </c>
    </row>
    <row r="18" spans="1:26" ht="18" customHeight="1" x14ac:dyDescent="0.35">
      <c r="B18" s="12" t="s">
        <v>27</v>
      </c>
      <c r="C18" s="2">
        <v>1.2</v>
      </c>
      <c r="D18" s="11" t="s">
        <v>19</v>
      </c>
    </row>
    <row r="19" spans="1:26" ht="18" customHeight="1" x14ac:dyDescent="0.35">
      <c r="B19" s="19" t="s">
        <v>42</v>
      </c>
      <c r="C19" s="2">
        <v>1</v>
      </c>
      <c r="D19" s="11" t="s">
        <v>41</v>
      </c>
    </row>
    <row r="20" spans="1:26" ht="18" customHeight="1" x14ac:dyDescent="0.2"/>
    <row r="21" spans="1:26" ht="18" customHeight="1" x14ac:dyDescent="0.2"/>
    <row r="22" spans="1:26" ht="18" customHeight="1" x14ac:dyDescent="0.2">
      <c r="A22" t="s">
        <v>88</v>
      </c>
    </row>
    <row r="23" spans="1:26" ht="18" customHeight="1" x14ac:dyDescent="0.2">
      <c r="B23" s="1" t="s">
        <v>40</v>
      </c>
      <c r="F23" t="s">
        <v>71</v>
      </c>
      <c r="J23" t="s">
        <v>84</v>
      </c>
      <c r="N23" t="s">
        <v>87</v>
      </c>
      <c r="R23" t="s">
        <v>72</v>
      </c>
      <c r="S23" s="3"/>
      <c r="T23" s="4"/>
    </row>
    <row r="24" spans="1:26" ht="18" customHeight="1" x14ac:dyDescent="0.3">
      <c r="B24" s="15" t="s">
        <v>92</v>
      </c>
      <c r="C24" s="2">
        <v>50</v>
      </c>
      <c r="D24" s="15" t="s">
        <v>3</v>
      </c>
      <c r="F24" s="20" t="s">
        <v>73</v>
      </c>
      <c r="G24" s="2">
        <v>0</v>
      </c>
      <c r="H24" s="20"/>
      <c r="J24" s="14" t="s">
        <v>85</v>
      </c>
      <c r="K24" s="2">
        <v>1000</v>
      </c>
      <c r="L24" s="20"/>
      <c r="N24" s="20" t="s">
        <v>66</v>
      </c>
      <c r="O24" s="5">
        <v>0.5</v>
      </c>
      <c r="P24" s="20"/>
      <c r="R24" s="14" t="s">
        <v>30</v>
      </c>
      <c r="S24" s="2">
        <v>30</v>
      </c>
      <c r="T24" s="20" t="s">
        <v>3</v>
      </c>
    </row>
    <row r="25" spans="1:26" ht="18" customHeight="1" x14ac:dyDescent="0.35">
      <c r="B25" s="15" t="s">
        <v>73</v>
      </c>
      <c r="C25" s="10" cm="1">
        <f t="array" ref="C25">[1]!ESP_id_by_rate(Q_ESP_)</f>
        <v>1005</v>
      </c>
      <c r="D25" s="15"/>
      <c r="F25" s="20" t="s">
        <v>74</v>
      </c>
      <c r="G25" s="2">
        <v>1000</v>
      </c>
      <c r="H25" s="20" t="s">
        <v>64</v>
      </c>
      <c r="J25" s="14" t="s">
        <v>86</v>
      </c>
      <c r="K25" s="2">
        <v>1.18</v>
      </c>
      <c r="L25" s="20"/>
      <c r="N25" s="15" t="s">
        <v>37</v>
      </c>
      <c r="O25" s="5">
        <v>0.2</v>
      </c>
      <c r="P25" s="15"/>
      <c r="R25" s="14" t="s">
        <v>33</v>
      </c>
      <c r="S25" s="2">
        <v>10</v>
      </c>
      <c r="T25" s="20" t="s">
        <v>32</v>
      </c>
    </row>
    <row r="26" spans="1:26" ht="18" customHeight="1" x14ac:dyDescent="0.35">
      <c r="B26" s="15" t="s">
        <v>93</v>
      </c>
      <c r="C26" s="2">
        <v>2000</v>
      </c>
      <c r="D26" s="15" t="s">
        <v>4</v>
      </c>
      <c r="F26" s="20" t="s">
        <v>75</v>
      </c>
      <c r="G26" s="2">
        <v>50</v>
      </c>
      <c r="H26" s="20" t="s">
        <v>5</v>
      </c>
      <c r="N26" s="15" t="s">
        <v>38</v>
      </c>
      <c r="O26" s="7">
        <v>50</v>
      </c>
      <c r="P26" s="15" t="s">
        <v>1</v>
      </c>
      <c r="R26" s="12" t="s">
        <v>21</v>
      </c>
      <c r="S26" s="2">
        <v>80</v>
      </c>
      <c r="T26" s="11" t="s">
        <v>19</v>
      </c>
      <c r="U26" s="13">
        <f>Rsb_/gamma_oil_</f>
        <v>88.888888888888886</v>
      </c>
      <c r="V26" s="11" t="s">
        <v>20</v>
      </c>
    </row>
    <row r="27" spans="1:26" ht="18" customHeight="1" x14ac:dyDescent="0.35">
      <c r="B27" s="15" t="s">
        <v>34</v>
      </c>
      <c r="C27" s="2">
        <v>55</v>
      </c>
      <c r="D27" s="15" t="s">
        <v>5</v>
      </c>
      <c r="F27" s="20" t="s">
        <v>76</v>
      </c>
      <c r="G27" s="2">
        <v>20</v>
      </c>
      <c r="H27" s="20" t="s">
        <v>65</v>
      </c>
      <c r="N27" s="15" t="s">
        <v>39</v>
      </c>
      <c r="O27" s="7">
        <v>80</v>
      </c>
      <c r="P27" s="15" t="s">
        <v>2</v>
      </c>
    </row>
    <row r="28" spans="1:26" ht="18" customHeight="1" x14ac:dyDescent="0.35">
      <c r="B28" s="14" t="s">
        <v>91</v>
      </c>
      <c r="C28" s="2">
        <v>120</v>
      </c>
      <c r="D28" s="20"/>
      <c r="F28" s="20" t="s">
        <v>77</v>
      </c>
      <c r="G28" s="2">
        <v>0.05</v>
      </c>
      <c r="H28" s="20"/>
      <c r="N28" s="20" t="s">
        <v>102</v>
      </c>
      <c r="O28" s="7">
        <v>0</v>
      </c>
      <c r="P28" s="20" t="s">
        <v>103</v>
      </c>
      <c r="R28" s="14" t="s">
        <v>100</v>
      </c>
      <c r="S28" s="2">
        <v>50</v>
      </c>
      <c r="T28" s="20" t="s">
        <v>5</v>
      </c>
    </row>
    <row r="29" spans="1:26" ht="18" customHeight="1" x14ac:dyDescent="0.35">
      <c r="B29" s="14" t="s">
        <v>62</v>
      </c>
      <c r="C29" s="2">
        <v>10</v>
      </c>
      <c r="D29" s="20"/>
      <c r="F29" s="20" t="s">
        <v>78</v>
      </c>
      <c r="G29" s="2">
        <v>0.85</v>
      </c>
      <c r="H29" s="20"/>
      <c r="R29" s="14" t="s">
        <v>99</v>
      </c>
      <c r="S29" s="2">
        <v>1000</v>
      </c>
      <c r="T29" s="20" t="s">
        <v>64</v>
      </c>
      <c r="Z29">
        <v>10</v>
      </c>
    </row>
    <row r="30" spans="1:26" ht="18" customHeight="1" x14ac:dyDescent="0.35">
      <c r="B30" s="1" t="s">
        <v>67</v>
      </c>
      <c r="F30" s="20" t="s">
        <v>79</v>
      </c>
      <c r="G30" s="2">
        <v>0.9</v>
      </c>
      <c r="H30" s="20"/>
      <c r="R30" s="14" t="s">
        <v>98</v>
      </c>
      <c r="S30" s="2">
        <v>30</v>
      </c>
      <c r="T30" s="20" t="s">
        <v>65</v>
      </c>
      <c r="Z30">
        <v>3</v>
      </c>
    </row>
    <row r="31" spans="1:26" ht="18" customHeight="1" x14ac:dyDescent="0.3">
      <c r="B31" s="14" t="s">
        <v>95</v>
      </c>
      <c r="C31" s="2">
        <v>1</v>
      </c>
      <c r="D31" s="20"/>
      <c r="F31" s="20" t="s">
        <v>80</v>
      </c>
      <c r="G31" s="2"/>
      <c r="H31" s="20"/>
      <c r="Z31">
        <v>30</v>
      </c>
    </row>
    <row r="32" spans="1:26" ht="18" customHeight="1" x14ac:dyDescent="0.3">
      <c r="B32" s="14" t="s">
        <v>96</v>
      </c>
      <c r="C32" s="2">
        <v>1</v>
      </c>
      <c r="D32" s="20"/>
      <c r="F32" s="20" t="s">
        <v>81</v>
      </c>
      <c r="G32" s="2"/>
      <c r="H32" s="20"/>
      <c r="R32" s="1" t="s">
        <v>40</v>
      </c>
      <c r="S32" s="3"/>
      <c r="T32" s="4"/>
      <c r="Z32">
        <f>Z31*Z30*Z29</f>
        <v>900</v>
      </c>
    </row>
    <row r="33" spans="1:29" ht="18" customHeight="1" x14ac:dyDescent="0.3">
      <c r="B33" s="14" t="s">
        <v>97</v>
      </c>
      <c r="C33" s="2">
        <v>1</v>
      </c>
      <c r="D33" s="20"/>
      <c r="F33" s="20" t="s">
        <v>82</v>
      </c>
      <c r="G33" s="2"/>
      <c r="H33" s="20"/>
      <c r="R33" s="14" t="s">
        <v>28</v>
      </c>
      <c r="S33" s="2">
        <v>50</v>
      </c>
      <c r="T33" s="15" t="s">
        <v>1</v>
      </c>
    </row>
    <row r="34" spans="1:29" ht="18" customHeight="1" x14ac:dyDescent="0.3">
      <c r="F34" s="20" t="s">
        <v>83</v>
      </c>
      <c r="G34" s="2"/>
      <c r="H34" s="20"/>
      <c r="R34" s="14" t="s">
        <v>29</v>
      </c>
      <c r="S34" s="2">
        <v>80</v>
      </c>
      <c r="T34" s="15" t="s">
        <v>2</v>
      </c>
    </row>
    <row r="35" spans="1:29" ht="18" customHeight="1" x14ac:dyDescent="0.3">
      <c r="B35" s="15" t="s">
        <v>35</v>
      </c>
      <c r="C35" s="10" t="e" cm="1">
        <f t="array" aca="1" ref="C35" ca="1">[1]!ESP_name(PumpID_)</f>
        <v>#NAME?</v>
      </c>
      <c r="D35" s="15"/>
      <c r="F35" s="20" t="s">
        <v>89</v>
      </c>
      <c r="G35" s="2">
        <v>117</v>
      </c>
      <c r="H35" s="20" t="s">
        <v>90</v>
      </c>
      <c r="R35" s="14" t="s">
        <v>31</v>
      </c>
      <c r="S35" s="2">
        <v>150</v>
      </c>
      <c r="T35" s="15" t="s">
        <v>1</v>
      </c>
    </row>
    <row r="36" spans="1:29" ht="18" customHeight="1" x14ac:dyDescent="0.3">
      <c r="B36" s="15" t="s">
        <v>36</v>
      </c>
      <c r="C36" s="10" t="e" cm="1">
        <f t="array" aca="1" ref="C36" ca="1">[1]!ESP_rate_max_sm3day(Freq_,PumpID_)</f>
        <v>#NAME?</v>
      </c>
      <c r="D36" s="15"/>
      <c r="R36" s="14" t="s">
        <v>46</v>
      </c>
      <c r="S36" s="2">
        <v>90</v>
      </c>
      <c r="T36" s="20" t="s">
        <v>2</v>
      </c>
    </row>
    <row r="37" spans="1:29" ht="18" customHeight="1" x14ac:dyDescent="0.2">
      <c r="A37" s="1"/>
      <c r="B37" s="15" t="s">
        <v>8</v>
      </c>
      <c r="C37" s="44" t="e" cm="1">
        <f t="array" aca="1" ref="C37" ca="1">INT(Head_ESP_/[1]!ESP_head_m(Q_ESP_,1,,PumpID_))</f>
        <v>#NAME?</v>
      </c>
      <c r="D37" s="15" t="s">
        <v>6</v>
      </c>
    </row>
    <row r="38" spans="1:29" ht="18" customHeight="1" x14ac:dyDescent="0.2">
      <c r="K38" s="33">
        <f>K47</f>
        <v>0</v>
      </c>
    </row>
    <row r="39" spans="1:29" ht="18" customHeight="1" x14ac:dyDescent="0.2"/>
    <row r="40" spans="1:29" ht="18" customHeight="1" x14ac:dyDescent="0.2">
      <c r="B40" s="47" t="s">
        <v>94</v>
      </c>
      <c r="C40" s="48" t="str" cm="1">
        <f t="array" ref="C40">[1]!encode_PVT(gamma_gas_,gamma_oil_,,Rsb_,Pb_,Tres_,Bob_,muob_)</f>
        <v>{"gamma_gas":0.8,"gamma_oil":0.9,"gamma_wat":1,"rsb_m3m3":80,"pb_atma":120,"t_res_C":100,"bob_m3m3":1.2,"muob_cP":1}</v>
      </c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</row>
    <row r="41" spans="1:29" ht="18" customHeight="1" x14ac:dyDescent="0.2">
      <c r="B41" s="47" t="s">
        <v>104</v>
      </c>
      <c r="C41" s="48" t="str" cm="1">
        <f t="array" ref="C41">[1]!encode_feed(Q_,fw_,Rp_,,PVT_json)</f>
        <v>{"gamma_gas":0.8,"gamma_oil":0.9,"gamma_wat":1,"rsb_m3m3":80,"pb_atma":120,"t_res_C":100,"bob_m3m3":1.2,"muob_cP":1,"q_liq_sm3day":30,"fw_perc":10,"rp_m3m3":80}</v>
      </c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</row>
    <row r="42" spans="1:29" ht="18" customHeight="1" x14ac:dyDescent="0.2">
      <c r="B42" s="47" t="s">
        <v>68</v>
      </c>
      <c r="C42" s="48" t="str" cm="1">
        <f t="array" ref="C42">[1]!encode_ESP_pump(PumpID_,Head_ESP_,,Freq_)</f>
        <v>{"ESP_ID":1005,"head_nom_m":2000,"freq_Hz":55,"gas_correct_model":0,"gas_correct_stage_by_stage":0,"calibr_head":1,"calibr_power":1,"calibr_rate":1,"dnum_stages_integrate":1}</v>
      </c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</row>
    <row r="43" spans="1:29" ht="18" customHeight="1" x14ac:dyDescent="0.2">
      <c r="B43" s="47" t="s">
        <v>69</v>
      </c>
      <c r="C43" s="48" t="str" cm="1">
        <f t="array" ref="C43">[1]!encode_ESP_motor()</f>
        <v>{"motor_ID":0,"U_surf_high_lin_V":1000,"f_surf_Hz":50,"power_fact_kW":30,"U_nom_lin_V":1000,"P_nom_kW":30,"F_nom_Hz":50,"eff_nom_fr":0.82,"cosphi_nom_fr":0.88,"slip_nom_fr":0.053}</v>
      </c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AC43" t="e" cm="1">
        <f t="array" aca="1" ref="AC43" ca="1">[1]!decode_json_string(K38)</f>
        <v>#NAME?</v>
      </c>
    </row>
    <row r="44" spans="1:29" ht="18" customHeight="1" x14ac:dyDescent="0.2">
      <c r="B44" s="47" t="s">
        <v>70</v>
      </c>
      <c r="C44" s="48" t="str" cm="1">
        <f t="array" ref="C44">[1]!encode_ESP_cable()</f>
        <v>{"cable_R_Omkm":1.18,"cable_X_Omkm":0.01,"cable_t_max_C":120,"manufacturer":"default","name":"default_name","d_mm":16,"length_m":1000}</v>
      </c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</row>
    <row r="45" spans="1:29" ht="18" customHeight="1" x14ac:dyDescent="0.2">
      <c r="B45" s="50" t="s">
        <v>101</v>
      </c>
      <c r="C45" s="48" t="str" cm="1">
        <f t="array" ref="C45">[1]!encode_ESP_separation(0)</f>
        <v>{"separation_mode":"byCorrealation","gassep_type":0,"natsep_type":0,"psep_man_atma":0,"tsep_man_C":0}</v>
      </c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</row>
    <row r="46" spans="1:29" ht="24.75" customHeight="1" x14ac:dyDescent="0.2">
      <c r="B46" t="s">
        <v>61</v>
      </c>
    </row>
    <row r="47" spans="1:29" x14ac:dyDescent="0.2">
      <c r="B47" s="54" cm="1">
        <f t="array" ref="B47:N47">[1]!ESP_system_calc(Pintake_,U,Fsurf,Energy_fact,Tintake_,Tdis_,feed,pump_json,motor_json,cable_json,gassep)</f>
        <v>172.04644348085861</v>
      </c>
      <c r="C47" s="46">
        <v>0</v>
      </c>
      <c r="D47" s="38">
        <v>54.211466146123577</v>
      </c>
      <c r="E47" s="38" t="str">
        <v>{"length_motor_m":10,"length_pump_m":19.6,"angle":90,"d_od_m":0.092,"d_cas_mm":150,"d_cas_min_m":0.1217,"d_motor_cas_min_mm":123,"d_motor_od_m":117}</v>
      </c>
      <c r="F47" s="45">
        <v>0</v>
      </c>
      <c r="G47" s="45">
        <v>0</v>
      </c>
      <c r="H47" s="38">
        <v>0</v>
      </c>
      <c r="I47" s="38" t="str">
        <v>{"Pow_freq_Hz":50,"ESP_freq_Hz":47.35,"I_A":12.9042822228453,"load_%":53.7612985214629,"power_CS_kW":21.4919777651735,"power_motor_kW":19.6687677517547,"power_shaft_kW":16.1283895564389,"power_ESP_kW":15.8308807321439,"power_fluid_kW":6.55410354939759,"U_motor_V":1000,"eff_total_d":0.304955812862329,"eff_ESP_d":0.414007512297769,"eff_fact_d":0,"dp_unknown_kW":0,"Pmotor_nom_kW":16.1283895564389,"power_CS_fact_kW":0,"motor_eff_fr":0.82,"cable_R_Omkm":1.18,"dPower_protector_kW":0.4,"dPower_GasSep_kW":0.297508824294953,"dPower_CS_kW":0.625979934907967,"dPower_transform_kW":0.607747509619385,"cos_phi":0.88}</v>
      </c>
      <c r="J47" s="38">
        <v>0</v>
      </c>
      <c r="K47" s="51">
        <v>0</v>
      </c>
      <c r="L47" s="52" t="str">
        <v>{"ksep_nat_fr":0.617758412710653,"ksep_gassep_fr":0.831329969285638,"ksep_total_fr":0.935527299731599,"p_ksep_atma":50,"t_ksep_C":80,"isGasSep":true,"ksep_liquid_man_d":0,"d_od_m":0.125,"d_cas_m":0.135,"angle_deg":90,"gassep_type":0,"natsep_type":0,"M_Nm":1,"freq_Hz":47.35}</v>
      </c>
      <c r="M47" s="52">
        <v>0</v>
      </c>
      <c r="N47" s="51">
        <v>0</v>
      </c>
    </row>
    <row r="48" spans="1:29" s="3" customFormat="1" x14ac:dyDescent="0.2">
      <c r="B48" s="39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T48" s="53"/>
    </row>
    <row r="49" spans="2:23" s="3" customFormat="1" x14ac:dyDescent="0.2">
      <c r="B49" s="4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T49" s="53"/>
    </row>
    <row r="50" spans="2:23" s="3" customFormat="1" x14ac:dyDescent="0.2">
      <c r="B50" s="41"/>
      <c r="C50" s="49"/>
      <c r="D50" s="49"/>
      <c r="E50" s="49"/>
      <c r="F50" s="49"/>
      <c r="G50" s="42"/>
      <c r="H50" s="49"/>
      <c r="I50" s="49"/>
      <c r="J50" s="49"/>
      <c r="K50" s="42"/>
      <c r="L50" s="42"/>
      <c r="M50" s="42"/>
      <c r="N50" s="42"/>
    </row>
    <row r="51" spans="2:23" s="3" customFormat="1" x14ac:dyDescent="0.2">
      <c r="B51" s="41"/>
      <c r="C51" s="49"/>
      <c r="D51" s="49"/>
      <c r="E51" s="49"/>
      <c r="F51" s="49"/>
      <c r="G51" s="42"/>
      <c r="H51" s="49"/>
      <c r="I51" s="49"/>
      <c r="J51" s="49"/>
      <c r="K51" s="42"/>
      <c r="L51" s="42"/>
      <c r="M51" s="42"/>
      <c r="N51" s="42"/>
    </row>
    <row r="52" spans="2:23" s="3" customFormat="1" x14ac:dyDescent="0.2">
      <c r="B52" s="41"/>
      <c r="C52" s="49"/>
      <c r="D52" s="49"/>
      <c r="E52" s="49"/>
      <c r="F52" s="49"/>
      <c r="G52" s="42"/>
      <c r="H52" s="49"/>
      <c r="I52" s="49"/>
      <c r="J52" s="49"/>
      <c r="K52" s="42"/>
      <c r="L52" s="42"/>
      <c r="M52" s="42"/>
      <c r="N52" s="42"/>
      <c r="P52" s="3" t="str" cm="1">
        <f t="array" ref="P52:Q59">[1]!decode_json(E47)</f>
        <v>length_motor_m</v>
      </c>
      <c r="Q52" s="3">
        <v>10</v>
      </c>
      <c r="S52" s="3" t="str" cm="1">
        <f t="array" ref="S52:T74">[1]!decode_json(I47)</f>
        <v>Pow_freq_Hz</v>
      </c>
      <c r="T52" s="3">
        <v>50</v>
      </c>
      <c r="V52" s="3" t="str" cm="1">
        <f t="array" ref="V52:W65">[1]!decode_json(L47)</f>
        <v>ksep_nat_fr</v>
      </c>
      <c r="W52" s="3">
        <v>0.61775841271065302</v>
      </c>
    </row>
    <row r="53" spans="2:23" s="3" customFormat="1" x14ac:dyDescent="0.2">
      <c r="B53" s="41"/>
      <c r="C53" s="49"/>
      <c r="D53" s="49"/>
      <c r="E53" s="49"/>
      <c r="F53" s="49"/>
      <c r="G53" s="42"/>
      <c r="H53" s="49"/>
      <c r="I53" s="49"/>
      <c r="J53" s="49"/>
      <c r="K53" s="42"/>
      <c r="L53" s="42"/>
      <c r="M53" s="42"/>
      <c r="N53" s="42"/>
      <c r="P53" s="3" t="str">
        <v>length_pump_m</v>
      </c>
      <c r="Q53" s="3">
        <v>19.600000000000001</v>
      </c>
      <c r="S53" s="3" t="str">
        <v>ESP_freq_Hz</v>
      </c>
      <c r="T53" s="3">
        <v>47.35</v>
      </c>
      <c r="V53" s="3" t="str">
        <v>ksep_gassep_fr</v>
      </c>
      <c r="W53" s="3">
        <v>0.83132996928563796</v>
      </c>
    </row>
    <row r="54" spans="2:23" s="3" customFormat="1" x14ac:dyDescent="0.2">
      <c r="B54" s="41"/>
      <c r="C54" s="49"/>
      <c r="D54" s="49"/>
      <c r="E54" s="49"/>
      <c r="F54" s="49"/>
      <c r="G54" s="42"/>
      <c r="H54" s="49"/>
      <c r="I54" s="49"/>
      <c r="J54" s="49"/>
      <c r="K54" s="42"/>
      <c r="L54" s="42"/>
      <c r="M54" s="42"/>
      <c r="N54" s="42"/>
      <c r="P54" s="3" t="str">
        <v>angle</v>
      </c>
      <c r="Q54" s="3">
        <v>90</v>
      </c>
      <c r="S54" s="3" t="str">
        <v>I_A</v>
      </c>
      <c r="T54" s="3">
        <v>12.9042822228453</v>
      </c>
      <c r="V54" s="3" t="str">
        <v>ksep_total_fr</v>
      </c>
      <c r="W54" s="3">
        <v>0.93552729973159898</v>
      </c>
    </row>
    <row r="55" spans="2:23" s="3" customFormat="1" x14ac:dyDescent="0.2">
      <c r="B55" s="41"/>
      <c r="C55" s="49"/>
      <c r="D55" s="49"/>
      <c r="E55" s="49"/>
      <c r="F55" s="49"/>
      <c r="G55" s="42"/>
      <c r="H55" s="49"/>
      <c r="I55" s="49"/>
      <c r="J55" s="49"/>
      <c r="K55" s="42"/>
      <c r="L55" s="42"/>
      <c r="M55" s="42"/>
      <c r="N55" s="42"/>
      <c r="P55" s="3" t="str">
        <v>d_od_m</v>
      </c>
      <c r="Q55" s="3">
        <v>9.1999999999999998E-2</v>
      </c>
      <c r="S55" s="3" t="str">
        <v>load_%</v>
      </c>
      <c r="T55" s="3">
        <v>53.761298521462898</v>
      </c>
      <c r="V55" s="3" t="str">
        <v>p_ksep_atma</v>
      </c>
      <c r="W55" s="3">
        <v>50</v>
      </c>
    </row>
    <row r="56" spans="2:23" s="3" customFormat="1" x14ac:dyDescent="0.2">
      <c r="B56" s="41"/>
      <c r="C56" s="49"/>
      <c r="D56" s="49"/>
      <c r="E56" s="49"/>
      <c r="F56" s="49"/>
      <c r="G56" s="42"/>
      <c r="H56" s="49"/>
      <c r="I56" s="49"/>
      <c r="J56" s="49"/>
      <c r="K56" s="42"/>
      <c r="L56" s="42"/>
      <c r="M56" s="42"/>
      <c r="N56" s="42"/>
      <c r="P56" s="3" t="str">
        <v>d_cas_mm</v>
      </c>
      <c r="Q56" s="3">
        <v>150</v>
      </c>
      <c r="S56" s="3" t="str">
        <v>power_CS_kW</v>
      </c>
      <c r="T56" s="3">
        <v>21.491977765173498</v>
      </c>
      <c r="V56" s="3" t="str">
        <v>t_ksep_C</v>
      </c>
      <c r="W56" s="3">
        <v>80</v>
      </c>
    </row>
    <row r="57" spans="2:23" s="3" customFormat="1" x14ac:dyDescent="0.2">
      <c r="B57" s="41"/>
      <c r="C57" s="49"/>
      <c r="D57" s="49"/>
      <c r="E57" s="49"/>
      <c r="F57" s="49"/>
      <c r="G57" s="42"/>
      <c r="H57" s="49"/>
      <c r="I57" s="49"/>
      <c r="J57" s="49"/>
      <c r="K57" s="42"/>
      <c r="L57" s="42"/>
      <c r="M57" s="42"/>
      <c r="N57" s="42"/>
      <c r="P57" s="3" t="str">
        <v>d_cas_min_m</v>
      </c>
      <c r="Q57" s="3">
        <v>0.1217</v>
      </c>
      <c r="S57" s="3" t="str">
        <v>power_motor_kW</v>
      </c>
      <c r="T57" s="3">
        <v>19.6687677517547</v>
      </c>
      <c r="V57" s="3" t="str">
        <v>isGasSep</v>
      </c>
      <c r="W57" s="3" t="b">
        <v>1</v>
      </c>
    </row>
    <row r="58" spans="2:23" s="3" customFormat="1" x14ac:dyDescent="0.2">
      <c r="B58" s="41"/>
      <c r="C58" s="49"/>
      <c r="D58" s="49"/>
      <c r="E58" s="49"/>
      <c r="F58" s="49"/>
      <c r="G58" s="42"/>
      <c r="H58" s="49"/>
      <c r="I58" s="49"/>
      <c r="J58" s="49"/>
      <c r="K58" s="42"/>
      <c r="L58" s="42"/>
      <c r="M58" s="42"/>
      <c r="N58" s="42"/>
      <c r="P58" s="3" t="str">
        <v>d_motor_cas_min_mm</v>
      </c>
      <c r="Q58" s="3">
        <v>123</v>
      </c>
      <c r="S58" s="3" t="str">
        <v>power_shaft_kW</v>
      </c>
      <c r="T58" s="3">
        <v>16.128389556438901</v>
      </c>
      <c r="V58" s="3" t="str">
        <v>ksep_liquid_man_d</v>
      </c>
      <c r="W58" s="3">
        <v>0</v>
      </c>
    </row>
    <row r="59" spans="2:23" s="3" customFormat="1" x14ac:dyDescent="0.2">
      <c r="B59" s="41"/>
      <c r="C59" s="49"/>
      <c r="D59" s="49"/>
      <c r="E59" s="49"/>
      <c r="F59" s="49"/>
      <c r="G59" s="42"/>
      <c r="H59" s="49"/>
      <c r="I59" s="49"/>
      <c r="J59" s="49"/>
      <c r="K59" s="42"/>
      <c r="L59" s="42"/>
      <c r="M59" s="42"/>
      <c r="N59" s="42"/>
      <c r="P59" s="3" t="str">
        <v>d_motor_od_m</v>
      </c>
      <c r="Q59" s="3">
        <v>117</v>
      </c>
      <c r="S59" s="3" t="str">
        <v>power_ESP_kW</v>
      </c>
      <c r="T59" s="3">
        <v>15.8308807321439</v>
      </c>
      <c r="V59" s="3" t="str">
        <v>d_od_m</v>
      </c>
      <c r="W59" s="3">
        <v>0.125</v>
      </c>
    </row>
    <row r="60" spans="2:23" s="3" customFormat="1" x14ac:dyDescent="0.2">
      <c r="B60" s="41"/>
      <c r="C60" s="49"/>
      <c r="D60" s="49"/>
      <c r="E60" s="49"/>
      <c r="F60" s="49"/>
      <c r="G60" s="42"/>
      <c r="H60" s="49"/>
      <c r="I60" s="49"/>
      <c r="J60" s="49"/>
      <c r="K60" s="42"/>
      <c r="L60" s="42"/>
      <c r="M60" s="42"/>
      <c r="N60" s="42"/>
      <c r="S60" s="3" t="str">
        <v>power_fluid_kW</v>
      </c>
      <c r="T60" s="3">
        <v>6.5541035493975901</v>
      </c>
      <c r="V60" s="3" t="str">
        <v>d_cas_m</v>
      </c>
      <c r="W60" s="3">
        <v>0.13500000000000001</v>
      </c>
    </row>
    <row r="61" spans="2:23" s="3" customFormat="1" x14ac:dyDescent="0.2">
      <c r="B61" s="41"/>
      <c r="C61" s="49"/>
      <c r="D61" s="49"/>
      <c r="E61" s="49"/>
      <c r="F61" s="49"/>
      <c r="G61" s="42"/>
      <c r="H61" s="49"/>
      <c r="I61" s="49"/>
      <c r="J61" s="49"/>
      <c r="K61" s="42"/>
      <c r="L61" s="42"/>
      <c r="M61" s="42"/>
      <c r="N61" s="42"/>
      <c r="S61" s="3" t="str">
        <v>U_motor_V</v>
      </c>
      <c r="T61" s="3">
        <v>1000</v>
      </c>
      <c r="V61" s="3" t="str">
        <v>angle_deg</v>
      </c>
      <c r="W61" s="3">
        <v>90</v>
      </c>
    </row>
    <row r="62" spans="2:23" s="3" customFormat="1" x14ac:dyDescent="0.2">
      <c r="B62" s="41"/>
      <c r="C62" s="49"/>
      <c r="D62" s="49"/>
      <c r="E62" s="49"/>
      <c r="F62" s="49"/>
      <c r="G62" s="42"/>
      <c r="H62" s="49"/>
      <c r="I62" s="49"/>
      <c r="J62" s="49"/>
      <c r="K62" s="42"/>
      <c r="L62" s="42"/>
      <c r="M62" s="42"/>
      <c r="N62" s="42"/>
      <c r="S62" s="3" t="str">
        <v>eff_total_d</v>
      </c>
      <c r="T62" s="3">
        <v>0.30495581286232898</v>
      </c>
      <c r="V62" s="3" t="str">
        <v>gassep_type</v>
      </c>
      <c r="W62" s="3">
        <v>0</v>
      </c>
    </row>
    <row r="63" spans="2:23" s="3" customFormat="1" x14ac:dyDescent="0.2">
      <c r="B63" s="41"/>
      <c r="C63" s="49"/>
      <c r="D63" s="49"/>
      <c r="E63" s="49"/>
      <c r="F63" s="49"/>
      <c r="G63" s="42"/>
      <c r="H63" s="49"/>
      <c r="I63" s="49"/>
      <c r="J63" s="49"/>
      <c r="K63" s="42"/>
      <c r="L63" s="42"/>
      <c r="M63" s="42"/>
      <c r="N63" s="42"/>
      <c r="S63" s="3" t="str">
        <v>eff_ESP_d</v>
      </c>
      <c r="T63" s="3">
        <v>0.414007512297769</v>
      </c>
      <c r="V63" s="3" t="str">
        <v>natsep_type</v>
      </c>
      <c r="W63" s="3">
        <v>0</v>
      </c>
    </row>
    <row r="64" spans="2:23" s="3" customFormat="1" x14ac:dyDescent="0.2">
      <c r="B64" s="41"/>
      <c r="C64" s="49"/>
      <c r="D64" s="49"/>
      <c r="E64" s="49"/>
      <c r="F64" s="49"/>
      <c r="G64" s="42"/>
      <c r="H64" s="49"/>
      <c r="I64" s="49"/>
      <c r="J64" s="49"/>
      <c r="K64" s="42"/>
      <c r="L64" s="42"/>
      <c r="M64" s="42"/>
      <c r="N64" s="42"/>
      <c r="S64" s="3" t="str">
        <v>eff_fact_d</v>
      </c>
      <c r="T64" s="3">
        <v>0</v>
      </c>
      <c r="V64" s="3" t="str">
        <v>M_Nm</v>
      </c>
      <c r="W64" s="3">
        <v>1</v>
      </c>
    </row>
    <row r="65" spans="2:25" s="3" customFormat="1" x14ac:dyDescent="0.2">
      <c r="B65" s="41"/>
      <c r="C65" s="49"/>
      <c r="D65" s="49"/>
      <c r="E65" s="49"/>
      <c r="F65" s="49"/>
      <c r="G65" s="42"/>
      <c r="H65" s="49"/>
      <c r="I65" s="49"/>
      <c r="J65" s="49"/>
      <c r="K65" s="42"/>
      <c r="L65" s="42"/>
      <c r="M65" s="42"/>
      <c r="N65" s="42"/>
      <c r="S65" s="3" t="str">
        <v>dp_unknown_kW</v>
      </c>
      <c r="T65" s="3">
        <v>0</v>
      </c>
      <c r="V65" s="3" t="str">
        <v>freq_Hz</v>
      </c>
      <c r="W65" s="3">
        <v>47.35</v>
      </c>
    </row>
    <row r="66" spans="2:25" s="3" customFormat="1" x14ac:dyDescent="0.2">
      <c r="B66" s="41"/>
      <c r="C66" s="49"/>
      <c r="D66" s="49"/>
      <c r="E66" s="49"/>
      <c r="F66" s="49"/>
      <c r="G66" s="42"/>
      <c r="H66" s="49"/>
      <c r="I66" s="49"/>
      <c r="J66" s="49"/>
      <c r="K66" s="42"/>
      <c r="L66" s="42"/>
      <c r="M66" s="42"/>
      <c r="N66" s="42"/>
      <c r="S66" s="3" t="str">
        <v>Pmotor_nom_kW</v>
      </c>
      <c r="T66" s="3">
        <v>16.128389556438901</v>
      </c>
    </row>
    <row r="67" spans="2:25" s="3" customFormat="1" x14ac:dyDescent="0.2">
      <c r="B67" s="41"/>
      <c r="C67" s="49"/>
      <c r="D67" s="49"/>
      <c r="E67" s="49"/>
      <c r="F67" s="49"/>
      <c r="G67" s="42"/>
      <c r="H67" s="49"/>
      <c r="I67" s="49"/>
      <c r="J67" s="49"/>
      <c r="K67" s="42"/>
      <c r="L67" s="42"/>
      <c r="M67" s="42"/>
      <c r="N67" s="42"/>
      <c r="S67" s="3" t="str">
        <v>power_CS_fact_kW</v>
      </c>
      <c r="T67" s="3">
        <v>0</v>
      </c>
    </row>
    <row r="68" spans="2:25" s="3" customFormat="1" x14ac:dyDescent="0.2">
      <c r="B68" s="41"/>
      <c r="C68" s="49"/>
      <c r="D68" s="49"/>
      <c r="E68" s="49"/>
      <c r="F68" s="49"/>
      <c r="G68" s="42"/>
      <c r="H68" s="49"/>
      <c r="I68" s="49"/>
      <c r="J68" s="49"/>
      <c r="K68" s="42"/>
      <c r="L68" s="42"/>
      <c r="M68" s="42"/>
      <c r="N68" s="42"/>
      <c r="S68" s="3" t="str">
        <v>motor_eff_fr</v>
      </c>
      <c r="T68" s="3">
        <v>0.82</v>
      </c>
    </row>
    <row r="69" spans="2:25" s="3" customFormat="1" x14ac:dyDescent="0.2">
      <c r="B69" s="41"/>
      <c r="C69" s="49"/>
      <c r="D69" s="49"/>
      <c r="E69" s="49"/>
      <c r="F69" s="49"/>
      <c r="G69" s="42"/>
      <c r="H69" s="49"/>
      <c r="I69" s="49"/>
      <c r="J69" s="49"/>
      <c r="K69" s="42"/>
      <c r="L69" s="42"/>
      <c r="M69" s="42"/>
      <c r="N69" s="42"/>
      <c r="S69" s="3" t="str">
        <v>cable_R_Omkm</v>
      </c>
      <c r="T69" s="3">
        <v>1.18</v>
      </c>
    </row>
    <row r="70" spans="2:25" s="3" customFormat="1" x14ac:dyDescent="0.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 t="str">
        <v>dPower_protector_kW</v>
      </c>
      <c r="T70">
        <v>0.4</v>
      </c>
      <c r="U70"/>
      <c r="V70"/>
      <c r="W70"/>
      <c r="X70"/>
      <c r="Y70"/>
    </row>
    <row r="71" spans="2:25" s="3" customFormat="1" x14ac:dyDescent="0.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 t="str">
        <v>dPower_GasSep_kW</v>
      </c>
      <c r="T71">
        <v>0.29750882429495301</v>
      </c>
      <c r="U71"/>
      <c r="V71"/>
      <c r="W71"/>
      <c r="X71"/>
      <c r="Y71"/>
    </row>
    <row r="72" spans="2:25" s="3" customFormat="1" x14ac:dyDescent="0.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 t="str">
        <v>dPower_CS_kW</v>
      </c>
      <c r="T72">
        <v>0.625979934907967</v>
      </c>
      <c r="U72"/>
      <c r="V72"/>
      <c r="W72"/>
      <c r="X72"/>
      <c r="Y72"/>
    </row>
    <row r="73" spans="2:25" s="3" customFormat="1" x14ac:dyDescent="0.2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 t="str">
        <v>dPower_transform_kW</v>
      </c>
      <c r="T73">
        <v>0.60774750961938495</v>
      </c>
      <c r="U73"/>
      <c r="V73"/>
      <c r="W73"/>
      <c r="X73"/>
      <c r="Y73"/>
    </row>
    <row r="74" spans="2:25" x14ac:dyDescent="0.2">
      <c r="S74" t="str">
        <v>cos_phi</v>
      </c>
      <c r="T74">
        <v>0.88</v>
      </c>
    </row>
    <row r="76" spans="2:25" x14ac:dyDescent="0.2">
      <c r="C76" s="4"/>
    </row>
    <row r="77" spans="2:25" x14ac:dyDescent="0.2">
      <c r="C77" s="4"/>
      <c r="D77" s="55" t="s">
        <v>9</v>
      </c>
      <c r="E77" s="56"/>
      <c r="F77" s="56"/>
      <c r="G77" s="56"/>
      <c r="H77" s="57"/>
    </row>
    <row r="78" spans="2:25" ht="25.5" x14ac:dyDescent="0.2">
      <c r="C78" s="16" t="s">
        <v>0</v>
      </c>
      <c r="D78" s="17" t="s">
        <v>43</v>
      </c>
      <c r="E78" s="17" t="s">
        <v>11</v>
      </c>
      <c r="F78" s="17" t="s">
        <v>45</v>
      </c>
      <c r="G78" s="17" t="s">
        <v>43</v>
      </c>
      <c r="H78" s="17" t="s">
        <v>44</v>
      </c>
    </row>
    <row r="79" spans="2:25" x14ac:dyDescent="0.2">
      <c r="C79" s="6">
        <v>1</v>
      </c>
      <c r="D79" s="23" t="e">
        <f t="array" aca="1" ref="D79:H79" ca="1">[1]!ESP_p_atma(C79,fw_,Pintake_,NumStage_,Freq_,PumpID_,PVT_json,Tintake_,Tdis_,1,gas_degr_type_,,dN)</f>
        <v>#NAME?</v>
      </c>
      <c r="E79" s="23" t="e">
        <f ca="1"/>
        <v>#NAME?</v>
      </c>
      <c r="F79" s="23" t="e">
        <f ca="1"/>
        <v>#NAME?</v>
      </c>
      <c r="G79" s="23" t="e">
        <f ca="1"/>
        <v>#NAME?</v>
      </c>
      <c r="H79" s="23" t="e">
        <f ca="1"/>
        <v>#NAME?</v>
      </c>
    </row>
    <row r="80" spans="2:25" x14ac:dyDescent="0.2">
      <c r="C80" s="6" t="e">
        <f t="shared" ref="C80:C99" ca="1" si="0">C79+Qmax_/20</f>
        <v>#NAME?</v>
      </c>
      <c r="D80" s="23" t="e">
        <f t="array" aca="1" ref="D80:H80" ca="1">[1]!ESP_p_atma(C80,fw_,Pintake_,NumStage_,Freq_,PumpID_,PVT_json,Tintake_,Tdis_,1,gas_degr_type_,,dN)</f>
        <v>#NAME?</v>
      </c>
      <c r="E80" s="23" t="e">
        <f ca="1"/>
        <v>#NAME?</v>
      </c>
      <c r="F80" s="23" t="e">
        <f ca="1"/>
        <v>#NAME?</v>
      </c>
      <c r="G80" s="23" t="e">
        <f ca="1"/>
        <v>#NAME?</v>
      </c>
      <c r="H80" s="23" t="e">
        <f ca="1"/>
        <v>#NAME?</v>
      </c>
    </row>
    <row r="81" spans="3:8" x14ac:dyDescent="0.2">
      <c r="C81" s="6" t="e">
        <f t="shared" ca="1" si="0"/>
        <v>#NAME?</v>
      </c>
      <c r="D81" s="23" t="e">
        <f t="array" aca="1" ref="D81:H81" ca="1">[1]!ESP_p_atma(C81,fw_,Pintake_,NumStage_,Freq_,PumpID_,PVT_json,Tintake_,Tdis_,1,gas_degr_type_,,dN)</f>
        <v>#NAME?</v>
      </c>
      <c r="E81" s="23" t="e">
        <f ca="1"/>
        <v>#NAME?</v>
      </c>
      <c r="F81" s="23" t="e">
        <f ca="1"/>
        <v>#NAME?</v>
      </c>
      <c r="G81" s="23" t="e">
        <f ca="1"/>
        <v>#NAME?</v>
      </c>
      <c r="H81" s="23" t="e">
        <f ca="1"/>
        <v>#NAME?</v>
      </c>
    </row>
    <row r="82" spans="3:8" x14ac:dyDescent="0.2">
      <c r="C82" s="6" t="e">
        <f t="shared" ca="1" si="0"/>
        <v>#NAME?</v>
      </c>
      <c r="D82" s="23" t="e">
        <f t="array" aca="1" ref="D82:H82" ca="1">[1]!ESP_p_atma(C82,fw_,Pintake_,NumStage_,Freq_,PumpID_,PVT_json,Tintake_,Tdis_,1,gas_degr_type_,,dN)</f>
        <v>#NAME?</v>
      </c>
      <c r="E82" s="23" t="e">
        <f ca="1"/>
        <v>#NAME?</v>
      </c>
      <c r="F82" s="23" t="e">
        <f ca="1"/>
        <v>#NAME?</v>
      </c>
      <c r="G82" s="23" t="e">
        <f ca="1"/>
        <v>#NAME?</v>
      </c>
      <c r="H82" s="23" t="e">
        <f ca="1"/>
        <v>#NAME?</v>
      </c>
    </row>
    <row r="83" spans="3:8" x14ac:dyDescent="0.2">
      <c r="C83" s="6" t="e">
        <f t="shared" ca="1" si="0"/>
        <v>#NAME?</v>
      </c>
      <c r="D83" s="23" t="e">
        <f t="array" aca="1" ref="D83:H83" ca="1">[1]!ESP_p_atma(C83,fw_,Pintake_,NumStage_,Freq_,PumpID_,PVT_json,Tintake_,Tdis_,1,gas_degr_type_,,dN)</f>
        <v>#NAME?</v>
      </c>
      <c r="E83" s="23" t="e">
        <f ca="1"/>
        <v>#NAME?</v>
      </c>
      <c r="F83" s="23" t="e">
        <f ca="1"/>
        <v>#NAME?</v>
      </c>
      <c r="G83" s="23" t="e">
        <f ca="1"/>
        <v>#NAME?</v>
      </c>
      <c r="H83" s="23" t="e">
        <f ca="1"/>
        <v>#NAME?</v>
      </c>
    </row>
    <row r="84" spans="3:8" x14ac:dyDescent="0.2">
      <c r="C84" s="6" t="e">
        <f t="shared" ca="1" si="0"/>
        <v>#NAME?</v>
      </c>
      <c r="D84" s="23" t="e">
        <f t="array" aca="1" ref="D84:H84" ca="1">[1]!ESP_p_atma(C84,fw_,Pintake_,NumStage_,Freq_,PumpID_,PVT_json,Tintake_,Tdis_,1,gas_degr_type_,,dN)</f>
        <v>#NAME?</v>
      </c>
      <c r="E84" s="23" t="e">
        <f ca="1"/>
        <v>#NAME?</v>
      </c>
      <c r="F84" s="23" t="e">
        <f ca="1"/>
        <v>#NAME?</v>
      </c>
      <c r="G84" s="23" t="e">
        <f ca="1"/>
        <v>#NAME?</v>
      </c>
      <c r="H84" s="23" t="e">
        <f ca="1"/>
        <v>#NAME?</v>
      </c>
    </row>
    <row r="85" spans="3:8" x14ac:dyDescent="0.2">
      <c r="C85" s="6" t="e">
        <f t="shared" ca="1" si="0"/>
        <v>#NAME?</v>
      </c>
      <c r="D85" s="23" t="e">
        <f t="array" aca="1" ref="D85:H85" ca="1">[1]!ESP_p_atma(C85,fw_,Pintake_,NumStage_,Freq_,PumpID_,PVT_json,Tintake_,Tdis_,1,gas_degr_type_,,dN)</f>
        <v>#NAME?</v>
      </c>
      <c r="E85" s="23" t="e">
        <f ca="1"/>
        <v>#NAME?</v>
      </c>
      <c r="F85" s="23" t="e">
        <f ca="1"/>
        <v>#NAME?</v>
      </c>
      <c r="G85" s="23" t="e">
        <f ca="1"/>
        <v>#NAME?</v>
      </c>
      <c r="H85" s="23" t="e">
        <f ca="1"/>
        <v>#NAME?</v>
      </c>
    </row>
    <row r="86" spans="3:8" x14ac:dyDescent="0.2">
      <c r="C86" s="6" t="e">
        <f t="shared" ca="1" si="0"/>
        <v>#NAME?</v>
      </c>
      <c r="D86" s="23" t="e">
        <f t="array" aca="1" ref="D86:H86" ca="1">[1]!ESP_p_atma(C86,fw_,Pintake_,NumStage_,Freq_,PumpID_,PVT_json,Tintake_,Tdis_,1,gas_degr_type_,,dN)</f>
        <v>#NAME?</v>
      </c>
      <c r="E86" s="23" t="e">
        <f ca="1"/>
        <v>#NAME?</v>
      </c>
      <c r="F86" s="23" t="e">
        <f ca="1"/>
        <v>#NAME?</v>
      </c>
      <c r="G86" s="23" t="e">
        <f ca="1"/>
        <v>#NAME?</v>
      </c>
      <c r="H86" s="23" t="e">
        <f ca="1"/>
        <v>#NAME?</v>
      </c>
    </row>
    <row r="87" spans="3:8" x14ac:dyDescent="0.2">
      <c r="C87" s="6" t="e">
        <f t="shared" ca="1" si="0"/>
        <v>#NAME?</v>
      </c>
      <c r="D87" s="23" t="e">
        <f t="array" aca="1" ref="D87:H87" ca="1">[1]!ESP_p_atma(C87,fw_,Pintake_,NumStage_,Freq_,PumpID_,PVT_json,Tintake_,Tdis_,1,gas_degr_type_,,dN)</f>
        <v>#NAME?</v>
      </c>
      <c r="E87" s="23" t="e">
        <f ca="1"/>
        <v>#NAME?</v>
      </c>
      <c r="F87" s="23" t="e">
        <f ca="1"/>
        <v>#NAME?</v>
      </c>
      <c r="G87" s="23" t="e">
        <f ca="1"/>
        <v>#NAME?</v>
      </c>
      <c r="H87" s="23" t="e">
        <f ca="1"/>
        <v>#NAME?</v>
      </c>
    </row>
    <row r="88" spans="3:8" x14ac:dyDescent="0.2">
      <c r="C88" s="6" t="e">
        <f t="shared" ca="1" si="0"/>
        <v>#NAME?</v>
      </c>
      <c r="D88" s="23" t="e">
        <f t="array" aca="1" ref="D88:H88" ca="1">[1]!ESP_p_atma(C88,fw_,Pintake_,NumStage_,Freq_,PumpID_,PVT_json,Tintake_,Tdis_,1,gas_degr_type_,,dN)</f>
        <v>#NAME?</v>
      </c>
      <c r="E88" s="23" t="e">
        <f ca="1"/>
        <v>#NAME?</v>
      </c>
      <c r="F88" s="23" t="e">
        <f ca="1"/>
        <v>#NAME?</v>
      </c>
      <c r="G88" s="23" t="e">
        <f ca="1"/>
        <v>#NAME?</v>
      </c>
      <c r="H88" s="23" t="e">
        <f ca="1"/>
        <v>#NAME?</v>
      </c>
    </row>
    <row r="89" spans="3:8" x14ac:dyDescent="0.2">
      <c r="C89" s="6" t="e">
        <f t="shared" ca="1" si="0"/>
        <v>#NAME?</v>
      </c>
      <c r="D89" s="23" t="e">
        <f t="array" aca="1" ref="D89:H89" ca="1">[1]!ESP_p_atma(C89,fw_,Pintake_,NumStage_,Freq_,PumpID_,PVT_json,Tintake_,Tdis_,1,gas_degr_type_,,dN)</f>
        <v>#NAME?</v>
      </c>
      <c r="E89" s="23" t="e">
        <f ca="1"/>
        <v>#NAME?</v>
      </c>
      <c r="F89" s="23" t="e">
        <f ca="1"/>
        <v>#NAME?</v>
      </c>
      <c r="G89" s="23" t="e">
        <f ca="1"/>
        <v>#NAME?</v>
      </c>
      <c r="H89" s="23" t="e">
        <f ca="1"/>
        <v>#NAME?</v>
      </c>
    </row>
    <row r="90" spans="3:8" x14ac:dyDescent="0.2">
      <c r="C90" s="6" t="e">
        <f t="shared" ca="1" si="0"/>
        <v>#NAME?</v>
      </c>
      <c r="D90" s="23" t="e">
        <f t="array" aca="1" ref="D90:H90" ca="1">[1]!ESP_p_atma(C90,fw_,Pintake_,NumStage_,Freq_,PumpID_,PVT_json,Tintake_,Tdis_,1,gas_degr_type_,,dN)</f>
        <v>#NAME?</v>
      </c>
      <c r="E90" s="23" t="e">
        <f ca="1"/>
        <v>#NAME?</v>
      </c>
      <c r="F90" s="23" t="e">
        <f ca="1"/>
        <v>#NAME?</v>
      </c>
      <c r="G90" s="23" t="e">
        <f ca="1"/>
        <v>#NAME?</v>
      </c>
      <c r="H90" s="23" t="e">
        <f ca="1"/>
        <v>#NAME?</v>
      </c>
    </row>
    <row r="91" spans="3:8" x14ac:dyDescent="0.2">
      <c r="C91" s="6" t="e">
        <f t="shared" ca="1" si="0"/>
        <v>#NAME?</v>
      </c>
      <c r="D91" s="23" t="e">
        <f t="array" aca="1" ref="D91:H91" ca="1">[1]!ESP_p_atma(C91,fw_,Pintake_,NumStage_,Freq_,PumpID_,PVT_json,Tintake_,Tdis_,1,gas_degr_type_,,dN)</f>
        <v>#NAME?</v>
      </c>
      <c r="E91" s="23" t="e">
        <f ca="1"/>
        <v>#NAME?</v>
      </c>
      <c r="F91" s="23" t="e">
        <f ca="1"/>
        <v>#NAME?</v>
      </c>
      <c r="G91" s="23" t="e">
        <f ca="1"/>
        <v>#NAME?</v>
      </c>
      <c r="H91" s="23" t="e">
        <f ca="1"/>
        <v>#NAME?</v>
      </c>
    </row>
    <row r="92" spans="3:8" x14ac:dyDescent="0.2">
      <c r="C92" s="6" t="e">
        <f t="shared" ca="1" si="0"/>
        <v>#NAME?</v>
      </c>
      <c r="D92" s="23" t="e">
        <f t="array" aca="1" ref="D92:H92" ca="1">[1]!ESP_p_atma(C92,fw_,Pintake_,NumStage_,Freq_,PumpID_,PVT_json,Tintake_,Tdis_,1,gas_degr_type_,,dN)</f>
        <v>#NAME?</v>
      </c>
      <c r="E92" s="23" t="e">
        <f ca="1"/>
        <v>#NAME?</v>
      </c>
      <c r="F92" s="23" t="e">
        <f ca="1"/>
        <v>#NAME?</v>
      </c>
      <c r="G92" s="23" t="e">
        <f ca="1"/>
        <v>#NAME?</v>
      </c>
      <c r="H92" s="23" t="e">
        <f ca="1"/>
        <v>#NAME?</v>
      </c>
    </row>
    <row r="93" spans="3:8" x14ac:dyDescent="0.2">
      <c r="C93" s="6" t="e">
        <f t="shared" ca="1" si="0"/>
        <v>#NAME?</v>
      </c>
      <c r="D93" s="23" t="e">
        <f t="array" aca="1" ref="D93:H93" ca="1">[1]!ESP_p_atma(C93,fw_,Pintake_,NumStage_,Freq_,PumpID_,PVT_json,Tintake_,Tdis_,1,gas_degr_type_,,dN)</f>
        <v>#NAME?</v>
      </c>
      <c r="E93" s="23" t="e">
        <f ca="1"/>
        <v>#NAME?</v>
      </c>
      <c r="F93" s="23" t="e">
        <f ca="1"/>
        <v>#NAME?</v>
      </c>
      <c r="G93" s="23" t="e">
        <f ca="1"/>
        <v>#NAME?</v>
      </c>
      <c r="H93" s="23" t="e">
        <f ca="1"/>
        <v>#NAME?</v>
      </c>
    </row>
    <row r="94" spans="3:8" x14ac:dyDescent="0.2">
      <c r="C94" s="6" t="e">
        <f t="shared" ca="1" si="0"/>
        <v>#NAME?</v>
      </c>
      <c r="D94" s="23" t="e">
        <f t="array" aca="1" ref="D94:H94" ca="1">[1]!ESP_p_atma(C94,fw_,Pintake_,NumStage_,Freq_,PumpID_,PVT_json,Tintake_,Tdis_,1,gas_degr_type_,,dN)</f>
        <v>#NAME?</v>
      </c>
      <c r="E94" s="23" t="e">
        <f ca="1"/>
        <v>#NAME?</v>
      </c>
      <c r="F94" s="23" t="e">
        <f ca="1"/>
        <v>#NAME?</v>
      </c>
      <c r="G94" s="23" t="e">
        <f ca="1"/>
        <v>#NAME?</v>
      </c>
      <c r="H94" s="23" t="e">
        <f ca="1"/>
        <v>#NAME?</v>
      </c>
    </row>
    <row r="95" spans="3:8" x14ac:dyDescent="0.2">
      <c r="C95" s="6" t="e">
        <f t="shared" ca="1" si="0"/>
        <v>#NAME?</v>
      </c>
      <c r="D95" s="23" t="e">
        <f t="array" aca="1" ref="D95:H95" ca="1">[1]!ESP_p_atma(C95,fw_,Pintake_,NumStage_,Freq_,PumpID_,PVT_json,Tintake_,Tdis_,1,gas_degr_type_,,dN)</f>
        <v>#NAME?</v>
      </c>
      <c r="E95" s="23" t="e">
        <f ca="1"/>
        <v>#NAME?</v>
      </c>
      <c r="F95" s="23" t="e">
        <f ca="1"/>
        <v>#NAME?</v>
      </c>
      <c r="G95" s="23" t="e">
        <f ca="1"/>
        <v>#NAME?</v>
      </c>
      <c r="H95" s="23" t="e">
        <f ca="1"/>
        <v>#NAME?</v>
      </c>
    </row>
    <row r="96" spans="3:8" x14ac:dyDescent="0.2">
      <c r="C96" s="6" t="e">
        <f t="shared" ca="1" si="0"/>
        <v>#NAME?</v>
      </c>
      <c r="D96" s="23" t="e">
        <f t="array" aca="1" ref="D96:H96" ca="1">[1]!ESP_p_atma(C96,fw_,Pintake_,NumStage_,Freq_,PumpID_,PVT_json,Tintake_,Tdis_,1,gas_degr_type_,,dN)</f>
        <v>#NAME?</v>
      </c>
      <c r="E96" s="23" t="e">
        <f ca="1"/>
        <v>#NAME?</v>
      </c>
      <c r="F96" s="23" t="e">
        <f ca="1"/>
        <v>#NAME?</v>
      </c>
      <c r="G96" s="23" t="e">
        <f ca="1"/>
        <v>#NAME?</v>
      </c>
      <c r="H96" s="23" t="e">
        <f ca="1"/>
        <v>#NAME?</v>
      </c>
    </row>
    <row r="97" spans="3:8" x14ac:dyDescent="0.2">
      <c r="C97" s="6" t="e">
        <f t="shared" ca="1" si="0"/>
        <v>#NAME?</v>
      </c>
      <c r="D97" s="23" t="e">
        <f t="array" aca="1" ref="D97:H97" ca="1">[1]!ESP_p_atma(C97,fw_,Pintake_,NumStage_,Freq_,PumpID_,PVT_json,Tintake_,Tdis_,1,gas_degr_type_,,dN)</f>
        <v>#NAME?</v>
      </c>
      <c r="E97" s="23" t="e">
        <f ca="1"/>
        <v>#NAME?</v>
      </c>
      <c r="F97" s="23" t="e">
        <f ca="1"/>
        <v>#NAME?</v>
      </c>
      <c r="G97" s="23" t="e">
        <f ca="1"/>
        <v>#NAME?</v>
      </c>
      <c r="H97" s="23" t="e">
        <f ca="1"/>
        <v>#NAME?</v>
      </c>
    </row>
    <row r="98" spans="3:8" x14ac:dyDescent="0.2">
      <c r="C98" s="6" t="e">
        <f t="shared" ca="1" si="0"/>
        <v>#NAME?</v>
      </c>
      <c r="D98" s="23" t="e">
        <f t="array" aca="1" ref="D98:H98" ca="1">[1]!ESP_p_atma(C98,fw_,Pintake_,NumStage_,Freq_,PumpID_,PVT_json,Tintake_,Tdis_,1,gas_degr_type_,,dN)</f>
        <v>#NAME?</v>
      </c>
      <c r="E98" s="23" t="e">
        <f ca="1"/>
        <v>#NAME?</v>
      </c>
      <c r="F98" s="23" t="e">
        <f ca="1"/>
        <v>#NAME?</v>
      </c>
      <c r="G98" s="23" t="e">
        <f ca="1"/>
        <v>#NAME?</v>
      </c>
      <c r="H98" s="23" t="e">
        <f ca="1"/>
        <v>#NAME?</v>
      </c>
    </row>
    <row r="99" spans="3:8" x14ac:dyDescent="0.2">
      <c r="C99" s="6" t="e">
        <f t="shared" ca="1" si="0"/>
        <v>#NAME?</v>
      </c>
      <c r="D99" s="23" t="e">
        <f t="array" aca="1" ref="D99:H99" ca="1">[1]!ESP_p_atma(C99,fw_,Pintake_,NumStage_,Freq_,PumpID_,PVT_json,Tintake_,Tdis_,1,gas_degr_type_,,dN)</f>
        <v>#NAME?</v>
      </c>
      <c r="E99" s="23" t="e">
        <f ca="1"/>
        <v>#NAME?</v>
      </c>
      <c r="F99" s="23" t="e">
        <f ca="1"/>
        <v>#NAME?</v>
      </c>
      <c r="G99" s="23" t="e">
        <f ca="1"/>
        <v>#NAME?</v>
      </c>
      <c r="H99" s="23" t="e">
        <f ca="1"/>
        <v>#NAME?</v>
      </c>
    </row>
    <row r="100" spans="3:8" x14ac:dyDescent="0.2">
      <c r="D100" s="21"/>
      <c r="E100" s="21"/>
      <c r="F100" s="21"/>
      <c r="G100" s="22"/>
      <c r="H100" s="23"/>
    </row>
    <row r="105" spans="3:8" x14ac:dyDescent="0.2">
      <c r="C105" s="4"/>
      <c r="D105" s="55" t="s">
        <v>10</v>
      </c>
      <c r="E105" s="56"/>
      <c r="F105" s="56"/>
      <c r="G105" s="56"/>
      <c r="H105" s="57"/>
    </row>
    <row r="106" spans="3:8" ht="25.5" x14ac:dyDescent="0.2">
      <c r="C106" s="16" t="s">
        <v>0</v>
      </c>
      <c r="D106" s="17" t="s">
        <v>11</v>
      </c>
      <c r="E106" s="17" t="s">
        <v>11</v>
      </c>
      <c r="F106" s="17" t="s">
        <v>45</v>
      </c>
      <c r="G106" s="17" t="s">
        <v>43</v>
      </c>
      <c r="H106" s="17" t="s">
        <v>44</v>
      </c>
    </row>
    <row r="107" spans="3:8" x14ac:dyDescent="0.2">
      <c r="C107" s="6">
        <f>C79</f>
        <v>1</v>
      </c>
      <c r="D107" s="23" t="e">
        <f t="array" aca="1" ref="D107:H107" ca="1">[1]!ESP_p_atma(C107,fw_,Pdis_,NumStage_,Freq_,PumpID_,PVT_json,Tintake_,Tdis_,0,gas_degr_type_,,dN)</f>
        <v>#NAME?</v>
      </c>
      <c r="E107" s="23" t="e">
        <f ca="1"/>
        <v>#NAME?</v>
      </c>
      <c r="F107" s="23" t="e">
        <f ca="1"/>
        <v>#NAME?</v>
      </c>
      <c r="G107" s="22" t="e">
        <f ca="1"/>
        <v>#NAME?</v>
      </c>
      <c r="H107" s="23" t="e">
        <f ca="1"/>
        <v>#NAME?</v>
      </c>
    </row>
    <row r="108" spans="3:8" x14ac:dyDescent="0.2">
      <c r="C108" s="6" t="e">
        <f t="shared" ref="C108:C127" ca="1" si="1">C80</f>
        <v>#NAME?</v>
      </c>
      <c r="D108" s="23" t="e">
        <f t="array" aca="1" ref="D108:H108" ca="1">[1]!ESP_p_atma(C108,fw_,Pdis_,NumStage_,Freq_,PumpID_,PVT_json,Tintake_,Tdis_,0,gas_degr_type_,,dN)</f>
        <v>#NAME?</v>
      </c>
      <c r="E108" s="23" t="e">
        <f ca="1"/>
        <v>#NAME?</v>
      </c>
      <c r="F108" s="23" t="e">
        <f ca="1"/>
        <v>#NAME?</v>
      </c>
      <c r="G108" s="22" t="e">
        <f ca="1"/>
        <v>#NAME?</v>
      </c>
      <c r="H108" s="23" t="e">
        <f ca="1"/>
        <v>#NAME?</v>
      </c>
    </row>
    <row r="109" spans="3:8" x14ac:dyDescent="0.2">
      <c r="C109" s="6" t="e">
        <f t="shared" ca="1" si="1"/>
        <v>#NAME?</v>
      </c>
      <c r="D109" s="23" t="e">
        <f t="array" aca="1" ref="D109:H109" ca="1">[1]!ESP_p_atma(C109,fw_,Pdis_,NumStage_,Freq_,PumpID_,PVT_json,Tintake_,Tdis_,0,gas_degr_type_,,dN)</f>
        <v>#NAME?</v>
      </c>
      <c r="E109" s="23" t="e">
        <f ca="1"/>
        <v>#NAME?</v>
      </c>
      <c r="F109" s="23" t="e">
        <f ca="1"/>
        <v>#NAME?</v>
      </c>
      <c r="G109" s="22" t="e">
        <f ca="1"/>
        <v>#NAME?</v>
      </c>
      <c r="H109" s="23" t="e">
        <f ca="1"/>
        <v>#NAME?</v>
      </c>
    </row>
    <row r="110" spans="3:8" x14ac:dyDescent="0.2">
      <c r="C110" s="6" t="e">
        <f t="shared" ca="1" si="1"/>
        <v>#NAME?</v>
      </c>
      <c r="D110" s="23" t="e">
        <f t="array" aca="1" ref="D110:H110" ca="1">[1]!ESP_p_atma(C110,fw_,Pdis_,NumStage_,Freq_,PumpID_,PVT_json,Tintake_,Tdis_,0,gas_degr_type_,,dN)</f>
        <v>#NAME?</v>
      </c>
      <c r="E110" s="23" t="e">
        <f ca="1"/>
        <v>#NAME?</v>
      </c>
      <c r="F110" s="23" t="e">
        <f ca="1"/>
        <v>#NAME?</v>
      </c>
      <c r="G110" s="22" t="e">
        <f ca="1"/>
        <v>#NAME?</v>
      </c>
      <c r="H110" s="23" t="e">
        <f ca="1"/>
        <v>#NAME?</v>
      </c>
    </row>
    <row r="111" spans="3:8" x14ac:dyDescent="0.2">
      <c r="C111" s="6" t="e">
        <f t="shared" ca="1" si="1"/>
        <v>#NAME?</v>
      </c>
      <c r="D111" s="23" t="e">
        <f t="array" aca="1" ref="D111:H111" ca="1">[1]!ESP_p_atma(C111,fw_,Pdis_,NumStage_,Freq_,PumpID_,PVT_json,Tintake_,Tdis_,0,gas_degr_type_,,dN)</f>
        <v>#NAME?</v>
      </c>
      <c r="E111" s="23" t="e">
        <f ca="1"/>
        <v>#NAME?</v>
      </c>
      <c r="F111" s="23" t="e">
        <f ca="1"/>
        <v>#NAME?</v>
      </c>
      <c r="G111" s="22" t="e">
        <f ca="1"/>
        <v>#NAME?</v>
      </c>
      <c r="H111" s="23" t="e">
        <f ca="1"/>
        <v>#NAME?</v>
      </c>
    </row>
    <row r="112" spans="3:8" x14ac:dyDescent="0.2">
      <c r="C112" s="6" t="e">
        <f t="shared" ca="1" si="1"/>
        <v>#NAME?</v>
      </c>
      <c r="D112" s="23" t="e">
        <f t="array" aca="1" ref="D112:H112" ca="1">[1]!ESP_p_atma(C112,fw_,Pdis_,NumStage_,Freq_,PumpID_,PVT_json,Tintake_,Tdis_,0,gas_degr_type_,,dN)</f>
        <v>#NAME?</v>
      </c>
      <c r="E112" s="23" t="e">
        <f ca="1"/>
        <v>#NAME?</v>
      </c>
      <c r="F112" s="23" t="e">
        <f ca="1"/>
        <v>#NAME?</v>
      </c>
      <c r="G112" s="22" t="e">
        <f ca="1"/>
        <v>#NAME?</v>
      </c>
      <c r="H112" s="23" t="e">
        <f ca="1"/>
        <v>#NAME?</v>
      </c>
    </row>
    <row r="113" spans="3:8" x14ac:dyDescent="0.2">
      <c r="C113" s="6" t="e">
        <f t="shared" ca="1" si="1"/>
        <v>#NAME?</v>
      </c>
      <c r="D113" s="23" t="e">
        <f t="array" aca="1" ref="D113:H113" ca="1">[1]!ESP_p_atma(C113,fw_,Pdis_,NumStage_,Freq_,PumpID_,PVT_json,Tintake_,Tdis_,0,gas_degr_type_,,dN)</f>
        <v>#NAME?</v>
      </c>
      <c r="E113" s="23" t="e">
        <f ca="1"/>
        <v>#NAME?</v>
      </c>
      <c r="F113" s="23" t="e">
        <f ca="1"/>
        <v>#NAME?</v>
      </c>
      <c r="G113" s="22" t="e">
        <f ca="1"/>
        <v>#NAME?</v>
      </c>
      <c r="H113" s="23" t="e">
        <f ca="1"/>
        <v>#NAME?</v>
      </c>
    </row>
    <row r="114" spans="3:8" x14ac:dyDescent="0.2">
      <c r="C114" s="6" t="e">
        <f t="shared" ca="1" si="1"/>
        <v>#NAME?</v>
      </c>
      <c r="D114" s="23" t="e">
        <f t="array" aca="1" ref="D114:H114" ca="1">[1]!ESP_p_atma(C114,fw_,Pdis_,NumStage_,Freq_,PumpID_,PVT_json,Tintake_,Tdis_,0,gas_degr_type_,,dN)</f>
        <v>#NAME?</v>
      </c>
      <c r="E114" s="23" t="e">
        <f ca="1"/>
        <v>#NAME?</v>
      </c>
      <c r="F114" s="23" t="e">
        <f ca="1"/>
        <v>#NAME?</v>
      </c>
      <c r="G114" s="22" t="e">
        <f ca="1"/>
        <v>#NAME?</v>
      </c>
      <c r="H114" s="23" t="e">
        <f ca="1"/>
        <v>#NAME?</v>
      </c>
    </row>
    <row r="115" spans="3:8" x14ac:dyDescent="0.2">
      <c r="C115" s="6" t="e">
        <f t="shared" ca="1" si="1"/>
        <v>#NAME?</v>
      </c>
      <c r="D115" s="23" t="e">
        <f t="array" aca="1" ref="D115:H115" ca="1">[1]!ESP_p_atma(C115,fw_,Pdis_,NumStage_,Freq_,PumpID_,PVT_json,Tintake_,Tdis_,0,gas_degr_type_,,dN)</f>
        <v>#NAME?</v>
      </c>
      <c r="E115" s="23" t="e">
        <f ca="1"/>
        <v>#NAME?</v>
      </c>
      <c r="F115" s="23" t="e">
        <f ca="1"/>
        <v>#NAME?</v>
      </c>
      <c r="G115" s="22" t="e">
        <f ca="1"/>
        <v>#NAME?</v>
      </c>
      <c r="H115" s="23" t="e">
        <f ca="1"/>
        <v>#NAME?</v>
      </c>
    </row>
    <row r="116" spans="3:8" x14ac:dyDescent="0.2">
      <c r="C116" s="6" t="e">
        <f t="shared" ca="1" si="1"/>
        <v>#NAME?</v>
      </c>
      <c r="D116" s="23" t="e">
        <f t="array" aca="1" ref="D116:H116" ca="1">[1]!ESP_p_atma(C116,fw_,Pdis_,NumStage_,Freq_,PumpID_,PVT_json,Tintake_,Tdis_,0,gas_degr_type_,,dN)</f>
        <v>#NAME?</v>
      </c>
      <c r="E116" s="23" t="e">
        <f ca="1"/>
        <v>#NAME?</v>
      </c>
      <c r="F116" s="23" t="e">
        <f ca="1"/>
        <v>#NAME?</v>
      </c>
      <c r="G116" s="22" t="e">
        <f ca="1"/>
        <v>#NAME?</v>
      </c>
      <c r="H116" s="23" t="e">
        <f ca="1"/>
        <v>#NAME?</v>
      </c>
    </row>
    <row r="117" spans="3:8" x14ac:dyDescent="0.2">
      <c r="C117" s="6" t="e">
        <f t="shared" ca="1" si="1"/>
        <v>#NAME?</v>
      </c>
      <c r="D117" s="23" t="e">
        <f t="array" aca="1" ref="D117:H117" ca="1">[1]!ESP_p_atma(C117,fw_,Pdis_,NumStage_,Freq_,PumpID_,PVT_json,Tintake_,Tdis_,0,gas_degr_type_,,dN)</f>
        <v>#NAME?</v>
      </c>
      <c r="E117" s="23" t="e">
        <f ca="1"/>
        <v>#NAME?</v>
      </c>
      <c r="F117" s="23" t="e">
        <f ca="1"/>
        <v>#NAME?</v>
      </c>
      <c r="G117" s="22" t="e">
        <f ca="1"/>
        <v>#NAME?</v>
      </c>
      <c r="H117" s="23" t="e">
        <f ca="1"/>
        <v>#NAME?</v>
      </c>
    </row>
    <row r="118" spans="3:8" x14ac:dyDescent="0.2">
      <c r="C118" s="6" t="e">
        <f t="shared" ca="1" si="1"/>
        <v>#NAME?</v>
      </c>
      <c r="D118" s="23" t="e">
        <f t="array" aca="1" ref="D118:H118" ca="1">[1]!ESP_p_atma(C118,fw_,Pdis_,NumStage_,Freq_,PumpID_,PVT_json,Tintake_,Tdis_,0,gas_degr_type_,,dN)</f>
        <v>#NAME?</v>
      </c>
      <c r="E118" s="23" t="e">
        <f ca="1"/>
        <v>#NAME?</v>
      </c>
      <c r="F118" s="23" t="e">
        <f ca="1"/>
        <v>#NAME?</v>
      </c>
      <c r="G118" s="22" t="e">
        <f ca="1"/>
        <v>#NAME?</v>
      </c>
      <c r="H118" s="23" t="e">
        <f ca="1"/>
        <v>#NAME?</v>
      </c>
    </row>
    <row r="119" spans="3:8" x14ac:dyDescent="0.2">
      <c r="C119" s="6" t="e">
        <f t="shared" ca="1" si="1"/>
        <v>#NAME?</v>
      </c>
      <c r="D119" s="23" t="e">
        <f t="array" aca="1" ref="D119:H119" ca="1">[1]!ESP_p_atma(C119,fw_,Pdis_,NumStage_,Freq_,PumpID_,PVT_json,Tintake_,Tdis_,0,gas_degr_type_,,dN)</f>
        <v>#NAME?</v>
      </c>
      <c r="E119" s="23" t="e">
        <f ca="1"/>
        <v>#NAME?</v>
      </c>
      <c r="F119" s="23" t="e">
        <f ca="1"/>
        <v>#NAME?</v>
      </c>
      <c r="G119" s="22" t="e">
        <f ca="1"/>
        <v>#NAME?</v>
      </c>
      <c r="H119" s="23" t="e">
        <f ca="1"/>
        <v>#NAME?</v>
      </c>
    </row>
    <row r="120" spans="3:8" x14ac:dyDescent="0.2">
      <c r="C120" s="6" t="e">
        <f t="shared" ca="1" si="1"/>
        <v>#NAME?</v>
      </c>
      <c r="D120" s="23" t="e">
        <f t="array" aca="1" ref="D120:H120" ca="1">[1]!ESP_p_atma(C120,fw_,Pdis_,NumStage_,Freq_,PumpID_,PVT_json,Tintake_,Tdis_,0,gas_degr_type_,,dN)</f>
        <v>#NAME?</v>
      </c>
      <c r="E120" s="23" t="e">
        <f ca="1"/>
        <v>#NAME?</v>
      </c>
      <c r="F120" s="23" t="e">
        <f ca="1"/>
        <v>#NAME?</v>
      </c>
      <c r="G120" s="22" t="e">
        <f ca="1"/>
        <v>#NAME?</v>
      </c>
      <c r="H120" s="23" t="e">
        <f ca="1"/>
        <v>#NAME?</v>
      </c>
    </row>
    <row r="121" spans="3:8" x14ac:dyDescent="0.2">
      <c r="C121" s="6" t="e">
        <f t="shared" ca="1" si="1"/>
        <v>#NAME?</v>
      </c>
      <c r="D121" s="23" t="e">
        <f t="array" aca="1" ref="D121:H121" ca="1">[1]!ESP_p_atma(C121,fw_,Pdis_,NumStage_,Freq_,PumpID_,PVT_json,Tintake_,Tdis_,0,gas_degr_type_,,dN)</f>
        <v>#NAME?</v>
      </c>
      <c r="E121" s="23" t="e">
        <f ca="1"/>
        <v>#NAME?</v>
      </c>
      <c r="F121" s="23" t="e">
        <f ca="1"/>
        <v>#NAME?</v>
      </c>
      <c r="G121" s="22" t="e">
        <f ca="1"/>
        <v>#NAME?</v>
      </c>
      <c r="H121" s="23" t="e">
        <f ca="1"/>
        <v>#NAME?</v>
      </c>
    </row>
    <row r="122" spans="3:8" x14ac:dyDescent="0.2">
      <c r="C122" s="6" t="e">
        <f t="shared" ca="1" si="1"/>
        <v>#NAME?</v>
      </c>
      <c r="D122" s="23" t="e">
        <f t="array" aca="1" ref="D122:H122" ca="1">[1]!ESP_p_atma(C122,fw_,Pdis_,NumStage_,Freq_,PumpID_,PVT_json,Tintake_,Tdis_,0,gas_degr_type_,,dN)</f>
        <v>#NAME?</v>
      </c>
      <c r="E122" s="23" t="e">
        <f ca="1"/>
        <v>#NAME?</v>
      </c>
      <c r="F122" s="23" t="e">
        <f ca="1"/>
        <v>#NAME?</v>
      </c>
      <c r="G122" s="22" t="e">
        <f ca="1"/>
        <v>#NAME?</v>
      </c>
      <c r="H122" s="23" t="e">
        <f ca="1"/>
        <v>#NAME?</v>
      </c>
    </row>
    <row r="123" spans="3:8" x14ac:dyDescent="0.2">
      <c r="C123" s="6" t="e">
        <f t="shared" ca="1" si="1"/>
        <v>#NAME?</v>
      </c>
      <c r="D123" s="23" t="e">
        <f t="array" aca="1" ref="D123:H123" ca="1">[1]!ESP_p_atma(C123,fw_,Pdis_,NumStage_,Freq_,PumpID_,PVT_json,Tintake_,Tdis_,0,gas_degr_type_,,dN)</f>
        <v>#NAME?</v>
      </c>
      <c r="E123" s="23" t="e">
        <f ca="1"/>
        <v>#NAME?</v>
      </c>
      <c r="F123" s="23" t="e">
        <f ca="1"/>
        <v>#NAME?</v>
      </c>
      <c r="G123" s="22" t="e">
        <f ca="1"/>
        <v>#NAME?</v>
      </c>
      <c r="H123" s="23" t="e">
        <f ca="1"/>
        <v>#NAME?</v>
      </c>
    </row>
    <row r="124" spans="3:8" x14ac:dyDescent="0.2">
      <c r="C124" s="6" t="e">
        <f t="shared" ca="1" si="1"/>
        <v>#NAME?</v>
      </c>
      <c r="D124" s="23" t="e">
        <f t="array" aca="1" ref="D124:H124" ca="1">[1]!ESP_p_atma(C124,fw_,Pdis_,NumStage_,Freq_,PumpID_,PVT_json,Tintake_,Tdis_,0,gas_degr_type_,,dN)</f>
        <v>#NAME?</v>
      </c>
      <c r="E124" s="23" t="e">
        <f ca="1"/>
        <v>#NAME?</v>
      </c>
      <c r="F124" s="23" t="e">
        <f ca="1"/>
        <v>#NAME?</v>
      </c>
      <c r="G124" s="22" t="e">
        <f ca="1"/>
        <v>#NAME?</v>
      </c>
      <c r="H124" s="23" t="e">
        <f ca="1"/>
        <v>#NAME?</v>
      </c>
    </row>
    <row r="125" spans="3:8" x14ac:dyDescent="0.2">
      <c r="C125" s="6" t="e">
        <f t="shared" ca="1" si="1"/>
        <v>#NAME?</v>
      </c>
      <c r="D125" s="23" t="e">
        <f t="array" aca="1" ref="D125:H125" ca="1">[1]!ESP_p_atma(C125,fw_,Pdis_,NumStage_,Freq_,PumpID_,PVT_json,Tintake_,Tdis_,0,gas_degr_type_,,dN)</f>
        <v>#NAME?</v>
      </c>
      <c r="E125" s="23" t="e">
        <f ca="1"/>
        <v>#NAME?</v>
      </c>
      <c r="F125" s="23" t="e">
        <f ca="1"/>
        <v>#NAME?</v>
      </c>
      <c r="G125" s="22" t="e">
        <f ca="1"/>
        <v>#NAME?</v>
      </c>
      <c r="H125" s="23" t="e">
        <f ca="1"/>
        <v>#NAME?</v>
      </c>
    </row>
    <row r="126" spans="3:8" x14ac:dyDescent="0.2">
      <c r="C126" s="6" t="e">
        <f t="shared" ca="1" si="1"/>
        <v>#NAME?</v>
      </c>
      <c r="D126" s="23" t="e">
        <f t="array" aca="1" ref="D126:H126" ca="1">[1]!ESP_p_atma(C126,fw_,Pdis_,NumStage_,Freq_,PumpID_,PVT_json,Tintake_,Tdis_,0,gas_degr_type_,,dN)</f>
        <v>#NAME?</v>
      </c>
      <c r="E126" s="23" t="e">
        <f ca="1"/>
        <v>#NAME?</v>
      </c>
      <c r="F126" s="23" t="e">
        <f ca="1"/>
        <v>#NAME?</v>
      </c>
      <c r="G126" s="22" t="e">
        <f ca="1"/>
        <v>#NAME?</v>
      </c>
      <c r="H126" s="23" t="e">
        <f ca="1"/>
        <v>#NAME?</v>
      </c>
    </row>
    <row r="127" spans="3:8" x14ac:dyDescent="0.2">
      <c r="C127" s="6" t="e">
        <f t="shared" ca="1" si="1"/>
        <v>#NAME?</v>
      </c>
      <c r="D127" s="23" t="e">
        <f t="array" aca="1" ref="D127:H128" ca="1">[1]!ESP_p_atma(C127,fw_,Pdis_,NumStage_,Freq_,PumpID_,PVT_json,Tintake_,Tdis_,0,gas_degr_type_,,dN)</f>
        <v>#NAME?</v>
      </c>
      <c r="E127" s="23" t="e">
        <f ca="1"/>
        <v>#NAME?</v>
      </c>
      <c r="F127" s="23" t="e">
        <f ca="1"/>
        <v>#NAME?</v>
      </c>
      <c r="G127" s="22" t="e">
        <f ca="1"/>
        <v>#NAME?</v>
      </c>
      <c r="H127" s="23" t="e">
        <f ca="1"/>
        <v>#NAME?</v>
      </c>
    </row>
    <row r="128" spans="3:8" x14ac:dyDescent="0.2">
      <c r="D128" s="23" t="e">
        <f ca="1"/>
        <v>#NAME?</v>
      </c>
      <c r="E128" s="23" t="e">
        <f ca="1"/>
        <v>#NAME?</v>
      </c>
      <c r="F128" s="23" t="e">
        <f ca="1"/>
        <v>#NAME?</v>
      </c>
      <c r="G128" s="22" t="e">
        <f ca="1"/>
        <v>#NAME?</v>
      </c>
      <c r="H128" s="23" t="e">
        <f ca="1"/>
        <v>#NAME?</v>
      </c>
    </row>
    <row r="141" spans="4:11" x14ac:dyDescent="0.2">
      <c r="D141" s="34"/>
      <c r="F141" s="33"/>
      <c r="H141" s="33"/>
      <c r="I141" s="33"/>
      <c r="J141" s="32"/>
      <c r="K141" s="33"/>
    </row>
    <row r="142" spans="4:11" x14ac:dyDescent="0.2">
      <c r="D142" s="34"/>
      <c r="F142" s="33"/>
      <c r="H142" s="33"/>
      <c r="I142" s="33"/>
      <c r="J142" s="32"/>
      <c r="K142" s="33"/>
    </row>
    <row r="143" spans="4:11" x14ac:dyDescent="0.2">
      <c r="D143" s="34"/>
      <c r="F143" s="33"/>
      <c r="H143" s="33"/>
      <c r="I143" s="33"/>
      <c r="J143" s="32"/>
      <c r="K143" s="33"/>
    </row>
    <row r="144" spans="4:11" x14ac:dyDescent="0.2">
      <c r="D144" s="34"/>
      <c r="F144" s="33"/>
      <c r="H144" s="33"/>
      <c r="I144" s="33"/>
      <c r="J144" s="32"/>
      <c r="K144" s="33"/>
    </row>
    <row r="145" spans="4:30" x14ac:dyDescent="0.2">
      <c r="D145" s="34"/>
      <c r="F145" s="33"/>
      <c r="H145" s="33"/>
      <c r="I145" s="33"/>
      <c r="J145" s="32"/>
      <c r="K145" s="33"/>
    </row>
    <row r="146" spans="4:30" x14ac:dyDescent="0.2">
      <c r="D146" s="34"/>
      <c r="E146" s="33"/>
      <c r="F146" s="33"/>
      <c r="H146" s="33"/>
      <c r="I146" s="33"/>
      <c r="J146" s="32"/>
      <c r="K146" s="33"/>
    </row>
    <row r="147" spans="4:30" x14ac:dyDescent="0.2">
      <c r="D147" s="34"/>
      <c r="E147" s="33"/>
      <c r="F147" s="33"/>
      <c r="H147" s="33"/>
      <c r="I147" s="33"/>
      <c r="J147" s="32"/>
      <c r="K147" s="33"/>
    </row>
    <row r="148" spans="4:30" x14ac:dyDescent="0.2">
      <c r="D148" s="34"/>
      <c r="E148" s="33"/>
      <c r="F148" s="33"/>
      <c r="H148" s="33"/>
      <c r="I148" s="33"/>
      <c r="J148" s="32"/>
      <c r="K148" s="33"/>
    </row>
    <row r="149" spans="4:30" x14ac:dyDescent="0.2">
      <c r="D149" s="34"/>
      <c r="E149" s="33"/>
      <c r="F149" s="33"/>
      <c r="H149" s="33"/>
      <c r="I149" s="33"/>
      <c r="J149" s="32"/>
      <c r="K149" s="33"/>
    </row>
    <row r="150" spans="4:30" x14ac:dyDescent="0.2">
      <c r="D150" s="34"/>
      <c r="E150" s="33"/>
      <c r="F150" s="33"/>
      <c r="H150" s="33"/>
      <c r="I150" s="33"/>
      <c r="J150" s="32"/>
      <c r="K150" s="33"/>
    </row>
    <row r="151" spans="4:30" x14ac:dyDescent="0.2">
      <c r="D151" s="34"/>
      <c r="E151" s="33"/>
      <c r="F151" s="33"/>
      <c r="H151" s="33"/>
      <c r="I151" s="33"/>
      <c r="J151" s="32"/>
      <c r="K151" s="33"/>
    </row>
    <row r="152" spans="4:30" x14ac:dyDescent="0.2">
      <c r="D152" s="34"/>
      <c r="E152" s="33"/>
      <c r="F152" s="33"/>
      <c r="G152" s="32"/>
      <c r="H152" s="33"/>
      <c r="I152" s="33"/>
      <c r="J152" s="32"/>
      <c r="K152" s="33"/>
    </row>
    <row r="153" spans="4:30" x14ac:dyDescent="0.2">
      <c r="D153" s="34"/>
      <c r="E153" s="33"/>
      <c r="F153" s="33"/>
      <c r="G153" s="32"/>
      <c r="H153" s="33"/>
      <c r="I153" s="33"/>
      <c r="J153" s="32"/>
      <c r="K153" s="33"/>
    </row>
    <row r="154" spans="4:30" x14ac:dyDescent="0.2">
      <c r="D154" s="34"/>
      <c r="E154" s="33"/>
      <c r="F154" s="33"/>
      <c r="G154" s="32"/>
      <c r="H154" s="33"/>
      <c r="I154" s="33"/>
      <c r="J154" s="32"/>
      <c r="K154" s="33"/>
    </row>
    <row r="155" spans="4:30" x14ac:dyDescent="0.2">
      <c r="D155" s="34"/>
      <c r="E155" s="33"/>
      <c r="F155" s="33"/>
      <c r="G155" s="32"/>
      <c r="H155" s="33"/>
      <c r="I155" s="33"/>
      <c r="J155" s="32"/>
      <c r="K155" s="33"/>
      <c r="AD155" s="33"/>
    </row>
    <row r="156" spans="4:30" x14ac:dyDescent="0.2">
      <c r="D156" s="34"/>
      <c r="E156" s="33"/>
      <c r="F156" s="33"/>
      <c r="G156" s="32"/>
      <c r="H156" s="33"/>
      <c r="I156" s="33"/>
      <c r="J156" s="32"/>
      <c r="K156" s="33"/>
    </row>
    <row r="157" spans="4:30" x14ac:dyDescent="0.2">
      <c r="D157" s="34"/>
      <c r="E157" s="33"/>
      <c r="F157" s="33"/>
      <c r="G157" s="32"/>
      <c r="H157" s="33"/>
      <c r="I157" s="33"/>
      <c r="J157" s="32"/>
      <c r="K157" s="33"/>
    </row>
    <row r="158" spans="4:30" x14ac:dyDescent="0.2">
      <c r="D158" s="34"/>
      <c r="E158" s="33"/>
      <c r="F158" s="33"/>
      <c r="G158" s="32"/>
      <c r="H158" s="33"/>
      <c r="I158" s="33"/>
      <c r="J158" s="32"/>
      <c r="K158" s="33"/>
    </row>
    <row r="159" spans="4:30" x14ac:dyDescent="0.2">
      <c r="D159" s="34"/>
      <c r="E159" s="33"/>
      <c r="F159" s="33"/>
      <c r="G159" s="32"/>
      <c r="H159" s="33"/>
      <c r="I159" s="33"/>
      <c r="J159" s="32"/>
      <c r="K159" s="33"/>
    </row>
    <row r="160" spans="4:30" x14ac:dyDescent="0.2">
      <c r="D160" s="33"/>
      <c r="E160" s="33"/>
      <c r="F160" s="33"/>
      <c r="G160" s="32"/>
      <c r="H160" s="33"/>
      <c r="I160" s="33"/>
      <c r="J160" s="32"/>
      <c r="K160" s="33"/>
    </row>
    <row r="165" spans="6:14" x14ac:dyDescent="0.2">
      <c r="F165" s="34"/>
      <c r="K165" s="34"/>
      <c r="M165" s="33"/>
      <c r="N165" s="32"/>
    </row>
    <row r="168" spans="6:14" x14ac:dyDescent="0.2">
      <c r="J168" s="35"/>
      <c r="K168" s="35"/>
      <c r="L168" s="35"/>
    </row>
    <row r="169" spans="6:14" x14ac:dyDescent="0.2">
      <c r="J169" s="35"/>
      <c r="K169" s="35"/>
      <c r="L169" s="35"/>
    </row>
    <row r="170" spans="6:14" x14ac:dyDescent="0.2">
      <c r="J170" s="35"/>
      <c r="K170" s="35"/>
      <c r="L170" s="35"/>
    </row>
    <row r="171" spans="6:14" x14ac:dyDescent="0.2">
      <c r="J171" s="35"/>
      <c r="K171" s="35"/>
      <c r="L171" s="35"/>
    </row>
    <row r="172" spans="6:14" x14ac:dyDescent="0.2">
      <c r="J172" s="35"/>
      <c r="K172" s="36"/>
      <c r="L172" s="35"/>
    </row>
    <row r="173" spans="6:14" x14ac:dyDescent="0.2">
      <c r="J173" s="35"/>
      <c r="K173" s="35"/>
      <c r="L173" s="35"/>
    </row>
    <row r="174" spans="6:14" x14ac:dyDescent="0.2">
      <c r="J174" s="35"/>
      <c r="K174" s="35"/>
      <c r="L174" s="35"/>
    </row>
    <row r="175" spans="6:14" x14ac:dyDescent="0.2">
      <c r="J175" s="35"/>
      <c r="K175" s="35"/>
      <c r="L175" s="35"/>
    </row>
    <row r="176" spans="6:14" x14ac:dyDescent="0.2">
      <c r="J176" s="35"/>
      <c r="K176" s="35"/>
      <c r="L176" s="35"/>
    </row>
    <row r="177" spans="10:13" x14ac:dyDescent="0.2">
      <c r="J177" s="35"/>
      <c r="K177" s="35"/>
      <c r="L177" s="35"/>
    </row>
    <row r="178" spans="10:13" x14ac:dyDescent="0.2">
      <c r="J178" s="35"/>
      <c r="K178" s="35"/>
      <c r="L178" s="35"/>
    </row>
    <row r="179" spans="10:13" x14ac:dyDescent="0.2">
      <c r="J179" s="35"/>
      <c r="K179" s="35"/>
      <c r="L179" s="35"/>
    </row>
    <row r="180" spans="10:13" x14ac:dyDescent="0.2">
      <c r="J180" s="35"/>
      <c r="K180" s="35"/>
      <c r="L180" s="35"/>
    </row>
    <row r="181" spans="10:13" x14ac:dyDescent="0.2">
      <c r="J181" s="35"/>
      <c r="K181" s="35"/>
      <c r="L181" s="35"/>
    </row>
    <row r="182" spans="10:13" x14ac:dyDescent="0.2">
      <c r="J182" s="35"/>
      <c r="K182" s="35"/>
      <c r="L182" s="35"/>
    </row>
    <row r="183" spans="10:13" x14ac:dyDescent="0.2">
      <c r="J183" s="35"/>
      <c r="K183" s="35"/>
      <c r="L183" s="35"/>
    </row>
    <row r="184" spans="10:13" x14ac:dyDescent="0.2">
      <c r="J184" s="35"/>
      <c r="K184" s="35"/>
      <c r="L184" s="35"/>
    </row>
    <row r="185" spans="10:13" x14ac:dyDescent="0.2">
      <c r="J185" s="35"/>
      <c r="K185" s="35"/>
      <c r="L185" s="35"/>
    </row>
    <row r="186" spans="10:13" x14ac:dyDescent="0.2">
      <c r="J186" s="35"/>
      <c r="K186" s="35"/>
      <c r="L186" s="35"/>
    </row>
    <row r="187" spans="10:13" x14ac:dyDescent="0.2">
      <c r="J187" s="35"/>
      <c r="K187" s="35"/>
      <c r="L187" s="35"/>
    </row>
    <row r="188" spans="10:13" x14ac:dyDescent="0.2">
      <c r="M188" s="37"/>
    </row>
    <row r="189" spans="10:13" x14ac:dyDescent="0.2">
      <c r="M189" s="37"/>
    </row>
  </sheetData>
  <mergeCells count="6">
    <mergeCell ref="D105:H105"/>
    <mergeCell ref="B3:E3"/>
    <mergeCell ref="B4:E4"/>
    <mergeCell ref="B5:E5"/>
    <mergeCell ref="B6:E8"/>
    <mergeCell ref="D77:H7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60</vt:i4>
      </vt:variant>
    </vt:vector>
  </HeadingPairs>
  <TitlesOfParts>
    <vt:vector size="61" baseType="lpstr">
      <vt:lpstr>Exercise_ESP</vt:lpstr>
      <vt:lpstr>Exercise_ESP!Bob_</vt:lpstr>
      <vt:lpstr>cable_json</vt:lpstr>
      <vt:lpstr>Cable_length</vt:lpstr>
      <vt:lpstr>cable_R_Omkm</vt:lpstr>
      <vt:lpstr>Cable_type</vt:lpstr>
      <vt:lpstr>calibr_array_</vt:lpstr>
      <vt:lpstr>cos_phi</vt:lpstr>
      <vt:lpstr>cos_ϕ_nom</vt:lpstr>
      <vt:lpstr>dN</vt:lpstr>
      <vt:lpstr>dod</vt:lpstr>
      <vt:lpstr>effnom</vt:lpstr>
      <vt:lpstr>Energy_fact</vt:lpstr>
      <vt:lpstr>feed</vt:lpstr>
      <vt:lpstr>Fnom</vt:lpstr>
      <vt:lpstr>Exercise_ESP!Freq_</vt:lpstr>
      <vt:lpstr>Fsurf</vt:lpstr>
      <vt:lpstr>Exercise_ESP!fw_</vt:lpstr>
      <vt:lpstr>Exercise_ESP!gamma_gas_</vt:lpstr>
      <vt:lpstr>Exercise_ESP!gamma_oil_</vt:lpstr>
      <vt:lpstr>Exercise_ESP!gamma_wat_</vt:lpstr>
      <vt:lpstr>gas_degr_type_</vt:lpstr>
      <vt:lpstr>gassep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Ixcf</vt:lpstr>
      <vt:lpstr>Ksep_man</vt:lpstr>
      <vt:lpstr>Exercise_ESP!KsepGasSep_</vt:lpstr>
      <vt:lpstr>M_gassep</vt:lpstr>
      <vt:lpstr>motor_ID</vt:lpstr>
      <vt:lpstr>motor_json</vt:lpstr>
      <vt:lpstr>Exercise_ESP!muob_</vt:lpstr>
      <vt:lpstr>Exercise_ESP!NumStage_</vt:lpstr>
      <vt:lpstr>Exercise_ESP!Pb_</vt:lpstr>
      <vt:lpstr>Exercise_ESP!Pdis_</vt:lpstr>
      <vt:lpstr>Exercise_ESP!Pintake_</vt:lpstr>
      <vt:lpstr>PKsep</vt:lpstr>
      <vt:lpstr>Pnom</vt:lpstr>
      <vt:lpstr>pump_json</vt:lpstr>
      <vt:lpstr>Exercise_ESP!PumpID_</vt:lpstr>
      <vt:lpstr>PVT_json</vt:lpstr>
      <vt:lpstr>Exercise_ESP!Q_</vt:lpstr>
      <vt:lpstr>Exercise_ESP!Q_ESP_</vt:lpstr>
      <vt:lpstr>Exercise_ESP!Qmax_</vt:lpstr>
      <vt:lpstr>Exercise_ESP!Rp_</vt:lpstr>
      <vt:lpstr>Exercise_ESP!Rsb_</vt:lpstr>
      <vt:lpstr>slipnom</vt:lpstr>
      <vt:lpstr>Tdis_</vt:lpstr>
      <vt:lpstr>Exercise_ESP!Tintake_</vt:lpstr>
      <vt:lpstr>TKsep_</vt:lpstr>
      <vt:lpstr>Exercise_ESP!Tres_</vt:lpstr>
      <vt:lpstr>U</vt:lpstr>
      <vt:lpstr>Unom</vt:lpstr>
      <vt:lpstr>α</vt:lpstr>
      <vt:lpstr>λ</vt:lpstr>
      <vt:lpstr>χ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2021-06-15T09:38:18Z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