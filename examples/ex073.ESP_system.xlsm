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2155" windowHeight="13200" tabRatio="422"/>
  </bookViews>
  <sheets>
    <sheet name="Exercise_ESP" sheetId="111" r:id="rId1"/>
  </sheets>
  <externalReferences>
    <externalReference r:id="rId2"/>
  </externalReferences>
  <definedNames>
    <definedName name="cable_json">#REF!</definedName>
    <definedName name="cable_json_1">Exercise_ESP!$I$10</definedName>
    <definedName name="Cable_length">#REF!</definedName>
    <definedName name="cable_R_Omkm">#REF!</definedName>
    <definedName name="Cable_type">#REF!</definedName>
    <definedName name="calc_along_flow">#REF!</definedName>
    <definedName name="calibr_array_">#REF!</definedName>
    <definedName name="cos_phi">#REF!</definedName>
    <definedName name="cos_ϕ_nom">#REF!</definedName>
    <definedName name="dN">#REF!</definedName>
    <definedName name="dod">#REF!</definedName>
    <definedName name="effnom">#REF!</definedName>
    <definedName name="Energy_fact">#REF!</definedName>
    <definedName name="esp_json">Exercise_ESP!$L$14</definedName>
    <definedName name="ESPstr">#REF!</definedName>
    <definedName name="feed">#REF!</definedName>
    <definedName name="feed_json">Exercise_ESP!$C$17</definedName>
    <definedName name="Fnom">#REF!</definedName>
    <definedName name="Fsurf">#REF!</definedName>
    <definedName name="gas_degr_type_">#REF!</definedName>
    <definedName name="gassep">#REF!</definedName>
    <definedName name="input_Course">#REF!</definedName>
    <definedName name="input_Date">#REF!</definedName>
    <definedName name="input_Group">#REF!</definedName>
    <definedName name="input_Notes">#REF!</definedName>
    <definedName name="input_Student_Name">#REF!</definedName>
    <definedName name="input_Version">#REF!</definedName>
    <definedName name="Ixcf">#REF!</definedName>
    <definedName name="ksep_gassep">Exercise_ESP!$I$26</definedName>
    <definedName name="Ksep_man">#REF!</definedName>
    <definedName name="M_gassep">#REF!</definedName>
    <definedName name="motor_ID">#REF!</definedName>
    <definedName name="motor_json">#REF!</definedName>
    <definedName name="motor_json_1">Exercise_ESP!$F$17</definedName>
    <definedName name="PKsep">#REF!</definedName>
    <definedName name="Pnom">#REF!</definedName>
    <definedName name="pump_json">#REF!</definedName>
    <definedName name="PVT_json">#REF!</definedName>
    <definedName name="PVT_json_1">Exercise_ESP!$C$12</definedName>
    <definedName name="slipnom">#REF!</definedName>
    <definedName name="Tdis_">#REF!</definedName>
    <definedName name="TKsep_">#REF!</definedName>
    <definedName name="U">#REF!</definedName>
    <definedName name="Unom">#REF!</definedName>
    <definedName name="α">#REF!</definedName>
    <definedName name="λ">#REF!</definedName>
    <definedName name="χ">#REF!</definedName>
    <definedName name="ПКВ_останов">#REF!</definedName>
    <definedName name="ПКВ_работа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" i="111" l="1"/>
  <c r="F17" i="111"/>
  <c r="O13" i="111"/>
  <c r="I10" i="111"/>
  <c r="C12" i="111"/>
  <c r="O12" i="111" l="1"/>
  <c r="O11" i="111"/>
  <c r="C17" i="111"/>
  <c r="L7" i="111"/>
  <c r="O9" i="111" l="1"/>
  <c r="L14" i="111"/>
  <c r="O10" i="111" l="1"/>
  <c r="O20" i="111"/>
  <c r="N27" i="111" s="1" a="1"/>
  <c r="O42" i="111" l="1"/>
  <c r="O50" i="111"/>
  <c r="N35" i="111"/>
  <c r="O35" i="111"/>
  <c r="O43" i="111"/>
  <c r="N28" i="111"/>
  <c r="N44" i="111"/>
  <c r="O36" i="111"/>
  <c r="O44" i="111"/>
  <c r="O37" i="111"/>
  <c r="O45" i="111"/>
  <c r="O39" i="111"/>
  <c r="N40" i="111"/>
  <c r="O46" i="111"/>
  <c r="N31" i="111"/>
  <c r="O31" i="111"/>
  <c r="N27" i="111"/>
  <c r="N29" i="111"/>
  <c r="O29" i="111"/>
  <c r="N38" i="111"/>
  <c r="O38" i="111"/>
  <c r="N39" i="111"/>
  <c r="N46" i="111"/>
  <c r="O41" i="111"/>
  <c r="N42" i="111"/>
  <c r="O47" i="111"/>
  <c r="N48" i="111"/>
  <c r="O32" i="111"/>
  <c r="O33" i="111"/>
  <c r="O34" i="111"/>
  <c r="N43" i="111"/>
  <c r="N51" i="111"/>
  <c r="O27" i="111"/>
  <c r="O51" i="111"/>
  <c r="N36" i="111"/>
  <c r="N52" i="111"/>
  <c r="O28" i="111"/>
  <c r="O52" i="111"/>
  <c r="N37" i="111"/>
  <c r="N45" i="111"/>
  <c r="N30" i="111"/>
  <c r="O30" i="111"/>
  <c r="O40" i="111"/>
  <c r="N41" i="111"/>
  <c r="N47" i="111"/>
  <c r="N32" i="111"/>
  <c r="N33" i="111"/>
  <c r="N49" i="111"/>
  <c r="O49" i="111"/>
  <c r="N34" i="111"/>
  <c r="N50" i="111"/>
  <c r="O48" i="111"/>
</calcChain>
</file>

<file path=xl/sharedStrings.xml><?xml version="1.0" encoding="utf-8"?>
<sst xmlns="http://schemas.openxmlformats.org/spreadsheetml/2006/main" count="70" uniqueCount="60">
  <si>
    <t>Ixcf</t>
  </si>
  <si>
    <t>feed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</si>
  <si>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</si>
  <si>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</si>
  <si>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</si>
  <si>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</si>
  <si>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</si>
  <si>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</si>
  <si>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</si>
  <si>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</si>
  <si>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</si>
  <si>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</si>
  <si>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</si>
  <si>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</si>
  <si>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</si>
  <si>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</si>
  <si>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motor_ID</t>
  </si>
  <si>
    <t>power_nom_kW</t>
  </si>
  <si>
    <t>U_nom_lin_V</t>
  </si>
  <si>
    <t>f_nom_Hz</t>
  </si>
  <si>
    <t>eff_nom_fr</t>
  </si>
  <si>
    <t>cosphi_nom_fr</t>
  </si>
  <si>
    <t>slip_nom_fr</t>
  </si>
  <si>
    <t>f_surf_Hz</t>
  </si>
  <si>
    <t>power_fact_kW</t>
  </si>
  <si>
    <t>d_od_mm</t>
  </si>
  <si>
    <t>lambda_</t>
  </si>
  <si>
    <t>alpha0</t>
  </si>
  <si>
    <t>xi0</t>
  </si>
  <si>
    <t>motor_json</t>
  </si>
  <si>
    <t>length_m</t>
  </si>
  <si>
    <t>cable_R_Omkm</t>
  </si>
  <si>
    <t>cable_X_Omkm</t>
  </si>
  <si>
    <t>cable_t_max_C</t>
  </si>
  <si>
    <t>manufacturer</t>
  </si>
  <si>
    <t>default</t>
  </si>
  <si>
    <t>name</t>
  </si>
  <si>
    <t>d_mm</t>
  </si>
  <si>
    <t>ESP_q_nom</t>
  </si>
  <si>
    <t>ESP_head_nom</t>
  </si>
  <si>
    <t>freq_nom</t>
  </si>
  <si>
    <t>ESP_ID</t>
  </si>
  <si>
    <t>num_stages</t>
  </si>
  <si>
    <t>calibr_head</t>
  </si>
  <si>
    <t>calibr_rate</t>
  </si>
  <si>
    <t>calibr_power</t>
  </si>
  <si>
    <t>gas_correct_model</t>
  </si>
  <si>
    <t>gas_correct_stage_by_stage</t>
  </si>
  <si>
    <t>dnum_stages_integrate</t>
  </si>
  <si>
    <t>encode_esp_pump</t>
  </si>
  <si>
    <t>p_calc_atma</t>
  </si>
  <si>
    <t>U_surf_high_lin_V</t>
  </si>
  <si>
    <t>t_intake_C</t>
  </si>
  <si>
    <t>t_dis_C</t>
  </si>
  <si>
    <t>pump_json</t>
  </si>
  <si>
    <t>cable_json</t>
  </si>
  <si>
    <t>gassep_json</t>
  </si>
  <si>
    <t>calc_along_flow</t>
  </si>
  <si>
    <t>param</t>
  </si>
  <si>
    <t>esp_system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</si>
</sst>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5">
    <cellStyle name="Iau?iue_AA_1" xfId="1"/>
    <cellStyle name="Обычный" xfId="0" builtinId="0"/>
    <cellStyle name="Обычный 2" xfId="2"/>
    <cellStyle name="Обычный 3" xfId="3"/>
    <cellStyle name="Обычный 3 2" xfId="4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ESP_cable"/>
      <definedName name="encode_ESP_motor"/>
      <definedName name="encode_ESP_pump"/>
      <definedName name="encode_ESP_separation"/>
      <definedName name="encode_feed"/>
      <definedName name="encode_PVT"/>
      <definedName name="ESP_calc_stages_num"/>
      <definedName name="ESP_id_by_rate"/>
      <definedName name="ESP_system_cal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O52"/>
  <sheetViews>
    <sheetView tabSelected="1" workbookViewId="0">
      <selection activeCell="L25" sqref="L25"/>
    </sheetView>
  </sheetViews>
  <sheetFormatPr defaultRowHeight="12.75" x14ac:dyDescent="0.2"/>
  <cols>
    <col min="2" max="2" width="14.28515625" customWidth="1"/>
    <col min="8" max="8" width="11.42578125" customWidth="1"/>
    <col min="11" max="11" width="14.140625" customWidth="1"/>
    <col min="14" max="14" width="13.5703125" customWidth="1"/>
  </cols>
  <sheetData>
    <row r="3" spans="2:15" x14ac:dyDescent="0.2">
      <c r="B3" s="2" t="s">
        <v>2</v>
      </c>
      <c r="C3" s="1">
        <v>0.6</v>
      </c>
      <c r="E3" s="2" t="s">
        <v>16</v>
      </c>
      <c r="F3" s="1">
        <v>0</v>
      </c>
      <c r="H3" s="2" t="s">
        <v>30</v>
      </c>
      <c r="I3" s="1">
        <v>1000</v>
      </c>
      <c r="K3" s="2" t="s">
        <v>38</v>
      </c>
      <c r="L3" s="1">
        <v>80</v>
      </c>
      <c r="N3" s="2" t="s">
        <v>50</v>
      </c>
      <c r="O3" s="1">
        <v>100</v>
      </c>
    </row>
    <row r="4" spans="2:15" x14ac:dyDescent="0.2">
      <c r="B4" s="2" t="s">
        <v>3</v>
      </c>
      <c r="C4" s="1">
        <v>0.86</v>
      </c>
      <c r="E4" s="2" t="s">
        <v>17</v>
      </c>
      <c r="F4" s="1">
        <v>30</v>
      </c>
      <c r="H4" s="2" t="s">
        <v>31</v>
      </c>
      <c r="I4" s="1">
        <v>1.18</v>
      </c>
      <c r="K4" s="2" t="s">
        <v>39</v>
      </c>
      <c r="L4" s="1">
        <v>1500</v>
      </c>
      <c r="N4" s="2" t="s">
        <v>51</v>
      </c>
      <c r="O4" s="1">
        <v>1000</v>
      </c>
    </row>
    <row r="5" spans="2:15" x14ac:dyDescent="0.2">
      <c r="B5" s="2" t="s">
        <v>4</v>
      </c>
      <c r="C5" s="1">
        <v>1.1000000000000001</v>
      </c>
      <c r="E5" s="2" t="s">
        <v>18</v>
      </c>
      <c r="F5" s="1">
        <v>1000</v>
      </c>
      <c r="H5" s="2" t="s">
        <v>32</v>
      </c>
      <c r="I5" s="1">
        <v>0.01</v>
      </c>
      <c r="K5" s="2" t="s">
        <v>40</v>
      </c>
      <c r="L5" s="1">
        <v>50</v>
      </c>
      <c r="N5" s="2" t="s">
        <v>23</v>
      </c>
      <c r="O5" s="1">
        <v>50</v>
      </c>
    </row>
    <row r="6" spans="2:15" x14ac:dyDescent="0.2">
      <c r="B6" s="2" t="s">
        <v>5</v>
      </c>
      <c r="C6" s="1">
        <v>120</v>
      </c>
      <c r="E6" s="2" t="s">
        <v>19</v>
      </c>
      <c r="F6" s="1">
        <v>50</v>
      </c>
      <c r="H6" s="2" t="s">
        <v>33</v>
      </c>
      <c r="I6" s="1">
        <v>120</v>
      </c>
      <c r="K6" s="2" t="s">
        <v>41</v>
      </c>
      <c r="L6" s="4">
        <f>[1]!ESP_id_by_rate(L3, L5)</f>
        <v>1006</v>
      </c>
      <c r="N6" s="2" t="s">
        <v>24</v>
      </c>
      <c r="O6" s="1">
        <v>35</v>
      </c>
    </row>
    <row r="7" spans="2:15" x14ac:dyDescent="0.2">
      <c r="B7" s="2" t="s">
        <v>6</v>
      </c>
      <c r="C7" s="1">
        <v>130</v>
      </c>
      <c r="E7" s="2" t="s">
        <v>20</v>
      </c>
      <c r="F7" s="1">
        <v>0.82</v>
      </c>
      <c r="H7" s="2" t="s">
        <v>34</v>
      </c>
      <c r="I7" s="1" t="s">
        <v>35</v>
      </c>
      <c r="K7" s="2" t="s">
        <v>42</v>
      </c>
      <c r="L7" s="4">
        <f>[1]!ESP_calc_stages_num(L6,L4,L5,L3)</f>
        <v>250</v>
      </c>
      <c r="N7" s="2" t="s">
        <v>52</v>
      </c>
      <c r="O7" s="1">
        <v>50</v>
      </c>
    </row>
    <row r="8" spans="2:15" x14ac:dyDescent="0.2">
      <c r="B8" s="2" t="s">
        <v>7</v>
      </c>
      <c r="C8" s="1">
        <v>80</v>
      </c>
      <c r="E8" s="2" t="s">
        <v>21</v>
      </c>
      <c r="F8" s="1">
        <v>0.88</v>
      </c>
      <c r="H8" s="2" t="s">
        <v>36</v>
      </c>
      <c r="I8" s="1" t="s">
        <v>35</v>
      </c>
      <c r="K8" s="2" t="s">
        <v>43</v>
      </c>
      <c r="L8" s="1">
        <v>1</v>
      </c>
      <c r="N8" s="2" t="s">
        <v>53</v>
      </c>
      <c r="O8" s="1">
        <v>50</v>
      </c>
    </row>
    <row r="9" spans="2:15" x14ac:dyDescent="0.2">
      <c r="B9" s="2" t="s">
        <v>8</v>
      </c>
      <c r="C9" s="1">
        <v>1.2</v>
      </c>
      <c r="E9" s="2" t="s">
        <v>22</v>
      </c>
      <c r="F9" s="1">
        <v>5.2999999999999999E-2</v>
      </c>
      <c r="H9" s="2" t="s">
        <v>37</v>
      </c>
      <c r="I9" s="1">
        <v>16</v>
      </c>
      <c r="K9" s="2" t="s">
        <v>44</v>
      </c>
      <c r="L9" s="1">
        <v>1</v>
      </c>
      <c r="N9" s="2" t="s">
        <v>1</v>
      </c>
      <c r="O9" s="4" t="str">
        <f>feed_json</f>
        <v>{"gamma_gas":0.6,"gamma_oil":0.86,"gamma_wat":1.1,"rsb_m3m3":120,"pb_atma":130,"t_res_C":80,"bob_m3m3":1.2,"muob_cP":0.6,"PVT_corr_set":0,"q_liq_sm3day":30,"fw_perc":10,"rp_m3m3":120}</v>
      </c>
    </row>
    <row r="10" spans="2:15" x14ac:dyDescent="0.2">
      <c r="B10" s="2" t="s">
        <v>9</v>
      </c>
      <c r="C10" s="1">
        <v>0.6</v>
      </c>
      <c r="E10" s="2" t="s">
        <v>23</v>
      </c>
      <c r="F10" s="1">
        <v>50</v>
      </c>
      <c r="H10" s="2" t="s">
        <v>29</v>
      </c>
      <c r="I10" s="3" t="str">
        <f>[1]!encode_ESP_cable( I3, I4, I5, I6, I7, I8, I9)</f>
        <v>{"cable_R_Omkm":1.18,"cable_X_Omkm":0.01,"cable_t_max_C":120,"manufacturer":"default","name":"default","d_mm":16,"length_m":1000}</v>
      </c>
      <c r="K10" s="2" t="s">
        <v>45</v>
      </c>
      <c r="L10" s="1">
        <v>1</v>
      </c>
      <c r="N10" s="2" t="s">
        <v>54</v>
      </c>
      <c r="O10" s="4" t="str">
        <f>esp_json</f>
        <v>{"q_nom_sm3day":80,"head_nom_m":1500,"freq_nom_Hz":50,"name":"ESP-80-1500","ESP_ID":1006,"num_stages":250,"gas_correct_model":1,"gas_correct_stage_by_stage":0,"calibr_head":1,"calibr_power":1,"calibr_rate":1,"dnum_stages_integrate":1}</v>
      </c>
    </row>
    <row r="11" spans="2:15" x14ac:dyDescent="0.2">
      <c r="B11" s="2" t="s">
        <v>10</v>
      </c>
      <c r="C11" s="1">
        <v>0</v>
      </c>
      <c r="E11" s="2" t="s">
        <v>24</v>
      </c>
      <c r="F11" s="1">
        <v>40</v>
      </c>
      <c r="K11" s="2" t="s">
        <v>46</v>
      </c>
      <c r="L11" s="1">
        <v>1</v>
      </c>
      <c r="N11" s="2" t="s">
        <v>29</v>
      </c>
      <c r="O11" s="4" t="str">
        <f>motor_json_1</f>
        <v>{"motor_ID":0,"f_surf_Hz":50,"power_fact_kW":40,"U_nom_lin_V":1000,"P_nom_kW":30,"F_nom_Hz":50,"eff_nom_fr":0.82,"cosphi_nom_fr":0.88,"slip_nom_fr":0.053,"d_od_mm":117,"lambda":2.8,"alpha0":0.5,"xi0":1.05,"Ixcf":0.4}</v>
      </c>
    </row>
    <row r="12" spans="2:15" x14ac:dyDescent="0.2">
      <c r="B12" s="2" t="s">
        <v>11</v>
      </c>
      <c r="C12" s="3" t="str">
        <f>[1]!encode_PVT(C3,C4,C5,C6,C7,C8,C9,C10,C11)</f>
        <v>{"gamma_gas":0.6,"gamma_oil":0.86,"gamma_wat":1.1,"rsb_m3m3":120,"pb_atma":130,"t_res_C":80,"bob_m3m3":1.2,"muob_cP":0.6,"PVT_corr_set":0}</v>
      </c>
      <c r="E12" s="2" t="s">
        <v>25</v>
      </c>
      <c r="F12" s="1">
        <v>117</v>
      </c>
      <c r="K12" s="2" t="s">
        <v>47</v>
      </c>
      <c r="L12" s="1">
        <v>0</v>
      </c>
      <c r="N12" s="2" t="s">
        <v>55</v>
      </c>
      <c r="O12" s="4" t="str">
        <f>cable_json_1</f>
        <v>{"cable_R_Omkm":1.18,"cable_X_Omkm":0.01,"cable_t_max_C":120,"manufacturer":"default","name":"default","d_mm":16,"length_m":1000}</v>
      </c>
    </row>
    <row r="13" spans="2:15" x14ac:dyDescent="0.2">
      <c r="B13" s="2" t="s">
        <v>12</v>
      </c>
      <c r="C13" s="1">
        <v>30</v>
      </c>
      <c r="E13" s="2" t="s">
        <v>26</v>
      </c>
      <c r="F13" s="1">
        <v>2.8</v>
      </c>
      <c r="K13" s="2" t="s">
        <v>48</v>
      </c>
      <c r="L13" s="1">
        <v>1</v>
      </c>
      <c r="N13" s="2" t="s">
        <v>56</v>
      </c>
      <c r="O13" s="4" t="str">
        <f>[1]!encode_ESP_separation()</f>
        <v>{"separation_mode":"byCorrealation","gassep_type":1,"natsep_type":0}</v>
      </c>
    </row>
    <row r="14" spans="2:15" x14ac:dyDescent="0.2">
      <c r="B14" s="2" t="s">
        <v>13</v>
      </c>
      <c r="C14" s="1">
        <v>10</v>
      </c>
      <c r="E14" s="2" t="s">
        <v>27</v>
      </c>
      <c r="F14" s="1">
        <v>0.5</v>
      </c>
      <c r="K14" s="2" t="s">
        <v>49</v>
      </c>
      <c r="L14" s="3" t="str">
        <f>[1]!encode_ESP_pump(, , L5, L6, L7, L8, L9, L10, L11, L12, L13)</f>
        <v>{"q_nom_sm3day":80,"head_nom_m":1500,"freq_nom_Hz":50,"name":"ESP-80-1500","ESP_ID":1006,"num_stages":250,"gas_correct_model":1,"gas_correct_stage_by_stage":0,"calibr_head":1,"calibr_power":1,"calibr_rate":1,"dnum_stages_integrate":1}</v>
      </c>
      <c r="N14" s="2" t="s">
        <v>57</v>
      </c>
      <c r="O14" s="1">
        <v>1</v>
      </c>
    </row>
    <row r="15" spans="2:15" x14ac:dyDescent="0.2">
      <c r="B15" s="2" t="s">
        <v>14</v>
      </c>
      <c r="C15" s="1">
        <v>120</v>
      </c>
      <c r="E15" s="2" t="s">
        <v>28</v>
      </c>
      <c r="F15" s="1">
        <v>1.05</v>
      </c>
      <c r="N15" s="2" t="s">
        <v>58</v>
      </c>
      <c r="O15" s="1"/>
    </row>
    <row r="16" spans="2:15" x14ac:dyDescent="0.2">
      <c r="B16" s="2" t="s">
        <v>15</v>
      </c>
      <c r="C16" s="1">
        <v>0</v>
      </c>
      <c r="E16" s="2" t="s">
        <v>0</v>
      </c>
      <c r="F16" s="1">
        <v>0.4</v>
      </c>
      <c r="N16" s="2" t="s">
        <v>12</v>
      </c>
      <c r="O16" s="1"/>
    </row>
    <row r="17" spans="2:15" x14ac:dyDescent="0.2">
      <c r="B17" s="2" t="s">
        <v>1</v>
      </c>
      <c r="C17" s="3" t="str">
        <f>[1]!encode_feed(C13,C14,C15,C16,C12)</f>
        <v>{"gamma_gas":0.6,"gamma_oil":0.86,"gamma_wat":1.1,"rsb_m3m3":120,"pb_atma":130,"t_res_C":80,"bob_m3m3":1.2,"muob_cP":0.6,"PVT_corr_set":0,"q_liq_sm3day":30,"fw_perc":10,"rp_m3m3":120}</v>
      </c>
      <c r="E17" s="2" t="s">
        <v>29</v>
      </c>
      <c r="F17" s="3" t="str">
        <f>[1]!encode_ESP_motor(F3, F4, F5, F6, F7, F8, F9, F10, F11, F12, F13, F14, F15, F16)</f>
        <v>{"motor_ID":0,"f_surf_Hz":50,"power_fact_kW":40,"U_nom_lin_V":1000,"P_nom_kW":30,"F_nom_Hz":50,"eff_nom_fr":0.82,"cosphi_nom_fr":0.88,"slip_nom_fr":0.053,"d_od_mm":117,"lambda":2.8,"alpha0":0.5,"xi0":1.05,"Ixcf":0.4}</v>
      </c>
      <c r="N17" s="2" t="s">
        <v>13</v>
      </c>
      <c r="O17" s="1"/>
    </row>
    <row r="18" spans="2:15" x14ac:dyDescent="0.2">
      <c r="N18" s="2" t="s">
        <v>14</v>
      </c>
      <c r="O18" s="1"/>
    </row>
    <row r="19" spans="2:15" x14ac:dyDescent="0.2">
      <c r="N19" s="2" t="s">
        <v>15</v>
      </c>
      <c r="O19" s="1"/>
    </row>
    <row r="20" spans="2:15" x14ac:dyDescent="0.2">
      <c r="N20" s="2" t="s">
        <v>59</v>
      </c>
      <c r="O20" s="3" t="str">
        <f>[1]!ESP_system_calc(O3,O4,O5,O6,O7,O8,O9,O10,O11,O12,O13,O14,O15,O16,O17,O18,O19)</f>
        <v>{"p_int_atma":100,"t_int_C":50,"p_dis_atma":224.032,"t_dis_C":50,"head_m":1513.849,"M_pump_Nm":56.618,"gas_frac_intake":0.033,"eff_ESP_d":0.293,"power_fluid_W":4927.184,"power_ESP_W":16844.329,"calc_from_dis":0,"stage_num":250,"freq_Hz":47.35,"w_obmin":2841,"rate_nom_sm3day":75.76,"rate_max_sm3day":165.725,"calibr_head":1,"calibr_rate":1,"calibr_power":1,"gas_correct_model":1,"gas_correct_stage_by_stage":false,"gas_corr_":1.01,"M_motor_Nm":57.62,"geometry":{"length_motor_m":10,"length_pump_m":12.5,"angle":90,"d_od_m":0.092,"d_cas_mm":150,"d_cas_min_m":0.1217,"d_motor_cas_min_mm":123,"d_motor_od_m":117},"dict_power":{"Pow_freq_Hz":50,"ESP_freq_Hz":47.35,"I_A":13.72,"load_%":0.57,"power_CS_kW":22.88,"power_motor_kW":20.9,"power_shaft_kW":17.14,"power_ESP_kW":16.84,"power_fluid_kW":4.93,"U_motor_V":1000,"eff_total_d":0.22,"eff_ESP_d":0.29,"eff_fact_d":0,"dp_unknown_kW":0,"Pmotor_nom_kW":17.14,"power_CS_fact_kW":0,"motor_eff_fr":0.82,"cable_R_Omkm":1.18,"dPower_protector_kW":0.4,"dPower_GasSep_kW":0.3,"dPower_CS_kW":0.67,"dPower_transform_kW":0.65,"cos_phi":0.88},"dict_separ":{"ksep_nat_fr":0.588867402652789,"ksep_gassep_fr":0.529159761448578,"ksep_total_fr":0.806422229788773,"p_ksep_atma":100,"t_ksep_C":50,"isGasSep":true,"ksep_liquid_man_d":0,"d_od_m":0.125,"d_cas_m":0.135,"angle_deg":90,"gassep_type":1,"natsep_type":0,"M_Nm":1,"freq_Hz":47.35}}</v>
      </c>
    </row>
    <row r="27" spans="2:15" x14ac:dyDescent="0.2">
      <c r="N27" t="str">
        <f t="array" ref="N27:O52">[1]!decode_json($O$20)</f>
        <v>p_int_atma</v>
      </c>
      <c r="O27" t="str">
        <v>100</v>
      </c>
    </row>
    <row r="28" spans="2:15" x14ac:dyDescent="0.2">
      <c r="N28" t="str">
        <v>t_int_C</v>
      </c>
      <c r="O28" t="str">
        <v>50</v>
      </c>
    </row>
    <row r="29" spans="2:15" x14ac:dyDescent="0.2">
      <c r="N29" t="str">
        <v>p_dis_atma</v>
      </c>
      <c r="O29" t="str">
        <v>224,032</v>
      </c>
    </row>
    <row r="30" spans="2:15" x14ac:dyDescent="0.2">
      <c r="N30" t="str">
        <v>t_dis_C</v>
      </c>
      <c r="O30" t="str">
        <v>50</v>
      </c>
    </row>
    <row r="31" spans="2:15" x14ac:dyDescent="0.2">
      <c r="N31" t="str">
        <v>head_m</v>
      </c>
      <c r="O31" t="str">
        <v>1513,849</v>
      </c>
    </row>
    <row r="32" spans="2:15" x14ac:dyDescent="0.2">
      <c r="N32" t="str">
        <v>M_pump_Nm</v>
      </c>
      <c r="O32" t="str">
        <v>56,618</v>
      </c>
    </row>
    <row r="33" spans="14:15" x14ac:dyDescent="0.2">
      <c r="N33" t="str">
        <v>gas_frac_intake</v>
      </c>
      <c r="O33" t="str">
        <v>0,033</v>
      </c>
    </row>
    <row r="34" spans="14:15" x14ac:dyDescent="0.2">
      <c r="N34" t="str">
        <v>eff_ESP_d</v>
      </c>
      <c r="O34" t="str">
        <v>0,293</v>
      </c>
    </row>
    <row r="35" spans="14:15" x14ac:dyDescent="0.2">
      <c r="N35" t="str">
        <v>power_fluid_W</v>
      </c>
      <c r="O35" t="str">
        <v>4927,184</v>
      </c>
    </row>
    <row r="36" spans="14:15" x14ac:dyDescent="0.2">
      <c r="N36" t="str">
        <v>power_ESP_W</v>
      </c>
      <c r="O36" t="str">
        <v>16844,329</v>
      </c>
    </row>
    <row r="37" spans="14:15" x14ac:dyDescent="0.2">
      <c r="N37" t="str">
        <v>calc_from_dis</v>
      </c>
      <c r="O37" t="str">
        <v>0</v>
      </c>
    </row>
    <row r="38" spans="14:15" x14ac:dyDescent="0.2">
      <c r="N38" t="str">
        <v>stage_num</v>
      </c>
      <c r="O38" t="str">
        <v>250</v>
      </c>
    </row>
    <row r="39" spans="14:15" x14ac:dyDescent="0.2">
      <c r="N39" t="str">
        <v>freq_Hz</v>
      </c>
      <c r="O39" t="str">
        <v>47,35</v>
      </c>
    </row>
    <row r="40" spans="14:15" x14ac:dyDescent="0.2">
      <c r="N40" t="str">
        <v>w_obmin</v>
      </c>
      <c r="O40" t="str">
        <v>2841</v>
      </c>
    </row>
    <row r="41" spans="14:15" x14ac:dyDescent="0.2">
      <c r="N41" t="str">
        <v>rate_nom_sm3day</v>
      </c>
      <c r="O41" t="str">
        <v>75,76</v>
      </c>
    </row>
    <row r="42" spans="14:15" x14ac:dyDescent="0.2">
      <c r="N42" t="str">
        <v>rate_max_sm3day</v>
      </c>
      <c r="O42" t="str">
        <v>165,725</v>
      </c>
    </row>
    <row r="43" spans="14:15" x14ac:dyDescent="0.2">
      <c r="N43" t="str">
        <v>calibr_head</v>
      </c>
      <c r="O43" t="str">
        <v>1</v>
      </c>
    </row>
    <row r="44" spans="14:15" x14ac:dyDescent="0.2">
      <c r="N44" t="str">
        <v>calibr_rate</v>
      </c>
      <c r="O44" t="str">
        <v>1</v>
      </c>
    </row>
    <row r="45" spans="14:15" x14ac:dyDescent="0.2">
      <c r="N45" t="str">
        <v>calibr_power</v>
      </c>
      <c r="O45" t="str">
        <v>1</v>
      </c>
    </row>
    <row r="46" spans="14:15" x14ac:dyDescent="0.2">
      <c r="N46" t="str">
        <v>gas_correct_model</v>
      </c>
      <c r="O46" t="str">
        <v>1</v>
      </c>
    </row>
    <row r="47" spans="14:15" x14ac:dyDescent="0.2">
      <c r="N47" t="str">
        <v>gas_correct_stage_by_stage</v>
      </c>
      <c r="O47" t="str">
        <v>False</v>
      </c>
    </row>
    <row r="48" spans="14:15" x14ac:dyDescent="0.2">
      <c r="N48" t="str">
        <v>gas_corr_</v>
      </c>
      <c r="O48" t="str">
        <v>1,01</v>
      </c>
    </row>
    <row r="49" spans="14:15" x14ac:dyDescent="0.2">
      <c r="N49" t="str">
        <v>M_motor_Nm</v>
      </c>
      <c r="O49" t="str">
        <v>57,62</v>
      </c>
    </row>
    <row r="50" spans="14:15" x14ac:dyDescent="0.2">
      <c r="N50" t="str">
        <v>geometry</v>
      </c>
      <c r="O50" t="str">
        <v>{"length_motor_m":10,"length_pump_m":12.5,"angle":90,"d_od_m":0.092,"d_cas_mm":150,"d_cas_min_m":0.1217,"d_motor_cas_min_mm":123,"d_motor_od_m":117}</v>
      </c>
    </row>
    <row r="51" spans="14:15" x14ac:dyDescent="0.2">
      <c r="N51" t="str">
        <v>dict_power</v>
      </c>
      <c r="O51" t="str">
        <v>{"Pow_freq_Hz":50,"ESP_freq_Hz":47.35,"I_A":13.72,"load_%":0.57,"power_CS_kW":22.88,"power_motor_kW":20.9,"power_shaft_kW":17.14,"power_ESP_kW":16.84,"power_fluid_kW":4.93,"U_motor_V":1000,"eff_total_d":0.22,"eff_ESP_d":0.29,"eff_fact_d":0,"dp_unknown_kW":0,"Pmotor_nom_kW":17.14,"power_CS_fact_kW":0,"motor_eff_fr":0.82,"cable_R_Omkm":1.18,"dPower_protector_kW":0.4,"dPower_GasSep_kW":0.3,"dPower_CS_kW":0.67,"dPower_transform_kW":0.65,"cos_phi":0.88}</v>
      </c>
    </row>
    <row r="52" spans="14:15" x14ac:dyDescent="0.2">
      <c r="N52" t="str">
        <v>dict_separ</v>
      </c>
      <c r="O52" t="str">
        <v>{"ksep_nat_fr":0.588867402652789,"ksep_gassep_fr":0.529159761448578,"ksep_total_fr":0.806422229788773,"p_ksep_atma":100,"t_ksep_C":50,"isGasSep":true,"ksep_liquid_man_d":0,"d_od_m":0.125,"d_cas_m":0.135,"angle_deg":90,"gassep_type":1,"natsep_type":0,"M_Nm":1,"freq_Hz":47.35}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6</vt:i4>
      </vt:variant>
    </vt:vector>
  </HeadingPairs>
  <TitlesOfParts>
    <vt:vector size="7" baseType="lpstr">
      <vt:lpstr>Exercise_ESP</vt:lpstr>
      <vt:lpstr>cable_json_1</vt:lpstr>
      <vt:lpstr>esp_json</vt:lpstr>
      <vt:lpstr>feed_json</vt:lpstr>
      <vt:lpstr>ksep_gassep</vt:lpstr>
      <vt:lpstr>motor_json_1</vt:lpstr>
      <vt:lpstr>PVT_json_1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2025-02-28T05:36:42Z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