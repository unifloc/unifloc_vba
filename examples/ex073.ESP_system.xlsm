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4430" codeName="{C5BBEA04-B48B-DB03-FC8F-E18A6752861A}"/>
  <workbookPr updateLinks="always" codeName="ЭтаКнига" hidePivotFieldList="1"/>
  <mc:AlternateContent xmlns:mc="http://schemas.openxmlformats.org/markup-compatibility/2006">
    <mc:Choice Requires="x15">
      <x15ac:absPath xmlns:x15ac="http://schemas.microsoft.com/office/spreadsheetml/2010/11/ac" url="D:\unifloc\unifloc_vba\examples\"/>
    </mc:Choice>
  </mc:AlternateContent>
  <xr:revisionPtr revIDLastSave="0" documentId="13_ncr:1_{DAA56D79-DF9E-4186-BB22-6C4E064D3A84}" xr6:coauthVersionLast="47" xr6:coauthVersionMax="47" xr10:uidLastSave="{00000000-0000-0000-0000-000000000000}"/>
  <bookViews>
    <workbookView xWindow="2355" yWindow="2790" windowWidth="26550" windowHeight="17415" tabRatio="422" xr2:uid="{00000000-000D-0000-FFFF-FFFF00000000}"/>
  </bookViews>
  <sheets>
    <sheet name="Exercise_ESP" sheetId="110" r:id="rId1"/>
  </sheets>
  <externalReferences>
    <externalReference r:id="rId2"/>
  </externalReferences>
  <definedNames>
    <definedName name="Bob_" localSheetId="0">Exercise_ESP!$C$18</definedName>
    <definedName name="cable_json">Exercise_ESP!$C$44</definedName>
    <definedName name="Cable_length">Exercise_ESP!$K$24</definedName>
    <definedName name="cable_R_Omkm">Exercise_ESP!$K$25</definedName>
    <definedName name="Cable_type">Exercise_ESP!$K$26</definedName>
    <definedName name="calc_along_flow">Exercise_ESP!#REF!</definedName>
    <definedName name="calibr_array_">Exercise_ESP!$C$31:$C$33</definedName>
    <definedName name="cos_phi">Exercise_ESP!$G$30</definedName>
    <definedName name="cos_ϕ_nom">Exercise_ESP!$G$30</definedName>
    <definedName name="dN">Exercise_ESP!$C$29</definedName>
    <definedName name="dod">Exercise_ESP!$G$35</definedName>
    <definedName name="effnom">Exercise_ESP!$G$29</definedName>
    <definedName name="Energy_fact">Exercise_ESP!$S$30</definedName>
    <definedName name="ESPstr">Exercise_ESP!#REF!</definedName>
    <definedName name="feed">Exercise_ESP!$C$41</definedName>
    <definedName name="Fnom">Exercise_ESP!$G$26</definedName>
    <definedName name="Freq_" localSheetId="0">Exercise_ESP!$C$27</definedName>
    <definedName name="Fsurf">Exercise_ESP!$S$28</definedName>
    <definedName name="fw_" localSheetId="0">Exercise_ESP!$S$25</definedName>
    <definedName name="gamma_gas_" localSheetId="0">Exercise_ESP!$C$13</definedName>
    <definedName name="gamma_oil_" localSheetId="0">Exercise_ESP!$C$11</definedName>
    <definedName name="gamma_wat_" localSheetId="0">Exercise_ESP!$C$12</definedName>
    <definedName name="gas_degr_type_">Exercise_ESP!$C$28</definedName>
    <definedName name="gassep">Exercise_ESP!$C$45</definedName>
    <definedName name="Head_ESP_" localSheetId="0">Exercise_ESP!$C$26</definedName>
    <definedName name="input_Course">Exercise_ESP!$I$3</definedName>
    <definedName name="input_Date">Exercise_ESP!$I$1</definedName>
    <definedName name="input_Group">Exercise_ESP!$I$4</definedName>
    <definedName name="input_Notes">Exercise_ESP!$I$6</definedName>
    <definedName name="input_Student_Name">Exercise_ESP!$I$5</definedName>
    <definedName name="input_Version">Exercise_ESP!$I$2</definedName>
    <definedName name="Ixcf">Exercise_ESP!$G$34</definedName>
    <definedName name="Ksep_man">Exercise_ESP!$O$24</definedName>
    <definedName name="KsepGasSep_" localSheetId="0">Exercise_ESP!$O$25</definedName>
    <definedName name="M_gassep">Exercise_ESP!$O$28</definedName>
    <definedName name="motor_ID">Exercise_ESP!$G$24</definedName>
    <definedName name="motor_json">Exercise_ESP!$C$43</definedName>
    <definedName name="muob_" localSheetId="0">Exercise_ESP!$C$19</definedName>
    <definedName name="N_" localSheetId="0">Exercise_ESP!#REF!</definedName>
    <definedName name="NumStage_" localSheetId="0">Exercise_ESP!$C$37</definedName>
    <definedName name="Pb_" localSheetId="0">Exercise_ESP!$C$16</definedName>
    <definedName name="Pdis_" localSheetId="0">Exercise_ESP!$S$35</definedName>
    <definedName name="Pintake_" localSheetId="0">Exercise_ESP!$S$33</definedName>
    <definedName name="PKsep">Exercise_ESP!$O$26</definedName>
    <definedName name="Pnom">Exercise_ESP!$G$27</definedName>
    <definedName name="pump_json">Exercise_ESP!$C$42</definedName>
    <definedName name="PumpID_" localSheetId="0">Exercise_ESP!$C$25</definedName>
    <definedName name="PVT_json">Exercise_ESP!$C$40</definedName>
    <definedName name="Q_" localSheetId="0">Exercise_ESP!$S$24</definedName>
    <definedName name="Q_ESP_" localSheetId="0">Exercise_ESP!$C$24</definedName>
    <definedName name="Qmax_" localSheetId="0">Exercise_ESP!$C$36</definedName>
    <definedName name="Rp_" localSheetId="0">Exercise_ESP!$S$26</definedName>
    <definedName name="Rsb_" localSheetId="0">Exercise_ESP!$C$14</definedName>
    <definedName name="slipnom">Exercise_ESP!$G$28</definedName>
    <definedName name="Tdis_">Exercise_ESP!$S$36</definedName>
    <definedName name="Tintake_" localSheetId="0">Exercise_ESP!$S$34</definedName>
    <definedName name="TKsep_">Exercise_ESP!$O$27</definedName>
    <definedName name="Tres_" localSheetId="0">Exercise_ESP!$C$17</definedName>
    <definedName name="U">Exercise_ESP!$S$29</definedName>
    <definedName name="Unom">Exercise_ESP!$G$25</definedName>
    <definedName name="α">Exercise_ESP!$G$32</definedName>
    <definedName name="λ">Exercise_ESP!$G$31</definedName>
    <definedName name="χ">Exercise_ESP!$G$33</definedName>
    <definedName name="ПКВ_останов">Exercise_ESP!#REF!</definedName>
    <definedName name="ПКВ_работа">Exercise_ESP!#REF!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C42" i="110" l="1" a="1"/>
  <c r="C42" i="110" l="1"/>
  <c r="Z32" i="110" l="1"/>
  <c r="C43" i="110" a="1"/>
  <c r="C44" i="110" a="1"/>
  <c r="B106" i="110" a="1"/>
  <c r="C25" i="110" a="1"/>
  <c r="C40" i="110" a="1"/>
  <c r="C45" i="110" a="1"/>
  <c r="C43" i="110" l="1"/>
  <c r="B106" i="110"/>
  <c r="C25" i="110"/>
  <c r="C45" i="110"/>
  <c r="C44" i="110"/>
  <c r="C40" i="110"/>
  <c r="C41" i="110" a="1"/>
  <c r="C41" i="110" l="1"/>
  <c r="B47" i="110" a="1"/>
  <c r="G1" i="110"/>
  <c r="B47" i="110" l="1"/>
  <c r="A48" i="110" s="1"/>
  <c r="E17" i="110"/>
  <c r="E16" i="110"/>
  <c r="U26" i="110"/>
  <c r="E14" i="110"/>
  <c r="E13" i="110"/>
  <c r="E12" i="110"/>
  <c r="E11" i="110"/>
  <c r="C35" i="110" a="1"/>
  <c r="C36" i="110" a="1"/>
  <c r="C37" i="110" a="1"/>
  <c r="C35" i="110" l="1"/>
  <c r="C37" i="110"/>
  <c r="C36" i="110"/>
  <c r="B108" i="110" a="1"/>
  <c r="B108" i="110" l="1"/>
  <c r="K38" i="110"/>
  <c r="AC43" i="110" a="1"/>
  <c r="B112" i="110" a="1"/>
  <c r="B50" i="110" a="1"/>
  <c r="I50" i="110" a="1"/>
  <c r="F50" i="110" a="1"/>
  <c r="L50" i="110" a="1"/>
  <c r="B112" i="110" l="1"/>
  <c r="I50" i="110"/>
  <c r="L50" i="110"/>
  <c r="F50" i="110"/>
  <c r="B50" i="110"/>
  <c r="AC43" i="110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<sst xmlns="http://schemas.openxmlformats.org/spreadsheetml/2006/main" count="119" uniqueCount="98">
  <si>
    <t>атм</t>
  </si>
  <si>
    <t>С</t>
  </si>
  <si>
    <t>м3/сут</t>
  </si>
  <si>
    <t xml:space="preserve">м </t>
  </si>
  <si>
    <t>Гц</t>
  </si>
  <si>
    <t>шт</t>
  </si>
  <si>
    <t>Физико - химические свойства флюида</t>
  </si>
  <si>
    <t>Ступени</t>
  </si>
  <si>
    <t>Упражнения по работе с макросами Unifloc VBA</t>
  </si>
  <si>
    <t>версия</t>
  </si>
  <si>
    <r>
      <t>γ</t>
    </r>
    <r>
      <rPr>
        <vertAlign val="subscript"/>
        <sz val="11"/>
        <color theme="1"/>
        <rFont val="Calibri"/>
        <family val="2"/>
        <charset val="204"/>
      </rPr>
      <t>o</t>
    </r>
  </si>
  <si>
    <r>
      <t>кг/м</t>
    </r>
    <r>
      <rPr>
        <vertAlign val="superscript"/>
        <sz val="11"/>
        <rFont val="Calibri"/>
        <family val="2"/>
        <charset val="204"/>
        <scheme val="minor"/>
      </rPr>
      <t>3</t>
    </r>
  </si>
  <si>
    <r>
      <t>γ</t>
    </r>
    <r>
      <rPr>
        <vertAlign val="subscript"/>
        <sz val="11"/>
        <color theme="1"/>
        <rFont val="Calibri"/>
        <family val="2"/>
        <charset val="204"/>
        <scheme val="minor"/>
      </rPr>
      <t>w</t>
    </r>
  </si>
  <si>
    <r>
      <t>γ</t>
    </r>
    <r>
      <rPr>
        <vertAlign val="subscript"/>
        <sz val="11"/>
        <color theme="1"/>
        <rFont val="Calibri"/>
        <family val="2"/>
        <charset val="204"/>
        <scheme val="minor"/>
      </rPr>
      <t>g</t>
    </r>
  </si>
  <si>
    <r>
      <t>R</t>
    </r>
    <r>
      <rPr>
        <vertAlign val="subscript"/>
        <sz val="11"/>
        <color theme="1"/>
        <rFont val="Calibri"/>
        <family val="2"/>
        <charset val="204"/>
        <scheme val="minor"/>
      </rPr>
      <t>sb</t>
    </r>
  </si>
  <si>
    <r>
      <t>м</t>
    </r>
    <r>
      <rPr>
        <vertAlign val="superscript"/>
        <sz val="11"/>
        <color theme="1"/>
        <rFont val="Calibri"/>
        <family val="2"/>
        <charset val="204"/>
        <scheme val="minor"/>
      </rPr>
      <t>3</t>
    </r>
    <r>
      <rPr>
        <sz val="10"/>
        <rFont val="Arial Cyr"/>
        <charset val="204"/>
      </rPr>
      <t>/м</t>
    </r>
    <r>
      <rPr>
        <vertAlign val="superscript"/>
        <sz val="11"/>
        <color theme="1"/>
        <rFont val="Calibri"/>
        <family val="2"/>
        <charset val="204"/>
        <scheme val="minor"/>
      </rPr>
      <t>3</t>
    </r>
  </si>
  <si>
    <r>
      <t>м</t>
    </r>
    <r>
      <rPr>
        <vertAlign val="superscript"/>
        <sz val="11"/>
        <rFont val="Calibri"/>
        <family val="2"/>
        <charset val="204"/>
        <scheme val="minor"/>
      </rPr>
      <t>3</t>
    </r>
    <r>
      <rPr>
        <sz val="10"/>
        <rFont val="Arial Cyr"/>
        <charset val="204"/>
      </rPr>
      <t>/т</t>
    </r>
  </si>
  <si>
    <r>
      <t>R</t>
    </r>
    <r>
      <rPr>
        <vertAlign val="subscript"/>
        <sz val="11"/>
        <color theme="1"/>
        <rFont val="Calibri"/>
        <family val="2"/>
        <charset val="204"/>
        <scheme val="minor"/>
      </rPr>
      <t>p</t>
    </r>
  </si>
  <si>
    <r>
      <t>P</t>
    </r>
    <r>
      <rPr>
        <vertAlign val="subscript"/>
        <sz val="11"/>
        <color theme="1"/>
        <rFont val="Calibri"/>
        <family val="2"/>
        <charset val="204"/>
        <scheme val="minor"/>
      </rPr>
      <t>b cal</t>
    </r>
  </si>
  <si>
    <t>атмa</t>
  </si>
  <si>
    <t>МПа</t>
  </si>
  <si>
    <r>
      <t>T</t>
    </r>
    <r>
      <rPr>
        <vertAlign val="subscript"/>
        <sz val="11"/>
        <color theme="1"/>
        <rFont val="Calibri"/>
        <family val="2"/>
        <charset val="204"/>
        <scheme val="minor"/>
      </rPr>
      <t>res</t>
    </r>
  </si>
  <si>
    <t>Ф</t>
  </si>
  <si>
    <r>
      <t>B</t>
    </r>
    <r>
      <rPr>
        <vertAlign val="subscript"/>
        <sz val="11"/>
        <color theme="1"/>
        <rFont val="Calibri"/>
        <family val="2"/>
        <charset val="204"/>
        <scheme val="minor"/>
      </rPr>
      <t>ob cal</t>
    </r>
  </si>
  <si>
    <r>
      <t>P</t>
    </r>
    <r>
      <rPr>
        <vertAlign val="subscript"/>
        <sz val="10"/>
        <rFont val="Arial Cyr"/>
        <charset val="204"/>
      </rPr>
      <t>intake</t>
    </r>
  </si>
  <si>
    <r>
      <t>T</t>
    </r>
    <r>
      <rPr>
        <vertAlign val="subscript"/>
        <sz val="10"/>
        <rFont val="Arial Cyr"/>
        <charset val="204"/>
      </rPr>
      <t>intake</t>
    </r>
  </si>
  <si>
    <r>
      <t>Q</t>
    </r>
    <r>
      <rPr>
        <vertAlign val="subscript"/>
        <sz val="10"/>
        <rFont val="Arial Cyr"/>
        <charset val="204"/>
      </rPr>
      <t>liq</t>
    </r>
  </si>
  <si>
    <r>
      <t>P</t>
    </r>
    <r>
      <rPr>
        <vertAlign val="subscript"/>
        <sz val="10"/>
        <rFont val="Arial Cyr"/>
        <charset val="204"/>
      </rPr>
      <t>dis</t>
    </r>
  </si>
  <si>
    <t>%</t>
  </si>
  <si>
    <r>
      <t>f</t>
    </r>
    <r>
      <rPr>
        <vertAlign val="subscript"/>
        <sz val="10"/>
        <rFont val="Arial Cyr"/>
        <charset val="204"/>
      </rPr>
      <t>w</t>
    </r>
  </si>
  <si>
    <t>ЭЦН имя</t>
  </si>
  <si>
    <r>
      <t>ЭЦН Q</t>
    </r>
    <r>
      <rPr>
        <vertAlign val="subscript"/>
        <sz val="10"/>
        <rFont val="Arial Cyr"/>
        <charset val="204"/>
      </rPr>
      <t>max</t>
    </r>
  </si>
  <si>
    <r>
      <t>K</t>
    </r>
    <r>
      <rPr>
        <vertAlign val="subscript"/>
        <sz val="10"/>
        <rFont val="Arial Cyr"/>
        <charset val="204"/>
      </rPr>
      <t>sep гс</t>
    </r>
  </si>
  <si>
    <r>
      <t>P</t>
    </r>
    <r>
      <rPr>
        <vertAlign val="subscript"/>
        <sz val="10"/>
        <rFont val="Arial Cyr"/>
        <charset val="204"/>
      </rPr>
      <t>sep</t>
    </r>
  </si>
  <si>
    <r>
      <t>T</t>
    </r>
    <r>
      <rPr>
        <vertAlign val="subscript"/>
        <sz val="10"/>
        <rFont val="Arial Cyr"/>
        <charset val="204"/>
      </rPr>
      <t>sep</t>
    </r>
  </si>
  <si>
    <t>Данные по ЭЦН</t>
  </si>
  <si>
    <t>cП</t>
  </si>
  <si>
    <r>
      <rPr>
        <sz val="11"/>
        <color theme="1"/>
        <rFont val="Calibri"/>
        <family val="2"/>
        <charset val="204"/>
        <scheme val="minor"/>
      </rPr>
      <t>µ</t>
    </r>
    <r>
      <rPr>
        <vertAlign val="subscript"/>
        <sz val="11"/>
        <color theme="1"/>
        <rFont val="Calibri"/>
        <family val="2"/>
        <charset val="204"/>
        <scheme val="minor"/>
      </rPr>
      <t>ob cal</t>
    </r>
  </si>
  <si>
    <r>
      <t>T</t>
    </r>
    <r>
      <rPr>
        <vertAlign val="subscript"/>
        <sz val="10"/>
        <rFont val="Arial Cyr"/>
        <charset val="204"/>
      </rPr>
      <t>dis</t>
    </r>
  </si>
  <si>
    <t>input_Date</t>
  </si>
  <si>
    <t>input_Version</t>
  </si>
  <si>
    <t>Курс</t>
  </si>
  <si>
    <t>РГУ ИРДН 2020</t>
  </si>
  <si>
    <t>input_Course</t>
  </si>
  <si>
    <t>Группа</t>
  </si>
  <si>
    <t>РиЭНМ</t>
  </si>
  <si>
    <t>input_Group</t>
  </si>
  <si>
    <t>Имя</t>
  </si>
  <si>
    <t>Хабибуллин Ринат</t>
  </si>
  <si>
    <t>input_Student_Name</t>
  </si>
  <si>
    <t>Примечание</t>
  </si>
  <si>
    <t>Пример выполнения упражнения</t>
  </si>
  <si>
    <t>input_Notes</t>
  </si>
  <si>
    <t>Расчет перепада давления в ЭЦН</t>
  </si>
  <si>
    <t>dN</t>
  </si>
  <si>
    <t>Расчет системы УЭЦН</t>
  </si>
  <si>
    <t>В</t>
  </si>
  <si>
    <t>кВт</t>
  </si>
  <si>
    <r>
      <t>K</t>
    </r>
    <r>
      <rPr>
        <vertAlign val="subscript"/>
        <sz val="10"/>
        <rFont val="Arial Cyr"/>
        <charset val="204"/>
      </rPr>
      <t>sep man</t>
    </r>
  </si>
  <si>
    <t>калибровки</t>
  </si>
  <si>
    <t>pump</t>
  </si>
  <si>
    <t>motor</t>
  </si>
  <si>
    <t>cable</t>
  </si>
  <si>
    <t>ПЭД ЭЦН</t>
  </si>
  <si>
    <t>Параметры потока</t>
  </si>
  <si>
    <t>ID</t>
  </si>
  <si>
    <r>
      <t>U</t>
    </r>
    <r>
      <rPr>
        <vertAlign val="subscript"/>
        <sz val="11"/>
        <color theme="1"/>
        <rFont val="Calibri"/>
        <family val="2"/>
        <charset val="204"/>
        <scheme val="minor"/>
      </rPr>
      <t>nom</t>
    </r>
  </si>
  <si>
    <r>
      <t>F</t>
    </r>
    <r>
      <rPr>
        <vertAlign val="subscript"/>
        <sz val="11"/>
        <color theme="1"/>
        <rFont val="Calibri"/>
        <family val="2"/>
        <charset val="204"/>
        <scheme val="minor"/>
      </rPr>
      <t>nom</t>
    </r>
  </si>
  <si>
    <r>
      <t>P</t>
    </r>
    <r>
      <rPr>
        <vertAlign val="subscript"/>
        <sz val="11"/>
        <color theme="1"/>
        <rFont val="Calibri"/>
        <family val="2"/>
        <charset val="204"/>
        <scheme val="minor"/>
      </rPr>
      <t>nom</t>
    </r>
  </si>
  <si>
    <r>
      <t>slip</t>
    </r>
    <r>
      <rPr>
        <vertAlign val="subscript"/>
        <sz val="11"/>
        <color theme="1"/>
        <rFont val="Calibri"/>
        <family val="2"/>
        <charset val="204"/>
        <scheme val="minor"/>
      </rPr>
      <t>nom</t>
    </r>
  </si>
  <si>
    <r>
      <t>eff</t>
    </r>
    <r>
      <rPr>
        <vertAlign val="subscript"/>
        <sz val="11"/>
        <color theme="1"/>
        <rFont val="Calibri"/>
        <family val="2"/>
        <charset val="204"/>
        <scheme val="minor"/>
      </rPr>
      <t>nom</t>
    </r>
  </si>
  <si>
    <r>
      <t xml:space="preserve">cos </t>
    </r>
    <r>
      <rPr>
        <sz val="11"/>
        <color theme="1"/>
        <rFont val="Calibri"/>
        <family val="2"/>
        <charset val="204"/>
      </rPr>
      <t>ϕ</t>
    </r>
    <r>
      <rPr>
        <sz val="10"/>
        <rFont val="Arial Cyr"/>
        <charset val="204"/>
      </rPr>
      <t xml:space="preserve"> </t>
    </r>
    <r>
      <rPr>
        <vertAlign val="subscript"/>
        <sz val="11"/>
        <color theme="1"/>
        <rFont val="Calibri"/>
        <family val="2"/>
        <charset val="204"/>
        <scheme val="minor"/>
      </rPr>
      <t>nom</t>
    </r>
  </si>
  <si>
    <t>λ</t>
  </si>
  <si>
    <t>α</t>
  </si>
  <si>
    <t>χ</t>
  </si>
  <si>
    <t>Ixcf</t>
  </si>
  <si>
    <t>Кабельная линия</t>
  </si>
  <si>
    <t>L</t>
  </si>
  <si>
    <t>R</t>
  </si>
  <si>
    <t>Сепарация газа</t>
  </si>
  <si>
    <t>Система УЭЦН</t>
  </si>
  <si>
    <r>
      <t>d</t>
    </r>
    <r>
      <rPr>
        <vertAlign val="subscript"/>
        <sz val="10"/>
        <rFont val="Arial Cyr"/>
        <charset val="204"/>
      </rPr>
      <t>od</t>
    </r>
  </si>
  <si>
    <t>мм</t>
  </si>
  <si>
    <t>gas_corr</t>
  </si>
  <si>
    <r>
      <t>Q</t>
    </r>
    <r>
      <rPr>
        <vertAlign val="subscript"/>
        <sz val="10"/>
        <rFont val="Arial Cyr"/>
        <charset val="204"/>
      </rPr>
      <t>nom</t>
    </r>
  </si>
  <si>
    <r>
      <t>H</t>
    </r>
    <r>
      <rPr>
        <vertAlign val="subscript"/>
        <sz val="10"/>
        <rFont val="Arial Cyr"/>
        <charset val="204"/>
      </rPr>
      <t>nom</t>
    </r>
  </si>
  <si>
    <t xml:space="preserve">PVT </t>
  </si>
  <si>
    <r>
      <t>c</t>
    </r>
    <r>
      <rPr>
        <vertAlign val="subscript"/>
        <sz val="10"/>
        <rFont val="Arial Cyr"/>
        <charset val="204"/>
      </rPr>
      <t>calibr_head</t>
    </r>
  </si>
  <si>
    <r>
      <t>c</t>
    </r>
    <r>
      <rPr>
        <vertAlign val="subscript"/>
        <sz val="10"/>
        <rFont val="Arial Cyr"/>
        <charset val="204"/>
      </rPr>
      <t>calibr_rate</t>
    </r>
  </si>
  <si>
    <r>
      <t>c</t>
    </r>
    <r>
      <rPr>
        <vertAlign val="subscript"/>
        <sz val="10"/>
        <rFont val="Arial Cyr"/>
        <charset val="204"/>
      </rPr>
      <t>calibr_power</t>
    </r>
  </si>
  <si>
    <r>
      <t>P</t>
    </r>
    <r>
      <rPr>
        <vertAlign val="subscript"/>
        <sz val="10"/>
        <rFont val="Arial Cyr"/>
        <charset val="204"/>
      </rPr>
      <t>fact</t>
    </r>
  </si>
  <si>
    <r>
      <t>U</t>
    </r>
    <r>
      <rPr>
        <vertAlign val="subscript"/>
        <sz val="10"/>
        <rFont val="Arial Cyr"/>
        <charset val="204"/>
      </rPr>
      <t>раб</t>
    </r>
  </si>
  <si>
    <r>
      <t>F</t>
    </r>
    <r>
      <rPr>
        <vertAlign val="subscript"/>
        <sz val="10"/>
        <rFont val="Arial Cyr"/>
        <charset val="204"/>
      </rPr>
      <t>surf</t>
    </r>
  </si>
  <si>
    <t>gassep</t>
  </si>
  <si>
    <t>M_gassep</t>
  </si>
  <si>
    <t>Nm</t>
  </si>
  <si>
    <t>feed</t>
  </si>
  <si>
    <t>Fном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</si>
</sst>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"/>
    <numFmt numFmtId="165" formatCode="0.000"/>
  </numFmts>
  <fonts count="13" x14ac:knownFonts="1">
    <font>
      <sz val="10"/>
      <name val="Arial Cyr"/>
      <charset val="204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0"/>
      <name val="Times New Roman Cyr"/>
      <charset val="204"/>
    </font>
    <font>
      <sz val="11"/>
      <color theme="1"/>
      <name val="Calibri"/>
      <family val="2"/>
      <scheme val="minor"/>
    </font>
    <font>
      <b/>
      <sz val="10"/>
      <name val="Arial Cyr"/>
      <charset val="204"/>
    </font>
    <font>
      <sz val="11"/>
      <color theme="1"/>
      <name val="Calibri"/>
      <family val="2"/>
      <charset val="204"/>
    </font>
    <font>
      <vertAlign val="subscript"/>
      <sz val="11"/>
      <color theme="1"/>
      <name val="Calibri"/>
      <family val="2"/>
      <charset val="204"/>
    </font>
    <font>
      <vertAlign val="superscript"/>
      <sz val="11"/>
      <name val="Calibri"/>
      <family val="2"/>
      <charset val="204"/>
      <scheme val="minor"/>
    </font>
    <font>
      <vertAlign val="subscript"/>
      <sz val="11"/>
      <color theme="1"/>
      <name val="Calibri"/>
      <family val="2"/>
      <charset val="204"/>
      <scheme val="minor"/>
    </font>
    <font>
      <vertAlign val="superscript"/>
      <sz val="11"/>
      <color theme="1"/>
      <name val="Calibri"/>
      <family val="2"/>
      <charset val="204"/>
      <scheme val="minor"/>
    </font>
    <font>
      <vertAlign val="subscript"/>
      <sz val="10"/>
      <name val="Arial Cyr"/>
      <charset val="204"/>
    </font>
  </fonts>
  <fills count="9">
    <fill>
      <patternFill patternType="none"/>
    </fill>
    <fill>
      <patternFill patternType="gray125"/>
    </fill>
    <fill>
      <patternFill patternType="solid">
        <fgColor rgb="FFFFFF99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F00"/>
        <bgColor indexed="64"/>
      </patternFill>
    </fill>
  </fills>
  <borders count="17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5">
    <xf numFmtId="0" fontId="0" fillId="0" borderId="0"/>
    <xf numFmtId="0" fontId="4" fillId="0" borderId="1"/>
    <xf numFmtId="0" fontId="5" fillId="0" borderId="0"/>
    <xf numFmtId="0" fontId="3" fillId="0" borderId="0"/>
    <xf numFmtId="0" fontId="2" fillId="0" borderId="0"/>
  </cellStyleXfs>
  <cellXfs count="50">
    <xf numFmtId="0" fontId="0" fillId="0" borderId="0" xfId="0"/>
    <xf numFmtId="0" fontId="6" fillId="0" borderId="0" xfId="0" applyFont="1"/>
    <xf numFmtId="0" fontId="0" fillId="2" borderId="2" xfId="0" applyFill="1" applyBorder="1" applyAlignment="1">
      <alignment horizontal="center"/>
    </xf>
    <xf numFmtId="0" fontId="0" fillId="0" borderId="0" xfId="0" applyAlignment="1">
      <alignment wrapText="1"/>
    </xf>
    <xf numFmtId="0" fontId="0" fillId="0" borderId="0" xfId="0" applyAlignment="1">
      <alignment horizontal="center"/>
    </xf>
    <xf numFmtId="9" fontId="0" fillId="2" borderId="2" xfId="0" applyNumberFormat="1" applyFill="1" applyBorder="1" applyAlignment="1">
      <alignment horizontal="center"/>
    </xf>
    <xf numFmtId="2" fontId="0" fillId="2" borderId="2" xfId="0" applyNumberFormat="1" applyFill="1" applyBorder="1" applyAlignment="1">
      <alignment horizontal="center"/>
    </xf>
    <xf numFmtId="0" fontId="7" fillId="3" borderId="2" xfId="0" applyFont="1" applyFill="1" applyBorder="1" applyAlignment="1">
      <alignment horizontal="center"/>
    </xf>
    <xf numFmtId="0" fontId="0" fillId="4" borderId="2" xfId="0" applyFill="1" applyBorder="1" applyAlignment="1">
      <alignment horizontal="center"/>
    </xf>
    <xf numFmtId="0" fontId="0" fillId="5" borderId="2" xfId="0" applyFill="1" applyBorder="1" applyAlignment="1">
      <alignment horizontal="center"/>
    </xf>
    <xf numFmtId="0" fontId="0" fillId="3" borderId="2" xfId="0" applyFill="1" applyBorder="1" applyAlignment="1">
      <alignment horizontal="center"/>
    </xf>
    <xf numFmtId="0" fontId="0" fillId="3" borderId="2" xfId="0" applyFill="1" applyBorder="1" applyAlignment="1">
      <alignment horizontal="center" wrapText="1"/>
    </xf>
    <xf numFmtId="1" fontId="0" fillId="5" borderId="2" xfId="0" applyNumberFormat="1" applyFill="1" applyBorder="1" applyAlignment="1">
      <alignment horizontal="center"/>
    </xf>
    <xf numFmtId="0" fontId="0" fillId="6" borderId="2" xfId="0" applyFill="1" applyBorder="1" applyAlignment="1">
      <alignment horizontal="center" wrapText="1"/>
    </xf>
    <xf numFmtId="0" fontId="0" fillId="6" borderId="2" xfId="0" applyFill="1" applyBorder="1" applyAlignment="1">
      <alignment horizontal="center"/>
    </xf>
    <xf numFmtId="0" fontId="0" fillId="5" borderId="0" xfId="0" applyFill="1"/>
    <xf numFmtId="0" fontId="10" fillId="3" borderId="2" xfId="0" applyFont="1" applyFill="1" applyBorder="1" applyAlignment="1">
      <alignment horizontal="center" wrapText="1"/>
    </xf>
    <xf numFmtId="0" fontId="0" fillId="6" borderId="2" xfId="0" applyFill="1" applyBorder="1" applyAlignment="1">
      <alignment horizontal="center"/>
    </xf>
    <xf numFmtId="14" fontId="0" fillId="5" borderId="0" xfId="0" applyNumberFormat="1" applyFill="1" applyAlignment="1">
      <alignment horizontal="left" vertical="top"/>
    </xf>
    <xf numFmtId="0" fontId="0" fillId="5" borderId="0" xfId="0" applyFill="1" applyAlignment="1">
      <alignment horizontal="left" vertical="top"/>
    </xf>
    <xf numFmtId="0" fontId="7" fillId="3" borderId="2" xfId="0" applyFont="1" applyFill="1" applyBorder="1" applyAlignment="1">
      <alignment horizontal="left"/>
    </xf>
    <xf numFmtId="0" fontId="0" fillId="3" borderId="6" xfId="0" applyFill="1" applyBorder="1" applyAlignment="1">
      <alignment vertical="top"/>
    </xf>
    <xf numFmtId="0" fontId="0" fillId="3" borderId="0" xfId="0" applyFill="1" applyAlignment="1">
      <alignment vertical="top"/>
    </xf>
    <xf numFmtId="0" fontId="0" fillId="5" borderId="0" xfId="0" applyFill="1" applyAlignment="1">
      <alignment vertical="top"/>
    </xf>
    <xf numFmtId="0" fontId="0" fillId="3" borderId="10" xfId="0" applyFill="1" applyBorder="1" applyAlignment="1">
      <alignment vertical="top"/>
    </xf>
    <xf numFmtId="0" fontId="0" fillId="3" borderId="13" xfId="0" applyFill="1" applyBorder="1" applyAlignment="1">
      <alignment vertical="top"/>
    </xf>
    <xf numFmtId="2" fontId="0" fillId="0" borderId="0" xfId="0" applyNumberFormat="1"/>
    <xf numFmtId="164" fontId="0" fillId="0" borderId="0" xfId="0" applyNumberFormat="1"/>
    <xf numFmtId="1" fontId="0" fillId="0" borderId="0" xfId="0" applyNumberFormat="1"/>
    <xf numFmtId="165" fontId="0" fillId="0" borderId="0" xfId="0" applyNumberFormat="1"/>
    <xf numFmtId="165" fontId="0" fillId="0" borderId="0" xfId="0" quotePrefix="1" applyNumberFormat="1"/>
    <xf numFmtId="0" fontId="0" fillId="8" borderId="0" xfId="0" applyFill="1"/>
    <xf numFmtId="0" fontId="0" fillId="7" borderId="2" xfId="0" applyFill="1" applyBorder="1" applyAlignment="1">
      <alignment horizontal="center"/>
    </xf>
    <xf numFmtId="0" fontId="0" fillId="6" borderId="3" xfId="0" applyFill="1" applyBorder="1"/>
    <xf numFmtId="0" fontId="0" fillId="5" borderId="0" xfId="0" applyFill="1" applyBorder="1"/>
    <xf numFmtId="0" fontId="0" fillId="6" borderId="0" xfId="0" applyFill="1" applyBorder="1"/>
    <xf numFmtId="1" fontId="0" fillId="7" borderId="7" xfId="0" applyNumberFormat="1" applyFill="1" applyBorder="1" applyAlignment="1">
      <alignment horizontal="left"/>
    </xf>
    <xf numFmtId="0" fontId="0" fillId="0" borderId="0" xfId="0" applyAlignment="1"/>
    <xf numFmtId="0" fontId="0" fillId="8" borderId="3" xfId="0" applyFill="1" applyBorder="1" applyAlignment="1">
      <alignment horizontal="left"/>
    </xf>
    <xf numFmtId="0" fontId="0" fillId="8" borderId="4" xfId="0" applyFill="1" applyBorder="1" applyAlignment="1">
      <alignment horizontal="left"/>
    </xf>
    <xf numFmtId="0" fontId="0" fillId="8" borderId="5" xfId="0" applyFill="1" applyBorder="1" applyAlignment="1">
      <alignment horizontal="left"/>
    </xf>
    <xf numFmtId="0" fontId="0" fillId="8" borderId="7" xfId="0" applyFill="1" applyBorder="1" applyAlignment="1">
      <alignment horizontal="left" vertical="top"/>
    </xf>
    <xf numFmtId="0" fontId="0" fillId="8" borderId="8" xfId="0" applyFill="1" applyBorder="1" applyAlignment="1">
      <alignment horizontal="left" vertical="top"/>
    </xf>
    <xf numFmtId="0" fontId="0" fillId="8" borderId="9" xfId="0" applyFill="1" applyBorder="1" applyAlignment="1">
      <alignment horizontal="left" vertical="top"/>
    </xf>
    <xf numFmtId="0" fontId="0" fillId="8" borderId="11" xfId="0" applyFill="1" applyBorder="1" applyAlignment="1">
      <alignment horizontal="left" vertical="top"/>
    </xf>
    <xf numFmtId="0" fontId="0" fillId="8" borderId="0" xfId="0" applyFill="1" applyAlignment="1">
      <alignment horizontal="left" vertical="top"/>
    </xf>
    <xf numFmtId="0" fontId="0" fillId="8" borderId="12" xfId="0" applyFill="1" applyBorder="1" applyAlignment="1">
      <alignment horizontal="left" vertical="top"/>
    </xf>
    <xf numFmtId="0" fontId="0" fillId="8" borderId="14" xfId="0" applyFill="1" applyBorder="1" applyAlignment="1">
      <alignment horizontal="left" vertical="top"/>
    </xf>
    <xf numFmtId="0" fontId="0" fillId="8" borderId="15" xfId="0" applyFill="1" applyBorder="1" applyAlignment="1">
      <alignment horizontal="left" vertical="top"/>
    </xf>
    <xf numFmtId="0" fontId="0" fillId="8" borderId="16" xfId="0" applyFill="1" applyBorder="1" applyAlignment="1">
      <alignment horizontal="left" vertical="top"/>
    </xf>
  </cellXfs>
  <cellStyles count="5">
    <cellStyle name="Iau?iue_AA_1" xfId="1" xr:uid="{00000000-0005-0000-0000-000000000000}"/>
    <cellStyle name="Обычный" xfId="0" builtinId="0"/>
    <cellStyle name="Обычный 2" xfId="2" xr:uid="{00000000-0005-0000-0000-000002000000}"/>
    <cellStyle name="Обычный 3" xfId="3" xr:uid="{00000000-0005-0000-0000-000003000000}"/>
    <cellStyle name="Обычный 3 2" xfId="4" xr:uid="{00000000-0005-0000-0000-000004000000}"/>
  </cellStyles>
  <dxfs count="0"/>
  <tableStyles count="0" defaultTableStyle="TableStyleMedium2" defaultPivotStyle="PivotStyleLight16"/>
  <colors>
    <mruColors>
      <color rgb="FF000000"/>
      <color rgb="FFFFFF99"/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593879</xdr:colOff>
      <xdr:row>0</xdr:row>
      <xdr:rowOff>22597</xdr:rowOff>
    </xdr:from>
    <xdr:to>
      <xdr:col>13</xdr:col>
      <xdr:colOff>312208</xdr:colOff>
      <xdr:row>17</xdr:row>
      <xdr:rowOff>180975</xdr:rowOff>
    </xdr:to>
    <xdr:sp macro="" textlink="">
      <xdr:nvSpPr>
        <xdr:cNvPr id="18" name="TextBox 17">
          <a:extLst>
            <a:ext uri="{FF2B5EF4-FFF2-40B4-BE49-F238E27FC236}">
              <a16:creationId xmlns:a16="http://schemas.microsoft.com/office/drawing/2014/main" id="{00000000-0008-0000-0000-000012000000}"/>
            </a:ext>
          </a:extLst>
        </xdr:cNvPr>
        <xdr:cNvSpPr txBox="1"/>
      </xdr:nvSpPr>
      <xdr:spPr>
        <a:xfrm>
          <a:off x="5051579" y="22597"/>
          <a:ext cx="5004704" cy="3511178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ru-RU" sz="1100"/>
            <a:t>Упражнение показывает работу</a:t>
          </a:r>
          <a:r>
            <a:rPr lang="ru-RU" sz="1100" baseline="0"/>
            <a:t> с базой данных УЭЦН поставляемой с унифлок. А также показывает работу базовых функций расчета производительности ЭЦН.</a:t>
          </a:r>
        </a:p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ru-RU" sz="1100" baseline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ru-RU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Выполните следующие задания:</a:t>
          </a:r>
          <a:endParaRPr lang="ru-RU" sz="1100" baseline="0"/>
        </a:p>
        <a:p>
          <a:pPr marL="171450" indent="-171450">
            <a:buFont typeface="Arial" pitchFamily="34" charset="0"/>
            <a:buChar char="•"/>
          </a:pPr>
          <a:r>
            <a:rPr lang="ru-RU" sz="1100"/>
            <a:t>Найдите</a:t>
          </a:r>
          <a:r>
            <a:rPr lang="ru-RU" sz="1100" baseline="0"/>
            <a:t> количество ступеней для</a:t>
          </a:r>
          <a:r>
            <a:rPr lang="ru-RU" sz="1100"/>
            <a:t> насоса с заданными номинальным дебитом и напором.</a:t>
          </a:r>
          <a:r>
            <a:rPr lang="ru-RU" sz="1100" baseline="0"/>
            <a:t> Оцените максимальный дебит насоса при котором будет положительный напор. </a:t>
          </a:r>
        </a:p>
        <a:p>
          <a:pPr marL="171450" indent="-171450">
            <a:buFont typeface="Arial" pitchFamily="34" charset="0"/>
            <a:buChar char="•"/>
          </a:pPr>
          <a:r>
            <a:rPr lang="ru-RU" sz="1100"/>
            <a:t>Рассчитайте</a:t>
          </a:r>
          <a:r>
            <a:rPr lang="ru-RU" sz="1100" baseline="0"/>
            <a:t> распределение давления в ЭЦН. Проанализируйте распределение других параметров в ЭЦН</a:t>
          </a:r>
          <a:r>
            <a:rPr lang="en-US" sz="1100" baseline="0"/>
            <a:t> </a:t>
          </a:r>
          <a:r>
            <a:rPr lang="ru-RU" sz="1100" baseline="0"/>
            <a:t>и параметры работы ЭЦН</a:t>
          </a:r>
          <a:endParaRPr lang="ru-RU" sz="1100"/>
        </a:p>
        <a:p>
          <a:pPr marL="171450" marR="0" indent="-17145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 typeface="Arial" pitchFamily="34" charset="0"/>
            <a:buChar char="•"/>
            <a:tabLst/>
            <a:defRPr/>
          </a:pPr>
          <a:r>
            <a:rPr lang="ru-RU" sz="1100"/>
            <a:t>Постройте зависимости давления на входе</a:t>
          </a:r>
          <a:r>
            <a:rPr lang="ru-RU" sz="1100" baseline="0"/>
            <a:t> и выходе</a:t>
          </a:r>
          <a:r>
            <a:rPr lang="ru-RU" sz="1100"/>
            <a:t> от дебита</a:t>
          </a:r>
          <a:r>
            <a:rPr lang="en-US" sz="1100"/>
            <a:t> </a:t>
          </a:r>
          <a:r>
            <a:rPr lang="ru-RU" sz="1100"/>
            <a:t>для</a:t>
          </a:r>
          <a:r>
            <a:rPr lang="ru-RU" sz="1100" baseline="0"/>
            <a:t> заданных параметров флюида и условий работы</a:t>
          </a:r>
          <a:r>
            <a:rPr lang="ru-RU" sz="1100"/>
            <a:t>.</a:t>
          </a:r>
          <a:r>
            <a:rPr lang="en-US" sz="1100"/>
            <a:t> </a:t>
          </a:r>
          <a:r>
            <a:rPr lang="ru-RU" sz="1100"/>
            <a:t> </a:t>
          </a:r>
          <a:r>
            <a:rPr lang="ru-RU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Расчет провести двумя способами -"снизу вверх" и "сверху вниз".</a:t>
          </a:r>
          <a:endParaRPr lang="ru-RU" sz="1100">
            <a:effectLst/>
          </a:endParaRPr>
        </a:p>
        <a:p>
          <a:pPr marL="171450" indent="-171450">
            <a:buFont typeface="Arial" pitchFamily="34" charset="0"/>
            <a:buChar char="•"/>
          </a:pPr>
          <a:endParaRPr lang="ru-RU" sz="1100"/>
        </a:p>
        <a:p>
          <a:pPr marL="0" indent="0">
            <a:buFont typeface="Arial" pitchFamily="34" charset="0"/>
            <a:buNone/>
          </a:pPr>
          <a:r>
            <a:rPr lang="ru-RU" sz="1100"/>
            <a:t>Используйте</a:t>
          </a:r>
          <a:r>
            <a:rPr lang="ru-RU" sz="1100" baseline="0"/>
            <a:t> функции:</a:t>
          </a:r>
          <a:endParaRPr lang="en-US" sz="1100" baseline="0"/>
        </a:p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 typeface="Arial" pitchFamily="34" charset="0"/>
            <a:buNone/>
            <a:tabLst/>
            <a:defRPr/>
          </a:pPr>
          <a:r>
            <a:rPr lang="en-US">
              <a:effectLst/>
              <a:latin typeface="Courier New" pitchFamily="49" charset="0"/>
              <a:cs typeface="Courier New" pitchFamily="49" charset="0"/>
            </a:rPr>
            <a:t>ESP_head_m</a:t>
          </a:r>
        </a:p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 typeface="Arial" pitchFamily="34" charset="0"/>
            <a:buNone/>
            <a:tabLst/>
            <a:defRPr/>
          </a:pPr>
          <a:r>
            <a:rPr lang="en-US">
              <a:effectLst/>
              <a:latin typeface="Courier New" pitchFamily="49" charset="0"/>
              <a:cs typeface="Courier New" pitchFamily="49" charset="0"/>
            </a:rPr>
            <a:t>ESP_p_atma</a:t>
          </a:r>
        </a:p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 typeface="Arial" pitchFamily="34" charset="0"/>
            <a:buNone/>
            <a:tabLst/>
            <a:defRPr/>
          </a:pPr>
          <a:r>
            <a:rPr lang="en-US">
              <a:effectLst/>
              <a:latin typeface="Courier New" pitchFamily="49" charset="0"/>
              <a:cs typeface="Courier New" pitchFamily="49" charset="0"/>
            </a:rPr>
            <a:t>ESP_system_calc</a:t>
          </a:r>
          <a:endParaRPr lang="ru-RU">
            <a:effectLst/>
            <a:latin typeface="Courier New" pitchFamily="49" charset="0"/>
            <a:cs typeface="Courier New" pitchFamily="49" charset="0"/>
          </a:endParaRPr>
        </a:p>
      </xdr:txBody>
    </xdr:sp>
    <xdr:clientData/>
  </xdr:twoCellAnchor>
  <xdr:twoCellAnchor>
    <xdr:from>
      <xdr:col>13</xdr:col>
      <xdr:colOff>409574</xdr:colOff>
      <xdr:row>0</xdr:row>
      <xdr:rowOff>11642</xdr:rowOff>
    </xdr:from>
    <xdr:to>
      <xdr:col>21</xdr:col>
      <xdr:colOff>557741</xdr:colOff>
      <xdr:row>17</xdr:row>
      <xdr:rowOff>171450</xdr:rowOff>
    </xdr:to>
    <xdr:sp macro="" textlink="">
      <xdr:nvSpPr>
        <xdr:cNvPr id="11" name="TextBox 10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SpPr txBox="1"/>
      </xdr:nvSpPr>
      <xdr:spPr>
        <a:xfrm>
          <a:off x="10582274" y="11642"/>
          <a:ext cx="5558367" cy="3512608"/>
        </a:xfrm>
        <a:prstGeom prst="rect">
          <a:avLst/>
        </a:prstGeom>
        <a:solidFill>
          <a:schemeClr val="accent4">
            <a:lumMod val="40000"/>
            <a:lumOff val="6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ru-RU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Вопросы</a:t>
          </a:r>
          <a:r>
            <a:rPr lang="ru-RU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по упражению </a:t>
          </a:r>
          <a:endParaRPr lang="ru-RU">
            <a:effectLst/>
          </a:endParaRPr>
        </a:p>
        <a:p>
          <a:r>
            <a:rPr lang="ru-RU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1. Что такое проскальзывание и чем отличается частота тока и частота вращения вала ЭЦН? Всегда ли они отличаются?</a:t>
          </a:r>
        </a:p>
        <a:p>
          <a:r>
            <a:rPr lang="ru-RU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2. На что влияет напряжение подаваемое на ЭЦН?</a:t>
          </a:r>
        </a:p>
        <a:p>
          <a:r>
            <a:rPr lang="ru-RU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3. Чем отличается КПД ЭЦН и КПД УЭЦН?</a:t>
          </a:r>
        </a:p>
        <a:p>
          <a:r>
            <a:rPr lang="ru-RU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4. Что такое загрузка ЭЦН? А нагрузка ЭЦН?</a:t>
          </a:r>
        </a:p>
        <a:p>
          <a:r>
            <a:rPr lang="ru-RU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5. На что влияет коэффициент мощности </a:t>
          </a:r>
          <a:r>
            <a:rPr lang="en-US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cos phi?</a:t>
          </a:r>
        </a:p>
        <a:p>
          <a:r>
            <a:rPr lang="en-US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6. </a:t>
          </a:r>
          <a:endParaRPr lang="ru-RU">
            <a:effectLst/>
          </a:endParaRPr>
        </a:p>
        <a:p>
          <a:endParaRPr lang="ru-RU" sz="1100" baseline="0"/>
        </a:p>
        <a:p>
          <a:r>
            <a:rPr lang="ru-RU" sz="1100" baseline="0"/>
            <a:t>Дополнительное задание</a:t>
          </a:r>
        </a:p>
        <a:p>
          <a:r>
            <a:rPr lang="ru-RU" sz="1100" baseline="0"/>
            <a:t>1. Чем характеристика давление от дебита отличается от характеристики напор от дебита для ЭЦН</a:t>
          </a:r>
        </a:p>
      </xdr:txBody>
    </xdr:sp>
    <xdr:clientData/>
  </xdr:twoCellAnchor>
  <xdr:twoCellAnchor>
    <xdr:from>
      <xdr:col>26</xdr:col>
      <xdr:colOff>81643</xdr:colOff>
      <xdr:row>58</xdr:row>
      <xdr:rowOff>152400</xdr:rowOff>
    </xdr:from>
    <xdr:to>
      <xdr:col>29</xdr:col>
      <xdr:colOff>299358</xdr:colOff>
      <xdr:row>62</xdr:row>
      <xdr:rowOff>81558</xdr:rowOff>
    </xdr:to>
    <xdr:sp macro="" textlink="">
      <xdr:nvSpPr>
        <xdr:cNvPr id="4" name="Выноска со стрелкой влево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>
        <a:xfrm flipH="1">
          <a:off x="20152179" y="12099471"/>
          <a:ext cx="3796393" cy="582301"/>
        </a:xfrm>
        <a:prstGeom prst="leftArrowCallout">
          <a:avLst>
            <a:gd name="adj1" fmla="val 25000"/>
            <a:gd name="adj2" fmla="val 25000"/>
            <a:gd name="adj3" fmla="val 25000"/>
            <a:gd name="adj4" fmla="val 84531"/>
          </a:avLst>
        </a:prstGeom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2</a:t>
          </a:r>
          <a:r>
            <a:rPr lang="ru-RU" sz="1100"/>
            <a:t>. Рассчитайте</a:t>
          </a:r>
          <a:r>
            <a:rPr lang="ru-RU" sz="1100" baseline="0"/>
            <a:t> распределение давления в насосе и распределение параметров флюида внутри насоса</a:t>
          </a:r>
          <a:endParaRPr lang="ru-RU" sz="1100"/>
        </a:p>
      </xdr:txBody>
    </xdr:sp>
    <xdr:clientData/>
  </xdr:twoCellAnchor>
  <xdr:twoCellAnchor>
    <xdr:from>
      <xdr:col>4</xdr:col>
      <xdr:colOff>224118</xdr:colOff>
      <xdr:row>1</xdr:row>
      <xdr:rowOff>56030</xdr:rowOff>
    </xdr:from>
    <xdr:to>
      <xdr:col>6</xdr:col>
      <xdr:colOff>501829</xdr:colOff>
      <xdr:row>7</xdr:row>
      <xdr:rowOff>152741</xdr:rowOff>
    </xdr:to>
    <xdr:sp macro="" textlink="">
      <xdr:nvSpPr>
        <xdr:cNvPr id="23" name="Стрелка: влево 22">
          <a:extLst>
            <a:ext uri="{FF2B5EF4-FFF2-40B4-BE49-F238E27FC236}">
              <a16:creationId xmlns:a16="http://schemas.microsoft.com/office/drawing/2014/main" id="{05E481D4-A83F-45BB-9A3C-F617D309B8E5}"/>
            </a:ext>
          </a:extLst>
        </xdr:cNvPr>
        <xdr:cNvSpPr/>
      </xdr:nvSpPr>
      <xdr:spPr>
        <a:xfrm>
          <a:off x="2976843" y="217955"/>
          <a:ext cx="2373211" cy="1153986"/>
        </a:xfrm>
        <a:prstGeom prst="leftArrow">
          <a:avLst>
            <a:gd name="adj1" fmla="val 57273"/>
            <a:gd name="adj2" fmla="val 50000"/>
          </a:avLst>
        </a:prstGeom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0. </a:t>
          </a:r>
          <a:r>
            <a:rPr lang="ru-RU" sz="1100"/>
            <a:t>Заполните,</a:t>
          </a:r>
          <a:r>
            <a:rPr lang="ru-RU" sz="1100" baseline="0"/>
            <a:t> если планируете отослать задание</a:t>
          </a:r>
          <a:endParaRPr lang="ru-RU" sz="1100"/>
        </a:p>
      </xdr:txBody>
    </xdr:sp>
    <xdr:clientData/>
  </xdr:twoCellAnchor>
  <xdr:twoCellAnchor>
    <xdr:from>
      <xdr:col>23</xdr:col>
      <xdr:colOff>347455</xdr:colOff>
      <xdr:row>6</xdr:row>
      <xdr:rowOff>138573</xdr:rowOff>
    </xdr:from>
    <xdr:to>
      <xdr:col>25</xdr:col>
      <xdr:colOff>549551</xdr:colOff>
      <xdr:row>11</xdr:row>
      <xdr:rowOff>234695</xdr:rowOff>
    </xdr:to>
    <xdr:sp macro="" textlink="">
      <xdr:nvSpPr>
        <xdr:cNvPr id="25" name="Выноска со стрелкой влево 3">
          <a:extLst>
            <a:ext uri="{FF2B5EF4-FFF2-40B4-BE49-F238E27FC236}">
              <a16:creationId xmlns:a16="http://schemas.microsoft.com/office/drawing/2014/main" id="{821E5614-4940-41F5-B980-D95768078D37}"/>
            </a:ext>
          </a:extLst>
        </xdr:cNvPr>
        <xdr:cNvSpPr/>
      </xdr:nvSpPr>
      <xdr:spPr>
        <a:xfrm>
          <a:off x="18587830" y="1195848"/>
          <a:ext cx="1859446" cy="981947"/>
        </a:xfrm>
        <a:prstGeom prst="leftArrowCallout">
          <a:avLst>
            <a:gd name="adj1" fmla="val 20027"/>
            <a:gd name="adj2" fmla="val 25000"/>
            <a:gd name="adj3" fmla="val 19198"/>
            <a:gd name="adj4" fmla="val 84531"/>
          </a:avLst>
        </a:prstGeom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ru-RU" sz="1100"/>
            <a:t>1. Рассчитайте</a:t>
          </a:r>
          <a:r>
            <a:rPr lang="ru-RU" sz="1100" baseline="0"/>
            <a:t> количество ступеней необходимых для достижения заданного напора</a:t>
          </a:r>
          <a:endParaRPr lang="ru-RU" sz="1100"/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nifloc/unifloc_vba/UniflocVBA_7.xla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fo"/>
    </sheetNames>
    <definedNames>
      <definedName name="decode_json"/>
      <definedName name="decode_json_string"/>
      <definedName name="encode_arange"/>
      <definedName name="encode_ESP_cable"/>
      <definedName name="encode_ESP_motor"/>
      <definedName name="encode_ESP_pump"/>
      <definedName name="encode_ESP_separation"/>
      <definedName name="encode_feed"/>
      <definedName name="encode_PVT"/>
      <definedName name="ESP_head_m"/>
      <definedName name="ESP_id_by_rate"/>
      <definedName name="ESP_name"/>
      <definedName name="ESP_rate_max_sm3day"/>
      <definedName name="ESP_system_calc"/>
      <definedName name="unf_version"/>
    </definedNames>
    <sheetDataSet>
      <sheetData sheetId="0"/>
    </sheetDataSet>
  </externalBook>
</externalLink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/>
      <a:bodyPr/>
      <a:lstStyle/>
      <a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a:style>
    </a:spDef>
  </a:objectDefaults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Worksheet_ESPcalc">
    <outlinePr summaryBelow="0"/>
  </sheetPr>
  <dimension ref="A1:AD141"/>
  <sheetViews>
    <sheetView tabSelected="1" topLeftCell="A16" zoomScale="130" zoomScaleNormal="130" workbookViewId="0">
      <selection activeCell="D39" sqref="D39"/>
    </sheetView>
  </sheetViews>
  <sheetFormatPr defaultRowHeight="12.75" x14ac:dyDescent="0.2"/>
  <cols>
    <col min="2" max="2" width="15.140625" customWidth="1"/>
    <col min="3" max="3" width="9.85546875" customWidth="1"/>
    <col min="4" max="4" width="11.5703125" bestFit="1" customWidth="1"/>
    <col min="5" max="5" width="11.140625" customWidth="1"/>
    <col min="6" max="6" width="13.42578125" customWidth="1"/>
    <col min="7" max="7" width="11.140625" customWidth="1"/>
    <col min="8" max="8" width="11.85546875" customWidth="1"/>
    <col min="9" max="9" width="17.28515625" customWidth="1"/>
    <col min="10" max="10" width="13.140625" customWidth="1"/>
    <col min="11" max="11" width="11.140625" customWidth="1"/>
    <col min="12" max="12" width="17.140625" customWidth="1"/>
    <col min="13" max="25" width="11.140625" customWidth="1"/>
    <col min="26" max="26" width="19.5703125" bestFit="1" customWidth="1"/>
    <col min="27" max="27" width="19" bestFit="1" customWidth="1"/>
    <col min="28" max="28" width="14.7109375" bestFit="1" customWidth="1"/>
    <col min="29" max="29" width="20" bestFit="1" customWidth="1"/>
    <col min="30" max="30" width="9.7109375" bestFit="1" customWidth="1"/>
    <col min="31" max="31" width="13.42578125" bestFit="1" customWidth="1"/>
    <col min="32" max="37" width="12.42578125" customWidth="1"/>
  </cols>
  <sheetData>
    <row r="1" spans="1:12" x14ac:dyDescent="0.2">
      <c r="A1" s="1" t="s">
        <v>8</v>
      </c>
      <c r="F1" t="s">
        <v>9</v>
      </c>
      <c r="G1" t="str">
        <f>[1]!unf_version()</f>
        <v>7.47</v>
      </c>
      <c r="H1" t="s">
        <v>39</v>
      </c>
      <c r="I1" s="18">
        <v>45055</v>
      </c>
      <c r="J1" s="15"/>
      <c r="K1" s="15"/>
      <c r="L1" s="15"/>
    </row>
    <row r="2" spans="1:12" x14ac:dyDescent="0.2">
      <c r="A2" t="s">
        <v>55</v>
      </c>
      <c r="H2" t="s">
        <v>40</v>
      </c>
      <c r="I2" s="19">
        <v>7.47</v>
      </c>
      <c r="J2" s="15"/>
      <c r="K2" s="15"/>
      <c r="L2" s="15"/>
    </row>
    <row r="3" spans="1:12" ht="15" x14ac:dyDescent="0.25">
      <c r="A3" s="20" t="s">
        <v>41</v>
      </c>
      <c r="B3" s="38" t="s">
        <v>42</v>
      </c>
      <c r="C3" s="39"/>
      <c r="D3" s="39"/>
      <c r="E3" s="40"/>
      <c r="H3" t="s">
        <v>43</v>
      </c>
      <c r="I3" s="15" t="s">
        <v>42</v>
      </c>
      <c r="J3" s="15"/>
      <c r="K3" s="15"/>
      <c r="L3" s="15"/>
    </row>
    <row r="4" spans="1:12" ht="15" x14ac:dyDescent="0.25">
      <c r="A4" s="20" t="s">
        <v>44</v>
      </c>
      <c r="B4" s="38" t="s">
        <v>45</v>
      </c>
      <c r="C4" s="39"/>
      <c r="D4" s="39"/>
      <c r="E4" s="40"/>
      <c r="H4" t="s">
        <v>46</v>
      </c>
      <c r="I4" s="15" t="s">
        <v>45</v>
      </c>
      <c r="J4" s="15"/>
      <c r="K4" s="15"/>
      <c r="L4" s="15"/>
    </row>
    <row r="5" spans="1:12" ht="15" x14ac:dyDescent="0.25">
      <c r="A5" s="20" t="s">
        <v>47</v>
      </c>
      <c r="B5" s="38" t="s">
        <v>48</v>
      </c>
      <c r="C5" s="39"/>
      <c r="D5" s="39"/>
      <c r="E5" s="40"/>
      <c r="H5" t="s">
        <v>49</v>
      </c>
      <c r="I5" s="15" t="s">
        <v>48</v>
      </c>
      <c r="J5" s="15"/>
      <c r="K5" s="15"/>
      <c r="L5" s="15"/>
    </row>
    <row r="6" spans="1:12" x14ac:dyDescent="0.2">
      <c r="A6" s="21" t="s">
        <v>50</v>
      </c>
      <c r="B6" s="41" t="s">
        <v>51</v>
      </c>
      <c r="C6" s="42"/>
      <c r="D6" s="42"/>
      <c r="E6" s="43"/>
      <c r="H6" s="22" t="s">
        <v>52</v>
      </c>
      <c r="I6" s="23" t="s">
        <v>51</v>
      </c>
      <c r="J6" s="23"/>
      <c r="K6" s="23"/>
      <c r="L6" s="23"/>
    </row>
    <row r="7" spans="1:12" x14ac:dyDescent="0.2">
      <c r="A7" s="24"/>
      <c r="B7" s="44"/>
      <c r="C7" s="45"/>
      <c r="D7" s="45"/>
      <c r="E7" s="46"/>
      <c r="H7" s="22"/>
      <c r="I7" s="23"/>
      <c r="J7" s="23"/>
      <c r="K7" s="23"/>
      <c r="L7" s="23"/>
    </row>
    <row r="8" spans="1:12" x14ac:dyDescent="0.2">
      <c r="A8" s="25"/>
      <c r="B8" s="47"/>
      <c r="C8" s="48"/>
      <c r="D8" s="48"/>
      <c r="E8" s="49"/>
      <c r="H8" s="22"/>
      <c r="I8" s="23"/>
      <c r="J8" s="23"/>
      <c r="K8" s="23"/>
      <c r="L8" s="23"/>
    </row>
    <row r="10" spans="1:12" x14ac:dyDescent="0.2">
      <c r="A10" s="1" t="s">
        <v>6</v>
      </c>
    </row>
    <row r="11" spans="1:12" ht="18" customHeight="1" x14ac:dyDescent="0.35">
      <c r="B11" s="7" t="s">
        <v>10</v>
      </c>
      <c r="C11" s="2">
        <v>0.9</v>
      </c>
      <c r="D11" s="8"/>
      <c r="E11" s="9">
        <f>gamma_oil_*1000</f>
        <v>900</v>
      </c>
      <c r="F11" s="10" t="s">
        <v>11</v>
      </c>
    </row>
    <row r="12" spans="1:12" ht="18" customHeight="1" x14ac:dyDescent="0.35">
      <c r="B12" s="10" t="s">
        <v>12</v>
      </c>
      <c r="C12" s="2">
        <v>1</v>
      </c>
      <c r="D12" s="8"/>
      <c r="E12" s="9">
        <f>gamma_wat_*1000</f>
        <v>1000</v>
      </c>
      <c r="F12" s="10" t="s">
        <v>11</v>
      </c>
    </row>
    <row r="13" spans="1:12" ht="18" customHeight="1" x14ac:dyDescent="0.35">
      <c r="B13" s="10" t="s">
        <v>13</v>
      </c>
      <c r="C13" s="2">
        <v>0.8</v>
      </c>
      <c r="D13" s="8"/>
      <c r="E13" s="9">
        <f>gamma_gas_*1.22</f>
        <v>0.97599999999999998</v>
      </c>
      <c r="F13" s="10" t="s">
        <v>11</v>
      </c>
    </row>
    <row r="14" spans="1:12" ht="18" customHeight="1" x14ac:dyDescent="0.35">
      <c r="B14" s="11" t="s">
        <v>14</v>
      </c>
      <c r="C14" s="2">
        <v>80</v>
      </c>
      <c r="D14" s="10" t="s">
        <v>15</v>
      </c>
      <c r="E14" s="12">
        <f>Rsb_/gamma_oil_</f>
        <v>88.888888888888886</v>
      </c>
      <c r="F14" s="10" t="s">
        <v>16</v>
      </c>
    </row>
    <row r="15" spans="1:12" ht="18" customHeight="1" x14ac:dyDescent="0.2"/>
    <row r="16" spans="1:12" ht="18" customHeight="1" x14ac:dyDescent="0.35">
      <c r="B16" s="10" t="s">
        <v>18</v>
      </c>
      <c r="C16" s="2">
        <v>120</v>
      </c>
      <c r="D16" s="8" t="s">
        <v>19</v>
      </c>
      <c r="E16" s="12">
        <f>Pb_*1.01325</f>
        <v>121.59</v>
      </c>
      <c r="F16" s="8" t="s">
        <v>20</v>
      </c>
    </row>
    <row r="17" spans="1:26" ht="18" customHeight="1" x14ac:dyDescent="0.35">
      <c r="B17" s="10" t="s">
        <v>21</v>
      </c>
      <c r="C17" s="2">
        <v>100</v>
      </c>
      <c r="D17" s="8" t="s">
        <v>1</v>
      </c>
      <c r="E17" s="12">
        <f>Tres_*9/5+32</f>
        <v>212</v>
      </c>
      <c r="F17" s="8" t="s">
        <v>22</v>
      </c>
    </row>
    <row r="18" spans="1:26" ht="18" customHeight="1" x14ac:dyDescent="0.35">
      <c r="B18" s="11" t="s">
        <v>23</v>
      </c>
      <c r="C18" s="2">
        <v>1.2</v>
      </c>
      <c r="D18" s="10" t="s">
        <v>15</v>
      </c>
    </row>
    <row r="19" spans="1:26" ht="18" customHeight="1" x14ac:dyDescent="0.35">
      <c r="B19" s="16" t="s">
        <v>37</v>
      </c>
      <c r="C19" s="2">
        <v>1</v>
      </c>
      <c r="D19" s="10" t="s">
        <v>36</v>
      </c>
    </row>
    <row r="20" spans="1:26" ht="18" customHeight="1" x14ac:dyDescent="0.2"/>
    <row r="21" spans="1:26" ht="18" customHeight="1" x14ac:dyDescent="0.2"/>
    <row r="22" spans="1:26" ht="18" customHeight="1" x14ac:dyDescent="0.2">
      <c r="A22" t="s">
        <v>80</v>
      </c>
    </row>
    <row r="23" spans="1:26" ht="18" customHeight="1" x14ac:dyDescent="0.2">
      <c r="B23" s="1" t="s">
        <v>35</v>
      </c>
      <c r="F23" t="s">
        <v>63</v>
      </c>
      <c r="J23" t="s">
        <v>76</v>
      </c>
      <c r="N23" t="s">
        <v>79</v>
      </c>
      <c r="R23" t="s">
        <v>64</v>
      </c>
      <c r="S23" s="3"/>
      <c r="T23" s="4"/>
    </row>
    <row r="24" spans="1:26" ht="18" customHeight="1" x14ac:dyDescent="0.3">
      <c r="B24" s="14" t="s">
        <v>84</v>
      </c>
      <c r="C24" s="2">
        <v>50</v>
      </c>
      <c r="D24" s="14" t="s">
        <v>2</v>
      </c>
      <c r="F24" s="17" t="s">
        <v>65</v>
      </c>
      <c r="G24" s="2">
        <v>2</v>
      </c>
      <c r="H24" s="17"/>
      <c r="J24" s="13" t="s">
        <v>77</v>
      </c>
      <c r="K24" s="2">
        <v>1000</v>
      </c>
      <c r="L24" s="17"/>
      <c r="N24" s="17" t="s">
        <v>58</v>
      </c>
      <c r="O24" s="5">
        <v>0.5</v>
      </c>
      <c r="P24" s="17"/>
      <c r="R24" s="13" t="s">
        <v>26</v>
      </c>
      <c r="S24" s="2">
        <v>30</v>
      </c>
      <c r="T24" s="17" t="s">
        <v>2</v>
      </c>
    </row>
    <row r="25" spans="1:26" ht="18" customHeight="1" x14ac:dyDescent="0.35">
      <c r="B25" s="14" t="s">
        <v>65</v>
      </c>
      <c r="C25" s="9" cm="1">
        <f t="array" ref="C25">[1]!ESP_id_by_rate(Q_ESP_)</f>
        <v>1005</v>
      </c>
      <c r="D25" s="14"/>
      <c r="F25" s="17" t="s">
        <v>66</v>
      </c>
      <c r="G25" s="2">
        <v>1000</v>
      </c>
      <c r="H25" s="17" t="s">
        <v>56</v>
      </c>
      <c r="J25" s="13" t="s">
        <v>78</v>
      </c>
      <c r="K25" s="2">
        <v>1.18</v>
      </c>
      <c r="L25" s="17"/>
      <c r="N25" s="14" t="s">
        <v>32</v>
      </c>
      <c r="O25" s="5">
        <v>0.2</v>
      </c>
      <c r="P25" s="14"/>
      <c r="R25" s="13" t="s">
        <v>29</v>
      </c>
      <c r="S25" s="2">
        <v>10</v>
      </c>
      <c r="T25" s="17" t="s">
        <v>28</v>
      </c>
    </row>
    <row r="26" spans="1:26" ht="18" customHeight="1" x14ac:dyDescent="0.35">
      <c r="B26" s="14" t="s">
        <v>85</v>
      </c>
      <c r="C26" s="2">
        <v>2000</v>
      </c>
      <c r="D26" s="14" t="s">
        <v>3</v>
      </c>
      <c r="F26" s="17" t="s">
        <v>67</v>
      </c>
      <c r="G26" s="2">
        <v>50</v>
      </c>
      <c r="H26" s="17" t="s">
        <v>4</v>
      </c>
      <c r="N26" s="14" t="s">
        <v>33</v>
      </c>
      <c r="O26" s="6">
        <v>50</v>
      </c>
      <c r="P26" s="14" t="s">
        <v>0</v>
      </c>
      <c r="R26" s="11" t="s">
        <v>17</v>
      </c>
      <c r="S26" s="2">
        <v>80</v>
      </c>
      <c r="T26" s="10" t="s">
        <v>15</v>
      </c>
      <c r="U26" s="12">
        <f>Rsb_/gamma_oil_</f>
        <v>88.888888888888886</v>
      </c>
      <c r="V26" s="10" t="s">
        <v>16</v>
      </c>
    </row>
    <row r="27" spans="1:26" ht="18" customHeight="1" x14ac:dyDescent="0.35">
      <c r="B27" s="14" t="s">
        <v>97</v>
      </c>
      <c r="C27" s="2">
        <v>50</v>
      </c>
      <c r="D27" s="14" t="s">
        <v>4</v>
      </c>
      <c r="F27" s="17" t="s">
        <v>68</v>
      </c>
      <c r="G27" s="2">
        <v>20</v>
      </c>
      <c r="H27" s="17" t="s">
        <v>57</v>
      </c>
      <c r="N27" s="14" t="s">
        <v>34</v>
      </c>
      <c r="O27" s="6">
        <v>80</v>
      </c>
      <c r="P27" s="14" t="s">
        <v>1</v>
      </c>
    </row>
    <row r="28" spans="1:26" ht="18" customHeight="1" x14ac:dyDescent="0.35">
      <c r="B28" s="13" t="s">
        <v>83</v>
      </c>
      <c r="C28" s="2">
        <v>120</v>
      </c>
      <c r="D28" s="17"/>
      <c r="F28" s="17" t="s">
        <v>69</v>
      </c>
      <c r="G28" s="2">
        <v>0.05</v>
      </c>
      <c r="H28" s="17"/>
      <c r="N28" s="17" t="s">
        <v>94</v>
      </c>
      <c r="O28" s="6">
        <v>0</v>
      </c>
      <c r="P28" s="17" t="s">
        <v>95</v>
      </c>
      <c r="R28" s="13" t="s">
        <v>92</v>
      </c>
      <c r="S28" s="2">
        <v>50</v>
      </c>
      <c r="T28" s="17" t="s">
        <v>4</v>
      </c>
    </row>
    <row r="29" spans="1:26" ht="18" customHeight="1" x14ac:dyDescent="0.35">
      <c r="B29" s="13" t="s">
        <v>54</v>
      </c>
      <c r="C29" s="2">
        <v>10</v>
      </c>
      <c r="D29" s="17"/>
      <c r="F29" s="17" t="s">
        <v>70</v>
      </c>
      <c r="G29" s="2">
        <v>0.85</v>
      </c>
      <c r="H29" s="17"/>
      <c r="R29" s="13" t="s">
        <v>91</v>
      </c>
      <c r="S29" s="2">
        <v>1000</v>
      </c>
      <c r="T29" s="17" t="s">
        <v>56</v>
      </c>
      <c r="Z29">
        <v>10</v>
      </c>
    </row>
    <row r="30" spans="1:26" ht="18" customHeight="1" x14ac:dyDescent="0.35">
      <c r="B30" s="1" t="s">
        <v>59</v>
      </c>
      <c r="F30" s="17" t="s">
        <v>71</v>
      </c>
      <c r="G30" s="2">
        <v>0.9</v>
      </c>
      <c r="H30" s="17"/>
      <c r="R30" s="13" t="s">
        <v>90</v>
      </c>
      <c r="S30" s="2">
        <v>30</v>
      </c>
      <c r="T30" s="17" t="s">
        <v>57</v>
      </c>
      <c r="Z30">
        <v>3</v>
      </c>
    </row>
    <row r="31" spans="1:26" ht="18" customHeight="1" x14ac:dyDescent="0.3">
      <c r="B31" s="13" t="s">
        <v>87</v>
      </c>
      <c r="C31" s="2">
        <v>1</v>
      </c>
      <c r="D31" s="17"/>
      <c r="F31" s="17" t="s">
        <v>72</v>
      </c>
      <c r="G31" s="2"/>
      <c r="H31" s="17"/>
      <c r="Z31">
        <v>30</v>
      </c>
    </row>
    <row r="32" spans="1:26" ht="18" customHeight="1" x14ac:dyDescent="0.3">
      <c r="B32" s="13" t="s">
        <v>88</v>
      </c>
      <c r="C32" s="2">
        <v>1</v>
      </c>
      <c r="D32" s="17"/>
      <c r="F32" s="17" t="s">
        <v>73</v>
      </c>
      <c r="G32" s="2"/>
      <c r="H32" s="17"/>
      <c r="R32" s="1" t="s">
        <v>35</v>
      </c>
      <c r="S32" s="3"/>
      <c r="T32" s="4"/>
      <c r="Z32">
        <f>Z31*Z30*Z29</f>
        <v>900</v>
      </c>
    </row>
    <row r="33" spans="1:29" ht="18" customHeight="1" x14ac:dyDescent="0.3">
      <c r="B33" s="13" t="s">
        <v>89</v>
      </c>
      <c r="C33" s="2">
        <v>1</v>
      </c>
      <c r="D33" s="17"/>
      <c r="F33" s="17" t="s">
        <v>74</v>
      </c>
      <c r="G33" s="2"/>
      <c r="H33" s="17"/>
      <c r="R33" s="13" t="s">
        <v>24</v>
      </c>
      <c r="S33" s="2">
        <v>50</v>
      </c>
      <c r="T33" s="14" t="s">
        <v>0</v>
      </c>
    </row>
    <row r="34" spans="1:29" ht="18" customHeight="1" x14ac:dyDescent="0.3">
      <c r="F34" s="17" t="s">
        <v>75</v>
      </c>
      <c r="G34" s="2"/>
      <c r="H34" s="17"/>
      <c r="R34" s="13" t="s">
        <v>25</v>
      </c>
      <c r="S34" s="2">
        <v>80</v>
      </c>
      <c r="T34" s="14" t="s">
        <v>1</v>
      </c>
    </row>
    <row r="35" spans="1:29" ht="18" customHeight="1" x14ac:dyDescent="0.3">
      <c r="B35" s="14" t="s">
        <v>30</v>
      </c>
      <c r="C35" s="9" t="str" cm="1">
        <f t="array" ref="C35">[1]!ESP_name(PumpID_)</f>
        <v>ЭЦН5-50</v>
      </c>
      <c r="D35" s="14"/>
      <c r="F35" s="17" t="s">
        <v>81</v>
      </c>
      <c r="G35" s="2">
        <v>117</v>
      </c>
      <c r="H35" s="17" t="s">
        <v>82</v>
      </c>
      <c r="R35" s="13" t="s">
        <v>27</v>
      </c>
      <c r="S35" s="2">
        <v>150</v>
      </c>
      <c r="T35" s="14" t="s">
        <v>0</v>
      </c>
    </row>
    <row r="36" spans="1:29" ht="18" customHeight="1" x14ac:dyDescent="0.3">
      <c r="B36" s="14" t="s">
        <v>31</v>
      </c>
      <c r="C36" s="9" cm="1">
        <f t="array" ref="C36">[1]!ESP_rate_max_sm3day(Freq_,PumpID_)</f>
        <v>95</v>
      </c>
      <c r="D36" s="14"/>
      <c r="R36" s="13" t="s">
        <v>38</v>
      </c>
      <c r="S36" s="2">
        <v>90</v>
      </c>
      <c r="T36" s="17" t="s">
        <v>1</v>
      </c>
    </row>
    <row r="37" spans="1:29" ht="18" customHeight="1" x14ac:dyDescent="0.2">
      <c r="A37" s="1"/>
      <c r="B37" s="14" t="s">
        <v>7</v>
      </c>
      <c r="C37" s="32" cm="1">
        <f t="array" ref="C37">INT(Head_ESP_/[1]!ESP_head_m(Q_ESP_,1,,PumpID_))</f>
        <v>392</v>
      </c>
      <c r="D37" s="14" t="s">
        <v>5</v>
      </c>
    </row>
    <row r="38" spans="1:29" ht="18" customHeight="1" x14ac:dyDescent="0.2">
      <c r="K38" s="27">
        <f>K47</f>
        <v>0</v>
      </c>
    </row>
    <row r="39" spans="1:29" ht="18" customHeight="1" x14ac:dyDescent="0.2"/>
    <row r="40" spans="1:29" ht="18" customHeight="1" x14ac:dyDescent="0.2">
      <c r="B40" s="33" t="s">
        <v>86</v>
      </c>
      <c r="C40" s="34" t="str" cm="1">
        <f t="array" ref="C40">[1]!encode_PVT(gamma_gas_,gamma_oil_,,Rsb_,Pb_,Tres_,Bob_,muob_)</f>
        <v>{"gamma_gas":0.8,"gamma_oil":0.9,"gamma_wat":1,"rsb_m3m3":80,"pb_atma":120,"t_res_C":100,"bob_m3m3":1.2,"muob_cP":1,"PVT_corr_set":0}</v>
      </c>
      <c r="D40" s="34"/>
      <c r="E40" s="34"/>
      <c r="F40" s="34"/>
      <c r="G40" s="34"/>
      <c r="H40" s="34"/>
      <c r="I40" s="34"/>
      <c r="J40" s="34"/>
      <c r="K40" s="34"/>
      <c r="L40" s="34"/>
      <c r="M40" s="34"/>
      <c r="N40" s="34"/>
      <c r="O40" s="34"/>
      <c r="P40" s="34"/>
      <c r="Q40" s="34"/>
      <c r="R40" s="34"/>
      <c r="S40" s="34"/>
    </row>
    <row r="41" spans="1:29" ht="18" customHeight="1" x14ac:dyDescent="0.2">
      <c r="B41" s="33" t="s">
        <v>96</v>
      </c>
      <c r="C41" s="34" t="str" cm="1">
        <f t="array" ref="C41">[1]!encode_feed(Q_,fw_,Rp_,,PVT_json)</f>
        <v>{"gamma_gas":0.8,"gamma_oil":0.9,"gamma_wat":1,"rsb_m3m3":80,"pb_atma":120,"t_res_C":100,"bob_m3m3":1.2,"muob_cP":1,"PVT_corr_set":0,"q_liq_sm3day":30,"fw_perc":10,"rp_m3m3":80}</v>
      </c>
      <c r="D41" s="34"/>
      <c r="E41" s="34"/>
      <c r="F41" s="34"/>
      <c r="G41" s="34"/>
      <c r="H41" s="34"/>
      <c r="I41" s="34"/>
      <c r="J41" s="34"/>
      <c r="K41" s="34"/>
      <c r="L41" s="34"/>
      <c r="M41" s="34"/>
      <c r="N41" s="34"/>
      <c r="O41" s="34"/>
      <c r="P41" s="34"/>
      <c r="Q41" s="34"/>
      <c r="R41" s="34"/>
      <c r="S41" s="34"/>
    </row>
    <row r="42" spans="1:29" ht="18" customHeight="1" x14ac:dyDescent="0.2">
      <c r="B42" s="33" t="s">
        <v>60</v>
      </c>
      <c r="C42" s="34" t="str" cm="1">
        <f t="array" ref="C42">[1]!encode_ESP_pump(Q_ESP_,Head_ESP_,Freq_)</f>
        <v>{"q_nom_sm3day":50,"head_nom_m":2000,"freq_nom_Hz":50,"name":"ESP-50-2000","ESP_ID":1005,"num_stages":392,"gas_correct_model":0,"gas_correct_stage_by_stage":0,"calibr_head":1,"calibr_power":1,"calibr_rate":1,"dnum_stages_integrate":1}</v>
      </c>
      <c r="D42" s="34"/>
      <c r="E42" s="34"/>
      <c r="F42" s="34"/>
      <c r="G42" s="34"/>
      <c r="H42" s="34"/>
      <c r="I42" s="34"/>
      <c r="J42" s="34"/>
      <c r="K42" s="34"/>
      <c r="L42" s="34"/>
      <c r="M42" s="34"/>
      <c r="N42" s="34"/>
      <c r="O42" s="34"/>
      <c r="P42" s="34"/>
      <c r="Q42" s="34"/>
      <c r="R42" s="34"/>
      <c r="S42" s="34"/>
    </row>
    <row r="43" spans="1:29" ht="18" customHeight="1" x14ac:dyDescent="0.2">
      <c r="B43" s="33" t="s">
        <v>61</v>
      </c>
      <c r="C43" s="34" t="str" cm="1">
        <f t="array" ref="C43">[1]!encode_ESP_motor(motor_ID,Pnom,Unom,Fnom)</f>
        <v>{"motor_ID":2,"f_surf_Hz":50,"power_fact_kW":30,"U_nom_lin_V":1000,"P_nom_kW":20,"F_nom_Hz":50,"eff_nom_fr":0.82,"cosphi_nom_fr":0.88,"slip_nom_fr":0.053}</v>
      </c>
      <c r="D43" s="34"/>
      <c r="E43" s="34"/>
      <c r="F43" s="34"/>
      <c r="G43" s="34"/>
      <c r="H43" s="34"/>
      <c r="I43" s="34"/>
      <c r="J43" s="34"/>
      <c r="K43" s="34"/>
      <c r="L43" s="34"/>
      <c r="M43" s="34"/>
      <c r="N43" s="34"/>
      <c r="O43" s="34"/>
      <c r="P43" s="34"/>
      <c r="Q43" s="34"/>
      <c r="R43" s="34"/>
      <c r="S43" s="34"/>
      <c r="AC43" t="e" cm="1">
        <f t="array" aca="1" ref="AC43" ca="1">[1]!decode_json_string(K38)</f>
        <v>#NAME?</v>
      </c>
    </row>
    <row r="44" spans="1:29" ht="18" customHeight="1" x14ac:dyDescent="0.2">
      <c r="B44" s="33" t="s">
        <v>62</v>
      </c>
      <c r="C44" s="34" t="str" cm="1">
        <f t="array" ref="C44">[1]!encode_ESP_cable()</f>
        <v>{"cable_R_Omkm":1.18,"cable_X_Omkm":0.01,"cable_t_max_C":120,"manufacturer":"default","name":"default_name","d_mm":16,"length_m":1000}</v>
      </c>
      <c r="D44" s="34"/>
      <c r="E44" s="34"/>
      <c r="F44" s="34"/>
      <c r="G44" s="34"/>
      <c r="H44" s="34"/>
      <c r="I44" s="34"/>
      <c r="J44" s="34"/>
      <c r="K44" s="34"/>
      <c r="L44" s="34"/>
      <c r="M44" s="34"/>
      <c r="N44" s="34"/>
      <c r="O44" s="34"/>
      <c r="P44" s="34"/>
      <c r="Q44" s="34"/>
      <c r="R44" s="34"/>
      <c r="S44" s="34"/>
    </row>
    <row r="45" spans="1:29" ht="18" customHeight="1" x14ac:dyDescent="0.2">
      <c r="B45" s="35" t="s">
        <v>93</v>
      </c>
      <c r="C45" s="34" t="str" cm="1">
        <f t="array" ref="C45">[1]!encode_ESP_separation(0)</f>
        <v>{"separation_mode":"byCorrealation","gassep_type":0,"natsep_type":0}</v>
      </c>
      <c r="D45" s="34"/>
      <c r="E45" s="34"/>
      <c r="F45" s="34"/>
      <c r="G45" s="34"/>
      <c r="H45" s="34"/>
      <c r="I45" s="34"/>
      <c r="J45" s="34"/>
      <c r="K45" s="34"/>
      <c r="L45" s="34"/>
      <c r="M45" s="34"/>
      <c r="N45" s="34"/>
      <c r="O45" s="34"/>
      <c r="P45" s="34"/>
      <c r="Q45" s="34"/>
      <c r="R45" s="34"/>
      <c r="S45" s="34"/>
    </row>
    <row r="46" spans="1:29" ht="24.75" customHeight="1" x14ac:dyDescent="0.2">
      <c r="B46" t="s">
        <v>53</v>
      </c>
    </row>
    <row r="47" spans="1:29" x14ac:dyDescent="0.2">
      <c r="B47" s="36" t="str" cm="1">
        <f t="array" ref="B47">[1]!ESP_system_calc(Pintake_,U,Fsurf,Energy_fact,Tintake_,Tdis_,feed,pump_json,motor_json,cable_json,gassep,1)</f>
        <v>{"p_int_atma":50,"t_int_C":80,"p_dis_atma":225.756,"t_dis_C":90,"head_m":2090.545,"m_Nm":54.148,"gas_frac_intake":0.056,"eff_ESP_d":0.412,"power_fluid_W":6694.203,"power_ESP_W":16266.517,"length_pump_m":19.6,"angle":0,"d_od_m":0.092,"d_cas_min_m":0.122,"d_motor_od_m":0.117,"calc_from_dis":0,"stage_num":392,"freq_Hz":47.811,"w_obmin":2868.664,"rate_nom_sm3day":47.811,"rate_max_sm3day":90.841,"calibr_head":1,"calibr_rate":1,"calibr_power":1,"gas_correct_model":0,"gas_corr_":1,"dP_atm":175.76,"M_Nm":55.15,"geometry":{"length_motor_m":10,"length_pump_m":19.6,"angle":90,"d_od_m":0.092,"d_cas_mm":150,"d_cas_min_m":0.1217,"d_motor_cas_min_mm":123,"d_motor_od_m":117},"dict_power":{"Pow_freq_Hz":50,"ESP_freq_Hz":47.81,"I_A":13.65,"load_%":0.82,"power_CS_kW":22.26,"power_motor_kW":20.32,"power_shaft_kW":16.55,"power_ESP_kW":16.27,"power_fluid_kW":6.69,"U_motor_V":983.91,"eff_total_d":0.3,"eff_ESP_d":0.41,"eff_fact_d":0.22,"dp_unknown_kW":7.74,"Pmotor_nom_kW":16.55,"power_CS_fact_kW":0,"motor_eff_fr":0.81,"cable_R_Omkm":1.18,"dPower_protector_kW":0.4,"dPower_GasSep_kW":0.3,"dPower_CS_kW":0.65,"dPower_transform_kW":0.63,"cos_phi":0.87},"dict_separ":{"ksep_nat_fr":0.607071107972488,"ksep_gassep_fr":0.837871072308636,"ksep_total_fr":0.936294860076624,"p_ksep_atma":50,"t_ksep_C":80,"isGasSep":true,"ksep_liquid_man_d":0,"d_od_m":0.125,"d_cas_m":0.135,"angle_deg":90,"gassep_type":0,"natsep_type":0,"M_Nm":1,"freq_Hz":47.811061536279}}</v>
      </c>
    </row>
    <row r="48" spans="1:29" s="3" customFormat="1" x14ac:dyDescent="0.2">
      <c r="A48" s="3">
        <f>LEN(B47)</f>
        <v>1440</v>
      </c>
      <c r="B48"/>
    </row>
    <row r="49" spans="2:17" s="3" customFormat="1" x14ac:dyDescent="0.2">
      <c r="B49"/>
    </row>
    <row r="50" spans="2:17" s="3" customFormat="1" x14ac:dyDescent="0.2">
      <c r="B50" t="str" cm="1">
        <f t="array" ref="B50:C80">[1]!decode_json(B47)</f>
        <v>p_int_atma</v>
      </c>
      <c r="C50" s="3" t="str">
        <v>50</v>
      </c>
      <c r="F50" s="3" t="str" cm="1">
        <f t="array" ref="F50:G57">[1]!decode_json(C78)</f>
        <v>length_motor_m</v>
      </c>
      <c r="G50" s="3">
        <v>10</v>
      </c>
      <c r="I50" s="3" t="str" cm="1">
        <f t="array" ref="I50:J72">[1]!decode_json(C79)</f>
        <v>Pow_freq_Hz</v>
      </c>
      <c r="J50" s="3">
        <v>50</v>
      </c>
      <c r="L50" s="3" t="str" cm="1">
        <f t="array" ref="L50:M63">[1]!decode_json(C80)</f>
        <v>ksep_nat_fr</v>
      </c>
      <c r="M50" s="3">
        <v>0.60707110797248798</v>
      </c>
      <c r="Q50" s="37"/>
    </row>
    <row r="51" spans="2:17" s="3" customFormat="1" x14ac:dyDescent="0.2">
      <c r="B51" t="str">
        <v>t_int_C</v>
      </c>
      <c r="C51" s="3" t="str">
        <v>80</v>
      </c>
      <c r="F51" s="3" t="str">
        <v>length_pump_m</v>
      </c>
      <c r="G51" s="3">
        <v>19.600000000000001</v>
      </c>
      <c r="I51" s="3" t="str">
        <v>ESP_freq_Hz</v>
      </c>
      <c r="J51" s="3">
        <v>47.81</v>
      </c>
      <c r="L51" s="3" t="str">
        <v>ksep_gassep_fr</v>
      </c>
      <c r="M51" s="3">
        <v>0.837871072308636</v>
      </c>
    </row>
    <row r="52" spans="2:17" s="3" customFormat="1" x14ac:dyDescent="0.2">
      <c r="B52" t="str">
        <v>p_dis_atma</v>
      </c>
      <c r="C52" s="3" t="str">
        <v>225.756</v>
      </c>
      <c r="F52" s="3" t="str">
        <v>angle</v>
      </c>
      <c r="G52" s="3">
        <v>90</v>
      </c>
      <c r="I52" s="3" t="str">
        <v>I_A</v>
      </c>
      <c r="J52" s="3">
        <v>13.65</v>
      </c>
      <c r="L52" s="3" t="str">
        <v>ksep_total_fr</v>
      </c>
      <c r="M52" s="3">
        <v>0.93629486007662399</v>
      </c>
    </row>
    <row r="53" spans="2:17" s="3" customFormat="1" x14ac:dyDescent="0.2">
      <c r="B53" t="str">
        <v>t_dis_C</v>
      </c>
      <c r="C53" s="3" t="str">
        <v>90</v>
      </c>
      <c r="F53" s="3" t="str">
        <v>d_od_m</v>
      </c>
      <c r="G53" s="3">
        <v>9.1999999999999998E-2</v>
      </c>
      <c r="I53" s="3" t="str">
        <v>load_%</v>
      </c>
      <c r="J53" s="3">
        <v>0.82</v>
      </c>
      <c r="L53" s="3" t="str">
        <v>p_ksep_atma</v>
      </c>
      <c r="M53" s="3">
        <v>50</v>
      </c>
    </row>
    <row r="54" spans="2:17" s="3" customFormat="1" x14ac:dyDescent="0.2">
      <c r="B54" t="str">
        <v>head_m</v>
      </c>
      <c r="C54" s="3" t="str">
        <v>2090.545</v>
      </c>
      <c r="F54" s="3" t="str">
        <v>d_cas_mm</v>
      </c>
      <c r="G54" s="3">
        <v>150</v>
      </c>
      <c r="I54" s="3" t="str">
        <v>power_CS_kW</v>
      </c>
      <c r="J54" s="3">
        <v>22.26</v>
      </c>
      <c r="L54" s="3" t="str">
        <v>t_ksep_C</v>
      </c>
      <c r="M54" s="3">
        <v>80</v>
      </c>
    </row>
    <row r="55" spans="2:17" s="3" customFormat="1" x14ac:dyDescent="0.2">
      <c r="B55" t="str">
        <v>m_Nm</v>
      </c>
      <c r="C55" s="3" t="str">
        <v>54.148</v>
      </c>
      <c r="F55" s="3" t="str">
        <v>d_cas_min_m</v>
      </c>
      <c r="G55" s="3">
        <v>0.1217</v>
      </c>
      <c r="I55" s="3" t="str">
        <v>power_motor_kW</v>
      </c>
      <c r="J55" s="3">
        <v>20.32</v>
      </c>
      <c r="L55" s="3" t="str">
        <v>isGasSep</v>
      </c>
      <c r="M55" s="3" t="b">
        <v>1</v>
      </c>
    </row>
    <row r="56" spans="2:17" s="3" customFormat="1" x14ac:dyDescent="0.2">
      <c r="B56" t="str">
        <v>gas_frac_intake</v>
      </c>
      <c r="C56" s="3" t="str">
        <v>0.056</v>
      </c>
      <c r="F56" s="3" t="str">
        <v>d_motor_cas_min_mm</v>
      </c>
      <c r="G56" s="3">
        <v>123</v>
      </c>
      <c r="I56" s="3" t="str">
        <v>power_shaft_kW</v>
      </c>
      <c r="J56" s="3">
        <v>16.55</v>
      </c>
      <c r="L56" s="3" t="str">
        <v>ksep_liquid_man_d</v>
      </c>
      <c r="M56" s="3">
        <v>0</v>
      </c>
    </row>
    <row r="57" spans="2:17" s="3" customFormat="1" x14ac:dyDescent="0.2">
      <c r="B57" t="str">
        <v>eff_ESP_d</v>
      </c>
      <c r="C57" s="3" t="str">
        <v>0.412</v>
      </c>
      <c r="F57" s="3" t="str">
        <v>d_motor_od_m</v>
      </c>
      <c r="G57" s="3">
        <v>117</v>
      </c>
      <c r="I57" s="3" t="str">
        <v>power_ESP_kW</v>
      </c>
      <c r="J57" s="3">
        <v>16.27</v>
      </c>
      <c r="L57" s="3" t="str">
        <v>d_od_m</v>
      </c>
      <c r="M57" s="3">
        <v>0.125</v>
      </c>
    </row>
    <row r="58" spans="2:17" s="3" customFormat="1" x14ac:dyDescent="0.2">
      <c r="B58" t="str">
        <v>power_fluid_W</v>
      </c>
      <c r="C58" s="3" t="str">
        <v>6694.203</v>
      </c>
      <c r="I58" s="3" t="str">
        <v>power_fluid_kW</v>
      </c>
      <c r="J58" s="3">
        <v>6.69</v>
      </c>
      <c r="L58" s="3" t="str">
        <v>d_cas_m</v>
      </c>
      <c r="M58" s="3">
        <v>0.13500000000000001</v>
      </c>
    </row>
    <row r="59" spans="2:17" s="3" customFormat="1" x14ac:dyDescent="0.2">
      <c r="B59" t="str">
        <v>power_ESP_W</v>
      </c>
      <c r="C59" s="3" t="str">
        <v>16266.517</v>
      </c>
      <c r="I59" s="3" t="str">
        <v>U_motor_V</v>
      </c>
      <c r="J59" s="3">
        <v>983.91</v>
      </c>
      <c r="L59" s="3" t="str">
        <v>angle_deg</v>
      </c>
      <c r="M59" s="3">
        <v>90</v>
      </c>
    </row>
    <row r="60" spans="2:17" s="3" customFormat="1" x14ac:dyDescent="0.2">
      <c r="B60" t="str">
        <v>length_pump_m</v>
      </c>
      <c r="C60" s="3" t="str">
        <v>19.6</v>
      </c>
      <c r="I60" s="3" t="str">
        <v>eff_total_d</v>
      </c>
      <c r="J60" s="3">
        <v>0.3</v>
      </c>
      <c r="L60" s="3" t="str">
        <v>gassep_type</v>
      </c>
      <c r="M60" s="3">
        <v>0</v>
      </c>
    </row>
    <row r="61" spans="2:17" s="3" customFormat="1" x14ac:dyDescent="0.2">
      <c r="B61" t="str">
        <v>angle</v>
      </c>
      <c r="C61" s="3" t="str">
        <v>0</v>
      </c>
      <c r="I61" s="3" t="str">
        <v>eff_ESP_d</v>
      </c>
      <c r="J61" s="3">
        <v>0.41</v>
      </c>
      <c r="L61" s="3" t="str">
        <v>natsep_type</v>
      </c>
      <c r="M61" s="3">
        <v>0</v>
      </c>
    </row>
    <row r="62" spans="2:17" s="3" customFormat="1" x14ac:dyDescent="0.2">
      <c r="B62" t="str">
        <v>d_od_m</v>
      </c>
      <c r="C62" s="3" t="str">
        <v>0.092</v>
      </c>
      <c r="I62" s="3" t="str">
        <v>eff_fact_d</v>
      </c>
      <c r="J62" s="3">
        <v>0.22</v>
      </c>
      <c r="L62" s="3" t="str">
        <v>M_Nm</v>
      </c>
      <c r="M62" s="3">
        <v>1</v>
      </c>
    </row>
    <row r="63" spans="2:17" s="3" customFormat="1" x14ac:dyDescent="0.2">
      <c r="B63" t="str">
        <v>d_cas_min_m</v>
      </c>
      <c r="C63" s="3" t="str">
        <v>0.122</v>
      </c>
      <c r="I63" s="3" t="str">
        <v>dp_unknown_kW</v>
      </c>
      <c r="J63" s="3">
        <v>7.74</v>
      </c>
      <c r="L63" s="3" t="str">
        <v>freq_Hz</v>
      </c>
      <c r="M63" s="3">
        <v>47.811061536278999</v>
      </c>
    </row>
    <row r="64" spans="2:17" s="3" customFormat="1" x14ac:dyDescent="0.2">
      <c r="B64" t="str">
        <v>d_motor_od_m</v>
      </c>
      <c r="C64" s="3" t="str">
        <v>0.117</v>
      </c>
      <c r="I64" s="3" t="str">
        <v>Pmotor_nom_kW</v>
      </c>
      <c r="J64" s="3">
        <v>16.55</v>
      </c>
    </row>
    <row r="65" spans="2:25" s="3" customFormat="1" x14ac:dyDescent="0.2">
      <c r="B65" t="str">
        <v>calc_from_dis</v>
      </c>
      <c r="C65" s="3" t="str">
        <v>0</v>
      </c>
      <c r="I65" s="3" t="str">
        <v>power_CS_fact_kW</v>
      </c>
      <c r="J65" s="3">
        <v>0</v>
      </c>
    </row>
    <row r="66" spans="2:25" s="3" customFormat="1" x14ac:dyDescent="0.2">
      <c r="B66" t="str">
        <v>stage_num</v>
      </c>
      <c r="C66" s="3" t="str">
        <v>392</v>
      </c>
      <c r="I66" s="3" t="str">
        <v>motor_eff_fr</v>
      </c>
      <c r="J66" s="3">
        <v>0.81</v>
      </c>
    </row>
    <row r="67" spans="2:25" s="3" customFormat="1" x14ac:dyDescent="0.2">
      <c r="B67" t="str">
        <v>freq_Hz</v>
      </c>
      <c r="C67" s="3" t="str">
        <v>47.811</v>
      </c>
      <c r="I67" s="3" t="str">
        <v>cable_R_Omkm</v>
      </c>
      <c r="J67" s="3">
        <v>1.18</v>
      </c>
    </row>
    <row r="68" spans="2:25" s="3" customFormat="1" x14ac:dyDescent="0.2">
      <c r="B68" t="str">
        <v>w_obmin</v>
      </c>
      <c r="C68" s="3" t="str">
        <v>2868.664</v>
      </c>
      <c r="I68" s="3" t="str">
        <v>dPower_protector_kW</v>
      </c>
      <c r="J68" s="3">
        <v>0.4</v>
      </c>
    </row>
    <row r="69" spans="2:25" s="3" customFormat="1" x14ac:dyDescent="0.2">
      <c r="B69" t="str">
        <v>rate_nom_sm3day</v>
      </c>
      <c r="C69" s="3" t="str">
        <v>47.811</v>
      </c>
      <c r="I69" s="3" t="str">
        <v>dPower_GasSep_kW</v>
      </c>
      <c r="J69" s="3">
        <v>0.3</v>
      </c>
    </row>
    <row r="70" spans="2:25" s="3" customFormat="1" x14ac:dyDescent="0.2">
      <c r="B70" t="str">
        <v>rate_max_sm3day</v>
      </c>
      <c r="C70" s="3" t="str">
        <v>90.841</v>
      </c>
      <c r="I70" s="3" t="str">
        <v>dPower_CS_kW</v>
      </c>
      <c r="J70" s="3">
        <v>0.65</v>
      </c>
    </row>
    <row r="71" spans="2:25" s="3" customFormat="1" x14ac:dyDescent="0.2">
      <c r="B71" t="str">
        <v>calibr_head</v>
      </c>
      <c r="C71" s="3" t="str">
        <v>1</v>
      </c>
      <c r="I71" s="3" t="str">
        <v>dPower_transform_kW</v>
      </c>
      <c r="J71" s="3">
        <v>0.63</v>
      </c>
    </row>
    <row r="72" spans="2:25" s="3" customFormat="1" x14ac:dyDescent="0.2">
      <c r="B72" t="str">
        <v>calibr_rate</v>
      </c>
      <c r="C72" s="3" t="str">
        <v>1</v>
      </c>
      <c r="I72" s="3" t="str">
        <v>cos_phi</v>
      </c>
      <c r="J72" s="3">
        <v>0.87</v>
      </c>
    </row>
    <row r="73" spans="2:25" s="3" customFormat="1" x14ac:dyDescent="0.2">
      <c r="B73" t="str">
        <v>calibr_power</v>
      </c>
      <c r="C73" s="3" t="str">
        <v>1</v>
      </c>
    </row>
    <row r="74" spans="2:25" s="3" customFormat="1" x14ac:dyDescent="0.2">
      <c r="B74" t="str">
        <v>gas_correct_model</v>
      </c>
      <c r="C74" s="3" t="str">
        <v>0</v>
      </c>
    </row>
    <row r="75" spans="2:25" s="3" customFormat="1" x14ac:dyDescent="0.2">
      <c r="B75" t="str">
        <v>gas_corr_</v>
      </c>
      <c r="C75" s="3" t="str">
        <v>1</v>
      </c>
    </row>
    <row r="76" spans="2:25" s="3" customFormat="1" ht="25.5" x14ac:dyDescent="0.2">
      <c r="B76" t="str">
        <v>dP_atm</v>
      </c>
      <c r="C76" s="3" t="str">
        <v>175.76</v>
      </c>
    </row>
    <row r="77" spans="2:25" s="3" customFormat="1" x14ac:dyDescent="0.2">
      <c r="B77" t="str">
        <v>M_Nm</v>
      </c>
      <c r="C77" s="3" t="str">
        <v>55.15</v>
      </c>
    </row>
    <row r="78" spans="2:25" s="3" customFormat="1" x14ac:dyDescent="0.2">
      <c r="B78" t="str">
        <v>geometry</v>
      </c>
      <c r="C78" s="37" t="str">
        <v>{"length_motor_m":10,"length_pump_m":19.6,"angle":90,"d_od_m":0.092,"d_cas_mm":150,"d_cas_min_m":0.1217,"d_motor_cas_min_mm":123,"d_motor_od_m":117}</v>
      </c>
    </row>
    <row r="79" spans="2:25" s="3" customFormat="1" x14ac:dyDescent="0.2">
      <c r="B79" t="str">
        <v>dict_power</v>
      </c>
      <c r="C79" t="str">
        <v>{"Pow_freq_Hz":50,"ESP_freq_Hz":47.81,"I_A":13.65,"load_%":0.82,"power_CS_kW":22.26,"power_motor_kW":20.32,"power_shaft_kW":16.55,"power_ESP_kW":16.27,"power_fluid_kW":6.69,"U_motor_V":983.91,"eff_total_d":0.3,"eff_ESP_d":0.41,"eff_fact_d":0.22,"dp_unknown_kW":7.74,"Pmotor_nom_kW":16.55,"power_CS_fact_kW":0,"motor_eff_fr":0.81,"cable_R_Omkm":1.18,"dPower_protector_kW":0.4,"dPower_GasSep_kW":0.3,"dPower_CS_kW":0.65,"dPower_transform_kW":0.63,"cos_phi":0.87}</v>
      </c>
      <c r="D79"/>
      <c r="E79"/>
      <c r="F79"/>
      <c r="G79"/>
      <c r="H79"/>
      <c r="I79"/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Y79"/>
    </row>
    <row r="80" spans="2:25" s="3" customFormat="1" x14ac:dyDescent="0.2">
      <c r="B80" t="str">
        <v>dict_separ</v>
      </c>
      <c r="C80" t="str">
        <v>{"ksep_nat_fr":0.607071107972488,"ksep_gassep_fr":0.837871072308636,"ksep_total_fr":0.936294860076624,"p_ksep_atma":50,"t_ksep_C":80,"isGasSep":true,"ksep_liquid_man_d":0,"d_od_m":0.125,"d_cas_m":0.135,"angle_deg":90,"gassep_type":0,"natsep_type":0,"M_Nm":1,"freq_Hz":47.811061536279}</v>
      </c>
      <c r="D80"/>
      <c r="E80"/>
      <c r="F80"/>
      <c r="G80"/>
      <c r="H80"/>
      <c r="I80"/>
      <c r="J80"/>
      <c r="K80"/>
      <c r="L80"/>
      <c r="M80"/>
      <c r="N80"/>
      <c r="O80"/>
      <c r="P80"/>
      <c r="Q80"/>
      <c r="R80"/>
      <c r="S80"/>
      <c r="T80"/>
      <c r="U80"/>
      <c r="V80"/>
      <c r="W80"/>
      <c r="X80"/>
      <c r="Y80"/>
    </row>
    <row r="81" spans="2:25" s="3" customFormat="1" x14ac:dyDescent="0.2">
      <c r="B81"/>
      <c r="C81"/>
      <c r="D81"/>
      <c r="E81"/>
      <c r="F81"/>
      <c r="G81"/>
      <c r="H81"/>
      <c r="I81"/>
      <c r="J81"/>
      <c r="K81"/>
      <c r="L81"/>
      <c r="M81"/>
      <c r="N81"/>
      <c r="O81"/>
      <c r="P81"/>
      <c r="Q81"/>
      <c r="R81"/>
      <c r="S81"/>
      <c r="T81"/>
      <c r="U81"/>
      <c r="V81"/>
      <c r="W81"/>
      <c r="X81"/>
      <c r="Y81"/>
    </row>
    <row r="82" spans="2:25" s="3" customFormat="1" x14ac:dyDescent="0.2">
      <c r="B82"/>
      <c r="C82"/>
      <c r="D82"/>
      <c r="E82"/>
      <c r="F82"/>
      <c r="G82"/>
      <c r="H82"/>
      <c r="I82"/>
      <c r="J82"/>
      <c r="K82"/>
      <c r="L82"/>
      <c r="M82"/>
      <c r="N82"/>
      <c r="O82"/>
      <c r="P82"/>
      <c r="Q82"/>
      <c r="R82"/>
      <c r="S82"/>
      <c r="T82"/>
      <c r="U82"/>
      <c r="V82"/>
      <c r="W82"/>
      <c r="X82"/>
      <c r="Y82"/>
    </row>
    <row r="93" spans="2:25" x14ac:dyDescent="0.2">
      <c r="F93" s="27"/>
      <c r="H93" s="27"/>
      <c r="I93" s="27"/>
      <c r="J93" s="26"/>
      <c r="K93" s="27"/>
    </row>
    <row r="94" spans="2:25" x14ac:dyDescent="0.2">
      <c r="F94" s="27"/>
      <c r="H94" s="27"/>
      <c r="I94" s="27"/>
      <c r="J94" s="26"/>
      <c r="K94" s="27"/>
    </row>
    <row r="95" spans="2:25" x14ac:dyDescent="0.2">
      <c r="F95" s="27"/>
      <c r="H95" s="27"/>
      <c r="I95" s="27"/>
      <c r="J95" s="26"/>
      <c r="K95" s="27"/>
    </row>
    <row r="96" spans="2:25" x14ac:dyDescent="0.2">
      <c r="F96" s="27"/>
      <c r="H96" s="27"/>
      <c r="I96" s="27"/>
      <c r="J96" s="26"/>
      <c r="K96" s="27"/>
    </row>
    <row r="97" spans="2:30" x14ac:dyDescent="0.2">
      <c r="F97" s="27"/>
      <c r="H97" s="27"/>
      <c r="I97" s="27"/>
      <c r="J97" s="26"/>
      <c r="K97" s="27"/>
    </row>
    <row r="98" spans="2:30" x14ac:dyDescent="0.2">
      <c r="E98" s="27"/>
      <c r="F98" s="27"/>
      <c r="H98" s="27"/>
      <c r="I98" s="27"/>
      <c r="J98" s="26"/>
      <c r="K98" s="27"/>
    </row>
    <row r="99" spans="2:30" x14ac:dyDescent="0.2">
      <c r="E99" s="27"/>
      <c r="F99" s="27"/>
      <c r="H99" s="27"/>
      <c r="I99" s="27"/>
      <c r="J99" s="26"/>
      <c r="K99" s="27"/>
    </row>
    <row r="100" spans="2:30" x14ac:dyDescent="0.2">
      <c r="E100" s="27"/>
      <c r="F100" s="27"/>
      <c r="H100" s="27"/>
      <c r="I100" s="27"/>
      <c r="J100" s="26"/>
      <c r="K100" s="27"/>
    </row>
    <row r="101" spans="2:30" x14ac:dyDescent="0.2">
      <c r="D101" s="28"/>
      <c r="E101" s="27"/>
      <c r="F101" s="27"/>
      <c r="H101" s="27"/>
      <c r="I101" s="27"/>
      <c r="J101" s="26"/>
      <c r="K101" s="27"/>
    </row>
    <row r="102" spans="2:30" x14ac:dyDescent="0.2">
      <c r="D102" s="28"/>
      <c r="E102" s="27"/>
      <c r="F102" s="27"/>
      <c r="H102" s="27"/>
      <c r="I102" s="27"/>
      <c r="J102" s="26"/>
      <c r="K102" s="27"/>
    </row>
    <row r="103" spans="2:30" x14ac:dyDescent="0.2">
      <c r="D103" s="28"/>
      <c r="E103" s="27"/>
      <c r="F103" s="27"/>
      <c r="H103" s="27"/>
      <c r="I103" s="27"/>
      <c r="J103" s="26"/>
      <c r="K103" s="27"/>
    </row>
    <row r="104" spans="2:30" x14ac:dyDescent="0.2">
      <c r="D104" s="28"/>
      <c r="E104" s="27"/>
      <c r="F104" s="27"/>
      <c r="G104" s="26"/>
      <c r="H104" s="27"/>
      <c r="I104" s="27"/>
      <c r="J104" s="26"/>
      <c r="K104" s="27"/>
    </row>
    <row r="105" spans="2:30" x14ac:dyDescent="0.2">
      <c r="E105" s="27"/>
      <c r="F105" s="27"/>
      <c r="G105" s="26"/>
      <c r="H105" s="27"/>
      <c r="I105" s="27"/>
      <c r="J105" s="26"/>
      <c r="K105" s="27"/>
    </row>
    <row r="106" spans="2:30" x14ac:dyDescent="0.2">
      <c r="B106" t="str" cm="1">
        <f t="array" ref="B106">[1]!encode_arange(45,65,5)</f>
        <v>[45,50,55,60,65]</v>
      </c>
      <c r="E106" s="27"/>
      <c r="F106" s="27"/>
      <c r="G106" s="26"/>
      <c r="H106" s="27"/>
      <c r="I106" s="27"/>
      <c r="J106" s="26"/>
      <c r="K106" s="27"/>
    </row>
    <row r="107" spans="2:30" x14ac:dyDescent="0.2">
      <c r="E107" s="27"/>
      <c r="F107" s="27"/>
      <c r="G107" s="26"/>
      <c r="H107" s="27"/>
      <c r="I107" s="27"/>
      <c r="J107" s="26"/>
      <c r="K107" s="27"/>
      <c r="AD107" s="27"/>
    </row>
    <row r="108" spans="2:30" x14ac:dyDescent="0.2">
      <c r="B108" t="str" cm="1">
        <f t="array" ref="B108">[1]!ESP_system_calc(B106,U,Fsurf,Energy_fact,Tintake_,Tdis_,feed,pump_json,motor_json,cable_json,gassep,1)</f>
        <v>[{"p_int_atma":45,"t_int_C":80,"p_dis_atma":221.148,"t_dis_C":90,"head_m":2092.213,"m_Nm":54.17,"gas_frac_intake":0.066,"eff_ESP_d":0.41,"power_fluid_W":6677.77,"power_ESP_W":16272.81,"length_pump_m":19.6,"angle":0,"d_od_m":0.092,"d_cas_min_m":0.122,"d_motor_od_m":0.117,"calc_from_dis":0,"stage_num":392,"freq_Hz":47.81,"w_obmin":2868.608,"rate_nom_sm3day":47.81,"rate_max_sm3day":90.839,"calibr_head":1,"calibr_rate":1,"calibr_power":1,"gas_correct_model":0,"gas_corr_":1,"dP_atm":176.15,"M_Nm":55.17,"geometry":{"length_motor_m":10,"length_pump_m":19.6,"angle":90,"d_od_m":0.092,"d_cas_mm":150,"d_cas_min_m":0.1217,"d_motor_cas_min_mm":123,"d_motor_od_m":117},"dict_power":{"Pow_freq_Hz":50,"ESP_freq_Hz":47.81,"I_A":13.65,"load_%":0.82,"power_CS_kW":22.26,"power_motor_kW":20.33,"power_shaft_kW":16.56,"power_ESP_kW":16.27,"power_fluid_kW":6.68,"U_motor_V":983.9,"eff_total_d":0.3,"eff_ESP_d":0.41,"eff_fact_d":0.22,"dp_unknown_kW":7.74,"Pmotor_nom_kW":16.56,"power_CS_fact_kW":0,"motor_eff_fr":0.81,"cable_R_Omkm":1.18,"dPower_protector_kW":0.4,"dPower_GasSep_kW":0.3,"dPower_CS_kW":0.65,"dPower_transform_kW":0.63,"cos_phi":0.87},"dict_separ":{"ksep_nat_fr":0.608935132403107,"ksep_gassep_fr":0.83744792290742,"ksep_total_fr":0.93643159349419,"p_ksep_atma":45,"t_ksep_C":80,"isGasSep":true,"ksep_liquid_man_d":0,"d_od_m":0.125,"d_cas_m":0.135,"angle_deg":90,"gassep_type":0,"natsep_type":0,"M_Nm":1,"freq_Hz":47.8101371534818}},{"p_int_atma":50,"t_int_C":80,"p_dis_atma":225.756,"t_dis_C":90,"head_m":2090.545,"m_Nm":54.148,"gas_frac_intake":0.056,"eff_ESP_d":0.412,"power_fluid_W":6694.203,"power_ESP_W":16266.517,"length_pump_m":19.6,"angle":0,"d_od_m":0.092,"d_cas_min_m":0.122,"d_motor_od_m":0.117,"calc_from_dis":0,"stage_num":392,"freq_Hz":47.811,"w_obmin":2868.664,"rate_nom_sm3day":47.811,"rate_max_sm3day":90.841,"calibr_head":1,"calibr_rate":1,"calibr_power":1,"gas_correct_model":0,"gas_corr_":1,"dP_atm":175.76,"M_Nm":55.15,"geometry":{"length_motor_m":10,"length_pump_m":19.6,"angle":90,"d_od_m":0.092,"d_cas_mm":150,"d_cas_min_m":0.1217,"d_motor_cas_min_mm":123,"d_motor_od_m":117},"dict_power":{"Pow_freq_Hz":50,"ESP_freq_Hz":47.81,"I_A":13.65,"load_%":0.82,"power_CS_kW":22.26,"power_motor_kW":20.32,"power_shaft_kW":16.55,"power_ESP_kW":16.27,"power_fluid_kW":6.69,"U_motor_V":983.91,"eff_total_d":0.3,"eff_ESP_d":0.41,"eff_fact_d":0.22,"dp_unknown_kW":7.74,"Pmotor_nom_kW":16.55,"power_CS_fact_kW":0,"motor_eff_fr":0.81,"cable_R_Omkm":1.18,"dPower_protector_kW":0.4,"dPower_GasSep_kW":0.3,"dPower_CS_kW":0.65,"dPower_transform_kW":0.63,"cos_phi":0.87},"dict_separ":{"ksep_nat_fr":0.607071107972488,"ksep_gassep_fr":0.837871072308636,"ksep_total_fr":0.936294860076624,"p_ksep_atma":50,"t_ksep_C":80,"isGasSep":true,"ksep_liquid_man_d":0,"d_od_m":0.125,"d_cas_m":0.135,"angle_deg":90,"gassep_type":0,"natsep_type":0,"M_Nm":1,"freq_Hz":47.811061536279}},{"p_int_atma":55,"t_int_C":80,"p_dis_atma":230.34,"t_dis_C":90,"head_m":2088.795,"m_Nm":54.123,"gas_frac_intake":0.047,"eff_ESP_d":0.413,"power_fluid_W":6710.817,"power_ESP_W":16259.04,"length_pump_m":19.6,"angle":0,"d_od_m":0.092,"d_cas_min_m":0.122,"d_motor_od_m":0.117,"calc_from_dis":0,"stage_num":392,"freq_Hz":47.812,"w_obmin":2868.719,"rate_nom_sm3day":47.812,"rate_max_sm3day":90.843,"calibr_head":1,"calibr_rate":1,"calibr_power":1,"gas_correct_model":0,"gas_corr_":1,"dP_atm":175.34,"M_Nm":55.11,"geometry":{"length_motor_m":10,"length_pump_m":19.6,"angle":90,"d_od_m":0.092,"d_cas_mm":150,"d_cas_min_m":0.1217,"d_motor_cas_min_mm":123,"d_motor_od_m":117},"dict_power":{"Pow_freq_Hz":50,"ESP_freq_Hz":47.81,"I_A":13.64,"load_%":0.82,"power_CS_kW":22.24,"power_motor_kW":20.31,"power_shaft_kW":16.54,"power_ESP_kW":16.26,"power_fluid_kW":6.71,"U_motor_V":983.92,"eff_total_d":0.3,"eff_ESP_d":0.41,"eff_fact_d":0.22,"dp_unknown_kW":7.76,"Pmotor_nom_kW":16.54,"power_CS_fact_kW":0,"motor_eff_fr":0.81,"cable_R_Omkm":1.18,"dPower_protector_kW":0.4,"dPower_GasSep_kW":0.3,"dPower_CS_kW":0.65,"dPower_transform_kW":0.63,"cos_phi":0.87},"dict_separ":{"ksep_nat_fr":0.605163243408675,"ksep_gassep_fr":0.838145065572728,"ksep_total_fr":0.936093722652434,"p_ksep_atma":55,"t_ksep_C":80,"isGasSep":true,"ksep_liquid_man_d":0,"d_od_m":0.125,"d_cas_m":0.135,"angle_deg":90,"gassep_type":0,"natsep_type":0,"M_Nm":1,"freq_Hz":47.8119859190761}},{"p_int_atma":60,"t_int_C":80,"p_dis_atma":234.91,"t_dis_C":90,"head_m":2087.058,"m_Nm":54.095,"gas_frac_intake":0.04,"eff_ESP_d":0.414,"power_fluid_W":6727.878,"power_ESP_W":16251.442,"length_pump_m":19.6,"angle":0,"d_od_m":0.092,"d_cas_min_m":0.122,"d_motor_od_m":0.117,"calc_from_dis":0,"stage_num":392,"freq_Hz":47.814,"w_obmin":2868.83,"rate_nom_sm3day":47.814,"rate_max_sm3day":90.846,"calibr_head":1,"calibr_rate":1,"calibr_power":1,"gas_correct_model":0,"gas_corr_":1,"dP_atm":174.91,"M_Nm":55.09,"geometry":{"length_motor_m":10,"length_pump_m":19.6,"angle":90,"d_od_m":0.092,"d_cas_mm":150,"d_cas_min_m":0.1217,"d_motor_cas_min_mm":123,"d_motor_od_m":117},"dict_power":{"Pow_freq_Hz":50,"ESP_freq_Hz":47.81,"I_A":13.63,"load_%":0.82,"power_CS_kW":22.24,"power_motor_kW":20.3,"power_shaft_kW":16.53,"power_ESP_kW":16.25,"power_fluid_kW":6.73,"U_motor_V":983.92,"eff_total_d":0.3,"eff_ESP_d":0.41,"eff_fact_d":0.22,"dp_unknown_kW":7.76,"Pmotor_nom_kW":16.53,"power_CS_fact_kW":0,"motor_eff_fr":0.81,"cable_R_Omkm":1.18,"dPower_protector_kW":0.4,"dPower_GasSep_kW":0.3,"dPower_CS_kW":0.65,"dPower_transform_kW":0.63,"cos_phi":0.87},"dict_separ":{"ksep_nat_fr":0.603213285311747,"ksep_gassep_fr":0.83828938709696,"ksep_total_fr":0.935835377175979,"p_ksep_atma":60,"t_ksep_C":80,"isGasSep":true,"ksep_liquid_man_d":0,"d_od_m":0.125,"d_cas_m":0.135,"angle_deg":90,"gassep_type":0,"natsep_type":0,"M_Nm":1,"freq_Hz":47.8138346846705}},{"p_int_atma":65,"t_int_C":80,"p_dis_atma":239.453,"t_dis_C":90,"head_m":2085.164,"m_Nm":54.063,"gas_frac_intake":0.034,"eff_ESP_d":0.415,"power_fluid_W":6744.794,"power_ESP_W":16242.02,"length_pump_m":19.6,"angle":0,"d_od_m":0.092,"d_cas_min_m":0.122,"d_motor_od_m":0.117,"calc_from_dis":0,"stage_num":392,"freq_Hz":47.815,"w_obmin":2868.886,"rate_nom_sm3day":47.815,"rate_max_sm3day":90.848,"calibr_head":1,"calibr_rate":1,"calibr_power":1,"gas_correct_model":0,"gas_corr_":1,"dP_atm":174.45,"M_Nm":55.07,"geometry":{"length_motor_m":10,"length_pump_m":19.6,"angle":90,"d_od_m":0.092,"d_cas_mm":150,"d_cas_min_m":0.1217,"d_motor_cas_min_mm":123,"d_motor_od_m":117},"dict_power":{"Pow_freq_Hz":50,"ESP_freq_Hz":47.81,"I_A":13.63,"load_%":0.82,"power_CS_kW":22.23,"power_motor_kW":20.29,"power_shaft_kW":16.53,"power_ESP_kW":16.24,"power_fluid_kW":6.74,"U_motor_V":983.93,"eff_total_d":0.3,"eff_ESP_d":0.42,"eff_fact_d":0.22,"dp_unknown_kW":7.77,"Pmotor_nom_kW":16.53,"power_CS_fact_kW":0,"motor_eff_fr":0.81,"cable_R_Omkm":1.18,"dPower_protector_kW":0.4,"dPower_GasSep_kW":0.3,"dPower_CS_kW":0.65,"dPower_transform_kW":0.63,"cos_phi":0.87},"dict_separ":{"ksep_nat_fr":0.601222936231798,"ksep_gassep_fr":0.838365771558756,"ksep_total_fr":0.935543976977762,"p_ksep_atma":65,"t_ksep_C":80,"isGasSep":true,"ksep_liquid_man_d":0,"d_od_m":0.125,"d_cas_m":0.135,"angle_deg":90,"gassep_type":0,"natsep_type":0,"M_Nm":1,"freq_Hz":47.8147590674677}}]</v>
      </c>
      <c r="E108" s="27"/>
      <c r="F108" s="27"/>
      <c r="G108" s="26"/>
      <c r="H108" s="27"/>
      <c r="I108" s="27"/>
      <c r="J108" s="26"/>
      <c r="K108" s="27"/>
    </row>
    <row r="109" spans="2:30" x14ac:dyDescent="0.2">
      <c r="E109" s="27"/>
      <c r="F109" s="27"/>
      <c r="G109" s="26"/>
      <c r="H109" s="27"/>
      <c r="I109" s="27"/>
      <c r="J109" s="26"/>
      <c r="K109" s="27"/>
    </row>
    <row r="110" spans="2:30" x14ac:dyDescent="0.2">
      <c r="E110" s="27"/>
      <c r="F110" s="27"/>
      <c r="G110" s="26"/>
      <c r="H110" s="27"/>
      <c r="I110" s="27"/>
      <c r="J110" s="26"/>
      <c r="K110" s="27"/>
    </row>
    <row r="111" spans="2:30" x14ac:dyDescent="0.2">
      <c r="E111" s="27"/>
      <c r="F111" s="27"/>
      <c r="G111" s="26"/>
      <c r="H111" s="27"/>
      <c r="I111" s="27"/>
      <c r="J111" s="26"/>
      <c r="K111" s="27"/>
    </row>
    <row r="112" spans="2:30" x14ac:dyDescent="0.2">
      <c r="B112" t="str" cm="1">
        <f t="array" ref="B112:B116">[1]!decode_json(B108)</f>
        <v>{"p_int_atma":45,"t_int_C":80,"p_dis_atma":221.148,"t_dis_C":90,"head_m":2092.213,"m_Nm":54.17,"gas_frac_intake":0.066,"eff_ESP_d":0.41,"power_fluid_W":6677.77,"power_ESP_W":16272.81,"length_pump_m":19.6,"angle":0,"d_od_m":0.092,"d_cas_min_m":0.122,"d_motor_od_m":0.117,"calc_from_dis":0,"stage_num":392,"freq_Hz":47.81,"w_obmin":2868.608,"rate_nom_sm3day":47.81,"rate_max_sm3day":90.839,"calibr_head":1,"calibr_rate":1,"calibr_power":1,"gas_correct_model":0,"gas_corr_":1,"dP_atm":176.15,"M_Nm":55.17,"geometry":{"length_motor_m":10,"length_pump_m":19.6,"angle":90,"d_od_m":0.092,"d_cas_mm":150,"d_cas_min_m":0.1217,"d_motor_cas_min_mm":123,"d_motor_od_m":117},"dict_power":{"Pow_freq_Hz":50,"ESP_freq_Hz":47.81,"I_A":13.65,"load_%":0.82,"power_CS_kW":22.26,"power_motor_kW":20.33,"power_shaft_kW":16.56,"power_ESP_kW":16.27,"power_fluid_kW":6.68,"U_motor_V":983.9,"eff_total_d":0.3,"eff_ESP_d":0.41,"eff_fact_d":0.22,"dp_unknown_kW":7.74,"Pmotor_nom_kW":16.56,"power_CS_fact_kW":0,"motor_eff_fr":0.81,"cable_R_Omkm":1.18,"dPower_protector_kW":0.4,"dPower_GasSep_kW":0.3,"dPower_CS_kW":0.65,"dPower_transform_kW":0.63,"cos_phi":0.87},"dict_separ":{"ksep_nat_fr":0.608935132403107,"ksep_gassep_fr":0.83744792290742,"ksep_total_fr":0.93643159349419,"p_ksep_atma":45,"t_ksep_C":80,"isGasSep":true,"ksep_liquid_man_d":0,"d_od_m":0.125,"d_cas_m":0.135,"angle_deg":90,"gassep_type":0,"natsep_type":0,"M_Nm":1,"freq_Hz":47.8101371534818}}</v>
      </c>
      <c r="E112" s="27"/>
      <c r="F112" s="27"/>
      <c r="G112" s="26"/>
      <c r="H112" s="27"/>
      <c r="I112" s="27"/>
      <c r="J112" s="26"/>
      <c r="K112" s="27"/>
    </row>
    <row r="113" spans="2:14" x14ac:dyDescent="0.2">
      <c r="B113" t="str">
        <v>{"p_int_atma":50,"t_int_C":80,"p_dis_atma":225.756,"t_dis_C":90,"head_m":2090.545,"m_Nm":54.148,"gas_frac_intake":0.056,"eff_ESP_d":0.412,"power_fluid_W":6694.203,"power_ESP_W":16266.517,"length_pump_m":19.6,"angle":0,"d_od_m":0.092,"d_cas_min_m":0.122,"d_motor_od_m":0.117,"calc_from_dis":0,"stage_num":392,"freq_Hz":47.811,"w_obmin":2868.664,"rate_nom_sm3day":47.811,"rate_max_sm3day":90.841,"calibr_head":1,"calibr_rate":1,"calibr_power":1,"gas_correct_model":0,"gas_corr_":1,"dP_atm":175.76,"M_Nm":55.15,"geometry":{"length_motor_m":10,"length_pump_m":19.6,"angle":90,"d_od_m":0.092,"d_cas_mm":150,"d_cas_min_m":0.1217,"d_motor_cas_min_mm":123,"d_motor_od_m":117},"dict_power":{"Pow_freq_Hz":50,"ESP_freq_Hz":47.81,"I_A":13.65,"load_%":0.82,"power_CS_kW":22.26,"power_motor_kW":20.32,"power_shaft_kW":16.55,"power_ESP_kW":16.27,"power_fluid_kW":6.69,"U_motor_V":983.91,"eff_total_d":0.3,"eff_ESP_d":0.41,"eff_fact_d":0.22,"dp_unknown_kW":7.74,"Pmotor_nom_kW":16.55,"power_CS_fact_kW":0,"motor_eff_fr":0.81,"cable_R_Omkm":1.18,"dPower_protector_kW":0.4,"dPower_GasSep_kW":0.3,"dPower_CS_kW":0.65,"dPower_transform_kW":0.63,"cos_phi":0.87},"dict_separ":{"ksep_nat_fr":0.607071107972488,"ksep_gassep_fr":0.837871072308636,"ksep_total_fr":0.936294860076624,"p_ksep_atma":50,"t_ksep_C":80,"isGasSep":true,"ksep_liquid_man_d":0,"d_od_m":0.125,"d_cas_m":0.135,"angle_deg":90,"gassep_type":0,"natsep_type":0,"M_Nm":1,"freq_Hz":47.811061536279}}</v>
      </c>
      <c r="D113" s="28"/>
    </row>
    <row r="114" spans="2:14" x14ac:dyDescent="0.2">
      <c r="B114" t="str">
        <v>{"p_int_atma":55,"t_int_C":80,"p_dis_atma":230.34,"t_dis_C":90,"head_m":2088.795,"m_Nm":54.123,"gas_frac_intake":0.047,"eff_ESP_d":0.413,"power_fluid_W":6710.817,"power_ESP_W":16259.04,"length_pump_m":19.6,"angle":0,"d_od_m":0.092,"d_cas_min_m":0.122,"d_motor_od_m":0.117,"calc_from_dis":0,"stage_num":392,"freq_Hz":47.812,"w_obmin":2868.719,"rate_nom_sm3day":47.812,"rate_max_sm3day":90.843,"calibr_head":1,"calibr_rate":1,"calibr_power":1,"gas_correct_model":0,"gas_corr_":1,"dP_atm":175.34,"M_Nm":55.11,"geometry":{"length_motor_m":10,"length_pump_m":19.6,"angle":90,"d_od_m":0.092,"d_cas_mm":150,"d_cas_min_m":0.1217,"d_motor_cas_min_mm":123,"d_motor_od_m":117},"dict_power":{"Pow_freq_Hz":50,"ESP_freq_Hz":47.81,"I_A":13.64,"load_%":0.82,"power_CS_kW":22.24,"power_motor_kW":20.31,"power_shaft_kW":16.54,"power_ESP_kW":16.26,"power_fluid_kW":6.71,"U_motor_V":983.92,"eff_total_d":0.3,"eff_ESP_d":0.41,"eff_fact_d":0.22,"dp_unknown_kW":7.76,"Pmotor_nom_kW":16.54,"power_CS_fact_kW":0,"motor_eff_fr":0.81,"cable_R_Omkm":1.18,"dPower_protector_kW":0.4,"dPower_GasSep_kW":0.3,"dPower_CS_kW":0.65,"dPower_transform_kW":0.63,"cos_phi":0.87},"dict_separ":{"ksep_nat_fr":0.605163243408675,"ksep_gassep_fr":0.838145065572728,"ksep_total_fr":0.936093722652434,"p_ksep_atma":55,"t_ksep_C":80,"isGasSep":true,"ksep_liquid_man_d":0,"d_od_m":0.125,"d_cas_m":0.135,"angle_deg":90,"gassep_type":0,"natsep_type":0,"M_Nm":1,"freq_Hz":47.8119859190761}}</v>
      </c>
      <c r="D114" s="28"/>
    </row>
    <row r="115" spans="2:14" x14ac:dyDescent="0.2">
      <c r="B115" t="str">
        <v>{"p_int_atma":60,"t_int_C":80,"p_dis_atma":234.91,"t_dis_C":90,"head_m":2087.058,"m_Nm":54.095,"gas_frac_intake":0.04,"eff_ESP_d":0.414,"power_fluid_W":6727.878,"power_ESP_W":16251.442,"length_pump_m":19.6,"angle":0,"d_od_m":0.092,"d_cas_min_m":0.122,"d_motor_od_m":0.117,"calc_from_dis":0,"stage_num":392,"freq_Hz":47.814,"w_obmin":2868.83,"rate_nom_sm3day":47.814,"rate_max_sm3day":90.846,"calibr_head":1,"calibr_rate":1,"calibr_power":1,"gas_correct_model":0,"gas_corr_":1,"dP_atm":174.91,"M_Nm":55.09,"geometry":{"length_motor_m":10,"length_pump_m":19.6,"angle":90,"d_od_m":0.092,"d_cas_mm":150,"d_cas_min_m":0.1217,"d_motor_cas_min_mm":123,"d_motor_od_m":117},"dict_power":{"Pow_freq_Hz":50,"ESP_freq_Hz":47.81,"I_A":13.63,"load_%":0.82,"power_CS_kW":22.24,"power_motor_kW":20.3,"power_shaft_kW":16.53,"power_ESP_kW":16.25,"power_fluid_kW":6.73,"U_motor_V":983.92,"eff_total_d":0.3,"eff_ESP_d":0.41,"eff_fact_d":0.22,"dp_unknown_kW":7.76,"Pmotor_nom_kW":16.53,"power_CS_fact_kW":0,"motor_eff_fr":0.81,"cable_R_Omkm":1.18,"dPower_protector_kW":0.4,"dPower_GasSep_kW":0.3,"dPower_CS_kW":0.65,"dPower_transform_kW":0.63,"cos_phi":0.87},"dict_separ":{"ksep_nat_fr":0.603213285311747,"ksep_gassep_fr":0.83828938709696,"ksep_total_fr":0.935835377175979,"p_ksep_atma":60,"t_ksep_C":80,"isGasSep":true,"ksep_liquid_man_d":0,"d_od_m":0.125,"d_cas_m":0.135,"angle_deg":90,"gassep_type":0,"natsep_type":0,"M_Nm":1,"freq_Hz":47.8138346846705}}</v>
      </c>
      <c r="D115" s="28"/>
    </row>
    <row r="116" spans="2:14" x14ac:dyDescent="0.2">
      <c r="B116" t="str">
        <v>{"p_int_atma":65,"t_int_C":80,"p_dis_atma":239.453,"t_dis_C":90,"head_m":2085.164,"m_Nm":54.063,"gas_frac_intake":0.034,"eff_ESP_d":0.415,"power_fluid_W":6744.794,"power_ESP_W":16242.02,"length_pump_m":19.6,"angle":0,"d_od_m":0.092,"d_cas_min_m":0.122,"d_motor_od_m":0.117,"calc_from_dis":0,"stage_num":392,"freq_Hz":47.815,"w_obmin":2868.886,"rate_nom_sm3day":47.815,"rate_max_sm3day":90.848,"calibr_head":1,"calibr_rate":1,"calibr_power":1,"gas_correct_model":0,"gas_corr_":1,"dP_atm":174.45,"M_Nm":55.07,"geometry":{"length_motor_m":10,"length_pump_m":19.6,"angle":90,"d_od_m":0.092,"d_cas_mm":150,"d_cas_min_m":0.1217,"d_motor_cas_min_mm":123,"d_motor_od_m":117},"dict_power":{"Pow_freq_Hz":50,"ESP_freq_Hz":47.81,"I_A":13.63,"load_%":0.82,"power_CS_kW":22.23,"power_motor_kW":20.29,"power_shaft_kW":16.53,"power_ESP_kW":16.24,"power_fluid_kW":6.74,"U_motor_V":983.93,"eff_total_d":0.3,"eff_ESP_d":0.42,"eff_fact_d":0.22,"dp_unknown_kW":7.77,"Pmotor_nom_kW":16.53,"power_CS_fact_kW":0,"motor_eff_fr":0.81,"cable_R_Omkm":1.18,"dPower_protector_kW":0.4,"dPower_GasSep_kW":0.3,"dPower_CS_kW":0.65,"dPower_transform_kW":0.63,"cos_phi":0.87},"dict_separ":{"ksep_nat_fr":0.601222936231798,"ksep_gassep_fr":0.838365771558756,"ksep_total_fr":0.935543976977762,"p_ksep_atma":65,"t_ksep_C":80,"isGasSep":true,"ksep_liquid_man_d":0,"d_od_m":0.125,"d_cas_m":0.135,"angle_deg":90,"gassep_type":0,"natsep_type":0,"M_Nm":1,"freq_Hz":47.8147590674677}}</v>
      </c>
      <c r="D116" s="28"/>
    </row>
    <row r="117" spans="2:14" x14ac:dyDescent="0.2">
      <c r="D117" s="28"/>
      <c r="F117" s="28"/>
      <c r="K117" s="28"/>
      <c r="M117" s="27"/>
      <c r="N117" s="26"/>
    </row>
    <row r="118" spans="2:14" x14ac:dyDescent="0.2">
      <c r="D118" s="28"/>
    </row>
    <row r="119" spans="2:14" x14ac:dyDescent="0.2">
      <c r="D119" s="28"/>
    </row>
    <row r="120" spans="2:14" x14ac:dyDescent="0.2">
      <c r="D120" s="28"/>
      <c r="J120" s="29"/>
      <c r="K120" s="29"/>
      <c r="L120" s="29"/>
    </row>
    <row r="121" spans="2:14" x14ac:dyDescent="0.2">
      <c r="J121" s="29"/>
      <c r="K121" s="29"/>
      <c r="L121" s="29"/>
    </row>
    <row r="122" spans="2:14" x14ac:dyDescent="0.2">
      <c r="J122" s="29"/>
      <c r="K122" s="29"/>
      <c r="L122" s="29"/>
    </row>
    <row r="123" spans="2:14" x14ac:dyDescent="0.2">
      <c r="J123" s="29"/>
      <c r="K123" s="29"/>
      <c r="L123" s="29"/>
    </row>
    <row r="124" spans="2:14" x14ac:dyDescent="0.2">
      <c r="J124" s="29"/>
      <c r="K124" s="30"/>
      <c r="L124" s="29"/>
    </row>
    <row r="125" spans="2:14" x14ac:dyDescent="0.2">
      <c r="J125" s="29"/>
      <c r="K125" s="29"/>
      <c r="L125" s="29"/>
    </row>
    <row r="126" spans="2:14" x14ac:dyDescent="0.2">
      <c r="J126" s="29"/>
      <c r="K126" s="29"/>
      <c r="L126" s="29"/>
    </row>
    <row r="127" spans="2:14" x14ac:dyDescent="0.2">
      <c r="J127" s="29"/>
      <c r="K127" s="29"/>
      <c r="L127" s="29"/>
    </row>
    <row r="128" spans="2:14" x14ac:dyDescent="0.2">
      <c r="J128" s="29"/>
      <c r="K128" s="29"/>
      <c r="L128" s="29"/>
    </row>
    <row r="129" spans="10:13" x14ac:dyDescent="0.2">
      <c r="J129" s="29"/>
      <c r="K129" s="29"/>
      <c r="L129" s="29"/>
    </row>
    <row r="130" spans="10:13" x14ac:dyDescent="0.2">
      <c r="J130" s="29"/>
      <c r="K130" s="29"/>
      <c r="L130" s="29"/>
    </row>
    <row r="131" spans="10:13" x14ac:dyDescent="0.2">
      <c r="J131" s="29"/>
      <c r="K131" s="29"/>
      <c r="L131" s="29"/>
    </row>
    <row r="132" spans="10:13" x14ac:dyDescent="0.2">
      <c r="J132" s="29"/>
      <c r="K132" s="29"/>
      <c r="L132" s="29"/>
    </row>
    <row r="133" spans="10:13" x14ac:dyDescent="0.2">
      <c r="J133" s="29"/>
      <c r="K133" s="29"/>
      <c r="L133" s="29"/>
    </row>
    <row r="134" spans="10:13" x14ac:dyDescent="0.2">
      <c r="J134" s="29"/>
      <c r="K134" s="29"/>
      <c r="L134" s="29"/>
    </row>
    <row r="135" spans="10:13" x14ac:dyDescent="0.2">
      <c r="J135" s="29"/>
      <c r="K135" s="29"/>
      <c r="L135" s="29"/>
    </row>
    <row r="136" spans="10:13" x14ac:dyDescent="0.2">
      <c r="J136" s="29"/>
      <c r="K136" s="29"/>
      <c r="L136" s="29"/>
    </row>
    <row r="137" spans="10:13" x14ac:dyDescent="0.2">
      <c r="J137" s="29"/>
      <c r="K137" s="29"/>
      <c r="L137" s="29"/>
    </row>
    <row r="138" spans="10:13" x14ac:dyDescent="0.2">
      <c r="J138" s="29"/>
      <c r="K138" s="29"/>
      <c r="L138" s="29"/>
    </row>
    <row r="139" spans="10:13" x14ac:dyDescent="0.2">
      <c r="J139" s="29"/>
      <c r="K139" s="29"/>
      <c r="L139" s="29"/>
    </row>
    <row r="140" spans="10:13" x14ac:dyDescent="0.2">
      <c r="M140" s="31"/>
    </row>
    <row r="141" spans="10:13" x14ac:dyDescent="0.2">
      <c r="M141" s="31"/>
    </row>
  </sheetData>
  <mergeCells count="4">
    <mergeCell ref="B3:E3"/>
    <mergeCell ref="B4:E4"/>
    <mergeCell ref="B5:E5"/>
    <mergeCell ref="B6:E8"/>
  </mergeCells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1</vt:i4>
      </vt:variant>
      <vt:variant>
        <vt:lpstr>Именованные диапазоны</vt:lpstr>
      </vt:variant>
      <vt:variant>
        <vt:i4>60</vt:i4>
      </vt:variant>
    </vt:vector>
  </HeadingPairs>
  <TitlesOfParts>
    <vt:vector size="61" baseType="lpstr">
      <vt:lpstr>Exercise_ESP</vt:lpstr>
      <vt:lpstr>Exercise_ESP!Bob_</vt:lpstr>
      <vt:lpstr>cable_json</vt:lpstr>
      <vt:lpstr>Cable_length</vt:lpstr>
      <vt:lpstr>cable_R_Omkm</vt:lpstr>
      <vt:lpstr>Cable_type</vt:lpstr>
      <vt:lpstr>calibr_array_</vt:lpstr>
      <vt:lpstr>cos_phi</vt:lpstr>
      <vt:lpstr>cos_ϕ_nom</vt:lpstr>
      <vt:lpstr>dN</vt:lpstr>
      <vt:lpstr>dod</vt:lpstr>
      <vt:lpstr>effnom</vt:lpstr>
      <vt:lpstr>Energy_fact</vt:lpstr>
      <vt:lpstr>feed</vt:lpstr>
      <vt:lpstr>Fnom</vt:lpstr>
      <vt:lpstr>Exercise_ESP!Freq_</vt:lpstr>
      <vt:lpstr>Fsurf</vt:lpstr>
      <vt:lpstr>Exercise_ESP!fw_</vt:lpstr>
      <vt:lpstr>Exercise_ESP!gamma_gas_</vt:lpstr>
      <vt:lpstr>Exercise_ESP!gamma_oil_</vt:lpstr>
      <vt:lpstr>Exercise_ESP!gamma_wat_</vt:lpstr>
      <vt:lpstr>gas_degr_type_</vt:lpstr>
      <vt:lpstr>gassep</vt:lpstr>
      <vt:lpstr>Exercise_ESP!Head_ESP_</vt:lpstr>
      <vt:lpstr>input_Course</vt:lpstr>
      <vt:lpstr>input_Date</vt:lpstr>
      <vt:lpstr>input_Group</vt:lpstr>
      <vt:lpstr>input_Notes</vt:lpstr>
      <vt:lpstr>input_Student_Name</vt:lpstr>
      <vt:lpstr>input_Version</vt:lpstr>
      <vt:lpstr>Ixcf</vt:lpstr>
      <vt:lpstr>Ksep_man</vt:lpstr>
      <vt:lpstr>Exercise_ESP!KsepGasSep_</vt:lpstr>
      <vt:lpstr>M_gassep</vt:lpstr>
      <vt:lpstr>motor_ID</vt:lpstr>
      <vt:lpstr>motor_json</vt:lpstr>
      <vt:lpstr>Exercise_ESP!muob_</vt:lpstr>
      <vt:lpstr>Exercise_ESP!NumStage_</vt:lpstr>
      <vt:lpstr>Exercise_ESP!Pb_</vt:lpstr>
      <vt:lpstr>Exercise_ESP!Pdis_</vt:lpstr>
      <vt:lpstr>Exercise_ESP!Pintake_</vt:lpstr>
      <vt:lpstr>PKsep</vt:lpstr>
      <vt:lpstr>Pnom</vt:lpstr>
      <vt:lpstr>pump_json</vt:lpstr>
      <vt:lpstr>Exercise_ESP!PumpID_</vt:lpstr>
      <vt:lpstr>PVT_json</vt:lpstr>
      <vt:lpstr>Exercise_ESP!Q_</vt:lpstr>
      <vt:lpstr>Exercise_ESP!Q_ESP_</vt:lpstr>
      <vt:lpstr>Exercise_ESP!Qmax_</vt:lpstr>
      <vt:lpstr>Exercise_ESP!Rp_</vt:lpstr>
      <vt:lpstr>Exercise_ESP!Rsb_</vt:lpstr>
      <vt:lpstr>slipnom</vt:lpstr>
      <vt:lpstr>Tdis_</vt:lpstr>
      <vt:lpstr>Exercise_ESP!Tintake_</vt:lpstr>
      <vt:lpstr>TKsep_</vt:lpstr>
      <vt:lpstr>Exercise_ESP!Tres_</vt:lpstr>
      <vt:lpstr>U</vt:lpstr>
      <vt:lpstr>Unom</vt:lpstr>
      <vt:lpstr>α</vt:lpstr>
      <vt:lpstr>λ</vt:lpstr>
      <vt:lpstr>χ</vt:lpstr>
    </vt:vector>
  </TitlesOfParts>
  <Company>CAF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Rinat</dc:creator>
  <cp:lastModifiedBy>rnt</cp:lastModifiedBy>
  <cp:lastPrinted>2007-08-27T05:31:44Z</cp:lastPrinted>
  <dcterms:created xsi:type="dcterms:W3CDTF">2005-04-11T05:46:28Z</dcterms:created>
  <dcterms:modified xsi:type="dcterms:W3CDTF">2023-05-09T19:36:39Z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NewReviewCycle">
    <vt:lpwstr/>
  </property>
</Properties>
</file>