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E:\Git\unifloc_vba\examples\"/>
    </mc:Choice>
  </mc:AlternateContent>
  <xr:revisionPtr revIDLastSave="0" documentId="13_ncr:1_{28682800-E426-46D5-BE95-703F1B791363}" xr6:coauthVersionLast="45" xr6:coauthVersionMax="45" xr10:uidLastSave="{00000000-0000-0000-0000-000000000000}"/>
  <bookViews>
    <workbookView xWindow="-120" yWindow="-120" windowWidth="29040" windowHeight="15840" xr2:uid="{CBB18379-7E76-40C7-BC74-A5CF898F6A9B}"/>
  </bookViews>
  <sheets>
    <sheet name="exercise_network" sheetId="3" r:id="rId1"/>
  </sheets>
  <externalReferences>
    <externalReference r:id="rId2"/>
  </externalReferences>
  <definedNames>
    <definedName name="Bob_" localSheetId="0">exercise_network!$C$18</definedName>
    <definedName name="calc_along_coord" localSheetId="0">exercise_network!$H$38</definedName>
    <definedName name="calc_along_coord1" localSheetId="0">exercise_network!$I$38</definedName>
    <definedName name="calc_flow_direction_" localSheetId="0">exercise_network!$H$40</definedName>
    <definedName name="calc_flow_direction1_" localSheetId="0">exercise_network!$I$40</definedName>
    <definedName name="calibr_fric" localSheetId="0">exercise_network!$H$31</definedName>
    <definedName name="calibr_grav" localSheetId="0">exercise_network!$H$30</definedName>
    <definedName name="calibr_type" localSheetId="0">exercise_network!$H$27</definedName>
    <definedName name="flow_along_coord" localSheetId="0">exercise_network!$H$39</definedName>
    <definedName name="flow_along_coord1" localSheetId="0">exercise_network!$I$39</definedName>
    <definedName name="fw_" localSheetId="0">exercise_network!$C$26</definedName>
    <definedName name="gamma_gas_" localSheetId="0">exercise_network!$C$13</definedName>
    <definedName name="gamma_oil_" localSheetId="0">exercise_network!$C$11</definedName>
    <definedName name="gamma_wat_" localSheetId="0">exercise_network!$C$12</definedName>
    <definedName name="gas_only_" localSheetId="0">exercise_network!$H$28</definedName>
    <definedName name="hcor" localSheetId="0">exercise_network!$H$36</definedName>
    <definedName name="Hydr_corr_" localSheetId="0">exercise_network!$H$26</definedName>
    <definedName name="inclinometry" localSheetId="0">exercise_network!$B$46:$C$68</definedName>
    <definedName name="input_0" localSheetId="0">exercise_network!$C$11:$C$31</definedName>
    <definedName name="input_1" localSheetId="0">exercise_network!$C$36:$C$40</definedName>
    <definedName name="input_2" localSheetId="0">exercise_network!$H$25:$H$31</definedName>
    <definedName name="input_3" localSheetId="0">exercise_network!$H$37:$H$39</definedName>
    <definedName name="input_5" localSheetId="0">exercise_network!$B$46:$C$68</definedName>
    <definedName name="input_6" localSheetId="0">exercise_network!$E$46:$F$65</definedName>
    <definedName name="input_7" localSheetId="0">exercise_network!$H$46:$I$65</definedName>
    <definedName name="input_Course" localSheetId="0">exercise_network!$I$3</definedName>
    <definedName name="input_Date" localSheetId="0">exercise_network!$I$1</definedName>
    <definedName name="input_Group" localSheetId="0">exercise_network!$I$4</definedName>
    <definedName name="input_Notes" localSheetId="0">exercise_network!$I$6</definedName>
    <definedName name="input_Student_Name" localSheetId="0">exercise_network!$I$5</definedName>
    <definedName name="input_Version" localSheetId="0">exercise_network!$I$2</definedName>
    <definedName name="Ksep" localSheetId="0">exercise_network!$C$21</definedName>
    <definedName name="muob_" localSheetId="0">exercise_network!$C$19</definedName>
    <definedName name="P0" localSheetId="0">exercise_network!$C$28</definedName>
    <definedName name="P1_" localSheetId="0">exercise_network!$C$29</definedName>
    <definedName name="Pb_" localSheetId="0">exercise_network!$C$16</definedName>
    <definedName name="Psep" localSheetId="0">exercise_network!$C$22</definedName>
    <definedName name="PVT_corr_" localSheetId="0">exercise_network!$H$25</definedName>
    <definedName name="PVTstr_" localSheetId="0">exercise_network!$C$33</definedName>
    <definedName name="Qgas_free" localSheetId="0">exercise_network!$C$25</definedName>
    <definedName name="qliq_" localSheetId="0">exercise_network!#REF!</definedName>
    <definedName name="Rp_" localSheetId="0">exercise_network!$C$15</definedName>
    <definedName name="Rsb_" localSheetId="0">exercise_network!$C$14</definedName>
    <definedName name="solver_adj" localSheetId="0" hidden="1">exercise_network!$A$46,exercise_network!$A$53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exercise_network!$F$75</definedName>
    <definedName name="solver_pre" localSheetId="0" hidden="1">0.000001</definedName>
    <definedName name="solver_rbv" localSheetId="0" hidden="1">2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T0" localSheetId="0">exercise_network!$C$30</definedName>
    <definedName name="T1_" localSheetId="0">exercise_network!$C$31</definedName>
    <definedName name="temp_model" localSheetId="0">exercise_network!$H$37</definedName>
    <definedName name="tempm" localSheetId="0">exercise_network!$H$37</definedName>
    <definedName name="Tres_" localSheetId="0">exercise_network!$C$17</definedName>
    <definedName name="Tsep" localSheetId="0">exercise_network!$C$23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60" i="3" l="1"/>
  <c r="J54" i="3"/>
  <c r="J47" i="3"/>
  <c r="A59" i="3"/>
  <c r="I40" i="3" l="1"/>
  <c r="H40" i="3"/>
  <c r="E17" i="3"/>
  <c r="E16" i="3"/>
  <c r="E15" i="3"/>
  <c r="E14" i="3"/>
  <c r="E13" i="3"/>
  <c r="E12" i="3"/>
  <c r="E11" i="3"/>
  <c r="G1" i="3"/>
  <c r="C33" i="3"/>
  <c r="X36" i="3" a="1"/>
  <c r="X40" i="3" l="1"/>
  <c r="X56" i="3"/>
  <c r="Z57" i="3"/>
  <c r="AE50" i="3"/>
  <c r="X57" i="3"/>
  <c r="AF46" i="3"/>
  <c r="Y58" i="3"/>
  <c r="X43" i="3"/>
  <c r="AB39" i="3"/>
  <c r="AB40" i="3"/>
  <c r="AB56" i="3"/>
  <c r="Z39" i="3"/>
  <c r="Z55" i="3"/>
  <c r="AA39" i="3"/>
  <c r="AA55" i="3"/>
  <c r="AF55" i="3"/>
  <c r="AC51" i="3"/>
  <c r="AE38" i="3"/>
  <c r="AC38" i="3"/>
  <c r="AE43" i="3"/>
  <c r="AA54" i="3"/>
  <c r="Z43" i="3"/>
  <c r="AA43" i="3"/>
  <c r="AC55" i="3"/>
  <c r="Y46" i="3"/>
  <c r="Y56" i="3"/>
  <c r="Z52" i="3"/>
  <c r="AA48" i="3"/>
  <c r="AA38" i="3"/>
  <c r="AB55" i="3"/>
  <c r="AB51" i="3"/>
  <c r="AB41" i="3"/>
  <c r="AC53" i="3"/>
  <c r="AD49" i="3"/>
  <c r="AD55" i="3"/>
  <c r="X41" i="3"/>
  <c r="Z42" i="3"/>
  <c r="AD41" i="3"/>
  <c r="X54" i="3"/>
  <c r="AA41" i="3"/>
  <c r="AA57" i="3"/>
  <c r="Y36" i="3"/>
  <c r="Y52" i="3"/>
  <c r="AE39" i="3"/>
  <c r="Z48" i="3"/>
  <c r="AA42" i="3"/>
  <c r="AA44" i="3"/>
  <c r="Y50" i="3"/>
  <c r="AE41" i="3"/>
  <c r="AE57" i="3"/>
  <c r="AC40" i="3"/>
  <c r="AC56" i="3"/>
  <c r="AD40" i="3"/>
  <c r="AD56" i="3"/>
  <c r="AF36" i="3"/>
  <c r="AF52" i="3"/>
  <c r="AE44" i="3"/>
  <c r="AE54" i="3"/>
  <c r="AF50" i="3"/>
  <c r="X47" i="3"/>
  <c r="Y54" i="3"/>
  <c r="Y38" i="3"/>
  <c r="AC39" i="3"/>
  <c r="AA45" i="3"/>
  <c r="Y40" i="3"/>
  <c r="Z36" i="3"/>
  <c r="AE51" i="3"/>
  <c r="AE45" i="3"/>
  <c r="AC44" i="3"/>
  <c r="AD44" i="3"/>
  <c r="AF56" i="3"/>
  <c r="AD46" i="3"/>
  <c r="AB57" i="3"/>
  <c r="AC37" i="3"/>
  <c r="Z45" i="3"/>
  <c r="Y53" i="3"/>
  <c r="AF45" i="3"/>
  <c r="X46" i="3"/>
  <c r="Z58" i="3"/>
  <c r="AA46" i="3"/>
  <c r="AF53" i="3"/>
  <c r="AC54" i="3"/>
  <c r="AD42" i="3"/>
  <c r="AD58" i="3"/>
  <c r="AB37" i="3"/>
  <c r="AB53" i="3"/>
  <c r="AB50" i="3"/>
  <c r="AC49" i="3"/>
  <c r="AA50" i="3"/>
  <c r="AD45" i="3"/>
  <c r="X37" i="3"/>
  <c r="Y43" i="3"/>
  <c r="AE40" i="3"/>
  <c r="AF41" i="3"/>
  <c r="AF57" i="3"/>
  <c r="X42" i="3"/>
  <c r="X58" i="3"/>
  <c r="Z38" i="3"/>
  <c r="Z54" i="3"/>
  <c r="X44" i="3"/>
  <c r="AB44" i="3"/>
  <c r="AE36" i="3"/>
  <c r="Y45" i="3"/>
  <c r="AF40" i="3"/>
  <c r="AE52" i="3"/>
  <c r="Y47" i="3"/>
  <c r="AD43" i="3"/>
  <c r="AD57" i="3"/>
  <c r="X48" i="3"/>
  <c r="X45" i="3"/>
  <c r="AE42" i="3"/>
  <c r="AE58" i="3"/>
  <c r="AF38" i="3"/>
  <c r="AF54" i="3"/>
  <c r="Z53" i="3"/>
  <c r="X51" i="3"/>
  <c r="AF39" i="3"/>
  <c r="AB48" i="3"/>
  <c r="AB46" i="3"/>
  <c r="Z47" i="3"/>
  <c r="X53" i="3"/>
  <c r="AA47" i="3"/>
  <c r="AD51" i="3"/>
  <c r="AC43" i="3"/>
  <c r="AD47" i="3"/>
  <c r="AA49" i="3"/>
  <c r="X49" i="3"/>
  <c r="Y44" i="3"/>
  <c r="AB43" i="3"/>
  <c r="Z40" i="3"/>
  <c r="Z56" i="3"/>
  <c r="AA36" i="3"/>
  <c r="AA52" i="3"/>
  <c r="Z49" i="3"/>
  <c r="AE49" i="3"/>
  <c r="AB54" i="3"/>
  <c r="AC48" i="3"/>
  <c r="Y41" i="3"/>
  <c r="AD48" i="3"/>
  <c r="Y37" i="3"/>
  <c r="AF44" i="3"/>
  <c r="AA58" i="3"/>
  <c r="Z34" i="3" s="1"/>
  <c r="Y48" i="3"/>
  <c r="AA40" i="3"/>
  <c r="AE37" i="3"/>
  <c r="AC36" i="3"/>
  <c r="AD36" i="3"/>
  <c r="AC42" i="3"/>
  <c r="AC46" i="3"/>
  <c r="AD54" i="3"/>
  <c r="AC45" i="3"/>
  <c r="Y55" i="3"/>
  <c r="AF51" i="3"/>
  <c r="AD50" i="3"/>
  <c r="AB38" i="3"/>
  <c r="AB45" i="3"/>
  <c r="AB47" i="3"/>
  <c r="AC41" i="3"/>
  <c r="AC57" i="3"/>
  <c r="AD37" i="3"/>
  <c r="AD53" i="3"/>
  <c r="AC58" i="3"/>
  <c r="Y51" i="3"/>
  <c r="Z41" i="3"/>
  <c r="AF49" i="3"/>
  <c r="AE55" i="3"/>
  <c r="X50" i="3"/>
  <c r="AE47" i="3"/>
  <c r="Z46" i="3"/>
  <c r="AB42" i="3"/>
  <c r="X36" i="3"/>
  <c r="X52" i="3"/>
  <c r="Y49" i="3"/>
  <c r="AE46" i="3"/>
  <c r="AE56" i="3"/>
  <c r="AF42" i="3"/>
  <c r="AF58" i="3"/>
  <c r="X39" i="3"/>
  <c r="X55" i="3"/>
  <c r="AB36" i="3"/>
  <c r="AB52" i="3"/>
  <c r="AC50" i="3"/>
  <c r="Z51" i="3"/>
  <c r="AF43" i="3"/>
  <c r="AA51" i="3"/>
  <c r="Y57" i="3"/>
  <c r="AC47" i="3"/>
  <c r="AB58" i="3"/>
  <c r="AA37" i="3"/>
  <c r="AA53" i="3"/>
  <c r="Z37" i="3"/>
  <c r="AD39" i="3"/>
  <c r="Z44" i="3"/>
  <c r="Y42" i="3"/>
  <c r="AA56" i="3"/>
  <c r="AE53" i="3"/>
  <c r="AC52" i="3"/>
  <c r="AD52" i="3"/>
  <c r="AF48" i="3"/>
  <c r="AD38" i="3"/>
  <c r="AF47" i="3"/>
  <c r="AB49" i="3"/>
  <c r="AE48" i="3"/>
  <c r="Y39" i="3"/>
  <c r="AF37" i="3"/>
  <c r="X38" i="3"/>
  <c r="Z50" i="3"/>
  <c r="L36" i="3" a="1"/>
  <c r="L61" i="3" a="1"/>
  <c r="S77" i="3" l="1"/>
  <c r="P78" i="3"/>
  <c r="T62" i="3"/>
  <c r="N74" i="3"/>
  <c r="S74" i="3"/>
  <c r="Q76" i="3"/>
  <c r="Q82" i="3"/>
  <c r="L67" i="3"/>
  <c r="Q64" i="3"/>
  <c r="S79" i="3"/>
  <c r="M68" i="3"/>
  <c r="N77" i="3"/>
  <c r="Q61" i="3"/>
  <c r="R68" i="3"/>
  <c r="R65" i="3"/>
  <c r="M80" i="3"/>
  <c r="T72" i="3"/>
  <c r="N62" i="3"/>
  <c r="L72" i="3"/>
  <c r="P83" i="3"/>
  <c r="T65" i="3"/>
  <c r="M66" i="3"/>
  <c r="T78" i="3"/>
  <c r="O66" i="3"/>
  <c r="N68" i="3"/>
  <c r="L70" i="3"/>
  <c r="S76" i="3"/>
  <c r="Q67" i="3"/>
  <c r="M73" i="3"/>
  <c r="T81" i="3"/>
  <c r="M82" i="3"/>
  <c r="O72" i="3"/>
  <c r="O82" i="3"/>
  <c r="R61" i="3"/>
  <c r="Q63" i="3"/>
  <c r="Q62" i="3"/>
  <c r="Q72" i="3"/>
  <c r="L77" i="3"/>
  <c r="O63" i="3"/>
  <c r="Q78" i="3"/>
  <c r="N75" i="3"/>
  <c r="N72" i="3"/>
  <c r="L83" i="3"/>
  <c r="N65" i="3"/>
  <c r="S75" i="3"/>
  <c r="O79" i="3"/>
  <c r="P73" i="3"/>
  <c r="P75" i="3"/>
  <c r="Q83" i="3"/>
  <c r="S64" i="3"/>
  <c r="Q77" i="3"/>
  <c r="T66" i="3"/>
  <c r="M77" i="3"/>
  <c r="R81" i="3"/>
  <c r="Q80" i="3"/>
  <c r="P81" i="3"/>
  <c r="S72" i="3"/>
  <c r="S66" i="3"/>
  <c r="Q68" i="3"/>
  <c r="S68" i="3"/>
  <c r="Q70" i="3"/>
  <c r="N73" i="3"/>
  <c r="P77" i="3"/>
  <c r="R72" i="3"/>
  <c r="O73" i="3"/>
  <c r="L66" i="3"/>
  <c r="S82" i="3"/>
  <c r="L62" i="3"/>
  <c r="P62" i="3"/>
  <c r="T73" i="3"/>
  <c r="M74" i="3"/>
  <c r="T70" i="3"/>
  <c r="N66" i="3"/>
  <c r="P76" i="3"/>
  <c r="P71" i="3"/>
  <c r="N76" i="3"/>
  <c r="L78" i="3"/>
  <c r="Q74" i="3"/>
  <c r="O67" i="3"/>
  <c r="P74" i="3"/>
  <c r="O64" i="3"/>
  <c r="N82" i="3"/>
  <c r="R75" i="3"/>
  <c r="Q73" i="3"/>
  <c r="N67" i="3"/>
  <c r="M81" i="3"/>
  <c r="R73" i="3"/>
  <c r="M61" i="3"/>
  <c r="M76" i="3"/>
  <c r="T77" i="3"/>
  <c r="M78" i="3"/>
  <c r="R66" i="3"/>
  <c r="L74" i="3"/>
  <c r="P65" i="3"/>
  <c r="N83" i="3"/>
  <c r="P67" i="3"/>
  <c r="M67" i="3"/>
  <c r="T67" i="3"/>
  <c r="Q69" i="3"/>
  <c r="O71" i="3"/>
  <c r="P82" i="3"/>
  <c r="R74" i="3"/>
  <c r="R76" i="3"/>
  <c r="M83" i="3"/>
  <c r="L63" i="3"/>
  <c r="O81" i="3"/>
  <c r="M64" i="3"/>
  <c r="T64" i="3"/>
  <c r="P39" i="3"/>
  <c r="S40" i="3"/>
  <c r="M42" i="3"/>
  <c r="P43" i="3"/>
  <c r="P47" i="3"/>
  <c r="N42" i="3"/>
  <c r="L37" i="3"/>
  <c r="O54" i="3"/>
  <c r="N46" i="3"/>
  <c r="P58" i="3"/>
  <c r="N43" i="3"/>
  <c r="T57" i="3"/>
  <c r="S43" i="3"/>
  <c r="P52" i="3"/>
  <c r="S51" i="3"/>
  <c r="S55" i="3"/>
  <c r="T58" i="3"/>
  <c r="L48" i="3"/>
  <c r="R58" i="3"/>
  <c r="N56" i="3"/>
  <c r="Q47" i="3"/>
  <c r="N40" i="3"/>
  <c r="M43" i="3"/>
  <c r="P50" i="3"/>
  <c r="Q38" i="3"/>
  <c r="P55" i="3"/>
  <c r="S56" i="3"/>
  <c r="M58" i="3"/>
  <c r="T36" i="3"/>
  <c r="T40" i="3"/>
  <c r="N58" i="3"/>
  <c r="L53" i="3"/>
  <c r="S47" i="3"/>
  <c r="M49" i="3"/>
  <c r="S37" i="3"/>
  <c r="M46" i="3"/>
  <c r="N38" i="3"/>
  <c r="O58" i="3"/>
  <c r="M37" i="3"/>
  <c r="P38" i="3"/>
  <c r="S39" i="3"/>
  <c r="L40" i="3"/>
  <c r="S50" i="3"/>
  <c r="R37" i="3"/>
  <c r="N37" i="3"/>
  <c r="R39" i="3"/>
  <c r="T51" i="3"/>
  <c r="M53" i="3"/>
  <c r="P54" i="3"/>
  <c r="O37" i="3"/>
  <c r="M48" i="3"/>
  <c r="P48" i="3"/>
  <c r="R44" i="3"/>
  <c r="T46" i="3"/>
  <c r="O52" i="3"/>
  <c r="O53" i="3"/>
  <c r="L56" i="3"/>
  <c r="P37" i="3"/>
  <c r="P45" i="3"/>
  <c r="S45" i="3"/>
  <c r="Q50" i="3"/>
  <c r="M51" i="3"/>
  <c r="T49" i="3"/>
  <c r="Q37" i="3"/>
  <c r="T42" i="3"/>
  <c r="Q45" i="3"/>
  <c r="Q53" i="3"/>
  <c r="N45" i="3"/>
  <c r="O41" i="3"/>
  <c r="M52" i="3"/>
  <c r="S52" i="3"/>
  <c r="T44" i="3"/>
  <c r="R52" i="3"/>
  <c r="N41" i="3"/>
  <c r="T43" i="3"/>
  <c r="Q46" i="3"/>
  <c r="N49" i="3"/>
  <c r="N57" i="3"/>
  <c r="M44" i="3"/>
  <c r="T54" i="3"/>
  <c r="M55" i="3"/>
  <c r="Q42" i="3"/>
  <c r="R50" i="3"/>
  <c r="T55" i="3"/>
  <c r="O49" i="3"/>
  <c r="L52" i="3"/>
  <c r="R54" i="3"/>
  <c r="O57" i="3"/>
  <c r="P41" i="3"/>
  <c r="N52" i="3"/>
  <c r="S49" i="3"/>
  <c r="R36" i="3"/>
  <c r="O51" i="3"/>
  <c r="S53" i="3"/>
  <c r="O36" i="3"/>
  <c r="P57" i="3"/>
  <c r="N36" i="3"/>
  <c r="T38" i="3"/>
  <c r="Q41" i="3"/>
  <c r="Q49" i="3"/>
  <c r="P44" i="3"/>
  <c r="Q48" i="3"/>
  <c r="Q39" i="3"/>
  <c r="N54" i="3"/>
  <c r="S54" i="3"/>
  <c r="N51" i="3"/>
  <c r="R41" i="3"/>
  <c r="O44" i="3"/>
  <c r="L47" i="3"/>
  <c r="R49" i="3"/>
  <c r="P36" i="3"/>
  <c r="N47" i="3"/>
  <c r="L42" i="3"/>
  <c r="P42" i="3"/>
  <c r="M57" i="3"/>
  <c r="S44" i="3"/>
  <c r="M54" i="3"/>
  <c r="Q52" i="3"/>
  <c r="T53" i="3"/>
  <c r="N55" i="3"/>
  <c r="Q56" i="3"/>
  <c r="L38" i="3"/>
  <c r="O55" i="3"/>
  <c r="M50" i="3"/>
  <c r="L55" i="3"/>
  <c r="M47" i="3"/>
  <c r="N44" i="3"/>
  <c r="L39" i="3"/>
  <c r="L46" i="3"/>
  <c r="R48" i="3"/>
  <c r="O47" i="3"/>
  <c r="L50" i="3"/>
  <c r="S48" i="3"/>
  <c r="Q43" i="3"/>
  <c r="O38" i="3"/>
  <c r="O43" i="3"/>
  <c r="Q55" i="3"/>
  <c r="L54" i="3"/>
  <c r="T74" i="3"/>
  <c r="S80" i="3"/>
  <c r="N70" i="3"/>
  <c r="L71" i="3"/>
  <c r="T71" i="3"/>
  <c r="L65" i="3"/>
  <c r="N71" i="3"/>
  <c r="T82" i="3"/>
  <c r="S71" i="3"/>
  <c r="N78" i="3"/>
  <c r="L79" i="3"/>
  <c r="O69" i="3"/>
  <c r="T80" i="3"/>
  <c r="M75" i="3"/>
  <c r="Q81" i="3"/>
  <c r="P68" i="3"/>
  <c r="R82" i="3"/>
  <c r="P79" i="3"/>
  <c r="O68" i="3"/>
  <c r="Q66" i="3"/>
  <c r="O62" i="3"/>
  <c r="P64" i="3"/>
  <c r="R78" i="3"/>
  <c r="L81" i="3"/>
  <c r="R64" i="3"/>
  <c r="O76" i="3"/>
  <c r="T83" i="3"/>
  <c r="O70" i="3"/>
  <c r="P72" i="3"/>
  <c r="O77" i="3"/>
  <c r="L73" i="3"/>
  <c r="N63" i="3"/>
  <c r="L82" i="3"/>
  <c r="R67" i="3"/>
  <c r="M72" i="3"/>
  <c r="S61" i="3"/>
  <c r="L76" i="3"/>
  <c r="O78" i="3"/>
  <c r="P80" i="3"/>
  <c r="P69" i="3"/>
  <c r="S83" i="3"/>
  <c r="R80" i="3"/>
  <c r="S69" i="3"/>
  <c r="O65" i="3"/>
  <c r="S63" i="3"/>
  <c r="N81" i="3"/>
  <c r="P61" i="3"/>
  <c r="M69" i="3"/>
  <c r="N79" i="3"/>
  <c r="S67" i="3"/>
  <c r="O75" i="3"/>
  <c r="R69" i="3"/>
  <c r="N69" i="3"/>
  <c r="Q71" i="3"/>
  <c r="S65" i="3"/>
  <c r="L80" i="3"/>
  <c r="N61" i="3"/>
  <c r="O83" i="3"/>
  <c r="R77" i="3"/>
  <c r="R62" i="3"/>
  <c r="Q79" i="3"/>
  <c r="O80" i="3"/>
  <c r="R70" i="3"/>
  <c r="O74" i="3"/>
  <c r="L75" i="3"/>
  <c r="T63" i="3"/>
  <c r="P63" i="3"/>
  <c r="T68" i="3"/>
  <c r="M63" i="3"/>
  <c r="O61" i="3"/>
  <c r="R63" i="3"/>
  <c r="S81" i="3"/>
  <c r="S70" i="3"/>
  <c r="M70" i="3"/>
  <c r="T76" i="3"/>
  <c r="M71" i="3"/>
  <c r="L68" i="3"/>
  <c r="R71" i="3"/>
  <c r="S73" i="3"/>
  <c r="L64" i="3"/>
  <c r="P70" i="3"/>
  <c r="Q75" i="3"/>
  <c r="R83" i="3"/>
  <c r="Q65" i="3"/>
  <c r="L61" i="3"/>
  <c r="O59" i="3" s="1"/>
  <c r="G72" i="3" s="1"/>
  <c r="M79" i="3"/>
  <c r="N64" i="3"/>
  <c r="R79" i="3"/>
  <c r="T69" i="3"/>
  <c r="N80" i="3"/>
  <c r="M65" i="3"/>
  <c r="L69" i="3"/>
  <c r="T75" i="3"/>
  <c r="S78" i="3"/>
  <c r="P66" i="3"/>
  <c r="T61" i="3"/>
  <c r="S62" i="3"/>
  <c r="M62" i="3"/>
  <c r="T79" i="3"/>
  <c r="R45" i="3"/>
  <c r="N50" i="3"/>
  <c r="N53" i="3"/>
  <c r="L51" i="3"/>
  <c r="T52" i="3"/>
  <c r="T41" i="3"/>
  <c r="P40" i="3"/>
  <c r="R51" i="3"/>
  <c r="R40" i="3"/>
  <c r="R38" i="3"/>
  <c r="O45" i="3"/>
  <c r="T50" i="3"/>
  <c r="L43" i="3"/>
  <c r="S38" i="3"/>
  <c r="R47" i="3"/>
  <c r="R55" i="3"/>
  <c r="M41" i="3"/>
  <c r="Q36" i="3"/>
  <c r="P56" i="3"/>
  <c r="R43" i="3"/>
  <c r="N39" i="3"/>
  <c r="M39" i="3"/>
  <c r="O46" i="3"/>
  <c r="Q44" i="3"/>
  <c r="S57" i="3"/>
  <c r="M45" i="3"/>
  <c r="R56" i="3"/>
  <c r="S46" i="3"/>
  <c r="P53" i="3"/>
  <c r="Q54" i="3"/>
  <c r="R46" i="3"/>
  <c r="S36" i="3"/>
  <c r="M40" i="3"/>
  <c r="M56" i="3"/>
  <c r="N48" i="3"/>
  <c r="T48" i="3"/>
  <c r="T47" i="3"/>
  <c r="O48" i="3"/>
  <c r="Q51" i="3"/>
  <c r="Q58" i="3"/>
  <c r="R53" i="3"/>
  <c r="T56" i="3"/>
  <c r="T45" i="3"/>
  <c r="T39" i="3"/>
  <c r="P46" i="3"/>
  <c r="L58" i="3"/>
  <c r="P49" i="3"/>
  <c r="O40" i="3"/>
  <c r="O56" i="3"/>
  <c r="M38" i="3"/>
  <c r="L49" i="3"/>
  <c r="L57" i="3"/>
  <c r="O42" i="3"/>
  <c r="T37" i="3"/>
  <c r="R57" i="3"/>
  <c r="L45" i="3"/>
  <c r="Q40" i="3"/>
  <c r="S41" i="3"/>
  <c r="O50" i="3"/>
  <c r="O39" i="3"/>
  <c r="L36" i="3"/>
  <c r="O34" i="3" s="1"/>
  <c r="G69" i="3" s="1"/>
  <c r="R42" i="3"/>
  <c r="P51" i="3"/>
  <c r="Q57" i="3"/>
  <c r="L44" i="3"/>
  <c r="M36" i="3"/>
  <c r="L41" i="3"/>
  <c r="S42" i="3"/>
  <c r="S58" i="3"/>
  <c r="F75" i="3" l="1"/>
</calcChain>
</file>

<file path=xl/sharedStrings.xml><?xml version="1.0" encoding="utf-8"?>
<sst xmlns="http://schemas.openxmlformats.org/spreadsheetml/2006/main" count="164" uniqueCount="113">
  <si>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</si>
  <si>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</si>
  <si>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</si>
  <si>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</si>
  <si>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</si>
  <si>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</si>
  <si>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</si>
  <si>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</si>
  <si>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</si>
  <si>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</si>
  <si>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</si>
  <si>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</si>
  <si>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</si>
  <si>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</si>
  <si>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</si>
  <si>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</si>
  <si>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</si>
  <si>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</si>
  <si>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</si>
  <si>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</si>
  <si>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</si>
  <si>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</si>
  <si>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</si>
  <si>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</si>
  <si>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Параметры трубы</t>
  </si>
  <si>
    <t>м</t>
  </si>
  <si>
    <t>мм</t>
  </si>
  <si>
    <t>P0</t>
  </si>
  <si>
    <t>P1</t>
  </si>
  <si>
    <t>T0</t>
  </si>
  <si>
    <t>°C</t>
  </si>
  <si>
    <t>T1</t>
  </si>
  <si>
    <t>PVT строка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</si>
  <si>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</si>
  <si>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</si>
  <si>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</si>
  <si>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</si>
  <si>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</si>
  <si>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t>calc_along_coord</t>
  </si>
  <si>
    <t>flow_along_coord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</si>
  <si>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</si>
  <si>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</si>
  <si>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</si>
  <si>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Настройки модели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</si>
  <si>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</si>
  <si>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</si>
  <si>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</si>
  <si>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</si>
  <si>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</si>
  <si>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</si>
  <si>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</si>
  <si>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</si>
  <si>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</si>
  <si>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</si>
  <si>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</si>
  <si>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</si>
  <si>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</si>
  <si>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</si>
  <si>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</si>
  <si>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</si>
  <si>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</si>
  <si>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</si>
  <si>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</si>
  <si>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</si>
  <si>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</si>
  <si>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только газ</t>
  </si>
  <si>
    <t>Поправки</t>
  </si>
  <si>
    <t>Калибровка грав</t>
  </si>
  <si>
    <t>Калибровка трение</t>
  </si>
  <si>
    <t>Параметр расчета</t>
  </si>
  <si>
    <t>Инклинометрия1</t>
  </si>
  <si>
    <t>Инклинометрия2</t>
  </si>
  <si>
    <t>Инклинометрия3</t>
  </si>
  <si>
    <t>Температура 1</t>
  </si>
  <si>
    <t>Температура  2</t>
  </si>
  <si>
    <t>Температура 3</t>
  </si>
  <si>
    <t>Диаметры 1</t>
  </si>
  <si>
    <t>Диаметры 2</t>
  </si>
  <si>
    <t>Диаметры 3</t>
  </si>
  <si>
    <t>P2</t>
  </si>
  <si>
    <t>P3</t>
  </si>
  <si>
    <t>Q1</t>
  </si>
  <si>
    <t>Q2</t>
  </si>
  <si>
    <t>Q3</t>
  </si>
  <si>
    <t>Граничные условия 1</t>
  </si>
  <si>
    <t>Граничные условия 3</t>
  </si>
  <si>
    <t>Граничные условия 2</t>
  </si>
  <si>
    <t>Расчет по линии 1</t>
  </si>
  <si>
    <t>Расчет по линии 2</t>
  </si>
  <si>
    <t>Расчет по линии 3</t>
  </si>
  <si>
    <t>Давление на УПН</t>
  </si>
  <si>
    <t>Линейное давление куста 1</t>
  </si>
  <si>
    <t>Линейное давление куста 2</t>
  </si>
  <si>
    <t>Устьевое 1</t>
  </si>
  <si>
    <t>Факт</t>
  </si>
  <si>
    <t>Расчет</t>
  </si>
  <si>
    <t>Устьевое 2</t>
  </si>
  <si>
    <t xml:space="preserve">Целевая функция </t>
  </si>
  <si>
    <t>Простая трубопроводная сеть</t>
  </si>
  <si>
    <t>1 знать расходы</t>
  </si>
  <si>
    <t>расходы на кустах</t>
  </si>
  <si>
    <t>сеть с скважинами и с кустами</t>
  </si>
  <si>
    <t>давлени находяться</t>
  </si>
  <si>
    <t>дебиты и температуры, перепад давления МФНС, давления на УПН - загрузка</t>
  </si>
  <si>
    <t>считать по откалиброванной модели</t>
  </si>
  <si>
    <t>расходы не меняются</t>
  </si>
  <si>
    <t>дебиты по кустам с моделями по скважины</t>
  </si>
  <si>
    <t>прогноз на будущее</t>
  </si>
  <si>
    <t>новая добыча</t>
  </si>
  <si>
    <t>давление в УПН ограничение</t>
  </si>
  <si>
    <t>лупинг</t>
  </si>
  <si>
    <t>ищем давления</t>
  </si>
  <si>
    <t>дебиты известны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</si>
</sst>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wrapText="1"/>
    </xf>
    <xf numFmtId="1" fontId="0" fillId="0" borderId="0" xfId="0" applyNumberFormat="1"/>
    <xf numFmtId="0" fontId="0" fillId="5" borderId="3" xfId="0" applyFill="1" applyBorder="1"/>
    <xf numFmtId="0" fontId="0" fillId="5" borderId="2" xfId="0" applyFill="1" applyBorder="1"/>
    <xf numFmtId="0" fontId="0" fillId="7" borderId="4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0" xfId="0" applyFill="1" applyBorder="1"/>
    <xf numFmtId="0" fontId="0" fillId="7" borderId="7" xfId="0" applyFill="1" applyBorder="1"/>
    <xf numFmtId="1" fontId="0" fillId="7" borderId="0" xfId="0" applyNumberFormat="1" applyFill="1" applyBorder="1" applyAlignment="1">
      <alignment horizontal="center"/>
    </xf>
    <xf numFmtId="0" fontId="0" fillId="7" borderId="8" xfId="0" applyFill="1" applyBorder="1"/>
    <xf numFmtId="1" fontId="0" fillId="7" borderId="9" xfId="0" applyNumberFormat="1" applyFill="1" applyBorder="1" applyAlignment="1">
      <alignment horizontal="center"/>
    </xf>
    <xf numFmtId="0" fontId="0" fillId="7" borderId="10" xfId="0" applyFill="1" applyBorder="1"/>
    <xf numFmtId="0" fontId="0" fillId="7" borderId="1" xfId="0" applyFill="1" applyBorder="1"/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1" fontId="0" fillId="3" borderId="1" xfId="0" applyNumberFormat="1" applyFill="1" applyBorder="1" applyAlignment="1">
      <alignment horizontal="center"/>
    </xf>
    <xf numFmtId="0" fontId="10" fillId="2" borderId="0" xfId="0" applyFont="1" applyFill="1" applyAlignment="1">
      <alignment horizontal="center"/>
    </xf>
    <xf numFmtId="1" fontId="10" fillId="2" borderId="0" xfId="0" applyNumberFormat="1" applyFont="1" applyFill="1" applyAlignment="1">
      <alignment horizontal="center"/>
    </xf>
    <xf numFmtId="0" fontId="0" fillId="2" borderId="11" xfId="0" applyFill="1" applyBorder="1"/>
    <xf numFmtId="0" fontId="2" fillId="2" borderId="2" xfId="0" applyFont="1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9" fillId="0" borderId="0" xfId="0" applyFont="1"/>
    <xf numFmtId="0" fontId="0" fillId="0" borderId="0" xfId="0" applyFill="1"/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wrapText="1"/>
    </xf>
    <xf numFmtId="0" fontId="0" fillId="2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6" borderId="0" xfId="0" applyFill="1" applyAlignment="1">
      <alignment horizontal="center"/>
    </xf>
    <xf numFmtId="0" fontId="2" fillId="2" borderId="1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давление вдоль сети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strRef>
              <c:f>exercise_network!$L$35</c:f>
              <c:strCache>
                <c:ptCount val="1"/>
                <c:pt idx="0">
                  <c:v>Расчет по линии 1</c:v>
                </c:pt>
              </c:strCache>
            </c:strRef>
          </c:tx>
          <c:xVal>
            <c:numRef>
              <c:f>exercise_network!$M$39:$M$58</c:f>
              <c:numCache>
                <c:formatCode>0</c:formatCode>
                <c:ptCount val="20"/>
                <c:pt idx="0">
                  <c:v>0</c:v>
                </c:pt>
                <c:pt idx="1">
                  <c:v>552.63157894736844</c:v>
                </c:pt>
                <c:pt idx="2">
                  <c:v>1105.2631578947369</c:v>
                </c:pt>
                <c:pt idx="3">
                  <c:v>1657.8947368421054</c:v>
                </c:pt>
                <c:pt idx="4">
                  <c:v>2210.5263157894738</c:v>
                </c:pt>
                <c:pt idx="5">
                  <c:v>2763.1578947368421</c:v>
                </c:pt>
                <c:pt idx="6">
                  <c:v>3315.7894736842109</c:v>
                </c:pt>
                <c:pt idx="7">
                  <c:v>3868.4210526315792</c:v>
                </c:pt>
                <c:pt idx="8">
                  <c:v>4421.0526315789475</c:v>
                </c:pt>
                <c:pt idx="9">
                  <c:v>4973.6842105263158</c:v>
                </c:pt>
                <c:pt idx="10">
                  <c:v>5526.3157894736842</c:v>
                </c:pt>
                <c:pt idx="11">
                  <c:v>6078.9473684210525</c:v>
                </c:pt>
                <c:pt idx="12">
                  <c:v>6631.5789473684217</c:v>
                </c:pt>
                <c:pt idx="13">
                  <c:v>7184.21052631579</c:v>
                </c:pt>
                <c:pt idx="14">
                  <c:v>7736.8421052631584</c:v>
                </c:pt>
                <c:pt idx="15">
                  <c:v>8289.4736842105267</c:v>
                </c:pt>
                <c:pt idx="16">
                  <c:v>8842.105263157895</c:v>
                </c:pt>
                <c:pt idx="17">
                  <c:v>9394.7368421052633</c:v>
                </c:pt>
                <c:pt idx="18">
                  <c:v>9947.3684210526317</c:v>
                </c:pt>
                <c:pt idx="19">
                  <c:v>10500</c:v>
                </c:pt>
              </c:numCache>
            </c:numRef>
          </c:xVal>
          <c:yVal>
            <c:numRef>
              <c:f>exercise_network!$O$39:$O$58</c:f>
              <c:numCache>
                <c:formatCode>0</c:formatCode>
                <c:ptCount val="20"/>
                <c:pt idx="0">
                  <c:v>14.999994091276116</c:v>
                </c:pt>
                <c:pt idx="1">
                  <c:v>14.916265399350598</c:v>
                </c:pt>
                <c:pt idx="2">
                  <c:v>14.831769175534186</c:v>
                </c:pt>
                <c:pt idx="3">
                  <c:v>14.746476724504433</c:v>
                </c:pt>
                <c:pt idx="4">
                  <c:v>14.660379053321902</c:v>
                </c:pt>
                <c:pt idx="5">
                  <c:v>14.573448381604198</c:v>
                </c:pt>
                <c:pt idx="6">
                  <c:v>14.485671806240026</c:v>
                </c:pt>
                <c:pt idx="7">
                  <c:v>14.397022541360494</c:v>
                </c:pt>
                <c:pt idx="8">
                  <c:v>14.307483355901772</c:v>
                </c:pt>
                <c:pt idx="9">
                  <c:v>14.217028544306007</c:v>
                </c:pt>
                <c:pt idx="10">
                  <c:v>14.125636073233208</c:v>
                </c:pt>
                <c:pt idx="11">
                  <c:v>14.033281409769163</c:v>
                </c:pt>
                <c:pt idx="12">
                  <c:v>13.939937177702699</c:v>
                </c:pt>
                <c:pt idx="13">
                  <c:v>13.845580115862946</c:v>
                </c:pt>
                <c:pt idx="14">
                  <c:v>13.750176886501912</c:v>
                </c:pt>
                <c:pt idx="15">
                  <c:v>13.65370560615921</c:v>
                </c:pt>
                <c:pt idx="16">
                  <c:v>13.556126264411407</c:v>
                </c:pt>
                <c:pt idx="17">
                  <c:v>13.457418468233831</c:v>
                </c:pt>
                <c:pt idx="18">
                  <c:v>13.357534713215651</c:v>
                </c:pt>
                <c:pt idx="19">
                  <c:v>13.256456215818279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BF2C-4977-8C78-94D038647AC1}"/>
            </c:ext>
          </c:extLst>
        </c:ser>
        <c:ser>
          <c:idx val="3"/>
          <c:order val="1"/>
          <c:tx>
            <c:strRef>
              <c:f>exercise_network!$L$60</c:f>
              <c:strCache>
                <c:ptCount val="1"/>
                <c:pt idx="0">
                  <c:v>Расчет по линии 2</c:v>
                </c:pt>
              </c:strCache>
            </c:strRef>
          </c:tx>
          <c:xVal>
            <c:numRef>
              <c:f>exercise_network!$M$64:$M$83</c:f>
              <c:numCache>
                <c:formatCode>0</c:formatCode>
                <c:ptCount val="20"/>
                <c:pt idx="0">
                  <c:v>3000</c:v>
                </c:pt>
                <c:pt idx="1">
                  <c:v>3394.7368421052633</c:v>
                </c:pt>
                <c:pt idx="2">
                  <c:v>3789.4736842105262</c:v>
                </c:pt>
                <c:pt idx="3">
                  <c:v>4184.2105263157891</c:v>
                </c:pt>
                <c:pt idx="4">
                  <c:v>4578.9473684210525</c:v>
                </c:pt>
                <c:pt idx="5">
                  <c:v>4973.6842105263158</c:v>
                </c:pt>
                <c:pt idx="6">
                  <c:v>5368.4210526315792</c:v>
                </c:pt>
                <c:pt idx="7">
                  <c:v>5763.1578947368425</c:v>
                </c:pt>
                <c:pt idx="8">
                  <c:v>6157.894736842105</c:v>
                </c:pt>
                <c:pt idx="9">
                  <c:v>6552.6315789473683</c:v>
                </c:pt>
                <c:pt idx="10">
                  <c:v>6947.3684210526317</c:v>
                </c:pt>
                <c:pt idx="11">
                  <c:v>7342.105263157895</c:v>
                </c:pt>
                <c:pt idx="12">
                  <c:v>7736.8421052631584</c:v>
                </c:pt>
                <c:pt idx="13">
                  <c:v>8131.5789473684217</c:v>
                </c:pt>
                <c:pt idx="14">
                  <c:v>8526.3157894736851</c:v>
                </c:pt>
                <c:pt idx="15">
                  <c:v>8921.0526315789484</c:v>
                </c:pt>
                <c:pt idx="16">
                  <c:v>9315.78947368421</c:v>
                </c:pt>
                <c:pt idx="17">
                  <c:v>9710.5263157894733</c:v>
                </c:pt>
                <c:pt idx="18">
                  <c:v>10105.263157894737</c:v>
                </c:pt>
                <c:pt idx="19">
                  <c:v>10500</c:v>
                </c:pt>
              </c:numCache>
            </c:numRef>
          </c:xVal>
          <c:yVal>
            <c:numRef>
              <c:f>exercise_network!$O$64:$O$83</c:f>
              <c:numCache>
                <c:formatCode>0</c:formatCode>
                <c:ptCount val="20"/>
                <c:pt idx="0">
                  <c:v>19.999992356453458</c:v>
                </c:pt>
                <c:pt idx="1">
                  <c:v>19.702678640775414</c:v>
                </c:pt>
                <c:pt idx="2">
                  <c:v>19.400757815691552</c:v>
                </c:pt>
                <c:pt idx="3">
                  <c:v>19.094017483920954</c:v>
                </c:pt>
                <c:pt idx="4">
                  <c:v>18.782228351875144</c:v>
                </c:pt>
                <c:pt idx="5">
                  <c:v>18.465142277143553</c:v>
                </c:pt>
                <c:pt idx="6">
                  <c:v>18.142490015085997</c:v>
                </c:pt>
                <c:pt idx="7">
                  <c:v>17.813978605728121</c:v>
                </c:pt>
                <c:pt idx="8">
                  <c:v>17.47928832805286</c:v>
                </c:pt>
                <c:pt idx="9">
                  <c:v>17.138069130621233</c:v>
                </c:pt>
                <c:pt idx="10">
                  <c:v>16.789936423863296</c:v>
                </c:pt>
                <c:pt idx="11">
                  <c:v>16.434466088433854</c:v>
                </c:pt>
                <c:pt idx="12">
                  <c:v>16.071188513016104</c:v>
                </c:pt>
                <c:pt idx="13">
                  <c:v>15.699581419996408</c:v>
                </c:pt>
                <c:pt idx="14">
                  <c:v>15.319061162889879</c:v>
                </c:pt>
                <c:pt idx="15">
                  <c:v>14.928972076958409</c:v>
                </c:pt>
                <c:pt idx="16">
                  <c:v>14.528573321668432</c:v>
                </c:pt>
                <c:pt idx="17">
                  <c:v>14.117022451453028</c:v>
                </c:pt>
                <c:pt idx="18">
                  <c:v>13.693354660009595</c:v>
                </c:pt>
                <c:pt idx="19">
                  <c:v>13.256456215818279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BF2C-4977-8C78-94D038647AC1}"/>
            </c:ext>
          </c:extLst>
        </c:ser>
        <c:ser>
          <c:idx val="0"/>
          <c:order val="2"/>
          <c:tx>
            <c:strRef>
              <c:f>exercise_network!$X$35</c:f>
              <c:strCache>
                <c:ptCount val="1"/>
                <c:pt idx="0">
                  <c:v>Расчет по линии 3</c:v>
                </c:pt>
              </c:strCache>
            </c:strRef>
          </c:tx>
          <c:xVal>
            <c:numRef>
              <c:f>exercise_network!$Y$39:$Y$58</c:f>
              <c:numCache>
                <c:formatCode>0</c:formatCode>
                <c:ptCount val="20"/>
                <c:pt idx="0">
                  <c:v>10500</c:v>
                </c:pt>
                <c:pt idx="1">
                  <c:v>10736.842105263158</c:v>
                </c:pt>
                <c:pt idx="2">
                  <c:v>10973.684210526315</c:v>
                </c:pt>
                <c:pt idx="3">
                  <c:v>11210.526315789473</c:v>
                </c:pt>
                <c:pt idx="4">
                  <c:v>11447.368421052632</c:v>
                </c:pt>
                <c:pt idx="5">
                  <c:v>11684.21052631579</c:v>
                </c:pt>
                <c:pt idx="6">
                  <c:v>11921.052631578947</c:v>
                </c:pt>
                <c:pt idx="7">
                  <c:v>12157.894736842105</c:v>
                </c:pt>
                <c:pt idx="8">
                  <c:v>12394.736842105263</c:v>
                </c:pt>
                <c:pt idx="9">
                  <c:v>12631.578947368422</c:v>
                </c:pt>
                <c:pt idx="10">
                  <c:v>12868.421052631578</c:v>
                </c:pt>
                <c:pt idx="11">
                  <c:v>13105.263157894737</c:v>
                </c:pt>
                <c:pt idx="12">
                  <c:v>13342.105263157895</c:v>
                </c:pt>
                <c:pt idx="13">
                  <c:v>13578.947368421053</c:v>
                </c:pt>
                <c:pt idx="14">
                  <c:v>13815.78947368421</c:v>
                </c:pt>
                <c:pt idx="15">
                  <c:v>14052.631578947368</c:v>
                </c:pt>
                <c:pt idx="16">
                  <c:v>14289.473684210527</c:v>
                </c:pt>
                <c:pt idx="17">
                  <c:v>14526.315789473683</c:v>
                </c:pt>
                <c:pt idx="18">
                  <c:v>14763.157894736842</c:v>
                </c:pt>
                <c:pt idx="19">
                  <c:v>15000</c:v>
                </c:pt>
              </c:numCache>
            </c:numRef>
          </c:xVal>
          <c:yVal>
            <c:numRef>
              <c:f>exercise_network!$AA$39:$AA$58</c:f>
              <c:numCache>
                <c:formatCode>0</c:formatCode>
                <c:ptCount val="20"/>
                <c:pt idx="0">
                  <c:v>13.256456215818279</c:v>
                </c:pt>
                <c:pt idx="1">
                  <c:v>13.104622715974639</c:v>
                </c:pt>
                <c:pt idx="2">
                  <c:v>12.951099067961138</c:v>
                </c:pt>
                <c:pt idx="3">
                  <c:v>12.795794800942486</c:v>
                </c:pt>
                <c:pt idx="4">
                  <c:v>12.638594222964986</c:v>
                </c:pt>
                <c:pt idx="5">
                  <c:v>12.479518878056298</c:v>
                </c:pt>
                <c:pt idx="6">
                  <c:v>12.318424959388357</c:v>
                </c:pt>
                <c:pt idx="7">
                  <c:v>12.155254379803752</c:v>
                </c:pt>
                <c:pt idx="8">
                  <c:v>11.989987801081133</c:v>
                </c:pt>
                <c:pt idx="9">
                  <c:v>11.822414616342657</c:v>
                </c:pt>
                <c:pt idx="10">
                  <c:v>11.652547784590611</c:v>
                </c:pt>
                <c:pt idx="11">
                  <c:v>11.480292276910001</c:v>
                </c:pt>
                <c:pt idx="12">
                  <c:v>11.305423627872702</c:v>
                </c:pt>
                <c:pt idx="13">
                  <c:v>11.127972254667773</c:v>
                </c:pt>
                <c:pt idx="14">
                  <c:v>10.947742010952211</c:v>
                </c:pt>
                <c:pt idx="15">
                  <c:v>10.764571040144697</c:v>
                </c:pt>
                <c:pt idx="16">
                  <c:v>10.578428855517707</c:v>
                </c:pt>
                <c:pt idx="17">
                  <c:v>10.389012481794431</c:v>
                </c:pt>
                <c:pt idx="18">
                  <c:v>10.196240849837839</c:v>
                </c:pt>
                <c:pt idx="19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BF2C-4977-8C78-94D038647AC1}"/>
            </c:ext>
          </c:extLst>
        </c:ser>
        <c:ser>
          <c:idx val="1"/>
          <c:order val="3"/>
          <c:tx>
            <c:strRef>
              <c:f>exercise_network!$L$34</c:f>
              <c:strCache>
                <c:ptCount val="1"/>
                <c:pt idx="0">
                  <c:v>Линейное давление куста 1</c:v>
                </c:pt>
              </c:strCache>
            </c:strRef>
          </c:tx>
          <c:marker>
            <c:symbol val="circle"/>
            <c:size val="13"/>
          </c:marker>
          <c:xVal>
            <c:numRef>
              <c:f>exercise_network!$C$46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exercise_network!$O$34</c:f>
              <c:numCache>
                <c:formatCode>General</c:formatCode>
                <c:ptCount val="1"/>
                <c:pt idx="0">
                  <c:v>14.999994091276116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BF2C-4977-8C78-94D038647AC1}"/>
            </c:ext>
          </c:extLst>
        </c:ser>
        <c:ser>
          <c:idx val="4"/>
          <c:order val="4"/>
          <c:tx>
            <c:strRef>
              <c:f>exercise_network!$L$59</c:f>
              <c:strCache>
                <c:ptCount val="1"/>
                <c:pt idx="0">
                  <c:v>Линейное давление куста 2</c:v>
                </c:pt>
              </c:strCache>
            </c:strRef>
          </c:tx>
          <c:marker>
            <c:symbol val="circle"/>
            <c:size val="12"/>
          </c:marker>
          <c:xVal>
            <c:numRef>
              <c:f>exercise_network!$C$53</c:f>
              <c:numCache>
                <c:formatCode>General</c:formatCode>
                <c:ptCount val="1"/>
                <c:pt idx="0">
                  <c:v>3000</c:v>
                </c:pt>
              </c:numCache>
            </c:numRef>
          </c:xVal>
          <c:yVal>
            <c:numRef>
              <c:f>exercise_network!$O$59</c:f>
              <c:numCache>
                <c:formatCode>General</c:formatCode>
                <c:ptCount val="1"/>
                <c:pt idx="0">
                  <c:v>19.999992356453458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BF2C-4977-8C78-94D038647AC1}"/>
            </c:ext>
          </c:extLst>
        </c:ser>
        <c:ser>
          <c:idx val="5"/>
          <c:order val="5"/>
          <c:tx>
            <c:strRef>
              <c:f>exercise_network!$X$34</c:f>
              <c:strCache>
                <c:ptCount val="1"/>
                <c:pt idx="0">
                  <c:v>Давление на УПН</c:v>
                </c:pt>
              </c:strCache>
            </c:strRef>
          </c:tx>
          <c:marker>
            <c:symbol val="circle"/>
            <c:size val="18"/>
            <c:spPr>
              <a:ln>
                <a:solidFill>
                  <a:srgbClr val="00B050"/>
                </a:solidFill>
              </a:ln>
            </c:spPr>
          </c:marker>
          <c:xVal>
            <c:numRef>
              <c:f>exercise_network!$C$60</c:f>
              <c:numCache>
                <c:formatCode>General</c:formatCode>
                <c:ptCount val="1"/>
                <c:pt idx="0">
                  <c:v>15000</c:v>
                </c:pt>
              </c:numCache>
            </c:numRef>
          </c:xVal>
          <c:yVal>
            <c:numRef>
              <c:f>exercise_network!$Z$34</c:f>
              <c:numCache>
                <c:formatCode>0</c:formatCode>
                <c:ptCount val="1"/>
                <c:pt idx="0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BF2C-4977-8C78-94D038647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386096"/>
        <c:axId val="1642520688"/>
      </c:scatterChart>
      <c:valAx>
        <c:axId val="1819386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Длина трубопровода,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42520688"/>
        <c:crosses val="autoZero"/>
        <c:crossBetween val="midCat"/>
      </c:valAx>
      <c:valAx>
        <c:axId val="164252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19386096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11206</xdr:colOff>
      <xdr:row>0</xdr:row>
      <xdr:rowOff>56030</xdr:rowOff>
    </xdr:from>
    <xdr:to>
      <xdr:col>14</xdr:col>
      <xdr:colOff>381451</xdr:colOff>
      <xdr:row>14</xdr:row>
      <xdr:rowOff>78441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6841CCFE-B315-43A7-9739-EDE714EFABDE}"/>
            </a:ext>
          </a:extLst>
        </xdr:cNvPr>
        <xdr:cNvSpPr txBox="1"/>
      </xdr:nvSpPr>
      <xdr:spPr>
        <a:xfrm>
          <a:off x="4402231" y="56030"/>
          <a:ext cx="4723170" cy="287991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трубопровод/скважину со сложной траекторией.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MF_p_pipeline_atma</a:t>
          </a:r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14</xdr:col>
      <xdr:colOff>445886</xdr:colOff>
      <xdr:row>0</xdr:row>
      <xdr:rowOff>56468</xdr:rowOff>
    </xdr:from>
    <xdr:to>
      <xdr:col>22</xdr:col>
      <xdr:colOff>369686</xdr:colOff>
      <xdr:row>14</xdr:row>
      <xdr:rowOff>90037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8A3FF157-8B22-444D-9A23-FBA1364D423C}"/>
            </a:ext>
          </a:extLst>
        </xdr:cNvPr>
        <xdr:cNvSpPr txBox="1"/>
      </xdr:nvSpPr>
      <xdr:spPr>
        <a:xfrm>
          <a:off x="9189836" y="56468"/>
          <a:ext cx="4991100" cy="289106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трубе?</a:t>
          </a: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 чем отличие различных температурных моделей расчета?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Может ли в трубопроводе давление ниже по потоку (на выходе) быть больше чем выше по потоку (на входе)?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Насколько сильно влияет на расчет выбор гидравлической корреляции?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Насколько сильно влияет на расчет температура?</a:t>
          </a: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Постройте распределение давления в скважине с фонтанным режимом работы. Учтите длину НКТ, наличие штуцера и приток из пласта.</a:t>
          </a:r>
        </a:p>
        <a:p>
          <a:r>
            <a:rPr lang="ru-RU" sz="1100" baseline="0"/>
            <a:t>2. *Постройте график распределения давления в затрубном пространстве при известном давлении на приеме насоса и затрубном давлении. Найдите значение динамического уровня.</a:t>
          </a:r>
        </a:p>
        <a:p>
          <a:endParaRPr lang="ru-RU" sz="1100" baseline="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8" name="Стрелка: влево 17">
          <a:extLst>
            <a:ext uri="{FF2B5EF4-FFF2-40B4-BE49-F238E27FC236}">
              <a16:creationId xmlns:a16="http://schemas.microsoft.com/office/drawing/2014/main" id="{66E080D6-41B4-4C12-A5FC-B2AA681F017B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20</xdr:col>
      <xdr:colOff>190498</xdr:colOff>
      <xdr:row>59</xdr:row>
      <xdr:rowOff>13607</xdr:rowOff>
    </xdr:from>
    <xdr:to>
      <xdr:col>32</xdr:col>
      <xdr:colOff>163285</xdr:colOff>
      <xdr:row>83</xdr:row>
      <xdr:rowOff>136071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D75422E3-E1EE-4081-AB5A-7A1C92D602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154287</xdr:colOff>
      <xdr:row>12</xdr:row>
      <xdr:rowOff>140140</xdr:rowOff>
    </xdr:from>
    <xdr:to>
      <xdr:col>28</xdr:col>
      <xdr:colOff>84115</xdr:colOff>
      <xdr:row>13</xdr:row>
      <xdr:rowOff>206140</xdr:rowOff>
    </xdr:to>
    <xdr:grpSp>
      <xdr:nvGrpSpPr>
        <xdr:cNvPr id="21" name="Группа 20">
          <a:extLst>
            <a:ext uri="{FF2B5EF4-FFF2-40B4-BE49-F238E27FC236}">
              <a16:creationId xmlns:a16="http://schemas.microsoft.com/office/drawing/2014/main" id="{42C131BF-C123-4947-A573-C274B49B3E4B}"/>
            </a:ext>
          </a:extLst>
        </xdr:cNvPr>
        <xdr:cNvGrpSpPr/>
      </xdr:nvGrpSpPr>
      <xdr:grpSpPr>
        <a:xfrm rot="8020371">
          <a:off x="16373950" y="1500905"/>
          <a:ext cx="310929" cy="2379114"/>
          <a:chOff x="5095875" y="1104900"/>
          <a:chExt cx="276225" cy="2038350"/>
        </a:xfrm>
      </xdr:grpSpPr>
      <xdr:sp macro="" textlink="">
        <xdr:nvSpPr>
          <xdr:cNvPr id="22" name="Цилиндр 21">
            <a:extLst>
              <a:ext uri="{FF2B5EF4-FFF2-40B4-BE49-F238E27FC236}">
                <a16:creationId xmlns:a16="http://schemas.microsoft.com/office/drawing/2014/main" id="{4D762589-D818-4072-873C-5EAC6250C577}"/>
              </a:ext>
            </a:extLst>
          </xdr:cNvPr>
          <xdr:cNvSpPr/>
        </xdr:nvSpPr>
        <xdr:spPr>
          <a:xfrm>
            <a:off x="5095875" y="1104900"/>
            <a:ext cx="276225" cy="2038350"/>
          </a:xfrm>
          <a:prstGeom prst="can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3" name="Стрелка: вверх 22">
            <a:extLst>
              <a:ext uri="{FF2B5EF4-FFF2-40B4-BE49-F238E27FC236}">
                <a16:creationId xmlns:a16="http://schemas.microsoft.com/office/drawing/2014/main" id="{407F28B4-2FC6-478F-A1B4-7F15D7D2EE57}"/>
              </a:ext>
            </a:extLst>
          </xdr:cNvPr>
          <xdr:cNvSpPr/>
        </xdr:nvSpPr>
        <xdr:spPr>
          <a:xfrm>
            <a:off x="5172075" y="1819275"/>
            <a:ext cx="123825" cy="657225"/>
          </a:xfrm>
          <a:prstGeom prst="upArrow">
            <a:avLst/>
          </a:prstGeom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23</xdr:col>
      <xdr:colOff>54379</xdr:colOff>
      <xdr:row>15</xdr:row>
      <xdr:rowOff>227603</xdr:rowOff>
    </xdr:from>
    <xdr:to>
      <xdr:col>27</xdr:col>
      <xdr:colOff>359308</xdr:colOff>
      <xdr:row>17</xdr:row>
      <xdr:rowOff>120710</xdr:rowOff>
    </xdr:to>
    <xdr:grpSp>
      <xdr:nvGrpSpPr>
        <xdr:cNvPr id="24" name="Группа 23">
          <a:extLst>
            <a:ext uri="{FF2B5EF4-FFF2-40B4-BE49-F238E27FC236}">
              <a16:creationId xmlns:a16="http://schemas.microsoft.com/office/drawing/2014/main" id="{6AEE66D0-6A21-40F6-8B35-653105BA39F3}"/>
            </a:ext>
          </a:extLst>
        </xdr:cNvPr>
        <xdr:cNvGrpSpPr/>
      </xdr:nvGrpSpPr>
      <xdr:grpSpPr>
        <a:xfrm rot="5400000">
          <a:off x="15826862" y="2158013"/>
          <a:ext cx="355750" cy="2754215"/>
          <a:chOff x="5095875" y="1104900"/>
          <a:chExt cx="276225" cy="2038350"/>
        </a:xfrm>
      </xdr:grpSpPr>
      <xdr:sp macro="" textlink="">
        <xdr:nvSpPr>
          <xdr:cNvPr id="25" name="Цилиндр 24">
            <a:extLst>
              <a:ext uri="{FF2B5EF4-FFF2-40B4-BE49-F238E27FC236}">
                <a16:creationId xmlns:a16="http://schemas.microsoft.com/office/drawing/2014/main" id="{9949AF2C-FD32-4BEB-9908-0BAB029F829C}"/>
              </a:ext>
            </a:extLst>
          </xdr:cNvPr>
          <xdr:cNvSpPr/>
        </xdr:nvSpPr>
        <xdr:spPr>
          <a:xfrm>
            <a:off x="5095875" y="1104900"/>
            <a:ext cx="276225" cy="2038350"/>
          </a:xfrm>
          <a:prstGeom prst="can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6" name="Стрелка: вверх 25">
            <a:extLst>
              <a:ext uri="{FF2B5EF4-FFF2-40B4-BE49-F238E27FC236}">
                <a16:creationId xmlns:a16="http://schemas.microsoft.com/office/drawing/2014/main" id="{CF8D3F58-A163-4C3D-BA87-089D20D82195}"/>
              </a:ext>
            </a:extLst>
          </xdr:cNvPr>
          <xdr:cNvSpPr/>
        </xdr:nvSpPr>
        <xdr:spPr>
          <a:xfrm>
            <a:off x="5172075" y="1819275"/>
            <a:ext cx="123825" cy="657225"/>
          </a:xfrm>
          <a:prstGeom prst="upArrow">
            <a:avLst/>
          </a:prstGeom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27</xdr:col>
      <xdr:colOff>231320</xdr:colOff>
      <xdr:row>15</xdr:row>
      <xdr:rowOff>95253</xdr:rowOff>
    </xdr:from>
    <xdr:to>
      <xdr:col>30</xdr:col>
      <xdr:colOff>543693</xdr:colOff>
      <xdr:row>17</xdr:row>
      <xdr:rowOff>150909</xdr:rowOff>
    </xdr:to>
    <xdr:grpSp>
      <xdr:nvGrpSpPr>
        <xdr:cNvPr id="27" name="Группа 26">
          <a:extLst>
            <a:ext uri="{FF2B5EF4-FFF2-40B4-BE49-F238E27FC236}">
              <a16:creationId xmlns:a16="http://schemas.microsoft.com/office/drawing/2014/main" id="{2B862E9F-A471-4092-9200-4EF1A8504153}"/>
            </a:ext>
          </a:extLst>
        </xdr:cNvPr>
        <xdr:cNvGrpSpPr/>
      </xdr:nvGrpSpPr>
      <xdr:grpSpPr>
        <a:xfrm rot="5400000">
          <a:off x="18069375" y="2409377"/>
          <a:ext cx="518299" cy="2149337"/>
          <a:chOff x="5095875" y="1104900"/>
          <a:chExt cx="276225" cy="2038350"/>
        </a:xfrm>
      </xdr:grpSpPr>
      <xdr:sp macro="" textlink="">
        <xdr:nvSpPr>
          <xdr:cNvPr id="28" name="Цилиндр 27">
            <a:extLst>
              <a:ext uri="{FF2B5EF4-FFF2-40B4-BE49-F238E27FC236}">
                <a16:creationId xmlns:a16="http://schemas.microsoft.com/office/drawing/2014/main" id="{90A1C5BC-FAE8-42C3-BABE-4D4B7A4A0D6C}"/>
              </a:ext>
            </a:extLst>
          </xdr:cNvPr>
          <xdr:cNvSpPr/>
        </xdr:nvSpPr>
        <xdr:spPr>
          <a:xfrm>
            <a:off x="5095875" y="1104900"/>
            <a:ext cx="276225" cy="2038350"/>
          </a:xfrm>
          <a:prstGeom prst="can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9" name="Стрелка: вверх 28">
            <a:extLst>
              <a:ext uri="{FF2B5EF4-FFF2-40B4-BE49-F238E27FC236}">
                <a16:creationId xmlns:a16="http://schemas.microsoft.com/office/drawing/2014/main" id="{95B645AE-5685-459A-8383-CD4994CBA1B2}"/>
              </a:ext>
            </a:extLst>
          </xdr:cNvPr>
          <xdr:cNvSpPr/>
        </xdr:nvSpPr>
        <xdr:spPr>
          <a:xfrm>
            <a:off x="5172075" y="1819275"/>
            <a:ext cx="123825" cy="657225"/>
          </a:xfrm>
          <a:prstGeom prst="upArrow">
            <a:avLst/>
          </a:prstGeom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24</xdr:col>
      <xdr:colOff>312966</xdr:colOff>
      <xdr:row>18</xdr:row>
      <xdr:rowOff>54429</xdr:rowOff>
    </xdr:from>
    <xdr:to>
      <xdr:col>25</xdr:col>
      <xdr:colOff>394608</xdr:colOff>
      <xdr:row>19</xdr:row>
      <xdr:rowOff>149678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365D2932-9C4A-43A1-BD7F-0B9AA7A57688}"/>
            </a:ext>
          </a:extLst>
        </xdr:cNvPr>
        <xdr:cNvSpPr txBox="1"/>
      </xdr:nvSpPr>
      <xdr:spPr>
        <a:xfrm>
          <a:off x="15498537" y="3891643"/>
          <a:ext cx="693964" cy="3265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Линия 1</a:t>
          </a:r>
        </a:p>
      </xdr:txBody>
    </xdr:sp>
    <xdr:clientData/>
  </xdr:twoCellAnchor>
  <xdr:twoCellAnchor>
    <xdr:from>
      <xdr:col>26</xdr:col>
      <xdr:colOff>326572</xdr:colOff>
      <xdr:row>10</xdr:row>
      <xdr:rowOff>163286</xdr:rowOff>
    </xdr:from>
    <xdr:to>
      <xdr:col>27</xdr:col>
      <xdr:colOff>408214</xdr:colOff>
      <xdr:row>12</xdr:row>
      <xdr:rowOff>0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BA633555-A22E-495D-8F7F-FC1BB03251E2}"/>
            </a:ext>
          </a:extLst>
        </xdr:cNvPr>
        <xdr:cNvSpPr txBox="1"/>
      </xdr:nvSpPr>
      <xdr:spPr>
        <a:xfrm>
          <a:off x="16736786" y="2068286"/>
          <a:ext cx="693964" cy="3265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Линия 2</a:t>
          </a:r>
        </a:p>
      </xdr:txBody>
    </xdr:sp>
    <xdr:clientData/>
  </xdr:twoCellAnchor>
  <xdr:twoCellAnchor>
    <xdr:from>
      <xdr:col>29</xdr:col>
      <xdr:colOff>68035</xdr:colOff>
      <xdr:row>18</xdr:row>
      <xdr:rowOff>27215</xdr:rowOff>
    </xdr:from>
    <xdr:to>
      <xdr:col>30</xdr:col>
      <xdr:colOff>149678</xdr:colOff>
      <xdr:row>19</xdr:row>
      <xdr:rowOff>122464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95FF8D8-E841-4EB1-B9B2-27DA4A97F732}"/>
            </a:ext>
          </a:extLst>
        </xdr:cNvPr>
        <xdr:cNvSpPr txBox="1"/>
      </xdr:nvSpPr>
      <xdr:spPr>
        <a:xfrm>
          <a:off x="18315214" y="3864429"/>
          <a:ext cx="693964" cy="3265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Линия 3</a:t>
          </a:r>
        </a:p>
      </xdr:txBody>
    </xdr:sp>
    <xdr:clientData/>
  </xdr:twoCellAnchor>
  <xdr:twoCellAnchor>
    <xdr:from>
      <xdr:col>0</xdr:col>
      <xdr:colOff>476251</xdr:colOff>
      <xdr:row>66</xdr:row>
      <xdr:rowOff>108857</xdr:rowOff>
    </xdr:from>
    <xdr:to>
      <xdr:col>4</xdr:col>
      <xdr:colOff>394607</xdr:colOff>
      <xdr:row>74</xdr:row>
      <xdr:rowOff>136071</xdr:rowOff>
    </xdr:to>
    <xdr:sp macro="[0]!Подбор_дебитов_Q1_и_Q2_для_устьевых_давлений" textlink="">
      <xdr:nvSpPr>
        <xdr:cNvPr id="33" name="Прямоугольник 32">
          <a:extLst>
            <a:ext uri="{FF2B5EF4-FFF2-40B4-BE49-F238E27FC236}">
              <a16:creationId xmlns:a16="http://schemas.microsoft.com/office/drawing/2014/main" id="{F4416261-BFE6-4551-9AA5-1A46827BCCD7}"/>
            </a:ext>
          </a:extLst>
        </xdr:cNvPr>
        <xdr:cNvSpPr/>
      </xdr:nvSpPr>
      <xdr:spPr>
        <a:xfrm>
          <a:off x="476251" y="13784036"/>
          <a:ext cx="2449285" cy="193221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/>
            <a:t>Подобрать</a:t>
          </a:r>
          <a:r>
            <a:rPr lang="ru-RU" sz="1600" baseline="0"/>
            <a:t> дебиты </a:t>
          </a:r>
          <a:r>
            <a:rPr lang="en-US" sz="1600" baseline="0"/>
            <a:t>Q1 </a:t>
          </a:r>
          <a:r>
            <a:rPr lang="ru-RU" sz="1600" baseline="0"/>
            <a:t>и </a:t>
          </a:r>
          <a:r>
            <a:rPr lang="en-US" sz="1600" baseline="0"/>
            <a:t>Q2 </a:t>
          </a:r>
          <a:r>
            <a:rPr lang="ru-RU" sz="1600" baseline="0"/>
            <a:t>для заданных устьевых давлений</a:t>
          </a:r>
          <a:endParaRPr lang="ru-RU" sz="16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MF_p_pipeline_atma"/>
      <definedName name="PVT_encode_string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D0406-DBBC-42A2-9F40-2DE47135AB45}">
  <sheetPr codeName="Worksheet____3"/>
  <dimension ref="A1:AK83"/>
  <sheetViews>
    <sheetView tabSelected="1" topLeftCell="A31" zoomScale="70" zoomScaleNormal="70" workbookViewId="0">
      <selection activeCell="AK70" sqref="AK70"/>
    </sheetView>
  </sheetViews>
  <sheetFormatPr defaultRowHeight="15" x14ac:dyDescent="0.25"/>
  <cols>
    <col min="1" max="1" width="10.42578125" customWidth="1"/>
    <col min="7" max="7" width="11" customWidth="1"/>
    <col min="9" max="9" width="10.42578125" customWidth="1"/>
    <col min="15" max="15" width="10.7109375" bestFit="1" customWidth="1"/>
    <col min="16" max="17" width="9.5703125" bestFit="1" customWidth="1"/>
    <col min="18" max="20" width="9.28515625" bestFit="1" customWidth="1"/>
  </cols>
  <sheetData>
    <row r="1" spans="1:12" x14ac:dyDescent="0.25">
      <c r="A1" s="1" t="s">
        <v>0</v>
      </c>
      <c r="F1" t="s">
        <v>1</v>
      </c>
      <c r="G1" t="str">
        <f>[1]!unf_Version()</f>
        <v>7.24</v>
      </c>
      <c r="H1" t="s">
        <v>44</v>
      </c>
      <c r="I1" s="33">
        <v>44002</v>
      </c>
      <c r="J1" s="34"/>
      <c r="K1" s="34"/>
      <c r="L1" s="34"/>
    </row>
    <row r="2" spans="1:12" x14ac:dyDescent="0.25">
      <c r="A2" t="s">
        <v>98</v>
      </c>
      <c r="H2" t="s">
        <v>45</v>
      </c>
      <c r="I2" s="35">
        <v>7.24</v>
      </c>
      <c r="J2" s="34"/>
      <c r="K2" s="34"/>
      <c r="L2" s="34"/>
    </row>
    <row r="3" spans="1:12" x14ac:dyDescent="0.25">
      <c r="A3" s="36" t="s">
        <v>46</v>
      </c>
      <c r="B3" s="57" t="s">
        <v>47</v>
      </c>
      <c r="C3" s="58"/>
      <c r="D3" s="58"/>
      <c r="E3" s="59"/>
      <c r="H3" t="s">
        <v>48</v>
      </c>
      <c r="I3" s="34" t="s">
        <v>47</v>
      </c>
      <c r="J3" s="34"/>
      <c r="K3" s="34"/>
      <c r="L3" s="34"/>
    </row>
    <row r="4" spans="1:12" x14ac:dyDescent="0.25">
      <c r="A4" s="36" t="s">
        <v>49</v>
      </c>
      <c r="B4" s="57" t="s">
        <v>50</v>
      </c>
      <c r="C4" s="58"/>
      <c r="D4" s="58"/>
      <c r="E4" s="59"/>
      <c r="H4" t="s">
        <v>51</v>
      </c>
      <c r="I4" s="34" t="s">
        <v>50</v>
      </c>
      <c r="J4" s="34"/>
      <c r="K4" s="34"/>
      <c r="L4" s="34"/>
    </row>
    <row r="5" spans="1:12" x14ac:dyDescent="0.25">
      <c r="A5" s="36" t="s">
        <v>52</v>
      </c>
      <c r="B5" s="57" t="s">
        <v>53</v>
      </c>
      <c r="C5" s="58"/>
      <c r="D5" s="58"/>
      <c r="E5" s="59"/>
      <c r="H5" t="s">
        <v>54</v>
      </c>
      <c r="I5" s="34" t="s">
        <v>53</v>
      </c>
      <c r="J5" s="34"/>
      <c r="K5" s="34"/>
      <c r="L5" s="34"/>
    </row>
    <row r="6" spans="1:12" x14ac:dyDescent="0.25">
      <c r="A6" s="37" t="s">
        <v>55</v>
      </c>
      <c r="B6" s="60" t="s">
        <v>56</v>
      </c>
      <c r="C6" s="61"/>
      <c r="D6" s="61"/>
      <c r="E6" s="62"/>
      <c r="H6" s="38" t="s">
        <v>57</v>
      </c>
      <c r="I6" s="39" t="s">
        <v>56</v>
      </c>
      <c r="J6" s="39"/>
      <c r="K6" s="39"/>
      <c r="L6" s="39"/>
    </row>
    <row r="7" spans="1:12" x14ac:dyDescent="0.25">
      <c r="A7" s="40"/>
      <c r="B7" s="63"/>
      <c r="C7" s="64"/>
      <c r="D7" s="64"/>
      <c r="E7" s="65"/>
      <c r="H7" s="38"/>
      <c r="I7" s="39"/>
      <c r="J7" s="39"/>
      <c r="K7" s="39"/>
      <c r="L7" s="39"/>
    </row>
    <row r="8" spans="1:12" x14ac:dyDescent="0.25">
      <c r="A8" s="41"/>
      <c r="B8" s="66"/>
      <c r="C8" s="67"/>
      <c r="D8" s="67"/>
      <c r="E8" s="68"/>
      <c r="H8" s="38"/>
      <c r="I8" s="39"/>
      <c r="J8" s="39"/>
      <c r="K8" s="39"/>
      <c r="L8" s="39"/>
    </row>
    <row r="10" spans="1:12" x14ac:dyDescent="0.25">
      <c r="A10" s="1" t="s">
        <v>2</v>
      </c>
    </row>
    <row r="11" spans="1:12" ht="18.75" x14ac:dyDescent="0.35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</row>
    <row r="12" spans="1:12" ht="18.75" x14ac:dyDescent="0.35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</row>
    <row r="13" spans="1:12" ht="18.75" x14ac:dyDescent="0.35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</row>
    <row r="14" spans="1:12" ht="18.75" x14ac:dyDescent="0.35">
      <c r="B14" s="7" t="s">
        <v>7</v>
      </c>
      <c r="C14" s="3">
        <v>80</v>
      </c>
      <c r="D14" s="6" t="s">
        <v>8</v>
      </c>
      <c r="E14" s="8">
        <f>Rsb_/gamma_oil_</f>
        <v>91.954022988505741</v>
      </c>
      <c r="F14" s="6" t="s">
        <v>9</v>
      </c>
    </row>
    <row r="15" spans="1:12" ht="18.75" x14ac:dyDescent="0.35">
      <c r="B15" s="7" t="s">
        <v>10</v>
      </c>
      <c r="C15" s="3">
        <v>150</v>
      </c>
      <c r="D15" s="6" t="s">
        <v>8</v>
      </c>
      <c r="E15" s="8">
        <f>Rsb_/gamma_oil_</f>
        <v>91.954022988505741</v>
      </c>
      <c r="F15" s="6" t="s">
        <v>9</v>
      </c>
    </row>
    <row r="16" spans="1:12" ht="18" x14ac:dyDescent="0.35">
      <c r="B16" s="6" t="s">
        <v>11</v>
      </c>
      <c r="C16" s="3">
        <v>120</v>
      </c>
      <c r="D16" s="4" t="s">
        <v>12</v>
      </c>
      <c r="E16" s="8">
        <f>Pb_*1.01325</f>
        <v>121.59</v>
      </c>
      <c r="F16" s="4" t="s">
        <v>13</v>
      </c>
    </row>
    <row r="17" spans="1:8" ht="18" x14ac:dyDescent="0.35">
      <c r="B17" s="6" t="s">
        <v>14</v>
      </c>
      <c r="C17" s="3">
        <v>100</v>
      </c>
      <c r="D17" s="4" t="s">
        <v>15</v>
      </c>
      <c r="E17" s="8">
        <f>Tres_*9/5+32</f>
        <v>212</v>
      </c>
      <c r="F17" s="4" t="s">
        <v>16</v>
      </c>
    </row>
    <row r="18" spans="1:8" ht="18.75" x14ac:dyDescent="0.35">
      <c r="B18" s="7" t="s">
        <v>17</v>
      </c>
      <c r="C18" s="3">
        <v>1.2</v>
      </c>
      <c r="D18" s="6" t="s">
        <v>8</v>
      </c>
    </row>
    <row r="19" spans="1:8" ht="18" x14ac:dyDescent="0.35">
      <c r="B19" s="9" t="s">
        <v>18</v>
      </c>
      <c r="C19" s="3">
        <v>1</v>
      </c>
      <c r="D19" s="4" t="s">
        <v>19</v>
      </c>
    </row>
    <row r="20" spans="1:8" x14ac:dyDescent="0.25">
      <c r="A20" s="1" t="s">
        <v>58</v>
      </c>
    </row>
    <row r="21" spans="1:8" ht="18" x14ac:dyDescent="0.35">
      <c r="B21" s="6" t="s">
        <v>59</v>
      </c>
      <c r="C21" s="3">
        <v>0</v>
      </c>
      <c r="D21" s="4"/>
    </row>
    <row r="22" spans="1:8" ht="18" x14ac:dyDescent="0.35">
      <c r="B22" s="7" t="s">
        <v>60</v>
      </c>
      <c r="C22" s="3">
        <v>0</v>
      </c>
      <c r="D22" s="6" t="s">
        <v>12</v>
      </c>
    </row>
    <row r="23" spans="1:8" ht="18" x14ac:dyDescent="0.35">
      <c r="B23" s="9" t="s">
        <v>61</v>
      </c>
      <c r="C23" s="3">
        <v>0</v>
      </c>
      <c r="D23" s="4" t="s">
        <v>15</v>
      </c>
    </row>
    <row r="24" spans="1:8" x14ac:dyDescent="0.25">
      <c r="A24" s="1" t="s">
        <v>20</v>
      </c>
    </row>
    <row r="25" spans="1:8" ht="18" x14ac:dyDescent="0.35">
      <c r="B25" s="9" t="s">
        <v>41</v>
      </c>
      <c r="C25" s="3">
        <v>0</v>
      </c>
      <c r="D25" s="6" t="s">
        <v>42</v>
      </c>
      <c r="F25" s="55" t="s">
        <v>62</v>
      </c>
      <c r="G25" s="56"/>
      <c r="H25" s="3">
        <v>0</v>
      </c>
    </row>
    <row r="26" spans="1:8" ht="15.75" customHeight="1" x14ac:dyDescent="0.3">
      <c r="B26" s="9" t="s">
        <v>22</v>
      </c>
      <c r="C26" s="3">
        <v>0</v>
      </c>
      <c r="D26" s="4" t="s">
        <v>23</v>
      </c>
      <c r="F26" s="55" t="s">
        <v>63</v>
      </c>
      <c r="G26" s="56"/>
      <c r="H26" s="3">
        <v>0</v>
      </c>
    </row>
    <row r="27" spans="1:8" ht="15" customHeight="1" x14ac:dyDescent="0.25">
      <c r="A27" s="48" t="s">
        <v>24</v>
      </c>
      <c r="B27" s="10"/>
      <c r="F27" s="55" t="s">
        <v>64</v>
      </c>
      <c r="G27" s="56"/>
      <c r="H27" s="3">
        <v>0</v>
      </c>
    </row>
    <row r="28" spans="1:8" ht="15" customHeight="1" x14ac:dyDescent="0.25">
      <c r="B28" s="9" t="s">
        <v>27</v>
      </c>
      <c r="C28" s="3"/>
      <c r="D28" s="6" t="s">
        <v>12</v>
      </c>
      <c r="F28" s="55" t="s">
        <v>65</v>
      </c>
      <c r="G28" s="56"/>
      <c r="H28" s="3">
        <v>0</v>
      </c>
    </row>
    <row r="29" spans="1:8" x14ac:dyDescent="0.25">
      <c r="B29" s="9" t="s">
        <v>28</v>
      </c>
      <c r="C29" s="42"/>
      <c r="D29" s="6" t="s">
        <v>12</v>
      </c>
      <c r="F29" s="69" t="s">
        <v>66</v>
      </c>
      <c r="G29" s="69"/>
    </row>
    <row r="30" spans="1:8" ht="15" customHeight="1" x14ac:dyDescent="0.25">
      <c r="B30" s="9" t="s">
        <v>29</v>
      </c>
      <c r="C30" s="3">
        <v>50</v>
      </c>
      <c r="D30" s="6" t="s">
        <v>30</v>
      </c>
      <c r="F30" s="55" t="s">
        <v>67</v>
      </c>
      <c r="G30" s="56"/>
      <c r="H30" s="3">
        <v>1</v>
      </c>
    </row>
    <row r="31" spans="1:8" ht="15" customHeight="1" x14ac:dyDescent="0.25">
      <c r="B31" s="9" t="s">
        <v>31</v>
      </c>
      <c r="C31" s="3">
        <v>50</v>
      </c>
      <c r="D31" s="6" t="s">
        <v>30</v>
      </c>
      <c r="F31" s="55" t="s">
        <v>68</v>
      </c>
      <c r="G31" s="56"/>
      <c r="H31" s="3">
        <v>1</v>
      </c>
    </row>
    <row r="33" spans="1:32" ht="30" x14ac:dyDescent="0.25">
      <c r="B33" s="11" t="s">
        <v>32</v>
      </c>
      <c r="C33" s="12" t="str">
        <f>[1]!PVT_encode_string(gamma_gas_,gamma_oil_,gamma_wat_,Rsb_,Rp_,Pb_,Tres_,Bob_,muob_,PVT_corr_,Ksep,Psep,Tsep,gas_only_)</f>
        <v>gamma_gas:0,800;gamma_oil:0,870;gamma_wat:1,000;rsb_m3m3:80,000;rp_m3m3:150,000;pb_atma:120,000;tres_C:100,000;bob_m3m3:1,200;muob_cP:1,000;PVTcorr:0;ksep_fr:0,000;p_ksep_atma:0,000;t_ksep_C:0,000;gas_only:False;</v>
      </c>
      <c r="D33" s="12"/>
      <c r="E33" s="12"/>
      <c r="F33" s="12"/>
      <c r="G33" s="12"/>
      <c r="H33" s="12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2"/>
    </row>
    <row r="34" spans="1:32" x14ac:dyDescent="0.25">
      <c r="L34" t="s">
        <v>91</v>
      </c>
      <c r="O34">
        <f>L36</f>
        <v>14.999994091276116</v>
      </c>
      <c r="X34" t="s">
        <v>90</v>
      </c>
      <c r="Z34" s="20">
        <f>AA58</f>
        <v>10</v>
      </c>
    </row>
    <row r="35" spans="1:32" x14ac:dyDescent="0.25">
      <c r="F35" s="13" t="s">
        <v>43</v>
      </c>
      <c r="G35" s="14"/>
      <c r="H35" s="14"/>
      <c r="L35" t="s">
        <v>87</v>
      </c>
      <c r="X35" t="s">
        <v>89</v>
      </c>
    </row>
    <row r="36" spans="1:32" x14ac:dyDescent="0.25">
      <c r="L36" s="32">
        <f t="array" ref="L36:T58">[1]!MF_p_pipeline_atma(X36,T0,F46:G48,C46:D47,I46:J48,A46,fw_,Qgas_free,PVTstr_,calc_flow_direction1_,Hydr_corr_,temp_model)</f>
        <v>14.999994091276116</v>
      </c>
      <c r="M36" s="23">
        <v>20</v>
      </c>
      <c r="N36" s="23">
        <v>14.999994091276116</v>
      </c>
      <c r="O36" s="23">
        <v>20</v>
      </c>
      <c r="P36" s="23">
        <v>13.256456215818279</v>
      </c>
      <c r="Q36" s="23">
        <v>20</v>
      </c>
      <c r="R36" s="23">
        <v>1</v>
      </c>
      <c r="S36" s="23">
        <v>1</v>
      </c>
      <c r="T36" s="24">
        <v>41221.887876477856</v>
      </c>
      <c r="U36" s="14"/>
      <c r="V36" s="14"/>
      <c r="W36" s="14"/>
      <c r="X36" s="32">
        <f t="array" ref="X36:AF58">[1]!MF_p_pipeline_atma(B59,T0,F59:G61,C59:D60,I59:J61,A59,fw_,Qgas_free,PVTstr_,calc_flow_direction1_,Hydr_corr_,temp_model)</f>
        <v>13.256456215818279</v>
      </c>
      <c r="Y36" s="23">
        <v>20</v>
      </c>
      <c r="Z36" s="23">
        <v>13.256456215818279</v>
      </c>
      <c r="AA36" s="23">
        <v>20</v>
      </c>
      <c r="AB36" s="23">
        <v>10</v>
      </c>
      <c r="AC36" s="23">
        <v>20</v>
      </c>
      <c r="AD36" s="23">
        <v>1</v>
      </c>
      <c r="AE36" s="23">
        <v>1</v>
      </c>
      <c r="AF36" s="24">
        <v>111229.64691923933</v>
      </c>
    </row>
    <row r="37" spans="1:32" ht="18" customHeight="1" x14ac:dyDescent="0.25">
      <c r="F37" s="45"/>
      <c r="G37" s="46" t="s">
        <v>40</v>
      </c>
      <c r="H37" s="3">
        <v>1</v>
      </c>
      <c r="L37" s="25" t="str">
        <v>p_result_atma</v>
      </c>
      <c r="M37" s="26" t="str">
        <v>t_result_C</v>
      </c>
      <c r="N37" s="26" t="str">
        <v>p_1, atma</v>
      </c>
      <c r="O37" s="26" t="str">
        <v>t_1, C</v>
      </c>
      <c r="P37" s="26" t="str">
        <v>p_2, atma</v>
      </c>
      <c r="Q37" s="26" t="str">
        <v>t_2, C</v>
      </c>
      <c r="R37" s="26" t="str">
        <v>c_calibr_grav</v>
      </c>
      <c r="S37" s="26" t="str">
        <v>c_calibr_fric</v>
      </c>
      <c r="T37" s="27" t="str">
        <v>q_gas_sm3day</v>
      </c>
      <c r="U37" s="14"/>
      <c r="V37" s="14"/>
      <c r="W37" s="14"/>
      <c r="X37" s="25" t="str">
        <v>p_result_atma</v>
      </c>
      <c r="Y37" s="26" t="str">
        <v>t_result_C</v>
      </c>
      <c r="Z37" s="26" t="str">
        <v>p_1, atma</v>
      </c>
      <c r="AA37" s="26" t="str">
        <v>t_1, C</v>
      </c>
      <c r="AB37" s="26" t="str">
        <v>p_2, atma</v>
      </c>
      <c r="AC37" s="26" t="str">
        <v>t_2, C</v>
      </c>
      <c r="AD37" s="26" t="str">
        <v>c_calibr_grav</v>
      </c>
      <c r="AE37" s="26" t="str">
        <v>c_calibr_fric</v>
      </c>
      <c r="AF37" s="27" t="str">
        <v>q_gas_sm3day</v>
      </c>
    </row>
    <row r="38" spans="1:32" ht="18" customHeight="1" x14ac:dyDescent="0.25">
      <c r="F38" s="45"/>
      <c r="G38" s="46" t="s">
        <v>38</v>
      </c>
      <c r="H38" s="3">
        <v>1</v>
      </c>
      <c r="I38" s="3">
        <v>0</v>
      </c>
      <c r="L38" s="25" t="str">
        <v>num</v>
      </c>
      <c r="M38" s="26" t="str">
        <v>h,m</v>
      </c>
      <c r="N38" s="26" t="str">
        <v>hvert,m</v>
      </c>
      <c r="O38" s="26" t="str">
        <v>p,atma</v>
      </c>
      <c r="P38" s="26" t="str">
        <v>t,C</v>
      </c>
      <c r="Q38" s="26" t="str">
        <v>Hl</v>
      </c>
      <c r="R38" s="26" t="str">
        <v>fpat</v>
      </c>
      <c r="S38" s="26" t="str">
        <v>t_amb, C</v>
      </c>
      <c r="T38" s="27" t="str">
        <v>diam, m</v>
      </c>
      <c r="U38" s="43"/>
      <c r="V38" s="43"/>
      <c r="W38" s="43"/>
      <c r="X38" s="25" t="str">
        <v>num</v>
      </c>
      <c r="Y38" s="26" t="str">
        <v>h,m</v>
      </c>
      <c r="Z38" s="26" t="str">
        <v>hvert,m</v>
      </c>
      <c r="AA38" s="26" t="str">
        <v>p,atma</v>
      </c>
      <c r="AB38" s="26" t="str">
        <v>t,C</v>
      </c>
      <c r="AC38" s="26" t="str">
        <v>Hl</v>
      </c>
      <c r="AD38" s="26" t="str">
        <v>fpat</v>
      </c>
      <c r="AE38" s="26" t="str">
        <v>t_amb, C</v>
      </c>
      <c r="AF38" s="27" t="str">
        <v>diam, m</v>
      </c>
    </row>
    <row r="39" spans="1:32" ht="18" customHeight="1" x14ac:dyDescent="0.25">
      <c r="F39" s="45"/>
      <c r="G39" s="46" t="s">
        <v>39</v>
      </c>
      <c r="H39" s="3">
        <v>1</v>
      </c>
      <c r="I39" s="3">
        <v>1</v>
      </c>
      <c r="L39" s="25">
        <v>1</v>
      </c>
      <c r="M39" s="28">
        <v>0</v>
      </c>
      <c r="N39" s="28">
        <v>1</v>
      </c>
      <c r="O39" s="28">
        <v>14.999994091276116</v>
      </c>
      <c r="P39" s="28">
        <v>20</v>
      </c>
      <c r="Q39" s="28">
        <v>0.30213908218107061</v>
      </c>
      <c r="R39" s="28">
        <v>3</v>
      </c>
      <c r="S39" s="28">
        <v>20</v>
      </c>
      <c r="T39" s="27">
        <v>0.17500000000000002</v>
      </c>
      <c r="U39" s="44"/>
      <c r="V39" s="43"/>
      <c r="W39" s="43"/>
      <c r="X39" s="25">
        <v>1</v>
      </c>
      <c r="Y39" s="28">
        <v>10500</v>
      </c>
      <c r="Z39" s="28">
        <v>1</v>
      </c>
      <c r="AA39" s="28">
        <v>13.256456215818279</v>
      </c>
      <c r="AB39" s="28">
        <v>20</v>
      </c>
      <c r="AC39" s="28">
        <v>0.22664244775884912</v>
      </c>
      <c r="AD39" s="28">
        <v>1</v>
      </c>
      <c r="AE39" s="28">
        <v>20</v>
      </c>
      <c r="AF39" s="27">
        <v>0.2</v>
      </c>
    </row>
    <row r="40" spans="1:32" ht="18" customHeight="1" x14ac:dyDescent="0.25">
      <c r="F40" s="45"/>
      <c r="G40" s="47" t="s">
        <v>69</v>
      </c>
      <c r="H40" s="5">
        <f>calc_along_coord*10+flow_along_coord</f>
        <v>11</v>
      </c>
      <c r="I40" s="5">
        <f>calc_along_coord1*10+flow_along_coord1</f>
        <v>1</v>
      </c>
      <c r="L40" s="25">
        <v>2</v>
      </c>
      <c r="M40" s="28">
        <v>552.63157894736844</v>
      </c>
      <c r="N40" s="28">
        <v>1</v>
      </c>
      <c r="O40" s="28">
        <v>14.916265399350598</v>
      </c>
      <c r="P40" s="28">
        <v>20</v>
      </c>
      <c r="Q40" s="28">
        <v>0.30096630755102743</v>
      </c>
      <c r="R40" s="28">
        <v>3</v>
      </c>
      <c r="S40" s="28">
        <v>20</v>
      </c>
      <c r="T40" s="27">
        <v>0.17500000000000002</v>
      </c>
      <c r="U40" s="44"/>
      <c r="V40" s="43"/>
      <c r="W40" s="43"/>
      <c r="X40" s="25">
        <v>2</v>
      </c>
      <c r="Y40" s="28">
        <v>10736.842105263158</v>
      </c>
      <c r="Z40" s="28">
        <v>1</v>
      </c>
      <c r="AA40" s="28">
        <v>13.104622715974639</v>
      </c>
      <c r="AB40" s="28">
        <v>20</v>
      </c>
      <c r="AC40" s="28">
        <v>0.22511044963286511</v>
      </c>
      <c r="AD40" s="28">
        <v>1</v>
      </c>
      <c r="AE40" s="28">
        <v>20</v>
      </c>
      <c r="AF40" s="27">
        <v>0.2</v>
      </c>
    </row>
    <row r="41" spans="1:32" x14ac:dyDescent="0.25">
      <c r="G41" s="10"/>
      <c r="L41" s="25">
        <v>3</v>
      </c>
      <c r="M41" s="28">
        <v>1105.2631578947369</v>
      </c>
      <c r="N41" s="28">
        <v>1</v>
      </c>
      <c r="O41" s="28">
        <v>14.831769175534186</v>
      </c>
      <c r="P41" s="28">
        <v>20</v>
      </c>
      <c r="Q41" s="28">
        <v>0.29978112007027524</v>
      </c>
      <c r="R41" s="28">
        <v>3</v>
      </c>
      <c r="S41" s="28">
        <v>20</v>
      </c>
      <c r="T41" s="27">
        <v>0.17500000000000002</v>
      </c>
      <c r="U41" s="44"/>
      <c r="V41" s="43"/>
      <c r="W41" s="43"/>
      <c r="X41" s="25">
        <v>3</v>
      </c>
      <c r="Y41" s="28">
        <v>10973.684210526315</v>
      </c>
      <c r="Z41" s="28">
        <v>1</v>
      </c>
      <c r="AA41" s="28">
        <v>12.951099067961138</v>
      </c>
      <c r="AB41" s="28">
        <v>20</v>
      </c>
      <c r="AC41" s="28">
        <v>0.22355494294287254</v>
      </c>
      <c r="AD41" s="28">
        <v>1</v>
      </c>
      <c r="AE41" s="28">
        <v>20</v>
      </c>
      <c r="AF41" s="27">
        <v>0.2</v>
      </c>
    </row>
    <row r="42" spans="1:32" x14ac:dyDescent="0.25">
      <c r="G42" s="10"/>
      <c r="L42" s="25">
        <v>4</v>
      </c>
      <c r="M42" s="28">
        <v>1657.8947368421054</v>
      </c>
      <c r="N42" s="28">
        <v>1</v>
      </c>
      <c r="O42" s="28">
        <v>14.746476724504433</v>
      </c>
      <c r="P42" s="28">
        <v>20</v>
      </c>
      <c r="Q42" s="28">
        <v>0.29858303153195354</v>
      </c>
      <c r="R42" s="28">
        <v>3</v>
      </c>
      <c r="S42" s="28">
        <v>20</v>
      </c>
      <c r="T42" s="27">
        <v>0.17500000000000002</v>
      </c>
      <c r="U42" s="44"/>
      <c r="V42" s="43"/>
      <c r="W42" s="43"/>
      <c r="X42" s="25">
        <v>4</v>
      </c>
      <c r="Y42" s="28">
        <v>11210.526315789473</v>
      </c>
      <c r="Z42" s="28">
        <v>1</v>
      </c>
      <c r="AA42" s="28">
        <v>12.795794800942486</v>
      </c>
      <c r="AB42" s="28">
        <v>20</v>
      </c>
      <c r="AC42" s="28">
        <v>0.22197454040386091</v>
      </c>
      <c r="AD42" s="28">
        <v>1</v>
      </c>
      <c r="AE42" s="28">
        <v>20</v>
      </c>
      <c r="AF42" s="27">
        <v>0.2</v>
      </c>
    </row>
    <row r="43" spans="1:32" x14ac:dyDescent="0.25">
      <c r="A43" t="s">
        <v>84</v>
      </c>
      <c r="C43" s="49" t="s">
        <v>70</v>
      </c>
      <c r="D43" s="49"/>
      <c r="F43" t="s">
        <v>73</v>
      </c>
      <c r="H43" s="10"/>
      <c r="I43" t="s">
        <v>76</v>
      </c>
      <c r="J43" s="10"/>
      <c r="L43" s="25">
        <v>5</v>
      </c>
      <c r="M43" s="28">
        <v>2210.5263157894738</v>
      </c>
      <c r="N43" s="28">
        <v>1</v>
      </c>
      <c r="O43" s="28">
        <v>14.660379053321902</v>
      </c>
      <c r="P43" s="28">
        <v>20</v>
      </c>
      <c r="Q43" s="28">
        <v>0.2973718713350067</v>
      </c>
      <c r="R43" s="28">
        <v>3</v>
      </c>
      <c r="S43" s="28">
        <v>20</v>
      </c>
      <c r="T43" s="27">
        <v>0.17500000000000002</v>
      </c>
      <c r="U43" s="44"/>
      <c r="V43" s="43"/>
      <c r="W43" s="43"/>
      <c r="X43" s="25">
        <v>5</v>
      </c>
      <c r="Y43" s="28">
        <v>11447.368421052632</v>
      </c>
      <c r="Z43" s="28">
        <v>1</v>
      </c>
      <c r="AA43" s="28">
        <v>12.638594222964986</v>
      </c>
      <c r="AB43" s="28">
        <v>20</v>
      </c>
      <c r="AC43" s="28">
        <v>0.22036747836151613</v>
      </c>
      <c r="AD43" s="28">
        <v>1</v>
      </c>
      <c r="AE43" s="28">
        <v>20</v>
      </c>
      <c r="AF43" s="27">
        <v>0.2</v>
      </c>
    </row>
    <row r="44" spans="1:32" ht="18" x14ac:dyDescent="0.35">
      <c r="A44" s="17" t="s">
        <v>81</v>
      </c>
      <c r="B44" s="17" t="s">
        <v>28</v>
      </c>
      <c r="C44" s="17" t="s">
        <v>34</v>
      </c>
      <c r="D44" s="17" t="s">
        <v>35</v>
      </c>
      <c r="F44" s="17" t="s">
        <v>35</v>
      </c>
      <c r="G44" s="17" t="s">
        <v>36</v>
      </c>
      <c r="H44" s="10"/>
      <c r="I44" s="17" t="s">
        <v>34</v>
      </c>
      <c r="J44" s="15" t="s">
        <v>37</v>
      </c>
      <c r="L44" s="25">
        <v>6</v>
      </c>
      <c r="M44" s="28">
        <v>2763.1578947368421</v>
      </c>
      <c r="N44" s="28">
        <v>1</v>
      </c>
      <c r="O44" s="28">
        <v>14.573448381604198</v>
      </c>
      <c r="P44" s="28">
        <v>20</v>
      </c>
      <c r="Q44" s="28">
        <v>0.29614716234786859</v>
      </c>
      <c r="R44" s="28">
        <v>3</v>
      </c>
      <c r="S44" s="28">
        <v>20</v>
      </c>
      <c r="T44" s="27">
        <v>0.17500000000000002</v>
      </c>
      <c r="U44" s="44"/>
      <c r="V44" s="43"/>
      <c r="W44" s="43"/>
      <c r="X44" s="25">
        <v>6</v>
      </c>
      <c r="Y44" s="28">
        <v>11684.21052631579</v>
      </c>
      <c r="Z44" s="28">
        <v>1</v>
      </c>
      <c r="AA44" s="28">
        <v>12.479518878056298</v>
      </c>
      <c r="AB44" s="28">
        <v>20</v>
      </c>
      <c r="AC44" s="28">
        <v>0.21873391251943253</v>
      </c>
      <c r="AD44" s="28">
        <v>1</v>
      </c>
      <c r="AE44" s="28">
        <v>20</v>
      </c>
      <c r="AF44" s="27">
        <v>0.2</v>
      </c>
    </row>
    <row r="45" spans="1:32" x14ac:dyDescent="0.25">
      <c r="A45" s="17" t="s">
        <v>21</v>
      </c>
      <c r="B45" s="17" t="s">
        <v>12</v>
      </c>
      <c r="C45" s="17" t="s">
        <v>25</v>
      </c>
      <c r="D45" s="17" t="s">
        <v>25</v>
      </c>
      <c r="F45" s="17" t="s">
        <v>25</v>
      </c>
      <c r="G45" s="17" t="s">
        <v>33</v>
      </c>
      <c r="H45" s="10"/>
      <c r="I45" s="17" t="s">
        <v>25</v>
      </c>
      <c r="J45" s="17" t="s">
        <v>26</v>
      </c>
      <c r="L45" s="25">
        <v>7</v>
      </c>
      <c r="M45" s="28">
        <v>3315.7894736842109</v>
      </c>
      <c r="N45" s="28">
        <v>1</v>
      </c>
      <c r="O45" s="28">
        <v>14.485671806240026</v>
      </c>
      <c r="P45" s="28">
        <v>20</v>
      </c>
      <c r="Q45" s="28">
        <v>0.29490866758726703</v>
      </c>
      <c r="R45" s="28">
        <v>3</v>
      </c>
      <c r="S45" s="28">
        <v>20</v>
      </c>
      <c r="T45" s="27">
        <v>0.17500000000000002</v>
      </c>
      <c r="U45" s="44"/>
      <c r="V45" s="43"/>
      <c r="W45" s="43"/>
      <c r="X45" s="25">
        <v>7</v>
      </c>
      <c r="Y45" s="28">
        <v>11921.052631578947</v>
      </c>
      <c r="Z45" s="28">
        <v>1</v>
      </c>
      <c r="AA45" s="28">
        <v>12.318424959388357</v>
      </c>
      <c r="AB45" s="28">
        <v>20</v>
      </c>
      <c r="AC45" s="28">
        <v>0.21707164757996317</v>
      </c>
      <c r="AD45" s="28">
        <v>1</v>
      </c>
      <c r="AE45" s="28">
        <v>20</v>
      </c>
      <c r="AF45" s="27">
        <v>0.2</v>
      </c>
    </row>
    <row r="46" spans="1:32" x14ac:dyDescent="0.25">
      <c r="A46" s="16">
        <v>274.81258584318573</v>
      </c>
      <c r="B46" s="16"/>
      <c r="C46" s="16">
        <v>0</v>
      </c>
      <c r="D46" s="16">
        <v>1</v>
      </c>
      <c r="F46" s="18">
        <v>0</v>
      </c>
      <c r="G46" s="18">
        <v>20</v>
      </c>
      <c r="H46" s="10"/>
      <c r="I46" s="18">
        <v>0</v>
      </c>
      <c r="J46" s="19">
        <v>175</v>
      </c>
      <c r="L46" s="25">
        <v>8</v>
      </c>
      <c r="M46" s="28">
        <v>3868.4210526315792</v>
      </c>
      <c r="N46" s="28">
        <v>1</v>
      </c>
      <c r="O46" s="28">
        <v>14.397022541360494</v>
      </c>
      <c r="P46" s="28">
        <v>20</v>
      </c>
      <c r="Q46" s="28">
        <v>0.29365592210656971</v>
      </c>
      <c r="R46" s="28">
        <v>3</v>
      </c>
      <c r="S46" s="28">
        <v>20</v>
      </c>
      <c r="T46" s="27">
        <v>0.17500000000000002</v>
      </c>
      <c r="U46" s="44"/>
      <c r="V46" s="43"/>
      <c r="W46" s="43"/>
      <c r="X46" s="25">
        <v>8</v>
      </c>
      <c r="Y46" s="28">
        <v>12157.894736842105</v>
      </c>
      <c r="Z46" s="28">
        <v>1</v>
      </c>
      <c r="AA46" s="28">
        <v>12.155254379803752</v>
      </c>
      <c r="AB46" s="28">
        <v>20</v>
      </c>
      <c r="AC46" s="28">
        <v>0.21537968288188131</v>
      </c>
      <c r="AD46" s="28">
        <v>1</v>
      </c>
      <c r="AE46" s="28">
        <v>20</v>
      </c>
      <c r="AF46" s="27">
        <v>0.2</v>
      </c>
    </row>
    <row r="47" spans="1:32" x14ac:dyDescent="0.25">
      <c r="C47" s="16">
        <v>10500</v>
      </c>
      <c r="D47" s="16">
        <v>1</v>
      </c>
      <c r="F47" s="18">
        <v>1500</v>
      </c>
      <c r="G47" s="18">
        <v>20</v>
      </c>
      <c r="H47" s="10"/>
      <c r="I47" s="18">
        <v>10</v>
      </c>
      <c r="J47" s="19">
        <f>J46</f>
        <v>175</v>
      </c>
      <c r="L47" s="25">
        <v>9</v>
      </c>
      <c r="M47" s="28">
        <v>4421.0526315789475</v>
      </c>
      <c r="N47" s="28">
        <v>1</v>
      </c>
      <c r="O47" s="28">
        <v>14.307483355901772</v>
      </c>
      <c r="P47" s="28">
        <v>20</v>
      </c>
      <c r="Q47" s="28">
        <v>0.2923886149221217</v>
      </c>
      <c r="R47" s="28">
        <v>3</v>
      </c>
      <c r="S47" s="28">
        <v>20</v>
      </c>
      <c r="T47" s="27">
        <v>0.17500000000000002</v>
      </c>
      <c r="U47" s="44"/>
      <c r="V47" s="43"/>
      <c r="W47" s="43"/>
      <c r="X47" s="25">
        <v>9</v>
      </c>
      <c r="Y47" s="28">
        <v>12394.736842105263</v>
      </c>
      <c r="Z47" s="28">
        <v>1</v>
      </c>
      <c r="AA47" s="28">
        <v>11.989987801081133</v>
      </c>
      <c r="AB47" s="28">
        <v>20</v>
      </c>
      <c r="AC47" s="28">
        <v>0.21365756431501026</v>
      </c>
      <c r="AD47" s="28">
        <v>1</v>
      </c>
      <c r="AE47" s="28">
        <v>20</v>
      </c>
      <c r="AF47" s="27">
        <v>0.2</v>
      </c>
    </row>
    <row r="48" spans="1:32" x14ac:dyDescent="0.25">
      <c r="C48" s="16"/>
      <c r="D48" s="16"/>
      <c r="F48" s="18">
        <v>2500</v>
      </c>
      <c r="G48" s="18">
        <v>20</v>
      </c>
      <c r="H48" s="10"/>
      <c r="I48" s="18"/>
      <c r="J48" s="19"/>
      <c r="L48" s="25">
        <v>10</v>
      </c>
      <c r="M48" s="28">
        <v>4973.6842105263158</v>
      </c>
      <c r="N48" s="28">
        <v>1</v>
      </c>
      <c r="O48" s="28">
        <v>14.217028544306007</v>
      </c>
      <c r="P48" s="28">
        <v>20</v>
      </c>
      <c r="Q48" s="28">
        <v>0.29110629446469588</v>
      </c>
      <c r="R48" s="28">
        <v>3</v>
      </c>
      <c r="S48" s="28">
        <v>20</v>
      </c>
      <c r="T48" s="27">
        <v>0.17500000000000002</v>
      </c>
      <c r="U48" s="44"/>
      <c r="V48" s="43"/>
      <c r="W48" s="43"/>
      <c r="X48" s="25">
        <v>10</v>
      </c>
      <c r="Y48" s="28">
        <v>12631.578947368422</v>
      </c>
      <c r="Z48" s="28">
        <v>1</v>
      </c>
      <c r="AA48" s="28">
        <v>11.822414616342657</v>
      </c>
      <c r="AB48" s="28">
        <v>20</v>
      </c>
      <c r="AC48" s="28">
        <v>0.21190205519261587</v>
      </c>
      <c r="AD48" s="28">
        <v>1</v>
      </c>
      <c r="AE48" s="28">
        <v>20</v>
      </c>
      <c r="AF48" s="27">
        <v>0.2</v>
      </c>
    </row>
    <row r="49" spans="1:37" x14ac:dyDescent="0.25">
      <c r="C49" s="16"/>
      <c r="D49" s="16"/>
      <c r="F49" s="18"/>
      <c r="G49" s="18"/>
      <c r="H49" s="10"/>
      <c r="I49" s="18"/>
      <c r="J49" s="18"/>
      <c r="L49" s="25">
        <v>11</v>
      </c>
      <c r="M49" s="28">
        <v>5526.3157894736842</v>
      </c>
      <c r="N49" s="28">
        <v>1</v>
      </c>
      <c r="O49" s="28">
        <v>14.125636073233208</v>
      </c>
      <c r="P49" s="28">
        <v>20</v>
      </c>
      <c r="Q49" s="28">
        <v>0.28980856704812469</v>
      </c>
      <c r="R49" s="28">
        <v>3</v>
      </c>
      <c r="S49" s="28">
        <v>20</v>
      </c>
      <c r="T49" s="27">
        <v>0.17500000000000002</v>
      </c>
      <c r="U49" s="44"/>
      <c r="V49" s="43"/>
      <c r="W49" s="43"/>
      <c r="X49" s="25">
        <v>11</v>
      </c>
      <c r="Y49" s="28">
        <v>12868.421052631578</v>
      </c>
      <c r="Z49" s="28">
        <v>1</v>
      </c>
      <c r="AA49" s="28">
        <v>11.652547784590611</v>
      </c>
      <c r="AB49" s="28">
        <v>20</v>
      </c>
      <c r="AC49" s="28">
        <v>0.21011312996914935</v>
      </c>
      <c r="AD49" s="28">
        <v>1</v>
      </c>
      <c r="AE49" s="28">
        <v>20</v>
      </c>
      <c r="AF49" s="27">
        <v>0.2</v>
      </c>
    </row>
    <row r="50" spans="1:37" x14ac:dyDescent="0.25">
      <c r="A50" t="s">
        <v>86</v>
      </c>
      <c r="C50" s="49" t="s">
        <v>71</v>
      </c>
      <c r="D50" s="49"/>
      <c r="F50" t="s">
        <v>74</v>
      </c>
      <c r="H50" s="10"/>
      <c r="I50" t="s">
        <v>77</v>
      </c>
      <c r="J50" s="10"/>
      <c r="L50" s="25">
        <v>12</v>
      </c>
      <c r="M50" s="28">
        <v>6078.9473684210525</v>
      </c>
      <c r="N50" s="28">
        <v>1</v>
      </c>
      <c r="O50" s="28">
        <v>14.033281409769163</v>
      </c>
      <c r="P50" s="28">
        <v>20</v>
      </c>
      <c r="Q50" s="28">
        <v>0.28849499575694243</v>
      </c>
      <c r="R50" s="28">
        <v>3</v>
      </c>
      <c r="S50" s="28">
        <v>20</v>
      </c>
      <c r="T50" s="27">
        <v>0.17500000000000002</v>
      </c>
      <c r="U50" s="44"/>
      <c r="V50" s="43"/>
      <c r="W50" s="43"/>
      <c r="X50" s="25">
        <v>12</v>
      </c>
      <c r="Y50" s="28">
        <v>13105.263157894737</v>
      </c>
      <c r="Z50" s="28">
        <v>1</v>
      </c>
      <c r="AA50" s="28">
        <v>11.480292276910001</v>
      </c>
      <c r="AB50" s="28">
        <v>20</v>
      </c>
      <c r="AC50" s="28">
        <v>0.20828918240050207</v>
      </c>
      <c r="AD50" s="28">
        <v>1</v>
      </c>
      <c r="AE50" s="28">
        <v>20</v>
      </c>
      <c r="AF50" s="27">
        <v>0.2</v>
      </c>
    </row>
    <row r="51" spans="1:37" ht="18" x14ac:dyDescent="0.35">
      <c r="A51" s="17" t="s">
        <v>82</v>
      </c>
      <c r="B51" s="17" t="s">
        <v>79</v>
      </c>
      <c r="C51" s="17" t="s">
        <v>34</v>
      </c>
      <c r="D51" s="17" t="s">
        <v>35</v>
      </c>
      <c r="F51" s="17" t="s">
        <v>35</v>
      </c>
      <c r="G51" s="17" t="s">
        <v>36</v>
      </c>
      <c r="H51" s="10"/>
      <c r="I51" s="17" t="s">
        <v>34</v>
      </c>
      <c r="J51" s="15" t="s">
        <v>37</v>
      </c>
      <c r="L51" s="25">
        <v>13</v>
      </c>
      <c r="M51" s="28">
        <v>6631.5789473684217</v>
      </c>
      <c r="N51" s="28">
        <v>1</v>
      </c>
      <c r="O51" s="28">
        <v>13.939937177702699</v>
      </c>
      <c r="P51" s="28">
        <v>20</v>
      </c>
      <c r="Q51" s="28">
        <v>0.28716509422262382</v>
      </c>
      <c r="R51" s="28">
        <v>3</v>
      </c>
      <c r="S51" s="28">
        <v>20</v>
      </c>
      <c r="T51" s="27">
        <v>0.17500000000000002</v>
      </c>
      <c r="U51" s="44"/>
      <c r="V51" s="43"/>
      <c r="W51" s="43"/>
      <c r="X51" s="25">
        <v>13</v>
      </c>
      <c r="Y51" s="28">
        <v>13342.105263157895</v>
      </c>
      <c r="Z51" s="28">
        <v>1</v>
      </c>
      <c r="AA51" s="28">
        <v>11.305423627872702</v>
      </c>
      <c r="AB51" s="28">
        <v>20</v>
      </c>
      <c r="AC51" s="28">
        <v>0.20642666101881432</v>
      </c>
      <c r="AD51" s="28">
        <v>1</v>
      </c>
      <c r="AE51" s="28">
        <v>20</v>
      </c>
      <c r="AF51" s="27">
        <v>0.2</v>
      </c>
    </row>
    <row r="52" spans="1:37" x14ac:dyDescent="0.25">
      <c r="A52" s="17" t="s">
        <v>21</v>
      </c>
      <c r="B52" s="17" t="s">
        <v>12</v>
      </c>
      <c r="C52" s="17" t="s">
        <v>25</v>
      </c>
      <c r="D52" s="17" t="s">
        <v>25</v>
      </c>
      <c r="F52" s="17" t="s">
        <v>25</v>
      </c>
      <c r="G52" s="17" t="s">
        <v>33</v>
      </c>
      <c r="H52" s="10"/>
      <c r="I52" s="17" t="s">
        <v>25</v>
      </c>
      <c r="J52" s="17" t="s">
        <v>26</v>
      </c>
      <c r="L52" s="25">
        <v>14</v>
      </c>
      <c r="M52" s="28">
        <v>7184.21052631579</v>
      </c>
      <c r="N52" s="28">
        <v>1</v>
      </c>
      <c r="O52" s="28">
        <v>13.845580115862946</v>
      </c>
      <c r="P52" s="28">
        <v>20</v>
      </c>
      <c r="Q52" s="28">
        <v>0.2858184415422283</v>
      </c>
      <c r="R52" s="28">
        <v>3</v>
      </c>
      <c r="S52" s="28">
        <v>20</v>
      </c>
      <c r="T52" s="27">
        <v>0.17500000000000002</v>
      </c>
      <c r="U52" s="44"/>
      <c r="V52" s="43"/>
      <c r="W52" s="43"/>
      <c r="X52" s="25">
        <v>14</v>
      </c>
      <c r="Y52" s="28">
        <v>13578.947368421053</v>
      </c>
      <c r="Z52" s="28">
        <v>1</v>
      </c>
      <c r="AA52" s="28">
        <v>11.127972254667773</v>
      </c>
      <c r="AB52" s="28">
        <v>20</v>
      </c>
      <c r="AC52" s="28">
        <v>0.20452574951943434</v>
      </c>
      <c r="AD52" s="28">
        <v>1</v>
      </c>
      <c r="AE52" s="28">
        <v>20</v>
      </c>
      <c r="AF52" s="27">
        <v>0.2</v>
      </c>
    </row>
    <row r="53" spans="1:37" x14ac:dyDescent="0.25">
      <c r="A53" s="16">
        <v>466.71839361840983</v>
      </c>
      <c r="B53" s="16"/>
      <c r="C53" s="16">
        <v>3000</v>
      </c>
      <c r="D53" s="16">
        <v>1</v>
      </c>
      <c r="F53" s="18">
        <v>0</v>
      </c>
      <c r="G53" s="18">
        <v>20</v>
      </c>
      <c r="H53" s="10"/>
      <c r="I53" s="18">
        <v>0</v>
      </c>
      <c r="J53" s="19">
        <v>150</v>
      </c>
      <c r="L53" s="25">
        <v>15</v>
      </c>
      <c r="M53" s="28">
        <v>7736.8421052631584</v>
      </c>
      <c r="N53" s="28">
        <v>1</v>
      </c>
      <c r="O53" s="28">
        <v>13.750176886501912</v>
      </c>
      <c r="P53" s="28">
        <v>20</v>
      </c>
      <c r="Q53" s="28">
        <v>0.28445444717102086</v>
      </c>
      <c r="R53" s="28">
        <v>3</v>
      </c>
      <c r="S53" s="28">
        <v>20</v>
      </c>
      <c r="T53" s="27">
        <v>0.17500000000000002</v>
      </c>
      <c r="U53" s="44"/>
      <c r="V53" s="43"/>
      <c r="W53" s="43"/>
      <c r="X53" s="25">
        <v>15</v>
      </c>
      <c r="Y53" s="28">
        <v>13815.78947368421</v>
      </c>
      <c r="Z53" s="28">
        <v>1</v>
      </c>
      <c r="AA53" s="28">
        <v>10.947742010952211</v>
      </c>
      <c r="AB53" s="28">
        <v>20</v>
      </c>
      <c r="AC53" s="28">
        <v>0.20258324236638989</v>
      </c>
      <c r="AD53" s="28">
        <v>1</v>
      </c>
      <c r="AE53" s="28">
        <v>20</v>
      </c>
      <c r="AF53" s="27">
        <v>0.2</v>
      </c>
    </row>
    <row r="54" spans="1:37" x14ac:dyDescent="0.25">
      <c r="C54" s="16">
        <v>10500</v>
      </c>
      <c r="D54" s="16">
        <v>1</v>
      </c>
      <c r="F54" s="18">
        <v>1500</v>
      </c>
      <c r="G54" s="18">
        <v>20</v>
      </c>
      <c r="H54" s="10"/>
      <c r="I54" s="18">
        <v>10</v>
      </c>
      <c r="J54" s="19">
        <f>J53</f>
        <v>150</v>
      </c>
      <c r="L54" s="25">
        <v>16</v>
      </c>
      <c r="M54" s="28">
        <v>8289.4736842105267</v>
      </c>
      <c r="N54" s="28">
        <v>1</v>
      </c>
      <c r="O54" s="28">
        <v>13.65370560615921</v>
      </c>
      <c r="P54" s="28">
        <v>20</v>
      </c>
      <c r="Q54" s="28">
        <v>0.28307270765443537</v>
      </c>
      <c r="R54" s="28">
        <v>3</v>
      </c>
      <c r="S54" s="28">
        <v>20</v>
      </c>
      <c r="T54" s="27">
        <v>0.17500000000000002</v>
      </c>
      <c r="U54" s="44"/>
      <c r="V54" s="43"/>
      <c r="W54" s="43"/>
      <c r="X54" s="25">
        <v>16</v>
      </c>
      <c r="Y54" s="28">
        <v>14052.631578947368</v>
      </c>
      <c r="Z54" s="28">
        <v>1</v>
      </c>
      <c r="AA54" s="28">
        <v>10.764571040144697</v>
      </c>
      <c r="AB54" s="28">
        <v>20</v>
      </c>
      <c r="AC54" s="28">
        <v>0.20059639042121746</v>
      </c>
      <c r="AD54" s="28">
        <v>1</v>
      </c>
      <c r="AE54" s="28">
        <v>20</v>
      </c>
      <c r="AF54" s="27">
        <v>0.2</v>
      </c>
    </row>
    <row r="55" spans="1:37" x14ac:dyDescent="0.25">
      <c r="C55" s="16"/>
      <c r="D55" s="16"/>
      <c r="F55" s="18">
        <v>2500</v>
      </c>
      <c r="G55" s="18">
        <v>20</v>
      </c>
      <c r="H55" s="10"/>
      <c r="I55" s="18"/>
      <c r="J55" s="19"/>
      <c r="L55" s="25">
        <v>17</v>
      </c>
      <c r="M55" s="28">
        <v>8842.105263157895</v>
      </c>
      <c r="N55" s="28">
        <v>1</v>
      </c>
      <c r="O55" s="28">
        <v>13.556126264411407</v>
      </c>
      <c r="P55" s="28">
        <v>20</v>
      </c>
      <c r="Q55" s="28">
        <v>0.28167251497361201</v>
      </c>
      <c r="R55" s="28">
        <v>3</v>
      </c>
      <c r="S55" s="28">
        <v>20</v>
      </c>
      <c r="T55" s="27">
        <v>0.17500000000000002</v>
      </c>
      <c r="U55" s="44"/>
      <c r="V55" s="43"/>
      <c r="W55" s="43"/>
      <c r="X55" s="25">
        <v>17</v>
      </c>
      <c r="Y55" s="28">
        <v>14289.473684210527</v>
      </c>
      <c r="Z55" s="28">
        <v>1</v>
      </c>
      <c r="AA55" s="28">
        <v>10.578428855517707</v>
      </c>
      <c r="AB55" s="28">
        <v>20</v>
      </c>
      <c r="AC55" s="28">
        <v>0.19856439691308095</v>
      </c>
      <c r="AD55" s="28">
        <v>1</v>
      </c>
      <c r="AE55" s="28">
        <v>20</v>
      </c>
      <c r="AF55" s="27">
        <v>0.2</v>
      </c>
    </row>
    <row r="56" spans="1:37" x14ac:dyDescent="0.25">
      <c r="A56" t="s">
        <v>85</v>
      </c>
      <c r="C56" s="49" t="s">
        <v>72</v>
      </c>
      <c r="D56" s="49"/>
      <c r="F56" t="s">
        <v>75</v>
      </c>
      <c r="H56" s="10"/>
      <c r="I56" t="s">
        <v>78</v>
      </c>
      <c r="J56" s="10"/>
      <c r="L56" s="25">
        <v>18</v>
      </c>
      <c r="M56" s="28">
        <v>9394.7368421052633</v>
      </c>
      <c r="N56" s="28">
        <v>1</v>
      </c>
      <c r="O56" s="28">
        <v>13.457418468233831</v>
      </c>
      <c r="P56" s="28">
        <v>20</v>
      </c>
      <c r="Q56" s="28">
        <v>0.28025348462422295</v>
      </c>
      <c r="R56" s="28">
        <v>3</v>
      </c>
      <c r="S56" s="28">
        <v>20</v>
      </c>
      <c r="T56" s="27">
        <v>0.17500000000000002</v>
      </c>
      <c r="U56" s="44"/>
      <c r="V56" s="43"/>
      <c r="W56" s="43"/>
      <c r="X56" s="25">
        <v>18</v>
      </c>
      <c r="Y56" s="28">
        <v>14526.315789473683</v>
      </c>
      <c r="Z56" s="28">
        <v>1</v>
      </c>
      <c r="AA56" s="28">
        <v>10.389012481794431</v>
      </c>
      <c r="AB56" s="28">
        <v>20</v>
      </c>
      <c r="AC56" s="28">
        <v>0.1964822681415474</v>
      </c>
      <c r="AD56" s="28">
        <v>1</v>
      </c>
      <c r="AE56" s="28">
        <v>20</v>
      </c>
      <c r="AF56" s="27">
        <v>0.2</v>
      </c>
      <c r="AK56" t="s">
        <v>99</v>
      </c>
    </row>
    <row r="57" spans="1:37" ht="18" x14ac:dyDescent="0.35">
      <c r="A57" s="17" t="s">
        <v>83</v>
      </c>
      <c r="B57" s="17" t="s">
        <v>80</v>
      </c>
      <c r="C57" s="17" t="s">
        <v>34</v>
      </c>
      <c r="D57" s="17" t="s">
        <v>35</v>
      </c>
      <c r="F57" s="17" t="s">
        <v>35</v>
      </c>
      <c r="G57" s="17" t="s">
        <v>36</v>
      </c>
      <c r="H57" s="10"/>
      <c r="I57" s="17" t="s">
        <v>34</v>
      </c>
      <c r="J57" s="15" t="s">
        <v>37</v>
      </c>
      <c r="L57" s="25">
        <v>19</v>
      </c>
      <c r="M57" s="28">
        <v>9947.3684210526317</v>
      </c>
      <c r="N57" s="28">
        <v>1</v>
      </c>
      <c r="O57" s="28">
        <v>13.357534713215651</v>
      </c>
      <c r="P57" s="28">
        <v>20</v>
      </c>
      <c r="Q57" s="28">
        <v>0.27881477565275042</v>
      </c>
      <c r="R57" s="28">
        <v>3</v>
      </c>
      <c r="S57" s="28">
        <v>20</v>
      </c>
      <c r="T57" s="27">
        <v>0.17500000000000002</v>
      </c>
      <c r="U57" s="44"/>
      <c r="V57" s="43"/>
      <c r="W57" s="43"/>
      <c r="X57" s="25">
        <v>19</v>
      </c>
      <c r="Y57" s="28">
        <v>14763.157894736842</v>
      </c>
      <c r="Z57" s="28">
        <v>1</v>
      </c>
      <c r="AA57" s="28">
        <v>10.196240849837839</v>
      </c>
      <c r="AB57" s="28">
        <v>20</v>
      </c>
      <c r="AC57" s="28">
        <v>0.19434834199352474</v>
      </c>
      <c r="AD57" s="28">
        <v>1</v>
      </c>
      <c r="AE57" s="28">
        <v>20</v>
      </c>
      <c r="AF57" s="27">
        <v>0.2</v>
      </c>
      <c r="AK57" t="s">
        <v>100</v>
      </c>
    </row>
    <row r="58" spans="1:37" x14ac:dyDescent="0.25">
      <c r="A58" s="17" t="s">
        <v>21</v>
      </c>
      <c r="B58" s="17" t="s">
        <v>12</v>
      </c>
      <c r="C58" s="17" t="s">
        <v>25</v>
      </c>
      <c r="D58" s="17" t="s">
        <v>25</v>
      </c>
      <c r="F58" s="17" t="s">
        <v>25</v>
      </c>
      <c r="G58" s="17" t="s">
        <v>33</v>
      </c>
      <c r="H58" s="10"/>
      <c r="I58" s="17" t="s">
        <v>25</v>
      </c>
      <c r="J58" s="17" t="s">
        <v>26</v>
      </c>
      <c r="L58" s="29">
        <v>20</v>
      </c>
      <c r="M58" s="30">
        <v>10500</v>
      </c>
      <c r="N58" s="30">
        <v>1</v>
      </c>
      <c r="O58" s="30">
        <v>13.256456215818279</v>
      </c>
      <c r="P58" s="30">
        <v>20</v>
      </c>
      <c r="Q58" s="30">
        <v>0.27735602405341314</v>
      </c>
      <c r="R58" s="30">
        <v>3</v>
      </c>
      <c r="S58" s="30">
        <v>20</v>
      </c>
      <c r="T58" s="31">
        <v>0.17500000000000002</v>
      </c>
      <c r="U58" s="44"/>
      <c r="V58" s="43"/>
      <c r="W58" s="43"/>
      <c r="X58" s="29">
        <v>20</v>
      </c>
      <c r="Y58" s="30">
        <v>15000</v>
      </c>
      <c r="Z58" s="30">
        <v>1</v>
      </c>
      <c r="AA58" s="30">
        <v>10</v>
      </c>
      <c r="AB58" s="30">
        <v>20</v>
      </c>
      <c r="AC58" s="30">
        <v>0.19216042036778788</v>
      </c>
      <c r="AD58" s="30">
        <v>1</v>
      </c>
      <c r="AE58" s="30">
        <v>20</v>
      </c>
      <c r="AF58" s="31">
        <v>0.2</v>
      </c>
      <c r="AK58" t="s">
        <v>101</v>
      </c>
    </row>
    <row r="59" spans="1:37" x14ac:dyDescent="0.25">
      <c r="A59" s="16">
        <f>A46+A53</f>
        <v>741.53097946159551</v>
      </c>
      <c r="B59" s="16">
        <v>10</v>
      </c>
      <c r="C59" s="16">
        <v>10500</v>
      </c>
      <c r="D59" s="16">
        <v>1</v>
      </c>
      <c r="F59" s="18">
        <v>0</v>
      </c>
      <c r="G59" s="18">
        <v>20</v>
      </c>
      <c r="H59" s="10"/>
      <c r="I59" s="18">
        <v>0</v>
      </c>
      <c r="J59" s="19">
        <v>200</v>
      </c>
      <c r="L59" t="s">
        <v>92</v>
      </c>
      <c r="O59">
        <f>L61</f>
        <v>19.999992356453458</v>
      </c>
      <c r="AK59" t="s">
        <v>102</v>
      </c>
    </row>
    <row r="60" spans="1:37" x14ac:dyDescent="0.25">
      <c r="A60" s="16"/>
      <c r="B60" s="16"/>
      <c r="C60" s="16">
        <v>15000</v>
      </c>
      <c r="D60" s="16">
        <v>1</v>
      </c>
      <c r="F60" s="18">
        <v>1500</v>
      </c>
      <c r="G60" s="18">
        <v>20</v>
      </c>
      <c r="H60" s="10"/>
      <c r="I60" s="18">
        <v>10</v>
      </c>
      <c r="J60" s="19">
        <f>J59</f>
        <v>200</v>
      </c>
      <c r="L60" t="s">
        <v>88</v>
      </c>
      <c r="AK60" t="s">
        <v>103</v>
      </c>
    </row>
    <row r="61" spans="1:37" x14ac:dyDescent="0.25">
      <c r="A61" s="17"/>
      <c r="B61" s="17"/>
      <c r="C61" s="16"/>
      <c r="D61" s="16"/>
      <c r="F61" s="18">
        <v>2500</v>
      </c>
      <c r="G61" s="18">
        <v>20</v>
      </c>
      <c r="H61" s="10"/>
      <c r="I61" s="18"/>
      <c r="J61" s="19"/>
      <c r="L61" s="32">
        <f t="array" ref="L61:T83">[1]!MF_p_pipeline_atma(X36,T0,F53:G55,C53:D54,I53:J55,A53,fw_,Qgas_free,PVTstr_,calc_flow_direction1_,Hydr_corr_,temp_model)</f>
        <v>19.999992356453458</v>
      </c>
      <c r="M61" s="23">
        <v>20</v>
      </c>
      <c r="N61" s="23">
        <v>19.999992356453458</v>
      </c>
      <c r="O61" s="23">
        <v>20</v>
      </c>
      <c r="P61" s="23">
        <v>13.256456215818279</v>
      </c>
      <c r="Q61" s="23">
        <v>20</v>
      </c>
      <c r="R61" s="23">
        <v>1</v>
      </c>
      <c r="S61" s="23">
        <v>1</v>
      </c>
      <c r="T61" s="24">
        <v>70007.759042761478</v>
      </c>
      <c r="AK61" t="s">
        <v>104</v>
      </c>
    </row>
    <row r="62" spans="1:37" x14ac:dyDescent="0.25">
      <c r="B62" s="50"/>
      <c r="C62" s="50"/>
      <c r="D62" s="49"/>
      <c r="E62" s="49"/>
      <c r="F62" s="49"/>
      <c r="G62" s="51"/>
      <c r="H62" s="49"/>
      <c r="I62" s="49"/>
      <c r="L62" s="25" t="str">
        <v>p_result_atma</v>
      </c>
      <c r="M62" s="26" t="str">
        <v>t_result_C</v>
      </c>
      <c r="N62" s="26" t="str">
        <v>p_1, atma</v>
      </c>
      <c r="O62" s="26" t="str">
        <v>t_1, C</v>
      </c>
      <c r="P62" s="26" t="str">
        <v>p_2, atma</v>
      </c>
      <c r="Q62" s="26" t="str">
        <v>t_2, C</v>
      </c>
      <c r="R62" s="26" t="str">
        <v>c_calibr_grav</v>
      </c>
      <c r="S62" s="26" t="str">
        <v>c_calibr_fric</v>
      </c>
      <c r="T62" s="27" t="str">
        <v>q_gas_sm3day</v>
      </c>
      <c r="AK62" t="s">
        <v>105</v>
      </c>
    </row>
    <row r="63" spans="1:37" x14ac:dyDescent="0.25">
      <c r="B63" s="50"/>
      <c r="C63" s="50"/>
      <c r="D63" s="49"/>
      <c r="E63" s="49"/>
      <c r="F63" s="49"/>
      <c r="G63" s="51"/>
      <c r="H63" s="49"/>
      <c r="I63" s="49"/>
      <c r="L63" s="25" t="str">
        <v>num</v>
      </c>
      <c r="M63" s="26" t="str">
        <v>h,m</v>
      </c>
      <c r="N63" s="26" t="str">
        <v>hvert,m</v>
      </c>
      <c r="O63" s="26" t="str">
        <v>p,atma</v>
      </c>
      <c r="P63" s="26" t="str">
        <v>t,C</v>
      </c>
      <c r="Q63" s="26" t="str">
        <v>Hl</v>
      </c>
      <c r="R63" s="26" t="str">
        <v>fpat</v>
      </c>
      <c r="S63" s="26" t="str">
        <v>t_amb, C</v>
      </c>
      <c r="T63" s="27" t="str">
        <v>diam, m</v>
      </c>
      <c r="AK63" t="s">
        <v>106</v>
      </c>
    </row>
    <row r="64" spans="1:37" x14ac:dyDescent="0.25">
      <c r="B64" s="50"/>
      <c r="C64" s="50"/>
      <c r="D64" s="49"/>
      <c r="E64" s="49"/>
      <c r="F64" s="49"/>
      <c r="G64" s="51"/>
      <c r="H64" s="49"/>
      <c r="I64" s="49"/>
      <c r="L64" s="25">
        <v>1</v>
      </c>
      <c r="M64" s="28">
        <v>3000</v>
      </c>
      <c r="N64" s="28">
        <v>1</v>
      </c>
      <c r="O64" s="28">
        <v>19.999992356453458</v>
      </c>
      <c r="P64" s="28">
        <v>20</v>
      </c>
      <c r="Q64" s="28">
        <v>0.28700193610997032</v>
      </c>
      <c r="R64" s="28">
        <v>1</v>
      </c>
      <c r="S64" s="28">
        <v>20</v>
      </c>
      <c r="T64" s="27">
        <v>0.15</v>
      </c>
      <c r="AK64" t="s">
        <v>107</v>
      </c>
    </row>
    <row r="65" spans="2:37" x14ac:dyDescent="0.25">
      <c r="B65" s="50"/>
      <c r="C65" s="50"/>
      <c r="D65" s="49"/>
      <c r="E65" s="49"/>
      <c r="F65" s="49"/>
      <c r="G65" s="51"/>
      <c r="H65" s="49"/>
      <c r="I65" s="49"/>
      <c r="L65" s="25">
        <v>2</v>
      </c>
      <c r="M65" s="28">
        <v>3394.7368421052633</v>
      </c>
      <c r="N65" s="28">
        <v>1</v>
      </c>
      <c r="O65" s="28">
        <v>19.702678640775414</v>
      </c>
      <c r="P65" s="28">
        <v>20</v>
      </c>
      <c r="Q65" s="28">
        <v>0.28441952112884844</v>
      </c>
      <c r="R65" s="28">
        <v>1</v>
      </c>
      <c r="S65" s="28">
        <v>20</v>
      </c>
      <c r="T65" s="27">
        <v>0.15</v>
      </c>
      <c r="AK65" t="s">
        <v>108</v>
      </c>
    </row>
    <row r="66" spans="2:37" x14ac:dyDescent="0.25">
      <c r="B66" s="50"/>
      <c r="C66" s="50"/>
      <c r="D66" s="49"/>
      <c r="E66" s="49"/>
      <c r="F66" s="49"/>
      <c r="G66" s="51"/>
      <c r="H66" s="49"/>
      <c r="I66" s="49"/>
      <c r="L66" s="25">
        <v>3</v>
      </c>
      <c r="M66" s="28">
        <v>3789.4736842105262</v>
      </c>
      <c r="N66" s="28">
        <v>1</v>
      </c>
      <c r="O66" s="28">
        <v>19.400757815691552</v>
      </c>
      <c r="P66" s="28">
        <v>20</v>
      </c>
      <c r="Q66" s="28">
        <v>0.28178424700030141</v>
      </c>
      <c r="R66" s="28">
        <v>1</v>
      </c>
      <c r="S66" s="28">
        <v>20</v>
      </c>
      <c r="T66" s="27">
        <v>0.15</v>
      </c>
      <c r="AK66" t="s">
        <v>109</v>
      </c>
    </row>
    <row r="67" spans="2:37" ht="30" customHeight="1" x14ac:dyDescent="0.25">
      <c r="B67" s="50"/>
      <c r="C67" s="50"/>
      <c r="D67" s="49"/>
      <c r="E67" s="49"/>
      <c r="F67" s="52" t="s">
        <v>93</v>
      </c>
      <c r="G67" s="52"/>
      <c r="H67" s="49"/>
      <c r="I67" s="49"/>
      <c r="L67" s="25">
        <v>4</v>
      </c>
      <c r="M67" s="28">
        <v>4184.2105263157891</v>
      </c>
      <c r="N67" s="28">
        <v>1</v>
      </c>
      <c r="O67" s="28">
        <v>19.094017483920954</v>
      </c>
      <c r="P67" s="28">
        <v>20</v>
      </c>
      <c r="Q67" s="28">
        <v>0.27909329741587541</v>
      </c>
      <c r="R67" s="28">
        <v>1</v>
      </c>
      <c r="S67" s="28">
        <v>20</v>
      </c>
      <c r="T67" s="27">
        <v>0.15</v>
      </c>
      <c r="AK67" t="s">
        <v>110</v>
      </c>
    </row>
    <row r="68" spans="2:37" x14ac:dyDescent="0.25">
      <c r="B68" s="50"/>
      <c r="C68" s="50"/>
      <c r="D68" s="49"/>
      <c r="E68" s="49"/>
      <c r="F68" s="17" t="s">
        <v>94</v>
      </c>
      <c r="G68" s="17" t="s">
        <v>95</v>
      </c>
      <c r="H68" s="49"/>
      <c r="I68" s="49"/>
      <c r="L68" s="25">
        <v>5</v>
      </c>
      <c r="M68" s="28">
        <v>4578.9473684210525</v>
      </c>
      <c r="N68" s="28">
        <v>1</v>
      </c>
      <c r="O68" s="28">
        <v>18.782228351875144</v>
      </c>
      <c r="P68" s="28">
        <v>20</v>
      </c>
      <c r="Q68" s="28">
        <v>0.27634360950417725</v>
      </c>
      <c r="R68" s="28">
        <v>1</v>
      </c>
      <c r="S68" s="28">
        <v>20</v>
      </c>
      <c r="T68" s="27">
        <v>0.15</v>
      </c>
      <c r="AK68" t="s">
        <v>111</v>
      </c>
    </row>
    <row r="69" spans="2:37" x14ac:dyDescent="0.25">
      <c r="B69" s="49"/>
      <c r="C69" s="49"/>
      <c r="D69" s="49"/>
      <c r="E69" s="49"/>
      <c r="F69" s="18">
        <v>15</v>
      </c>
      <c r="G69" s="18">
        <f>O34</f>
        <v>14.999994091276116</v>
      </c>
      <c r="H69" s="49"/>
      <c r="I69" s="49"/>
      <c r="L69" s="25">
        <v>6</v>
      </c>
      <c r="M69" s="28">
        <v>4973.6842105263158</v>
      </c>
      <c r="N69" s="28">
        <v>1</v>
      </c>
      <c r="O69" s="28">
        <v>18.465142277143553</v>
      </c>
      <c r="P69" s="28">
        <v>20</v>
      </c>
      <c r="Q69" s="28">
        <v>0.27353184331016861</v>
      </c>
      <c r="R69" s="28">
        <v>1</v>
      </c>
      <c r="S69" s="28">
        <v>20</v>
      </c>
      <c r="T69" s="27">
        <v>0.15</v>
      </c>
      <c r="AK69" t="s">
        <v>112</v>
      </c>
    </row>
    <row r="70" spans="2:37" ht="30" customHeight="1" x14ac:dyDescent="0.25">
      <c r="F70" s="52" t="s">
        <v>96</v>
      </c>
      <c r="G70" s="52"/>
      <c r="L70" s="25">
        <v>7</v>
      </c>
      <c r="M70" s="28">
        <v>5368.4210526315792</v>
      </c>
      <c r="N70" s="28">
        <v>1</v>
      </c>
      <c r="O70" s="28">
        <v>18.142490015085997</v>
      </c>
      <c r="P70" s="28">
        <v>20</v>
      </c>
      <c r="Q70" s="28">
        <v>0.27065434631048524</v>
      </c>
      <c r="R70" s="28">
        <v>1</v>
      </c>
      <c r="S70" s="28">
        <v>20</v>
      </c>
      <c r="T70" s="27">
        <v>0.15</v>
      </c>
    </row>
    <row r="71" spans="2:37" x14ac:dyDescent="0.25">
      <c r="F71" s="17" t="s">
        <v>94</v>
      </c>
      <c r="G71" s="17" t="s">
        <v>95</v>
      </c>
      <c r="L71" s="25">
        <v>8</v>
      </c>
      <c r="M71" s="28">
        <v>5763.1578947368425</v>
      </c>
      <c r="N71" s="28">
        <v>1</v>
      </c>
      <c r="O71" s="28">
        <v>17.813978605728121</v>
      </c>
      <c r="P71" s="28">
        <v>20</v>
      </c>
      <c r="Q71" s="28">
        <v>0.26770711195044078</v>
      </c>
      <c r="R71" s="28">
        <v>1</v>
      </c>
      <c r="S71" s="28">
        <v>20</v>
      </c>
      <c r="T71" s="27">
        <v>0.15</v>
      </c>
    </row>
    <row r="72" spans="2:37" x14ac:dyDescent="0.25">
      <c r="F72" s="18">
        <v>20</v>
      </c>
      <c r="G72" s="18">
        <f>O59</f>
        <v>19.999992356453458</v>
      </c>
      <c r="L72" s="25">
        <v>9</v>
      </c>
      <c r="M72" s="28">
        <v>6157.894736842105</v>
      </c>
      <c r="N72" s="28">
        <v>1</v>
      </c>
      <c r="O72" s="28">
        <v>17.47928832805286</v>
      </c>
      <c r="P72" s="28">
        <v>20</v>
      </c>
      <c r="Q72" s="28">
        <v>0.26468573093564468</v>
      </c>
      <c r="R72" s="28">
        <v>1</v>
      </c>
      <c r="S72" s="28">
        <v>20</v>
      </c>
      <c r="T72" s="27">
        <v>0.15</v>
      </c>
    </row>
    <row r="73" spans="2:37" x14ac:dyDescent="0.25">
      <c r="F73" s="52"/>
      <c r="G73" s="52"/>
      <c r="L73" s="25">
        <v>10</v>
      </c>
      <c r="M73" s="28">
        <v>6552.6315789473683</v>
      </c>
      <c r="N73" s="28">
        <v>1</v>
      </c>
      <c r="O73" s="28">
        <v>17.138069130621233</v>
      </c>
      <c r="P73" s="28">
        <v>20</v>
      </c>
      <c r="Q73" s="28">
        <v>0.26158533368325232</v>
      </c>
      <c r="R73" s="28">
        <v>1</v>
      </c>
      <c r="S73" s="28">
        <v>20</v>
      </c>
      <c r="T73" s="27">
        <v>0.15</v>
      </c>
    </row>
    <row r="74" spans="2:37" x14ac:dyDescent="0.25">
      <c r="F74" s="53" t="s">
        <v>97</v>
      </c>
      <c r="G74" s="53"/>
      <c r="L74" s="25">
        <v>11</v>
      </c>
      <c r="M74" s="28">
        <v>6947.3684210526317</v>
      </c>
      <c r="N74" s="28">
        <v>1</v>
      </c>
      <c r="O74" s="28">
        <v>16.789936423863296</v>
      </c>
      <c r="P74" s="28">
        <v>20</v>
      </c>
      <c r="Q74" s="28">
        <v>0.25840052190849433</v>
      </c>
      <c r="R74" s="28">
        <v>1</v>
      </c>
      <c r="S74" s="28">
        <v>20</v>
      </c>
      <c r="T74" s="27">
        <v>0.15</v>
      </c>
    </row>
    <row r="75" spans="2:37" x14ac:dyDescent="0.25">
      <c r="F75" s="54">
        <f>(F69-G69)^2+(F72-G72)^2</f>
        <v>9.333682167688725E-11</v>
      </c>
      <c r="G75" s="54"/>
      <c r="L75" s="25">
        <v>12</v>
      </c>
      <c r="M75" s="28">
        <v>7342.105263157895</v>
      </c>
      <c r="N75" s="28">
        <v>1</v>
      </c>
      <c r="O75" s="28">
        <v>16.434466088433854</v>
      </c>
      <c r="P75" s="28">
        <v>20</v>
      </c>
      <c r="Q75" s="28">
        <v>0.25512528675434293</v>
      </c>
      <c r="R75" s="28">
        <v>1</v>
      </c>
      <c r="S75" s="28">
        <v>20</v>
      </c>
      <c r="T75" s="27">
        <v>0.15</v>
      </c>
    </row>
    <row r="76" spans="2:37" x14ac:dyDescent="0.25">
      <c r="L76" s="25">
        <v>13</v>
      </c>
      <c r="M76" s="28">
        <v>7736.8421052631584</v>
      </c>
      <c r="N76" s="28">
        <v>1</v>
      </c>
      <c r="O76" s="28">
        <v>16.071188513016104</v>
      </c>
      <c r="P76" s="28">
        <v>20</v>
      </c>
      <c r="Q76" s="28">
        <v>0.25175291011332696</v>
      </c>
      <c r="R76" s="28">
        <v>1</v>
      </c>
      <c r="S76" s="28">
        <v>20</v>
      </c>
      <c r="T76" s="27">
        <v>0.15</v>
      </c>
    </row>
    <row r="77" spans="2:37" x14ac:dyDescent="0.25">
      <c r="L77" s="25">
        <v>14</v>
      </c>
      <c r="M77" s="28">
        <v>8131.5789473684217</v>
      </c>
      <c r="N77" s="28">
        <v>1</v>
      </c>
      <c r="O77" s="28">
        <v>15.699581419996408</v>
      </c>
      <c r="P77" s="28">
        <v>20</v>
      </c>
      <c r="Q77" s="28">
        <v>0.2482758447646547</v>
      </c>
      <c r="R77" s="28">
        <v>1</v>
      </c>
      <c r="S77" s="28">
        <v>20</v>
      </c>
      <c r="T77" s="27">
        <v>0.15</v>
      </c>
    </row>
    <row r="78" spans="2:37" x14ac:dyDescent="0.25">
      <c r="L78" s="25">
        <v>15</v>
      </c>
      <c r="M78" s="28">
        <v>8526.3157894736851</v>
      </c>
      <c r="N78" s="28">
        <v>1</v>
      </c>
      <c r="O78" s="28">
        <v>15.319061162889879</v>
      </c>
      <c r="P78" s="28">
        <v>20</v>
      </c>
      <c r="Q78" s="28">
        <v>0.2446855675456785</v>
      </c>
      <c r="R78" s="28">
        <v>1</v>
      </c>
      <c r="S78" s="28">
        <v>20</v>
      </c>
      <c r="T78" s="27">
        <v>0.15</v>
      </c>
    </row>
    <row r="79" spans="2:37" x14ac:dyDescent="0.25">
      <c r="L79" s="25">
        <v>16</v>
      </c>
      <c r="M79" s="28">
        <v>8921.0526315789484</v>
      </c>
      <c r="N79" s="28">
        <v>1</v>
      </c>
      <c r="O79" s="28">
        <v>14.928972076958409</v>
      </c>
      <c r="P79" s="28">
        <v>20</v>
      </c>
      <c r="Q79" s="28">
        <v>0.24097239782881288</v>
      </c>
      <c r="R79" s="28">
        <v>1</v>
      </c>
      <c r="S79" s="28">
        <v>20</v>
      </c>
      <c r="T79" s="27">
        <v>0.15</v>
      </c>
    </row>
    <row r="80" spans="2:37" x14ac:dyDescent="0.25">
      <c r="L80" s="25">
        <v>17</v>
      </c>
      <c r="M80" s="28">
        <v>9315.78947368421</v>
      </c>
      <c r="N80" s="28">
        <v>1</v>
      </c>
      <c r="O80" s="28">
        <v>14.528573321668432</v>
      </c>
      <c r="P80" s="28">
        <v>20</v>
      </c>
      <c r="Q80" s="28">
        <v>0.23712527083269549</v>
      </c>
      <c r="R80" s="28">
        <v>1</v>
      </c>
      <c r="S80" s="28">
        <v>20</v>
      </c>
      <c r="T80" s="27">
        <v>0.15</v>
      </c>
    </row>
    <row r="81" spans="12:20" x14ac:dyDescent="0.25">
      <c r="L81" s="25">
        <v>18</v>
      </c>
      <c r="M81" s="28">
        <v>9710.5263157894733</v>
      </c>
      <c r="N81" s="28">
        <v>1</v>
      </c>
      <c r="O81" s="28">
        <v>14.117022451453028</v>
      </c>
      <c r="P81" s="28">
        <v>20</v>
      </c>
      <c r="Q81" s="28">
        <v>0.23313145137311631</v>
      </c>
      <c r="R81" s="28">
        <v>1</v>
      </c>
      <c r="S81" s="28">
        <v>20</v>
      </c>
      <c r="T81" s="27">
        <v>0.15</v>
      </c>
    </row>
    <row r="82" spans="12:20" x14ac:dyDescent="0.25">
      <c r="L82" s="25">
        <v>19</v>
      </c>
      <c r="M82" s="28">
        <v>10105.263157894737</v>
      </c>
      <c r="N82" s="28">
        <v>1</v>
      </c>
      <c r="O82" s="28">
        <v>13.693354660009595</v>
      </c>
      <c r="P82" s="28">
        <v>20</v>
      </c>
      <c r="Q82" s="28">
        <v>0.22897616794632597</v>
      </c>
      <c r="R82" s="28">
        <v>1</v>
      </c>
      <c r="S82" s="28">
        <v>20</v>
      </c>
      <c r="T82" s="27">
        <v>0.15</v>
      </c>
    </row>
    <row r="83" spans="12:20" x14ac:dyDescent="0.25">
      <c r="L83" s="29">
        <v>20</v>
      </c>
      <c r="M83" s="30">
        <v>10500</v>
      </c>
      <c r="N83" s="30">
        <v>1</v>
      </c>
      <c r="O83" s="30">
        <v>13.256456215818279</v>
      </c>
      <c r="P83" s="30">
        <v>20</v>
      </c>
      <c r="Q83" s="30">
        <v>0.22464213855423759</v>
      </c>
      <c r="R83" s="30">
        <v>1</v>
      </c>
      <c r="S83" s="30">
        <v>20</v>
      </c>
      <c r="T83" s="31">
        <v>0.15</v>
      </c>
    </row>
  </sheetData>
  <mergeCells count="16">
    <mergeCell ref="F27:G27"/>
    <mergeCell ref="F28:G28"/>
    <mergeCell ref="F29:G29"/>
    <mergeCell ref="F30:G30"/>
    <mergeCell ref="F31:G31"/>
    <mergeCell ref="F26:G26"/>
    <mergeCell ref="B3:E3"/>
    <mergeCell ref="B4:E4"/>
    <mergeCell ref="B5:E5"/>
    <mergeCell ref="B6:E8"/>
    <mergeCell ref="F25:G25"/>
    <mergeCell ref="F67:G67"/>
    <mergeCell ref="F70:G70"/>
    <mergeCell ref="F74:G74"/>
    <mergeCell ref="F73:G73"/>
    <mergeCell ref="F75:G7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48</vt:i4>
      </vt:variant>
    </vt:vector>
  </HeadingPairs>
  <TitlesOfParts>
    <vt:vector size="49" baseType="lpstr">
      <vt:lpstr>exercise_network</vt:lpstr>
      <vt:lpstr>exercise_network!Bob_</vt:lpstr>
      <vt:lpstr>exercise_network!calc_along_coord</vt:lpstr>
      <vt:lpstr>exercise_network!calc_along_coord1</vt:lpstr>
      <vt:lpstr>exercise_network!calc_flow_direction_</vt:lpstr>
      <vt:lpstr>exercise_network!calc_flow_direction1_</vt:lpstr>
      <vt:lpstr>exercise_network!calibr_fric</vt:lpstr>
      <vt:lpstr>exercise_network!calibr_grav</vt:lpstr>
      <vt:lpstr>exercise_network!calibr_type</vt:lpstr>
      <vt:lpstr>exercise_network!flow_along_coord</vt:lpstr>
      <vt:lpstr>exercise_network!flow_along_coord1</vt:lpstr>
      <vt:lpstr>exercise_network!fw_</vt:lpstr>
      <vt:lpstr>exercise_network!gamma_gas_</vt:lpstr>
      <vt:lpstr>exercise_network!gamma_oil_</vt:lpstr>
      <vt:lpstr>exercise_network!gamma_wat_</vt:lpstr>
      <vt:lpstr>exercise_network!gas_only_</vt:lpstr>
      <vt:lpstr>exercise_network!hcor</vt:lpstr>
      <vt:lpstr>exercise_network!Hydr_corr_</vt:lpstr>
      <vt:lpstr>exercise_network!inclinometry</vt:lpstr>
      <vt:lpstr>exercise_network!input_0</vt:lpstr>
      <vt:lpstr>exercise_network!input_1</vt:lpstr>
      <vt:lpstr>exercise_network!input_2</vt:lpstr>
      <vt:lpstr>exercise_network!input_3</vt:lpstr>
      <vt:lpstr>exercise_network!input_5</vt:lpstr>
      <vt:lpstr>exercise_network!input_6</vt:lpstr>
      <vt:lpstr>exercise_network!input_7</vt:lpstr>
      <vt:lpstr>exercise_network!input_Course</vt:lpstr>
      <vt:lpstr>exercise_network!input_Date</vt:lpstr>
      <vt:lpstr>exercise_network!input_Group</vt:lpstr>
      <vt:lpstr>exercise_network!input_Notes</vt:lpstr>
      <vt:lpstr>exercise_network!input_Student_Name</vt:lpstr>
      <vt:lpstr>exercise_network!input_Version</vt:lpstr>
      <vt:lpstr>exercise_network!Ksep</vt:lpstr>
      <vt:lpstr>exercise_network!muob_</vt:lpstr>
      <vt:lpstr>exercise_network!P0</vt:lpstr>
      <vt:lpstr>exercise_network!P1_</vt:lpstr>
      <vt:lpstr>exercise_network!Pb_</vt:lpstr>
      <vt:lpstr>exercise_network!Psep</vt:lpstr>
      <vt:lpstr>exercise_network!PVT_corr_</vt:lpstr>
      <vt:lpstr>exercise_network!PVTstr_</vt:lpstr>
      <vt:lpstr>exercise_network!Qgas_free</vt:lpstr>
      <vt:lpstr>exercise_network!Rp_</vt:lpstr>
      <vt:lpstr>exercise_network!Rsb_</vt:lpstr>
      <vt:lpstr>exercise_network!T0</vt:lpstr>
      <vt:lpstr>exercise_network!T1_</vt:lpstr>
      <vt:lpstr>exercise_network!temp_model</vt:lpstr>
      <vt:lpstr>exercise_network!tempm</vt:lpstr>
      <vt:lpstr>exercise_network!Tres_</vt:lpstr>
      <vt:lpstr>exercise_network!Tsep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Олег Кобзарь</cp:lastModifiedBy>
  <dcterms:created xsi:type="dcterms:W3CDTF">2019-10-28T06:57:59Z</dcterms:created>
  <dcterms:modified xsi:type="dcterms:W3CDTF">2020-06-20T12:57:29Z</dcterms:modified>
</cp:coreProperties>
</file>