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9ABA0A5-1F20-48E9-8985-468B0F86DBD4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IPR" sheetId="112" r:id="rId1"/>
  </sheets>
  <externalReferences>
    <externalReference r:id="rId2"/>
  </externalReferences>
  <definedNames>
    <definedName name="feed_json">IPR!$C$18</definedName>
    <definedName name="IPR_json">IPR!$F$9</definedName>
    <definedName name="prod_index">IPR!$F$8</definedName>
    <definedName name="pvt">#REF!</definedName>
    <definedName name="PVT_json">IPR!$C$13</definedName>
    <definedName name="pvt_pro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12" l="1"/>
  <c r="J6" i="112" a="1"/>
  <c r="H6" i="112" a="1"/>
  <c r="I5" i="112"/>
  <c r="I4" i="112"/>
  <c r="K9" i="112" l="1"/>
  <c r="K13" i="112"/>
  <c r="K17" i="112"/>
  <c r="K21" i="112"/>
  <c r="K25" i="112"/>
  <c r="J6" i="112"/>
  <c r="J10" i="112"/>
  <c r="J14" i="112"/>
  <c r="J18" i="112"/>
  <c r="J22" i="112"/>
  <c r="J26" i="112"/>
  <c r="K6" i="112"/>
  <c r="K10" i="112"/>
  <c r="K14" i="112"/>
  <c r="K18" i="112"/>
  <c r="K22" i="112"/>
  <c r="K26" i="112"/>
  <c r="J7" i="112"/>
  <c r="J11" i="112"/>
  <c r="J15" i="112"/>
  <c r="J19" i="112"/>
  <c r="J23" i="112"/>
  <c r="K7" i="112"/>
  <c r="K11" i="112"/>
  <c r="K15" i="112"/>
  <c r="K19" i="112"/>
  <c r="K23" i="112"/>
  <c r="J8" i="112"/>
  <c r="J12" i="112"/>
  <c r="J16" i="112"/>
  <c r="J20" i="112"/>
  <c r="J24" i="112"/>
  <c r="K8" i="112"/>
  <c r="K12" i="112"/>
  <c r="K16" i="112"/>
  <c r="K20" i="112"/>
  <c r="K24" i="112"/>
  <c r="J9" i="112"/>
  <c r="J13" i="112"/>
  <c r="J17" i="112"/>
  <c r="J21" i="112"/>
  <c r="J25" i="112"/>
  <c r="H6" i="112"/>
  <c r="H10" i="112"/>
  <c r="I6" i="112"/>
  <c r="I10" i="112"/>
  <c r="I14" i="112"/>
  <c r="I18" i="112"/>
  <c r="I22" i="112"/>
  <c r="I26" i="112"/>
  <c r="H7" i="112"/>
  <c r="H11" i="112"/>
  <c r="H15" i="112"/>
  <c r="H19" i="112"/>
  <c r="H23" i="112"/>
  <c r="I7" i="112"/>
  <c r="I11" i="112"/>
  <c r="I15" i="112"/>
  <c r="I19" i="112"/>
  <c r="I23" i="112"/>
  <c r="H8" i="112"/>
  <c r="H12" i="112"/>
  <c r="H16" i="112"/>
  <c r="H20" i="112"/>
  <c r="H24" i="112"/>
  <c r="I8" i="112"/>
  <c r="I12" i="112"/>
  <c r="I16" i="112"/>
  <c r="I20" i="112"/>
  <c r="I24" i="112"/>
  <c r="H9" i="112"/>
  <c r="H13" i="112"/>
  <c r="H17" i="112"/>
  <c r="H21" i="112"/>
  <c r="H25" i="112"/>
  <c r="I9" i="112"/>
  <c r="I13" i="112"/>
  <c r="I17" i="112"/>
  <c r="I21" i="112"/>
  <c r="I25" i="112"/>
  <c r="H14" i="112"/>
  <c r="H18" i="112"/>
  <c r="H22" i="112"/>
  <c r="H26" i="112"/>
  <c r="F9" i="112"/>
  <c r="F8" i="112" s="1"/>
  <c r="C18" i="112"/>
  <c r="C13" i="112"/>
</calcChain>
</file>

<file path=xl/sharedStrings.xml><?xml version="1.0" encoding="utf-8"?>
<sst xmlns="http://schemas.openxmlformats.org/spreadsheetml/2006/main" count="26" uniqueCount="26">
  <si>
    <t>PI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</si>
  <si>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</si>
  <si>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</si>
  <si>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</si>
  <si>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</si>
  <si>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</si>
  <si>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</si>
  <si>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</si>
  <si>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</si>
  <si>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</si>
  <si>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</si>
  <si>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</si>
  <si>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</si>
  <si>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</si>
  <si>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</si>
  <si>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</si>
  <si>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p_res_atma</t>
  </si>
  <si>
    <t>q_liq_test_sm3day</t>
  </si>
  <si>
    <t>p_wf_test_atma</t>
  </si>
  <si>
    <t>feed json</t>
  </si>
  <si>
    <t>IPR</t>
  </si>
  <si>
    <t>ipr json</t>
  </si>
  <si>
    <t>ipr_curve</t>
  </si>
  <si>
    <t>1. PVT</t>
  </si>
  <si>
    <t>2. IPR json</t>
  </si>
  <si>
    <t>3. Plot IPR and link to json IPR and feed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</si>
</sst>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">
    <xf numFmtId="0" fontId="0" fillId="0" borderId="0" xfId="0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5" borderId="0" xfId="0" applyFill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IPR!$H$7:$H$26</c:f>
              <c:numCache>
                <c:formatCode>General</c:formatCode>
                <c:ptCount val="20"/>
                <c:pt idx="0">
                  <c:v>0</c:v>
                </c:pt>
                <c:pt idx="1">
                  <c:v>4.875</c:v>
                </c:pt>
                <c:pt idx="2">
                  <c:v>10.151</c:v>
                </c:pt>
                <c:pt idx="3">
                  <c:v>15.428000000000001</c:v>
                </c:pt>
                <c:pt idx="4">
                  <c:v>20.605</c:v>
                </c:pt>
                <c:pt idx="5">
                  <c:v>25.492000000000001</c:v>
                </c:pt>
                <c:pt idx="6">
                  <c:v>30.085000000000001</c:v>
                </c:pt>
                <c:pt idx="7">
                  <c:v>34.381999999999998</c:v>
                </c:pt>
                <c:pt idx="8">
                  <c:v>38.384</c:v>
                </c:pt>
                <c:pt idx="9">
                  <c:v>42.091000000000001</c:v>
                </c:pt>
                <c:pt idx="10">
                  <c:v>45.503</c:v>
                </c:pt>
                <c:pt idx="11">
                  <c:v>48.619</c:v>
                </c:pt>
                <c:pt idx="12">
                  <c:v>51.441000000000003</c:v>
                </c:pt>
                <c:pt idx="13">
                  <c:v>53.968000000000004</c:v>
                </c:pt>
                <c:pt idx="14">
                  <c:v>56.198999999999998</c:v>
                </c:pt>
                <c:pt idx="15">
                  <c:v>58.136000000000003</c:v>
                </c:pt>
                <c:pt idx="16">
                  <c:v>59.777000000000001</c:v>
                </c:pt>
                <c:pt idx="17">
                  <c:v>61.124000000000002</c:v>
                </c:pt>
                <c:pt idx="18">
                  <c:v>62.174999999999997</c:v>
                </c:pt>
                <c:pt idx="19">
                  <c:v>62.930999999999997</c:v>
                </c:pt>
              </c:numCache>
            </c:numRef>
          </c:xVal>
          <c:yVal>
            <c:numRef>
              <c:f>IPR!$I$7:$I$26</c:f>
              <c:numCache>
                <c:formatCode>General</c:formatCode>
                <c:ptCount val="20"/>
                <c:pt idx="0">
                  <c:v>251</c:v>
                </c:pt>
                <c:pt idx="1">
                  <c:v>237.84200000000001</c:v>
                </c:pt>
                <c:pt idx="2">
                  <c:v>224.684</c:v>
                </c:pt>
                <c:pt idx="3">
                  <c:v>211.52600000000001</c:v>
                </c:pt>
                <c:pt idx="4">
                  <c:v>198.36799999999999</c:v>
                </c:pt>
                <c:pt idx="5">
                  <c:v>185.21100000000001</c:v>
                </c:pt>
                <c:pt idx="6">
                  <c:v>172.053</c:v>
                </c:pt>
                <c:pt idx="7">
                  <c:v>158.89500000000001</c:v>
                </c:pt>
                <c:pt idx="8">
                  <c:v>145.73699999999999</c:v>
                </c:pt>
                <c:pt idx="9">
                  <c:v>132.57900000000001</c:v>
                </c:pt>
                <c:pt idx="10">
                  <c:v>119.42100000000001</c:v>
                </c:pt>
                <c:pt idx="11">
                  <c:v>106.26300000000001</c:v>
                </c:pt>
                <c:pt idx="12">
                  <c:v>93.105000000000004</c:v>
                </c:pt>
                <c:pt idx="13">
                  <c:v>79.947000000000003</c:v>
                </c:pt>
                <c:pt idx="14">
                  <c:v>66.789000000000001</c:v>
                </c:pt>
                <c:pt idx="15">
                  <c:v>53.631999999999998</c:v>
                </c:pt>
                <c:pt idx="16">
                  <c:v>40.473999999999997</c:v>
                </c:pt>
                <c:pt idx="17">
                  <c:v>27.315999999999999</c:v>
                </c:pt>
                <c:pt idx="18">
                  <c:v>14.157999999999999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0-4509-9353-A5A128665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752719"/>
        <c:axId val="1120195727"/>
      </c:scatterChart>
      <c:valAx>
        <c:axId val="69675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0195727"/>
        <c:crosses val="autoZero"/>
        <c:crossBetween val="midCat"/>
      </c:valAx>
      <c:valAx>
        <c:axId val="112019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Pwf,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6752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IPR!$J$7:$J$26</c:f>
              <c:numCache>
                <c:formatCode>General</c:formatCode>
                <c:ptCount val="20"/>
                <c:pt idx="0">
                  <c:v>0</c:v>
                </c:pt>
                <c:pt idx="1">
                  <c:v>4.875</c:v>
                </c:pt>
                <c:pt idx="2">
                  <c:v>10.151</c:v>
                </c:pt>
                <c:pt idx="3">
                  <c:v>15.428000000000001</c:v>
                </c:pt>
                <c:pt idx="4">
                  <c:v>20.605</c:v>
                </c:pt>
                <c:pt idx="5">
                  <c:v>25.492000000000001</c:v>
                </c:pt>
                <c:pt idx="6">
                  <c:v>30.085000000000001</c:v>
                </c:pt>
                <c:pt idx="7">
                  <c:v>34.381999999999998</c:v>
                </c:pt>
                <c:pt idx="8">
                  <c:v>38.384</c:v>
                </c:pt>
                <c:pt idx="9">
                  <c:v>42.091000000000001</c:v>
                </c:pt>
                <c:pt idx="10">
                  <c:v>45.503</c:v>
                </c:pt>
                <c:pt idx="11">
                  <c:v>48.619</c:v>
                </c:pt>
                <c:pt idx="12">
                  <c:v>51.441000000000003</c:v>
                </c:pt>
                <c:pt idx="13">
                  <c:v>53.968000000000004</c:v>
                </c:pt>
                <c:pt idx="14">
                  <c:v>56.198999999999998</c:v>
                </c:pt>
                <c:pt idx="15">
                  <c:v>58.136000000000003</c:v>
                </c:pt>
                <c:pt idx="16">
                  <c:v>59.777000000000001</c:v>
                </c:pt>
                <c:pt idx="17">
                  <c:v>61.124000000000002</c:v>
                </c:pt>
                <c:pt idx="18">
                  <c:v>62.174999999999997</c:v>
                </c:pt>
                <c:pt idx="19">
                  <c:v>62.930999999999997</c:v>
                </c:pt>
              </c:numCache>
            </c:numRef>
          </c:xVal>
          <c:yVal>
            <c:numRef>
              <c:f>IPR!$K$7:$K$26</c:f>
              <c:numCache>
                <c:formatCode>General</c:formatCode>
                <c:ptCount val="20"/>
                <c:pt idx="0">
                  <c:v>89.947000000000003</c:v>
                </c:pt>
                <c:pt idx="1">
                  <c:v>90.643000000000001</c:v>
                </c:pt>
                <c:pt idx="2">
                  <c:v>91.343000000000004</c:v>
                </c:pt>
                <c:pt idx="3">
                  <c:v>92.046000000000006</c:v>
                </c:pt>
                <c:pt idx="4">
                  <c:v>92.671000000000006</c:v>
                </c:pt>
                <c:pt idx="5">
                  <c:v>93.236000000000004</c:v>
                </c:pt>
                <c:pt idx="6">
                  <c:v>93.742999999999995</c:v>
                </c:pt>
                <c:pt idx="7">
                  <c:v>94.186999999999998</c:v>
                </c:pt>
                <c:pt idx="8">
                  <c:v>94.563000000000002</c:v>
                </c:pt>
                <c:pt idx="9">
                  <c:v>94.870999999999995</c:v>
                </c:pt>
                <c:pt idx="10">
                  <c:v>95.111999999999995</c:v>
                </c:pt>
                <c:pt idx="11">
                  <c:v>95.293999999999997</c:v>
                </c:pt>
                <c:pt idx="12">
                  <c:v>95.43</c:v>
                </c:pt>
                <c:pt idx="13">
                  <c:v>95.539000000000001</c:v>
                </c:pt>
                <c:pt idx="14">
                  <c:v>95.644000000000005</c:v>
                </c:pt>
                <c:pt idx="15">
                  <c:v>95.766000000000005</c:v>
                </c:pt>
                <c:pt idx="16">
                  <c:v>95.921999999999997</c:v>
                </c:pt>
                <c:pt idx="17">
                  <c:v>96.114000000000004</c:v>
                </c:pt>
                <c:pt idx="18">
                  <c:v>96.33</c:v>
                </c:pt>
                <c:pt idx="19">
                  <c:v>96.555999999999997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26-4746-A1ED-C517D2657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503919"/>
        <c:axId val="1120174399"/>
      </c:scatterChart>
      <c:valAx>
        <c:axId val="85750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0174399"/>
        <c:crosses val="autoZero"/>
        <c:crossBetween val="midCat"/>
      </c:valAx>
      <c:valAx>
        <c:axId val="112017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fluid,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750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1</xdr:rowOff>
    </xdr:from>
    <xdr:to>
      <xdr:col>19</xdr:col>
      <xdr:colOff>0</xdr:colOff>
      <xdr:row>20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BF3C45-5358-9613-BA78-3F23A16A4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642256</xdr:colOff>
      <xdr:row>20</xdr:row>
      <xdr:rowOff>54430</xdr:rowOff>
    </xdr:from>
    <xdr:to>
      <xdr:col>18</xdr:col>
      <xdr:colOff>642256</xdr:colOff>
      <xdr:row>35</xdr:row>
      <xdr:rowOff>54430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5CE699B-AB77-6B56-38B5-49AC98D5D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decode_json_crv"/>
      <definedName name="encode_feed"/>
      <definedName name="encode_ipr"/>
      <definedName name="encode_PVT"/>
      <definedName name="IPR_crv"/>
      <definedName name="IPR_pi_sm3dayat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C6C91-7DF5-4609-AB86-91769CFA1625}">
  <dimension ref="B2:K26"/>
  <sheetViews>
    <sheetView tabSelected="1" workbookViewId="0">
      <selection activeCell="T15" sqref="T15"/>
    </sheetView>
  </sheetViews>
  <sheetFormatPr defaultRowHeight="12.45" x14ac:dyDescent="0.3"/>
  <cols>
    <col min="2" max="2" width="12.765625" customWidth="1"/>
  </cols>
  <sheetData>
    <row r="2" spans="2:11" x14ac:dyDescent="0.3">
      <c r="B2" t="s">
        <v>23</v>
      </c>
      <c r="E2" t="s">
        <v>24</v>
      </c>
      <c r="H2" t="s">
        <v>25</v>
      </c>
    </row>
    <row r="4" spans="2:11" x14ac:dyDescent="0.3">
      <c r="B4" s="1" t="s">
        <v>1</v>
      </c>
      <c r="C4" s="2">
        <v>0.6</v>
      </c>
      <c r="E4" s="1" t="s">
        <v>16</v>
      </c>
      <c r="F4" s="2">
        <v>250</v>
      </c>
      <c r="H4" s="1" t="s">
        <v>21</v>
      </c>
      <c r="I4" s="4" t="str">
        <f>[1]!encode_ipr()</f>
        <v>{"model":"Vogel","p_res_atma":250,"t_res_C":90,"pi_sm3dayatm":0.40099,"pb_atma":0,"fw_perc":0,"rp_m3m3":100}</v>
      </c>
    </row>
    <row r="5" spans="2:11" x14ac:dyDescent="0.3">
      <c r="B5" s="1" t="s">
        <v>2</v>
      </c>
      <c r="C5" s="2">
        <v>0.86</v>
      </c>
      <c r="E5" s="1" t="s">
        <v>17</v>
      </c>
      <c r="F5" s="2">
        <v>30</v>
      </c>
      <c r="H5" s="1" t="s">
        <v>22</v>
      </c>
      <c r="I5" s="4" t="str">
        <f>[1]!IPR_crv($I$4)</f>
        <v>{"pcrv":{"curve_x":"q_liq (IPR)","curve_y":"p_wf (IPR)","q_liq (IPR)":[0,4.875,10.151,15.428,20.605,25.492,30.085,34.382,38.384,42.091,45.503,48.619,51.441,53.968,56.199,58.136,59.777,61.124,62.175,62.931],"p_wf (IPR)":[251,237.842,224.684,211.526,198.368,185.211,172.053,158.895,145.737,132.579,119.421,106.263,93.105,79.947,66.789,53.632,40.474,27.316,14.158,1]},"tcrv":{"curve_x":"q_liq (IPR)","curve_y":"t_fluid (IPR)","q_liq (IPR)":[0,4.875,10.151,15.428,20.605,25.492,30.085,34.382,38.384,42.091,45.503,48.619,51.441,53.968,56.199,58.136,59.777,61.124,62.175,62.931],"t_fluid (IPR)":[89.947,90.643,91.343,92.046,92.671,93.236,93.743,94.187,94.563,94.871,95.112,95.294,95.43,95.539,95.644,95.766,95.922,96.114,96.33,96.556]}}</v>
      </c>
    </row>
    <row r="6" spans="2:11" x14ac:dyDescent="0.3">
      <c r="B6" s="1" t="s">
        <v>3</v>
      </c>
      <c r="C6" s="2">
        <v>1.1000000000000001</v>
      </c>
      <c r="E6" s="1" t="s">
        <v>18</v>
      </c>
      <c r="F6" s="2">
        <v>75</v>
      </c>
      <c r="H6" s="1" t="str">
        <f t="array" ref="H6:I26">[1]!decode_json_crv([1]!decode_json($I$5,,"pcrv",1))</f>
        <v>q_liq (IPR)</v>
      </c>
      <c r="I6" s="1" t="str">
        <v>p_wf (IPR)</v>
      </c>
      <c r="J6" s="1" t="str">
        <f t="array" ref="J6:K26">[1]!decode_json_crv([1]!decode_json($I$5,,"tcrv",1))</f>
        <v>q_liq (IPR)</v>
      </c>
      <c r="K6" s="1" t="str">
        <v>t_fluid (IPR)</v>
      </c>
    </row>
    <row r="7" spans="2:11" x14ac:dyDescent="0.3">
      <c r="B7" s="1" t="s">
        <v>4</v>
      </c>
      <c r="C7" s="2">
        <v>120</v>
      </c>
      <c r="E7" s="1" t="s">
        <v>19</v>
      </c>
      <c r="F7" s="4" t="str">
        <f>feed_json</f>
        <v>{"gamma_gas":0.6,"gamma_oil":0.86,"gamma_wat":1.1,"rsb_m3m3":120,"pb_atma":130,"t_res_C":80,"bob_m3m3":1.2,"muob_cP":0.6,"PVT_corr_set":0,"q_liq_sm3day":30,"fw_perc":10,"rp_m3m3":120}</v>
      </c>
      <c r="H7" s="1">
        <v>0</v>
      </c>
      <c r="I7" s="1">
        <v>251</v>
      </c>
      <c r="J7" s="1">
        <v>0</v>
      </c>
      <c r="K7" s="1">
        <v>89.947000000000003</v>
      </c>
    </row>
    <row r="8" spans="2:11" x14ac:dyDescent="0.3">
      <c r="B8" s="1" t="s">
        <v>5</v>
      </c>
      <c r="C8" s="2">
        <v>130</v>
      </c>
      <c r="E8" s="1" t="s">
        <v>0</v>
      </c>
      <c r="F8" s="4">
        <f>[1]!IPR_pi_sm3dayatm(F9, F5, F6)</f>
        <v>0.18146086666234523</v>
      </c>
      <c r="H8" s="1">
        <v>4.875</v>
      </c>
      <c r="I8" s="1">
        <v>237.84200000000001</v>
      </c>
      <c r="J8" s="1">
        <v>4.875</v>
      </c>
      <c r="K8" s="1">
        <v>90.643000000000001</v>
      </c>
    </row>
    <row r="9" spans="2:11" x14ac:dyDescent="0.3">
      <c r="B9" s="1" t="s">
        <v>6</v>
      </c>
      <c r="C9" s="2">
        <v>80</v>
      </c>
      <c r="E9" s="1" t="s">
        <v>20</v>
      </c>
      <c r="F9" s="3" t="str">
        <f>[1]!encode_ipr(F4, F5, F6,,F7)</f>
        <v>{"model":"Vogel","p_res_atma":250,"t_res_C":80,"pi_sm3dayatm":0.18146,"pb_atma":130,"fw_perc":10,"rp_m3m3":120}</v>
      </c>
      <c r="H9" s="1">
        <v>10.151</v>
      </c>
      <c r="I9" s="1">
        <v>224.684</v>
      </c>
      <c r="J9" s="1">
        <v>10.151</v>
      </c>
      <c r="K9" s="1">
        <v>91.343000000000004</v>
      </c>
    </row>
    <row r="10" spans="2:11" x14ac:dyDescent="0.3">
      <c r="B10" s="1" t="s">
        <v>7</v>
      </c>
      <c r="C10" s="2">
        <v>1.2</v>
      </c>
      <c r="H10" s="1">
        <v>15.428000000000001</v>
      </c>
      <c r="I10" s="1">
        <v>211.52600000000001</v>
      </c>
      <c r="J10" s="1">
        <v>15.428000000000001</v>
      </c>
      <c r="K10" s="1">
        <v>92.046000000000006</v>
      </c>
    </row>
    <row r="11" spans="2:11" x14ac:dyDescent="0.3">
      <c r="B11" s="1" t="s">
        <v>8</v>
      </c>
      <c r="C11" s="2">
        <v>0.6</v>
      </c>
      <c r="H11" s="1">
        <v>20.605</v>
      </c>
      <c r="I11" s="1">
        <v>198.36799999999999</v>
      </c>
      <c r="J11" s="1">
        <v>20.605</v>
      </c>
      <c r="K11" s="1">
        <v>92.671000000000006</v>
      </c>
    </row>
    <row r="12" spans="2:11" x14ac:dyDescent="0.3">
      <c r="B12" s="1" t="s">
        <v>9</v>
      </c>
      <c r="C12" s="2">
        <v>0</v>
      </c>
      <c r="H12" s="1">
        <v>25.492000000000001</v>
      </c>
      <c r="I12" s="1">
        <v>185.21100000000001</v>
      </c>
      <c r="J12" s="1">
        <v>25.492000000000001</v>
      </c>
      <c r="K12" s="1">
        <v>93.236000000000004</v>
      </c>
    </row>
    <row r="13" spans="2:11" x14ac:dyDescent="0.3">
      <c r="B13" s="1" t="s">
        <v>10</v>
      </c>
      <c r="C13" s="3" t="str">
        <f>[1]!encode_PVT(C4,C5,C6,C7,C8,C9,C10,C11,C12)</f>
        <v>{"gamma_gas":0.6,"gamma_oil":0.86,"gamma_wat":1.1,"rsb_m3m3":120,"pb_atma":130,"t_res_C":80,"bob_m3m3":1.2,"muob_cP":0.6,"PVT_corr_set":0}</v>
      </c>
      <c r="H13" s="1">
        <v>30.085000000000001</v>
      </c>
      <c r="I13" s="1">
        <v>172.053</v>
      </c>
      <c r="J13" s="1">
        <v>30.085000000000001</v>
      </c>
      <c r="K13" s="1">
        <v>93.742999999999995</v>
      </c>
    </row>
    <row r="14" spans="2:11" x14ac:dyDescent="0.3">
      <c r="B14" s="1" t="s">
        <v>11</v>
      </c>
      <c r="C14" s="2">
        <v>30</v>
      </c>
      <c r="H14" s="1">
        <v>34.381999999999998</v>
      </c>
      <c r="I14" s="1">
        <v>158.89500000000001</v>
      </c>
      <c r="J14" s="1">
        <v>34.381999999999998</v>
      </c>
      <c r="K14" s="1">
        <v>94.186999999999998</v>
      </c>
    </row>
    <row r="15" spans="2:11" x14ac:dyDescent="0.3">
      <c r="B15" s="1" t="s">
        <v>12</v>
      </c>
      <c r="C15" s="2">
        <v>10</v>
      </c>
      <c r="H15" s="1">
        <v>38.384</v>
      </c>
      <c r="I15" s="1">
        <v>145.73699999999999</v>
      </c>
      <c r="J15" s="1">
        <v>38.384</v>
      </c>
      <c r="K15" s="1">
        <v>94.563000000000002</v>
      </c>
    </row>
    <row r="16" spans="2:11" x14ac:dyDescent="0.3">
      <c r="B16" s="1" t="s">
        <v>13</v>
      </c>
      <c r="C16" s="2">
        <v>120</v>
      </c>
      <c r="H16" s="1">
        <v>42.091000000000001</v>
      </c>
      <c r="I16" s="1">
        <v>132.57900000000001</v>
      </c>
      <c r="J16" s="1">
        <v>42.091000000000001</v>
      </c>
      <c r="K16" s="1">
        <v>94.870999999999995</v>
      </c>
    </row>
    <row r="17" spans="2:11" x14ac:dyDescent="0.3">
      <c r="B17" s="1" t="s">
        <v>14</v>
      </c>
      <c r="C17" s="2">
        <v>0</v>
      </c>
      <c r="H17" s="1">
        <v>45.503</v>
      </c>
      <c r="I17" s="1">
        <v>119.42100000000001</v>
      </c>
      <c r="J17" s="1">
        <v>45.503</v>
      </c>
      <c r="K17" s="1">
        <v>95.111999999999995</v>
      </c>
    </row>
    <row r="18" spans="2:11" x14ac:dyDescent="0.3">
      <c r="B18" s="1" t="s">
        <v>15</v>
      </c>
      <c r="C18" s="3" t="str">
        <f>[1]!encode_feed(C14,C15,C16,C17,C13)</f>
        <v>{"gamma_gas":0.6,"gamma_oil":0.86,"gamma_wat":1.1,"rsb_m3m3":120,"pb_atma":130,"t_res_C":80,"bob_m3m3":1.2,"muob_cP":0.6,"PVT_corr_set":0,"q_liq_sm3day":30,"fw_perc":10,"rp_m3m3":120}</v>
      </c>
      <c r="H18" s="1">
        <v>48.619</v>
      </c>
      <c r="I18" s="1">
        <v>106.26300000000001</v>
      </c>
      <c r="J18" s="1">
        <v>48.619</v>
      </c>
      <c r="K18" s="1">
        <v>95.293999999999997</v>
      </c>
    </row>
    <row r="19" spans="2:11" x14ac:dyDescent="0.3">
      <c r="H19" s="1">
        <v>51.441000000000003</v>
      </c>
      <c r="I19" s="1">
        <v>93.105000000000004</v>
      </c>
      <c r="J19" s="1">
        <v>51.441000000000003</v>
      </c>
      <c r="K19" s="1">
        <v>95.43</v>
      </c>
    </row>
    <row r="20" spans="2:11" x14ac:dyDescent="0.3">
      <c r="H20" s="1">
        <v>53.968000000000004</v>
      </c>
      <c r="I20" s="1">
        <v>79.947000000000003</v>
      </c>
      <c r="J20" s="1">
        <v>53.968000000000004</v>
      </c>
      <c r="K20" s="1">
        <v>95.539000000000001</v>
      </c>
    </row>
    <row r="21" spans="2:11" x14ac:dyDescent="0.3">
      <c r="H21" s="1">
        <v>56.198999999999998</v>
      </c>
      <c r="I21" s="1">
        <v>66.789000000000001</v>
      </c>
      <c r="J21" s="1">
        <v>56.198999999999998</v>
      </c>
      <c r="K21" s="1">
        <v>95.644000000000005</v>
      </c>
    </row>
    <row r="22" spans="2:11" x14ac:dyDescent="0.3">
      <c r="H22" s="1">
        <v>58.136000000000003</v>
      </c>
      <c r="I22" s="1">
        <v>53.631999999999998</v>
      </c>
      <c r="J22" s="1">
        <v>58.136000000000003</v>
      </c>
      <c r="K22" s="1">
        <v>95.766000000000005</v>
      </c>
    </row>
    <row r="23" spans="2:11" x14ac:dyDescent="0.3">
      <c r="H23" s="1">
        <v>59.777000000000001</v>
      </c>
      <c r="I23" s="1">
        <v>40.473999999999997</v>
      </c>
      <c r="J23" s="1">
        <v>59.777000000000001</v>
      </c>
      <c r="K23" s="1">
        <v>95.921999999999997</v>
      </c>
    </row>
    <row r="24" spans="2:11" x14ac:dyDescent="0.3">
      <c r="H24" s="1">
        <v>61.124000000000002</v>
      </c>
      <c r="I24" s="1">
        <v>27.315999999999999</v>
      </c>
      <c r="J24" s="1">
        <v>61.124000000000002</v>
      </c>
      <c r="K24" s="1">
        <v>96.114000000000004</v>
      </c>
    </row>
    <row r="25" spans="2:11" x14ac:dyDescent="0.3">
      <c r="H25" s="1">
        <v>62.174999999999997</v>
      </c>
      <c r="I25" s="1">
        <v>14.157999999999999</v>
      </c>
      <c r="J25" s="1">
        <v>62.174999999999997</v>
      </c>
      <c r="K25" s="1">
        <v>96.33</v>
      </c>
    </row>
    <row r="26" spans="2:11" x14ac:dyDescent="0.3">
      <c r="H26" s="1">
        <v>62.930999999999997</v>
      </c>
      <c r="I26" s="1">
        <v>1</v>
      </c>
      <c r="J26" s="1">
        <v>62.930999999999997</v>
      </c>
      <c r="K26" s="1">
        <v>96.555999999999997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IPR</vt:lpstr>
      <vt:lpstr>feed_json</vt:lpstr>
      <vt:lpstr>IPR_json</vt:lpstr>
      <vt:lpstr>prod_index</vt:lpstr>
      <vt:lpstr>PVT_json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2023-10-31T16:09:19Z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