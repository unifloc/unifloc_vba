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17A2B60-F683-4945-95DA-3F006D0D4D6A}" xr6:coauthVersionLast="45" xr6:coauthVersionMax="45" xr10:uidLastSave="{00000000-0000-0000-0000-000000000000}"/>
  <bookViews>
    <workbookView xWindow="-33690" yWindow="3165" windowWidth="28800" windowHeight="15435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G1" i="111"/>
  <c r="C35" i="111"/>
  <c r="C21" i="111"/>
  <c r="C29" i="111"/>
  <c r="D40" i="111" s="1"/>
  <c r="C30" i="111"/>
  <c r="M40" i="111"/>
  <c r="C41" i="111" l="1"/>
  <c r="E21" i="111"/>
  <c r="E40" i="111"/>
  <c r="L40" i="111" s="1"/>
  <c r="D41" i="111"/>
  <c r="M41" i="111"/>
  <c r="E41" i="111"/>
  <c r="C42" i="111" l="1"/>
  <c r="L41" i="111"/>
  <c r="D42" i="111"/>
  <c r="E42" i="111" s="1"/>
  <c r="L42" i="111"/>
  <c r="M42" i="111"/>
  <c r="C43" i="111" l="1"/>
  <c r="D43" i="111"/>
  <c r="M43" i="111"/>
  <c r="C44" i="111" l="1"/>
  <c r="E43" i="111"/>
  <c r="L43" i="111" s="1"/>
  <c r="D44" i="111"/>
  <c r="E44" i="111"/>
  <c r="M44" i="111"/>
  <c r="L44" i="111"/>
  <c r="C45" i="111" l="1"/>
  <c r="D45" i="111"/>
  <c r="M45" i="111"/>
  <c r="C46" i="111" l="1"/>
  <c r="E45" i="111"/>
  <c r="L45" i="111" s="1"/>
  <c r="D46" i="111"/>
  <c r="M46" i="111"/>
  <c r="E46" i="111"/>
  <c r="L46" i="111" s="1"/>
  <c r="C47" i="111" l="1"/>
  <c r="D47" i="111"/>
  <c r="M47" i="111" s="1"/>
  <c r="E47" i="111"/>
  <c r="C48" i="111" l="1"/>
  <c r="L47" i="111"/>
  <c r="D48" i="111"/>
  <c r="M48" i="111"/>
  <c r="E48" i="111"/>
  <c r="C49" i="111" l="1"/>
  <c r="L48" i="111"/>
  <c r="D49" i="111"/>
  <c r="M49" i="111"/>
  <c r="C50" i="111" l="1"/>
  <c r="E49" i="111"/>
  <c r="L49" i="111" s="1"/>
  <c r="D50" i="111"/>
  <c r="E50" i="111"/>
  <c r="M50" i="111"/>
  <c r="C51" i="111" l="1"/>
  <c r="L50" i="111"/>
  <c r="D51" i="111"/>
  <c r="E51" i="111"/>
  <c r="M51" i="111"/>
  <c r="C52" i="111" l="1"/>
  <c r="D52" i="111"/>
  <c r="E52" i="111"/>
  <c r="M52" i="111"/>
  <c r="L51" i="111"/>
  <c r="C53" i="111" l="1"/>
  <c r="L52" i="111"/>
  <c r="D53" i="111"/>
  <c r="M53" i="111"/>
  <c r="E53" i="111"/>
  <c r="C54" i="111" l="1"/>
  <c r="L53" i="111"/>
  <c r="D54" i="111"/>
  <c r="M54" i="111"/>
  <c r="E54" i="111"/>
  <c r="C55" i="111" l="1"/>
  <c r="L54" i="111"/>
  <c r="D55" i="111"/>
  <c r="M55" i="111"/>
  <c r="E55" i="111"/>
  <c r="C56" i="111" l="1"/>
  <c r="L55" i="111"/>
  <c r="D56" i="111"/>
  <c r="M56" i="111"/>
  <c r="C57" i="111" l="1"/>
  <c r="E56" i="111"/>
  <c r="L56" i="111" s="1"/>
  <c r="D57" i="111"/>
  <c r="M57" i="111"/>
  <c r="E57" i="111"/>
  <c r="L57" i="111" s="1"/>
  <c r="C58" i="111" l="1"/>
  <c r="D58" i="111"/>
  <c r="E58" i="111"/>
  <c r="L58" i="111"/>
  <c r="M58" i="111"/>
  <c r="C59" i="111" l="1"/>
  <c r="D59" i="111"/>
  <c r="E59" i="111"/>
  <c r="L59" i="111" s="1"/>
  <c r="M59" i="111"/>
  <c r="C60" i="111" l="1"/>
  <c r="D60" i="111"/>
  <c r="M60" i="111"/>
  <c r="E60" i="111"/>
</calcChain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<sst xmlns="http://schemas.openxmlformats.org/spreadsheetml/2006/main" count="70" uniqueCount="56">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</sst>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0.98897072071307712</c:v>
                </c:pt>
                <c:pt idx="2">
                  <c:v>1.9797615258295409</c:v>
                </c:pt>
                <c:pt idx="3">
                  <c:v>2.9725668091340385</c:v>
                </c:pt>
                <c:pt idx="4">
                  <c:v>3.9676110590410687</c:v>
                </c:pt>
                <c:pt idx="5">
                  <c:v>4.9651548645790475</c:v>
                </c:pt>
                <c:pt idx="6">
                  <c:v>5.9655024193369783</c:v>
                </c:pt>
                <c:pt idx="7">
                  <c:v>7.0953059743000075</c:v>
                </c:pt>
                <c:pt idx="8">
                  <c:v>8.2843054438493375</c:v>
                </c:pt>
                <c:pt idx="9">
                  <c:v>9.5502669854959787</c:v>
                </c:pt>
                <c:pt idx="10">
                  <c:v>10.914020690547357</c:v>
                </c:pt>
                <c:pt idx="11">
                  <c:v>12.404508020905945</c:v>
                </c:pt>
                <c:pt idx="12">
                  <c:v>14.06322281276373</c:v>
                </c:pt>
                <c:pt idx="13">
                  <c:v>15.952043602712063</c:v>
                </c:pt>
                <c:pt idx="14">
                  <c:v>18.168048809917458</c:v>
                </c:pt>
                <c:pt idx="15">
                  <c:v>20.874198419375031</c:v>
                </c:pt>
                <c:pt idx="16">
                  <c:v>24.371140408337041</c:v>
                </c:pt>
                <c:pt idx="17">
                  <c:v>29.297552600734921</c:v>
                </c:pt>
                <c:pt idx="18">
                  <c:v>37.370341759924173</c:v>
                </c:pt>
                <c:pt idx="19">
                  <c:v>56.197800432412357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2.4193249128348544E-2</c:v>
                </c:pt>
                <c:pt idx="8">
                  <c:v>4.9960810768994293E-2</c:v>
                </c:pt>
                <c:pt idx="9">
                  <c:v>7.7959356185246645E-2</c:v>
                </c:pt>
                <c:pt idx="10">
                  <c:v>0.10856156923637675</c:v>
                </c:pt>
                <c:pt idx="11">
                  <c:v>0.14222954648606798</c:v>
                </c:pt>
                <c:pt idx="12">
                  <c:v>0.17954732393205897</c:v>
                </c:pt>
                <c:pt idx="13">
                  <c:v>0.22127205097859287</c:v>
                </c:pt>
                <c:pt idx="14">
                  <c:v>0.26841983977871908</c:v>
                </c:pt>
                <c:pt idx="15">
                  <c:v>0.32242183010905179</c:v>
                </c:pt>
                <c:pt idx="16">
                  <c:v>0.38543899185415692</c:v>
                </c:pt>
                <c:pt idx="17">
                  <c:v>0.461094952216</c:v>
                </c:pt>
                <c:pt idx="18">
                  <c:v>0.55660105212246302</c:v>
                </c:pt>
                <c:pt idx="19">
                  <c:v>0.69209551796187174</c:v>
                </c:pt>
                <c:pt idx="20">
                  <c:v>0.999999999999999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256229</xdr:colOff>
      <xdr:row>60</xdr:row>
      <xdr:rowOff>100423</xdr:rowOff>
    </xdr:from>
    <xdr:to>
      <xdr:col>8</xdr:col>
      <xdr:colOff>342900</xdr:colOff>
      <xdr:row>84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zoomScale="115" zoomScaleNormal="115" workbookViewId="0">
      <selection activeCell="I18" sqref="I18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[1]!getUFVersion()</f>
        <v>7.18</v>
      </c>
      <c r="H1" t="s">
        <v>41</v>
      </c>
      <c r="I1" s="21">
        <v>43936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7.18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22</v>
      </c>
      <c r="D20" s="5" t="s">
        <v>3</v>
      </c>
      <c r="E20" s="19">
        <f>fw_/100</f>
        <v>0.22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15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>
        <f>[1]!IPR_pi_sm3dayatm(qltest_,Pwftest_,Pres_,fw_,Pb_)</f>
        <v>0.17361768052001131</v>
      </c>
      <c r="D29" s="5" t="s">
        <v>31</v>
      </c>
    </row>
    <row r="30" spans="1:6" ht="19.5" customHeight="1" x14ac:dyDescent="0.3">
      <c r="B30" s="5" t="s">
        <v>32</v>
      </c>
      <c r="C30" s="17">
        <f>[1]!IPR_qliq_sm3day(PI_,Pres_,0,fw_,Pb_)</f>
        <v>17.072099952461073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>
        <f>[1]!PVT_encode_string(gamma_gas_,gamma_oil_,gamma_wat_,Rsb_,Rp_,Pb_cal_,Tres_,Bob_,muob_)</f>
        <v>gamma_gas:0.800;gamma_oil:0.880;gamma_wat:1.000;rsb_m3m3:80.000;rp_m3m3:80.000;pb_atma:120.000;tres_C:100.000;bob_m3m3:1.200;muob_cP:1.000;PVTcorr:0;ksep_fr:0.000;p_ksep_atma:-1.000;t_ksep_C:-1.000;gas_only:False;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>
        <f>[1]!IPR_pwf_atma(PI_,Pres_,C40,fw_,Pb_)</f>
        <v>150</v>
      </c>
      <c r="E40" s="17">
        <f>[1]!IPR_qliq_sm3day(PI_,Pres_,D40,fw_,Pb_)</f>
        <v>0</v>
      </c>
      <c r="L40" s="17">
        <f>[1]!MF_q_mix_rc_m3day(E40,fw_,D40,Tres_,PVT_str_)</f>
        <v>0</v>
      </c>
      <c r="M40" s="16">
        <f>[1]!MF_gas_fraction_d(D40,Tres_,fw_,PVT_str_)</f>
        <v>0</v>
      </c>
    </row>
    <row r="41" spans="2:23" x14ac:dyDescent="0.2">
      <c r="C41" s="18">
        <f t="shared" ref="C41:C60" si="0">C40+qmax_/N_</f>
        <v>0.85360499762305364</v>
      </c>
      <c r="D41" s="17">
        <f>[1]!IPR_pwf_atma(PI_,Pres_,C41,fw_,Pb_)</f>
        <v>145.08342125602428</v>
      </c>
      <c r="E41" s="17">
        <f>[1]!IPR_qliq_sm3day(PI_,Pres_,D41,fw_,Pb_)</f>
        <v>0.85360499762305497</v>
      </c>
      <c r="L41" s="17">
        <f>[1]!MF_q_mix_rc_m3day(E41,fw_,D41,Tres_,PVT_str_)</f>
        <v>0.98897072071307712</v>
      </c>
      <c r="M41" s="16">
        <f>[1]!MF_gas_fraction_d(D41,Tres_,fw_,PVT_str_)</f>
        <v>0</v>
      </c>
    </row>
    <row r="42" spans="2:23" x14ac:dyDescent="0.2">
      <c r="C42" s="18">
        <f t="shared" si="0"/>
        <v>1.7072099952461073</v>
      </c>
      <c r="D42" s="17">
        <f>[1]!IPR_pwf_atma(PI_,Pres_,C42,fw_,Pb_)</f>
        <v>140.16684251204859</v>
      </c>
      <c r="E42" s="17">
        <f>[1]!IPR_qliq_sm3day(PI_,Pres_,D42,fw_,Pb_)</f>
        <v>1.7072099952461051</v>
      </c>
      <c r="L42" s="17">
        <f>[1]!MF_q_mix_rc_m3day(E42,fw_,D42,Tres_,PVT_str_)</f>
        <v>1.9797615258295409</v>
      </c>
      <c r="M42" s="16">
        <f>[1]!MF_gas_fraction_d(D42,Tres_,fw_,PVT_str_)</f>
        <v>0</v>
      </c>
    </row>
    <row r="43" spans="2:23" x14ac:dyDescent="0.2">
      <c r="C43" s="18">
        <f t="shared" si="0"/>
        <v>2.5608149928691608</v>
      </c>
      <c r="D43" s="17">
        <f>[1]!IPR_pwf_atma(PI_,Pres_,C43,fw_,Pb_)</f>
        <v>135.25026376807287</v>
      </c>
      <c r="E43" s="17">
        <f>[1]!IPR_qliq_sm3day(PI_,Pres_,D43,fw_,Pb_)</f>
        <v>2.5608149928691599</v>
      </c>
      <c r="L43" s="17">
        <f>[1]!MF_q_mix_rc_m3day(E43,fw_,D43,Tres_,PVT_str_)</f>
        <v>2.9725668091340385</v>
      </c>
      <c r="M43" s="16">
        <f>[1]!MF_gas_fraction_d(D43,Tres_,fw_,PVT_str_)</f>
        <v>0</v>
      </c>
    </row>
    <row r="44" spans="2:23" x14ac:dyDescent="0.2">
      <c r="C44" s="18">
        <f t="shared" si="0"/>
        <v>3.4144199904922146</v>
      </c>
      <c r="D44" s="17">
        <f>[1]!IPR_pwf_atma(PI_,Pres_,C44,fw_,Pb_)</f>
        <v>130.33368502409715</v>
      </c>
      <c r="E44" s="17">
        <f>[1]!IPR_qliq_sm3day(PI_,Pres_,D44,fw_,Pb_)</f>
        <v>3.414419990492215</v>
      </c>
      <c r="L44" s="17">
        <f>[1]!MF_q_mix_rc_m3day(E44,fw_,D44,Tres_,PVT_str_)</f>
        <v>3.9676110590410687</v>
      </c>
      <c r="M44" s="16">
        <f>[1]!MF_gas_fraction_d(D44,Tres_,fw_,PVT_str_)</f>
        <v>0</v>
      </c>
    </row>
    <row r="45" spans="2:23" x14ac:dyDescent="0.2">
      <c r="C45" s="18">
        <f t="shared" si="0"/>
        <v>4.2680249881152683</v>
      </c>
      <c r="D45" s="17">
        <f>[1]!IPR_pwf_atma(PI_,Pres_,C45,fw_,Pb_)</f>
        <v>125.41710628012144</v>
      </c>
      <c r="E45" s="17">
        <f>[1]!IPR_qliq_sm3day(PI_,Pres_,D45,fw_,Pb_)</f>
        <v>4.2680249881152674</v>
      </c>
      <c r="L45" s="17">
        <f>[1]!MF_q_mix_rc_m3day(E45,fw_,D45,Tres_,PVT_str_)</f>
        <v>4.9651548645790475</v>
      </c>
      <c r="M45" s="16">
        <f>[1]!MF_gas_fraction_d(D45,Tres_,fw_,PVT_str_)</f>
        <v>0</v>
      </c>
    </row>
    <row r="46" spans="2:23" x14ac:dyDescent="0.2">
      <c r="C46" s="18">
        <f t="shared" si="0"/>
        <v>5.1216299857383216</v>
      </c>
      <c r="D46" s="17">
        <f>[1]!IPR_pwf_atma(PI_,Pres_,C46,fw_,Pb_)</f>
        <v>120.50052753614573</v>
      </c>
      <c r="E46" s="17">
        <f>[1]!IPR_qliq_sm3day(PI_,Pres_,D46,fw_,Pb_)</f>
        <v>5.1216299857383225</v>
      </c>
      <c r="L46" s="17">
        <f>[1]!MF_q_mix_rc_m3day(E46,fw_,D46,Tres_,PVT_str_)</f>
        <v>5.9655024193369783</v>
      </c>
      <c r="M46" s="16">
        <f>[1]!MF_gas_fraction_d(D46,Tres_,fw_,PVT_str_)</f>
        <v>0</v>
      </c>
    </row>
    <row r="47" spans="2:23" x14ac:dyDescent="0.2">
      <c r="C47" s="18">
        <f t="shared" si="0"/>
        <v>5.9752349833613749</v>
      </c>
      <c r="D47" s="17">
        <f>[1]!IPR_pwf_atma(PI_,Pres_,C47,fw_,Pb_)</f>
        <v>115.52568922772795</v>
      </c>
      <c r="E47" s="17">
        <f>[1]!IPR_qliq_sm3day(PI_,Pres_,D47,fw_,Pb_)</f>
        <v>5.9752349833614042</v>
      </c>
      <c r="L47" s="17">
        <f>[1]!MF_q_mix_rc_m3day(E47,fw_,D47,Tres_,PVT_str_)</f>
        <v>7.0953059743000075</v>
      </c>
      <c r="M47" s="16">
        <f>[1]!MF_gas_fraction_d(D47,Tres_,fw_,PVT_str_)</f>
        <v>2.4193249128348544E-2</v>
      </c>
    </row>
    <row r="48" spans="2:23" x14ac:dyDescent="0.2">
      <c r="C48" s="18">
        <f t="shared" si="0"/>
        <v>6.8288399809844282</v>
      </c>
      <c r="D48" s="17">
        <f>[1]!IPR_pwf_atma(PI_,Pres_,C48,fw_,Pb_)</f>
        <v>110.39669375362315</v>
      </c>
      <c r="E48" s="17">
        <f>[1]!IPR_qliq_sm3day(PI_,Pres_,D48,fw_,Pb_)</f>
        <v>6.8288399809844291</v>
      </c>
      <c r="L48" s="17">
        <f>[1]!MF_q_mix_rc_m3day(E48,fw_,D48,Tres_,PVT_str_)</f>
        <v>8.2843054438493375</v>
      </c>
      <c r="M48" s="16">
        <f>[1]!MF_gas_fraction_d(D48,Tres_,fw_,PVT_str_)</f>
        <v>4.9960810768994293E-2</v>
      </c>
    </row>
    <row r="49" spans="3:13" x14ac:dyDescent="0.2">
      <c r="C49" s="18">
        <f t="shared" si="0"/>
        <v>7.6824449786074815</v>
      </c>
      <c r="D49" s="17">
        <f>[1]!IPR_pwf_atma(PI_,Pres_,C49,fw_,Pb_)</f>
        <v>105.09271541012005</v>
      </c>
      <c r="E49" s="17">
        <f>[1]!IPR_qliq_sm3day(PI_,Pres_,D49,fw_,Pb_)</f>
        <v>7.6824449786074549</v>
      </c>
      <c r="L49" s="17">
        <f>[1]!MF_q_mix_rc_m3day(E49,fw_,D49,Tres_,PVT_str_)</f>
        <v>9.5502669854959787</v>
      </c>
      <c r="M49" s="16">
        <f>[1]!MF_gas_fraction_d(D49,Tres_,fw_,PVT_str_)</f>
        <v>7.7959356185246645E-2</v>
      </c>
    </row>
    <row r="50" spans="3:13" x14ac:dyDescent="0.2">
      <c r="C50" s="18">
        <f t="shared" si="0"/>
        <v>8.5360499762305349</v>
      </c>
      <c r="D50" s="17">
        <f>[1]!IPR_pwf_atma(PI_,Pres_,C50,fw_,Pb_)</f>
        <v>99.588882544182667</v>
      </c>
      <c r="E50" s="17">
        <f>[1]!IPR_qliq_sm3day(PI_,Pres_,D50,fw_,Pb_)</f>
        <v>8.5360499762305562</v>
      </c>
      <c r="L50" s="17">
        <f>[1]!MF_q_mix_rc_m3day(E50,fw_,D50,Tres_,PVT_str_)</f>
        <v>10.914020690547357</v>
      </c>
      <c r="M50" s="16">
        <f>[1]!MF_gas_fraction_d(D50,Tres_,fw_,PVT_str_)</f>
        <v>0.10856156923637675</v>
      </c>
    </row>
    <row r="51" spans="3:13" x14ac:dyDescent="0.2">
      <c r="C51" s="18">
        <f t="shared" si="0"/>
        <v>9.3896549738535882</v>
      </c>
      <c r="D51" s="17">
        <f>[1]!IPR_pwf_atma(PI_,Pres_,C51,fw_,Pb_)</f>
        <v>93.853805834010885</v>
      </c>
      <c r="E51" s="17">
        <f>[1]!IPR_qliq_sm3day(PI_,Pres_,D51,fw_,Pb_)</f>
        <v>9.3896549738535811</v>
      </c>
      <c r="L51" s="17">
        <f>[1]!MF_q_mix_rc_m3day(E51,fw_,D51,Tres_,PVT_str_)</f>
        <v>12.404508020905945</v>
      </c>
      <c r="M51" s="16">
        <f>[1]!MF_gas_fraction_d(D51,Tres_,fw_,PVT_str_)</f>
        <v>0.14222954648606798</v>
      </c>
    </row>
    <row r="52" spans="3:13" x14ac:dyDescent="0.2">
      <c r="C52" s="18">
        <f t="shared" si="0"/>
        <v>10.243259971476641</v>
      </c>
      <c r="D52" s="17">
        <f>[1]!IPR_pwf_atma(PI_,Pres_,C52,fw_,Pb_)</f>
        <v>87.846902576921011</v>
      </c>
      <c r="E52" s="17">
        <f>[1]!IPR_qliq_sm3day(PI_,Pres_,D52,fw_,Pb_)</f>
        <v>10.243259971476606</v>
      </c>
      <c r="L52" s="17">
        <f>[1]!MF_q_mix_rc_m3day(E52,fw_,D52,Tres_,PVT_str_)</f>
        <v>14.06322281276373</v>
      </c>
      <c r="M52" s="16">
        <f>[1]!MF_gas_fraction_d(D52,Tres_,fw_,PVT_str_)</f>
        <v>0.17954732393205897</v>
      </c>
    </row>
    <row r="53" spans="3:13" x14ac:dyDescent="0.2">
      <c r="C53" s="18">
        <f t="shared" si="0"/>
        <v>11.096864969099695</v>
      </c>
      <c r="D53" s="17">
        <f>[1]!IPR_pwf_atma(PI_,Pres_,C53,fw_,Pb_)</f>
        <v>81.514117489745502</v>
      </c>
      <c r="E53" s="17">
        <f>[1]!IPR_qliq_sm3day(PI_,Pres_,D53,fw_,Pb_)</f>
        <v>11.096864969099707</v>
      </c>
      <c r="L53" s="17">
        <f>[1]!MF_q_mix_rc_m3day(E53,fw_,D53,Tres_,PVT_str_)</f>
        <v>15.952043602712063</v>
      </c>
      <c r="M53" s="16">
        <f>[1]!MF_gas_fraction_d(D53,Tres_,fw_,PVT_str_)</f>
        <v>0.22127205097859287</v>
      </c>
    </row>
    <row r="54" spans="3:13" x14ac:dyDescent="0.2">
      <c r="C54" s="18">
        <f t="shared" si="0"/>
        <v>11.950469966722748</v>
      </c>
      <c r="D54" s="17">
        <f>[1]!IPR_pwf_atma(PI_,Pres_,C54,fw_,Pb_)</f>
        <v>74.78068117570308</v>
      </c>
      <c r="E54" s="17">
        <f>[1]!IPR_qliq_sm3day(PI_,Pres_,D54,fw_,Pb_)</f>
        <v>11.950469966722732</v>
      </c>
      <c r="L54" s="17">
        <f>[1]!MF_q_mix_rc_m3day(E54,fw_,D54,Tres_,PVT_str_)</f>
        <v>18.168048809917458</v>
      </c>
      <c r="M54" s="16">
        <f>[1]!MF_gas_fraction_d(D54,Tres_,fw_,PVT_str_)</f>
        <v>0.26841983977871908</v>
      </c>
    </row>
    <row r="55" spans="3:13" x14ac:dyDescent="0.2">
      <c r="C55" s="18">
        <f t="shared" si="0"/>
        <v>12.804074964345801</v>
      </c>
      <c r="D55" s="17">
        <f>[1]!IPR_pwf_atma(PI_,Pres_,C55,fw_,Pb_)</f>
        <v>67.537932126059346</v>
      </c>
      <c r="E55" s="17">
        <f>[1]!IPR_qliq_sm3day(PI_,Pres_,D55,fw_,Pb_)</f>
        <v>12.804074964345796</v>
      </c>
      <c r="L55" s="17">
        <f>[1]!MF_q_mix_rc_m3day(E55,fw_,D55,Tres_,PVT_str_)</f>
        <v>20.874198419375031</v>
      </c>
      <c r="M55" s="16">
        <f>[1]!MF_gas_fraction_d(D55,Tres_,fw_,PVT_str_)</f>
        <v>0.32242183010905179</v>
      </c>
    </row>
    <row r="56" spans="3:13" x14ac:dyDescent="0.2">
      <c r="C56" s="18">
        <f t="shared" si="0"/>
        <v>13.657679961968855</v>
      </c>
      <c r="D56" s="17">
        <f>[1]!IPR_pwf_atma(PI_,Pres_,C56,fw_,Pb_)</f>
        <v>59.616885140883056</v>
      </c>
      <c r="E56" s="17">
        <f>[1]!IPR_qliq_sm3day(PI_,Pres_,D56,fw_,Pb_)</f>
        <v>13.657679961968858</v>
      </c>
      <c r="L56" s="17">
        <f>[1]!MF_q_mix_rc_m3day(E56,fw_,D56,Tres_,PVT_str_)</f>
        <v>24.371140408337041</v>
      </c>
      <c r="M56" s="16">
        <f>[1]!MF_gas_fraction_d(D56,Tres_,fw_,PVT_str_)</f>
        <v>0.38543899185415692</v>
      </c>
    </row>
    <row r="57" spans="3:13" x14ac:dyDescent="0.2">
      <c r="C57" s="18">
        <f t="shared" si="0"/>
        <v>14.511284959591908</v>
      </c>
      <c r="D57" s="17">
        <f>[1]!IPR_pwf_atma(PI_,Pres_,C57,fw_,Pb_)</f>
        <v>50.727354212468519</v>
      </c>
      <c r="E57" s="17">
        <f>[1]!IPR_qliq_sm3day(PI_,Pres_,D57,fw_,Pb_)</f>
        <v>14.511284959591922</v>
      </c>
      <c r="L57" s="17">
        <f>[1]!MF_q_mix_rc_m3day(E57,fw_,D57,Tres_,PVT_str_)</f>
        <v>29.297552600734921</v>
      </c>
      <c r="M57" s="16">
        <f>[1]!MF_gas_fraction_d(D57,Tres_,fw_,PVT_str_)</f>
        <v>0.461094952216</v>
      </c>
    </row>
    <row r="58" spans="3:13" x14ac:dyDescent="0.2">
      <c r="C58" s="18">
        <f t="shared" si="0"/>
        <v>15.364889957214961</v>
      </c>
      <c r="D58" s="17">
        <f>[1]!IPR_pwf_atma(PI_,Pres_,C58,fw_,Pb_)</f>
        <v>40.283852200443469</v>
      </c>
      <c r="E58" s="17">
        <f>[1]!IPR_qliq_sm3day(PI_,Pres_,D58,fw_,Pb_)</f>
        <v>15.364889957214947</v>
      </c>
      <c r="L58" s="17">
        <f>[1]!MF_q_mix_rc_m3day(E58,fw_,D58,Tres_,PVT_str_)</f>
        <v>37.370341759924173</v>
      </c>
      <c r="M58" s="16">
        <f>[1]!MF_gas_fraction_d(D58,Tres_,fw_,PVT_str_)</f>
        <v>0.55660105212246302</v>
      </c>
    </row>
    <row r="59" spans="3:13" x14ac:dyDescent="0.2">
      <c r="C59" s="18">
        <f t="shared" si="0"/>
        <v>16.218494954838015</v>
      </c>
      <c r="D59" s="17">
        <f>[1]!IPR_pwf_atma(PI_,Pres_,C59,fw_,Pb_)</f>
        <v>26.653052121876453</v>
      </c>
      <c r="E59" s="17">
        <f>[1]!IPR_qliq_sm3day(PI_,Pres_,D59,fw_,Pb_)</f>
        <v>16.218494954838011</v>
      </c>
      <c r="L59" s="17">
        <f>[1]!MF_q_mix_rc_m3day(E59,fw_,D59,Tres_,PVT_str_)</f>
        <v>56.197800432412357</v>
      </c>
      <c r="M59" s="16">
        <f>[1]!MF_gas_fraction_d(D59,Tres_,fw_,PVT_str_)</f>
        <v>0.69209551796187174</v>
      </c>
    </row>
    <row r="60" spans="3:13" x14ac:dyDescent="0.2">
      <c r="C60" s="18">
        <f t="shared" si="0"/>
        <v>17.07209995246107</v>
      </c>
      <c r="D60" s="17">
        <f>[1]!IPR_pwf_atma(PI_,Pres_,C60,fw_,Pb_)</f>
        <v>7.8508380352282359E-14</v>
      </c>
      <c r="E60" s="17">
        <f>[1]!IPR_qliq_sm3day(PI_,Pres_,D60,fw_,Pb_)</f>
        <v>17.07209995246107</v>
      </c>
      <c r="L60" s="17"/>
      <c r="M60" s="16">
        <f>[1]!MF_gas_fraction_d(D60,Tres_,fw_,PVT_str_)</f>
        <v>0.999999999999999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2020-04-15T20:21:42Z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