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D0924F31-4E98-4C2A-BF53-126605864867}" xr6:coauthVersionLast="45" xr6:coauthVersionMax="45" xr10:uidLastSave="{00000000-0000-0000-0000-000000000000}"/>
  <bookViews>
    <workbookView xWindow="-36285" yWindow="2115" windowWidth="28800" windowHeight="15435" tabRatio="422" xr2:uid="{00000000-000D-0000-FFFF-FFFF00000000}"/>
  </bookViews>
  <sheets>
    <sheet name="exercise_IPR" sheetId="111" r:id="rId1"/>
  </sheets>
  <externalReferences>
    <externalReference r:id="rId2"/>
  </externalReferences>
  <definedNames>
    <definedName name="Bob_" localSheetId="0">exercise_IPR!$C$18</definedName>
    <definedName name="fw_" localSheetId="0">exercise_IPR!$C$20</definedName>
    <definedName name="gamma_gas_" localSheetId="0">exercise_IPR!$C$13</definedName>
    <definedName name="gamma_oil_" localSheetId="0">exercise_IPR!$C$11</definedName>
    <definedName name="gamma_wat_" localSheetId="0">exercise_IPR!$C$12</definedName>
    <definedName name="input_0" localSheetId="0">exercise_IPR!$C$11:$C$20</definedName>
    <definedName name="input_1" localSheetId="0">exercise_IPR!$C$24:$C$25</definedName>
    <definedName name="input_2" localSheetId="0">exercise_IPR!$C$28</definedName>
    <definedName name="input_Course" localSheetId="0">exercise_IPR!$I$3</definedName>
    <definedName name="input_Date" localSheetId="0">exercise_IPR!$I$1</definedName>
    <definedName name="input_Group" localSheetId="0">exercise_IPR!$I$4</definedName>
    <definedName name="input_Notes" localSheetId="0">exercise_IPR!$I$6</definedName>
    <definedName name="input_Student_Name" localSheetId="0">exercise_IPR!$I$5</definedName>
    <definedName name="input_Version" localSheetId="0">exercise_IPR!$I$2</definedName>
    <definedName name="muob_" localSheetId="0">exercise_IPR!$C$19</definedName>
    <definedName name="N_" localSheetId="0">exercise_IPR!$C$33</definedName>
    <definedName name="output_0" localSheetId="0">exercise_IPR!$D$40:$E$60</definedName>
    <definedName name="output_1" localSheetId="0">exercise_IPR!$L$40:$M$60</definedName>
    <definedName name="Pb_" localSheetId="0">exercise_IPR!$C$21</definedName>
    <definedName name="Pb_cal_" localSheetId="0">exercise_IPR!$C$16</definedName>
    <definedName name="PI_" localSheetId="0">exercise_IPR!$C$29</definedName>
    <definedName name="Pres_" localSheetId="0">exercise_IPR!$C$28</definedName>
    <definedName name="PVT_str_" localSheetId="0">exercise_IPR!$C$35</definedName>
    <definedName name="Pwftest_" localSheetId="0">exercise_IPR!$C$25</definedName>
    <definedName name="qltest_" localSheetId="0">exercise_IPR!$C$24</definedName>
    <definedName name="qmax_" localSheetId="0">exercise_IPR!$C$30</definedName>
    <definedName name="Rp_" localSheetId="0">exercise_IPR!$C$15</definedName>
    <definedName name="Rsb_" localSheetId="0">exercise_IPR!$C$14</definedName>
    <definedName name="Tres_" localSheetId="0">exercise_IPR!$C$17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0" i="111" l="1"/>
  <c r="E17" i="111"/>
  <c r="E16" i="111"/>
  <c r="E15" i="111"/>
  <c r="E14" i="111"/>
  <c r="E13" i="111"/>
  <c r="E12" i="111"/>
  <c r="E11" i="111"/>
  <c r="G1" i="111"/>
  <c r="C21" i="111"/>
  <c r="C29" i="111"/>
  <c r="C30" i="111" s="1"/>
  <c r="C35" i="111"/>
  <c r="C41" i="111" l="1"/>
  <c r="E21" i="111"/>
  <c r="D40" i="111"/>
  <c r="D41" i="111"/>
  <c r="E41" i="111"/>
  <c r="E40" i="111"/>
  <c r="C42" i="111" l="1"/>
  <c r="M41" i="111"/>
  <c r="M40" i="111"/>
  <c r="D42" i="111"/>
  <c r="M42" i="111"/>
  <c r="L40" i="111"/>
  <c r="L41" i="111"/>
  <c r="C43" i="111" l="1"/>
  <c r="D43" i="111"/>
  <c r="E42" i="111"/>
  <c r="C44" i="111" l="1"/>
  <c r="L42" i="111"/>
  <c r="M43" i="111"/>
  <c r="E43" i="111"/>
  <c r="D44" i="111"/>
  <c r="M44" i="111"/>
  <c r="E44" i="111"/>
  <c r="C45" i="111" l="1"/>
  <c r="L44" i="111"/>
  <c r="L43" i="111"/>
  <c r="D45" i="111"/>
  <c r="M45" i="111" s="1"/>
  <c r="C46" i="111" l="1"/>
  <c r="E45" i="111"/>
  <c r="D46" i="111"/>
  <c r="E46" i="111"/>
  <c r="C47" i="111" l="1"/>
  <c r="M46" i="111"/>
  <c r="L46" i="111"/>
  <c r="L45" i="111"/>
  <c r="D47" i="111"/>
  <c r="E47" i="111" s="1"/>
  <c r="C48" i="111" l="1"/>
  <c r="M47" i="111"/>
  <c r="L47" i="111"/>
  <c r="D48" i="111"/>
  <c r="E48" i="111"/>
  <c r="M48" i="111"/>
  <c r="C49" i="111" l="1"/>
  <c r="D49" i="111"/>
  <c r="L48" i="111"/>
  <c r="M49" i="111"/>
  <c r="C50" i="111" l="1"/>
  <c r="E49" i="111"/>
  <c r="D50" i="111"/>
  <c r="M50" i="111"/>
  <c r="E50" i="111"/>
  <c r="C51" i="111" l="1"/>
  <c r="L49" i="111"/>
  <c r="L50" i="111"/>
  <c r="D51" i="111"/>
  <c r="M51" i="111"/>
  <c r="C52" i="111" l="1"/>
  <c r="E51" i="111"/>
  <c r="L51" i="111"/>
  <c r="D52" i="111"/>
  <c r="M52" i="111" s="1"/>
  <c r="E52" i="111"/>
  <c r="C53" i="111" l="1"/>
  <c r="D53" i="111"/>
  <c r="L52" i="111"/>
  <c r="E53" i="111"/>
  <c r="M53" i="111"/>
  <c r="C54" i="111" l="1"/>
  <c r="D54" i="111"/>
  <c r="M54" i="111"/>
  <c r="L53" i="111"/>
  <c r="E54" i="111"/>
  <c r="C55" i="111" l="1"/>
  <c r="D55" i="111"/>
  <c r="L54" i="111"/>
  <c r="M55" i="111"/>
  <c r="C56" i="111" l="1"/>
  <c r="E55" i="111"/>
  <c r="D56" i="111"/>
  <c r="L55" i="111"/>
  <c r="C57" i="111" l="1"/>
  <c r="M56" i="111"/>
  <c r="E56" i="111"/>
  <c r="D57" i="111"/>
  <c r="M57" i="111"/>
  <c r="E57" i="111"/>
  <c r="C58" i="111" l="1"/>
  <c r="L56" i="111"/>
  <c r="L57" i="111"/>
  <c r="D58" i="111"/>
  <c r="E58" i="111"/>
  <c r="M58" i="111"/>
  <c r="L58" i="111"/>
  <c r="C59" i="111" l="1"/>
  <c r="D59" i="111"/>
  <c r="M59" i="111"/>
  <c r="E59" i="111"/>
  <c r="C60" i="111" l="1"/>
  <c r="D60" i="111"/>
  <c r="L59" i="111"/>
  <c r="E60" i="111"/>
  <c r="M60" i="111" l="1"/>
</calcChain>
</file>

<file path=xl/sharedStrings.xml><?xml version="1.0" encoding="utf-8"?>
<sst xmlns="http://schemas.openxmlformats.org/spreadsheetml/2006/main" count="70" uniqueCount="56">
  <si>
    <t>Параметры пласта</t>
  </si>
  <si>
    <t>Q</t>
  </si>
  <si>
    <t>Pwf</t>
  </si>
  <si>
    <t>%</t>
  </si>
  <si>
    <t>N</t>
  </si>
  <si>
    <t>Измеренные значение дебита и забойного давления</t>
  </si>
  <si>
    <t>Упражнения по работе с макросами Unifloc VBA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</si>
  <si>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</si>
  <si>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</si>
  <si>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</si>
  <si>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</si>
  <si>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</si>
  <si>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</si>
  <si>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</si>
  <si>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</si>
  <si>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</si>
  <si>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</si>
  <si>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</si>
  <si>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</si>
  <si>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</si>
  <si>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</si>
  <si>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</si>
  <si>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</si>
  <si>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f</t>
    </r>
    <r>
      <rPr>
        <vertAlign val="subscript"/>
        <sz val="10"/>
        <rFont val="Arial Cyr"/>
        <charset val="204"/>
      </rPr>
      <t>w</t>
    </r>
  </si>
  <si>
    <r>
      <t>Q</t>
    </r>
    <r>
      <rPr>
        <vertAlign val="subscript"/>
        <sz val="10"/>
        <rFont val="Arial Cyr"/>
        <charset val="204"/>
      </rPr>
      <t>l test</t>
    </r>
  </si>
  <si>
    <r>
      <t>P</t>
    </r>
    <r>
      <rPr>
        <vertAlign val="subscript"/>
        <sz val="10"/>
        <rFont val="Arial Cyr"/>
        <charset val="204"/>
      </rPr>
      <t>wf test</t>
    </r>
  </si>
  <si>
    <t>PI</t>
  </si>
  <si>
    <r>
      <t>P</t>
    </r>
    <r>
      <rPr>
        <vertAlign val="subscript"/>
        <sz val="10"/>
        <rFont val="Arial Cyr"/>
        <charset val="204"/>
      </rPr>
      <t>res</t>
    </r>
  </si>
  <si>
    <r>
      <rPr>
        <sz val="11"/>
        <color theme="1"/>
        <rFont val="Calibri"/>
        <family val="2"/>
        <charset val="204"/>
      </rPr>
      <t>°</t>
    </r>
    <r>
      <rPr>
        <sz val="10"/>
        <rFont val="Arial Cyr"/>
        <charset val="204"/>
      </rPr>
      <t>С</t>
    </r>
  </si>
  <si>
    <t>атма</t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</si>
  <si>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</si>
  <si>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/сут/атм</t>
    </r>
  </si>
  <si>
    <r>
      <t>Q</t>
    </r>
    <r>
      <rPr>
        <vertAlign val="subscript"/>
        <sz val="10"/>
        <rFont val="Arial Cyr"/>
        <charset val="204"/>
      </rPr>
      <t>max</t>
    </r>
  </si>
  <si>
    <t>Настройка графика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</si>
  <si>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</si>
  <si>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</si>
  <si>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</si>
  <si>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д.ед.</t>
  </si>
  <si>
    <t>PVTstr</t>
  </si>
  <si>
    <t>Q ГЖС</t>
  </si>
  <si>
    <t>Доля газа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</si>
  <si>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</si>
  <si>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</si>
  <si>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</si>
  <si>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</si>
  <si>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</si>
  <si>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</si>
  <si>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</si>
  <si>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</si>
  <si>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</si>
  <si>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</si>
  <si>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</si>
  <si>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</si>
  <si>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</si>
  <si>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</si>
  <si>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пласте. Индикаторная кривая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</si>
</sst>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sz val="10"/>
      <name val="Arial Cyr"/>
      <family val="2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b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42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wrapText="1"/>
    </xf>
    <xf numFmtId="0" fontId="11" fillId="3" borderId="0" xfId="0" applyFont="1" applyFill="1" applyAlignment="1">
      <alignment horizontal="center" vertical="center"/>
    </xf>
    <xf numFmtId="1" fontId="0" fillId="4" borderId="2" xfId="0" applyNumberForma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14" fillId="0" borderId="0" xfId="0" applyFont="1"/>
    <xf numFmtId="0" fontId="0" fillId="5" borderId="2" xfId="0" applyFill="1" applyBorder="1" applyAlignment="1">
      <alignment horizontal="left"/>
    </xf>
    <xf numFmtId="0" fontId="0" fillId="5" borderId="3" xfId="0" applyFill="1" applyBorder="1"/>
    <xf numFmtId="0" fontId="0" fillId="5" borderId="4" xfId="0" applyFill="1" applyBorder="1"/>
    <xf numFmtId="0" fontId="0" fillId="5" borderId="0" xfId="0" applyFill="1"/>
    <xf numFmtId="2" fontId="0" fillId="6" borderId="2" xfId="0" applyNumberFormat="1" applyFill="1" applyBorder="1" applyAlignment="1">
      <alignment horizontal="center"/>
    </xf>
    <xf numFmtId="1" fontId="0" fillId="6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center" vertical="center"/>
    </xf>
    <xf numFmtId="2" fontId="0" fillId="7" borderId="2" xfId="0" applyNumberFormat="1" applyFont="1" applyFill="1" applyBorder="1" applyAlignment="1">
      <alignment horizontal="center"/>
    </xf>
    <xf numFmtId="1" fontId="0" fillId="7" borderId="2" xfId="0" applyNumberFormat="1" applyFont="1" applyFill="1" applyBorder="1" applyAlignment="1">
      <alignment horizontal="center"/>
    </xf>
    <xf numFmtId="14" fontId="0" fillId="4" borderId="0" xfId="0" applyNumberFormat="1" applyFill="1" applyAlignment="1">
      <alignment horizontal="left" vertical="top"/>
    </xf>
    <xf numFmtId="0" fontId="0" fillId="4" borderId="0" xfId="0" applyFill="1"/>
    <xf numFmtId="0" fontId="0" fillId="4" borderId="0" xfId="0" applyFill="1" applyAlignment="1">
      <alignment horizontal="left" vertical="top"/>
    </xf>
    <xf numFmtId="0" fontId="6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4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8" borderId="5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0.85360499762305364</c:v>
                </c:pt>
                <c:pt idx="2">
                  <c:v>1.7072099952461073</c:v>
                </c:pt>
                <c:pt idx="3">
                  <c:v>2.5608149928691608</c:v>
                </c:pt>
                <c:pt idx="4">
                  <c:v>3.4144199904922146</c:v>
                </c:pt>
                <c:pt idx="5">
                  <c:v>4.2680249881152683</c:v>
                </c:pt>
                <c:pt idx="6">
                  <c:v>5.1216299857383216</c:v>
                </c:pt>
                <c:pt idx="7">
                  <c:v>5.9752349833613749</c:v>
                </c:pt>
                <c:pt idx="8">
                  <c:v>6.8288399809844282</c:v>
                </c:pt>
                <c:pt idx="9">
                  <c:v>7.6824449786074815</c:v>
                </c:pt>
                <c:pt idx="10">
                  <c:v>8.5360499762305349</c:v>
                </c:pt>
                <c:pt idx="11">
                  <c:v>9.3896549738535882</c:v>
                </c:pt>
                <c:pt idx="12">
                  <c:v>10.243259971476641</c:v>
                </c:pt>
                <c:pt idx="13">
                  <c:v>11.096864969099695</c:v>
                </c:pt>
                <c:pt idx="14">
                  <c:v>11.950469966722748</c:v>
                </c:pt>
                <c:pt idx="15">
                  <c:v>12.804074964345801</c:v>
                </c:pt>
                <c:pt idx="16">
                  <c:v>13.657679961968855</c:v>
                </c:pt>
                <c:pt idx="17">
                  <c:v>14.511284959591908</c:v>
                </c:pt>
                <c:pt idx="18">
                  <c:v>15.364889957214961</c:v>
                </c:pt>
                <c:pt idx="19">
                  <c:v>16.218494954838015</c:v>
                </c:pt>
                <c:pt idx="20">
                  <c:v>17.07209995246107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145.08342125602428</c:v>
                </c:pt>
                <c:pt idx="2">
                  <c:v>140.16684251204859</c:v>
                </c:pt>
                <c:pt idx="3">
                  <c:v>135.25026376807287</c:v>
                </c:pt>
                <c:pt idx="4">
                  <c:v>130.33368502409715</c:v>
                </c:pt>
                <c:pt idx="5">
                  <c:v>125.41710628012144</c:v>
                </c:pt>
                <c:pt idx="6">
                  <c:v>120.50052753614573</c:v>
                </c:pt>
                <c:pt idx="7">
                  <c:v>115.52568922772795</c:v>
                </c:pt>
                <c:pt idx="8">
                  <c:v>110.39669375362315</c:v>
                </c:pt>
                <c:pt idx="9">
                  <c:v>105.09271541012005</c:v>
                </c:pt>
                <c:pt idx="10">
                  <c:v>99.588882544182667</c:v>
                </c:pt>
                <c:pt idx="11">
                  <c:v>93.853805834010885</c:v>
                </c:pt>
                <c:pt idx="12">
                  <c:v>87.846902576921011</c:v>
                </c:pt>
                <c:pt idx="13">
                  <c:v>81.514117489745502</c:v>
                </c:pt>
                <c:pt idx="14">
                  <c:v>74.78068117570308</c:v>
                </c:pt>
                <c:pt idx="15">
                  <c:v>67.537932126059346</c:v>
                </c:pt>
                <c:pt idx="16">
                  <c:v>59.616885140883056</c:v>
                </c:pt>
                <c:pt idx="17">
                  <c:v>50.727354212468519</c:v>
                </c:pt>
                <c:pt idx="18">
                  <c:v>40.283852200443469</c:v>
                </c:pt>
                <c:pt idx="19">
                  <c:v>26.653052121876453</c:v>
                </c:pt>
                <c:pt idx="20">
                  <c:v>7.8508380352282359E-14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4D-4749-883D-1C3B461663E2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0.85360499762305497</c:v>
                </c:pt>
                <c:pt idx="2">
                  <c:v>1.7072099952461051</c:v>
                </c:pt>
                <c:pt idx="3">
                  <c:v>2.5608149928691599</c:v>
                </c:pt>
                <c:pt idx="4">
                  <c:v>3.414419990492215</c:v>
                </c:pt>
                <c:pt idx="5">
                  <c:v>4.2680249881152674</c:v>
                </c:pt>
                <c:pt idx="6">
                  <c:v>5.1216299857383225</c:v>
                </c:pt>
                <c:pt idx="7">
                  <c:v>5.9752349833614042</c:v>
                </c:pt>
                <c:pt idx="8">
                  <c:v>6.8288399809844291</c:v>
                </c:pt>
                <c:pt idx="9">
                  <c:v>7.6824449786074549</c:v>
                </c:pt>
                <c:pt idx="10">
                  <c:v>8.5360499762305562</c:v>
                </c:pt>
                <c:pt idx="11">
                  <c:v>9.3896549738535811</c:v>
                </c:pt>
                <c:pt idx="12">
                  <c:v>10.243259971476606</c:v>
                </c:pt>
                <c:pt idx="13">
                  <c:v>11.096864969099707</c:v>
                </c:pt>
                <c:pt idx="14">
                  <c:v>11.950469966722732</c:v>
                </c:pt>
                <c:pt idx="15">
                  <c:v>12.804074964345796</c:v>
                </c:pt>
                <c:pt idx="16">
                  <c:v>13.657679961968858</c:v>
                </c:pt>
                <c:pt idx="17">
                  <c:v>14.511284959591922</c:v>
                </c:pt>
                <c:pt idx="18">
                  <c:v>15.364889957214947</c:v>
                </c:pt>
                <c:pt idx="19">
                  <c:v>16.218494954838011</c:v>
                </c:pt>
                <c:pt idx="20">
                  <c:v>17.07209995246107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145.08342125602428</c:v>
                </c:pt>
                <c:pt idx="2">
                  <c:v>140.16684251204859</c:v>
                </c:pt>
                <c:pt idx="3">
                  <c:v>135.25026376807287</c:v>
                </c:pt>
                <c:pt idx="4">
                  <c:v>130.33368502409715</c:v>
                </c:pt>
                <c:pt idx="5">
                  <c:v>125.41710628012144</c:v>
                </c:pt>
                <c:pt idx="6">
                  <c:v>120.50052753614573</c:v>
                </c:pt>
                <c:pt idx="7">
                  <c:v>115.52568922772795</c:v>
                </c:pt>
                <c:pt idx="8">
                  <c:v>110.39669375362315</c:v>
                </c:pt>
                <c:pt idx="9">
                  <c:v>105.09271541012005</c:v>
                </c:pt>
                <c:pt idx="10">
                  <c:v>99.588882544182667</c:v>
                </c:pt>
                <c:pt idx="11">
                  <c:v>93.853805834010885</c:v>
                </c:pt>
                <c:pt idx="12">
                  <c:v>87.846902576921011</c:v>
                </c:pt>
                <c:pt idx="13">
                  <c:v>81.514117489745502</c:v>
                </c:pt>
                <c:pt idx="14">
                  <c:v>74.78068117570308</c:v>
                </c:pt>
                <c:pt idx="15">
                  <c:v>67.537932126059346</c:v>
                </c:pt>
                <c:pt idx="16">
                  <c:v>59.616885140883056</c:v>
                </c:pt>
                <c:pt idx="17">
                  <c:v>50.727354212468519</c:v>
                </c:pt>
                <c:pt idx="18">
                  <c:v>40.283852200443469</c:v>
                </c:pt>
                <c:pt idx="19">
                  <c:v>26.653052121876453</c:v>
                </c:pt>
                <c:pt idx="20">
                  <c:v>7.8508380352282359E-14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4D-4749-883D-1C3B461663E2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15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4D-4749-883D-1C3B461663E2}"/>
            </c:ext>
          </c:extLst>
        </c:ser>
        <c:ser>
          <c:idx val="3"/>
          <c:order val="3"/>
          <c:tx>
            <c:v>ГЖС от давления</c:v>
          </c:tx>
          <c:xVal>
            <c:numRef>
              <c:f>exercise_IPR!$L$40:$L$60</c:f>
              <c:numCache>
                <c:formatCode>0</c:formatCode>
                <c:ptCount val="21"/>
                <c:pt idx="0">
                  <c:v>0</c:v>
                </c:pt>
                <c:pt idx="1">
                  <c:v>0.98897072071307712</c:v>
                </c:pt>
                <c:pt idx="2">
                  <c:v>1.9797615258295409</c:v>
                </c:pt>
                <c:pt idx="3">
                  <c:v>2.9725668091340385</c:v>
                </c:pt>
                <c:pt idx="4">
                  <c:v>3.9676110590410687</c:v>
                </c:pt>
                <c:pt idx="5">
                  <c:v>4.9651548645790475</c:v>
                </c:pt>
                <c:pt idx="6">
                  <c:v>5.9655024193369783</c:v>
                </c:pt>
                <c:pt idx="7">
                  <c:v>7.0953059743000075</c:v>
                </c:pt>
                <c:pt idx="8">
                  <c:v>8.2843054438493358</c:v>
                </c:pt>
                <c:pt idx="9">
                  <c:v>9.5502669854959787</c:v>
                </c:pt>
                <c:pt idx="10">
                  <c:v>10.914020690547355</c:v>
                </c:pt>
                <c:pt idx="11">
                  <c:v>12.404508020905945</c:v>
                </c:pt>
                <c:pt idx="12">
                  <c:v>14.06322281276373</c:v>
                </c:pt>
                <c:pt idx="13">
                  <c:v>15.952043602712061</c:v>
                </c:pt>
                <c:pt idx="14">
                  <c:v>18.168048809917458</c:v>
                </c:pt>
                <c:pt idx="15">
                  <c:v>20.874198419375031</c:v>
                </c:pt>
                <c:pt idx="16">
                  <c:v>24.371140408337041</c:v>
                </c:pt>
                <c:pt idx="17">
                  <c:v>29.297552600734921</c:v>
                </c:pt>
                <c:pt idx="18">
                  <c:v>37.370341759924173</c:v>
                </c:pt>
                <c:pt idx="19">
                  <c:v>56.197800432412357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145.08342125602428</c:v>
                </c:pt>
                <c:pt idx="2">
                  <c:v>140.16684251204859</c:v>
                </c:pt>
                <c:pt idx="3">
                  <c:v>135.25026376807287</c:v>
                </c:pt>
                <c:pt idx="4">
                  <c:v>130.33368502409715</c:v>
                </c:pt>
                <c:pt idx="5">
                  <c:v>125.41710628012144</c:v>
                </c:pt>
                <c:pt idx="6">
                  <c:v>120.50052753614573</c:v>
                </c:pt>
                <c:pt idx="7">
                  <c:v>115.52568922772795</c:v>
                </c:pt>
                <c:pt idx="8">
                  <c:v>110.39669375362315</c:v>
                </c:pt>
                <c:pt idx="9">
                  <c:v>105.09271541012005</c:v>
                </c:pt>
                <c:pt idx="10">
                  <c:v>99.588882544182667</c:v>
                </c:pt>
                <c:pt idx="11">
                  <c:v>93.853805834010885</c:v>
                </c:pt>
                <c:pt idx="12">
                  <c:v>87.846902576921011</c:v>
                </c:pt>
                <c:pt idx="13">
                  <c:v>81.514117489745502</c:v>
                </c:pt>
                <c:pt idx="14">
                  <c:v>74.78068117570308</c:v>
                </c:pt>
                <c:pt idx="15">
                  <c:v>67.537932126059346</c:v>
                </c:pt>
                <c:pt idx="16">
                  <c:v>59.616885140883056</c:v>
                </c:pt>
                <c:pt idx="17">
                  <c:v>50.727354212468519</c:v>
                </c:pt>
                <c:pt idx="18">
                  <c:v>40.283852200443469</c:v>
                </c:pt>
                <c:pt idx="19">
                  <c:v>26.653052121876453</c:v>
                </c:pt>
                <c:pt idx="20">
                  <c:v>7.8508380352282359E-14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4D-4749-883D-1C3B46166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3"/>
          <c:order val="0"/>
          <c:xVal>
            <c:numRef>
              <c:f>exercise_IPR!$M$40:$M$60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2.4193249128348544E-2</c:v>
                </c:pt>
                <c:pt idx="8">
                  <c:v>4.9960810768994217E-2</c:v>
                </c:pt>
                <c:pt idx="9">
                  <c:v>7.7959356185246645E-2</c:v>
                </c:pt>
                <c:pt idx="10">
                  <c:v>0.10856156923637666</c:v>
                </c:pt>
                <c:pt idx="11">
                  <c:v>0.14222954648606798</c:v>
                </c:pt>
                <c:pt idx="12">
                  <c:v>0.17954732393205888</c:v>
                </c:pt>
                <c:pt idx="13">
                  <c:v>0.22127205097859282</c:v>
                </c:pt>
                <c:pt idx="14">
                  <c:v>0.26841983977871892</c:v>
                </c:pt>
                <c:pt idx="15">
                  <c:v>0.32242183010905173</c:v>
                </c:pt>
                <c:pt idx="16">
                  <c:v>0.38543899185415686</c:v>
                </c:pt>
                <c:pt idx="17">
                  <c:v>0.461094952216</c:v>
                </c:pt>
                <c:pt idx="18">
                  <c:v>0.55660105212246302</c:v>
                </c:pt>
                <c:pt idx="19">
                  <c:v>0.69209551796187174</c:v>
                </c:pt>
                <c:pt idx="20">
                  <c:v>0.999999999999999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145.08342125602428</c:v>
                </c:pt>
                <c:pt idx="2">
                  <c:v>140.16684251204859</c:v>
                </c:pt>
                <c:pt idx="3">
                  <c:v>135.25026376807287</c:v>
                </c:pt>
                <c:pt idx="4">
                  <c:v>130.33368502409715</c:v>
                </c:pt>
                <c:pt idx="5">
                  <c:v>125.41710628012144</c:v>
                </c:pt>
                <c:pt idx="6">
                  <c:v>120.50052753614573</c:v>
                </c:pt>
                <c:pt idx="7">
                  <c:v>115.52568922772795</c:v>
                </c:pt>
                <c:pt idx="8">
                  <c:v>110.39669375362315</c:v>
                </c:pt>
                <c:pt idx="9">
                  <c:v>105.09271541012005</c:v>
                </c:pt>
                <c:pt idx="10">
                  <c:v>99.588882544182667</c:v>
                </c:pt>
                <c:pt idx="11">
                  <c:v>93.853805834010885</c:v>
                </c:pt>
                <c:pt idx="12">
                  <c:v>87.846902576921011</c:v>
                </c:pt>
                <c:pt idx="13">
                  <c:v>81.514117489745502</c:v>
                </c:pt>
                <c:pt idx="14">
                  <c:v>74.78068117570308</c:v>
                </c:pt>
                <c:pt idx="15">
                  <c:v>67.537932126059346</c:v>
                </c:pt>
                <c:pt idx="16">
                  <c:v>59.616885140883056</c:v>
                </c:pt>
                <c:pt idx="17">
                  <c:v>50.727354212468519</c:v>
                </c:pt>
                <c:pt idx="18">
                  <c:v>40.283852200443469</c:v>
                </c:pt>
                <c:pt idx="19">
                  <c:v>26.653052121876453</c:v>
                </c:pt>
                <c:pt idx="20">
                  <c:v>7.8508380352282359E-14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E7-448F-A442-4A0725A46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0.85360499762305364</c:v>
                </c:pt>
                <c:pt idx="2">
                  <c:v>1.7072099952461073</c:v>
                </c:pt>
                <c:pt idx="3">
                  <c:v>2.5608149928691608</c:v>
                </c:pt>
                <c:pt idx="4">
                  <c:v>3.4144199904922146</c:v>
                </c:pt>
                <c:pt idx="5">
                  <c:v>4.2680249881152683</c:v>
                </c:pt>
                <c:pt idx="6">
                  <c:v>5.1216299857383216</c:v>
                </c:pt>
                <c:pt idx="7">
                  <c:v>5.9752349833613749</c:v>
                </c:pt>
                <c:pt idx="8">
                  <c:v>6.8288399809844282</c:v>
                </c:pt>
                <c:pt idx="9">
                  <c:v>7.6824449786074815</c:v>
                </c:pt>
                <c:pt idx="10">
                  <c:v>8.5360499762305349</c:v>
                </c:pt>
                <c:pt idx="11">
                  <c:v>9.3896549738535882</c:v>
                </c:pt>
                <c:pt idx="12">
                  <c:v>10.243259971476641</c:v>
                </c:pt>
                <c:pt idx="13">
                  <c:v>11.096864969099695</c:v>
                </c:pt>
                <c:pt idx="14">
                  <c:v>11.950469966722748</c:v>
                </c:pt>
                <c:pt idx="15">
                  <c:v>12.804074964345801</c:v>
                </c:pt>
                <c:pt idx="16">
                  <c:v>13.657679961968855</c:v>
                </c:pt>
                <c:pt idx="17">
                  <c:v>14.511284959591908</c:v>
                </c:pt>
                <c:pt idx="18">
                  <c:v>15.364889957214961</c:v>
                </c:pt>
                <c:pt idx="19">
                  <c:v>16.218494954838015</c:v>
                </c:pt>
                <c:pt idx="20">
                  <c:v>17.07209995246107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145.08342125602428</c:v>
                </c:pt>
                <c:pt idx="2">
                  <c:v>140.16684251204859</c:v>
                </c:pt>
                <c:pt idx="3">
                  <c:v>135.25026376807287</c:v>
                </c:pt>
                <c:pt idx="4">
                  <c:v>130.33368502409715</c:v>
                </c:pt>
                <c:pt idx="5">
                  <c:v>125.41710628012144</c:v>
                </c:pt>
                <c:pt idx="6">
                  <c:v>120.50052753614573</c:v>
                </c:pt>
                <c:pt idx="7">
                  <c:v>115.52568922772795</c:v>
                </c:pt>
                <c:pt idx="8">
                  <c:v>110.39669375362315</c:v>
                </c:pt>
                <c:pt idx="9">
                  <c:v>105.09271541012005</c:v>
                </c:pt>
                <c:pt idx="10">
                  <c:v>99.588882544182667</c:v>
                </c:pt>
                <c:pt idx="11">
                  <c:v>93.853805834010885</c:v>
                </c:pt>
                <c:pt idx="12">
                  <c:v>87.846902576921011</c:v>
                </c:pt>
                <c:pt idx="13">
                  <c:v>81.514117489745502</c:v>
                </c:pt>
                <c:pt idx="14">
                  <c:v>74.78068117570308</c:v>
                </c:pt>
                <c:pt idx="15">
                  <c:v>67.537932126059346</c:v>
                </c:pt>
                <c:pt idx="16">
                  <c:v>59.616885140883056</c:v>
                </c:pt>
                <c:pt idx="17">
                  <c:v>50.727354212468519</c:v>
                </c:pt>
                <c:pt idx="18">
                  <c:v>40.283852200443469</c:v>
                </c:pt>
                <c:pt idx="19">
                  <c:v>26.653052121876453</c:v>
                </c:pt>
                <c:pt idx="20">
                  <c:v>7.8508380352282359E-14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8D-47E4-B6BD-2AA49FE3CAEC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0.85360499762305497</c:v>
                </c:pt>
                <c:pt idx="2">
                  <c:v>1.7072099952461051</c:v>
                </c:pt>
                <c:pt idx="3">
                  <c:v>2.5608149928691599</c:v>
                </c:pt>
                <c:pt idx="4">
                  <c:v>3.414419990492215</c:v>
                </c:pt>
                <c:pt idx="5">
                  <c:v>4.2680249881152674</c:v>
                </c:pt>
                <c:pt idx="6">
                  <c:v>5.1216299857383225</c:v>
                </c:pt>
                <c:pt idx="7">
                  <c:v>5.9752349833614042</c:v>
                </c:pt>
                <c:pt idx="8">
                  <c:v>6.8288399809844291</c:v>
                </c:pt>
                <c:pt idx="9">
                  <c:v>7.6824449786074549</c:v>
                </c:pt>
                <c:pt idx="10">
                  <c:v>8.5360499762305562</c:v>
                </c:pt>
                <c:pt idx="11">
                  <c:v>9.3896549738535811</c:v>
                </c:pt>
                <c:pt idx="12">
                  <c:v>10.243259971476606</c:v>
                </c:pt>
                <c:pt idx="13">
                  <c:v>11.096864969099707</c:v>
                </c:pt>
                <c:pt idx="14">
                  <c:v>11.950469966722732</c:v>
                </c:pt>
                <c:pt idx="15">
                  <c:v>12.804074964345796</c:v>
                </c:pt>
                <c:pt idx="16">
                  <c:v>13.657679961968858</c:v>
                </c:pt>
                <c:pt idx="17">
                  <c:v>14.511284959591922</c:v>
                </c:pt>
                <c:pt idx="18">
                  <c:v>15.364889957214947</c:v>
                </c:pt>
                <c:pt idx="19">
                  <c:v>16.218494954838011</c:v>
                </c:pt>
                <c:pt idx="20">
                  <c:v>17.07209995246107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145.08342125602428</c:v>
                </c:pt>
                <c:pt idx="2">
                  <c:v>140.16684251204859</c:v>
                </c:pt>
                <c:pt idx="3">
                  <c:v>135.25026376807287</c:v>
                </c:pt>
                <c:pt idx="4">
                  <c:v>130.33368502409715</c:v>
                </c:pt>
                <c:pt idx="5">
                  <c:v>125.41710628012144</c:v>
                </c:pt>
                <c:pt idx="6">
                  <c:v>120.50052753614573</c:v>
                </c:pt>
                <c:pt idx="7">
                  <c:v>115.52568922772795</c:v>
                </c:pt>
                <c:pt idx="8">
                  <c:v>110.39669375362315</c:v>
                </c:pt>
                <c:pt idx="9">
                  <c:v>105.09271541012005</c:v>
                </c:pt>
                <c:pt idx="10">
                  <c:v>99.588882544182667</c:v>
                </c:pt>
                <c:pt idx="11">
                  <c:v>93.853805834010885</c:v>
                </c:pt>
                <c:pt idx="12">
                  <c:v>87.846902576921011</c:v>
                </c:pt>
                <c:pt idx="13">
                  <c:v>81.514117489745502</c:v>
                </c:pt>
                <c:pt idx="14">
                  <c:v>74.78068117570308</c:v>
                </c:pt>
                <c:pt idx="15">
                  <c:v>67.537932126059346</c:v>
                </c:pt>
                <c:pt idx="16">
                  <c:v>59.616885140883056</c:v>
                </c:pt>
                <c:pt idx="17">
                  <c:v>50.727354212468519</c:v>
                </c:pt>
                <c:pt idx="18">
                  <c:v>40.283852200443469</c:v>
                </c:pt>
                <c:pt idx="19">
                  <c:v>26.653052121876453</c:v>
                </c:pt>
                <c:pt idx="20">
                  <c:v>7.8508380352282359E-14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8D-47E4-B6BD-2AA49FE3CAEC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15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8D-47E4-B6BD-2AA49FE3C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2702</xdr:colOff>
      <xdr:row>0</xdr:row>
      <xdr:rowOff>41038</xdr:rowOff>
    </xdr:from>
    <xdr:to>
      <xdr:col>14</xdr:col>
      <xdr:colOff>591793</xdr:colOff>
      <xdr:row>16</xdr:row>
      <xdr:rowOff>69159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120C2E3-B038-4DDC-8E81-23F93E6F1374}"/>
            </a:ext>
          </a:extLst>
        </xdr:cNvPr>
        <xdr:cNvSpPr txBox="1"/>
      </xdr:nvSpPr>
      <xdr:spPr>
        <a:xfrm>
          <a:off x="4806615" y="41038"/>
          <a:ext cx="5293613" cy="31920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построить индикаторную</a:t>
          </a:r>
          <a:r>
            <a:rPr lang="ru-RU" sz="1100" baseline="0"/>
            <a:t> кривую (по Вогелю с учетом обводненности) с использованием функций Унифлок </a:t>
          </a:r>
          <a:r>
            <a:rPr lang="en-US" sz="1100" baseline="0"/>
            <a:t>VBA.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продуктивность скважины</a:t>
          </a:r>
          <a:r>
            <a:rPr lang="en-US" sz="1100"/>
            <a:t> PI</a:t>
          </a:r>
          <a:r>
            <a:rPr lang="ru-RU" sz="1100"/>
            <a:t> по данным эксплуатации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максимальный дебит скважины </a:t>
          </a:r>
          <a:r>
            <a:rPr lang="en-US" sz="110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/>
            <a:t>) </a:t>
          </a:r>
          <a:r>
            <a:rPr lang="ru-RU" sz="1100"/>
            <a:t>для калибровки</a:t>
          </a:r>
          <a:r>
            <a:rPr lang="ru-RU" sz="1100" baseline="0"/>
            <a:t> графиков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Постройте</a:t>
          </a:r>
          <a:r>
            <a:rPr lang="ru-RU" sz="1100" baseline="0"/>
            <a:t> индикаторную кривую для заданных параметров пласта и флюида. Расчет провести двумя способами - рассчитать забойное давление по дебиту и наоборот.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ГЖС от забойного давления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 от забойного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IPR_pi_sm3dayatm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IPR_qliq_sm3day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IPR_pwf_atma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MF_q_mix_rc_m3day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MF_gas_fraction_d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</xdr:col>
      <xdr:colOff>256229</xdr:colOff>
      <xdr:row>60</xdr:row>
      <xdr:rowOff>100423</xdr:rowOff>
    </xdr:from>
    <xdr:to>
      <xdr:col>8</xdr:col>
      <xdr:colOff>342900</xdr:colOff>
      <xdr:row>84</xdr:row>
      <xdr:rowOff>114300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ADAD251-2A23-433D-8EC4-0BAE833616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251572</xdr:colOff>
      <xdr:row>60</xdr:row>
      <xdr:rowOff>105334</xdr:rowOff>
    </xdr:from>
    <xdr:to>
      <xdr:col>23</xdr:col>
      <xdr:colOff>371476</xdr:colOff>
      <xdr:row>84</xdr:row>
      <xdr:rowOff>140502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E4BBB19E-9DA8-4E99-AC55-BE036A22A1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390525</xdr:colOff>
      <xdr:row>60</xdr:row>
      <xdr:rowOff>95250</xdr:rowOff>
    </xdr:from>
    <xdr:to>
      <xdr:col>16</xdr:col>
      <xdr:colOff>152400</xdr:colOff>
      <xdr:row>84</xdr:row>
      <xdr:rowOff>123825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6BBA86D-3F64-4FA4-AED7-318DF5C3F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21949</xdr:colOff>
      <xdr:row>0</xdr:row>
      <xdr:rowOff>21534</xdr:rowOff>
    </xdr:from>
    <xdr:to>
      <xdr:col>23</xdr:col>
      <xdr:colOff>517249</xdr:colOff>
      <xdr:row>16</xdr:row>
      <xdr:rowOff>66711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B1A927C-B7DC-444A-8C43-53CCBB233612}"/>
            </a:ext>
          </a:extLst>
        </xdr:cNvPr>
        <xdr:cNvSpPr txBox="1"/>
      </xdr:nvSpPr>
      <xdr:spPr>
        <a:xfrm>
          <a:off x="10118449" y="21534"/>
          <a:ext cx="5372100" cy="31693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данные нужны для оценки продуктивность скважины?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Зависит ли вид индикаторной кривой от газового фактора?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Почему расход ГЖС на забое скважины больше чем расход жидкости? От каких параметров зависит разница?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 индикаторная кривая зависит от обводненности? Почему?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*Постройте график зависимости забойного давления на скважине от дебит жидкости из пласта в пластовых условиях. Будет ли от отличаться от построенного ранее? От чего будет зависеть разница?</a:t>
          </a:r>
        </a:p>
      </xdr:txBody>
    </xdr:sp>
    <xdr:clientData/>
  </xdr:twoCellAnchor>
  <xdr:twoCellAnchor>
    <xdr:from>
      <xdr:col>4</xdr:col>
      <xdr:colOff>152400</xdr:colOff>
      <xdr:row>27</xdr:row>
      <xdr:rowOff>28575</xdr:rowOff>
    </xdr:from>
    <xdr:to>
      <xdr:col>8</xdr:col>
      <xdr:colOff>338418</xdr:colOff>
      <xdr:row>30</xdr:row>
      <xdr:rowOff>47625</xdr:rowOff>
    </xdr:to>
    <xdr:sp macro="" textlink="">
      <xdr:nvSpPr>
        <xdr:cNvPr id="7" name="Стрелка: влево 6">
          <a:extLst>
            <a:ext uri="{FF2B5EF4-FFF2-40B4-BE49-F238E27FC236}">
              <a16:creationId xmlns:a16="http://schemas.microsoft.com/office/drawing/2014/main" id="{0A7C59CE-7504-45FE-834E-29B434010D0E}"/>
            </a:ext>
          </a:extLst>
        </xdr:cNvPr>
        <xdr:cNvSpPr/>
      </xdr:nvSpPr>
      <xdr:spPr>
        <a:xfrm>
          <a:off x="2857500" y="5381625"/>
          <a:ext cx="3100668" cy="762000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</a:t>
          </a:r>
          <a:r>
            <a:rPr lang="en-US" sz="1100" baseline="0"/>
            <a:t>PI </a:t>
          </a:r>
          <a:r>
            <a:rPr lang="ru-RU" sz="1100" baseline="0"/>
            <a:t>и </a:t>
          </a:r>
          <a:r>
            <a:rPr lang="en-US" sz="1100" baseline="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 baseline="0"/>
            <a:t>)</a:t>
          </a:r>
          <a:endParaRPr lang="ru-RU" sz="1100"/>
        </a:p>
      </xdr:txBody>
    </xdr:sp>
    <xdr:clientData/>
  </xdr:twoCellAnchor>
  <xdr:twoCellAnchor>
    <xdr:from>
      <xdr:col>5</xdr:col>
      <xdr:colOff>257175</xdr:colOff>
      <xdr:row>42</xdr:row>
      <xdr:rowOff>28575</xdr:rowOff>
    </xdr:from>
    <xdr:to>
      <xdr:col>9</xdr:col>
      <xdr:colOff>586068</xdr:colOff>
      <xdr:row>51</xdr:row>
      <xdr:rowOff>158296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485889B6-96B5-4E8D-BA09-8070470AC7AA}"/>
            </a:ext>
          </a:extLst>
        </xdr:cNvPr>
        <xdr:cNvSpPr/>
      </xdr:nvSpPr>
      <xdr:spPr>
        <a:xfrm>
          <a:off x="3714750" y="812482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13</xdr:col>
      <xdr:colOff>114300</xdr:colOff>
      <xdr:row>42</xdr:row>
      <xdr:rowOff>47625</xdr:rowOff>
    </xdr:from>
    <xdr:to>
      <xdr:col>18</xdr:col>
      <xdr:colOff>166968</xdr:colOff>
      <xdr:row>52</xdr:row>
      <xdr:rowOff>15421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78C8522F-6AB6-4135-847A-D0E6476B9B37}"/>
            </a:ext>
          </a:extLst>
        </xdr:cNvPr>
        <xdr:cNvSpPr/>
      </xdr:nvSpPr>
      <xdr:spPr>
        <a:xfrm>
          <a:off x="8991600" y="814387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225F53BB-2405-4360-9961-1DBF05FB1AC5}"/>
            </a:ext>
          </a:extLst>
        </xdr:cNvPr>
        <xdr:cNvSpPr/>
      </xdr:nvSpPr>
      <xdr:spPr>
        <a:xfrm>
          <a:off x="29292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&#1050;&#1086;&#1087;&#1080;&#1103;%20UniflocVBA_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IPR_pi_sm3dayatm"/>
      <definedName name="IPR_pwf_atma"/>
      <definedName name="IPR_qliq_sm3day"/>
      <definedName name="MF_gas_fraction_d"/>
      <definedName name="MF_q_mix_rc_m3day"/>
      <definedName name="PVT_encode_string"/>
      <definedName name="PVT_pb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B381-EB7A-4075-910C-E361E909FE52}">
  <sheetPr codeName="Лист1">
    <outlinePr summaryBelow="0"/>
  </sheetPr>
  <dimension ref="A1:W60"/>
  <sheetViews>
    <sheetView tabSelected="1" zoomScale="115" zoomScaleNormal="115" workbookViewId="0">
      <selection activeCell="G2" sqref="G2"/>
    </sheetView>
  </sheetViews>
  <sheetFormatPr defaultRowHeight="12.75" x14ac:dyDescent="0.2"/>
  <cols>
    <col min="2" max="2" width="11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12.28515625" customWidth="1"/>
    <col min="10" max="10" width="11.28515625" customWidth="1"/>
    <col min="11" max="11" width="10.140625" customWidth="1"/>
    <col min="22" max="32" width="9.140625" customWidth="1"/>
  </cols>
  <sheetData>
    <row r="1" spans="1:12" x14ac:dyDescent="0.2">
      <c r="A1" s="1" t="s">
        <v>6</v>
      </c>
      <c r="F1" t="s">
        <v>34</v>
      </c>
      <c r="G1" t="str">
        <f>[1]!unf_Version()</f>
        <v>7.23</v>
      </c>
      <c r="H1" t="s">
        <v>41</v>
      </c>
      <c r="I1" s="21">
        <v>43956</v>
      </c>
      <c r="J1" s="22"/>
      <c r="K1" s="22"/>
      <c r="L1" s="22"/>
    </row>
    <row r="2" spans="1:12" x14ac:dyDescent="0.2">
      <c r="A2" t="s">
        <v>55</v>
      </c>
      <c r="H2" t="s">
        <v>42</v>
      </c>
      <c r="I2" s="23">
        <v>7.23</v>
      </c>
      <c r="J2" s="22"/>
      <c r="K2" s="22"/>
      <c r="L2" s="22"/>
    </row>
    <row r="3" spans="1:12" ht="15" x14ac:dyDescent="0.25">
      <c r="A3" s="24" t="s">
        <v>43</v>
      </c>
      <c r="B3" s="30" t="s">
        <v>44</v>
      </c>
      <c r="C3" s="31"/>
      <c r="D3" s="31"/>
      <c r="E3" s="32"/>
      <c r="H3" t="s">
        <v>45</v>
      </c>
      <c r="I3" s="22" t="s">
        <v>44</v>
      </c>
      <c r="J3" s="22"/>
      <c r="K3" s="22"/>
      <c r="L3" s="22"/>
    </row>
    <row r="4" spans="1:12" ht="15" x14ac:dyDescent="0.25">
      <c r="A4" s="24" t="s">
        <v>46</v>
      </c>
      <c r="B4" s="30" t="s">
        <v>47</v>
      </c>
      <c r="C4" s="31"/>
      <c r="D4" s="31"/>
      <c r="E4" s="32"/>
      <c r="H4" t="s">
        <v>48</v>
      </c>
      <c r="I4" s="22" t="s">
        <v>47</v>
      </c>
      <c r="J4" s="22"/>
      <c r="K4" s="22"/>
      <c r="L4" s="22"/>
    </row>
    <row r="5" spans="1:12" ht="15" x14ac:dyDescent="0.25">
      <c r="A5" s="24" t="s">
        <v>49</v>
      </c>
      <c r="B5" s="30" t="s">
        <v>50</v>
      </c>
      <c r="C5" s="31"/>
      <c r="D5" s="31"/>
      <c r="E5" s="32"/>
      <c r="H5" t="s">
        <v>51</v>
      </c>
      <c r="I5" s="22" t="s">
        <v>50</v>
      </c>
      <c r="J5" s="22"/>
      <c r="K5" s="22"/>
      <c r="L5" s="22"/>
    </row>
    <row r="6" spans="1:12" x14ac:dyDescent="0.2">
      <c r="A6" s="25" t="s">
        <v>52</v>
      </c>
      <c r="B6" s="33" t="s">
        <v>53</v>
      </c>
      <c r="C6" s="34"/>
      <c r="D6" s="34"/>
      <c r="E6" s="35"/>
      <c r="H6" s="26" t="s">
        <v>54</v>
      </c>
      <c r="I6" s="27" t="s">
        <v>53</v>
      </c>
      <c r="J6" s="27"/>
      <c r="K6" s="27"/>
      <c r="L6" s="27"/>
    </row>
    <row r="7" spans="1:12" x14ac:dyDescent="0.2">
      <c r="A7" s="28"/>
      <c r="B7" s="36"/>
      <c r="C7" s="37"/>
      <c r="D7" s="37"/>
      <c r="E7" s="38"/>
      <c r="H7" s="26"/>
      <c r="I7" s="27"/>
      <c r="J7" s="27"/>
      <c r="K7" s="27"/>
      <c r="L7" s="27"/>
    </row>
    <row r="8" spans="1:12" x14ac:dyDescent="0.2">
      <c r="A8" s="29"/>
      <c r="B8" s="39"/>
      <c r="C8" s="40"/>
      <c r="D8" s="40"/>
      <c r="E8" s="41"/>
      <c r="H8" s="26"/>
      <c r="I8" s="27"/>
      <c r="J8" s="27"/>
      <c r="K8" s="27"/>
      <c r="L8" s="27"/>
    </row>
    <row r="10" spans="1:12" x14ac:dyDescent="0.2">
      <c r="A10" s="1" t="s">
        <v>7</v>
      </c>
    </row>
    <row r="11" spans="1:12" ht="18.75" x14ac:dyDescent="0.35">
      <c r="B11" s="3" t="s">
        <v>8</v>
      </c>
      <c r="C11" s="2">
        <v>0.88</v>
      </c>
      <c r="D11" s="4"/>
      <c r="E11" s="20">
        <f>gamma_oil_*1000</f>
        <v>880</v>
      </c>
      <c r="F11" s="10" t="s">
        <v>35</v>
      </c>
    </row>
    <row r="12" spans="1:12" ht="18.75" x14ac:dyDescent="0.35">
      <c r="B12" s="5" t="s">
        <v>9</v>
      </c>
      <c r="C12" s="2">
        <v>1</v>
      </c>
      <c r="D12" s="4"/>
      <c r="E12" s="20">
        <f>gamma_wat_*1000</f>
        <v>1000</v>
      </c>
      <c r="F12" s="10" t="s">
        <v>35</v>
      </c>
    </row>
    <row r="13" spans="1:12" ht="18.75" x14ac:dyDescent="0.35">
      <c r="B13" s="5" t="s">
        <v>10</v>
      </c>
      <c r="C13" s="2">
        <v>0.8</v>
      </c>
      <c r="D13" s="4"/>
      <c r="E13" s="20">
        <f>gamma_gas_*1.22</f>
        <v>0.97599999999999998</v>
      </c>
      <c r="F13" s="10" t="s">
        <v>35</v>
      </c>
    </row>
    <row r="14" spans="1:12" ht="18.75" x14ac:dyDescent="0.35">
      <c r="B14" s="6" t="s">
        <v>11</v>
      </c>
      <c r="C14" s="2">
        <v>80</v>
      </c>
      <c r="D14" s="5" t="s">
        <v>12</v>
      </c>
      <c r="E14" s="20">
        <f>Rsb_/gamma_oil_</f>
        <v>90.909090909090907</v>
      </c>
      <c r="F14" s="10" t="s">
        <v>36</v>
      </c>
    </row>
    <row r="15" spans="1:12" ht="18.75" x14ac:dyDescent="0.35">
      <c r="B15" s="6" t="s">
        <v>13</v>
      </c>
      <c r="C15" s="2">
        <v>80</v>
      </c>
      <c r="D15" s="5" t="s">
        <v>12</v>
      </c>
      <c r="E15" s="20">
        <f>Rsb_/gamma_oil_</f>
        <v>90.909090909090907</v>
      </c>
      <c r="F15" s="10" t="s">
        <v>36</v>
      </c>
    </row>
    <row r="16" spans="1:12" ht="18" x14ac:dyDescent="0.35">
      <c r="B16" s="5" t="s">
        <v>14</v>
      </c>
      <c r="C16" s="2">
        <v>120</v>
      </c>
      <c r="D16" s="5" t="s">
        <v>15</v>
      </c>
      <c r="E16" s="20">
        <f>Pb_cal_*1.01325/10</f>
        <v>12.159000000000001</v>
      </c>
      <c r="F16" s="10" t="s">
        <v>16</v>
      </c>
    </row>
    <row r="17" spans="1:6" ht="18" x14ac:dyDescent="0.35">
      <c r="B17" s="5" t="s">
        <v>17</v>
      </c>
      <c r="C17" s="2">
        <v>100</v>
      </c>
      <c r="D17" s="8" t="s">
        <v>28</v>
      </c>
      <c r="E17" s="20">
        <f>Tres_*9/5+32</f>
        <v>212</v>
      </c>
      <c r="F17" s="10" t="s">
        <v>18</v>
      </c>
    </row>
    <row r="18" spans="1:6" ht="18.75" x14ac:dyDescent="0.35">
      <c r="B18" s="6" t="s">
        <v>19</v>
      </c>
      <c r="C18" s="2">
        <v>1.2</v>
      </c>
      <c r="D18" s="5" t="s">
        <v>12</v>
      </c>
      <c r="E18" s="5"/>
      <c r="F18" s="4"/>
    </row>
    <row r="19" spans="1:6" ht="18" x14ac:dyDescent="0.35">
      <c r="B19" s="7" t="s">
        <v>20</v>
      </c>
      <c r="C19" s="2">
        <v>1</v>
      </c>
      <c r="D19" s="5" t="s">
        <v>21</v>
      </c>
      <c r="E19" s="5"/>
      <c r="F19" s="4"/>
    </row>
    <row r="20" spans="1:6" ht="15.75" x14ac:dyDescent="0.3">
      <c r="B20" s="7" t="s">
        <v>23</v>
      </c>
      <c r="C20" s="2">
        <v>22</v>
      </c>
      <c r="D20" s="5" t="s">
        <v>3</v>
      </c>
      <c r="E20" s="19">
        <f>fw_/100</f>
        <v>0.22</v>
      </c>
      <c r="F20" s="10" t="s">
        <v>37</v>
      </c>
    </row>
    <row r="21" spans="1:6" ht="18" x14ac:dyDescent="0.35">
      <c r="B21" s="5" t="s">
        <v>22</v>
      </c>
      <c r="C21" s="9">
        <f>[1]!PVT_pb_atma(Tres_,gamma_gas_,gamma_oil_,gamma_wat_,Rsb_,Rp_,Pb_cal_,Tres_,Bob_,muob_)</f>
        <v>119.99999999999999</v>
      </c>
      <c r="D21" s="5" t="s">
        <v>15</v>
      </c>
      <c r="E21" s="20">
        <f>Pb_*1.01325/10</f>
        <v>12.158999999999999</v>
      </c>
      <c r="F21" s="10" t="s">
        <v>16</v>
      </c>
    </row>
    <row r="23" spans="1:6" x14ac:dyDescent="0.2">
      <c r="A23" s="1" t="s">
        <v>5</v>
      </c>
      <c r="B23" s="1"/>
      <c r="C23" s="1"/>
      <c r="D23" s="1"/>
    </row>
    <row r="24" spans="1:6" ht="18" customHeight="1" x14ac:dyDescent="0.3">
      <c r="B24" s="7" t="s">
        <v>24</v>
      </c>
      <c r="C24" s="2">
        <v>15</v>
      </c>
      <c r="D24" s="5" t="s">
        <v>30</v>
      </c>
    </row>
    <row r="25" spans="1:6" ht="18" customHeight="1" x14ac:dyDescent="0.3">
      <c r="B25" s="7" t="s">
        <v>25</v>
      </c>
      <c r="C25" s="2">
        <v>45</v>
      </c>
      <c r="D25" s="5" t="s">
        <v>29</v>
      </c>
    </row>
    <row r="27" spans="1:6" x14ac:dyDescent="0.2">
      <c r="A27" s="1" t="s">
        <v>0</v>
      </c>
    </row>
    <row r="28" spans="1:6" ht="19.5" customHeight="1" x14ac:dyDescent="0.3">
      <c r="B28" s="7" t="s">
        <v>27</v>
      </c>
      <c r="C28" s="2">
        <v>150</v>
      </c>
      <c r="D28" s="5" t="s">
        <v>29</v>
      </c>
    </row>
    <row r="29" spans="1:6" ht="19.5" customHeight="1" x14ac:dyDescent="0.25">
      <c r="B29" s="7" t="s">
        <v>26</v>
      </c>
      <c r="C29" s="16">
        <f>[1]!IPR_pi_sm3dayatm(qltest_,Pwftest_,Pres_,fw_,Pb_)</f>
        <v>0.17361768052001131</v>
      </c>
      <c r="D29" s="5" t="s">
        <v>31</v>
      </c>
    </row>
    <row r="30" spans="1:6" ht="19.5" customHeight="1" x14ac:dyDescent="0.3">
      <c r="B30" s="5" t="s">
        <v>32</v>
      </c>
      <c r="C30" s="17">
        <f>[1]!IPR_qliq_sm3day(PI_,Pres_,0,fw_,Pb_)</f>
        <v>17.072099952461073</v>
      </c>
      <c r="D30" s="5" t="s">
        <v>30</v>
      </c>
    </row>
    <row r="32" spans="1:6" x14ac:dyDescent="0.2">
      <c r="A32" s="11" t="s">
        <v>33</v>
      </c>
    </row>
    <row r="33" spans="2:23" ht="15" x14ac:dyDescent="0.25">
      <c r="B33" s="7" t="s">
        <v>4</v>
      </c>
      <c r="C33" s="2">
        <v>20</v>
      </c>
      <c r="D33" s="4"/>
    </row>
    <row r="35" spans="2:23" ht="15" x14ac:dyDescent="0.25">
      <c r="B35" s="7" t="s">
        <v>38</v>
      </c>
      <c r="C35" s="12" t="str">
        <f>[1]!PVT_encode_string(gamma_gas_,gamma_oil_,gamma_wat_,Rsb_,Rp_,Pb_cal_,Tres_,Bob_,muob_)</f>
        <v>gamma_gas:0.800;gamma_oil:0.880;gamma_wat:1.000;rsb_m3m3:80.000;rp_m3m3:80.000;pb_atma:120.000;tres_C:100.000;bob_m3m3:1.200;muob_cP:1.000;PVTcorr:0;ksep_fr:0.000;p_ksep_atma:-1.000;t_ksep_C:-1.000;gas_only:False;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4"/>
      <c r="U35" s="15"/>
      <c r="V35" s="15"/>
      <c r="W35" s="15"/>
    </row>
    <row r="39" spans="2:23" x14ac:dyDescent="0.2">
      <c r="C39" s="5" t="s">
        <v>1</v>
      </c>
      <c r="D39" s="4" t="s">
        <v>2</v>
      </c>
      <c r="E39" s="4" t="s">
        <v>1</v>
      </c>
      <c r="L39" s="4" t="s">
        <v>39</v>
      </c>
      <c r="M39" s="4" t="s">
        <v>40</v>
      </c>
    </row>
    <row r="40" spans="2:23" x14ac:dyDescent="0.2">
      <c r="C40" s="18">
        <v>0</v>
      </c>
      <c r="D40" s="17">
        <f>[1]!IPR_pwf_atma(PI_,Pres_,C40,fw_,Pb_)</f>
        <v>150</v>
      </c>
      <c r="E40" s="17">
        <f>[1]!IPR_qliq_sm3day(PI_,Pres_,D40,fw_,Pb_)</f>
        <v>0</v>
      </c>
      <c r="L40" s="17">
        <f>[1]!MF_q_mix_rc_m3day(E40,fw_,D40,Tres_,PVT_str_)</f>
        <v>0</v>
      </c>
      <c r="M40" s="16">
        <f>[1]!MF_gas_fraction_d(D40,Tres_,fw_,PVT_str_)</f>
        <v>0</v>
      </c>
    </row>
    <row r="41" spans="2:23" x14ac:dyDescent="0.2">
      <c r="C41" s="18">
        <f t="shared" ref="C41:C60" si="0">C40+qmax_/N_</f>
        <v>0.85360499762305364</v>
      </c>
      <c r="D41" s="17">
        <f>[1]!IPR_pwf_atma(PI_,Pres_,C41,fw_,Pb_)</f>
        <v>145.08342125602428</v>
      </c>
      <c r="E41" s="17">
        <f>[1]!IPR_qliq_sm3day(PI_,Pres_,D41,fw_,Pb_)</f>
        <v>0.85360499762305497</v>
      </c>
      <c r="L41" s="17">
        <f>[1]!MF_q_mix_rc_m3day(E41,fw_,D41,Tres_,PVT_str_)</f>
        <v>0.98897072071307712</v>
      </c>
      <c r="M41" s="16">
        <f>[1]!MF_gas_fraction_d(D41,Tres_,fw_,PVT_str_)</f>
        <v>0</v>
      </c>
    </row>
    <row r="42" spans="2:23" x14ac:dyDescent="0.2">
      <c r="C42" s="18">
        <f t="shared" si="0"/>
        <v>1.7072099952461073</v>
      </c>
      <c r="D42" s="17">
        <f>[1]!IPR_pwf_atma(PI_,Pres_,C42,fw_,Pb_)</f>
        <v>140.16684251204859</v>
      </c>
      <c r="E42" s="17">
        <f>[1]!IPR_qliq_sm3day(PI_,Pres_,D42,fw_,Pb_)</f>
        <v>1.7072099952461051</v>
      </c>
      <c r="L42" s="17">
        <f>[1]!MF_q_mix_rc_m3day(E42,fw_,D42,Tres_,PVT_str_)</f>
        <v>1.9797615258295409</v>
      </c>
      <c r="M42" s="16">
        <f>[1]!MF_gas_fraction_d(D42,Tres_,fw_,PVT_str_)</f>
        <v>0</v>
      </c>
    </row>
    <row r="43" spans="2:23" x14ac:dyDescent="0.2">
      <c r="C43" s="18">
        <f t="shared" si="0"/>
        <v>2.5608149928691608</v>
      </c>
      <c r="D43" s="17">
        <f>[1]!IPR_pwf_atma(PI_,Pres_,C43,fw_,Pb_)</f>
        <v>135.25026376807287</v>
      </c>
      <c r="E43" s="17">
        <f>[1]!IPR_qliq_sm3day(PI_,Pres_,D43,fw_,Pb_)</f>
        <v>2.5608149928691599</v>
      </c>
      <c r="L43" s="17">
        <f>[1]!MF_q_mix_rc_m3day(E43,fw_,D43,Tres_,PVT_str_)</f>
        <v>2.9725668091340385</v>
      </c>
      <c r="M43" s="16">
        <f>[1]!MF_gas_fraction_d(D43,Tres_,fw_,PVT_str_)</f>
        <v>0</v>
      </c>
    </row>
    <row r="44" spans="2:23" x14ac:dyDescent="0.2">
      <c r="C44" s="18">
        <f t="shared" si="0"/>
        <v>3.4144199904922146</v>
      </c>
      <c r="D44" s="17">
        <f>[1]!IPR_pwf_atma(PI_,Pres_,C44,fw_,Pb_)</f>
        <v>130.33368502409715</v>
      </c>
      <c r="E44" s="17">
        <f>[1]!IPR_qliq_sm3day(PI_,Pres_,D44,fw_,Pb_)</f>
        <v>3.414419990492215</v>
      </c>
      <c r="L44" s="17">
        <f>[1]!MF_q_mix_rc_m3day(E44,fw_,D44,Tres_,PVT_str_)</f>
        <v>3.9676110590410687</v>
      </c>
      <c r="M44" s="16">
        <f>[1]!MF_gas_fraction_d(D44,Tres_,fw_,PVT_str_)</f>
        <v>0</v>
      </c>
    </row>
    <row r="45" spans="2:23" x14ac:dyDescent="0.2">
      <c r="C45" s="18">
        <f t="shared" si="0"/>
        <v>4.2680249881152683</v>
      </c>
      <c r="D45" s="17">
        <f>[1]!IPR_pwf_atma(PI_,Pres_,C45,fw_,Pb_)</f>
        <v>125.41710628012144</v>
      </c>
      <c r="E45" s="17">
        <f>[1]!IPR_qliq_sm3day(PI_,Pres_,D45,fw_,Pb_)</f>
        <v>4.2680249881152674</v>
      </c>
      <c r="L45" s="17">
        <f>[1]!MF_q_mix_rc_m3day(E45,fw_,D45,Tres_,PVT_str_)</f>
        <v>4.9651548645790475</v>
      </c>
      <c r="M45" s="16">
        <f>[1]!MF_gas_fraction_d(D45,Tres_,fw_,PVT_str_)</f>
        <v>0</v>
      </c>
    </row>
    <row r="46" spans="2:23" x14ac:dyDescent="0.2">
      <c r="C46" s="18">
        <f t="shared" si="0"/>
        <v>5.1216299857383216</v>
      </c>
      <c r="D46" s="17">
        <f>[1]!IPR_pwf_atma(PI_,Pres_,C46,fw_,Pb_)</f>
        <v>120.50052753614573</v>
      </c>
      <c r="E46" s="17">
        <f>[1]!IPR_qliq_sm3day(PI_,Pres_,D46,fw_,Pb_)</f>
        <v>5.1216299857383225</v>
      </c>
      <c r="L46" s="17">
        <f>[1]!MF_q_mix_rc_m3day(E46,fw_,D46,Tres_,PVT_str_)</f>
        <v>5.9655024193369783</v>
      </c>
      <c r="M46" s="16">
        <f>[1]!MF_gas_fraction_d(D46,Tres_,fw_,PVT_str_)</f>
        <v>0</v>
      </c>
    </row>
    <row r="47" spans="2:23" x14ac:dyDescent="0.2">
      <c r="C47" s="18">
        <f t="shared" si="0"/>
        <v>5.9752349833613749</v>
      </c>
      <c r="D47" s="17">
        <f>[1]!IPR_pwf_atma(PI_,Pres_,C47,fw_,Pb_)</f>
        <v>115.52568922772795</v>
      </c>
      <c r="E47" s="17">
        <f>[1]!IPR_qliq_sm3day(PI_,Pres_,D47,fw_,Pb_)</f>
        <v>5.9752349833614042</v>
      </c>
      <c r="L47" s="17">
        <f>[1]!MF_q_mix_rc_m3day(E47,fw_,D47,Tres_,PVT_str_)</f>
        <v>7.0953059743000075</v>
      </c>
      <c r="M47" s="16">
        <f>[1]!MF_gas_fraction_d(D47,Tres_,fw_,PVT_str_)</f>
        <v>2.4193249128348544E-2</v>
      </c>
    </row>
    <row r="48" spans="2:23" x14ac:dyDescent="0.2">
      <c r="C48" s="18">
        <f t="shared" si="0"/>
        <v>6.8288399809844282</v>
      </c>
      <c r="D48" s="17">
        <f>[1]!IPR_pwf_atma(PI_,Pres_,C48,fw_,Pb_)</f>
        <v>110.39669375362315</v>
      </c>
      <c r="E48" s="17">
        <f>[1]!IPR_qliq_sm3day(PI_,Pres_,D48,fw_,Pb_)</f>
        <v>6.8288399809844291</v>
      </c>
      <c r="L48" s="17">
        <f>[1]!MF_q_mix_rc_m3day(E48,fw_,D48,Tres_,PVT_str_)</f>
        <v>8.2843054438493358</v>
      </c>
      <c r="M48" s="16">
        <f>[1]!MF_gas_fraction_d(D48,Tres_,fw_,PVT_str_)</f>
        <v>4.9960810768994217E-2</v>
      </c>
    </row>
    <row r="49" spans="3:13" x14ac:dyDescent="0.2">
      <c r="C49" s="18">
        <f t="shared" si="0"/>
        <v>7.6824449786074815</v>
      </c>
      <c r="D49" s="17">
        <f>[1]!IPR_pwf_atma(PI_,Pres_,C49,fw_,Pb_)</f>
        <v>105.09271541012005</v>
      </c>
      <c r="E49" s="17">
        <f>[1]!IPR_qliq_sm3day(PI_,Pres_,D49,fw_,Pb_)</f>
        <v>7.6824449786074549</v>
      </c>
      <c r="L49" s="17">
        <f>[1]!MF_q_mix_rc_m3day(E49,fw_,D49,Tres_,PVT_str_)</f>
        <v>9.5502669854959787</v>
      </c>
      <c r="M49" s="16">
        <f>[1]!MF_gas_fraction_d(D49,Tres_,fw_,PVT_str_)</f>
        <v>7.7959356185246645E-2</v>
      </c>
    </row>
    <row r="50" spans="3:13" x14ac:dyDescent="0.2">
      <c r="C50" s="18">
        <f t="shared" si="0"/>
        <v>8.5360499762305349</v>
      </c>
      <c r="D50" s="17">
        <f>[1]!IPR_pwf_atma(PI_,Pres_,C50,fw_,Pb_)</f>
        <v>99.588882544182667</v>
      </c>
      <c r="E50" s="17">
        <f>[1]!IPR_qliq_sm3day(PI_,Pres_,D50,fw_,Pb_)</f>
        <v>8.5360499762305562</v>
      </c>
      <c r="L50" s="17">
        <f>[1]!MF_q_mix_rc_m3day(E50,fw_,D50,Tres_,PVT_str_)</f>
        <v>10.914020690547355</v>
      </c>
      <c r="M50" s="16">
        <f>[1]!MF_gas_fraction_d(D50,Tres_,fw_,PVT_str_)</f>
        <v>0.10856156923637666</v>
      </c>
    </row>
    <row r="51" spans="3:13" x14ac:dyDescent="0.2">
      <c r="C51" s="18">
        <f t="shared" si="0"/>
        <v>9.3896549738535882</v>
      </c>
      <c r="D51" s="17">
        <f>[1]!IPR_pwf_atma(PI_,Pres_,C51,fw_,Pb_)</f>
        <v>93.853805834010885</v>
      </c>
      <c r="E51" s="17">
        <f>[1]!IPR_qliq_sm3day(PI_,Pres_,D51,fw_,Pb_)</f>
        <v>9.3896549738535811</v>
      </c>
      <c r="L51" s="17">
        <f>[1]!MF_q_mix_rc_m3day(E51,fw_,D51,Tres_,PVT_str_)</f>
        <v>12.404508020905945</v>
      </c>
      <c r="M51" s="16">
        <f>[1]!MF_gas_fraction_d(D51,Tres_,fw_,PVT_str_)</f>
        <v>0.14222954648606798</v>
      </c>
    </row>
    <row r="52" spans="3:13" x14ac:dyDescent="0.2">
      <c r="C52" s="18">
        <f t="shared" si="0"/>
        <v>10.243259971476641</v>
      </c>
      <c r="D52" s="17">
        <f>[1]!IPR_pwf_atma(PI_,Pres_,C52,fw_,Pb_)</f>
        <v>87.846902576921011</v>
      </c>
      <c r="E52" s="17">
        <f>[1]!IPR_qliq_sm3day(PI_,Pres_,D52,fw_,Pb_)</f>
        <v>10.243259971476606</v>
      </c>
      <c r="L52" s="17">
        <f>[1]!MF_q_mix_rc_m3day(E52,fw_,D52,Tres_,PVT_str_)</f>
        <v>14.06322281276373</v>
      </c>
      <c r="M52" s="16">
        <f>[1]!MF_gas_fraction_d(D52,Tres_,fw_,PVT_str_)</f>
        <v>0.17954732393205888</v>
      </c>
    </row>
    <row r="53" spans="3:13" x14ac:dyDescent="0.2">
      <c r="C53" s="18">
        <f t="shared" si="0"/>
        <v>11.096864969099695</v>
      </c>
      <c r="D53" s="17">
        <f>[1]!IPR_pwf_atma(PI_,Pres_,C53,fw_,Pb_)</f>
        <v>81.514117489745502</v>
      </c>
      <c r="E53" s="17">
        <f>[1]!IPR_qliq_sm3day(PI_,Pres_,D53,fw_,Pb_)</f>
        <v>11.096864969099707</v>
      </c>
      <c r="L53" s="17">
        <f>[1]!MF_q_mix_rc_m3day(E53,fw_,D53,Tres_,PVT_str_)</f>
        <v>15.952043602712061</v>
      </c>
      <c r="M53" s="16">
        <f>[1]!MF_gas_fraction_d(D53,Tres_,fw_,PVT_str_)</f>
        <v>0.22127205097859282</v>
      </c>
    </row>
    <row r="54" spans="3:13" x14ac:dyDescent="0.2">
      <c r="C54" s="18">
        <f t="shared" si="0"/>
        <v>11.950469966722748</v>
      </c>
      <c r="D54" s="17">
        <f>[1]!IPR_pwf_atma(PI_,Pres_,C54,fw_,Pb_)</f>
        <v>74.78068117570308</v>
      </c>
      <c r="E54" s="17">
        <f>[1]!IPR_qliq_sm3day(PI_,Pres_,D54,fw_,Pb_)</f>
        <v>11.950469966722732</v>
      </c>
      <c r="L54" s="17">
        <f>[1]!MF_q_mix_rc_m3day(E54,fw_,D54,Tres_,PVT_str_)</f>
        <v>18.168048809917458</v>
      </c>
      <c r="M54" s="16">
        <f>[1]!MF_gas_fraction_d(D54,Tres_,fw_,PVT_str_)</f>
        <v>0.26841983977871892</v>
      </c>
    </row>
    <row r="55" spans="3:13" x14ac:dyDescent="0.2">
      <c r="C55" s="18">
        <f t="shared" si="0"/>
        <v>12.804074964345801</v>
      </c>
      <c r="D55" s="17">
        <f>[1]!IPR_pwf_atma(PI_,Pres_,C55,fw_,Pb_)</f>
        <v>67.537932126059346</v>
      </c>
      <c r="E55" s="17">
        <f>[1]!IPR_qliq_sm3day(PI_,Pres_,D55,fw_,Pb_)</f>
        <v>12.804074964345796</v>
      </c>
      <c r="L55" s="17">
        <f>[1]!MF_q_mix_rc_m3day(E55,fw_,D55,Tres_,PVT_str_)</f>
        <v>20.874198419375031</v>
      </c>
      <c r="M55" s="16">
        <f>[1]!MF_gas_fraction_d(D55,Tres_,fw_,PVT_str_)</f>
        <v>0.32242183010905173</v>
      </c>
    </row>
    <row r="56" spans="3:13" x14ac:dyDescent="0.2">
      <c r="C56" s="18">
        <f t="shared" si="0"/>
        <v>13.657679961968855</v>
      </c>
      <c r="D56" s="17">
        <f>[1]!IPR_pwf_atma(PI_,Pres_,C56,fw_,Pb_)</f>
        <v>59.616885140883056</v>
      </c>
      <c r="E56" s="17">
        <f>[1]!IPR_qliq_sm3day(PI_,Pres_,D56,fw_,Pb_)</f>
        <v>13.657679961968858</v>
      </c>
      <c r="L56" s="17">
        <f>[1]!MF_q_mix_rc_m3day(E56,fw_,D56,Tres_,PVT_str_)</f>
        <v>24.371140408337041</v>
      </c>
      <c r="M56" s="16">
        <f>[1]!MF_gas_fraction_d(D56,Tres_,fw_,PVT_str_)</f>
        <v>0.38543899185415686</v>
      </c>
    </row>
    <row r="57" spans="3:13" x14ac:dyDescent="0.2">
      <c r="C57" s="18">
        <f t="shared" si="0"/>
        <v>14.511284959591908</v>
      </c>
      <c r="D57" s="17">
        <f>[1]!IPR_pwf_atma(PI_,Pres_,C57,fw_,Pb_)</f>
        <v>50.727354212468519</v>
      </c>
      <c r="E57" s="17">
        <f>[1]!IPR_qliq_sm3day(PI_,Pres_,D57,fw_,Pb_)</f>
        <v>14.511284959591922</v>
      </c>
      <c r="L57" s="17">
        <f>[1]!MF_q_mix_rc_m3day(E57,fw_,D57,Tres_,PVT_str_)</f>
        <v>29.297552600734921</v>
      </c>
      <c r="M57" s="16">
        <f>[1]!MF_gas_fraction_d(D57,Tres_,fw_,PVT_str_)</f>
        <v>0.461094952216</v>
      </c>
    </row>
    <row r="58" spans="3:13" x14ac:dyDescent="0.2">
      <c r="C58" s="18">
        <f t="shared" si="0"/>
        <v>15.364889957214961</v>
      </c>
      <c r="D58" s="17">
        <f>[1]!IPR_pwf_atma(PI_,Pres_,C58,fw_,Pb_)</f>
        <v>40.283852200443469</v>
      </c>
      <c r="E58" s="17">
        <f>[1]!IPR_qliq_sm3day(PI_,Pres_,D58,fw_,Pb_)</f>
        <v>15.364889957214947</v>
      </c>
      <c r="L58" s="17">
        <f>[1]!MF_q_mix_rc_m3day(E58,fw_,D58,Tres_,PVT_str_)</f>
        <v>37.370341759924173</v>
      </c>
      <c r="M58" s="16">
        <f>[1]!MF_gas_fraction_d(D58,Tres_,fw_,PVT_str_)</f>
        <v>0.55660105212246302</v>
      </c>
    </row>
    <row r="59" spans="3:13" x14ac:dyDescent="0.2">
      <c r="C59" s="18">
        <f t="shared" si="0"/>
        <v>16.218494954838015</v>
      </c>
      <c r="D59" s="17">
        <f>[1]!IPR_pwf_atma(PI_,Pres_,C59,fw_,Pb_)</f>
        <v>26.653052121876453</v>
      </c>
      <c r="E59" s="17">
        <f>[1]!IPR_qliq_sm3day(PI_,Pres_,D59,fw_,Pb_)</f>
        <v>16.218494954838011</v>
      </c>
      <c r="L59" s="17">
        <f>[1]!MF_q_mix_rc_m3day(E59,fw_,D59,Tres_,PVT_str_)</f>
        <v>56.197800432412357</v>
      </c>
      <c r="M59" s="16">
        <f>[1]!MF_gas_fraction_d(D59,Tres_,fw_,PVT_str_)</f>
        <v>0.69209551796187174</v>
      </c>
    </row>
    <row r="60" spans="3:13" x14ac:dyDescent="0.2">
      <c r="C60" s="18">
        <f t="shared" si="0"/>
        <v>17.07209995246107</v>
      </c>
      <c r="D60" s="17">
        <f>[1]!IPR_pwf_atma(PI_,Pres_,C60,fw_,Pb_)</f>
        <v>7.8508380352282359E-14</v>
      </c>
      <c r="E60" s="17">
        <f>[1]!IPR_qliq_sm3day(PI_,Pres_,D60,fw_,Pb_)</f>
        <v>17.07209995246107</v>
      </c>
      <c r="L60" s="17"/>
      <c r="M60" s="16">
        <f>[1]!MF_gas_fraction_d(D60,Tres_,fw_,PVT_str_)</f>
        <v>0.999999999999999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29</vt:i4>
      </vt:variant>
    </vt:vector>
  </HeadingPairs>
  <TitlesOfParts>
    <vt:vector size="30" baseType="lpstr">
      <vt:lpstr>exercise_IPR</vt:lpstr>
      <vt:lpstr>exercise_IPR!Bob_</vt:lpstr>
      <vt:lpstr>exercise_IPR!fw_</vt:lpstr>
      <vt:lpstr>exercise_IPR!gamma_gas_</vt:lpstr>
      <vt:lpstr>exercise_IPR!gamma_oil_</vt:lpstr>
      <vt:lpstr>exercise_IPR!gamma_wat_</vt:lpstr>
      <vt:lpstr>exercise_IPR!input_0</vt:lpstr>
      <vt:lpstr>exercise_IPR!input_1</vt:lpstr>
      <vt:lpstr>exercise_IPR!input_2</vt:lpstr>
      <vt:lpstr>exercise_IPR!input_Course</vt:lpstr>
      <vt:lpstr>exercise_IPR!input_Date</vt:lpstr>
      <vt:lpstr>exercise_IPR!input_Group</vt:lpstr>
      <vt:lpstr>exercise_IPR!input_Notes</vt:lpstr>
      <vt:lpstr>exercise_IPR!input_Student_Name</vt:lpstr>
      <vt:lpstr>exercise_IPR!input_Version</vt:lpstr>
      <vt:lpstr>exercise_IPR!muob_</vt:lpstr>
      <vt:lpstr>exercise_IPR!N_</vt:lpstr>
      <vt:lpstr>exercise_IPR!output_0</vt:lpstr>
      <vt:lpstr>exercise_IPR!output_1</vt:lpstr>
      <vt:lpstr>exercise_IPR!Pb_</vt:lpstr>
      <vt:lpstr>exercise_IPR!Pb_cal_</vt:lpstr>
      <vt:lpstr>exercise_IPR!PI_</vt:lpstr>
      <vt:lpstr>exercise_IPR!Pres_</vt:lpstr>
      <vt:lpstr>exercise_IPR!PVT_str_</vt:lpstr>
      <vt:lpstr>exercise_IPR!Pwftest_</vt:lpstr>
      <vt:lpstr>exercise_IPR!qltest_</vt:lpstr>
      <vt:lpstr>exercise_IPR!qmax_</vt:lpstr>
      <vt:lpstr>exercise_IPR!Rp_</vt:lpstr>
      <vt:lpstr>exercise_IPR!Rsb_</vt:lpstr>
      <vt:lpstr>exercise_IPR!Tres_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2020-05-05T11:33:31Z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