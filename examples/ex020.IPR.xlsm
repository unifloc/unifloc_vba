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EED3077-CAB4-4C67-BE2F-8E3B0A9AF75A}" xr6:coauthVersionLast="47" xr6:coauthVersionMax="47" xr10:uidLastSave="{00000000-0000-0000-0000-000000000000}"/>
  <bookViews>
    <workbookView xWindow="-35985" yWindow="-390" windowWidth="20220" windowHeight="19035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G1" i="111"/>
  <c r="I91" i="111" a="1"/>
  <c r="C35" i="111" a="1"/>
  <c r="I91" i="111" l="1"/>
  <c r="C35" i="111"/>
  <c r="C21" i="111"/>
  <c r="I98" i="111" a="1"/>
  <c r="I98" i="111" l="1"/>
  <c r="E91" i="111"/>
  <c r="E21" i="111"/>
  <c r="C29" i="111" a="1"/>
  <c r="C29" i="111" l="1"/>
  <c r="M24" i="111" a="1"/>
  <c r="D40" i="111" a="1"/>
  <c r="C30" i="111" a="1"/>
  <c r="M24" i="111" l="1"/>
  <c r="D40" i="111"/>
  <c r="C30" i="111"/>
  <c r="C41" i="111" s="1"/>
  <c r="C42" i="111" s="1"/>
  <c r="C91" i="111"/>
  <c r="D42" i="111" a="1"/>
  <c r="D41" i="111" a="1"/>
  <c r="C125" i="111" a="1"/>
  <c r="E40" i="111" a="1"/>
  <c r="J91" i="111" a="1"/>
  <c r="C125" i="111" l="1"/>
  <c r="D41" i="111"/>
  <c r="J91" i="111"/>
  <c r="E40" i="111"/>
  <c r="D42" i="111"/>
  <c r="C43" i="111"/>
  <c r="C44" i="111" s="1"/>
  <c r="D44" i="111" a="1"/>
  <c r="E42" i="111" a="1"/>
  <c r="M91" i="111" a="1"/>
  <c r="C128" i="111" a="1"/>
  <c r="K93" i="111" a="1"/>
  <c r="K40" i="111" a="1"/>
  <c r="D43" i="111" a="1"/>
  <c r="K91" i="111" a="1"/>
  <c r="E41" i="111" a="1"/>
  <c r="C128" i="111" l="1"/>
  <c r="M91" i="111"/>
  <c r="K91" i="111"/>
  <c r="K93" i="111"/>
  <c r="K40" i="111"/>
  <c r="E41" i="111"/>
  <c r="D43" i="111"/>
  <c r="E42" i="111"/>
  <c r="D44" i="111"/>
  <c r="C45" i="111"/>
  <c r="K98" i="111" a="1"/>
  <c r="M98" i="111" a="1"/>
  <c r="K42" i="111" a="1"/>
  <c r="L40" i="111" a="1"/>
  <c r="L98" i="111" a="1"/>
  <c r="E44" i="111" a="1"/>
  <c r="E43" i="111" a="1"/>
  <c r="D45" i="111" a="1"/>
  <c r="K41" i="111" a="1"/>
  <c r="M40" i="111" a="1"/>
  <c r="L98" i="111" l="1"/>
  <c r="K98" i="111"/>
  <c r="M98" i="111"/>
  <c r="M40" i="111"/>
  <c r="L40" i="111"/>
  <c r="K41" i="111"/>
  <c r="E43" i="111"/>
  <c r="D45" i="111"/>
  <c r="E44" i="111"/>
  <c r="K42" i="111"/>
  <c r="C46" i="111"/>
  <c r="K43" i="111" a="1"/>
  <c r="M41" i="111" a="1"/>
  <c r="L42" i="111" a="1"/>
  <c r="M42" i="111" a="1"/>
  <c r="K44" i="111" a="1"/>
  <c r="E45" i="111" a="1"/>
  <c r="L41" i="111" a="1"/>
  <c r="D46" i="111" a="1"/>
  <c r="M41" i="111" l="1"/>
  <c r="L41" i="111"/>
  <c r="K43" i="111"/>
  <c r="M42" i="111"/>
  <c r="L42" i="111"/>
  <c r="D46" i="111"/>
  <c r="K44" i="111"/>
  <c r="E45" i="111"/>
  <c r="C47" i="111"/>
  <c r="L43" i="111" a="1"/>
  <c r="D47" i="111" a="1"/>
  <c r="K45" i="111" a="1"/>
  <c r="M43" i="111" a="1"/>
  <c r="L44" i="111" a="1"/>
  <c r="M44" i="111" a="1"/>
  <c r="E46" i="111" a="1"/>
  <c r="M43" i="111" l="1"/>
  <c r="L43" i="111"/>
  <c r="M44" i="111"/>
  <c r="L44" i="111"/>
  <c r="D47" i="111"/>
  <c r="K45" i="111"/>
  <c r="E46" i="111"/>
  <c r="C48" i="111"/>
  <c r="K46" i="111" a="1"/>
  <c r="M45" i="111" a="1"/>
  <c r="L45" i="111" a="1"/>
  <c r="E47" i="111" a="1"/>
  <c r="D48" i="111" a="1"/>
  <c r="M45" i="111" l="1"/>
  <c r="L45" i="111"/>
  <c r="D48" i="111"/>
  <c r="K46" i="111"/>
  <c r="E47" i="111"/>
  <c r="C49" i="111"/>
  <c r="M46" i="111" a="1"/>
  <c r="L46" i="111" a="1"/>
  <c r="E48" i="111" a="1"/>
  <c r="K47" i="111" a="1"/>
  <c r="D49" i="111" a="1"/>
  <c r="M46" i="111" l="1"/>
  <c r="L46" i="111"/>
  <c r="D49" i="111"/>
  <c r="K47" i="111"/>
  <c r="E48" i="111"/>
  <c r="C50" i="111"/>
  <c r="D50" i="111" a="1"/>
  <c r="K48" i="111" a="1"/>
  <c r="E49" i="111" a="1"/>
  <c r="M47" i="111" a="1"/>
  <c r="L47" i="111" a="1"/>
  <c r="M47" i="111" l="1"/>
  <c r="L47" i="111"/>
  <c r="K48" i="111"/>
  <c r="D50" i="111"/>
  <c r="E49" i="111"/>
  <c r="C51" i="111"/>
  <c r="M48" i="111" a="1"/>
  <c r="E50" i="111" a="1"/>
  <c r="L48" i="111" a="1"/>
  <c r="K49" i="111" a="1"/>
  <c r="D51" i="111" a="1"/>
  <c r="M48" i="111" l="1"/>
  <c r="L48" i="111"/>
  <c r="D51" i="111"/>
  <c r="K49" i="111"/>
  <c r="E50" i="111"/>
  <c r="C52" i="111"/>
  <c r="K50" i="111" a="1"/>
  <c r="D52" i="111" a="1"/>
  <c r="M49" i="111" a="1"/>
  <c r="E51" i="111" a="1"/>
  <c r="L49" i="111" a="1"/>
  <c r="M49" i="111" l="1"/>
  <c r="L49" i="111"/>
  <c r="D52" i="111"/>
  <c r="K50" i="111"/>
  <c r="E51" i="111"/>
  <c r="C53" i="111"/>
  <c r="M50" i="111" a="1"/>
  <c r="D53" i="111" a="1"/>
  <c r="K51" i="111" a="1"/>
  <c r="E52" i="111" a="1"/>
  <c r="L50" i="111" a="1"/>
  <c r="M50" i="111" l="1"/>
  <c r="L50" i="111"/>
  <c r="D53" i="111"/>
  <c r="K51" i="111"/>
  <c r="E52" i="111"/>
  <c r="C54" i="111"/>
  <c r="M51" i="111" a="1"/>
  <c r="L51" i="111" a="1"/>
  <c r="E53" i="111" a="1"/>
  <c r="D54" i="111" a="1"/>
  <c r="K52" i="111" a="1"/>
  <c r="M51" i="111" l="1"/>
  <c r="L51" i="111"/>
  <c r="D54" i="111"/>
  <c r="K52" i="111"/>
  <c r="E53" i="111"/>
  <c r="C55" i="111"/>
  <c r="E54" i="111" a="1"/>
  <c r="D55" i="111" a="1"/>
  <c r="M52" i="111" a="1"/>
  <c r="L52" i="111" a="1"/>
  <c r="K53" i="111" a="1"/>
  <c r="M52" i="111" l="1"/>
  <c r="L52" i="111"/>
  <c r="D55" i="111"/>
  <c r="K53" i="111"/>
  <c r="E54" i="111"/>
  <c r="C56" i="111"/>
  <c r="M53" i="111" a="1"/>
  <c r="K54" i="111" a="1"/>
  <c r="D56" i="111" a="1"/>
  <c r="E55" i="111" a="1"/>
  <c r="L53" i="111" a="1"/>
  <c r="M53" i="111" l="1"/>
  <c r="L53" i="111"/>
  <c r="D56" i="111"/>
  <c r="K54" i="111"/>
  <c r="E55" i="111"/>
  <c r="C57" i="111"/>
  <c r="K55" i="111" a="1"/>
  <c r="E56" i="111" a="1"/>
  <c r="D57" i="111" a="1"/>
  <c r="M54" i="111" a="1"/>
  <c r="L54" i="111" a="1"/>
  <c r="M54" i="111" l="1"/>
  <c r="L54" i="111"/>
  <c r="D57" i="111"/>
  <c r="K55" i="111"/>
  <c r="E56" i="111"/>
  <c r="C58" i="111"/>
  <c r="K56" i="111" a="1"/>
  <c r="M55" i="111" a="1"/>
  <c r="D58" i="111" a="1"/>
  <c r="L55" i="111" a="1"/>
  <c r="E57" i="111" a="1"/>
  <c r="M55" i="111" l="1"/>
  <c r="L55" i="111"/>
  <c r="D58" i="111"/>
  <c r="K56" i="111"/>
  <c r="E57" i="111"/>
  <c r="C59" i="111"/>
  <c r="E58" i="111" a="1"/>
  <c r="K57" i="111" a="1"/>
  <c r="L56" i="111" a="1"/>
  <c r="M56" i="111" a="1"/>
  <c r="D59" i="111" a="1"/>
  <c r="M56" i="111" l="1"/>
  <c r="L56" i="111"/>
  <c r="D59" i="111"/>
  <c r="K57" i="111"/>
  <c r="E58" i="111"/>
  <c r="C60" i="111"/>
  <c r="M57" i="111" a="1"/>
  <c r="E59" i="111" a="1"/>
  <c r="K58" i="111" a="1"/>
  <c r="L57" i="111" a="1"/>
  <c r="D60" i="111" a="1"/>
  <c r="M57" i="111" l="1"/>
  <c r="L57" i="111"/>
  <c r="D60" i="111"/>
  <c r="K58" i="111"/>
  <c r="E59" i="111"/>
  <c r="M58" i="111" a="1"/>
  <c r="E60" i="111" a="1"/>
  <c r="K59" i="111" a="1"/>
  <c r="L58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<sst xmlns="http://schemas.openxmlformats.org/spreadsheetml/2006/main" count="85" uniqueCount="71">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</sst>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1.2296199248658291E-17</c:v>
                </c:pt>
                <c:pt idx="3">
                  <c:v>0</c:v>
                </c:pt>
                <c:pt idx="4">
                  <c:v>0</c:v>
                </c:pt>
                <c:pt idx="5">
                  <c:v>2.2048325449925099E-17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2.3002990358436545E-2</c:v>
                </c:pt>
                <c:pt idx="11">
                  <c:v>6.3914583168729375E-2</c:v>
                </c:pt>
                <c:pt idx="12">
                  <c:v>0.1093839419436667</c:v>
                </c:pt>
                <c:pt idx="13">
                  <c:v>0.16037836377751444</c:v>
                </c:pt>
                <c:pt idx="14">
                  <c:v>0.21816109668565148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0.11839570061872098</c:v>
                </c:pt>
                <c:pt idx="1">
                  <c:v>3.6122419481968167</c:v>
                </c:pt>
                <c:pt idx="2">
                  <c:v>7.233295574105064</c:v>
                </c:pt>
                <c:pt idx="3">
                  <c:v>10.861701991867291</c:v>
                </c:pt>
                <c:pt idx="4">
                  <c:v>14.499710468410026</c:v>
                </c:pt>
                <c:pt idx="5">
                  <c:v>18.149760418941955</c:v>
                </c:pt>
                <c:pt idx="6">
                  <c:v>21.81094695831673</c:v>
                </c:pt>
                <c:pt idx="7">
                  <c:v>25.486214189174483</c:v>
                </c:pt>
                <c:pt idx="8">
                  <c:v>29.178863232194033</c:v>
                </c:pt>
                <c:pt idx="9">
                  <c:v>32.889049411059119</c:v>
                </c:pt>
                <c:pt idx="10">
                  <c:v>37.245961058576903</c:v>
                </c:pt>
                <c:pt idx="11">
                  <c:v>42.385194654666925</c:v>
                </c:pt>
                <c:pt idx="12">
                  <c:v>48.151421412475088</c:v>
                </c:pt>
                <c:pt idx="13">
                  <c:v>54.797790622406893</c:v>
                </c:pt>
                <c:pt idx="14">
                  <c:v>62.730122999464555</c:v>
                </c:pt>
                <c:pt idx="15">
                  <c:v>72.639851126189683</c:v>
                </c:pt>
                <c:pt idx="16">
                  <c:v>85.837614082973715</c:v>
                </c:pt>
                <c:pt idx="17">
                  <c:v>105.16458933176992</c:v>
                </c:pt>
                <c:pt idx="18">
                  <c:v>138.37624048752835</c:v>
                </c:pt>
                <c:pt idx="19">
                  <c:v>219.53431441360883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10.420999999999999</c:v>
                </c:pt>
                <c:pt idx="2">
                  <c:v>19.841999999999999</c:v>
                </c:pt>
                <c:pt idx="3">
                  <c:v>29.263000000000002</c:v>
                </c:pt>
                <c:pt idx="4">
                  <c:v>38.683999999999997</c:v>
                </c:pt>
                <c:pt idx="5">
                  <c:v>48.104999999999997</c:v>
                </c:pt>
                <c:pt idx="6">
                  <c:v>57.526000000000003</c:v>
                </c:pt>
                <c:pt idx="7">
                  <c:v>66.947000000000003</c:v>
                </c:pt>
                <c:pt idx="8">
                  <c:v>76.367999999999995</c:v>
                </c:pt>
                <c:pt idx="9">
                  <c:v>85.789000000000001</c:v>
                </c:pt>
                <c:pt idx="10">
                  <c:v>95.210999999999999</c:v>
                </c:pt>
                <c:pt idx="11">
                  <c:v>104.63200000000001</c:v>
                </c:pt>
                <c:pt idx="12">
                  <c:v>114.053</c:v>
                </c:pt>
                <c:pt idx="13">
                  <c:v>123.474</c:v>
                </c:pt>
                <c:pt idx="14">
                  <c:v>132.89500000000001</c:v>
                </c:pt>
                <c:pt idx="15">
                  <c:v>142.316</c:v>
                </c:pt>
                <c:pt idx="16">
                  <c:v>151.73699999999999</c:v>
                </c:pt>
                <c:pt idx="17">
                  <c:v>161.15799999999999</c:v>
                </c:pt>
                <c:pt idx="18">
                  <c:v>170.57900000000001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60.966999999999999</c:v>
                </c:pt>
                <c:pt idx="1">
                  <c:v>60.27</c:v>
                </c:pt>
                <c:pt idx="2">
                  <c:v>59.256999999999998</c:v>
                </c:pt>
                <c:pt idx="3">
                  <c:v>57.927999999999997</c:v>
                </c:pt>
                <c:pt idx="4">
                  <c:v>56.280999999999999</c:v>
                </c:pt>
                <c:pt idx="5">
                  <c:v>54.317999999999998</c:v>
                </c:pt>
                <c:pt idx="6">
                  <c:v>52.037999999999997</c:v>
                </c:pt>
                <c:pt idx="7">
                  <c:v>49.441000000000003</c:v>
                </c:pt>
                <c:pt idx="8">
                  <c:v>46.527999999999999</c:v>
                </c:pt>
                <c:pt idx="9">
                  <c:v>43.298000000000002</c:v>
                </c:pt>
                <c:pt idx="10">
                  <c:v>39.750999999999998</c:v>
                </c:pt>
                <c:pt idx="11">
                  <c:v>35.887</c:v>
                </c:pt>
                <c:pt idx="12">
                  <c:v>31.707000000000001</c:v>
                </c:pt>
                <c:pt idx="13">
                  <c:v>27.231999999999999</c:v>
                </c:pt>
                <c:pt idx="14">
                  <c:v>22.693000000000001</c:v>
                </c:pt>
                <c:pt idx="15">
                  <c:v>18.154</c:v>
                </c:pt>
                <c:pt idx="16">
                  <c:v>13.616</c:v>
                </c:pt>
                <c:pt idx="17">
                  <c:v>9.077</c:v>
                </c:pt>
                <c:pt idx="18">
                  <c:v>4.5389999999999997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11</xdr:col>
      <xdr:colOff>40342</xdr:colOff>
      <xdr:row>127</xdr:row>
      <xdr:rowOff>42581</xdr:rowOff>
    </xdr:from>
    <xdr:to>
      <xdr:col>17</xdr:col>
      <xdr:colOff>504265</xdr:colOff>
      <xdr:row>147</xdr:row>
      <xdr:rowOff>78441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ipr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topLeftCell="A28" zoomScale="85" zoomScaleNormal="85" workbookViewId="0">
      <selection activeCell="C35" sqref="C35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9" max="9" width="10.5703125" bestFit="1" customWidth="1"/>
    <col min="10" max="10" width="11.28515625" customWidth="1"/>
    <col min="11" max="11" width="11.85546875" customWidth="1"/>
    <col min="12" max="13" width="11.5703125" bestFit="1" customWidth="1"/>
    <col min="22" max="22" width="9.140625" customWidth="1"/>
    <col min="23" max="23" width="11.28515625" customWidth="1"/>
    <col min="24" max="29" width="9.140625" customWidth="1"/>
    <col min="30" max="30" width="9" customWidth="1"/>
    <col min="31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7.40</v>
      </c>
      <c r="H1" t="s">
        <v>41</v>
      </c>
      <c r="I1" s="17">
        <v>44977</v>
      </c>
      <c r="J1" s="18"/>
      <c r="K1" s="18"/>
      <c r="L1" s="18"/>
    </row>
    <row r="2" spans="1:12" x14ac:dyDescent="0.2">
      <c r="A2" t="s">
        <v>55</v>
      </c>
      <c r="H2" t="s">
        <v>42</v>
      </c>
      <c r="I2" s="19">
        <v>7.4</v>
      </c>
      <c r="J2" s="18"/>
      <c r="K2" s="18"/>
      <c r="L2" s="18"/>
    </row>
    <row r="3" spans="1:12" ht="15" x14ac:dyDescent="0.25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5" x14ac:dyDescent="0.25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5" x14ac:dyDescent="0.25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2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2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2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13" ht="18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13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13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13" ht="15.75" x14ac:dyDescent="0.3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13" ht="18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13" x14ac:dyDescent="0.2">
      <c r="A23" s="1" t="s">
        <v>5</v>
      </c>
      <c r="B23" s="1"/>
      <c r="C23" s="1"/>
      <c r="D23" s="1"/>
    </row>
    <row r="24" spans="1:13" ht="18" customHeight="1" x14ac:dyDescent="0.3">
      <c r="B24" s="7" t="s">
        <v>24</v>
      </c>
      <c r="C24" s="2">
        <v>55</v>
      </c>
      <c r="D24" s="5" t="s">
        <v>30</v>
      </c>
      <c r="M24" t="str" cm="1">
        <f t="array" ref="M24">[1]!encode_ipr(input_2,PI_,Pb_cal_,fw_)</f>
        <v>{"p_res_atma":180,"pi_m3dayatm":0.481751824817518,"pb_atma":120,"fw_perc":0}</v>
      </c>
    </row>
    <row r="25" spans="1:13" ht="18" customHeight="1" x14ac:dyDescent="0.3">
      <c r="B25" s="7" t="s">
        <v>25</v>
      </c>
      <c r="C25" s="2">
        <v>45</v>
      </c>
      <c r="D25" s="5" t="s">
        <v>29</v>
      </c>
    </row>
    <row r="27" spans="1:13" x14ac:dyDescent="0.2">
      <c r="A27" s="1" t="s">
        <v>0</v>
      </c>
    </row>
    <row r="28" spans="1:13" ht="19.5" customHeight="1" x14ac:dyDescent="0.3">
      <c r="B28" s="7" t="s">
        <v>27</v>
      </c>
      <c r="C28" s="2">
        <v>180</v>
      </c>
      <c r="D28" s="5" t="s">
        <v>29</v>
      </c>
    </row>
    <row r="29" spans="1:13" ht="19.5" customHeight="1" x14ac:dyDescent="0.25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13" ht="19.5" customHeight="1" x14ac:dyDescent="0.3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13" x14ac:dyDescent="0.2">
      <c r="A32" s="11" t="s">
        <v>33</v>
      </c>
    </row>
    <row r="33" spans="2:20" ht="15" x14ac:dyDescent="0.25">
      <c r="B33" s="7" t="s">
        <v>4</v>
      </c>
      <c r="C33" s="2">
        <v>20</v>
      </c>
      <c r="D33" s="4"/>
    </row>
    <row r="35" spans="2:20" ht="15" x14ac:dyDescent="0.25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{"gamma_gas":0.8,"gamma_oil":0.8,"gamma_wat":1,"rsb_m3m3":80,"pb_atma":120,"t_res_C":100,"bob_m3m3":1.2,"muob_cP":1,"PVT_corr_set":0}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{"gamma_gas":0.8,"gamma_oil":0.8,"gamma_wat":1,"rsb_m3m3":80,"pb_atma":120,"t_res_C":100,"bob_m3m3":1.2,"muob_cP":1,"PVT_corr_set":0,"q_liq_sm3day":0,"fw_perc":0,"rp_m3m3":80}</v>
      </c>
      <c r="L40" s="13" cm="1">
        <f t="array" ref="L40">[1]!feed_q_mix_rc_m3day(D40,Tres_,K40)</f>
        <v>0.11839570061872098</v>
      </c>
      <c r="M40" s="12" cm="1">
        <f t="array" ref="M40">[1]!feed_gas_fraction_d(D40,Tres_,K40)</f>
        <v>0</v>
      </c>
    </row>
    <row r="41" spans="2:20" x14ac:dyDescent="0.2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{"gamma_gas":0.8,"gamma_oil":0.8,"gamma_wat":1,"rsb_m3m3":80,"pb_atma":120,"t_res_C":100,"bob_m3m3":1.2,"muob_cP":1,"PVT_corr_set":0,"q_liq_sm3day":3.048,"fw_perc":0,"rp_m3m3":80}</v>
      </c>
      <c r="L41" s="13" cm="1">
        <f t="array" ref="L41">[1]!feed_q_mix_rc_m3day(D41,Tres_,K41)</f>
        <v>3.6122419481968167</v>
      </c>
      <c r="M41" s="12" cm="1">
        <f t="array" ref="M41">[1]!feed_gas_fraction_d(D41,Tres_,K41)</f>
        <v>0</v>
      </c>
    </row>
    <row r="42" spans="2:20" x14ac:dyDescent="0.2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{"gamma_gas":0.8,"gamma_oil":0.8,"gamma_wat":1,"rsb_m3m3":80,"pb_atma":120,"t_res_C":100,"bob_m3m3":1.2,"muob_cP":1,"PVT_corr_set":0,"q_liq_sm3day":6.097,"fw_perc":0,"rp_m3m3":80}</v>
      </c>
      <c r="L42" s="13" cm="1">
        <f t="array" ref="L42">[1]!feed_q_mix_rc_m3day(D42,Tres_,K42)</f>
        <v>7.233295574105064</v>
      </c>
      <c r="M42" s="12" cm="1">
        <f t="array" ref="M42">[1]!feed_gas_fraction_d(D42,Tres_,K42)</f>
        <v>1.2296199248658291E-17</v>
      </c>
    </row>
    <row r="43" spans="2:20" x14ac:dyDescent="0.2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{"gamma_gas":0.8,"gamma_oil":0.8,"gamma_wat":1,"rsb_m3m3":80,"pb_atma":120,"t_res_C":100,"bob_m3m3":1.2,"muob_cP":1,"PVT_corr_set":0,"q_liq_sm3day":9.145,"fw_perc":0,"rp_m3m3":80}</v>
      </c>
      <c r="L43" s="13" cm="1">
        <f t="array" ref="L43">[1]!feed_q_mix_rc_m3day(D43,Tres_,K43)</f>
        <v>10.861701991867291</v>
      </c>
      <c r="M43" s="12" cm="1">
        <f t="array" ref="M43">[1]!feed_gas_fraction_d(D43,Tres_,K43)</f>
        <v>0</v>
      </c>
    </row>
    <row r="44" spans="2:20" x14ac:dyDescent="0.2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{"gamma_gas":0.8,"gamma_oil":0.8,"gamma_wat":1,"rsb_m3m3":80,"pb_atma":120,"t_res_C":100,"bob_m3m3":1.2,"muob_cP":1,"PVT_corr_set":0,"q_liq_sm3day":12.193,"fw_perc":0,"rp_m3m3":80}</v>
      </c>
      <c r="L44" s="13" cm="1">
        <f t="array" ref="L44">[1]!feed_q_mix_rc_m3day(D44,Tres_,K44)</f>
        <v>14.499710468410026</v>
      </c>
      <c r="M44" s="12" cm="1">
        <f t="array" ref="M44">[1]!feed_gas_fraction_d(D44,Tres_,K44)</f>
        <v>0</v>
      </c>
    </row>
    <row r="45" spans="2:20" x14ac:dyDescent="0.2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{"gamma_gas":0.8,"gamma_oil":0.8,"gamma_wat":1,"rsb_m3m3":80,"pb_atma":120,"t_res_C":100,"bob_m3m3":1.2,"muob_cP":1,"PVT_corr_set":0,"q_liq_sm3day":15.242,"fw_perc":0,"rp_m3m3":80}</v>
      </c>
      <c r="L45" s="13" cm="1">
        <f t="array" ref="L45">[1]!feed_q_mix_rc_m3day(D45,Tres_,K45)</f>
        <v>18.149760418941955</v>
      </c>
      <c r="M45" s="12" cm="1">
        <f t="array" ref="M45">[1]!feed_gas_fraction_d(D45,Tres_,K45)</f>
        <v>2.2048325449925099E-17</v>
      </c>
    </row>
    <row r="46" spans="2:20" x14ac:dyDescent="0.2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{"gamma_gas":0.8,"gamma_oil":0.8,"gamma_wat":1,"rsb_m3m3":80,"pb_atma":120,"t_res_C":100,"bob_m3m3":1.2,"muob_cP":1,"PVT_corr_set":0,"q_liq_sm3day":18.29,"fw_perc":0,"rp_m3m3":80}</v>
      </c>
      <c r="L46" s="13" cm="1">
        <f t="array" ref="L46">[1]!feed_q_mix_rc_m3day(D46,Tres_,K46)</f>
        <v>21.81094695831673</v>
      </c>
      <c r="M46" s="12" cm="1">
        <f t="array" ref="M46">[1]!feed_gas_fraction_d(D46,Tres_,K46)</f>
        <v>0</v>
      </c>
    </row>
    <row r="47" spans="2:20" x14ac:dyDescent="0.2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{"gamma_gas":0.8,"gamma_oil":0.8,"gamma_wat":1,"rsb_m3m3":80,"pb_atma":120,"t_res_C":100,"bob_m3m3":1.2,"muob_cP":1,"PVT_corr_set":0,"q_liq_sm3day":21.338,"fw_perc":0,"rp_m3m3":80}</v>
      </c>
      <c r="L47" s="13" cm="1">
        <f t="array" ref="L47">[1]!feed_q_mix_rc_m3day(D47,Tres_,K47)</f>
        <v>25.486214189174483</v>
      </c>
      <c r="M47" s="12" cm="1">
        <f t="array" ref="M47">[1]!feed_gas_fraction_d(D47,Tres_,K47)</f>
        <v>0</v>
      </c>
    </row>
    <row r="48" spans="2:20" x14ac:dyDescent="0.2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{"gamma_gas":0.8,"gamma_oil":0.8,"gamma_wat":1,"rsb_m3m3":80,"pb_atma":120,"t_res_C":100,"bob_m3m3":1.2,"muob_cP":1,"PVT_corr_set":0,"q_liq_sm3day":24.387,"fw_perc":0,"rp_m3m3":80}</v>
      </c>
      <c r="L48" s="13" cm="1">
        <f t="array" ref="L48">[1]!feed_q_mix_rc_m3day(D48,Tres_,K48)</f>
        <v>29.178863232194033</v>
      </c>
      <c r="M48" s="12" cm="1">
        <f t="array" ref="M48">[1]!feed_gas_fraction_d(D48,Tres_,K48)</f>
        <v>0</v>
      </c>
    </row>
    <row r="49" spans="3:13" x14ac:dyDescent="0.2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{"gamma_gas":0.8,"gamma_oil":0.8,"gamma_wat":1,"rsb_m3m3":80,"pb_atma":120,"t_res_C":100,"bob_m3m3":1.2,"muob_cP":1,"PVT_corr_set":0,"q_liq_sm3day":27.435,"fw_perc":0,"rp_m3m3":80}</v>
      </c>
      <c r="L49" s="13" cm="1">
        <f t="array" ref="L49">[1]!feed_q_mix_rc_m3day(D49,Tres_,K49)</f>
        <v>32.889049411059119</v>
      </c>
      <c r="M49" s="12" cm="1">
        <f t="array" ref="M49">[1]!feed_gas_fraction_d(D49,Tres_,K49)</f>
        <v>0</v>
      </c>
    </row>
    <row r="50" spans="3:13" x14ac:dyDescent="0.2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{"gamma_gas":0.8,"gamma_oil":0.8,"gamma_wat":1,"rsb_m3m3":80,"pb_atma":120,"t_res_C":100,"bob_m3m3":1.2,"muob_cP":1,"PVT_corr_set":0,"q_liq_sm3day":30.483,"fw_perc":0,"rp_m3m3":80}</v>
      </c>
      <c r="L50" s="13" cm="1">
        <f t="array" ref="L50">[1]!feed_q_mix_rc_m3day(D50,Tres_,K50)</f>
        <v>37.245961058576903</v>
      </c>
      <c r="M50" s="12" cm="1">
        <f t="array" ref="M50">[1]!feed_gas_fraction_d(D50,Tres_,K50)</f>
        <v>2.3002990358436545E-2</v>
      </c>
    </row>
    <row r="51" spans="3:13" x14ac:dyDescent="0.2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{"gamma_gas":0.8,"gamma_oil":0.8,"gamma_wat":1,"rsb_m3m3":80,"pb_atma":120,"t_res_C":100,"bob_m3m3":1.2,"muob_cP":1,"PVT_corr_set":0,"q_liq_sm3day":33.532,"fw_perc":0,"rp_m3m3":80}</v>
      </c>
      <c r="L51" s="13" cm="1">
        <f t="array" ref="L51">[1]!feed_q_mix_rc_m3day(D51,Tres_,K51)</f>
        <v>42.385194654666925</v>
      </c>
      <c r="M51" s="12" cm="1">
        <f t="array" ref="M51">[1]!feed_gas_fraction_d(D51,Tres_,K51)</f>
        <v>6.3914583168729375E-2</v>
      </c>
    </row>
    <row r="52" spans="3:13" x14ac:dyDescent="0.2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{"gamma_gas":0.8,"gamma_oil":0.8,"gamma_wat":1,"rsb_m3m3":80,"pb_atma":120,"t_res_C":100,"bob_m3m3":1.2,"muob_cP":1,"PVT_corr_set":0,"q_liq_sm3day":36.58,"fw_perc":0,"rp_m3m3":80}</v>
      </c>
      <c r="L52" s="13" cm="1">
        <f t="array" ref="L52">[1]!feed_q_mix_rc_m3day(D52,Tres_,K52)</f>
        <v>48.151421412475088</v>
      </c>
      <c r="M52" s="12" cm="1">
        <f t="array" ref="M52">[1]!feed_gas_fraction_d(D52,Tres_,K52)</f>
        <v>0.1093839419436667</v>
      </c>
    </row>
    <row r="53" spans="3:13" x14ac:dyDescent="0.2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{"gamma_gas":0.8,"gamma_oil":0.8,"gamma_wat":1,"rsb_m3m3":80,"pb_atma":120,"t_res_C":100,"bob_m3m3":1.2,"muob_cP":1,"PVT_corr_set":0,"q_liq_sm3day":39.628,"fw_perc":0,"rp_m3m3":80}</v>
      </c>
      <c r="L53" s="13" cm="1">
        <f t="array" ref="L53">[1]!feed_q_mix_rc_m3day(D53,Tres_,K53)</f>
        <v>54.797790622406893</v>
      </c>
      <c r="M53" s="12" cm="1">
        <f t="array" ref="M53">[1]!feed_gas_fraction_d(D53,Tres_,K53)</f>
        <v>0.16037836377751444</v>
      </c>
    </row>
    <row r="54" spans="3:13" x14ac:dyDescent="0.2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{"gamma_gas":0.8,"gamma_oil":0.8,"gamma_wat":1,"rsb_m3m3":80,"pb_atma":120,"t_res_C":100,"bob_m3m3":1.2,"muob_cP":1,"PVT_corr_set":0,"q_liq_sm3day":42.677,"fw_perc":0,"rp_m3m3":80}</v>
      </c>
      <c r="L54" s="13" cm="1">
        <f t="array" ref="L54">[1]!feed_q_mix_rc_m3day(D54,Tres_,K54)</f>
        <v>62.730122999464555</v>
      </c>
      <c r="M54" s="12" cm="1">
        <f t="array" ref="M54">[1]!feed_gas_fraction_d(D54,Tres_,K54)</f>
        <v>0.21816109668565148</v>
      </c>
    </row>
    <row r="55" spans="3:13" x14ac:dyDescent="0.2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{"gamma_gas":0.8,"gamma_oil":0.8,"gamma_wat":1,"rsb_m3m3":80,"pb_atma":120,"t_res_C":100,"bob_m3m3":1.2,"muob_cP":1,"PVT_corr_set":0,"q_liq_sm3day":45.725,"fw_perc":0,"rp_m3m3":80}</v>
      </c>
      <c r="L55" s="13" cm="1">
        <f t="array" ref="L55">[1]!feed_q_mix_rc_m3day(D55,Tres_,K55)</f>
        <v>72.639851126189683</v>
      </c>
      <c r="M55" s="12" cm="1">
        <f t="array" ref="M55">[1]!feed_gas_fraction_d(D55,Tres_,K55)</f>
        <v>0.28443472361961597</v>
      </c>
    </row>
    <row r="56" spans="3:13" x14ac:dyDescent="0.2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{"gamma_gas":0.8,"gamma_oil":0.8,"gamma_wat":1,"rsb_m3m3":80,"pb_atma":120,"t_res_C":100,"bob_m3m3":1.2,"muob_cP":1,"PVT_corr_set":0,"q_liq_sm3day":48.773,"fw_perc":0,"rp_m3m3":80}</v>
      </c>
      <c r="L56" s="13" cm="1">
        <f t="array" ref="L56">[1]!feed_q_mix_rc_m3day(D56,Tres_,K56)</f>
        <v>85.837614082973715</v>
      </c>
      <c r="M56" s="12" cm="1">
        <f t="array" ref="M56">[1]!feed_gas_fraction_d(D56,Tres_,K56)</f>
        <v>0.36161126362646251</v>
      </c>
    </row>
    <row r="57" spans="3:13" x14ac:dyDescent="0.2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{"gamma_gas":0.8,"gamma_oil":0.8,"gamma_wat":1,"rsb_m3m3":80,"pb_atma":120,"t_res_C":100,"bob_m3m3":1.2,"muob_cP":1,"PVT_corr_set":0,"q_liq_sm3day":51.822,"fw_perc":0,"rp_m3m3":80}</v>
      </c>
      <c r="L57" s="13" cm="1">
        <f t="array" ref="L57">[1]!feed_q_mix_rc_m3day(D57,Tres_,K57)</f>
        <v>105.16458933176992</v>
      </c>
      <c r="M57" s="12" cm="1">
        <f t="array" ref="M57">[1]!feed_gas_fraction_d(D57,Tres_,K57)</f>
        <v>0.45340516573762862</v>
      </c>
    </row>
    <row r="58" spans="3:13" x14ac:dyDescent="0.2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{"gamma_gas":0.8,"gamma_oil":0.8,"gamma_wat":1,"rsb_m3m3":80,"pb_atma":120,"t_res_C":100,"bob_m3m3":1.2,"muob_cP":1,"PVT_corr_set":0,"q_liq_sm3day":54.87,"fw_perc":0,"rp_m3m3":80}</v>
      </c>
      <c r="L58" s="13" cm="1">
        <f t="array" ref="L58">[1]!feed_q_mix_rc_m3day(D58,Tres_,K58)</f>
        <v>138.37624048752835</v>
      </c>
      <c r="M58" s="12" cm="1">
        <f t="array" ref="M58">[1]!feed_gas_fraction_d(D58,Tres_,K58)</f>
        <v>0.56644279563319133</v>
      </c>
    </row>
    <row r="59" spans="3:13" x14ac:dyDescent="0.2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{"gamma_gas":0.8,"gamma_oil":0.8,"gamma_wat":1,"rsb_m3m3":80,"pb_atma":120,"t_res_C":100,"bob_m3m3":1.2,"muob_cP":1,"PVT_corr_set":0,"q_liq_sm3day":57.918,"fw_perc":0,"rp_m3m3":80}</v>
      </c>
      <c r="L59" s="13" cm="1">
        <f t="array" ref="L59">[1]!feed_q_mix_rc_m3day(D59,Tres_,K59)</f>
        <v>219.53431441360883</v>
      </c>
      <c r="M59" s="12" cm="1">
        <f t="array" ref="M59">[1]!feed_gas_fraction_d(D59,Tres_,K59)</f>
        <v>0.71641414977550899</v>
      </c>
    </row>
    <row r="60" spans="3:13" x14ac:dyDescent="0.2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2">
      <c r="C88" t="s">
        <v>58</v>
      </c>
    </row>
    <row r="90" spans="2:13" x14ac:dyDescent="0.2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2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2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2">
      <c r="K94" t="str">
        <v>t_C</v>
      </c>
      <c r="L94" t="str">
        <v>[80,80,80,80,80,80,80,80,80,80,80,80,80,80,80,80,80,80,80,80]</v>
      </c>
    </row>
    <row r="95" spans="2:13" x14ac:dyDescent="0.2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2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2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2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2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2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2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2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2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2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2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2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2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2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2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2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2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2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2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2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2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2">
      <c r="I117" s="29">
        <v>180</v>
      </c>
      <c r="K117" s="29">
        <v>180</v>
      </c>
      <c r="L117">
        <v>80</v>
      </c>
      <c r="M117" s="29">
        <v>0</v>
      </c>
    </row>
    <row r="122" spans="3:13" x14ac:dyDescent="0.2">
      <c r="C122" t="s">
        <v>70</v>
      </c>
    </row>
    <row r="125" spans="3:13" x14ac:dyDescent="0.2">
      <c r="C125" t="str" cm="1">
        <f t="array" ref="C125">[1]!IPR_pq_crv(C91,F91,D91,E91)</f>
        <v>{"curve_x":"p_wf_atma","curve_y":"q_liq_sm3day","p_wf_atma":[1,10.421,19.842,29.263,38.684,48.105,57.526,66.947,76.368,85.789,95.211,104.632,114.053,123.474,132.895,142.316,151.737,161.158,170.579,180],"q_liq_sm3day":[60.967,60.27,59.257,57.928,56.281,54.318,52.038,49.441,46.528,43.298,39.751,35.887,31.707,27.232,22.693,18.154,13.616,9.077,4.539,0]}</v>
      </c>
    </row>
    <row r="128" spans="3:13" x14ac:dyDescent="0.2">
      <c r="C128" t="str" cm="1">
        <f t="array" ref="C128:D148">[1]!decode_json_crv(C125)</f>
        <v>p_wf_atma</v>
      </c>
      <c r="D128" t="str">
        <v>q_liq_sm3day</v>
      </c>
    </row>
    <row r="129" spans="3:4" x14ac:dyDescent="0.2">
      <c r="C129">
        <v>1</v>
      </c>
      <c r="D129">
        <v>60.966999999999999</v>
      </c>
    </row>
    <row r="130" spans="3:4" x14ac:dyDescent="0.2">
      <c r="C130">
        <v>10.420999999999999</v>
      </c>
      <c r="D130">
        <v>60.27</v>
      </c>
    </row>
    <row r="131" spans="3:4" x14ac:dyDescent="0.2">
      <c r="C131">
        <v>19.841999999999999</v>
      </c>
      <c r="D131">
        <v>59.256999999999998</v>
      </c>
    </row>
    <row r="132" spans="3:4" x14ac:dyDescent="0.2">
      <c r="C132">
        <v>29.263000000000002</v>
      </c>
      <c r="D132">
        <v>57.927999999999997</v>
      </c>
    </row>
    <row r="133" spans="3:4" x14ac:dyDescent="0.2">
      <c r="C133">
        <v>38.683999999999997</v>
      </c>
      <c r="D133">
        <v>56.280999999999999</v>
      </c>
    </row>
    <row r="134" spans="3:4" x14ac:dyDescent="0.2">
      <c r="C134">
        <v>48.104999999999997</v>
      </c>
      <c r="D134">
        <v>54.317999999999998</v>
      </c>
    </row>
    <row r="135" spans="3:4" x14ac:dyDescent="0.2">
      <c r="C135">
        <v>57.526000000000003</v>
      </c>
      <c r="D135">
        <v>52.037999999999997</v>
      </c>
    </row>
    <row r="136" spans="3:4" x14ac:dyDescent="0.2">
      <c r="C136">
        <v>66.947000000000003</v>
      </c>
      <c r="D136">
        <v>49.441000000000003</v>
      </c>
    </row>
    <row r="137" spans="3:4" x14ac:dyDescent="0.2">
      <c r="C137">
        <v>76.367999999999995</v>
      </c>
      <c r="D137">
        <v>46.527999999999999</v>
      </c>
    </row>
    <row r="138" spans="3:4" x14ac:dyDescent="0.2">
      <c r="C138">
        <v>85.789000000000001</v>
      </c>
      <c r="D138">
        <v>43.298000000000002</v>
      </c>
    </row>
    <row r="139" spans="3:4" x14ac:dyDescent="0.2">
      <c r="C139">
        <v>95.210999999999999</v>
      </c>
      <c r="D139">
        <v>39.750999999999998</v>
      </c>
    </row>
    <row r="140" spans="3:4" x14ac:dyDescent="0.2">
      <c r="C140">
        <v>104.63200000000001</v>
      </c>
      <c r="D140">
        <v>35.887</v>
      </c>
    </row>
    <row r="141" spans="3:4" x14ac:dyDescent="0.2">
      <c r="C141">
        <v>114.053</v>
      </c>
      <c r="D141">
        <v>31.707000000000001</v>
      </c>
    </row>
    <row r="142" spans="3:4" x14ac:dyDescent="0.2">
      <c r="C142">
        <v>123.474</v>
      </c>
      <c r="D142">
        <v>27.231999999999999</v>
      </c>
    </row>
    <row r="143" spans="3:4" x14ac:dyDescent="0.2">
      <c r="C143">
        <v>132.89500000000001</v>
      </c>
      <c r="D143">
        <v>22.693000000000001</v>
      </c>
    </row>
    <row r="144" spans="3:4" x14ac:dyDescent="0.2">
      <c r="C144">
        <v>142.316</v>
      </c>
      <c r="D144">
        <v>18.154</v>
      </c>
    </row>
    <row r="145" spans="3:4" x14ac:dyDescent="0.2">
      <c r="C145">
        <v>151.73699999999999</v>
      </c>
      <c r="D145">
        <v>13.616</v>
      </c>
    </row>
    <row r="146" spans="3:4" x14ac:dyDescent="0.2">
      <c r="C146">
        <v>161.15799999999999</v>
      </c>
      <c r="D146">
        <v>9.077</v>
      </c>
    </row>
    <row r="147" spans="3:4" x14ac:dyDescent="0.2">
      <c r="C147">
        <v>170.57900000000001</v>
      </c>
      <c r="D147">
        <v>4.5389999999999997</v>
      </c>
    </row>
    <row r="148" spans="3:4" x14ac:dyDescent="0.2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2023-02-20T15:57:14Z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