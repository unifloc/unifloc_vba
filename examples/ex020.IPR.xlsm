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CA45334C-B8D0-4661-8374-B6F2B80207FA}" xr6:coauthVersionLast="46" xr6:coauthVersionMax="46" xr10:uidLastSave="{00000000-0000-0000-0000-000000000000}"/>
  <bookViews>
    <workbookView xWindow="-108" yWindow="-108" windowWidth="23256" windowHeight="14016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input_0" localSheetId="0">exercise_IPR!$C$11:$C$20</definedName>
    <definedName name="input_1" localSheetId="0">exercise_IPR!$C$24:$C$25</definedName>
    <definedName name="input_2" localSheetId="0">exercise_IPR!$C$28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exercise_IPR!$C$33</definedName>
    <definedName name="output_0" localSheetId="0">exercise_IPR!$D$40:$E$60</definedName>
    <definedName name="output_1" localSheetId="0">exercise_IPR!$L$40:$M$60</definedName>
    <definedName name="Pb_" localSheetId="0">exercise_IPR!$C$21</definedName>
    <definedName name="Pb_cal_" localSheetId="0">exercise_IPR!$C$16</definedName>
    <definedName name="PI_" localSheetId="0">exercise_IPR!$C$29</definedName>
    <definedName name="Pres_" localSheetId="0">exercise_IPR!$C$28</definedName>
    <definedName name="PVT_str_" localSheetId="0">exercise_IPR!$C$35</definedName>
    <definedName name="Pwftest_" localSheetId="0">exercise_IPR!$C$25</definedName>
    <definedName name="qltest_" localSheetId="0">exercise_IPR!$C$24</definedName>
    <definedName name="qmax_" localSheetId="0">exercise_IPR!$C$30</definedName>
    <definedName name="Rp_" localSheetId="0">exercise_IPR!$C$15</definedName>
    <definedName name="Rsb_" localSheetId="0">exercise_IPR!$C$14</definedName>
    <definedName name="Tres_" localSheetId="0">exercise_IPR!$C$17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11" l="1"/>
  <c r="E17" i="111"/>
  <c r="E16" i="111"/>
  <c r="E15" i="111"/>
  <c r="E14" i="111"/>
  <c r="E13" i="111"/>
  <c r="E12" i="111"/>
  <c r="E11" i="111"/>
  <c r="C35" i="111" a="1"/>
  <c r="C21" i="111"/>
  <c r="G1" i="111"/>
  <c r="C29" i="111" a="1"/>
  <c r="C35" i="111" l="1"/>
  <c r="C29" i="111"/>
  <c r="E21" i="111"/>
  <c r="D40" i="111" a="1"/>
  <c r="C30" i="111" a="1"/>
  <c r="D40" i="111" l="1"/>
  <c r="C30" i="111"/>
  <c r="C41" i="111" s="1"/>
  <c r="E40" i="111" a="1"/>
  <c r="D41" i="111" a="1"/>
  <c r="D41" i="111" l="1"/>
  <c r="E40" i="111"/>
  <c r="C42" i="111"/>
  <c r="E41" i="111" a="1"/>
  <c r="K40" i="111" a="1"/>
  <c r="D42" i="111" a="1"/>
  <c r="D42" i="111" l="1"/>
  <c r="K40" i="111"/>
  <c r="E41" i="111"/>
  <c r="C43" i="111"/>
  <c r="E42" i="111" a="1"/>
  <c r="L40" i="111"/>
  <c r="M40" i="111"/>
  <c r="K41" i="111" a="1"/>
  <c r="D43" i="111" a="1"/>
  <c r="D43" i="111" l="1"/>
  <c r="K41" i="111"/>
  <c r="E42" i="111"/>
  <c r="C44" i="111"/>
  <c r="E43" i="111" a="1"/>
  <c r="L41" i="111"/>
  <c r="M41" i="111"/>
  <c r="K42" i="111" a="1"/>
  <c r="D44" i="111" a="1"/>
  <c r="D44" i="111" l="1"/>
  <c r="K42" i="111"/>
  <c r="E43" i="111"/>
  <c r="C45" i="111"/>
  <c r="E44" i="111" a="1"/>
  <c r="L42" i="111"/>
  <c r="M42" i="111"/>
  <c r="K43" i="111" a="1"/>
  <c r="D45" i="111" a="1"/>
  <c r="D45" i="111" l="1"/>
  <c r="K43" i="111"/>
  <c r="E44" i="111"/>
  <c r="C46" i="111"/>
  <c r="E45" i="111" a="1"/>
  <c r="L43" i="111"/>
  <c r="M43" i="111"/>
  <c r="K44" i="111" a="1"/>
  <c r="D46" i="111" a="1"/>
  <c r="D46" i="111" l="1"/>
  <c r="K44" i="111"/>
  <c r="E45" i="111"/>
  <c r="C47" i="111"/>
  <c r="E46" i="111" a="1"/>
  <c r="L44" i="111"/>
  <c r="M44" i="111"/>
  <c r="K45" i="111" a="1"/>
  <c r="D47" i="111" a="1"/>
  <c r="D47" i="111" l="1"/>
  <c r="K45" i="111"/>
  <c r="E46" i="111"/>
  <c r="C48" i="111"/>
  <c r="L45" i="111"/>
  <c r="M45" i="111"/>
  <c r="K46" i="111" a="1"/>
  <c r="D48" i="111" a="1"/>
  <c r="E47" i="111" a="1"/>
  <c r="E47" i="111" l="1"/>
  <c r="D48" i="111"/>
  <c r="K46" i="111"/>
  <c r="C49" i="111"/>
  <c r="K47" i="111" a="1"/>
  <c r="E48" i="111" a="1"/>
  <c r="L46" i="111"/>
  <c r="M46" i="111"/>
  <c r="D49" i="111" a="1"/>
  <c r="D49" i="111" l="1"/>
  <c r="E48" i="111"/>
  <c r="K47" i="111"/>
  <c r="C50" i="111"/>
  <c r="E49" i="111" a="1"/>
  <c r="K48" i="111" a="1"/>
  <c r="L47" i="111"/>
  <c r="M47" i="111"/>
  <c r="D50" i="111" a="1"/>
  <c r="D50" i="111" l="1"/>
  <c r="K48" i="111"/>
  <c r="E49" i="111"/>
  <c r="C51" i="111"/>
  <c r="E50" i="111" a="1"/>
  <c r="L48" i="111"/>
  <c r="M48" i="111"/>
  <c r="K49" i="111" a="1"/>
  <c r="D51" i="111" a="1"/>
  <c r="D51" i="111" l="1"/>
  <c r="K49" i="111"/>
  <c r="E50" i="111"/>
  <c r="C52" i="111"/>
  <c r="L49" i="111"/>
  <c r="M49" i="111"/>
  <c r="K50" i="111" a="1"/>
  <c r="D52" i="111" a="1"/>
  <c r="E51" i="111" a="1"/>
  <c r="E51" i="111" l="1"/>
  <c r="D52" i="111"/>
  <c r="K50" i="111"/>
  <c r="C53" i="111"/>
  <c r="E52" i="111" a="1"/>
  <c r="L50" i="111"/>
  <c r="M50" i="111"/>
  <c r="D53" i="111" a="1"/>
  <c r="K51" i="111" a="1"/>
  <c r="K51" i="111" l="1"/>
  <c r="D53" i="111"/>
  <c r="E52" i="111"/>
  <c r="C54" i="111"/>
  <c r="L51" i="111"/>
  <c r="M51" i="111"/>
  <c r="E53" i="111" a="1"/>
  <c r="K52" i="111" a="1"/>
  <c r="D54" i="111" a="1"/>
  <c r="D54" i="111" l="1"/>
  <c r="K52" i="111"/>
  <c r="E53" i="111"/>
  <c r="C55" i="111"/>
  <c r="L52" i="111"/>
  <c r="M52" i="111"/>
  <c r="K53" i="111" a="1"/>
  <c r="D55" i="111" a="1"/>
  <c r="E54" i="111" a="1"/>
  <c r="E54" i="111" l="1"/>
  <c r="D55" i="111"/>
  <c r="K53" i="111"/>
  <c r="C56" i="111"/>
  <c r="K54" i="111" a="1"/>
  <c r="E55" i="111" a="1"/>
  <c r="L53" i="111"/>
  <c r="M53" i="111"/>
  <c r="D56" i="111" a="1"/>
  <c r="D56" i="111" l="1"/>
  <c r="E55" i="111"/>
  <c r="K54" i="111"/>
  <c r="C57" i="111"/>
  <c r="E56" i="111" a="1"/>
  <c r="K55" i="111" a="1"/>
  <c r="L54" i="111"/>
  <c r="M54" i="111"/>
  <c r="D57" i="111" a="1"/>
  <c r="D57" i="111" l="1"/>
  <c r="K55" i="111"/>
  <c r="E56" i="111"/>
  <c r="C58" i="111"/>
  <c r="L55" i="111"/>
  <c r="M55" i="111"/>
  <c r="K56" i="111" a="1"/>
  <c r="D58" i="111" a="1"/>
  <c r="E57" i="111" a="1"/>
  <c r="E57" i="111" l="1"/>
  <c r="D58" i="111"/>
  <c r="K56" i="111"/>
  <c r="C59" i="111"/>
  <c r="E58" i="111" a="1"/>
  <c r="L56" i="111"/>
  <c r="M56" i="111"/>
  <c r="D59" i="111" a="1"/>
  <c r="K57" i="111" a="1"/>
  <c r="K57" i="111" l="1"/>
  <c r="D59" i="111"/>
  <c r="E58" i="111"/>
  <c r="C60" i="111"/>
  <c r="E59" i="111" a="1"/>
  <c r="K58" i="111" a="1"/>
  <c r="L57" i="111"/>
  <c r="M57" i="111"/>
  <c r="D60" i="111" a="1"/>
  <c r="D60" i="111" l="1"/>
  <c r="K58" i="111"/>
  <c r="E59" i="111"/>
  <c r="L58" i="111"/>
  <c r="M58" i="111"/>
  <c r="K59" i="111" a="1"/>
  <c r="E60" i="111" a="1"/>
  <c r="E60" i="111" l="1"/>
  <c r="K59" i="111"/>
  <c r="L59" i="111"/>
  <c r="M59" i="1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<sst xmlns="http://schemas.openxmlformats.org/spreadsheetml/2006/main" count="70" uniqueCount="56">
  <si>
    <t>Параметры пласта</t>
  </si>
  <si>
    <t>Q</t>
  </si>
  <si>
    <t>Pwf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</si>
  <si>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</si>
  <si>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</si>
  <si>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</si>
  <si>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</si>
  <si>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</si>
  <si>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</si>
  <si>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</si>
  <si>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</si>
  <si>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</si>
  <si>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</si>
  <si>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</si>
  <si>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</si>
  <si>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</si>
  <si>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</si>
  <si>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</si>
  <si>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</si>
  <si>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</si>
  <si>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</si>
  <si>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</si>
  <si>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</si>
  <si>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</si>
  <si>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</si>
  <si>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</si>
  <si>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</si>
  <si>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</si>
  <si>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</si>
  <si>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</si>
  <si>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</si>
  <si>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</si>
  <si>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</si>
  <si>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</si>
  <si>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</si>
  <si>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</si>
  <si>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</si>
  <si>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</si>
  <si>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</si>
  <si>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Q ГЖС</t>
  </si>
  <si>
    <t>Доля газа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</si>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</sst>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42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0" fontId="0" fillId="5" borderId="2" xfId="0" applyFill="1" applyBorder="1" applyAlignment="1">
      <alignment horizontal="left"/>
    </xf>
    <xf numFmtId="0" fontId="0" fillId="5" borderId="3" xfId="0" applyFill="1" applyBorder="1"/>
    <xf numFmtId="0" fontId="0" fillId="5" borderId="4" xfId="0" applyFill="1" applyBorder="1"/>
    <xf numFmtId="0" fontId="0" fillId="5" borderId="0" xfId="0" applyFill="1"/>
    <xf numFmtId="2" fontId="0" fillId="6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center" vertical="center"/>
    </xf>
    <xf numFmtId="2" fontId="0" fillId="7" borderId="2" xfId="0" applyNumberFormat="1" applyFont="1" applyFill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5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3"/>
          <c:order val="0"/>
          <c:xVal>
            <c:numRef>
              <c:f>exercise_IPR!$M$40:$M$60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7-448F-A442-4A0725A4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8D-47E4-B6BD-2AA49FE3CAEC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8D-47E4-B6BD-2AA49FE3CAEC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8D-47E4-B6BD-2AA49FE3C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4D-4749-883D-1C3B461663E2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4D-4749-883D-1C3B461663E2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4D-4749-883D-1C3B461663E2}"/>
            </c:ext>
          </c:extLst>
        </c:ser>
        <c:ser>
          <c:idx val="3"/>
          <c:order val="3"/>
          <c:tx>
            <c:v>ГЖС от давления</c:v>
          </c:tx>
          <c:xVal>
            <c:numRef>
              <c:f>exercise_IPR!$L$40:$L$60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4D-4749-883D-1C3B46166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MF_gas_fraction_d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16</xdr:col>
      <xdr:colOff>251572</xdr:colOff>
      <xdr:row>60</xdr:row>
      <xdr:rowOff>105334</xdr:rowOff>
    </xdr:from>
    <xdr:to>
      <xdr:col>23</xdr:col>
      <xdr:colOff>371476</xdr:colOff>
      <xdr:row>84</xdr:row>
      <xdr:rowOff>140502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4BBB19E-9DA8-4E99-AC55-BE036A22A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390525</xdr:colOff>
      <xdr:row>60</xdr:row>
      <xdr:rowOff>95250</xdr:rowOff>
    </xdr:from>
    <xdr:to>
      <xdr:col>16</xdr:col>
      <xdr:colOff>152400</xdr:colOff>
      <xdr:row>84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6BBA86D-3F64-4FA4-AED7-318DF5C3F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152400</xdr:colOff>
      <xdr:row>27</xdr:row>
      <xdr:rowOff>28575</xdr:rowOff>
    </xdr:from>
    <xdr:to>
      <xdr:col>8</xdr:col>
      <xdr:colOff>338418</xdr:colOff>
      <xdr:row>30</xdr:row>
      <xdr:rowOff>47625</xdr:rowOff>
    </xdr:to>
    <xdr:sp macro="" textlink="">
      <xdr:nvSpPr>
        <xdr:cNvPr id="7" name="Стрелка: влево 6">
          <a:extLst>
            <a:ext uri="{FF2B5EF4-FFF2-40B4-BE49-F238E27FC236}">
              <a16:creationId xmlns:a16="http://schemas.microsoft.com/office/drawing/2014/main" id="{0A7C59CE-7504-45FE-834E-29B434010D0E}"/>
            </a:ext>
          </a:extLst>
        </xdr:cNvPr>
        <xdr:cNvSpPr/>
      </xdr:nvSpPr>
      <xdr:spPr>
        <a:xfrm>
          <a:off x="2857500" y="5381625"/>
          <a:ext cx="3100668" cy="762000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</a:t>
          </a:r>
          <a:r>
            <a:rPr lang="en-US" sz="1100" baseline="0"/>
            <a:t>PI </a:t>
          </a:r>
          <a:r>
            <a:rPr lang="ru-RU" sz="1100" baseline="0"/>
            <a:t>и </a:t>
          </a:r>
          <a:r>
            <a:rPr lang="en-US" sz="1100" baseline="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 baseline="0"/>
            <a:t>)</a:t>
          </a:r>
          <a:endParaRPr lang="ru-RU" sz="1100"/>
        </a:p>
      </xdr:txBody>
    </xdr:sp>
    <xdr:clientData/>
  </xdr:twoCellAnchor>
  <xdr:twoCellAnchor>
    <xdr:from>
      <xdr:col>5</xdr:col>
      <xdr:colOff>257175</xdr:colOff>
      <xdr:row>42</xdr:row>
      <xdr:rowOff>28575</xdr:rowOff>
    </xdr:from>
    <xdr:to>
      <xdr:col>9</xdr:col>
      <xdr:colOff>586068</xdr:colOff>
      <xdr:row>51</xdr:row>
      <xdr:rowOff>158296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485889B6-96B5-4E8D-BA09-8070470AC7AA}"/>
            </a:ext>
          </a:extLst>
        </xdr:cNvPr>
        <xdr:cNvSpPr/>
      </xdr:nvSpPr>
      <xdr:spPr>
        <a:xfrm>
          <a:off x="3714750" y="812482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13</xdr:col>
      <xdr:colOff>114300</xdr:colOff>
      <xdr:row>42</xdr:row>
      <xdr:rowOff>47625</xdr:rowOff>
    </xdr:from>
    <xdr:to>
      <xdr:col>18</xdr:col>
      <xdr:colOff>166968</xdr:colOff>
      <xdr:row>52</xdr:row>
      <xdr:rowOff>15421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78C8522F-6AB6-4135-847A-D0E6476B9B37}"/>
            </a:ext>
          </a:extLst>
        </xdr:cNvPr>
        <xdr:cNvSpPr/>
      </xdr:nvSpPr>
      <xdr:spPr>
        <a:xfrm>
          <a:off x="8991600" y="814387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</xdr:col>
      <xdr:colOff>272797</xdr:colOff>
      <xdr:row>60</xdr:row>
      <xdr:rowOff>108707</xdr:rowOff>
    </xdr:from>
    <xdr:to>
      <xdr:col>8</xdr:col>
      <xdr:colOff>359468</xdr:colOff>
      <xdr:row>84</xdr:row>
      <xdr:rowOff>122584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ADAD251-2A23-433D-8EC4-0BAE83361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PVT_prop"/>
      <definedName name="encode_PVT_stream"/>
      <definedName name="IPR_p_wf_atma"/>
      <definedName name="IPR_pi_sm3dayatm"/>
      <definedName name="IPR_q_liq_sm3day"/>
      <definedName name="PVT_pb_atma"/>
      <definedName name="PVT_stream_gas_fraction_d"/>
      <definedName name="PVT_stream_q_mix_rc_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W60"/>
  <sheetViews>
    <sheetView tabSelected="1" topLeftCell="B19" zoomScale="85" zoomScaleNormal="85" workbookViewId="0">
      <selection activeCell="K24" sqref="K24"/>
    </sheetView>
  </sheetViews>
  <sheetFormatPr defaultRowHeight="13.2" x14ac:dyDescent="0.25"/>
  <cols>
    <col min="2" max="2" width="11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0.33203125" customWidth="1"/>
    <col min="8" max="8" width="12.33203125" customWidth="1"/>
    <col min="10" max="10" width="11.33203125" customWidth="1"/>
    <col min="11" max="11" width="10.88671875" customWidth="1"/>
    <col min="12" max="13" width="11.5546875" bestFit="1" customWidth="1"/>
    <col min="22" max="32" width="9.109375" customWidth="1"/>
  </cols>
  <sheetData>
    <row r="1" spans="1:12" x14ac:dyDescent="0.25">
      <c r="A1" s="1" t="s">
        <v>6</v>
      </c>
      <c r="F1" t="s">
        <v>34</v>
      </c>
      <c r="G1" t="str">
        <f>[1]!unf_Version()</f>
        <v>7.26</v>
      </c>
      <c r="H1" t="s">
        <v>41</v>
      </c>
      <c r="I1" s="21">
        <v>44220</v>
      </c>
      <c r="J1" s="22"/>
      <c r="K1" s="22"/>
      <c r="L1" s="22"/>
    </row>
    <row r="2" spans="1:12" x14ac:dyDescent="0.25">
      <c r="A2" t="s">
        <v>55</v>
      </c>
      <c r="H2" t="s">
        <v>42</v>
      </c>
      <c r="I2" s="23">
        <v>7.26</v>
      </c>
      <c r="J2" s="22"/>
      <c r="K2" s="22"/>
      <c r="L2" s="22"/>
    </row>
    <row r="3" spans="1:12" ht="14.4" x14ac:dyDescent="0.3">
      <c r="A3" s="24" t="s">
        <v>43</v>
      </c>
      <c r="B3" s="30" t="s">
        <v>44</v>
      </c>
      <c r="C3" s="31"/>
      <c r="D3" s="31"/>
      <c r="E3" s="32"/>
      <c r="H3" t="s">
        <v>45</v>
      </c>
      <c r="I3" s="22" t="s">
        <v>44</v>
      </c>
      <c r="J3" s="22"/>
      <c r="K3" s="22"/>
      <c r="L3" s="22"/>
    </row>
    <row r="4" spans="1:12" ht="14.4" x14ac:dyDescent="0.3">
      <c r="A4" s="24" t="s">
        <v>46</v>
      </c>
      <c r="B4" s="30" t="s">
        <v>47</v>
      </c>
      <c r="C4" s="31"/>
      <c r="D4" s="31"/>
      <c r="E4" s="32"/>
      <c r="H4" t="s">
        <v>48</v>
      </c>
      <c r="I4" s="22" t="s">
        <v>47</v>
      </c>
      <c r="J4" s="22"/>
      <c r="K4" s="22"/>
      <c r="L4" s="22"/>
    </row>
    <row r="5" spans="1:12" ht="14.4" x14ac:dyDescent="0.3">
      <c r="A5" s="24" t="s">
        <v>49</v>
      </c>
      <c r="B5" s="30" t="s">
        <v>50</v>
      </c>
      <c r="C5" s="31"/>
      <c r="D5" s="31"/>
      <c r="E5" s="32"/>
      <c r="H5" t="s">
        <v>51</v>
      </c>
      <c r="I5" s="22" t="s">
        <v>50</v>
      </c>
      <c r="J5" s="22"/>
      <c r="K5" s="22"/>
      <c r="L5" s="22"/>
    </row>
    <row r="6" spans="1:12" x14ac:dyDescent="0.25">
      <c r="A6" s="25" t="s">
        <v>52</v>
      </c>
      <c r="B6" s="33" t="s">
        <v>53</v>
      </c>
      <c r="C6" s="34"/>
      <c r="D6" s="34"/>
      <c r="E6" s="35"/>
      <c r="H6" s="26" t="s">
        <v>54</v>
      </c>
      <c r="I6" s="27" t="s">
        <v>53</v>
      </c>
      <c r="J6" s="27"/>
      <c r="K6" s="27"/>
      <c r="L6" s="27"/>
    </row>
    <row r="7" spans="1:12" x14ac:dyDescent="0.25">
      <c r="A7" s="28"/>
      <c r="B7" s="36"/>
      <c r="C7" s="37"/>
      <c r="D7" s="37"/>
      <c r="E7" s="38"/>
      <c r="H7" s="26"/>
      <c r="I7" s="27"/>
      <c r="J7" s="27"/>
      <c r="K7" s="27"/>
      <c r="L7" s="27"/>
    </row>
    <row r="8" spans="1:12" x14ac:dyDescent="0.25">
      <c r="A8" s="29"/>
      <c r="B8" s="39"/>
      <c r="C8" s="40"/>
      <c r="D8" s="40"/>
      <c r="E8" s="41"/>
      <c r="H8" s="26"/>
      <c r="I8" s="27"/>
      <c r="J8" s="27"/>
      <c r="K8" s="27"/>
      <c r="L8" s="27"/>
    </row>
    <row r="10" spans="1:12" x14ac:dyDescent="0.25">
      <c r="A10" s="1" t="s">
        <v>7</v>
      </c>
    </row>
    <row r="11" spans="1:12" ht="16.8" x14ac:dyDescent="0.35">
      <c r="B11" s="3" t="s">
        <v>8</v>
      </c>
      <c r="C11" s="2">
        <v>0.8</v>
      </c>
      <c r="D11" s="4"/>
      <c r="E11" s="20">
        <f>gamma_oil_*1000</f>
        <v>800</v>
      </c>
      <c r="F11" s="10" t="s">
        <v>35</v>
      </c>
    </row>
    <row r="12" spans="1:12" ht="16.8" x14ac:dyDescent="0.35">
      <c r="B12" s="5" t="s">
        <v>9</v>
      </c>
      <c r="C12" s="2">
        <v>1</v>
      </c>
      <c r="D12" s="4"/>
      <c r="E12" s="20">
        <f>gamma_wat_*1000</f>
        <v>1000</v>
      </c>
      <c r="F12" s="10" t="s">
        <v>35</v>
      </c>
    </row>
    <row r="13" spans="1:12" ht="16.8" x14ac:dyDescent="0.35">
      <c r="B13" s="5" t="s">
        <v>10</v>
      </c>
      <c r="C13" s="2">
        <v>0.8</v>
      </c>
      <c r="D13" s="4"/>
      <c r="E13" s="20">
        <f>gamma_gas_*1.22</f>
        <v>0.97599999999999998</v>
      </c>
      <c r="F13" s="10" t="s">
        <v>35</v>
      </c>
    </row>
    <row r="14" spans="1:12" ht="16.8" x14ac:dyDescent="0.35">
      <c r="B14" s="6" t="s">
        <v>11</v>
      </c>
      <c r="C14" s="2">
        <v>80</v>
      </c>
      <c r="D14" s="5" t="s">
        <v>12</v>
      </c>
      <c r="E14" s="20">
        <f>Rsb_/gamma_oil_</f>
        <v>100</v>
      </c>
      <c r="F14" s="10" t="s">
        <v>36</v>
      </c>
    </row>
    <row r="15" spans="1:12" ht="16.8" x14ac:dyDescent="0.35">
      <c r="B15" s="6" t="s">
        <v>13</v>
      </c>
      <c r="C15" s="2">
        <v>80</v>
      </c>
      <c r="D15" s="5" t="s">
        <v>12</v>
      </c>
      <c r="E15" s="20">
        <f>Rsb_/gamma_oil_</f>
        <v>100</v>
      </c>
      <c r="F15" s="10" t="s">
        <v>36</v>
      </c>
    </row>
    <row r="16" spans="1:12" ht="15.6" x14ac:dyDescent="0.35">
      <c r="B16" s="5" t="s">
        <v>14</v>
      </c>
      <c r="C16" s="2">
        <v>120</v>
      </c>
      <c r="D16" s="5" t="s">
        <v>15</v>
      </c>
      <c r="E16" s="20">
        <f>Pb_cal_*1.01325/10</f>
        <v>12.159000000000001</v>
      </c>
      <c r="F16" s="10" t="s">
        <v>16</v>
      </c>
    </row>
    <row r="17" spans="1:6" ht="15.6" x14ac:dyDescent="0.35">
      <c r="B17" s="5" t="s">
        <v>17</v>
      </c>
      <c r="C17" s="2">
        <v>100</v>
      </c>
      <c r="D17" s="8" t="s">
        <v>28</v>
      </c>
      <c r="E17" s="20">
        <f>Tres_*9/5+32</f>
        <v>212</v>
      </c>
      <c r="F17" s="10" t="s">
        <v>18</v>
      </c>
    </row>
    <row r="18" spans="1:6" ht="16.8" x14ac:dyDescent="0.35">
      <c r="B18" s="6" t="s">
        <v>19</v>
      </c>
      <c r="C18" s="2">
        <v>1.2</v>
      </c>
      <c r="D18" s="5" t="s">
        <v>12</v>
      </c>
      <c r="E18" s="5"/>
      <c r="F18" s="4"/>
    </row>
    <row r="19" spans="1:6" ht="15.6" x14ac:dyDescent="0.35">
      <c r="B19" s="7" t="s">
        <v>20</v>
      </c>
      <c r="C19" s="2">
        <v>1</v>
      </c>
      <c r="D19" s="5" t="s">
        <v>21</v>
      </c>
      <c r="E19" s="5"/>
      <c r="F19" s="4"/>
    </row>
    <row r="20" spans="1:6" ht="15.6" x14ac:dyDescent="0.35">
      <c r="B20" s="7" t="s">
        <v>23</v>
      </c>
      <c r="C20" s="2">
        <v>0</v>
      </c>
      <c r="D20" s="5" t="s">
        <v>3</v>
      </c>
      <c r="E20" s="19">
        <f>fw_/100</f>
        <v>0</v>
      </c>
      <c r="F20" s="10" t="s">
        <v>37</v>
      </c>
    </row>
    <row r="21" spans="1:6" ht="15.6" x14ac:dyDescent="0.35">
      <c r="B21" s="5" t="s">
        <v>22</v>
      </c>
      <c r="C21" s="9" t="e">
        <f ca="1">[1]!PVT_pb_atma(Tres_,[1]!encode_PVT_prop(gamma_gas_,gamma_oil_,gamma_wat_,Rsb_,Pb_cal_,Tres_,Bob_,muob_))</f>
        <v>#VALUE!</v>
      </c>
      <c r="D21" s="5" t="s">
        <v>15</v>
      </c>
      <c r="E21" s="20" t="e">
        <f ca="1">Pb_*1.01325/10</f>
        <v>#VALUE!</v>
      </c>
      <c r="F21" s="10" t="s">
        <v>16</v>
      </c>
    </row>
    <row r="23" spans="1:6" x14ac:dyDescent="0.25">
      <c r="A23" s="1" t="s">
        <v>5</v>
      </c>
      <c r="B23" s="1"/>
      <c r="C23" s="1"/>
      <c r="D23" s="1"/>
    </row>
    <row r="24" spans="1:6" ht="18" customHeight="1" x14ac:dyDescent="0.35">
      <c r="B24" s="7" t="s">
        <v>24</v>
      </c>
      <c r="C24" s="2">
        <v>55</v>
      </c>
      <c r="D24" s="5" t="s">
        <v>30</v>
      </c>
    </row>
    <row r="25" spans="1:6" ht="18" customHeight="1" x14ac:dyDescent="0.35">
      <c r="B25" s="7" t="s">
        <v>25</v>
      </c>
      <c r="C25" s="2">
        <v>45</v>
      </c>
      <c r="D25" s="5" t="s">
        <v>29</v>
      </c>
    </row>
    <row r="27" spans="1:6" x14ac:dyDescent="0.25">
      <c r="A27" s="1" t="s">
        <v>0</v>
      </c>
    </row>
    <row r="28" spans="1:6" ht="19.5" customHeight="1" x14ac:dyDescent="0.35">
      <c r="B28" s="7" t="s">
        <v>27</v>
      </c>
      <c r="C28" s="2">
        <v>150</v>
      </c>
      <c r="D28" s="5" t="s">
        <v>29</v>
      </c>
    </row>
    <row r="29" spans="1:6" ht="19.5" customHeight="1" x14ac:dyDescent="0.3">
      <c r="B29" s="7" t="s">
        <v>26</v>
      </c>
      <c r="C29" s="16" t="e" cm="1">
        <f t="array" aca="1" ref="C29" ca="1">[1]!IPR_pi_sm3dayatm(qltest_,Pwftest_,Pres_,fw_,Pb_)</f>
        <v>#VALUE!</v>
      </c>
      <c r="D29" s="5" t="s">
        <v>31</v>
      </c>
    </row>
    <row r="30" spans="1:6" ht="19.5" customHeight="1" x14ac:dyDescent="0.35">
      <c r="B30" s="5" t="s">
        <v>32</v>
      </c>
      <c r="C30" s="17" t="e" cm="1">
        <f t="array" aca="1" ref="C30" ca="1">[1]!IPR_q_liq_sm3day(PI_,Pres_,1,fw_,Pb_)</f>
        <v>#VALUE!</v>
      </c>
      <c r="D30" s="5" t="s">
        <v>30</v>
      </c>
    </row>
    <row r="32" spans="1:6" x14ac:dyDescent="0.25">
      <c r="A32" s="11" t="s">
        <v>33</v>
      </c>
    </row>
    <row r="33" spans="2:23" ht="14.4" x14ac:dyDescent="0.3">
      <c r="B33" s="7" t="s">
        <v>4</v>
      </c>
      <c r="C33" s="2">
        <v>20</v>
      </c>
      <c r="D33" s="4"/>
    </row>
    <row r="35" spans="2:23" ht="14.4" x14ac:dyDescent="0.3">
      <c r="B35" s="7" t="s">
        <v>38</v>
      </c>
      <c r="C35" s="12" t="e" cm="1">
        <f t="array" aca="1" ref="C35" ca="1">[1]!encode_PVT_prop(gamma_gas_,gamma_oil_,gamma_wat_,Rsb_,Pb_cal_,Tres_,Bob_,muob_)</f>
        <v>#NAME?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4"/>
      <c r="U35" s="15"/>
      <c r="V35" s="15"/>
      <c r="W35" s="15"/>
    </row>
    <row r="39" spans="2:23" x14ac:dyDescent="0.25">
      <c r="C39" s="5" t="s">
        <v>1</v>
      </c>
      <c r="D39" s="4" t="s">
        <v>2</v>
      </c>
      <c r="E39" s="4" t="s">
        <v>1</v>
      </c>
      <c r="L39" s="4" t="s">
        <v>39</v>
      </c>
      <c r="M39" s="4" t="s">
        <v>40</v>
      </c>
    </row>
    <row r="40" spans="2:23" x14ac:dyDescent="0.25">
      <c r="C40" s="18">
        <v>0</v>
      </c>
      <c r="D40" s="17" t="e" cm="1">
        <f t="array" aca="1" ref="D40" ca="1">[1]!IPR_p_wf_atma(PI_,Pres_,C40,fw_,Pb_)</f>
        <v>#VALUE!</v>
      </c>
      <c r="E40" s="17" t="e" cm="1">
        <f t="array" aca="1" ref="E40" ca="1">[1]!IPR_q_liq_sm3day(PI_,Pres_,D40,fw_,Pb_)</f>
        <v>#VALUE!</v>
      </c>
      <c r="K40" t="e" cm="1">
        <f t="array" aca="1" ref="K40" ca="1">[1]!encode_PVT_stream(E40,fw_,Rp_)</f>
        <v>#NAME?</v>
      </c>
      <c r="L40" s="17" t="e">
        <f ca="1">[1]!PVT_stream_q_mix_rc_m3day(D40,Tres_,K40,PVT_str_)</f>
        <v>#NAME?</v>
      </c>
      <c r="M40" s="16" t="e">
        <f ca="1">[1]!PVT_stream_gas_fraction_d(D40,Tres_,K40,PVT_str_)</f>
        <v>#NAME?</v>
      </c>
    </row>
    <row r="41" spans="2:23" x14ac:dyDescent="0.25">
      <c r="C41" s="18" t="e">
        <f t="shared" ref="C41:C60" ca="1" si="0">C40+qmax_/N_</f>
        <v>#VALUE!</v>
      </c>
      <c r="D41" s="17" t="e" cm="1">
        <f t="array" aca="1" ref="D41" ca="1">[1]!IPR_p_wf_atma(PI_,Pres_,C41,fw_,Pb_)</f>
        <v>#VALUE!</v>
      </c>
      <c r="E41" s="17" t="e" cm="1">
        <f t="array" aca="1" ref="E41" ca="1">[1]!IPR_q_liq_sm3day(PI_,Pres_,D41,fw_,Pb_)</f>
        <v>#VALUE!</v>
      </c>
      <c r="K41" t="e" cm="1">
        <f t="array" aca="1" ref="K41" ca="1">[1]!encode_PVT_stream(E41,fw_,Rp_)</f>
        <v>#NAME?</v>
      </c>
      <c r="L41" s="17" t="e">
        <f ca="1">[1]!PVT_stream_q_mix_rc_m3day(D41,Tres_,K41,PVT_str_)</f>
        <v>#NAME?</v>
      </c>
      <c r="M41" s="16" t="e">
        <f ca="1">[1]!PVT_stream_gas_fraction_d(D41,Tres_,K41,PVT_str_)</f>
        <v>#NAME?</v>
      </c>
    </row>
    <row r="42" spans="2:23" x14ac:dyDescent="0.25">
      <c r="C42" s="18" t="e">
        <f t="shared" ca="1" si="0"/>
        <v>#VALUE!</v>
      </c>
      <c r="D42" s="17" t="e" cm="1">
        <f t="array" aca="1" ref="D42" ca="1">[1]!IPR_p_wf_atma(PI_,Pres_,C42,fw_,Pb_)</f>
        <v>#VALUE!</v>
      </c>
      <c r="E42" s="17" t="e" cm="1">
        <f t="array" aca="1" ref="E42" ca="1">[1]!IPR_q_liq_sm3day(PI_,Pres_,D42,fw_,Pb_)</f>
        <v>#VALUE!</v>
      </c>
      <c r="K42" t="e" cm="1">
        <f t="array" aca="1" ref="K42" ca="1">[1]!encode_PVT_stream(E42,fw_,Rp_)</f>
        <v>#NAME?</v>
      </c>
      <c r="L42" s="17" t="e">
        <f ca="1">[1]!PVT_stream_q_mix_rc_m3day(D42,Tres_,K42,PVT_str_)</f>
        <v>#NAME?</v>
      </c>
      <c r="M42" s="16" t="e">
        <f ca="1">[1]!PVT_stream_gas_fraction_d(D42,Tres_,K42,PVT_str_)</f>
        <v>#NAME?</v>
      </c>
    </row>
    <row r="43" spans="2:23" x14ac:dyDescent="0.25">
      <c r="C43" s="18" t="e">
        <f t="shared" ca="1" si="0"/>
        <v>#VALUE!</v>
      </c>
      <c r="D43" s="17" t="e" cm="1">
        <f t="array" aca="1" ref="D43" ca="1">[1]!IPR_p_wf_atma(PI_,Pres_,C43,fw_,Pb_)</f>
        <v>#VALUE!</v>
      </c>
      <c r="E43" s="17" t="e" cm="1">
        <f t="array" aca="1" ref="E43" ca="1">[1]!IPR_q_liq_sm3day(PI_,Pres_,D43,fw_,Pb_)</f>
        <v>#VALUE!</v>
      </c>
      <c r="K43" t="e" cm="1">
        <f t="array" aca="1" ref="K43" ca="1">[1]!encode_PVT_stream(E43,fw_,Rp_)</f>
        <v>#NAME?</v>
      </c>
      <c r="L43" s="17" t="e">
        <f ca="1">[1]!PVT_stream_q_mix_rc_m3day(D43,Tres_,K43,PVT_str_)</f>
        <v>#NAME?</v>
      </c>
      <c r="M43" s="16" t="e">
        <f ca="1">[1]!PVT_stream_gas_fraction_d(D43,Tres_,K43,PVT_str_)</f>
        <v>#NAME?</v>
      </c>
    </row>
    <row r="44" spans="2:23" x14ac:dyDescent="0.25">
      <c r="C44" s="18" t="e">
        <f t="shared" ca="1" si="0"/>
        <v>#VALUE!</v>
      </c>
      <c r="D44" s="17" t="e" cm="1">
        <f t="array" aca="1" ref="D44" ca="1">[1]!IPR_p_wf_atma(PI_,Pres_,C44,fw_,Pb_)</f>
        <v>#VALUE!</v>
      </c>
      <c r="E44" s="17" t="e" cm="1">
        <f t="array" aca="1" ref="E44" ca="1">[1]!IPR_q_liq_sm3day(PI_,Pres_,D44,fw_,Pb_)</f>
        <v>#VALUE!</v>
      </c>
      <c r="K44" t="e" cm="1">
        <f t="array" aca="1" ref="K44" ca="1">[1]!encode_PVT_stream(E44,fw_,Rp_)</f>
        <v>#NAME?</v>
      </c>
      <c r="L44" s="17" t="e">
        <f ca="1">[1]!PVT_stream_q_mix_rc_m3day(D44,Tres_,K44,PVT_str_)</f>
        <v>#NAME?</v>
      </c>
      <c r="M44" s="16" t="e">
        <f ca="1">[1]!PVT_stream_gas_fraction_d(D44,Tres_,K44,PVT_str_)</f>
        <v>#NAME?</v>
      </c>
    </row>
    <row r="45" spans="2:23" x14ac:dyDescent="0.25">
      <c r="C45" s="18" t="e">
        <f t="shared" ca="1" si="0"/>
        <v>#VALUE!</v>
      </c>
      <c r="D45" s="17" t="e" cm="1">
        <f t="array" aca="1" ref="D45" ca="1">[1]!IPR_p_wf_atma(PI_,Pres_,C45,fw_,Pb_)</f>
        <v>#VALUE!</v>
      </c>
      <c r="E45" s="17" t="e" cm="1">
        <f t="array" aca="1" ref="E45" ca="1">[1]!IPR_q_liq_sm3day(PI_,Pres_,D45,fw_,Pb_)</f>
        <v>#VALUE!</v>
      </c>
      <c r="K45" t="e" cm="1">
        <f t="array" aca="1" ref="K45" ca="1">[1]!encode_PVT_stream(E45,fw_,Rp_)</f>
        <v>#NAME?</v>
      </c>
      <c r="L45" s="17" t="e">
        <f ca="1">[1]!PVT_stream_q_mix_rc_m3day(D45,Tres_,K45,PVT_str_)</f>
        <v>#NAME?</v>
      </c>
      <c r="M45" s="16" t="e">
        <f ca="1">[1]!PVT_stream_gas_fraction_d(D45,Tres_,K45,PVT_str_)</f>
        <v>#NAME?</v>
      </c>
    </row>
    <row r="46" spans="2:23" x14ac:dyDescent="0.25">
      <c r="C46" s="18" t="e">
        <f t="shared" ca="1" si="0"/>
        <v>#VALUE!</v>
      </c>
      <c r="D46" s="17" t="e" cm="1">
        <f t="array" aca="1" ref="D46" ca="1">[1]!IPR_p_wf_atma(PI_,Pres_,C46,fw_,Pb_)</f>
        <v>#VALUE!</v>
      </c>
      <c r="E46" s="17" t="e" cm="1">
        <f t="array" aca="1" ref="E46" ca="1">[1]!IPR_q_liq_sm3day(PI_,Pres_,D46,fw_,Pb_)</f>
        <v>#VALUE!</v>
      </c>
      <c r="K46" t="e" cm="1">
        <f t="array" aca="1" ref="K46" ca="1">[1]!encode_PVT_stream(E46,fw_,Rp_)</f>
        <v>#NAME?</v>
      </c>
      <c r="L46" s="17" t="e">
        <f ca="1">[1]!PVT_stream_q_mix_rc_m3day(D46,Tres_,K46,PVT_str_)</f>
        <v>#NAME?</v>
      </c>
      <c r="M46" s="16" t="e">
        <f ca="1">[1]!PVT_stream_gas_fraction_d(D46,Tres_,K46,PVT_str_)</f>
        <v>#NAME?</v>
      </c>
    </row>
    <row r="47" spans="2:23" x14ac:dyDescent="0.25">
      <c r="C47" s="18" t="e">
        <f t="shared" ca="1" si="0"/>
        <v>#VALUE!</v>
      </c>
      <c r="D47" s="17" t="e" cm="1">
        <f t="array" aca="1" ref="D47" ca="1">[1]!IPR_p_wf_atma(PI_,Pres_,C47,fw_,Pb_)</f>
        <v>#VALUE!</v>
      </c>
      <c r="E47" s="17" t="e" cm="1">
        <f t="array" aca="1" ref="E47" ca="1">[1]!IPR_q_liq_sm3day(PI_,Pres_,D47,fw_,Pb_)</f>
        <v>#VALUE!</v>
      </c>
      <c r="K47" t="e" cm="1">
        <f t="array" aca="1" ref="K47" ca="1">[1]!encode_PVT_stream(E47,fw_,Rp_)</f>
        <v>#NAME?</v>
      </c>
      <c r="L47" s="17" t="e">
        <f ca="1">[1]!PVT_stream_q_mix_rc_m3day(D47,Tres_,K47,PVT_str_)</f>
        <v>#NAME?</v>
      </c>
      <c r="M47" s="16" t="e">
        <f ca="1">[1]!PVT_stream_gas_fraction_d(D47,Tres_,K47,PVT_str_)</f>
        <v>#NAME?</v>
      </c>
    </row>
    <row r="48" spans="2:23" x14ac:dyDescent="0.25">
      <c r="C48" s="18" t="e">
        <f t="shared" ca="1" si="0"/>
        <v>#VALUE!</v>
      </c>
      <c r="D48" s="17" t="e" cm="1">
        <f t="array" aca="1" ref="D48" ca="1">[1]!IPR_p_wf_atma(PI_,Pres_,C48,fw_,Pb_)</f>
        <v>#VALUE!</v>
      </c>
      <c r="E48" s="17" t="e" cm="1">
        <f t="array" aca="1" ref="E48" ca="1">[1]!IPR_q_liq_sm3day(PI_,Pres_,D48,fw_,Pb_)</f>
        <v>#VALUE!</v>
      </c>
      <c r="K48" t="e" cm="1">
        <f t="array" aca="1" ref="K48" ca="1">[1]!encode_PVT_stream(E48,fw_,Rp_)</f>
        <v>#NAME?</v>
      </c>
      <c r="L48" s="17" t="e">
        <f ca="1">[1]!PVT_stream_q_mix_rc_m3day(D48,Tres_,K48,PVT_str_)</f>
        <v>#NAME?</v>
      </c>
      <c r="M48" s="16" t="e">
        <f ca="1">[1]!PVT_stream_gas_fraction_d(D48,Tres_,K48,PVT_str_)</f>
        <v>#NAME?</v>
      </c>
    </row>
    <row r="49" spans="3:13" x14ac:dyDescent="0.25">
      <c r="C49" s="18" t="e">
        <f t="shared" ca="1" si="0"/>
        <v>#VALUE!</v>
      </c>
      <c r="D49" s="17" t="e" cm="1">
        <f t="array" aca="1" ref="D49" ca="1">[1]!IPR_p_wf_atma(PI_,Pres_,C49,fw_,Pb_)</f>
        <v>#VALUE!</v>
      </c>
      <c r="E49" s="17" t="e" cm="1">
        <f t="array" aca="1" ref="E49" ca="1">[1]!IPR_q_liq_sm3day(PI_,Pres_,D49,fw_,Pb_)</f>
        <v>#VALUE!</v>
      </c>
      <c r="K49" t="e" cm="1">
        <f t="array" aca="1" ref="K49" ca="1">[1]!encode_PVT_stream(E49,fw_,Rp_)</f>
        <v>#NAME?</v>
      </c>
      <c r="L49" s="17" t="e">
        <f ca="1">[1]!PVT_stream_q_mix_rc_m3day(D49,Tres_,K49,PVT_str_)</f>
        <v>#NAME?</v>
      </c>
      <c r="M49" s="16" t="e">
        <f ca="1">[1]!PVT_stream_gas_fraction_d(D49,Tres_,K49,PVT_str_)</f>
        <v>#NAME?</v>
      </c>
    </row>
    <row r="50" spans="3:13" x14ac:dyDescent="0.25">
      <c r="C50" s="18" t="e">
        <f t="shared" ca="1" si="0"/>
        <v>#VALUE!</v>
      </c>
      <c r="D50" s="17" t="e" cm="1">
        <f t="array" aca="1" ref="D50" ca="1">[1]!IPR_p_wf_atma(PI_,Pres_,C50,fw_,Pb_)</f>
        <v>#VALUE!</v>
      </c>
      <c r="E50" s="17" t="e" cm="1">
        <f t="array" aca="1" ref="E50" ca="1">[1]!IPR_q_liq_sm3day(PI_,Pres_,D50,fw_,Pb_)</f>
        <v>#VALUE!</v>
      </c>
      <c r="K50" t="e" cm="1">
        <f t="array" aca="1" ref="K50" ca="1">[1]!encode_PVT_stream(E50,fw_,Rp_)</f>
        <v>#NAME?</v>
      </c>
      <c r="L50" s="17" t="e">
        <f ca="1">[1]!PVT_stream_q_mix_rc_m3day(D50,Tres_,K50,PVT_str_)</f>
        <v>#NAME?</v>
      </c>
      <c r="M50" s="16" t="e">
        <f ca="1">[1]!PVT_stream_gas_fraction_d(D50,Tres_,K50,PVT_str_)</f>
        <v>#NAME?</v>
      </c>
    </row>
    <row r="51" spans="3:13" x14ac:dyDescent="0.25">
      <c r="C51" s="18" t="e">
        <f t="shared" ca="1" si="0"/>
        <v>#VALUE!</v>
      </c>
      <c r="D51" s="17" t="e" cm="1">
        <f t="array" aca="1" ref="D51" ca="1">[1]!IPR_p_wf_atma(PI_,Pres_,C51,fw_,Pb_)</f>
        <v>#VALUE!</v>
      </c>
      <c r="E51" s="17" t="e" cm="1">
        <f t="array" aca="1" ref="E51" ca="1">[1]!IPR_q_liq_sm3day(PI_,Pres_,D51,fw_,Pb_)</f>
        <v>#VALUE!</v>
      </c>
      <c r="K51" t="e" cm="1">
        <f t="array" aca="1" ref="K51" ca="1">[1]!encode_PVT_stream(E51,fw_,Rp_)</f>
        <v>#NAME?</v>
      </c>
      <c r="L51" s="17" t="e">
        <f ca="1">[1]!PVT_stream_q_mix_rc_m3day(D51,Tres_,K51,PVT_str_)</f>
        <v>#NAME?</v>
      </c>
      <c r="M51" s="16" t="e">
        <f ca="1">[1]!PVT_stream_gas_fraction_d(D51,Tres_,K51,PVT_str_)</f>
        <v>#NAME?</v>
      </c>
    </row>
    <row r="52" spans="3:13" x14ac:dyDescent="0.25">
      <c r="C52" s="18" t="e">
        <f t="shared" ca="1" si="0"/>
        <v>#VALUE!</v>
      </c>
      <c r="D52" s="17" t="e" cm="1">
        <f t="array" aca="1" ref="D52" ca="1">[1]!IPR_p_wf_atma(PI_,Pres_,C52,fw_,Pb_)</f>
        <v>#VALUE!</v>
      </c>
      <c r="E52" s="17" t="e" cm="1">
        <f t="array" aca="1" ref="E52" ca="1">[1]!IPR_q_liq_sm3day(PI_,Pres_,D52,fw_,Pb_)</f>
        <v>#VALUE!</v>
      </c>
      <c r="K52" t="e" cm="1">
        <f t="array" aca="1" ref="K52" ca="1">[1]!encode_PVT_stream(E52,fw_,Rp_)</f>
        <v>#NAME?</v>
      </c>
      <c r="L52" s="17" t="e">
        <f ca="1">[1]!PVT_stream_q_mix_rc_m3day(D52,Tres_,K52,PVT_str_)</f>
        <v>#NAME?</v>
      </c>
      <c r="M52" s="16" t="e">
        <f ca="1">[1]!PVT_stream_gas_fraction_d(D52,Tres_,K52,PVT_str_)</f>
        <v>#NAME?</v>
      </c>
    </row>
    <row r="53" spans="3:13" x14ac:dyDescent="0.25">
      <c r="C53" s="18" t="e">
        <f t="shared" ca="1" si="0"/>
        <v>#VALUE!</v>
      </c>
      <c r="D53" s="17" t="e" cm="1">
        <f t="array" aca="1" ref="D53" ca="1">[1]!IPR_p_wf_atma(PI_,Pres_,C53,fw_,Pb_)</f>
        <v>#VALUE!</v>
      </c>
      <c r="E53" s="17" t="e" cm="1">
        <f t="array" aca="1" ref="E53" ca="1">[1]!IPR_q_liq_sm3day(PI_,Pres_,D53,fw_,Pb_)</f>
        <v>#VALUE!</v>
      </c>
      <c r="K53" t="e" cm="1">
        <f t="array" aca="1" ref="K53" ca="1">[1]!encode_PVT_stream(E53,fw_,Rp_)</f>
        <v>#NAME?</v>
      </c>
      <c r="L53" s="17" t="e">
        <f ca="1">[1]!PVT_stream_q_mix_rc_m3day(D53,Tres_,K53,PVT_str_)</f>
        <v>#NAME?</v>
      </c>
      <c r="M53" s="16" t="e">
        <f ca="1">[1]!PVT_stream_gas_fraction_d(D53,Tres_,K53,PVT_str_)</f>
        <v>#NAME?</v>
      </c>
    </row>
    <row r="54" spans="3:13" x14ac:dyDescent="0.25">
      <c r="C54" s="18" t="e">
        <f t="shared" ca="1" si="0"/>
        <v>#VALUE!</v>
      </c>
      <c r="D54" s="17" t="e" cm="1">
        <f t="array" aca="1" ref="D54" ca="1">[1]!IPR_p_wf_atma(PI_,Pres_,C54,fw_,Pb_)</f>
        <v>#VALUE!</v>
      </c>
      <c r="E54" s="17" t="e" cm="1">
        <f t="array" aca="1" ref="E54" ca="1">[1]!IPR_q_liq_sm3day(PI_,Pres_,D54,fw_,Pb_)</f>
        <v>#VALUE!</v>
      </c>
      <c r="K54" t="e" cm="1">
        <f t="array" aca="1" ref="K54" ca="1">[1]!encode_PVT_stream(E54,fw_,Rp_)</f>
        <v>#NAME?</v>
      </c>
      <c r="L54" s="17" t="e">
        <f ca="1">[1]!PVT_stream_q_mix_rc_m3day(D54,Tres_,K54,PVT_str_)</f>
        <v>#NAME?</v>
      </c>
      <c r="M54" s="16" t="e">
        <f ca="1">[1]!PVT_stream_gas_fraction_d(D54,Tres_,K54,PVT_str_)</f>
        <v>#NAME?</v>
      </c>
    </row>
    <row r="55" spans="3:13" x14ac:dyDescent="0.25">
      <c r="C55" s="18" t="e">
        <f t="shared" ca="1" si="0"/>
        <v>#VALUE!</v>
      </c>
      <c r="D55" s="17" t="e" cm="1">
        <f t="array" aca="1" ref="D55" ca="1">[1]!IPR_p_wf_atma(PI_,Pres_,C55,fw_,Pb_)</f>
        <v>#VALUE!</v>
      </c>
      <c r="E55" s="17" t="e" cm="1">
        <f t="array" aca="1" ref="E55" ca="1">[1]!IPR_q_liq_sm3day(PI_,Pres_,D55,fw_,Pb_)</f>
        <v>#VALUE!</v>
      </c>
      <c r="K55" t="e" cm="1">
        <f t="array" aca="1" ref="K55" ca="1">[1]!encode_PVT_stream(E55,fw_,Rp_)</f>
        <v>#NAME?</v>
      </c>
      <c r="L55" s="17" t="e">
        <f ca="1">[1]!PVT_stream_q_mix_rc_m3day(D55,Tres_,K55,PVT_str_)</f>
        <v>#NAME?</v>
      </c>
      <c r="M55" s="16" t="e">
        <f ca="1">[1]!PVT_stream_gas_fraction_d(D55,Tres_,K55,PVT_str_)</f>
        <v>#NAME?</v>
      </c>
    </row>
    <row r="56" spans="3:13" x14ac:dyDescent="0.25">
      <c r="C56" s="18" t="e">
        <f t="shared" ca="1" si="0"/>
        <v>#VALUE!</v>
      </c>
      <c r="D56" s="17" t="e" cm="1">
        <f t="array" aca="1" ref="D56" ca="1">[1]!IPR_p_wf_atma(PI_,Pres_,C56,fw_,Pb_)</f>
        <v>#VALUE!</v>
      </c>
      <c r="E56" s="17" t="e" cm="1">
        <f t="array" aca="1" ref="E56" ca="1">[1]!IPR_q_liq_sm3day(PI_,Pres_,D56,fw_,Pb_)</f>
        <v>#VALUE!</v>
      </c>
      <c r="K56" t="e" cm="1">
        <f t="array" aca="1" ref="K56" ca="1">[1]!encode_PVT_stream(E56,fw_,Rp_)</f>
        <v>#NAME?</v>
      </c>
      <c r="L56" s="17" t="e">
        <f ca="1">[1]!PVT_stream_q_mix_rc_m3day(D56,Tres_,K56,PVT_str_)</f>
        <v>#NAME?</v>
      </c>
      <c r="M56" s="16" t="e">
        <f ca="1">[1]!PVT_stream_gas_fraction_d(D56,Tres_,K56,PVT_str_)</f>
        <v>#NAME?</v>
      </c>
    </row>
    <row r="57" spans="3:13" x14ac:dyDescent="0.25">
      <c r="C57" s="18" t="e">
        <f t="shared" ca="1" si="0"/>
        <v>#VALUE!</v>
      </c>
      <c r="D57" s="17" t="e" cm="1">
        <f t="array" aca="1" ref="D57" ca="1">[1]!IPR_p_wf_atma(PI_,Pres_,C57,fw_,Pb_)</f>
        <v>#VALUE!</v>
      </c>
      <c r="E57" s="17" t="e" cm="1">
        <f t="array" aca="1" ref="E57" ca="1">[1]!IPR_q_liq_sm3day(PI_,Pres_,D57,fw_,Pb_)</f>
        <v>#VALUE!</v>
      </c>
      <c r="K57" t="e" cm="1">
        <f t="array" aca="1" ref="K57" ca="1">[1]!encode_PVT_stream(E57,fw_,Rp_)</f>
        <v>#NAME?</v>
      </c>
      <c r="L57" s="17" t="e">
        <f ca="1">[1]!PVT_stream_q_mix_rc_m3day(D57,Tres_,K57,PVT_str_)</f>
        <v>#NAME?</v>
      </c>
      <c r="M57" s="16" t="e">
        <f ca="1">[1]!PVT_stream_gas_fraction_d(D57,Tres_,K57,PVT_str_)</f>
        <v>#NAME?</v>
      </c>
    </row>
    <row r="58" spans="3:13" x14ac:dyDescent="0.25">
      <c r="C58" s="18" t="e">
        <f t="shared" ca="1" si="0"/>
        <v>#VALUE!</v>
      </c>
      <c r="D58" s="17" t="e" cm="1">
        <f t="array" aca="1" ref="D58" ca="1">[1]!IPR_p_wf_atma(PI_,Pres_,C58,fw_,Pb_)</f>
        <v>#VALUE!</v>
      </c>
      <c r="E58" s="17" t="e" cm="1">
        <f t="array" aca="1" ref="E58" ca="1">[1]!IPR_q_liq_sm3day(PI_,Pres_,D58,fw_,Pb_)</f>
        <v>#VALUE!</v>
      </c>
      <c r="K58" t="e" cm="1">
        <f t="array" aca="1" ref="K58" ca="1">[1]!encode_PVT_stream(E58,fw_,Rp_)</f>
        <v>#NAME?</v>
      </c>
      <c r="L58" s="17" t="e">
        <f ca="1">[1]!PVT_stream_q_mix_rc_m3day(D58,Tres_,K58,PVT_str_)</f>
        <v>#NAME?</v>
      </c>
      <c r="M58" s="16" t="e">
        <f ca="1">[1]!PVT_stream_gas_fraction_d(D58,Tres_,K58,PVT_str_)</f>
        <v>#NAME?</v>
      </c>
    </row>
    <row r="59" spans="3:13" x14ac:dyDescent="0.25">
      <c r="C59" s="18" t="e">
        <f t="shared" ca="1" si="0"/>
        <v>#VALUE!</v>
      </c>
      <c r="D59" s="17" t="e" cm="1">
        <f t="array" aca="1" ref="D59" ca="1">[1]!IPR_p_wf_atma(PI_,Pres_,C59,fw_,Pb_)</f>
        <v>#VALUE!</v>
      </c>
      <c r="E59" s="17" t="e" cm="1">
        <f t="array" aca="1" ref="E59" ca="1">[1]!IPR_q_liq_sm3day(PI_,Pres_,D59,fw_,Pb_)</f>
        <v>#VALUE!</v>
      </c>
      <c r="K59" t="e" cm="1">
        <f t="array" aca="1" ref="K59" ca="1">[1]!encode_PVT_stream(E59,fw_,Rp_)</f>
        <v>#NAME?</v>
      </c>
      <c r="L59" s="17" t="e">
        <f ca="1">[1]!PVT_stream_q_mix_rc_m3day(D59,Tres_,K59,PVT_str_)</f>
        <v>#NAME?</v>
      </c>
      <c r="M59" s="16" t="e">
        <f ca="1">[1]!PVT_stream_gas_fraction_d(D59,Tres_,K59,PVT_str_)</f>
        <v>#NAME?</v>
      </c>
    </row>
    <row r="60" spans="3:13" x14ac:dyDescent="0.25">
      <c r="C60" s="18" t="e">
        <f t="shared" ca="1" si="0"/>
        <v>#VALUE!</v>
      </c>
      <c r="D60" s="17" t="e" cm="1">
        <f t="array" aca="1" ref="D60" ca="1">[1]!IPR_p_wf_atma(PI_,Pres_,C60,fw_,Pb_)</f>
        <v>#VALUE!</v>
      </c>
      <c r="E60" s="17" t="e" cm="1">
        <f t="array" aca="1" ref="E60" ca="1">[1]!IPR_q_liq_sm3day(PI_,Pres_,D60,fw_,Pb_)</f>
        <v>#VALUE!</v>
      </c>
      <c r="L60" s="17"/>
      <c r="M60" s="1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29</vt:i4>
      </vt:variant>
    </vt:vector>
  </HeadingPairs>
  <TitlesOfParts>
    <vt:vector size="30" baseType="lpstr">
      <vt:lpstr>exercise_IPR</vt:lpstr>
      <vt:lpstr>exercise_IPR!Bob_</vt:lpstr>
      <vt:lpstr>exercise_IPR!fw_</vt:lpstr>
      <vt:lpstr>exercise_IPR!gamma_gas_</vt:lpstr>
      <vt:lpstr>exercise_IPR!gamma_oil_</vt:lpstr>
      <vt:lpstr>exercise_IPR!gamma_wat_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exercise_IPR!Pres_</vt:lpstr>
      <vt:lpstr>exercise_IPR!PVT_str_</vt:lpstr>
      <vt:lpstr>exercise_IPR!Pwftest_</vt:lpstr>
      <vt:lpstr>exercise_IPR!qltest_</vt:lpstr>
      <vt:lpstr>exercise_IPR!qmax_</vt:lpstr>
      <vt:lpstr>exercise_IPR!Rp_</vt:lpstr>
      <vt:lpstr>exercise_IPR!Rsb_</vt:lpstr>
      <vt:lpstr>exercise_IPR!Tres_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2021-01-24T06:34:18Z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