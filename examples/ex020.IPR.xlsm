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1AA96820-2E5C-4415-BCC4-ABED58FFF026}" xr6:coauthVersionLast="47" xr6:coauthVersionMax="47" xr10:uidLastSave="{00000000-0000-0000-0000-000000000000}"/>
  <bookViews>
    <workbookView xWindow="-98" yWindow="-98" windowWidth="20715" windowHeight="13276" tabRatio="422" xr2:uid="{00000000-000D-0000-FFFF-FFFF00000000}"/>
  </bookViews>
  <sheets>
    <sheet name="exercise_IPR" sheetId="111" r:id="rId1"/>
  </sheets>
  <externalReferences>
    <externalReference r:id="rId2"/>
  </externalReferences>
  <definedNames>
    <definedName name="Bob_" localSheetId="0">exercise_IPR!$C$18</definedName>
    <definedName name="fw_" localSheetId="0">exercise_IPR!$C$20</definedName>
    <definedName name="gamma_gas_" localSheetId="0">exercise_IPR!$C$13</definedName>
    <definedName name="gamma_oil_" localSheetId="0">exercise_IPR!$C$11</definedName>
    <definedName name="gamma_wat_" localSheetId="0">exercise_IPR!$C$12</definedName>
    <definedName name="input_0" localSheetId="0">exercise_IPR!$C$11:$C$20</definedName>
    <definedName name="input_1" localSheetId="0">exercise_IPR!$C$24:$C$25</definedName>
    <definedName name="input_2" localSheetId="0">exercise_IPR!$C$28</definedName>
    <definedName name="input_Course" localSheetId="0">exercise_IPR!$I$3</definedName>
    <definedName name="input_Date" localSheetId="0">exercise_IPR!$I$1</definedName>
    <definedName name="input_Group" localSheetId="0">exercise_IPR!$I$4</definedName>
    <definedName name="input_Notes" localSheetId="0">exercise_IPR!$I$6</definedName>
    <definedName name="input_Student_Name" localSheetId="0">exercise_IPR!$I$5</definedName>
    <definedName name="input_Version" localSheetId="0">exercise_IPR!$I$2</definedName>
    <definedName name="muob_" localSheetId="0">exercise_IPR!$C$19</definedName>
    <definedName name="N_" localSheetId="0">exercise_IPR!$C$33</definedName>
    <definedName name="output_0" localSheetId="0">exercise_IPR!$D$40:$E$60</definedName>
    <definedName name="output_1" localSheetId="0">exercise_IPR!$L$40:$M$60</definedName>
    <definedName name="Pb_" localSheetId="0">exercise_IPR!$C$21</definedName>
    <definedName name="Pb_cal_" localSheetId="0">exercise_IPR!$C$16</definedName>
    <definedName name="PI_" localSheetId="0">exercise_IPR!$C$29</definedName>
    <definedName name="Pres_" localSheetId="0">exercise_IPR!$C$28</definedName>
    <definedName name="pvt">exercise_IPR!$C$35</definedName>
    <definedName name="pvt_prop">exercise_IPR!$K$40</definedName>
    <definedName name="PVT_str_" localSheetId="0">exercise_IPR!#REF!</definedName>
    <definedName name="Pwftest_" localSheetId="0">exercise_IPR!$C$25</definedName>
    <definedName name="qltest_" localSheetId="0">exercise_IPR!$C$24</definedName>
    <definedName name="qmax_" localSheetId="0">exercise_IPR!$C$30</definedName>
    <definedName name="Rp_" localSheetId="0">exercise_IPR!$C$15</definedName>
    <definedName name="Rsb_" localSheetId="0">exercise_IPR!$C$14</definedName>
    <definedName name="Tres_" localSheetId="0">exercise_IPR!$C$17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97" i="111" l="1"/>
  <c r="M97" i="111"/>
  <c r="K97" i="111"/>
  <c r="F91" i="111"/>
  <c r="H91" i="111" s="1"/>
  <c r="D91" i="111"/>
  <c r="E20" i="111"/>
  <c r="E17" i="111"/>
  <c r="E16" i="111"/>
  <c r="E15" i="111"/>
  <c r="E14" i="111"/>
  <c r="E13" i="111"/>
  <c r="E12" i="111"/>
  <c r="E11" i="111"/>
  <c r="G1" i="111"/>
  <c r="I91" i="111" a="1"/>
  <c r="C35" i="111" a="1"/>
  <c r="I91" i="111" l="1"/>
  <c r="C35" i="111"/>
  <c r="I98" i="111" a="1"/>
  <c r="C21" i="111"/>
  <c r="I98" i="111" l="1"/>
  <c r="E91" i="111"/>
  <c r="E21" i="111"/>
  <c r="C29" i="111" a="1"/>
  <c r="C29" i="111" l="1"/>
  <c r="C30" i="111" a="1"/>
  <c r="D40" i="111" a="1"/>
  <c r="D40" i="111" l="1"/>
  <c r="C30" i="111"/>
  <c r="C41" i="111" s="1"/>
  <c r="C42" i="111" s="1"/>
  <c r="C91" i="111"/>
  <c r="C125" i="111" a="1"/>
  <c r="D41" i="111" a="1"/>
  <c r="D42" i="111" a="1"/>
  <c r="E40" i="111" a="1"/>
  <c r="J91" i="111" a="1"/>
  <c r="C125" i="111" l="1"/>
  <c r="D41" i="111"/>
  <c r="J91" i="111"/>
  <c r="E40" i="111"/>
  <c r="D42" i="111"/>
  <c r="C43" i="111"/>
  <c r="C44" i="111" s="1"/>
  <c r="M91" i="111" a="1"/>
  <c r="E41" i="111" a="1"/>
  <c r="K40" i="111" a="1"/>
  <c r="D43" i="111" a="1"/>
  <c r="D44" i="111" a="1"/>
  <c r="E42" i="111" a="1"/>
  <c r="C128" i="111" a="1"/>
  <c r="K91" i="111" a="1"/>
  <c r="K93" i="111" a="1"/>
  <c r="C128" i="111" l="1"/>
  <c r="M91" i="111"/>
  <c r="K91" i="111"/>
  <c r="K93" i="111"/>
  <c r="K40" i="111"/>
  <c r="E41" i="111"/>
  <c r="D43" i="111"/>
  <c r="E42" i="111"/>
  <c r="D44" i="111"/>
  <c r="C45" i="111"/>
  <c r="K41" i="111" a="1"/>
  <c r="D45" i="111" a="1"/>
  <c r="L40" i="111" a="1"/>
  <c r="E43" i="111" a="1"/>
  <c r="L98" i="111" a="1"/>
  <c r="K98" i="111" a="1"/>
  <c r="E44" i="111" a="1"/>
  <c r="M98" i="111" a="1"/>
  <c r="K42" i="111" a="1"/>
  <c r="M40" i="111" a="1"/>
  <c r="L98" i="111" l="1"/>
  <c r="K98" i="111"/>
  <c r="M98" i="111"/>
  <c r="M40" i="111"/>
  <c r="L40" i="111"/>
  <c r="K41" i="111"/>
  <c r="E43" i="111"/>
  <c r="D45" i="111"/>
  <c r="E44" i="111"/>
  <c r="K42" i="111"/>
  <c r="C46" i="111"/>
  <c r="D46" i="111" a="1"/>
  <c r="K44" i="111" a="1"/>
  <c r="M41" i="111" a="1"/>
  <c r="K43" i="111" a="1"/>
  <c r="L42" i="111" a="1"/>
  <c r="E45" i="111" a="1"/>
  <c r="L41" i="111" a="1"/>
  <c r="M42" i="111" a="1"/>
  <c r="M41" i="111" l="1"/>
  <c r="L41" i="111"/>
  <c r="K43" i="111"/>
  <c r="M42" i="111"/>
  <c r="L42" i="111"/>
  <c r="D46" i="111"/>
  <c r="K44" i="111"/>
  <c r="E45" i="111"/>
  <c r="C47" i="111"/>
  <c r="L44" i="111" a="1"/>
  <c r="K45" i="111" a="1"/>
  <c r="L43" i="111" a="1"/>
  <c r="M43" i="111" a="1"/>
  <c r="D47" i="111" a="1"/>
  <c r="E46" i="111" a="1"/>
  <c r="M44" i="111" a="1"/>
  <c r="M43" i="111" l="1"/>
  <c r="L43" i="111"/>
  <c r="M44" i="111"/>
  <c r="L44" i="111"/>
  <c r="D47" i="111"/>
  <c r="K45" i="111"/>
  <c r="E46" i="111"/>
  <c r="C48" i="111"/>
  <c r="K46" i="111" a="1"/>
  <c r="E47" i="111" a="1"/>
  <c r="L45" i="111" a="1"/>
  <c r="M45" i="111" a="1"/>
  <c r="D48" i="111" a="1"/>
  <c r="M45" i="111" l="1"/>
  <c r="L45" i="111"/>
  <c r="D48" i="111"/>
  <c r="K46" i="111"/>
  <c r="E47" i="111"/>
  <c r="C49" i="111"/>
  <c r="M46" i="111" a="1"/>
  <c r="E48" i="111" a="1"/>
  <c r="D49" i="111" a="1"/>
  <c r="K47" i="111" a="1"/>
  <c r="L46" i="111" a="1"/>
  <c r="M46" i="111" l="1"/>
  <c r="L46" i="111"/>
  <c r="D49" i="111"/>
  <c r="K47" i="111"/>
  <c r="E48" i="111"/>
  <c r="C50" i="111"/>
  <c r="L47" i="111" a="1"/>
  <c r="D50" i="111" a="1"/>
  <c r="E49" i="111" a="1"/>
  <c r="K48" i="111" a="1"/>
  <c r="M47" i="111" a="1"/>
  <c r="M47" i="111" l="1"/>
  <c r="L47" i="111"/>
  <c r="K48" i="111"/>
  <c r="D50" i="111"/>
  <c r="E49" i="111"/>
  <c r="C51" i="111"/>
  <c r="D51" i="111" a="1"/>
  <c r="L48" i="111" a="1"/>
  <c r="K49" i="111" a="1"/>
  <c r="M48" i="111" a="1"/>
  <c r="E50" i="111" a="1"/>
  <c r="M48" i="111" l="1"/>
  <c r="L48" i="111"/>
  <c r="D51" i="111"/>
  <c r="K49" i="111"/>
  <c r="E50" i="111"/>
  <c r="C52" i="111"/>
  <c r="D52" i="111" a="1"/>
  <c r="L49" i="111" a="1"/>
  <c r="E51" i="111" a="1"/>
  <c r="M49" i="111" a="1"/>
  <c r="K50" i="111" a="1"/>
  <c r="M49" i="111" l="1"/>
  <c r="L49" i="111"/>
  <c r="D52" i="111"/>
  <c r="K50" i="111"/>
  <c r="E51" i="111"/>
  <c r="C53" i="111"/>
  <c r="M50" i="111" a="1"/>
  <c r="D53" i="111" a="1"/>
  <c r="K51" i="111" a="1"/>
  <c r="L50" i="111" a="1"/>
  <c r="E52" i="111" a="1"/>
  <c r="M50" i="111" l="1"/>
  <c r="L50" i="111"/>
  <c r="D53" i="111"/>
  <c r="K51" i="111"/>
  <c r="E52" i="111"/>
  <c r="C54" i="111"/>
  <c r="L51" i="111" a="1"/>
  <c r="E53" i="111" a="1"/>
  <c r="D54" i="111" a="1"/>
  <c r="K52" i="111" a="1"/>
  <c r="M51" i="111" a="1"/>
  <c r="M51" i="111" l="1"/>
  <c r="L51" i="111"/>
  <c r="D54" i="111"/>
  <c r="K52" i="111"/>
  <c r="E53" i="111"/>
  <c r="C55" i="111"/>
  <c r="L52" i="111" a="1"/>
  <c r="M52" i="111" a="1"/>
  <c r="D55" i="111" a="1"/>
  <c r="K53" i="111" a="1"/>
  <c r="E54" i="111" a="1"/>
  <c r="M52" i="111" l="1"/>
  <c r="L52" i="111"/>
  <c r="D55" i="111"/>
  <c r="K53" i="111"/>
  <c r="E54" i="111"/>
  <c r="C56" i="111"/>
  <c r="D56" i="111" a="1"/>
  <c r="M53" i="111" a="1"/>
  <c r="K54" i="111" a="1"/>
  <c r="L53" i="111" a="1"/>
  <c r="E55" i="111" a="1"/>
  <c r="M53" i="111" l="1"/>
  <c r="L53" i="111"/>
  <c r="D56" i="111"/>
  <c r="K54" i="111"/>
  <c r="E55" i="111"/>
  <c r="C57" i="111"/>
  <c r="L54" i="111" a="1"/>
  <c r="D57" i="111" a="1"/>
  <c r="K55" i="111" a="1"/>
  <c r="E56" i="111" a="1"/>
  <c r="M54" i="111" a="1"/>
  <c r="M54" i="111" l="1"/>
  <c r="L54" i="111"/>
  <c r="D57" i="111"/>
  <c r="K55" i="111"/>
  <c r="E56" i="111"/>
  <c r="C58" i="111"/>
  <c r="K56" i="111" a="1"/>
  <c r="D58" i="111" a="1"/>
  <c r="L55" i="111" a="1"/>
  <c r="M55" i="111" a="1"/>
  <c r="E57" i="111" a="1"/>
  <c r="M55" i="111" l="1"/>
  <c r="L55" i="111"/>
  <c r="D58" i="111"/>
  <c r="K56" i="111"/>
  <c r="E57" i="111"/>
  <c r="C59" i="111"/>
  <c r="L56" i="111" a="1"/>
  <c r="M56" i="111" a="1"/>
  <c r="D59" i="111" a="1"/>
  <c r="K57" i="111" a="1"/>
  <c r="E58" i="111" a="1"/>
  <c r="M56" i="111" l="1"/>
  <c r="L56" i="111"/>
  <c r="D59" i="111"/>
  <c r="K57" i="111"/>
  <c r="E58" i="111"/>
  <c r="C60" i="111"/>
  <c r="M57" i="111" a="1"/>
  <c r="D60" i="111" a="1"/>
  <c r="K58" i="111" a="1"/>
  <c r="E59" i="111" a="1"/>
  <c r="L57" i="111" a="1"/>
  <c r="M57" i="111" l="1"/>
  <c r="L57" i="111"/>
  <c r="D60" i="111"/>
  <c r="K58" i="111"/>
  <c r="E59" i="111"/>
  <c r="M58" i="111" a="1"/>
  <c r="E60" i="111" a="1"/>
  <c r="K59" i="111" a="1"/>
  <c r="L58" i="111" a="1"/>
  <c r="M58" i="111" l="1"/>
  <c r="L58" i="111"/>
  <c r="K59" i="111"/>
  <c r="E60" i="111"/>
  <c r="M59" i="111" a="1"/>
  <c r="L59" i="111" a="1"/>
  <c r="M59" i="111" l="1"/>
  <c r="L59" i="1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<sst xmlns="http://schemas.openxmlformats.org/spreadsheetml/2006/main" count="85" uniqueCount="71">
  <si>
    <t>Параметры пласта</t>
  </si>
  <si>
    <t>Q</t>
  </si>
  <si>
    <t>Pwf</t>
  </si>
  <si>
    <t>%</t>
  </si>
  <si>
    <t>N</t>
  </si>
  <si>
    <t>Измеренные значение дебита и забойного давления</t>
  </si>
  <si>
    <t>Упражнения по работе с макросами Unifloc VBA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</si>
  <si>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</si>
  <si>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</si>
  <si>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</si>
  <si>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</si>
  <si>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</si>
  <si>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</si>
  <si>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</si>
  <si>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</si>
  <si>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</si>
  <si>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</si>
  <si>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</si>
  <si>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</si>
  <si>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</si>
  <si>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</si>
  <si>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</si>
  <si>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</si>
  <si>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f</t>
    </r>
    <r>
      <rPr>
        <vertAlign val="subscript"/>
        <sz val="10"/>
        <rFont val="Arial Cyr"/>
        <charset val="204"/>
      </rPr>
      <t>w</t>
    </r>
  </si>
  <si>
    <r>
      <t>Q</t>
    </r>
    <r>
      <rPr>
        <vertAlign val="subscript"/>
        <sz val="10"/>
        <rFont val="Arial Cyr"/>
        <charset val="204"/>
      </rPr>
      <t>l test</t>
    </r>
  </si>
  <si>
    <r>
      <t>P</t>
    </r>
    <r>
      <rPr>
        <vertAlign val="subscript"/>
        <sz val="10"/>
        <rFont val="Arial Cyr"/>
        <charset val="204"/>
      </rPr>
      <t>wf test</t>
    </r>
  </si>
  <si>
    <t>PI</t>
  </si>
  <si>
    <r>
      <t>P</t>
    </r>
    <r>
      <rPr>
        <vertAlign val="subscript"/>
        <sz val="10"/>
        <rFont val="Arial Cyr"/>
        <charset val="204"/>
      </rPr>
      <t>res</t>
    </r>
  </si>
  <si>
    <r>
      <rPr>
        <sz val="11"/>
        <color theme="1"/>
        <rFont val="Calibri"/>
        <family val="2"/>
        <charset val="204"/>
      </rPr>
      <t>°</t>
    </r>
    <r>
      <rPr>
        <sz val="10"/>
        <rFont val="Arial Cyr"/>
        <charset val="204"/>
      </rPr>
      <t>С</t>
    </r>
  </si>
  <si>
    <t>атма</t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</si>
  <si>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</si>
  <si>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/сут/атм</t>
    </r>
  </si>
  <si>
    <r>
      <t>Q</t>
    </r>
    <r>
      <rPr>
        <vertAlign val="subscript"/>
        <sz val="10"/>
        <rFont val="Arial Cyr"/>
        <charset val="204"/>
      </rPr>
      <t>max</t>
    </r>
  </si>
  <si>
    <t>Настройка графика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</si>
  <si>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</si>
  <si>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</si>
  <si>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</si>
  <si>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д.ед.</t>
  </si>
  <si>
    <t>PVTstr</t>
  </si>
  <si>
    <t>Q ГЖС</t>
  </si>
  <si>
    <t>Доля газа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</si>
  <si>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</si>
  <si>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</si>
  <si>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</si>
  <si>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</si>
  <si>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</si>
  <si>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</si>
  <si>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</si>
  <si>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</si>
  <si>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</si>
  <si>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</si>
  <si>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</si>
  <si>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</si>
  <si>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</si>
  <si>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</si>
  <si>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пласте. Индикаторная кривая</t>
  </si>
  <si>
    <t>Список Рзаб</t>
  </si>
  <si>
    <t>Список Ql</t>
  </si>
  <si>
    <t>Пример построения индикаторной кривой с использованием  списков</t>
  </si>
  <si>
    <t>Скв 1</t>
  </si>
  <si>
    <t>Кпр</t>
  </si>
  <si>
    <t>Обв</t>
  </si>
  <si>
    <t>Рнас</t>
  </si>
  <si>
    <t>Кол-во точек расчета</t>
  </si>
  <si>
    <t>Pпл</t>
  </si>
  <si>
    <t>Шаг списка</t>
  </si>
  <si>
    <t>проверка</t>
  </si>
  <si>
    <t>Plist</t>
  </si>
  <si>
    <t>Tlist</t>
  </si>
  <si>
    <t>qlist</t>
  </si>
  <si>
    <t>Пример построения pq кривой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</si>
</sst>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sz val="10"/>
      <name val="Arial Cyr"/>
      <family val="2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b/>
      <sz val="10"/>
      <name val="Arial Cyr"/>
    </font>
  </fonts>
  <fills count="1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1"/>
    <xf numFmtId="0" fontId="4" fillId="0" borderId="0"/>
    <xf numFmtId="0" fontId="2" fillId="0" borderId="0"/>
    <xf numFmtId="0" fontId="1" fillId="0" borderId="0"/>
  </cellStyleXfs>
  <cellXfs count="45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6" fillId="3" borderId="2" xfId="0" applyFont="1" applyFill="1" applyBorder="1" applyAlignment="1">
      <alignment horizontal="center" wrapText="1"/>
    </xf>
    <xf numFmtId="0" fontId="11" fillId="3" borderId="0" xfId="0" applyFont="1" applyFill="1" applyAlignment="1">
      <alignment horizontal="center" vertical="center"/>
    </xf>
    <xf numFmtId="1" fontId="0" fillId="4" borderId="2" xfId="0" applyNumberForma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14" fillId="0" borderId="0" xfId="0" applyFont="1"/>
    <xf numFmtId="2" fontId="0" fillId="5" borderId="2" xfId="0" applyNumberFormat="1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1" fontId="0" fillId="6" borderId="2" xfId="0" applyNumberFormat="1" applyFill="1" applyBorder="1" applyAlignment="1">
      <alignment horizontal="center" vertical="center"/>
    </xf>
    <xf numFmtId="2" fontId="0" fillId="6" borderId="2" xfId="0" applyNumberFormat="1" applyFont="1" applyFill="1" applyBorder="1" applyAlignment="1">
      <alignment horizontal="center"/>
    </xf>
    <xf numFmtId="1" fontId="0" fillId="6" borderId="2" xfId="0" applyNumberFormat="1" applyFont="1" applyFill="1" applyBorder="1" applyAlignment="1">
      <alignment horizontal="center"/>
    </xf>
    <xf numFmtId="14" fontId="0" fillId="4" borderId="0" xfId="0" applyNumberFormat="1" applyFill="1" applyAlignment="1">
      <alignment horizontal="left" vertical="top"/>
    </xf>
    <xf numFmtId="0" fontId="0" fillId="4" borderId="0" xfId="0" applyFill="1"/>
    <xf numFmtId="0" fontId="0" fillId="4" borderId="0" xfId="0" applyFill="1" applyAlignment="1">
      <alignment horizontal="left" vertical="top"/>
    </xf>
    <xf numFmtId="0" fontId="6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4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4" borderId="5" xfId="0" applyFill="1" applyBorder="1"/>
    <xf numFmtId="0" fontId="0" fillId="4" borderId="3" xfId="0" applyFill="1" applyBorder="1"/>
    <xf numFmtId="0" fontId="0" fillId="4" borderId="4" xfId="0" applyFill="1" applyBorder="1"/>
    <xf numFmtId="1" fontId="0" fillId="0" borderId="0" xfId="0" applyNumberFormat="1"/>
    <xf numFmtId="0" fontId="0" fillId="8" borderId="2" xfId="0" applyFill="1" applyBorder="1"/>
    <xf numFmtId="0" fontId="0" fillId="9" borderId="2" xfId="0" applyFill="1" applyBorder="1"/>
    <xf numFmtId="0" fontId="0" fillId="10" borderId="2" xfId="0" applyFill="1" applyBorder="1"/>
    <xf numFmtId="0" fontId="0" fillId="7" borderId="5" xfId="0" applyFill="1" applyBorder="1" applyAlignment="1">
      <alignment horizontal="left"/>
    </xf>
    <xf numFmtId="0" fontId="0" fillId="7" borderId="3" xfId="0" applyFill="1" applyBorder="1" applyAlignment="1">
      <alignment horizontal="left"/>
    </xf>
    <xf numFmtId="0" fontId="0" fillId="7" borderId="4" xfId="0" applyFill="1" applyBorder="1" applyAlignment="1">
      <alignment horizontal="left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11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12" xfId="0" applyFill="1" applyBorder="1" applyAlignment="1">
      <alignment horizontal="left" vertical="top"/>
    </xf>
    <xf numFmtId="0" fontId="0" fillId="7" borderId="14" xfId="0" applyFill="1" applyBorder="1" applyAlignment="1">
      <alignment horizontal="left" vertical="top"/>
    </xf>
    <xf numFmtId="0" fontId="0" fillId="7" borderId="15" xfId="0" applyFill="1" applyBorder="1" applyAlignment="1">
      <alignment horizontal="left" vertical="top"/>
    </xf>
    <xf numFmtId="0" fontId="0" fillId="7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Normal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3"/>
          <c:order val="0"/>
          <c:xVal>
            <c:numRef>
              <c:f>exercise_IPR!$M$40:$M$60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1.2296199248658291E-17</c:v>
                </c:pt>
                <c:pt idx="3">
                  <c:v>0</c:v>
                </c:pt>
                <c:pt idx="4">
                  <c:v>0</c:v>
                </c:pt>
                <c:pt idx="5">
                  <c:v>2.2048325449925099E-17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2.3002990358436545E-2</c:v>
                </c:pt>
                <c:pt idx="11">
                  <c:v>6.3914583168729375E-2</c:v>
                </c:pt>
                <c:pt idx="12">
                  <c:v>0.1093839419436667</c:v>
                </c:pt>
                <c:pt idx="13">
                  <c:v>0.16037836377751444</c:v>
                </c:pt>
                <c:pt idx="14">
                  <c:v>0.21816109668565148</c:v>
                </c:pt>
                <c:pt idx="15">
                  <c:v>0.28443472361961597</c:v>
                </c:pt>
                <c:pt idx="16">
                  <c:v>0.36161126362646251</c:v>
                </c:pt>
                <c:pt idx="17">
                  <c:v>0.45340516573762862</c:v>
                </c:pt>
                <c:pt idx="18">
                  <c:v>0.56644279563319133</c:v>
                </c:pt>
                <c:pt idx="19">
                  <c:v>0.71641414977550899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E7-448F-A442-4A0725A46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3.0483292781832931</c:v>
                </c:pt>
                <c:pt idx="2">
                  <c:v>6.0966585563665863</c:v>
                </c:pt>
                <c:pt idx="3">
                  <c:v>9.1449878345498803</c:v>
                </c:pt>
                <c:pt idx="4">
                  <c:v>12.193317112733173</c:v>
                </c:pt>
                <c:pt idx="5">
                  <c:v>15.241646390916465</c:v>
                </c:pt>
                <c:pt idx="6">
                  <c:v>18.289975669099757</c:v>
                </c:pt>
                <c:pt idx="7">
                  <c:v>21.338304947283049</c:v>
                </c:pt>
                <c:pt idx="8">
                  <c:v>24.386634225466342</c:v>
                </c:pt>
                <c:pt idx="9">
                  <c:v>27.434963503649634</c:v>
                </c:pt>
                <c:pt idx="10">
                  <c:v>30.483292781832926</c:v>
                </c:pt>
                <c:pt idx="11">
                  <c:v>33.531622060016218</c:v>
                </c:pt>
                <c:pt idx="12">
                  <c:v>36.579951338199514</c:v>
                </c:pt>
                <c:pt idx="13">
                  <c:v>39.62828061638281</c:v>
                </c:pt>
                <c:pt idx="14">
                  <c:v>42.676609894566106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51.821597729115993</c:v>
                </c:pt>
                <c:pt idx="18">
                  <c:v>54.869927007299289</c:v>
                </c:pt>
                <c:pt idx="19">
                  <c:v>57.918256285482585</c:v>
                </c:pt>
                <c:pt idx="20">
                  <c:v>60.96658556366588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8D-47E4-B6BD-2AA49FE3CAEC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3.048329278183294</c:v>
                </c:pt>
                <c:pt idx="2">
                  <c:v>6.096658556366588</c:v>
                </c:pt>
                <c:pt idx="3">
                  <c:v>9.1449878345498821</c:v>
                </c:pt>
                <c:pt idx="4">
                  <c:v>12.193317112733176</c:v>
                </c:pt>
                <c:pt idx="5">
                  <c:v>15.24164639091647</c:v>
                </c:pt>
                <c:pt idx="6">
                  <c:v>18.289975669099764</c:v>
                </c:pt>
                <c:pt idx="7">
                  <c:v>21.338304947283042</c:v>
                </c:pt>
                <c:pt idx="8">
                  <c:v>24.386634225466338</c:v>
                </c:pt>
                <c:pt idx="9">
                  <c:v>27.43496350364963</c:v>
                </c:pt>
                <c:pt idx="10">
                  <c:v>30.48329278183293</c:v>
                </c:pt>
                <c:pt idx="11">
                  <c:v>33.531622060016211</c:v>
                </c:pt>
                <c:pt idx="12">
                  <c:v>36.579951338199514</c:v>
                </c:pt>
                <c:pt idx="13">
                  <c:v>39.628280616382817</c:v>
                </c:pt>
                <c:pt idx="14">
                  <c:v>42.676609894566106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51.821597729116</c:v>
                </c:pt>
                <c:pt idx="18">
                  <c:v>54.869927007299296</c:v>
                </c:pt>
                <c:pt idx="19">
                  <c:v>57.918256285482585</c:v>
                </c:pt>
                <c:pt idx="20">
                  <c:v>60.96658556366588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8D-47E4-B6BD-2AA49FE3CAEC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8D-47E4-B6BD-2AA49FE3C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3.0483292781832931</c:v>
                </c:pt>
                <c:pt idx="2">
                  <c:v>6.0966585563665863</c:v>
                </c:pt>
                <c:pt idx="3">
                  <c:v>9.1449878345498803</c:v>
                </c:pt>
                <c:pt idx="4">
                  <c:v>12.193317112733173</c:v>
                </c:pt>
                <c:pt idx="5">
                  <c:v>15.241646390916465</c:v>
                </c:pt>
                <c:pt idx="6">
                  <c:v>18.289975669099757</c:v>
                </c:pt>
                <c:pt idx="7">
                  <c:v>21.338304947283049</c:v>
                </c:pt>
                <c:pt idx="8">
                  <c:v>24.386634225466342</c:v>
                </c:pt>
                <c:pt idx="9">
                  <c:v>27.434963503649634</c:v>
                </c:pt>
                <c:pt idx="10">
                  <c:v>30.483292781832926</c:v>
                </c:pt>
                <c:pt idx="11">
                  <c:v>33.531622060016218</c:v>
                </c:pt>
                <c:pt idx="12">
                  <c:v>36.579951338199514</c:v>
                </c:pt>
                <c:pt idx="13">
                  <c:v>39.62828061638281</c:v>
                </c:pt>
                <c:pt idx="14">
                  <c:v>42.676609894566106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51.821597729115993</c:v>
                </c:pt>
                <c:pt idx="18">
                  <c:v>54.869927007299289</c:v>
                </c:pt>
                <c:pt idx="19">
                  <c:v>57.918256285482585</c:v>
                </c:pt>
                <c:pt idx="20">
                  <c:v>60.96658556366588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4D-4749-883D-1C3B461663E2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3.048329278183294</c:v>
                </c:pt>
                <c:pt idx="2">
                  <c:v>6.096658556366588</c:v>
                </c:pt>
                <c:pt idx="3">
                  <c:v>9.1449878345498821</c:v>
                </c:pt>
                <c:pt idx="4">
                  <c:v>12.193317112733176</c:v>
                </c:pt>
                <c:pt idx="5">
                  <c:v>15.24164639091647</c:v>
                </c:pt>
                <c:pt idx="6">
                  <c:v>18.289975669099764</c:v>
                </c:pt>
                <c:pt idx="7">
                  <c:v>21.338304947283042</c:v>
                </c:pt>
                <c:pt idx="8">
                  <c:v>24.386634225466338</c:v>
                </c:pt>
                <c:pt idx="9">
                  <c:v>27.43496350364963</c:v>
                </c:pt>
                <c:pt idx="10">
                  <c:v>30.48329278183293</c:v>
                </c:pt>
                <c:pt idx="11">
                  <c:v>33.531622060016211</c:v>
                </c:pt>
                <c:pt idx="12">
                  <c:v>36.579951338199514</c:v>
                </c:pt>
                <c:pt idx="13">
                  <c:v>39.628280616382817</c:v>
                </c:pt>
                <c:pt idx="14">
                  <c:v>42.676609894566106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51.821597729116</c:v>
                </c:pt>
                <c:pt idx="18">
                  <c:v>54.869927007299296</c:v>
                </c:pt>
                <c:pt idx="19">
                  <c:v>57.918256285482585</c:v>
                </c:pt>
                <c:pt idx="20">
                  <c:v>60.96658556366588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4D-4749-883D-1C3B461663E2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4D-4749-883D-1C3B461663E2}"/>
            </c:ext>
          </c:extLst>
        </c:ser>
        <c:ser>
          <c:idx val="3"/>
          <c:order val="3"/>
          <c:tx>
            <c:v>ГЖС от давления</c:v>
          </c:tx>
          <c:xVal>
            <c:numRef>
              <c:f>exercise_IPR!$L$40:$L$60</c:f>
              <c:numCache>
                <c:formatCode>0</c:formatCode>
                <c:ptCount val="21"/>
                <c:pt idx="0">
                  <c:v>0.11839570061872098</c:v>
                </c:pt>
                <c:pt idx="1">
                  <c:v>3.6122419481968167</c:v>
                </c:pt>
                <c:pt idx="2">
                  <c:v>7.233295574105064</c:v>
                </c:pt>
                <c:pt idx="3">
                  <c:v>10.861701991867291</c:v>
                </c:pt>
                <c:pt idx="4">
                  <c:v>14.499710468410026</c:v>
                </c:pt>
                <c:pt idx="5">
                  <c:v>18.149760418941955</c:v>
                </c:pt>
                <c:pt idx="6">
                  <c:v>21.81094695831673</c:v>
                </c:pt>
                <c:pt idx="7">
                  <c:v>25.486214189174483</c:v>
                </c:pt>
                <c:pt idx="8">
                  <c:v>29.178863232194033</c:v>
                </c:pt>
                <c:pt idx="9">
                  <c:v>32.889049411059119</c:v>
                </c:pt>
                <c:pt idx="10">
                  <c:v>37.245961058576903</c:v>
                </c:pt>
                <c:pt idx="11">
                  <c:v>42.385194654666925</c:v>
                </c:pt>
                <c:pt idx="12">
                  <c:v>48.151421412475088</c:v>
                </c:pt>
                <c:pt idx="13">
                  <c:v>54.797790622406893</c:v>
                </c:pt>
                <c:pt idx="14">
                  <c:v>62.730122999464555</c:v>
                </c:pt>
                <c:pt idx="15">
                  <c:v>72.639851126189683</c:v>
                </c:pt>
                <c:pt idx="16">
                  <c:v>85.837614082973715</c:v>
                </c:pt>
                <c:pt idx="17">
                  <c:v>105.16458933176992</c:v>
                </c:pt>
                <c:pt idx="18">
                  <c:v>138.37624048752835</c:v>
                </c:pt>
                <c:pt idx="19">
                  <c:v>219.53431441360883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4D-4749-883D-1C3B46166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exercise_IPR!$AC$53:$AC$73</c:f>
              <c:numCache>
                <c:formatCode>General</c:formatCode>
                <c:ptCount val="21"/>
              </c:numCache>
            </c:numRef>
          </c:xVal>
          <c:yVal>
            <c:numRef>
              <c:f>exercise_IPR!$AD$53:$AD$73</c:f>
              <c:numCache>
                <c:formatCode>General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EB-4D0D-A98A-F91C6C335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3645312"/>
        <c:axId val="1783637824"/>
      </c:scatterChart>
      <c:valAx>
        <c:axId val="1783645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83637824"/>
        <c:crosses val="autoZero"/>
        <c:crossBetween val="midCat"/>
      </c:valAx>
      <c:valAx>
        <c:axId val="178363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83645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exercise_IPR!$D$128</c:f>
              <c:strCache>
                <c:ptCount val="1"/>
                <c:pt idx="0">
                  <c:v>q_liq_sm3day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exercise_IPR!$C$129:$C$148</c:f>
              <c:numCache>
                <c:formatCode>General</c:formatCode>
                <c:ptCount val="20"/>
                <c:pt idx="0">
                  <c:v>1</c:v>
                </c:pt>
                <c:pt idx="1">
                  <c:v>10.421052631578901</c:v>
                </c:pt>
                <c:pt idx="2">
                  <c:v>19.842105263157901</c:v>
                </c:pt>
                <c:pt idx="3">
                  <c:v>29.2631578947368</c:v>
                </c:pt>
                <c:pt idx="4">
                  <c:v>38.684210526315802</c:v>
                </c:pt>
                <c:pt idx="5">
                  <c:v>48.105263157894697</c:v>
                </c:pt>
                <c:pt idx="6">
                  <c:v>57.526315789473699</c:v>
                </c:pt>
                <c:pt idx="7">
                  <c:v>66.947368421052602</c:v>
                </c:pt>
                <c:pt idx="8">
                  <c:v>76.368421052631604</c:v>
                </c:pt>
                <c:pt idx="9">
                  <c:v>85.789473684210506</c:v>
                </c:pt>
                <c:pt idx="10">
                  <c:v>95.210526315789494</c:v>
                </c:pt>
                <c:pt idx="11">
                  <c:v>104.631578947368</c:v>
                </c:pt>
                <c:pt idx="12">
                  <c:v>114.052631578947</c:v>
                </c:pt>
                <c:pt idx="13">
                  <c:v>123.473684210526</c:v>
                </c:pt>
                <c:pt idx="14">
                  <c:v>132.894736842105</c:v>
                </c:pt>
                <c:pt idx="15">
                  <c:v>142.31578947368399</c:v>
                </c:pt>
                <c:pt idx="16">
                  <c:v>151.73684210526301</c:v>
                </c:pt>
                <c:pt idx="17">
                  <c:v>161.157894736842</c:v>
                </c:pt>
                <c:pt idx="18">
                  <c:v>170.57894736842101</c:v>
                </c:pt>
                <c:pt idx="19">
                  <c:v>180</c:v>
                </c:pt>
              </c:numCache>
            </c:numRef>
          </c:xVal>
          <c:yVal>
            <c:numRef>
              <c:f>exercise_IPR!$D$129:$D$148</c:f>
              <c:numCache>
                <c:formatCode>General</c:formatCode>
                <c:ptCount val="20"/>
                <c:pt idx="0">
                  <c:v>60.966585563665902</c:v>
                </c:pt>
                <c:pt idx="1">
                  <c:v>60.270311583800101</c:v>
                </c:pt>
                <c:pt idx="2">
                  <c:v>59.257308144224098</c:v>
                </c:pt>
                <c:pt idx="3">
                  <c:v>57.927575244937799</c:v>
                </c:pt>
                <c:pt idx="4">
                  <c:v>56.281112885941297</c:v>
                </c:pt>
                <c:pt idx="5">
                  <c:v>54.3179210672346</c:v>
                </c:pt>
                <c:pt idx="6">
                  <c:v>52.0379997888177</c:v>
                </c:pt>
                <c:pt idx="7">
                  <c:v>49.441349050690498</c:v>
                </c:pt>
                <c:pt idx="8">
                  <c:v>46.5279688528531</c:v>
                </c:pt>
                <c:pt idx="9">
                  <c:v>43.297859195305499</c:v>
                </c:pt>
                <c:pt idx="10">
                  <c:v>39.751020078047603</c:v>
                </c:pt>
                <c:pt idx="11">
                  <c:v>35.887451501079497</c:v>
                </c:pt>
                <c:pt idx="12">
                  <c:v>31.707153464401198</c:v>
                </c:pt>
                <c:pt idx="13">
                  <c:v>27.231655781790199</c:v>
                </c:pt>
                <c:pt idx="14">
                  <c:v>22.693046484825199</c:v>
                </c:pt>
                <c:pt idx="15">
                  <c:v>18.1544371878602</c:v>
                </c:pt>
                <c:pt idx="16">
                  <c:v>13.615827890895099</c:v>
                </c:pt>
                <c:pt idx="17">
                  <c:v>9.0772185939300805</c:v>
                </c:pt>
                <c:pt idx="18">
                  <c:v>4.53860929696505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1-4390-88FD-F4098C405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397760"/>
        <c:axId val="2140396928"/>
      </c:scatterChart>
      <c:valAx>
        <c:axId val="214039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40396928"/>
        <c:crosses val="autoZero"/>
        <c:crossBetween val="midCat"/>
      </c:valAx>
      <c:valAx>
        <c:axId val="214039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4039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2702</xdr:colOff>
      <xdr:row>0</xdr:row>
      <xdr:rowOff>41038</xdr:rowOff>
    </xdr:from>
    <xdr:to>
      <xdr:col>14</xdr:col>
      <xdr:colOff>591793</xdr:colOff>
      <xdr:row>16</xdr:row>
      <xdr:rowOff>69159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120C2E3-B038-4DDC-8E81-23F93E6F1374}"/>
            </a:ext>
          </a:extLst>
        </xdr:cNvPr>
        <xdr:cNvSpPr txBox="1"/>
      </xdr:nvSpPr>
      <xdr:spPr>
        <a:xfrm>
          <a:off x="4806615" y="41038"/>
          <a:ext cx="5293613" cy="31920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/>
            <a:t>Упражнение показывает как построить индикаторную</a:t>
          </a:r>
          <a:r>
            <a:rPr lang="ru-RU" sz="1100" baseline="0"/>
            <a:t> кривую (по Вогелю с учетом обводненности) с использованием функций Унифлок </a:t>
          </a:r>
          <a:r>
            <a:rPr lang="en-US" sz="1100" baseline="0"/>
            <a:t>VBA.</a:t>
          </a: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продуктивность скважины</a:t>
          </a:r>
          <a:r>
            <a:rPr lang="en-US" sz="1100"/>
            <a:t> PI</a:t>
          </a:r>
          <a:r>
            <a:rPr lang="ru-RU" sz="1100"/>
            <a:t> по данным эксплуатации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максимальный дебит скважины </a:t>
          </a:r>
          <a:r>
            <a:rPr lang="en-US" sz="110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/>
            <a:t>) </a:t>
          </a:r>
          <a:r>
            <a:rPr lang="ru-RU" sz="1100"/>
            <a:t>для калибровки</a:t>
          </a:r>
          <a:r>
            <a:rPr lang="ru-RU" sz="1100" baseline="0"/>
            <a:t> графиков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Постройте</a:t>
          </a:r>
          <a:r>
            <a:rPr lang="ru-RU" sz="1100" baseline="0"/>
            <a:t> индикаторную кривую для заданных параметров пласта и флюида. Расчет провести двумя способами - рассчитать забойное давление по дебиту и наоборот.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ГЖС от забойного давления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 от забойного давления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IPR_pi_sm3dayatm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IPR_qliq_sm3day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IPR_pwf_atma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GB" sz="1100" baseline="0">
              <a:latin typeface="Courier New" panose="02070309020205020404" pitchFamily="49" charset="0"/>
              <a:cs typeface="Courier New" panose="02070309020205020404" pitchFamily="49" charset="0"/>
            </a:rPr>
            <a:t>feed_q_mix_rc_m3day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feed_gas_fraction_d </a:t>
          </a:r>
        </a:p>
      </xdr:txBody>
    </xdr:sp>
    <xdr:clientData/>
  </xdr:twoCellAnchor>
  <xdr:twoCellAnchor>
    <xdr:from>
      <xdr:col>16</xdr:col>
      <xdr:colOff>247497</xdr:colOff>
      <xdr:row>60</xdr:row>
      <xdr:rowOff>110224</xdr:rowOff>
    </xdr:from>
    <xdr:to>
      <xdr:col>23</xdr:col>
      <xdr:colOff>367401</xdr:colOff>
      <xdr:row>84</xdr:row>
      <xdr:rowOff>145393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E4BBB19E-9DA8-4E99-AC55-BE036A22A1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390525</xdr:colOff>
      <xdr:row>60</xdr:row>
      <xdr:rowOff>95250</xdr:rowOff>
    </xdr:from>
    <xdr:to>
      <xdr:col>16</xdr:col>
      <xdr:colOff>152400</xdr:colOff>
      <xdr:row>84</xdr:row>
      <xdr:rowOff>123825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16BBA86D-3F64-4FA4-AED7-318DF5C3F3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152400</xdr:colOff>
      <xdr:row>27</xdr:row>
      <xdr:rowOff>28575</xdr:rowOff>
    </xdr:from>
    <xdr:to>
      <xdr:col>8</xdr:col>
      <xdr:colOff>338418</xdr:colOff>
      <xdr:row>30</xdr:row>
      <xdr:rowOff>47625</xdr:rowOff>
    </xdr:to>
    <xdr:sp macro="" textlink="">
      <xdr:nvSpPr>
        <xdr:cNvPr id="7" name="Стрелка: влево 6">
          <a:extLst>
            <a:ext uri="{FF2B5EF4-FFF2-40B4-BE49-F238E27FC236}">
              <a16:creationId xmlns:a16="http://schemas.microsoft.com/office/drawing/2014/main" id="{0A7C59CE-7504-45FE-834E-29B434010D0E}"/>
            </a:ext>
          </a:extLst>
        </xdr:cNvPr>
        <xdr:cNvSpPr/>
      </xdr:nvSpPr>
      <xdr:spPr>
        <a:xfrm>
          <a:off x="2857500" y="5381625"/>
          <a:ext cx="3100668" cy="762000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</a:t>
          </a:r>
          <a:r>
            <a:rPr lang="en-US" sz="1100" baseline="0"/>
            <a:t>PI </a:t>
          </a:r>
          <a:r>
            <a:rPr lang="ru-RU" sz="1100" baseline="0"/>
            <a:t>и </a:t>
          </a:r>
          <a:r>
            <a:rPr lang="en-US" sz="1100" baseline="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 baseline="0"/>
            <a:t>)</a:t>
          </a:r>
          <a:endParaRPr lang="ru-RU" sz="1100"/>
        </a:p>
      </xdr:txBody>
    </xdr:sp>
    <xdr:clientData/>
  </xdr:twoCellAnchor>
  <xdr:twoCellAnchor>
    <xdr:from>
      <xdr:col>5</xdr:col>
      <xdr:colOff>257175</xdr:colOff>
      <xdr:row>42</xdr:row>
      <xdr:rowOff>28575</xdr:rowOff>
    </xdr:from>
    <xdr:to>
      <xdr:col>9</xdr:col>
      <xdr:colOff>586068</xdr:colOff>
      <xdr:row>51</xdr:row>
      <xdr:rowOff>158296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485889B6-96B5-4E8D-BA09-8070470AC7AA}"/>
            </a:ext>
          </a:extLst>
        </xdr:cNvPr>
        <xdr:cNvSpPr/>
      </xdr:nvSpPr>
      <xdr:spPr>
        <a:xfrm>
          <a:off x="3714750" y="812482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13</xdr:col>
      <xdr:colOff>114300</xdr:colOff>
      <xdr:row>42</xdr:row>
      <xdr:rowOff>47625</xdr:rowOff>
    </xdr:from>
    <xdr:to>
      <xdr:col>18</xdr:col>
      <xdr:colOff>166968</xdr:colOff>
      <xdr:row>52</xdr:row>
      <xdr:rowOff>15421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78C8522F-6AB6-4135-847A-D0E6476B9B37}"/>
            </a:ext>
          </a:extLst>
        </xdr:cNvPr>
        <xdr:cNvSpPr/>
      </xdr:nvSpPr>
      <xdr:spPr>
        <a:xfrm>
          <a:off x="8991600" y="814387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225F53BB-2405-4360-9961-1DBF05FB1AC5}"/>
            </a:ext>
          </a:extLst>
        </xdr:cNvPr>
        <xdr:cNvSpPr/>
      </xdr:nvSpPr>
      <xdr:spPr>
        <a:xfrm>
          <a:off x="2929218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</xdr:col>
      <xdr:colOff>272797</xdr:colOff>
      <xdr:row>60</xdr:row>
      <xdr:rowOff>108707</xdr:rowOff>
    </xdr:from>
    <xdr:to>
      <xdr:col>8</xdr:col>
      <xdr:colOff>359468</xdr:colOff>
      <xdr:row>84</xdr:row>
      <xdr:rowOff>122584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AADAD251-2A23-433D-8EC4-0BAE833616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581892</xdr:colOff>
      <xdr:row>74</xdr:row>
      <xdr:rowOff>82720</xdr:rowOff>
    </xdr:from>
    <xdr:to>
      <xdr:col>35</xdr:col>
      <xdr:colOff>596969</xdr:colOff>
      <xdr:row>98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1D8212D-A6E4-40B7-912A-08ABCFA2FE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586740</xdr:colOff>
      <xdr:row>94</xdr:row>
      <xdr:rowOff>30480</xdr:rowOff>
    </xdr:from>
    <xdr:to>
      <xdr:col>7</xdr:col>
      <xdr:colOff>548640</xdr:colOff>
      <xdr:row>105</xdr:row>
      <xdr:rowOff>60960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7BEAF3D9-40A6-4DF7-A557-7513814E9435}"/>
            </a:ext>
          </a:extLst>
        </xdr:cNvPr>
        <xdr:cNvSpPr txBox="1"/>
      </xdr:nvSpPr>
      <xdr:spPr>
        <a:xfrm>
          <a:off x="586740" y="16642080"/>
          <a:ext cx="4892040" cy="187452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Списки специально</a:t>
          </a:r>
          <a:r>
            <a:rPr lang="ru-RU" sz="1100" baseline="0"/>
            <a:t> сделаны для проведения расчетов в таблицах типа технологического режима скважин, где все данные по скважине уложены в одну строку.</a:t>
          </a:r>
          <a:endParaRPr lang="ru-RU" sz="1100"/>
        </a:p>
      </xdr:txBody>
    </xdr:sp>
    <xdr:clientData/>
  </xdr:twoCellAnchor>
  <xdr:twoCellAnchor>
    <xdr:from>
      <xdr:col>5</xdr:col>
      <xdr:colOff>40341</xdr:colOff>
      <xdr:row>129</xdr:row>
      <xdr:rowOff>76200</xdr:rowOff>
    </xdr:from>
    <xdr:to>
      <xdr:col>11</xdr:col>
      <xdr:colOff>58271</xdr:colOff>
      <xdr:row>145</xdr:row>
      <xdr:rowOff>94129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1B421B4-FEC6-4AA3-A8E0-73D09F6FF3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decode_json_pt"/>
      <definedName name="decode_json_q_liq_sm3day"/>
      <definedName name="encode_arange"/>
      <definedName name="encode_feed"/>
      <definedName name="encode_PVT"/>
      <definedName name="feed_gas_fraction_d"/>
      <definedName name="feed_q_mix_rc_m3day"/>
      <definedName name="IPR_p_wf_atma"/>
      <definedName name="IPR_pi_sm3dayatm"/>
      <definedName name="IPR_pq_crv"/>
      <definedName name="IPR_q_liq_sm3day"/>
      <definedName name="PVT_pb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2B381-EB7A-4075-910C-E361E909FE52}">
  <sheetPr codeName="Лист1">
    <outlinePr summaryBelow="0"/>
  </sheetPr>
  <dimension ref="A1:T148"/>
  <sheetViews>
    <sheetView tabSelected="1" zoomScale="85" zoomScaleNormal="85" workbookViewId="0">
      <selection activeCell="H22" sqref="H22"/>
    </sheetView>
  </sheetViews>
  <sheetFormatPr defaultRowHeight="12.75" x14ac:dyDescent="0.35"/>
  <cols>
    <col min="2" max="2" width="11" customWidth="1"/>
    <col min="3" max="3" width="10.53125" customWidth="1"/>
    <col min="4" max="4" width="9.86328125" customWidth="1"/>
    <col min="5" max="5" width="11.33203125" customWidth="1"/>
    <col min="6" max="6" width="9.86328125" customWidth="1"/>
    <col min="7" max="7" width="10.33203125" customWidth="1"/>
    <col min="8" max="8" width="12.33203125" customWidth="1"/>
    <col min="9" max="9" width="10.53125" bestFit="1" customWidth="1"/>
    <col min="10" max="10" width="11.33203125" customWidth="1"/>
    <col min="11" max="11" width="11.86328125" customWidth="1"/>
    <col min="12" max="13" width="11.53125" bestFit="1" customWidth="1"/>
    <col min="22" max="22" width="9.1328125" customWidth="1"/>
    <col min="23" max="23" width="11.33203125" customWidth="1"/>
    <col min="24" max="29" width="9.1328125" customWidth="1"/>
    <col min="30" max="30" width="9" customWidth="1"/>
    <col min="31" max="32" width="9.1328125" customWidth="1"/>
  </cols>
  <sheetData>
    <row r="1" spans="1:12" ht="13.15" x14ac:dyDescent="0.4">
      <c r="A1" s="1" t="s">
        <v>6</v>
      </c>
      <c r="F1" t="s">
        <v>34</v>
      </c>
      <c r="G1" t="str">
        <f>[1]!unf_version()</f>
        <v>7.38</v>
      </c>
      <c r="H1" t="s">
        <v>41</v>
      </c>
      <c r="I1" s="17">
        <v>44706</v>
      </c>
      <c r="J1" s="18"/>
      <c r="K1" s="18"/>
      <c r="L1" s="18"/>
    </row>
    <row r="2" spans="1:12" x14ac:dyDescent="0.35">
      <c r="A2" t="s">
        <v>55</v>
      </c>
      <c r="H2" t="s">
        <v>42</v>
      </c>
      <c r="I2" s="19">
        <v>7.38</v>
      </c>
      <c r="J2" s="18"/>
      <c r="K2" s="18"/>
      <c r="L2" s="18"/>
    </row>
    <row r="3" spans="1:12" ht="14.25" x14ac:dyDescent="0.45">
      <c r="A3" s="20" t="s">
        <v>43</v>
      </c>
      <c r="B3" s="33" t="s">
        <v>44</v>
      </c>
      <c r="C3" s="34"/>
      <c r="D3" s="34"/>
      <c r="E3" s="35"/>
      <c r="H3" t="s">
        <v>45</v>
      </c>
      <c r="I3" s="18" t="s">
        <v>44</v>
      </c>
      <c r="J3" s="18"/>
      <c r="K3" s="18"/>
      <c r="L3" s="18"/>
    </row>
    <row r="4" spans="1:12" ht="14.25" x14ac:dyDescent="0.45">
      <c r="A4" s="20" t="s">
        <v>46</v>
      </c>
      <c r="B4" s="33" t="s">
        <v>47</v>
      </c>
      <c r="C4" s="34"/>
      <c r="D4" s="34"/>
      <c r="E4" s="35"/>
      <c r="H4" t="s">
        <v>48</v>
      </c>
      <c r="I4" s="18" t="s">
        <v>47</v>
      </c>
      <c r="J4" s="18"/>
      <c r="K4" s="18"/>
      <c r="L4" s="18"/>
    </row>
    <row r="5" spans="1:12" ht="14.25" x14ac:dyDescent="0.45">
      <c r="A5" s="20" t="s">
        <v>49</v>
      </c>
      <c r="B5" s="33" t="s">
        <v>50</v>
      </c>
      <c r="C5" s="34"/>
      <c r="D5" s="34"/>
      <c r="E5" s="35"/>
      <c r="H5" t="s">
        <v>51</v>
      </c>
      <c r="I5" s="18" t="s">
        <v>50</v>
      </c>
      <c r="J5" s="18"/>
      <c r="K5" s="18"/>
      <c r="L5" s="18"/>
    </row>
    <row r="6" spans="1:12" x14ac:dyDescent="0.35">
      <c r="A6" s="21" t="s">
        <v>52</v>
      </c>
      <c r="B6" s="36" t="s">
        <v>53</v>
      </c>
      <c r="C6" s="37"/>
      <c r="D6" s="37"/>
      <c r="E6" s="38"/>
      <c r="H6" s="22" t="s">
        <v>54</v>
      </c>
      <c r="I6" s="23" t="s">
        <v>53</v>
      </c>
      <c r="J6" s="23"/>
      <c r="K6" s="23"/>
      <c r="L6" s="23"/>
    </row>
    <row r="7" spans="1:12" x14ac:dyDescent="0.35">
      <c r="A7" s="24"/>
      <c r="B7" s="39"/>
      <c r="C7" s="40"/>
      <c r="D7" s="40"/>
      <c r="E7" s="41"/>
      <c r="H7" s="22"/>
      <c r="I7" s="23"/>
      <c r="J7" s="23"/>
      <c r="K7" s="23"/>
      <c r="L7" s="23"/>
    </row>
    <row r="8" spans="1:12" x14ac:dyDescent="0.35">
      <c r="A8" s="25"/>
      <c r="B8" s="42"/>
      <c r="C8" s="43"/>
      <c r="D8" s="43"/>
      <c r="E8" s="44"/>
      <c r="H8" s="22"/>
      <c r="I8" s="23"/>
      <c r="J8" s="23"/>
      <c r="K8" s="23"/>
      <c r="L8" s="23"/>
    </row>
    <row r="10" spans="1:12" ht="13.15" x14ac:dyDescent="0.4">
      <c r="A10" s="1" t="s">
        <v>7</v>
      </c>
    </row>
    <row r="11" spans="1:12" ht="16.5" x14ac:dyDescent="0.55000000000000004">
      <c r="B11" s="3" t="s">
        <v>8</v>
      </c>
      <c r="C11" s="2">
        <v>0.8</v>
      </c>
      <c r="D11" s="4"/>
      <c r="E11" s="16">
        <f>gamma_oil_*1000</f>
        <v>800</v>
      </c>
      <c r="F11" s="10" t="s">
        <v>35</v>
      </c>
    </row>
    <row r="12" spans="1:12" ht="16.5" x14ac:dyDescent="0.55000000000000004">
      <c r="B12" s="5" t="s">
        <v>9</v>
      </c>
      <c r="C12" s="2">
        <v>1</v>
      </c>
      <c r="D12" s="4"/>
      <c r="E12" s="16">
        <f>gamma_wat_*1000</f>
        <v>1000</v>
      </c>
      <c r="F12" s="10" t="s">
        <v>35</v>
      </c>
    </row>
    <row r="13" spans="1:12" ht="16.5" x14ac:dyDescent="0.55000000000000004">
      <c r="B13" s="5" t="s">
        <v>10</v>
      </c>
      <c r="C13" s="2">
        <v>0.8</v>
      </c>
      <c r="D13" s="4"/>
      <c r="E13" s="16">
        <f>gamma_gas_*1.22</f>
        <v>0.97599999999999998</v>
      </c>
      <c r="F13" s="10" t="s">
        <v>35</v>
      </c>
    </row>
    <row r="14" spans="1:12" ht="16.5" x14ac:dyDescent="0.55000000000000004">
      <c r="B14" s="6" t="s">
        <v>11</v>
      </c>
      <c r="C14" s="2">
        <v>80</v>
      </c>
      <c r="D14" s="5" t="s">
        <v>12</v>
      </c>
      <c r="E14" s="16">
        <f>Rsb_/gamma_oil_</f>
        <v>100</v>
      </c>
      <c r="F14" s="10" t="s">
        <v>36</v>
      </c>
    </row>
    <row r="15" spans="1:12" ht="16.5" x14ac:dyDescent="0.55000000000000004">
      <c r="B15" s="6" t="s">
        <v>13</v>
      </c>
      <c r="C15" s="2">
        <v>80</v>
      </c>
      <c r="D15" s="5" t="s">
        <v>12</v>
      </c>
      <c r="E15" s="16">
        <f>Rsb_/gamma_oil_</f>
        <v>100</v>
      </c>
      <c r="F15" s="10" t="s">
        <v>36</v>
      </c>
    </row>
    <row r="16" spans="1:12" ht="15.75" x14ac:dyDescent="0.55000000000000004">
      <c r="B16" s="5" t="s">
        <v>14</v>
      </c>
      <c r="C16" s="2">
        <v>120</v>
      </c>
      <c r="D16" s="5" t="s">
        <v>15</v>
      </c>
      <c r="E16" s="16">
        <f>Pb_cal_*1.01325/10</f>
        <v>12.159000000000001</v>
      </c>
      <c r="F16" s="10" t="s">
        <v>16</v>
      </c>
    </row>
    <row r="17" spans="1:6" ht="15.75" x14ac:dyDescent="0.55000000000000004">
      <c r="B17" s="5" t="s">
        <v>17</v>
      </c>
      <c r="C17" s="2">
        <v>100</v>
      </c>
      <c r="D17" s="8" t="s">
        <v>28</v>
      </c>
      <c r="E17" s="16">
        <f>Tres_*9/5+32</f>
        <v>212</v>
      </c>
      <c r="F17" s="10" t="s">
        <v>18</v>
      </c>
    </row>
    <row r="18" spans="1:6" ht="16.5" x14ac:dyDescent="0.55000000000000004">
      <c r="B18" s="6" t="s">
        <v>19</v>
      </c>
      <c r="C18" s="2">
        <v>1.2</v>
      </c>
      <c r="D18" s="5" t="s">
        <v>12</v>
      </c>
      <c r="E18" s="5"/>
      <c r="F18" s="4"/>
    </row>
    <row r="19" spans="1:6" ht="15.75" x14ac:dyDescent="0.55000000000000004">
      <c r="B19" s="7" t="s">
        <v>20</v>
      </c>
      <c r="C19" s="2">
        <v>1</v>
      </c>
      <c r="D19" s="5" t="s">
        <v>21</v>
      </c>
      <c r="E19" s="5"/>
      <c r="F19" s="4"/>
    </row>
    <row r="20" spans="1:6" ht="15" x14ac:dyDescent="0.5">
      <c r="B20" s="7" t="s">
        <v>23</v>
      </c>
      <c r="C20" s="2">
        <v>0</v>
      </c>
      <c r="D20" s="5" t="s">
        <v>3</v>
      </c>
      <c r="E20" s="15">
        <f>fw_/100</f>
        <v>0</v>
      </c>
      <c r="F20" s="10" t="s">
        <v>37</v>
      </c>
    </row>
    <row r="21" spans="1:6" ht="15.75" x14ac:dyDescent="0.55000000000000004">
      <c r="B21" s="5" t="s">
        <v>22</v>
      </c>
      <c r="C21" s="9">
        <f>[1]!PVT_pb_atma(Tres_,pvt)</f>
        <v>119.99999999999999</v>
      </c>
      <c r="D21" s="5" t="s">
        <v>15</v>
      </c>
      <c r="E21" s="16">
        <f>Pb_*1.01325/10</f>
        <v>12.158999999999999</v>
      </c>
      <c r="F21" s="10" t="s">
        <v>16</v>
      </c>
    </row>
    <row r="23" spans="1:6" ht="13.15" x14ac:dyDescent="0.4">
      <c r="A23" s="1" t="s">
        <v>5</v>
      </c>
      <c r="B23" s="1"/>
      <c r="C23" s="1"/>
      <c r="D23" s="1"/>
    </row>
    <row r="24" spans="1:6" ht="18" customHeight="1" x14ac:dyDescent="0.5">
      <c r="B24" s="7" t="s">
        <v>24</v>
      </c>
      <c r="C24" s="2">
        <v>55</v>
      </c>
      <c r="D24" s="5" t="s">
        <v>30</v>
      </c>
    </row>
    <row r="25" spans="1:6" ht="18" customHeight="1" x14ac:dyDescent="0.5">
      <c r="B25" s="7" t="s">
        <v>25</v>
      </c>
      <c r="C25" s="2">
        <v>45</v>
      </c>
      <c r="D25" s="5" t="s">
        <v>29</v>
      </c>
    </row>
    <row r="27" spans="1:6" ht="13.15" x14ac:dyDescent="0.4">
      <c r="A27" s="1" t="s">
        <v>0</v>
      </c>
    </row>
    <row r="28" spans="1:6" ht="19.5" customHeight="1" x14ac:dyDescent="0.5">
      <c r="B28" s="7" t="s">
        <v>27</v>
      </c>
      <c r="C28" s="2">
        <v>180</v>
      </c>
      <c r="D28" s="5" t="s">
        <v>29</v>
      </c>
    </row>
    <row r="29" spans="1:6" ht="19.5" customHeight="1" x14ac:dyDescent="0.45">
      <c r="B29" s="7" t="s">
        <v>26</v>
      </c>
      <c r="C29" s="12" cm="1">
        <f t="array" ref="C29">[1]!IPR_pi_sm3dayatm(qltest_,Pwftest_,Pres_,fw_,Pb_)</f>
        <v>0.48175182481751827</v>
      </c>
      <c r="D29" s="5" t="s">
        <v>31</v>
      </c>
    </row>
    <row r="30" spans="1:6" ht="19.5" customHeight="1" x14ac:dyDescent="0.5">
      <c r="B30" s="5" t="s">
        <v>32</v>
      </c>
      <c r="C30" s="13" cm="1">
        <f t="array" ref="C30">[1]!IPR_q_liq_sm3day(PI_,Pres_,1,fw_,Pb_)</f>
        <v>60.966585563665859</v>
      </c>
      <c r="D30" s="5" t="s">
        <v>30</v>
      </c>
    </row>
    <row r="32" spans="1:6" ht="13.15" x14ac:dyDescent="0.4">
      <c r="A32" s="11" t="s">
        <v>33</v>
      </c>
    </row>
    <row r="33" spans="2:20" ht="14.25" x14ac:dyDescent="0.45">
      <c r="B33" s="7" t="s">
        <v>4</v>
      </c>
      <c r="C33" s="2">
        <v>20</v>
      </c>
      <c r="D33" s="4"/>
    </row>
    <row r="35" spans="2:20" ht="14.25" x14ac:dyDescent="0.45">
      <c r="B35" s="7" t="s">
        <v>38</v>
      </c>
      <c r="C35" s="26" t="str" cm="1">
        <f t="array" ref="C35">[1]!encode_PVT(gamma_gas_,gamma_oil_,gamma_wat_,Rsb_,Pb_cal_,Tres_,Bob_,muob_)</f>
        <v>{"gamma_gas":0.8,"gamma_oil":0.8,"gamma_wat":1,"rsb_m3m3":80,"pb_atma":120,"t_res_C":100,"bob_m3m3":1.2,"muob_cP":1,"PVT_corr_set":0}</v>
      </c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8"/>
    </row>
    <row r="39" spans="2:20" x14ac:dyDescent="0.35">
      <c r="C39" s="5" t="s">
        <v>1</v>
      </c>
      <c r="D39" s="4" t="s">
        <v>2</v>
      </c>
      <c r="E39" s="4" t="s">
        <v>1</v>
      </c>
      <c r="L39" s="4" t="s">
        <v>39</v>
      </c>
      <c r="M39" s="4" t="s">
        <v>40</v>
      </c>
    </row>
    <row r="40" spans="2:20" x14ac:dyDescent="0.35">
      <c r="C40" s="14">
        <v>0</v>
      </c>
      <c r="D40" s="13" cm="1">
        <f t="array" ref="D40">[1]!IPR_p_wf_atma(PI_,Pres_,C40,fw_,Pb_)</f>
        <v>180</v>
      </c>
      <c r="E40" s="13" cm="1">
        <f t="array" ref="E40">[1]!IPR_q_liq_sm3day(PI_,Pres_,D40,fw_,Pb_)</f>
        <v>0</v>
      </c>
      <c r="K40" t="str" cm="1">
        <f t="array" ref="K40">[1]!encode_feed(E40,fw_,Rp_,,pvt)</f>
        <v>{"gamma_gas":0.8,"gamma_oil":0.8,"gamma_wat":1,"rsb_m3m3":80,"pb_atma":120,"t_res_C":100,"bob_m3m3":1.2,"muob_cP":1,"PVT_corr_set":0,"q_liq_sm3day":0,"fw_perc":0,"rp_m3m3":80}</v>
      </c>
      <c r="L40" s="13" cm="1">
        <f t="array" ref="L40">[1]!feed_q_mix_rc_m3day(D40,Tres_,K40)</f>
        <v>0.11839570061872098</v>
      </c>
      <c r="M40" s="12" cm="1">
        <f t="array" ref="M40">[1]!feed_gas_fraction_d(D40,Tres_,K40)</f>
        <v>0</v>
      </c>
    </row>
    <row r="41" spans="2:20" x14ac:dyDescent="0.35">
      <c r="C41" s="14">
        <f t="shared" ref="C41:C60" si="0">C40+qmax_/N_</f>
        <v>3.0483292781832931</v>
      </c>
      <c r="D41" s="13" cm="1">
        <f t="array" ref="D41">[1]!IPR_p_wf_atma(PI_,Pres_,C41,fw_,Pb_)</f>
        <v>173.67240740740741</v>
      </c>
      <c r="E41" s="13" cm="1">
        <f t="array" ref="E41">[1]!IPR_q_liq_sm3day(PI_,Pres_,D41,fw_,Pb_)</f>
        <v>3.048329278183294</v>
      </c>
      <c r="K41" t="str" cm="1">
        <f t="array" ref="K41">[1]!encode_feed(E41,fw_,Rp_,,pvt)</f>
        <v>{"gamma_gas":0.8,"gamma_oil":0.8,"gamma_wat":1,"rsb_m3m3":80,"pb_atma":120,"t_res_C":100,"bob_m3m3":1.2,"muob_cP":1,"PVT_corr_set":0,"q_liq_sm3day":3.048,"fw_perc":0,"rp_m3m3":80}</v>
      </c>
      <c r="L41" s="13" cm="1">
        <f t="array" ref="L41">[1]!feed_q_mix_rc_m3day(D41,Tres_,K41)</f>
        <v>3.6122419481968167</v>
      </c>
      <c r="M41" s="12" cm="1">
        <f t="array" ref="M41">[1]!feed_gas_fraction_d(D41,Tres_,K41)</f>
        <v>0</v>
      </c>
    </row>
    <row r="42" spans="2:20" x14ac:dyDescent="0.35">
      <c r="C42" s="14">
        <f t="shared" si="0"/>
        <v>6.0966585563665863</v>
      </c>
      <c r="D42" s="13" cm="1">
        <f t="array" ref="D42">[1]!IPR_p_wf_atma(PI_,Pres_,C42,fw_,Pb_)</f>
        <v>167.34481481481481</v>
      </c>
      <c r="E42" s="13" cm="1">
        <f t="array" ref="E42">[1]!IPR_q_liq_sm3day(PI_,Pres_,D42,fw_,Pb_)</f>
        <v>6.096658556366588</v>
      </c>
      <c r="K42" t="str" cm="1">
        <f t="array" ref="K42">[1]!encode_feed(E42,fw_,Rp_,,pvt)</f>
        <v>{"gamma_gas":0.8,"gamma_oil":0.8,"gamma_wat":1,"rsb_m3m3":80,"pb_atma":120,"t_res_C":100,"bob_m3m3":1.2,"muob_cP":1,"PVT_corr_set":0,"q_liq_sm3day":6.097,"fw_perc":0,"rp_m3m3":80}</v>
      </c>
      <c r="L42" s="13" cm="1">
        <f t="array" ref="L42">[1]!feed_q_mix_rc_m3day(D42,Tres_,K42)</f>
        <v>7.233295574105064</v>
      </c>
      <c r="M42" s="12" cm="1">
        <f t="array" ref="M42">[1]!feed_gas_fraction_d(D42,Tres_,K42)</f>
        <v>1.2296199248658291E-17</v>
      </c>
    </row>
    <row r="43" spans="2:20" x14ac:dyDescent="0.35">
      <c r="C43" s="14">
        <f t="shared" si="0"/>
        <v>9.1449878345498803</v>
      </c>
      <c r="D43" s="13" cm="1">
        <f t="array" ref="D43">[1]!IPR_p_wf_atma(PI_,Pres_,C43,fw_,Pb_)</f>
        <v>161.01722222222222</v>
      </c>
      <c r="E43" s="13" cm="1">
        <f t="array" ref="E43">[1]!IPR_q_liq_sm3day(PI_,Pres_,D43,fw_,Pb_)</f>
        <v>9.1449878345498821</v>
      </c>
      <c r="K43" t="str" cm="1">
        <f t="array" ref="K43">[1]!encode_feed(E43,fw_,Rp_,,pvt)</f>
        <v>{"gamma_gas":0.8,"gamma_oil":0.8,"gamma_wat":1,"rsb_m3m3":80,"pb_atma":120,"t_res_C":100,"bob_m3m3":1.2,"muob_cP":1,"PVT_corr_set":0,"q_liq_sm3day":9.145,"fw_perc":0,"rp_m3m3":80}</v>
      </c>
      <c r="L43" s="13" cm="1">
        <f t="array" ref="L43">[1]!feed_q_mix_rc_m3day(D43,Tres_,K43)</f>
        <v>10.861701991867291</v>
      </c>
      <c r="M43" s="12" cm="1">
        <f t="array" ref="M43">[1]!feed_gas_fraction_d(D43,Tres_,K43)</f>
        <v>0</v>
      </c>
    </row>
    <row r="44" spans="2:20" x14ac:dyDescent="0.35">
      <c r="C44" s="14">
        <f t="shared" si="0"/>
        <v>12.193317112733173</v>
      </c>
      <c r="D44" s="13" cm="1">
        <f t="array" ref="D44">[1]!IPR_p_wf_atma(PI_,Pres_,C44,fw_,Pb_)</f>
        <v>154.68962962962962</v>
      </c>
      <c r="E44" s="13" cm="1">
        <f t="array" ref="E44">[1]!IPR_q_liq_sm3day(PI_,Pres_,D44,fw_,Pb_)</f>
        <v>12.193317112733176</v>
      </c>
      <c r="K44" t="str" cm="1">
        <f t="array" ref="K44">[1]!encode_feed(E44,fw_,Rp_,,pvt)</f>
        <v>{"gamma_gas":0.8,"gamma_oil":0.8,"gamma_wat":1,"rsb_m3m3":80,"pb_atma":120,"t_res_C":100,"bob_m3m3":1.2,"muob_cP":1,"PVT_corr_set":0,"q_liq_sm3day":12.193,"fw_perc":0,"rp_m3m3":80}</v>
      </c>
      <c r="L44" s="13" cm="1">
        <f t="array" ref="L44">[1]!feed_q_mix_rc_m3day(D44,Tres_,K44)</f>
        <v>14.499710468410026</v>
      </c>
      <c r="M44" s="12" cm="1">
        <f t="array" ref="M44">[1]!feed_gas_fraction_d(D44,Tres_,K44)</f>
        <v>0</v>
      </c>
    </row>
    <row r="45" spans="2:20" x14ac:dyDescent="0.35">
      <c r="C45" s="14">
        <f t="shared" si="0"/>
        <v>15.241646390916465</v>
      </c>
      <c r="D45" s="13" cm="1">
        <f t="array" ref="D45">[1]!IPR_p_wf_atma(PI_,Pres_,C45,fw_,Pb_)</f>
        <v>148.36203703703703</v>
      </c>
      <c r="E45" s="13" cm="1">
        <f t="array" ref="E45">[1]!IPR_q_liq_sm3day(PI_,Pres_,D45,fw_,Pb_)</f>
        <v>15.24164639091647</v>
      </c>
      <c r="K45" t="str" cm="1">
        <f t="array" ref="K45">[1]!encode_feed(E45,fw_,Rp_,,pvt)</f>
        <v>{"gamma_gas":0.8,"gamma_oil":0.8,"gamma_wat":1,"rsb_m3m3":80,"pb_atma":120,"t_res_C":100,"bob_m3m3":1.2,"muob_cP":1,"PVT_corr_set":0,"q_liq_sm3day":15.242,"fw_perc":0,"rp_m3m3":80}</v>
      </c>
      <c r="L45" s="13" cm="1">
        <f t="array" ref="L45">[1]!feed_q_mix_rc_m3day(D45,Tres_,K45)</f>
        <v>18.149760418941955</v>
      </c>
      <c r="M45" s="12" cm="1">
        <f t="array" ref="M45">[1]!feed_gas_fraction_d(D45,Tres_,K45)</f>
        <v>2.2048325449925099E-17</v>
      </c>
    </row>
    <row r="46" spans="2:20" x14ac:dyDescent="0.35">
      <c r="C46" s="14">
        <f t="shared" si="0"/>
        <v>18.289975669099757</v>
      </c>
      <c r="D46" s="13" cm="1">
        <f t="array" ref="D46">[1]!IPR_p_wf_atma(PI_,Pres_,C46,fw_,Pb_)</f>
        <v>142.03444444444443</v>
      </c>
      <c r="E46" s="13" cm="1">
        <f t="array" ref="E46">[1]!IPR_q_liq_sm3day(PI_,Pres_,D46,fw_,Pb_)</f>
        <v>18.289975669099764</v>
      </c>
      <c r="K46" t="str" cm="1">
        <f t="array" ref="K46">[1]!encode_feed(E46,fw_,Rp_,,pvt)</f>
        <v>{"gamma_gas":0.8,"gamma_oil":0.8,"gamma_wat":1,"rsb_m3m3":80,"pb_atma":120,"t_res_C":100,"bob_m3m3":1.2,"muob_cP":1,"PVT_corr_set":0,"q_liq_sm3day":18.29,"fw_perc":0,"rp_m3m3":80}</v>
      </c>
      <c r="L46" s="13" cm="1">
        <f t="array" ref="L46">[1]!feed_q_mix_rc_m3day(D46,Tres_,K46)</f>
        <v>21.81094695831673</v>
      </c>
      <c r="M46" s="12" cm="1">
        <f t="array" ref="M46">[1]!feed_gas_fraction_d(D46,Tres_,K46)</f>
        <v>0</v>
      </c>
    </row>
    <row r="47" spans="2:20" x14ac:dyDescent="0.35">
      <c r="C47" s="14">
        <f t="shared" si="0"/>
        <v>21.338304947283049</v>
      </c>
      <c r="D47" s="13" cm="1">
        <f t="array" ref="D47">[1]!IPR_p_wf_atma(PI_,Pres_,C47,fw_,Pb_)</f>
        <v>135.70685185185187</v>
      </c>
      <c r="E47" s="13" cm="1">
        <f t="array" ref="E47">[1]!IPR_q_liq_sm3day(PI_,Pres_,D47,fw_,Pb_)</f>
        <v>21.338304947283042</v>
      </c>
      <c r="K47" t="str" cm="1">
        <f t="array" ref="K47">[1]!encode_feed(E47,fw_,Rp_,,pvt)</f>
        <v>{"gamma_gas":0.8,"gamma_oil":0.8,"gamma_wat":1,"rsb_m3m3":80,"pb_atma":120,"t_res_C":100,"bob_m3m3":1.2,"muob_cP":1,"PVT_corr_set":0,"q_liq_sm3day":21.338,"fw_perc":0,"rp_m3m3":80}</v>
      </c>
      <c r="L47" s="13" cm="1">
        <f t="array" ref="L47">[1]!feed_q_mix_rc_m3day(D47,Tres_,K47)</f>
        <v>25.486214189174483</v>
      </c>
      <c r="M47" s="12" cm="1">
        <f t="array" ref="M47">[1]!feed_gas_fraction_d(D47,Tres_,K47)</f>
        <v>0</v>
      </c>
    </row>
    <row r="48" spans="2:20" x14ac:dyDescent="0.35">
      <c r="C48" s="14">
        <f t="shared" si="0"/>
        <v>24.386634225466342</v>
      </c>
      <c r="D48" s="13" cm="1">
        <f t="array" ref="D48">[1]!IPR_p_wf_atma(PI_,Pres_,C48,fw_,Pb_)</f>
        <v>129.37925925925927</v>
      </c>
      <c r="E48" s="13" cm="1">
        <f t="array" ref="E48">[1]!IPR_q_liq_sm3day(PI_,Pres_,D48,fw_,Pb_)</f>
        <v>24.386634225466338</v>
      </c>
      <c r="K48" t="str" cm="1">
        <f t="array" ref="K48">[1]!encode_feed(E48,fw_,Rp_,,pvt)</f>
        <v>{"gamma_gas":0.8,"gamma_oil":0.8,"gamma_wat":1,"rsb_m3m3":80,"pb_atma":120,"t_res_C":100,"bob_m3m3":1.2,"muob_cP":1,"PVT_corr_set":0,"q_liq_sm3day":24.387,"fw_perc":0,"rp_m3m3":80}</v>
      </c>
      <c r="L48" s="13" cm="1">
        <f t="array" ref="L48">[1]!feed_q_mix_rc_m3day(D48,Tres_,K48)</f>
        <v>29.178863232194033</v>
      </c>
      <c r="M48" s="12" cm="1">
        <f t="array" ref="M48">[1]!feed_gas_fraction_d(D48,Tres_,K48)</f>
        <v>0</v>
      </c>
    </row>
    <row r="49" spans="3:13" x14ac:dyDescent="0.35">
      <c r="C49" s="14">
        <f t="shared" si="0"/>
        <v>27.434963503649634</v>
      </c>
      <c r="D49" s="13" cm="1">
        <f t="array" ref="D49">[1]!IPR_p_wf_atma(PI_,Pres_,C49,fw_,Pb_)</f>
        <v>123.05166666666668</v>
      </c>
      <c r="E49" s="13" cm="1">
        <f t="array" ref="E49">[1]!IPR_q_liq_sm3day(PI_,Pres_,D49,fw_,Pb_)</f>
        <v>27.43496350364963</v>
      </c>
      <c r="K49" t="str" cm="1">
        <f t="array" ref="K49">[1]!encode_feed(E49,fw_,Rp_,,pvt)</f>
        <v>{"gamma_gas":0.8,"gamma_oil":0.8,"gamma_wat":1,"rsb_m3m3":80,"pb_atma":120,"t_res_C":100,"bob_m3m3":1.2,"muob_cP":1,"PVT_corr_set":0,"q_liq_sm3day":27.435,"fw_perc":0,"rp_m3m3":80}</v>
      </c>
      <c r="L49" s="13" cm="1">
        <f t="array" ref="L49">[1]!feed_q_mix_rc_m3day(D49,Tres_,K49)</f>
        <v>32.889049411059119</v>
      </c>
      <c r="M49" s="12" cm="1">
        <f t="array" ref="M49">[1]!feed_gas_fraction_d(D49,Tres_,K49)</f>
        <v>0</v>
      </c>
    </row>
    <row r="50" spans="3:13" x14ac:dyDescent="0.35">
      <c r="C50" s="14">
        <f t="shared" si="0"/>
        <v>30.483292781832926</v>
      </c>
      <c r="D50" s="13" cm="1">
        <f t="array" ref="D50">[1]!IPR_p_wf_atma(PI_,Pres_,C50,fw_,Pb_)</f>
        <v>116.68333227861451</v>
      </c>
      <c r="E50" s="13" cm="1">
        <f t="array" ref="E50">[1]!IPR_q_liq_sm3day(PI_,Pres_,D50,fw_,Pb_)</f>
        <v>30.48329278183293</v>
      </c>
      <c r="K50" t="str" cm="1">
        <f t="array" ref="K50">[1]!encode_feed(E50,fw_,Rp_,,pvt)</f>
        <v>{"gamma_gas":0.8,"gamma_oil":0.8,"gamma_wat":1,"rsb_m3m3":80,"pb_atma":120,"t_res_C":100,"bob_m3m3":1.2,"muob_cP":1,"PVT_corr_set":0,"q_liq_sm3day":30.483,"fw_perc":0,"rp_m3m3":80}</v>
      </c>
      <c r="L50" s="13" cm="1">
        <f t="array" ref="L50">[1]!feed_q_mix_rc_m3day(D50,Tres_,K50)</f>
        <v>37.245961058576903</v>
      </c>
      <c r="M50" s="12" cm="1">
        <f t="array" ref="M50">[1]!feed_gas_fraction_d(D50,Tres_,K50)</f>
        <v>2.3002990358436545E-2</v>
      </c>
    </row>
    <row r="51" spans="3:13" x14ac:dyDescent="0.35">
      <c r="C51" s="14">
        <f t="shared" si="0"/>
        <v>33.531622060016218</v>
      </c>
      <c r="D51" s="13" cm="1">
        <f t="array" ref="D51">[1]!IPR_p_wf_atma(PI_,Pres_,C51,fw_,Pb_)</f>
        <v>110.02819681975744</v>
      </c>
      <c r="E51" s="13" cm="1">
        <f t="array" ref="E51">[1]!IPR_q_liq_sm3day(PI_,Pres_,D51,fw_,Pb_)</f>
        <v>33.531622060016211</v>
      </c>
      <c r="K51" t="str" cm="1">
        <f t="array" ref="K51">[1]!encode_feed(E51,fw_,Rp_,,pvt)</f>
        <v>{"gamma_gas":0.8,"gamma_oil":0.8,"gamma_wat":1,"rsb_m3m3":80,"pb_atma":120,"t_res_C":100,"bob_m3m3":1.2,"muob_cP":1,"PVT_corr_set":0,"q_liq_sm3day":33.532,"fw_perc":0,"rp_m3m3":80}</v>
      </c>
      <c r="L51" s="13" cm="1">
        <f t="array" ref="L51">[1]!feed_q_mix_rc_m3day(D51,Tres_,K51)</f>
        <v>42.385194654666925</v>
      </c>
      <c r="M51" s="12" cm="1">
        <f t="array" ref="M51">[1]!feed_gas_fraction_d(D51,Tres_,K51)</f>
        <v>6.3914583168729375E-2</v>
      </c>
    </row>
    <row r="52" spans="3:13" x14ac:dyDescent="0.35">
      <c r="C52" s="14">
        <f t="shared" si="0"/>
        <v>36.579951338199514</v>
      </c>
      <c r="D52" s="13" cm="1">
        <f t="array" ref="D52">[1]!IPR_p_wf_atma(PI_,Pres_,C52,fw_,Pb_)</f>
        <v>102.99830507257298</v>
      </c>
      <c r="E52" s="13" cm="1">
        <f t="array" ref="E52">[1]!IPR_q_liq_sm3day(PI_,Pres_,D52,fw_,Pb_)</f>
        <v>36.579951338199514</v>
      </c>
      <c r="K52" t="str" cm="1">
        <f t="array" ref="K52">[1]!encode_feed(E52,fw_,Rp_,,pvt)</f>
        <v>{"gamma_gas":0.8,"gamma_oil":0.8,"gamma_wat":1,"rsb_m3m3":80,"pb_atma":120,"t_res_C":100,"bob_m3m3":1.2,"muob_cP":1,"PVT_corr_set":0,"q_liq_sm3day":36.58,"fw_perc":0,"rp_m3m3":80}</v>
      </c>
      <c r="L52" s="13" cm="1">
        <f t="array" ref="L52">[1]!feed_q_mix_rc_m3day(D52,Tres_,K52)</f>
        <v>48.151421412475088</v>
      </c>
      <c r="M52" s="12" cm="1">
        <f t="array" ref="M52">[1]!feed_gas_fraction_d(D52,Tres_,K52)</f>
        <v>0.1093839419436667</v>
      </c>
    </row>
    <row r="53" spans="3:13" x14ac:dyDescent="0.35">
      <c r="C53" s="14">
        <f t="shared" si="0"/>
        <v>39.62828061638281</v>
      </c>
      <c r="D53" s="13" cm="1">
        <f t="array" ref="D53">[1]!IPR_p_wf_atma(PI_,Pres_,C53,fw_,Pb_)</f>
        <v>95.522169721735011</v>
      </c>
      <c r="E53" s="13" cm="1">
        <f t="array" ref="E53">[1]!IPR_q_liq_sm3day(PI_,Pres_,D53,fw_,Pb_)</f>
        <v>39.628280616382817</v>
      </c>
      <c r="K53" t="str" cm="1">
        <f t="array" ref="K53">[1]!encode_feed(E53,fw_,Rp_,,pvt)</f>
        <v>{"gamma_gas":0.8,"gamma_oil":0.8,"gamma_wat":1,"rsb_m3m3":80,"pb_atma":120,"t_res_C":100,"bob_m3m3":1.2,"muob_cP":1,"PVT_corr_set":0,"q_liq_sm3day":39.628,"fw_perc":0,"rp_m3m3":80}</v>
      </c>
      <c r="L53" s="13" cm="1">
        <f t="array" ref="L53">[1]!feed_q_mix_rc_m3day(D53,Tres_,K53)</f>
        <v>54.797790622406893</v>
      </c>
      <c r="M53" s="12" cm="1">
        <f t="array" ref="M53">[1]!feed_gas_fraction_d(D53,Tres_,K53)</f>
        <v>0.16037836377751444</v>
      </c>
    </row>
    <row r="54" spans="3:13" x14ac:dyDescent="0.35">
      <c r="C54" s="14">
        <f t="shared" si="0"/>
        <v>42.676609894566106</v>
      </c>
      <c r="D54" s="13" cm="1">
        <f t="array" ref="D54">[1]!IPR_p_wf_atma(PI_,Pres_,C54,fw_,Pb_)</f>
        <v>87.502195098446549</v>
      </c>
      <c r="E54" s="13" cm="1">
        <f t="array" ref="E54">[1]!IPR_q_liq_sm3day(PI_,Pres_,D54,fw_,Pb_)</f>
        <v>42.676609894566106</v>
      </c>
      <c r="K54" t="str" cm="1">
        <f t="array" ref="K54">[1]!encode_feed(E54,fw_,Rp_,,pvt)</f>
        <v>{"gamma_gas":0.8,"gamma_oil":0.8,"gamma_wat":1,"rsb_m3m3":80,"pb_atma":120,"t_res_C":100,"bob_m3m3":1.2,"muob_cP":1,"PVT_corr_set":0,"q_liq_sm3day":42.677,"fw_perc":0,"rp_m3m3":80}</v>
      </c>
      <c r="L54" s="13" cm="1">
        <f t="array" ref="L54">[1]!feed_q_mix_rc_m3day(D54,Tres_,K54)</f>
        <v>62.730122999464555</v>
      </c>
      <c r="M54" s="12" cm="1">
        <f t="array" ref="M54">[1]!feed_gas_fraction_d(D54,Tres_,K54)</f>
        <v>0.21816109668565148</v>
      </c>
    </row>
    <row r="55" spans="3:13" x14ac:dyDescent="0.35">
      <c r="C55" s="14">
        <f t="shared" si="0"/>
        <v>45.724939172749401</v>
      </c>
      <c r="D55" s="13" cm="1">
        <f t="array" ref="D55">[1]!IPR_p_wf_atma(PI_,Pres_,C55,fw_,Pb_)</f>
        <v>78.798987201355189</v>
      </c>
      <c r="E55" s="13" cm="1">
        <f t="array" ref="E55">[1]!IPR_q_liq_sm3day(PI_,Pres_,D55,fw_,Pb_)</f>
        <v>45.724939172749401</v>
      </c>
      <c r="K55" t="str" cm="1">
        <f t="array" ref="K55">[1]!encode_feed(E55,fw_,Rp_,,pvt)</f>
        <v>{"gamma_gas":0.8,"gamma_oil":0.8,"gamma_wat":1,"rsb_m3m3":80,"pb_atma":120,"t_res_C":100,"bob_m3m3":1.2,"muob_cP":1,"PVT_corr_set":0,"q_liq_sm3day":45.725,"fw_perc":0,"rp_m3m3":80}</v>
      </c>
      <c r="L55" s="13" cm="1">
        <f t="array" ref="L55">[1]!feed_q_mix_rc_m3day(D55,Tres_,K55)</f>
        <v>72.639851126189683</v>
      </c>
      <c r="M55" s="12" cm="1">
        <f t="array" ref="M55">[1]!feed_gas_fraction_d(D55,Tres_,K55)</f>
        <v>0.28443472361961597</v>
      </c>
    </row>
    <row r="56" spans="3:13" x14ac:dyDescent="0.35">
      <c r="C56" s="14">
        <f t="shared" si="0"/>
        <v>48.773268450932697</v>
      </c>
      <c r="D56" s="13" cm="1">
        <f t="array" ref="D56">[1]!IPR_p_wf_atma(PI_,Pres_,C56,fw_,Pb_)</f>
        <v>69.200950113404261</v>
      </c>
      <c r="E56" s="13" cm="1">
        <f t="array" ref="E56">[1]!IPR_q_liq_sm3day(PI_,Pres_,D56,fw_,Pb_)</f>
        <v>48.773268450932697</v>
      </c>
      <c r="K56" t="str" cm="1">
        <f t="array" ref="K56">[1]!encode_feed(E56,fw_,Rp_,,pvt)</f>
        <v>{"gamma_gas":0.8,"gamma_oil":0.8,"gamma_wat":1,"rsb_m3m3":80,"pb_atma":120,"t_res_C":100,"bob_m3m3":1.2,"muob_cP":1,"PVT_corr_set":0,"q_liq_sm3day":48.773,"fw_perc":0,"rp_m3m3":80}</v>
      </c>
      <c r="L56" s="13" cm="1">
        <f t="array" ref="L56">[1]!feed_q_mix_rc_m3day(D56,Tres_,K56)</f>
        <v>85.837614082973715</v>
      </c>
      <c r="M56" s="12" cm="1">
        <f t="array" ref="M56">[1]!feed_gas_fraction_d(D56,Tres_,K56)</f>
        <v>0.36161126362646251</v>
      </c>
    </row>
    <row r="57" spans="3:13" x14ac:dyDescent="0.35">
      <c r="C57" s="14">
        <f t="shared" si="0"/>
        <v>51.821597729115993</v>
      </c>
      <c r="D57" s="13" cm="1">
        <f t="array" ref="D57">[1]!IPR_p_wf_atma(PI_,Pres_,C57,fw_,Pb_)</f>
        <v>58.35768535061608</v>
      </c>
      <c r="E57" s="13" cm="1">
        <f t="array" ref="E57">[1]!IPR_q_liq_sm3day(PI_,Pres_,D57,fw_,Pb_)</f>
        <v>51.821597729116</v>
      </c>
      <c r="K57" t="str" cm="1">
        <f t="array" ref="K57">[1]!encode_feed(E57,fw_,Rp_,,pvt)</f>
        <v>{"gamma_gas":0.8,"gamma_oil":0.8,"gamma_wat":1,"rsb_m3m3":80,"pb_atma":120,"t_res_C":100,"bob_m3m3":1.2,"muob_cP":1,"PVT_corr_set":0,"q_liq_sm3day":51.822,"fw_perc":0,"rp_m3m3":80}</v>
      </c>
      <c r="L57" s="13" cm="1">
        <f t="array" ref="L57">[1]!feed_q_mix_rc_m3day(D57,Tres_,K57)</f>
        <v>105.16458933176992</v>
      </c>
      <c r="M57" s="12" cm="1">
        <f t="array" ref="M57">[1]!feed_gas_fraction_d(D57,Tres_,K57)</f>
        <v>0.45340516573762862</v>
      </c>
    </row>
    <row r="58" spans="3:13" x14ac:dyDescent="0.35">
      <c r="C58" s="14">
        <f t="shared" si="0"/>
        <v>54.869927007299289</v>
      </c>
      <c r="D58" s="13" cm="1">
        <f t="array" ref="D58">[1]!IPR_p_wf_atma(PI_,Pres_,C58,fw_,Pb_)</f>
        <v>45.60445528176944</v>
      </c>
      <c r="E58" s="13" cm="1">
        <f t="array" ref="E58">[1]!IPR_q_liq_sm3day(PI_,Pres_,D58,fw_,Pb_)</f>
        <v>54.869927007299296</v>
      </c>
      <c r="K58" t="str" cm="1">
        <f t="array" ref="K58">[1]!encode_feed(E58,fw_,Rp_,,pvt)</f>
        <v>{"gamma_gas":0.8,"gamma_oil":0.8,"gamma_wat":1,"rsb_m3m3":80,"pb_atma":120,"t_res_C":100,"bob_m3m3":1.2,"muob_cP":1,"PVT_corr_set":0,"q_liq_sm3day":54.87,"fw_perc":0,"rp_m3m3":80}</v>
      </c>
      <c r="L58" s="13" cm="1">
        <f t="array" ref="L58">[1]!feed_q_mix_rc_m3day(D58,Tres_,K58)</f>
        <v>138.37624048752835</v>
      </c>
      <c r="M58" s="12" cm="1">
        <f t="array" ref="M58">[1]!feed_gas_fraction_d(D58,Tres_,K58)</f>
        <v>0.56644279563319133</v>
      </c>
    </row>
    <row r="59" spans="3:13" x14ac:dyDescent="0.35">
      <c r="C59" s="14">
        <f t="shared" si="0"/>
        <v>57.918256285482585</v>
      </c>
      <c r="D59" s="13" cm="1">
        <f t="array" ref="D59">[1]!IPR_p_wf_atma(PI_,Pres_,C59,fw_,Pb_)</f>
        <v>29.322116375461917</v>
      </c>
      <c r="E59" s="13" cm="1">
        <f t="array" ref="E59">[1]!IPR_q_liq_sm3day(PI_,Pres_,D59,fw_,Pb_)</f>
        <v>57.918256285482585</v>
      </c>
      <c r="K59" t="str" cm="1">
        <f t="array" ref="K59">[1]!encode_feed(E59,fw_,Rp_,,pvt)</f>
        <v>{"gamma_gas":0.8,"gamma_oil":0.8,"gamma_wat":1,"rsb_m3m3":80,"pb_atma":120,"t_res_C":100,"bob_m3m3":1.2,"muob_cP":1,"PVT_corr_set":0,"q_liq_sm3day":57.918,"fw_perc":0,"rp_m3m3":80}</v>
      </c>
      <c r="L59" s="13" cm="1">
        <f t="array" ref="L59">[1]!feed_q_mix_rc_m3day(D59,Tres_,K59)</f>
        <v>219.53431441360883</v>
      </c>
      <c r="M59" s="12" cm="1">
        <f t="array" ref="M59">[1]!feed_gas_fraction_d(D59,Tres_,K59)</f>
        <v>0.71641414977550899</v>
      </c>
    </row>
    <row r="60" spans="3:13" x14ac:dyDescent="0.35">
      <c r="C60" s="14">
        <f t="shared" si="0"/>
        <v>60.96658556366588</v>
      </c>
      <c r="D60" s="13" cm="1">
        <f t="array" ref="D60">[1]!IPR_p_wf_atma(PI_,Pres_,C60,fw_,Pb_)</f>
        <v>0.99999999999961331</v>
      </c>
      <c r="E60" s="13" cm="1">
        <f t="array" ref="E60">[1]!IPR_q_liq_sm3day(PI_,Pres_,D60,fw_,Pb_)</f>
        <v>60.96658556366588</v>
      </c>
      <c r="L60" s="13"/>
      <c r="M60" s="12"/>
    </row>
    <row r="88" spans="2:13" x14ac:dyDescent="0.35">
      <c r="C88" t="s">
        <v>58</v>
      </c>
    </row>
    <row r="90" spans="2:13" x14ac:dyDescent="0.35">
      <c r="B90" s="30"/>
      <c r="C90" s="30" t="s">
        <v>60</v>
      </c>
      <c r="D90" s="30" t="s">
        <v>61</v>
      </c>
      <c r="E90" s="30" t="s">
        <v>62</v>
      </c>
      <c r="F90" s="30" t="s">
        <v>64</v>
      </c>
      <c r="G90" s="30" t="s">
        <v>63</v>
      </c>
      <c r="H90" s="30" t="s">
        <v>65</v>
      </c>
      <c r="I90" s="30" t="s">
        <v>56</v>
      </c>
      <c r="J90" s="30" t="s">
        <v>57</v>
      </c>
      <c r="K90" s="30" t="s">
        <v>67</v>
      </c>
      <c r="L90" s="30" t="s">
        <v>68</v>
      </c>
      <c r="M90" s="30" t="s">
        <v>69</v>
      </c>
    </row>
    <row r="91" spans="2:13" x14ac:dyDescent="0.35">
      <c r="B91" s="30" t="s">
        <v>59</v>
      </c>
      <c r="C91" s="31">
        <f>PI_</f>
        <v>0.48175182481751827</v>
      </c>
      <c r="D91" s="31">
        <f>fw_</f>
        <v>0</v>
      </c>
      <c r="E91" s="31">
        <f>Pb_</f>
        <v>119.99999999999999</v>
      </c>
      <c r="F91" s="31">
        <f>input_2</f>
        <v>180</v>
      </c>
      <c r="G91" s="31">
        <v>20</v>
      </c>
      <c r="H91" s="31">
        <f>(F91-1)/(G91-1)</f>
        <v>9.4210526315789469</v>
      </c>
      <c r="I91" s="31" t="str" cm="1">
        <f t="array" ref="I91">[1]!encode_arange(1,F91,H91)</f>
        <v>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</v>
      </c>
      <c r="J91" s="32" t="str" cm="1">
        <f t="array" ref="J91">[1]!IPR_q_liq_sm3day(C91,F91,I91,D91,E91)</f>
        <v>{"p_atma":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,"t_C":[80,80,80,80,80,80,80,80,80,80,80,80,80,80,80,80,80,80,80,80],"q_liq_sm3day":[60.9665855636659,60.2703115838001,59.2573081442241,57.9275752449378,56.2811128859413,54.3179210672346,52.0379997888177,49.4413490506905,46.5279688528531,43.2978591953055,39.7510200780476,35.8874515010797,31.7071534644013,27.2316557817904,22.6930464848253,18.1544371878603,13.6158278908952,9.07721859393013,4.53860929696506,0]}</v>
      </c>
      <c r="K91" s="31" t="str" cm="1">
        <f t="array" ref="K91:L91">[1]!decode_json_pt(J91)</f>
        <v>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</v>
      </c>
      <c r="L91" s="31" t="str">
        <v>[80,80,80,80,80,80,80,80,80,80,80,80,80,80,80,80,80,80,80,80]</v>
      </c>
      <c r="M91" s="31" t="str" cm="1">
        <f t="array" ref="M91">[1]!decode_json_q_liq_sm3day(J91)</f>
        <v>[60.9665855636659,60.2703115838001,59.2573081442241,57.9275752449378,56.2811128859413,54.3179210672346,52.0379997888177,49.4413490506905,46.5279688528531,43.2978591953055,39.7510200780476,35.8874515010797,31.7071534644013,27.2316557817904,22.6930464848253,18.1544371878603,13.6158278908952,9.07721859393013,4.53860929696506,0]</v>
      </c>
    </row>
    <row r="93" spans="2:13" x14ac:dyDescent="0.35">
      <c r="K93" t="str" cm="1">
        <f t="array" ref="K93:L95">[1]!decode_json(J91)</f>
        <v>p_atma</v>
      </c>
      <c r="L93" t="str">
        <v>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</v>
      </c>
    </row>
    <row r="94" spans="2:13" x14ac:dyDescent="0.35">
      <c r="K94" t="str">
        <v>t_C</v>
      </c>
      <c r="L94" t="str">
        <v>[80,80,80,80,80,80,80,80,80,80,80,80,80,80,80,80,80,80,80,80]</v>
      </c>
    </row>
    <row r="95" spans="2:13" x14ac:dyDescent="0.35">
      <c r="K95" t="str">
        <v>q_liq_sm3day</v>
      </c>
      <c r="L95" t="str">
        <v>[60.9665855636659,60.2703115838001,59.2573081442241,57.9275752449378,56.2811128859413,54.3179210672346,52.0379997888177,49.4413490506905,46.5279688528531,43.2978591953055,39.7510200780476,35.8874515010797,31.7071534644013,27.2316557817904,22.6930464848253,18.1544371878603,13.6158278908952,9.07721859393013,4.53860929696506,0]</v>
      </c>
    </row>
    <row r="97" spans="9:13" x14ac:dyDescent="0.35">
      <c r="I97" t="s">
        <v>66</v>
      </c>
      <c r="K97" t="str">
        <f>$I$97&amp;" "&amp;K90</f>
        <v>проверка Plist</v>
      </c>
      <c r="L97" t="str">
        <f t="shared" ref="L97:M97" si="1">$I$97&amp;" "&amp;L90</f>
        <v>проверка Tlist</v>
      </c>
      <c r="M97" t="str">
        <f t="shared" si="1"/>
        <v>проверка qlist</v>
      </c>
    </row>
    <row r="98" spans="9:13" x14ac:dyDescent="0.35">
      <c r="I98" s="29" cm="1">
        <f t="array" ref="I98:I117">[1]!decode_json(I91)</f>
        <v>1</v>
      </c>
      <c r="K98" s="29" cm="1">
        <f t="array" ref="K98:K117">[1]!decode_json(K91)</f>
        <v>1</v>
      </c>
      <c r="L98" s="29" cm="1">
        <f t="array" ref="L98:L117">[1]!decode_json(L91)</f>
        <v>80</v>
      </c>
      <c r="M98" s="29" cm="1">
        <f t="array" ref="M98:M117">[1]!decode_json(M91)</f>
        <v>60.966585563665902</v>
      </c>
    </row>
    <row r="99" spans="9:13" x14ac:dyDescent="0.35">
      <c r="I99" s="29">
        <v>10.421052631578901</v>
      </c>
      <c r="K99" s="29">
        <v>10.421052631578901</v>
      </c>
      <c r="L99">
        <v>80</v>
      </c>
      <c r="M99" s="29">
        <v>60.270311583800101</v>
      </c>
    </row>
    <row r="100" spans="9:13" x14ac:dyDescent="0.35">
      <c r="I100" s="29">
        <v>19.842105263157901</v>
      </c>
      <c r="K100" s="29">
        <v>19.842105263157901</v>
      </c>
      <c r="L100">
        <v>80</v>
      </c>
      <c r="M100" s="29">
        <v>59.257308144224098</v>
      </c>
    </row>
    <row r="101" spans="9:13" x14ac:dyDescent="0.35">
      <c r="I101" s="29">
        <v>29.2631578947368</v>
      </c>
      <c r="K101" s="29">
        <v>29.2631578947368</v>
      </c>
      <c r="L101">
        <v>80</v>
      </c>
      <c r="M101" s="29">
        <v>57.927575244937799</v>
      </c>
    </row>
    <row r="102" spans="9:13" x14ac:dyDescent="0.35">
      <c r="I102" s="29">
        <v>38.684210526315802</v>
      </c>
      <c r="K102" s="29">
        <v>38.684210526315802</v>
      </c>
      <c r="L102">
        <v>80</v>
      </c>
      <c r="M102" s="29">
        <v>56.281112885941297</v>
      </c>
    </row>
    <row r="103" spans="9:13" x14ac:dyDescent="0.35">
      <c r="I103" s="29">
        <v>48.105263157894697</v>
      </c>
      <c r="K103" s="29">
        <v>48.105263157894697</v>
      </c>
      <c r="L103">
        <v>80</v>
      </c>
      <c r="M103" s="29">
        <v>54.3179210672346</v>
      </c>
    </row>
    <row r="104" spans="9:13" x14ac:dyDescent="0.35">
      <c r="I104" s="29">
        <v>57.526315789473699</v>
      </c>
      <c r="K104" s="29">
        <v>57.526315789473699</v>
      </c>
      <c r="L104">
        <v>80</v>
      </c>
      <c r="M104" s="29">
        <v>52.0379997888177</v>
      </c>
    </row>
    <row r="105" spans="9:13" x14ac:dyDescent="0.35">
      <c r="I105" s="29">
        <v>66.947368421052602</v>
      </c>
      <c r="K105" s="29">
        <v>66.947368421052602</v>
      </c>
      <c r="L105">
        <v>80</v>
      </c>
      <c r="M105" s="29">
        <v>49.441349050690498</v>
      </c>
    </row>
    <row r="106" spans="9:13" x14ac:dyDescent="0.35">
      <c r="I106" s="29">
        <v>76.368421052631604</v>
      </c>
      <c r="K106" s="29">
        <v>76.368421052631604</v>
      </c>
      <c r="L106">
        <v>80</v>
      </c>
      <c r="M106" s="29">
        <v>46.5279688528531</v>
      </c>
    </row>
    <row r="107" spans="9:13" x14ac:dyDescent="0.35">
      <c r="I107" s="29">
        <v>85.789473684210506</v>
      </c>
      <c r="K107" s="29">
        <v>85.789473684210506</v>
      </c>
      <c r="L107">
        <v>80</v>
      </c>
      <c r="M107" s="29">
        <v>43.297859195305499</v>
      </c>
    </row>
    <row r="108" spans="9:13" x14ac:dyDescent="0.35">
      <c r="I108" s="29">
        <v>95.210526315789494</v>
      </c>
      <c r="K108" s="29">
        <v>95.210526315789494</v>
      </c>
      <c r="L108">
        <v>80</v>
      </c>
      <c r="M108" s="29">
        <v>39.751020078047603</v>
      </c>
    </row>
    <row r="109" spans="9:13" x14ac:dyDescent="0.35">
      <c r="I109" s="29">
        <v>104.631578947368</v>
      </c>
      <c r="K109" s="29">
        <v>104.631578947368</v>
      </c>
      <c r="L109">
        <v>80</v>
      </c>
      <c r="M109" s="29">
        <v>35.887451501079703</v>
      </c>
    </row>
    <row r="110" spans="9:13" x14ac:dyDescent="0.35">
      <c r="I110" s="29">
        <v>114.052631578947</v>
      </c>
      <c r="K110" s="29">
        <v>114.052631578947</v>
      </c>
      <c r="L110">
        <v>80</v>
      </c>
      <c r="M110" s="29">
        <v>31.707153464401301</v>
      </c>
    </row>
    <row r="111" spans="9:13" x14ac:dyDescent="0.35">
      <c r="I111" s="29">
        <v>123.473684210526</v>
      </c>
      <c r="K111" s="29">
        <v>123.473684210526</v>
      </c>
      <c r="L111">
        <v>80</v>
      </c>
      <c r="M111" s="29">
        <v>27.231655781790401</v>
      </c>
    </row>
    <row r="112" spans="9:13" x14ac:dyDescent="0.35">
      <c r="I112" s="29">
        <v>132.894736842105</v>
      </c>
      <c r="K112" s="29">
        <v>132.894736842105</v>
      </c>
      <c r="L112">
        <v>80</v>
      </c>
      <c r="M112" s="29">
        <v>22.693046484825299</v>
      </c>
    </row>
    <row r="113" spans="3:13" x14ac:dyDescent="0.35">
      <c r="I113" s="29">
        <v>142.31578947368399</v>
      </c>
      <c r="K113" s="29">
        <v>142.31578947368399</v>
      </c>
      <c r="L113">
        <v>80</v>
      </c>
      <c r="M113" s="29">
        <v>18.154437187860299</v>
      </c>
    </row>
    <row r="114" spans="3:13" x14ac:dyDescent="0.35">
      <c r="I114" s="29">
        <v>151.73684210526301</v>
      </c>
      <c r="K114" s="29">
        <v>151.73684210526301</v>
      </c>
      <c r="L114">
        <v>80</v>
      </c>
      <c r="M114" s="29">
        <v>13.615827890895201</v>
      </c>
    </row>
    <row r="115" spans="3:13" x14ac:dyDescent="0.35">
      <c r="I115" s="29">
        <v>161.157894736842</v>
      </c>
      <c r="K115" s="29">
        <v>161.157894736842</v>
      </c>
      <c r="L115">
        <v>80</v>
      </c>
      <c r="M115" s="29">
        <v>9.0772185939301302</v>
      </c>
    </row>
    <row r="116" spans="3:13" x14ac:dyDescent="0.35">
      <c r="I116" s="29">
        <v>170.57894736842101</v>
      </c>
      <c r="K116" s="29">
        <v>170.57894736842101</v>
      </c>
      <c r="L116">
        <v>80</v>
      </c>
      <c r="M116" s="29">
        <v>4.5386092969650598</v>
      </c>
    </row>
    <row r="117" spans="3:13" x14ac:dyDescent="0.35">
      <c r="I117" s="29">
        <v>180</v>
      </c>
      <c r="K117" s="29">
        <v>180</v>
      </c>
      <c r="L117">
        <v>80</v>
      </c>
      <c r="M117" s="29">
        <v>0</v>
      </c>
    </row>
    <row r="122" spans="3:13" x14ac:dyDescent="0.35">
      <c r="C122" t="s">
        <v>70</v>
      </c>
    </row>
    <row r="125" spans="3:13" x14ac:dyDescent="0.35">
      <c r="C125" t="str" cm="1">
        <f t="array" ref="C125">[1]!IPR_pq_crv(C91,F91,D91,E91)</f>
        <v>{"curve_x":"p_wf_atma","curve_y":"q_liq_sm3day","p_wf_atma":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,"q_liq_sm3day":[60.9665855636659,60.2703115838001,59.2573081442241,57.9275752449378,56.2811128859413,54.3179210672346,52.0379997888177,49.4413490506905,46.5279688528531,43.2978591953055,39.7510200780476,35.8874515010795,31.7071534644012,27.2316557817902,22.6930464848252,18.1544371878602,13.6158278908951,9.07721859393008,4.53860929696505,0]}</v>
      </c>
    </row>
    <row r="128" spans="3:13" x14ac:dyDescent="0.35">
      <c r="C128" t="str" cm="1">
        <f t="array" ref="C128:D148">[1]!decode_json_crv(C125)</f>
        <v>p_wf_atma</v>
      </c>
      <c r="D128" t="str">
        <v>q_liq_sm3day</v>
      </c>
    </row>
    <row r="129" spans="3:4" x14ac:dyDescent="0.35">
      <c r="C129">
        <v>1</v>
      </c>
      <c r="D129">
        <v>60.966585563665902</v>
      </c>
    </row>
    <row r="130" spans="3:4" x14ac:dyDescent="0.35">
      <c r="C130">
        <v>10.421052631578901</v>
      </c>
      <c r="D130">
        <v>60.270311583800101</v>
      </c>
    </row>
    <row r="131" spans="3:4" x14ac:dyDescent="0.35">
      <c r="C131">
        <v>19.842105263157901</v>
      </c>
      <c r="D131">
        <v>59.257308144224098</v>
      </c>
    </row>
    <row r="132" spans="3:4" x14ac:dyDescent="0.35">
      <c r="C132">
        <v>29.2631578947368</v>
      </c>
      <c r="D132">
        <v>57.927575244937799</v>
      </c>
    </row>
    <row r="133" spans="3:4" x14ac:dyDescent="0.35">
      <c r="C133">
        <v>38.684210526315802</v>
      </c>
      <c r="D133">
        <v>56.281112885941297</v>
      </c>
    </row>
    <row r="134" spans="3:4" x14ac:dyDescent="0.35">
      <c r="C134">
        <v>48.105263157894697</v>
      </c>
      <c r="D134">
        <v>54.3179210672346</v>
      </c>
    </row>
    <row r="135" spans="3:4" x14ac:dyDescent="0.35">
      <c r="C135">
        <v>57.526315789473699</v>
      </c>
      <c r="D135">
        <v>52.0379997888177</v>
      </c>
    </row>
    <row r="136" spans="3:4" x14ac:dyDescent="0.35">
      <c r="C136">
        <v>66.947368421052602</v>
      </c>
      <c r="D136">
        <v>49.441349050690498</v>
      </c>
    </row>
    <row r="137" spans="3:4" x14ac:dyDescent="0.35">
      <c r="C137">
        <v>76.368421052631604</v>
      </c>
      <c r="D137">
        <v>46.5279688528531</v>
      </c>
    </row>
    <row r="138" spans="3:4" x14ac:dyDescent="0.35">
      <c r="C138">
        <v>85.789473684210506</v>
      </c>
      <c r="D138">
        <v>43.297859195305499</v>
      </c>
    </row>
    <row r="139" spans="3:4" x14ac:dyDescent="0.35">
      <c r="C139">
        <v>95.210526315789494</v>
      </c>
      <c r="D139">
        <v>39.751020078047603</v>
      </c>
    </row>
    <row r="140" spans="3:4" x14ac:dyDescent="0.35">
      <c r="C140">
        <v>104.631578947368</v>
      </c>
      <c r="D140">
        <v>35.887451501079497</v>
      </c>
    </row>
    <row r="141" spans="3:4" x14ac:dyDescent="0.35">
      <c r="C141">
        <v>114.052631578947</v>
      </c>
      <c r="D141">
        <v>31.707153464401198</v>
      </c>
    </row>
    <row r="142" spans="3:4" x14ac:dyDescent="0.35">
      <c r="C142">
        <v>123.473684210526</v>
      </c>
      <c r="D142">
        <v>27.231655781790199</v>
      </c>
    </row>
    <row r="143" spans="3:4" x14ac:dyDescent="0.35">
      <c r="C143">
        <v>132.894736842105</v>
      </c>
      <c r="D143">
        <v>22.693046484825199</v>
      </c>
    </row>
    <row r="144" spans="3:4" x14ac:dyDescent="0.35">
      <c r="C144">
        <v>142.31578947368399</v>
      </c>
      <c r="D144">
        <v>18.1544371878602</v>
      </c>
    </row>
    <row r="145" spans="3:4" x14ac:dyDescent="0.35">
      <c r="C145">
        <v>151.73684210526301</v>
      </c>
      <c r="D145">
        <v>13.615827890895099</v>
      </c>
    </row>
    <row r="146" spans="3:4" x14ac:dyDescent="0.35">
      <c r="C146">
        <v>161.157894736842</v>
      </c>
      <c r="D146">
        <v>9.0772185939300805</v>
      </c>
    </row>
    <row r="147" spans="3:4" x14ac:dyDescent="0.35">
      <c r="C147">
        <v>170.57894736842101</v>
      </c>
      <c r="D147">
        <v>4.53860929696505</v>
      </c>
    </row>
    <row r="148" spans="3:4" x14ac:dyDescent="0.35">
      <c r="C148">
        <v>180</v>
      </c>
      <c r="D148">
        <v>0</v>
      </c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30</vt:i4>
      </vt:variant>
    </vt:vector>
  </HeadingPairs>
  <TitlesOfParts>
    <vt:vector size="31" baseType="lpstr">
      <vt:lpstr>exercise_IPR</vt:lpstr>
      <vt:lpstr>exercise_IPR!Bob_</vt:lpstr>
      <vt:lpstr>exercise_IPR!fw_</vt:lpstr>
      <vt:lpstr>exercise_IPR!gamma_gas_</vt:lpstr>
      <vt:lpstr>exercise_IPR!gamma_oil_</vt:lpstr>
      <vt:lpstr>exercise_IPR!gamma_wat_</vt:lpstr>
      <vt:lpstr>exercise_IPR!input_0</vt:lpstr>
      <vt:lpstr>exercise_IPR!input_1</vt:lpstr>
      <vt:lpstr>exercise_IPR!input_2</vt:lpstr>
      <vt:lpstr>exercise_IPR!input_Course</vt:lpstr>
      <vt:lpstr>exercise_IPR!input_Date</vt:lpstr>
      <vt:lpstr>exercise_IPR!input_Group</vt:lpstr>
      <vt:lpstr>exercise_IPR!input_Notes</vt:lpstr>
      <vt:lpstr>exercise_IPR!input_Student_Name</vt:lpstr>
      <vt:lpstr>exercise_IPR!input_Version</vt:lpstr>
      <vt:lpstr>exercise_IPR!muob_</vt:lpstr>
      <vt:lpstr>exercise_IPR!N_</vt:lpstr>
      <vt:lpstr>exercise_IPR!output_0</vt:lpstr>
      <vt:lpstr>exercise_IPR!output_1</vt:lpstr>
      <vt:lpstr>exercise_IPR!Pb_</vt:lpstr>
      <vt:lpstr>exercise_IPR!Pb_cal_</vt:lpstr>
      <vt:lpstr>exercise_IPR!PI_</vt:lpstr>
      <vt:lpstr>exercise_IPR!Pres_</vt:lpstr>
      <vt:lpstr>pvt</vt:lpstr>
      <vt:lpstr>pvt_prop</vt:lpstr>
      <vt:lpstr>exercise_IPR!Pwftest_</vt:lpstr>
      <vt:lpstr>exercise_IPR!qltest_</vt:lpstr>
      <vt:lpstr>exercise_IPR!qmax_</vt:lpstr>
      <vt:lpstr>exercise_IPR!Rp_</vt:lpstr>
      <vt:lpstr>exercise_IPR!Rsb_</vt:lpstr>
      <vt:lpstr>exercise_IPR!Tres_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rienm</cp:lastModifiedBy>
  <cp:lastPrinted>2007-08-27T05:31:44Z</cp:lastPrinted>
  <dcterms:created xsi:type="dcterms:W3CDTF">2005-04-11T05:46:28Z</dcterms:created>
  <dcterms:modified xsi:type="dcterms:W3CDTF">2022-05-25T07:56:07Z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