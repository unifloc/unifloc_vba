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717A9D1-27CA-4DCD-99EF-EDC485190DE0}" xr6:coauthVersionLast="45" xr6:coauthVersionMax="45" xr10:uidLastSave="{00000000-0000-0000-0000-000000000000}"/>
  <bookViews>
    <workbookView xWindow="-120" yWindow="-120" windowWidth="29040" windowHeight="16440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_str_" localSheetId="0">exercise_IPR!$C$35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C35" i="111" a="1"/>
  <c r="C21" i="111"/>
  <c r="C29" i="111" s="1" a="1"/>
  <c r="G1" i="111"/>
  <c r="C35" i="111" l="1"/>
  <c r="C29" i="111"/>
  <c r="E21" i="111"/>
  <c r="C30" i="111" a="1"/>
  <c r="D40" i="111" a="1"/>
  <c r="D40" i="111" l="1"/>
  <c r="C30" i="111"/>
  <c r="C41" i="111" s="1"/>
  <c r="C42" i="111" s="1"/>
  <c r="E40" i="111" a="1"/>
  <c r="M40" i="111" a="1"/>
  <c r="D41" i="111" a="1"/>
  <c r="D42" i="111" a="1"/>
  <c r="D42" i="111" l="1"/>
  <c r="D41" i="111"/>
  <c r="M40" i="111"/>
  <c r="E40" i="111"/>
  <c r="C43" i="111"/>
  <c r="E42" i="111" a="1"/>
  <c r="M42" i="111" a="1"/>
  <c r="E41" i="111" a="1"/>
  <c r="M41" i="111" a="1"/>
  <c r="L40" i="111" a="1"/>
  <c r="D43" i="111" a="1"/>
  <c r="D43" i="111" l="1"/>
  <c r="L40" i="111"/>
  <c r="M41" i="111"/>
  <c r="E41" i="111"/>
  <c r="M42" i="111"/>
  <c r="E42" i="111"/>
  <c r="C44" i="111"/>
  <c r="E43" i="111" a="1"/>
  <c r="M43" i="111" a="1"/>
  <c r="L41" i="111" a="1"/>
  <c r="L42" i="111" a="1"/>
  <c r="D44" i="111" a="1"/>
  <c r="D44" i="111" l="1"/>
  <c r="L42" i="111"/>
  <c r="L41" i="111"/>
  <c r="M43" i="111"/>
  <c r="E43" i="111"/>
  <c r="C45" i="111"/>
  <c r="E44" i="111" a="1"/>
  <c r="M44" i="111" a="1"/>
  <c r="L43" i="111" a="1"/>
  <c r="D45" i="111" a="1"/>
  <c r="D45" i="111" l="1"/>
  <c r="L43" i="111"/>
  <c r="M44" i="111"/>
  <c r="E44" i="111"/>
  <c r="C46" i="111"/>
  <c r="E45" i="111" a="1"/>
  <c r="M45" i="111" a="1"/>
  <c r="L44" i="111" a="1"/>
  <c r="D46" i="111" a="1"/>
  <c r="D46" i="111" l="1"/>
  <c r="L44" i="111"/>
  <c r="M45" i="111"/>
  <c r="E45" i="111"/>
  <c r="C47" i="111"/>
  <c r="E46" i="111" a="1"/>
  <c r="M46" i="111" a="1"/>
  <c r="L45" i="111" a="1"/>
  <c r="D47" i="111" a="1"/>
  <c r="D47" i="111" l="1"/>
  <c r="L45" i="111"/>
  <c r="M46" i="111"/>
  <c r="E46" i="111"/>
  <c r="C48" i="111"/>
  <c r="E47" i="111" a="1"/>
  <c r="M47" i="111" a="1"/>
  <c r="L46" i="111" a="1"/>
  <c r="D48" i="111" a="1"/>
  <c r="D48" i="111" l="1"/>
  <c r="L46" i="111"/>
  <c r="M47" i="111"/>
  <c r="E47" i="111"/>
  <c r="C49" i="111"/>
  <c r="E48" i="111" a="1"/>
  <c r="M48" i="111" a="1"/>
  <c r="L47" i="111" a="1"/>
  <c r="D49" i="111" a="1"/>
  <c r="D49" i="111" l="1"/>
  <c r="L47" i="111"/>
  <c r="M48" i="111"/>
  <c r="E48" i="111"/>
  <c r="C50" i="111"/>
  <c r="E49" i="111" a="1"/>
  <c r="M49" i="111" a="1"/>
  <c r="L48" i="111" a="1"/>
  <c r="D50" i="111" a="1"/>
  <c r="D50" i="111" l="1"/>
  <c r="L48" i="111"/>
  <c r="M49" i="111"/>
  <c r="E49" i="111"/>
  <c r="C51" i="111"/>
  <c r="E50" i="111" a="1"/>
  <c r="M50" i="111" a="1"/>
  <c r="L49" i="111" a="1"/>
  <c r="D51" i="111" a="1"/>
  <c r="D51" i="111" l="1"/>
  <c r="L49" i="111"/>
  <c r="M50" i="111"/>
  <c r="E50" i="111"/>
  <c r="C52" i="111"/>
  <c r="E51" i="111" a="1"/>
  <c r="M51" i="111" a="1"/>
  <c r="L50" i="111" a="1"/>
  <c r="D52" i="111" a="1"/>
  <c r="D52" i="111" l="1"/>
  <c r="L50" i="111"/>
  <c r="M51" i="111"/>
  <c r="E51" i="111"/>
  <c r="C53" i="111"/>
  <c r="E52" i="111" a="1"/>
  <c r="M52" i="111" a="1"/>
  <c r="L51" i="111" a="1"/>
  <c r="D53" i="111" a="1"/>
  <c r="D53" i="111" l="1"/>
  <c r="L51" i="111"/>
  <c r="M52" i="111"/>
  <c r="E52" i="111"/>
  <c r="C54" i="111"/>
  <c r="E53" i="111" a="1"/>
  <c r="M53" i="111" a="1"/>
  <c r="L52" i="111" a="1"/>
  <c r="D54" i="111" a="1"/>
  <c r="D54" i="111" l="1"/>
  <c r="L52" i="111"/>
  <c r="M53" i="111"/>
  <c r="E53" i="111"/>
  <c r="C55" i="111"/>
  <c r="E54" i="111" a="1"/>
  <c r="M54" i="111" a="1"/>
  <c r="L53" i="111" a="1"/>
  <c r="D55" i="111" a="1"/>
  <c r="D55" i="111" l="1"/>
  <c r="L53" i="111"/>
  <c r="M54" i="111"/>
  <c r="E54" i="111"/>
  <c r="C56" i="111"/>
  <c r="E55" i="111" a="1"/>
  <c r="M55" i="111" a="1"/>
  <c r="L54" i="111" a="1"/>
  <c r="D56" i="111" a="1"/>
  <c r="D56" i="111" l="1"/>
  <c r="L54" i="111"/>
  <c r="M55" i="111"/>
  <c r="E55" i="111"/>
  <c r="C57" i="111"/>
  <c r="E56" i="111" a="1"/>
  <c r="M56" i="111" a="1"/>
  <c r="L55" i="111" a="1"/>
  <c r="D57" i="111" a="1"/>
  <c r="D57" i="111" l="1"/>
  <c r="L55" i="111"/>
  <c r="M56" i="111"/>
  <c r="E56" i="111"/>
  <c r="C58" i="111"/>
  <c r="E57" i="111" a="1"/>
  <c r="M57" i="111" a="1"/>
  <c r="L56" i="111" a="1"/>
  <c r="D58" i="111" a="1"/>
  <c r="D58" i="111" l="1"/>
  <c r="L56" i="111"/>
  <c r="M57" i="111"/>
  <c r="E57" i="111"/>
  <c r="C59" i="111"/>
  <c r="E58" i="111" a="1"/>
  <c r="M58" i="111" a="1"/>
  <c r="L57" i="111" a="1"/>
  <c r="D59" i="111" a="1"/>
  <c r="D59" i="111" l="1"/>
  <c r="L57" i="111"/>
  <c r="M58" i="111"/>
  <c r="E58" i="111"/>
  <c r="C60" i="111"/>
  <c r="E59" i="111" a="1"/>
  <c r="M59" i="111" a="1"/>
  <c r="L58" i="111" a="1"/>
  <c r="D60" i="111" a="1"/>
  <c r="D60" i="111" l="1"/>
  <c r="L58" i="111"/>
  <c r="M59" i="111"/>
  <c r="E59" i="111"/>
  <c r="E60" i="111" a="1"/>
  <c r="L59" i="111" a="1"/>
  <c r="L59" i="111" l="1"/>
  <c r="E60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<sst xmlns="http://schemas.openxmlformats.org/spreadsheetml/2006/main" count="70" uniqueCount="56">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</sst>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 vertic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3.6267765536544343E-3</c:v>
                </c:pt>
                <c:pt idx="7">
                  <c:v>2.0443539567702115E-2</c:v>
                </c:pt>
                <c:pt idx="8">
                  <c:v>3.8733360908313967E-2</c:v>
                </c:pt>
                <c:pt idx="9">
                  <c:v>5.8748043285112336E-2</c:v>
                </c:pt>
                <c:pt idx="10">
                  <c:v>8.079994688440123E-2</c:v>
                </c:pt>
                <c:pt idx="11">
                  <c:v>0.10528387143130208</c:v>
                </c:pt>
                <c:pt idx="12">
                  <c:v>0.13271107393801368</c:v>
                </c:pt>
                <c:pt idx="13">
                  <c:v>0.16376522336020913</c:v>
                </c:pt>
                <c:pt idx="14">
                  <c:v>0.19940114662819142</c:v>
                </c:pt>
                <c:pt idx="15">
                  <c:v>0.24103570150334719</c:v>
                </c:pt>
                <c:pt idx="16">
                  <c:v>0.29096575473433334</c:v>
                </c:pt>
                <c:pt idx="17">
                  <c:v>0.35347148681332285</c:v>
                </c:pt>
                <c:pt idx="18">
                  <c:v>0.43885934502018231</c:v>
                </c:pt>
                <c:pt idx="19">
                  <c:v>0.6017469499505026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3.1145258934894007</c:v>
                </c:pt>
                <c:pt idx="2">
                  <c:v>6.2290517869788014</c:v>
                </c:pt>
                <c:pt idx="3">
                  <c:v>9.3435776804682025</c:v>
                </c:pt>
                <c:pt idx="4">
                  <c:v>12.458103573957603</c:v>
                </c:pt>
                <c:pt idx="5">
                  <c:v>15.572629467447003</c:v>
                </c:pt>
                <c:pt idx="6">
                  <c:v>18.687155360936405</c:v>
                </c:pt>
                <c:pt idx="7">
                  <c:v>21.801681254425805</c:v>
                </c:pt>
                <c:pt idx="8">
                  <c:v>24.916207147915205</c:v>
                </c:pt>
                <c:pt idx="9">
                  <c:v>28.030733041404606</c:v>
                </c:pt>
                <c:pt idx="10">
                  <c:v>31.145258934894006</c:v>
                </c:pt>
                <c:pt idx="11">
                  <c:v>34.25978482838341</c:v>
                </c:pt>
                <c:pt idx="12">
                  <c:v>37.37431072187281</c:v>
                </c:pt>
                <c:pt idx="13">
                  <c:v>40.48883661536221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52.946940189319811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3.1145258934894082</c:v>
                </c:pt>
                <c:pt idx="2">
                  <c:v>6.2290517869787996</c:v>
                </c:pt>
                <c:pt idx="3">
                  <c:v>9.3435776804682078</c:v>
                </c:pt>
                <c:pt idx="4">
                  <c:v>12.458103573957599</c:v>
                </c:pt>
                <c:pt idx="5">
                  <c:v>15.572629467447006</c:v>
                </c:pt>
                <c:pt idx="6">
                  <c:v>18.687155360936398</c:v>
                </c:pt>
                <c:pt idx="7">
                  <c:v>21.801681254425805</c:v>
                </c:pt>
                <c:pt idx="8">
                  <c:v>24.916207147915209</c:v>
                </c:pt>
                <c:pt idx="9">
                  <c:v>28.030733041404616</c:v>
                </c:pt>
                <c:pt idx="10">
                  <c:v>31.145258934894002</c:v>
                </c:pt>
                <c:pt idx="11">
                  <c:v>34.259784828383424</c:v>
                </c:pt>
                <c:pt idx="12">
                  <c:v>37.374310721872817</c:v>
                </c:pt>
                <c:pt idx="13">
                  <c:v>40.488836615362203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52.946940189319825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3.1145258934894007</c:v>
                </c:pt>
                <c:pt idx="2">
                  <c:v>6.2290517869788014</c:v>
                </c:pt>
                <c:pt idx="3">
                  <c:v>9.3435776804682025</c:v>
                </c:pt>
                <c:pt idx="4">
                  <c:v>12.458103573957603</c:v>
                </c:pt>
                <c:pt idx="5">
                  <c:v>15.572629467447003</c:v>
                </c:pt>
                <c:pt idx="6">
                  <c:v>18.687155360936405</c:v>
                </c:pt>
                <c:pt idx="7">
                  <c:v>21.801681254425805</c:v>
                </c:pt>
                <c:pt idx="8">
                  <c:v>24.916207147915205</c:v>
                </c:pt>
                <c:pt idx="9">
                  <c:v>28.030733041404606</c:v>
                </c:pt>
                <c:pt idx="10">
                  <c:v>31.145258934894006</c:v>
                </c:pt>
                <c:pt idx="11">
                  <c:v>34.25978482838341</c:v>
                </c:pt>
                <c:pt idx="12">
                  <c:v>37.37431072187281</c:v>
                </c:pt>
                <c:pt idx="13">
                  <c:v>40.48883661536221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52.946940189319811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3.1145258934894082</c:v>
                </c:pt>
                <c:pt idx="2">
                  <c:v>6.2290517869787996</c:v>
                </c:pt>
                <c:pt idx="3">
                  <c:v>9.3435776804682078</c:v>
                </c:pt>
                <c:pt idx="4">
                  <c:v>12.458103573957599</c:v>
                </c:pt>
                <c:pt idx="5">
                  <c:v>15.572629467447006</c:v>
                </c:pt>
                <c:pt idx="6">
                  <c:v>18.687155360936398</c:v>
                </c:pt>
                <c:pt idx="7">
                  <c:v>21.801681254425805</c:v>
                </c:pt>
                <c:pt idx="8">
                  <c:v>24.916207147915209</c:v>
                </c:pt>
                <c:pt idx="9">
                  <c:v>28.030733041404616</c:v>
                </c:pt>
                <c:pt idx="10">
                  <c:v>31.145258934894002</c:v>
                </c:pt>
                <c:pt idx="11">
                  <c:v>34.259784828383424</c:v>
                </c:pt>
                <c:pt idx="12">
                  <c:v>37.374310721872817</c:v>
                </c:pt>
                <c:pt idx="13">
                  <c:v>40.488836615362203</c:v>
                </c:pt>
                <c:pt idx="14">
                  <c:v>43.60336250885161</c:v>
                </c:pt>
                <c:pt idx="15">
                  <c:v>46.717888402341011</c:v>
                </c:pt>
                <c:pt idx="16">
                  <c:v>49.832414295830411</c:v>
                </c:pt>
                <c:pt idx="17">
                  <c:v>52.946940189319825</c:v>
                </c:pt>
                <c:pt idx="18">
                  <c:v>56.061466082809211</c:v>
                </c:pt>
                <c:pt idx="19">
                  <c:v>59.175991976298612</c:v>
                </c:pt>
                <c:pt idx="20">
                  <c:v>62.290517869788012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3.475765700755642</c:v>
                </c:pt>
                <c:pt idx="2">
                  <c:v>6.9562868114355787</c:v>
                </c:pt>
                <c:pt idx="3">
                  <c:v>10.442045533105404</c:v>
                </c:pt>
                <c:pt idx="4">
                  <c:v>13.933603539966196</c:v>
                </c:pt>
                <c:pt idx="5">
                  <c:v>17.43161854112271</c:v>
                </c:pt>
                <c:pt idx="6">
                  <c:v>20.993790970996475</c:v>
                </c:pt>
                <c:pt idx="7">
                  <c:v>24.82436803521345</c:v>
                </c:pt>
                <c:pt idx="8">
                  <c:v>28.806370757963851</c:v>
                </c:pt>
                <c:pt idx="9">
                  <c:v>32.975711759075786</c:v>
                </c:pt>
                <c:pt idx="10">
                  <c:v>37.380216367957125</c:v>
                </c:pt>
                <c:pt idx="11">
                  <c:v>42.085120499815076</c:v>
                </c:pt>
                <c:pt idx="12">
                  <c:v>47.182110151109583</c:v>
                </c:pt>
                <c:pt idx="13">
                  <c:v>52.80506020175325</c:v>
                </c:pt>
                <c:pt idx="14">
                  <c:v>59.159504493190489</c:v>
                </c:pt>
                <c:pt idx="15">
                  <c:v>66.583356187316525</c:v>
                </c:pt>
                <c:pt idx="16">
                  <c:v>75.689750860801027</c:v>
                </c:pt>
                <c:pt idx="17">
                  <c:v>87.777308385203597</c:v>
                </c:pt>
                <c:pt idx="18">
                  <c:v>106.50438743633541</c:v>
                </c:pt>
                <c:pt idx="19">
                  <c:v>157.16557766307949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144.90350308338097</c:v>
                </c:pt>
                <c:pt idx="2">
                  <c:v>139.80700616676197</c:v>
                </c:pt>
                <c:pt idx="3">
                  <c:v>134.71050925014293</c:v>
                </c:pt>
                <c:pt idx="4">
                  <c:v>129.61401233352393</c:v>
                </c:pt>
                <c:pt idx="5">
                  <c:v>124.5175154169049</c:v>
                </c:pt>
                <c:pt idx="6">
                  <c:v>119.42039504657394</c:v>
                </c:pt>
                <c:pt idx="7">
                  <c:v>114.26222369350633</c:v>
                </c:pt>
                <c:pt idx="8">
                  <c:v>108.99407103603107</c:v>
                </c:pt>
                <c:pt idx="9">
                  <c:v>103.60073760396224</c:v>
                </c:pt>
                <c:pt idx="10">
                  <c:v>98.063162716959908</c:v>
                </c:pt>
                <c:pt idx="11">
                  <c:v>92.35689348324081</c:v>
                </c:pt>
                <c:pt idx="12">
                  <c:v>86.449671798539356</c:v>
                </c:pt>
                <c:pt idx="13">
                  <c:v>80.297425246635356</c:v>
                </c:pt>
                <c:pt idx="14">
                  <c:v>73.837143660788257</c:v>
                </c:pt>
                <c:pt idx="15">
                  <c:v>66.973048477146321</c:v>
                </c:pt>
                <c:pt idx="16">
                  <c:v>59.546210632324176</c:v>
                </c:pt>
                <c:pt idx="17">
                  <c:v>51.25411439418022</c:v>
                </c:pt>
                <c:pt idx="18">
                  <c:v>41.354769023300101</c:v>
                </c:pt>
                <c:pt idx="19">
                  <c:v>25.853379387327692</c:v>
                </c:pt>
                <c:pt idx="20">
                  <c:v>0.99999999999997113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MF_gas_fraction_d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16</xdr:col>
      <xdr:colOff>251572</xdr:colOff>
      <xdr:row>60</xdr:row>
      <xdr:rowOff>105334</xdr:rowOff>
    </xdr:from>
    <xdr:to>
      <xdr:col>23</xdr:col>
      <xdr:colOff>371476</xdr:colOff>
      <xdr:row>84</xdr:row>
      <xdr:rowOff>140502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21949</xdr:colOff>
      <xdr:row>0</xdr:row>
      <xdr:rowOff>21534</xdr:rowOff>
    </xdr:from>
    <xdr:to>
      <xdr:col>23</xdr:col>
      <xdr:colOff>517249</xdr:colOff>
      <xdr:row>16</xdr:row>
      <xdr:rowOff>66711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B1A927C-B7DC-444A-8C43-53CCBB233612}"/>
            </a:ext>
          </a:extLst>
        </xdr:cNvPr>
        <xdr:cNvSpPr txBox="1"/>
      </xdr:nvSpPr>
      <xdr:spPr>
        <a:xfrm>
          <a:off x="10118449" y="21534"/>
          <a:ext cx="5372100" cy="31693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данные нужны для оценки продуктивность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Зависит ли вид индикаторной кривой от газового фактора?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Почему расход ГЖС на забое скважины больше чем расход жидкости? От каких параметров зависит разница?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индикаторная кривая зависит от обводненности? Почему?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*Постройте график зависимости забойного давления на скважине от дебит жидкости из пласта в пластовых условиях. Будет ли от отличаться от построенного ранее? От чего будет зависеть разница?</a:t>
          </a:r>
        </a:p>
      </xdr:txBody>
    </xdr:sp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IPR_pi_sm3dayatm"/>
      <definedName name="IPR_pwf_atma"/>
      <definedName name="IPR_qliq_sm3day"/>
      <definedName name="MF_gas_fraction_d"/>
      <definedName name="MF_q_mix_rc_m3day"/>
      <definedName name="PVT_encode_string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W60"/>
  <sheetViews>
    <sheetView tabSelected="1" topLeftCell="A7" zoomScale="115" zoomScaleNormal="115" workbookViewId="0">
      <selection activeCell="I51" sqref="I51"/>
    </sheetView>
  </sheetViews>
  <sheetFormatPr defaultRowHeight="12.75" x14ac:dyDescent="0.2"/>
  <cols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1.28515625" customWidth="1"/>
    <col min="11" max="11" width="10.140625" customWidth="1"/>
    <col min="22" max="32" width="9.140625" customWidth="1"/>
  </cols>
  <sheetData>
    <row r="1" spans="1:12" x14ac:dyDescent="0.2">
      <c r="A1" s="1" t="s">
        <v>6</v>
      </c>
      <c r="F1" t="s">
        <v>34</v>
      </c>
      <c r="G1" t="str">
        <f>[1]!unf_Version()</f>
        <v>7.23</v>
      </c>
      <c r="H1" t="s">
        <v>41</v>
      </c>
      <c r="I1" s="21">
        <v>43957</v>
      </c>
      <c r="J1" s="22"/>
      <c r="K1" s="22"/>
      <c r="L1" s="22"/>
    </row>
    <row r="2" spans="1:12" x14ac:dyDescent="0.2">
      <c r="A2" t="s">
        <v>55</v>
      </c>
      <c r="H2" t="s">
        <v>42</v>
      </c>
      <c r="I2" s="23">
        <v>7.23</v>
      </c>
      <c r="J2" s="22"/>
      <c r="K2" s="22"/>
      <c r="L2" s="22"/>
    </row>
    <row r="3" spans="1:12" ht="15" x14ac:dyDescent="0.25">
      <c r="A3" s="24" t="s">
        <v>43</v>
      </c>
      <c r="B3" s="30" t="s">
        <v>44</v>
      </c>
      <c r="C3" s="31"/>
      <c r="D3" s="31"/>
      <c r="E3" s="32"/>
      <c r="H3" t="s">
        <v>45</v>
      </c>
      <c r="I3" s="22" t="s">
        <v>44</v>
      </c>
      <c r="J3" s="22"/>
      <c r="K3" s="22"/>
      <c r="L3" s="22"/>
    </row>
    <row r="4" spans="1:12" ht="15" x14ac:dyDescent="0.25">
      <c r="A4" s="24" t="s">
        <v>46</v>
      </c>
      <c r="B4" s="30" t="s">
        <v>47</v>
      </c>
      <c r="C4" s="31"/>
      <c r="D4" s="31"/>
      <c r="E4" s="32"/>
      <c r="H4" t="s">
        <v>48</v>
      </c>
      <c r="I4" s="22" t="s">
        <v>47</v>
      </c>
      <c r="J4" s="22"/>
      <c r="K4" s="22"/>
      <c r="L4" s="22"/>
    </row>
    <row r="5" spans="1:12" ht="15" x14ac:dyDescent="0.25">
      <c r="A5" s="24" t="s">
        <v>49</v>
      </c>
      <c r="B5" s="30" t="s">
        <v>50</v>
      </c>
      <c r="C5" s="31"/>
      <c r="D5" s="31"/>
      <c r="E5" s="32"/>
      <c r="H5" t="s">
        <v>51</v>
      </c>
      <c r="I5" s="22" t="s">
        <v>50</v>
      </c>
      <c r="J5" s="22"/>
      <c r="K5" s="22"/>
      <c r="L5" s="22"/>
    </row>
    <row r="6" spans="1:12" x14ac:dyDescent="0.2">
      <c r="A6" s="25" t="s">
        <v>52</v>
      </c>
      <c r="B6" s="33" t="s">
        <v>53</v>
      </c>
      <c r="C6" s="34"/>
      <c r="D6" s="34"/>
      <c r="E6" s="35"/>
      <c r="H6" s="26" t="s">
        <v>54</v>
      </c>
      <c r="I6" s="27" t="s">
        <v>53</v>
      </c>
      <c r="J6" s="27"/>
      <c r="K6" s="27"/>
      <c r="L6" s="27"/>
    </row>
    <row r="7" spans="1:12" x14ac:dyDescent="0.2">
      <c r="A7" s="28"/>
      <c r="B7" s="36"/>
      <c r="C7" s="37"/>
      <c r="D7" s="37"/>
      <c r="E7" s="38"/>
      <c r="H7" s="26"/>
      <c r="I7" s="27"/>
      <c r="J7" s="27"/>
      <c r="K7" s="27"/>
      <c r="L7" s="27"/>
    </row>
    <row r="8" spans="1:12" x14ac:dyDescent="0.2">
      <c r="A8" s="29"/>
      <c r="B8" s="39"/>
      <c r="C8" s="40"/>
      <c r="D8" s="40"/>
      <c r="E8" s="41"/>
      <c r="H8" s="26"/>
      <c r="I8" s="27"/>
      <c r="J8" s="27"/>
      <c r="K8" s="27"/>
      <c r="L8" s="27"/>
    </row>
    <row r="10" spans="1:12" x14ac:dyDescent="0.2">
      <c r="A10" s="1" t="s">
        <v>7</v>
      </c>
    </row>
    <row r="11" spans="1:12" ht="18.75" x14ac:dyDescent="0.35">
      <c r="B11" s="3" t="s">
        <v>8</v>
      </c>
      <c r="C11" s="2">
        <v>0.88</v>
      </c>
      <c r="D11" s="4"/>
      <c r="E11" s="20">
        <f>gamma_oil_*1000</f>
        <v>880</v>
      </c>
      <c r="F11" s="10" t="s">
        <v>35</v>
      </c>
    </row>
    <row r="12" spans="1:12" ht="18.75" x14ac:dyDescent="0.35">
      <c r="B12" s="5" t="s">
        <v>9</v>
      </c>
      <c r="C12" s="2">
        <v>1</v>
      </c>
      <c r="D12" s="4"/>
      <c r="E12" s="20">
        <f>gamma_wat_*1000</f>
        <v>1000</v>
      </c>
      <c r="F12" s="10" t="s">
        <v>35</v>
      </c>
    </row>
    <row r="13" spans="1:12" ht="18.75" x14ac:dyDescent="0.35">
      <c r="B13" s="5" t="s">
        <v>10</v>
      </c>
      <c r="C13" s="2">
        <v>0.8</v>
      </c>
      <c r="D13" s="4"/>
      <c r="E13" s="20">
        <f>gamma_gas_*1.22</f>
        <v>0.97599999999999998</v>
      </c>
      <c r="F13" s="10" t="s">
        <v>35</v>
      </c>
    </row>
    <row r="14" spans="1:12" ht="18.75" x14ac:dyDescent="0.35">
      <c r="B14" s="6" t="s">
        <v>11</v>
      </c>
      <c r="C14" s="2">
        <v>80</v>
      </c>
      <c r="D14" s="5" t="s">
        <v>12</v>
      </c>
      <c r="E14" s="20">
        <f>Rsb_/gamma_oil_</f>
        <v>90.909090909090907</v>
      </c>
      <c r="F14" s="10" t="s">
        <v>36</v>
      </c>
    </row>
    <row r="15" spans="1:12" ht="18.75" x14ac:dyDescent="0.35">
      <c r="B15" s="6" t="s">
        <v>13</v>
      </c>
      <c r="C15" s="2">
        <v>80</v>
      </c>
      <c r="D15" s="5" t="s">
        <v>12</v>
      </c>
      <c r="E15" s="20">
        <f>Rsb_/gamma_oil_</f>
        <v>90.909090909090907</v>
      </c>
      <c r="F15" s="10" t="s">
        <v>36</v>
      </c>
    </row>
    <row r="16" spans="1:12" ht="18" x14ac:dyDescent="0.35">
      <c r="B16" s="5" t="s">
        <v>14</v>
      </c>
      <c r="C16" s="2">
        <v>120</v>
      </c>
      <c r="D16" s="5" t="s">
        <v>15</v>
      </c>
      <c r="E16" s="20">
        <f>Pb_cal_*1.01325/10</f>
        <v>12.159000000000001</v>
      </c>
      <c r="F16" s="10" t="s">
        <v>16</v>
      </c>
    </row>
    <row r="17" spans="1:6" ht="18" x14ac:dyDescent="0.35">
      <c r="B17" s="5" t="s">
        <v>17</v>
      </c>
      <c r="C17" s="2">
        <v>100</v>
      </c>
      <c r="D17" s="8" t="s">
        <v>28</v>
      </c>
      <c r="E17" s="20">
        <f>Tres_*9/5+32</f>
        <v>212</v>
      </c>
      <c r="F17" s="10" t="s">
        <v>18</v>
      </c>
    </row>
    <row r="18" spans="1:6" ht="18.75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8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75" x14ac:dyDescent="0.3">
      <c r="B20" s="7" t="s">
        <v>23</v>
      </c>
      <c r="C20" s="2">
        <v>50</v>
      </c>
      <c r="D20" s="5" t="s">
        <v>3</v>
      </c>
      <c r="E20" s="19">
        <f>fw_/100</f>
        <v>0.5</v>
      </c>
      <c r="F20" s="10" t="s">
        <v>37</v>
      </c>
    </row>
    <row r="21" spans="1:6" ht="18" x14ac:dyDescent="0.35">
      <c r="B21" s="5" t="s">
        <v>22</v>
      </c>
      <c r="C21" s="9">
        <f>[1]!PVT_pb_atma(Tres_,gamma_gas_,gamma_oil_,gamma_wat_,Rsb_,Rp_,Pb_cal_,Tres_,Bob_,muob_)</f>
        <v>119.99999999999999</v>
      </c>
      <c r="D21" s="5" t="s">
        <v>15</v>
      </c>
      <c r="E21" s="20">
        <f>Pb_*1.01325/10</f>
        <v>12.158999999999999</v>
      </c>
      <c r="F21" s="10" t="s">
        <v>16</v>
      </c>
    </row>
    <row r="23" spans="1:6" x14ac:dyDescent="0.2">
      <c r="A23" s="1" t="s">
        <v>5</v>
      </c>
      <c r="B23" s="1"/>
      <c r="C23" s="1"/>
      <c r="D23" s="1"/>
    </row>
    <row r="24" spans="1:6" ht="18" customHeight="1" x14ac:dyDescent="0.3">
      <c r="B24" s="7" t="s">
        <v>24</v>
      </c>
      <c r="C24" s="2">
        <v>55</v>
      </c>
      <c r="D24" s="5" t="s">
        <v>30</v>
      </c>
    </row>
    <row r="25" spans="1:6" ht="18" customHeight="1" x14ac:dyDescent="0.3">
      <c r="B25" s="7" t="s">
        <v>25</v>
      </c>
      <c r="C25" s="2">
        <v>45</v>
      </c>
      <c r="D25" s="5" t="s">
        <v>29</v>
      </c>
    </row>
    <row r="27" spans="1:6" x14ac:dyDescent="0.2">
      <c r="A27" s="1" t="s">
        <v>0</v>
      </c>
    </row>
    <row r="28" spans="1:6" ht="19.5" customHeight="1" x14ac:dyDescent="0.3">
      <c r="B28" s="7" t="s">
        <v>27</v>
      </c>
      <c r="C28" s="2">
        <v>150</v>
      </c>
      <c r="D28" s="5" t="s">
        <v>29</v>
      </c>
    </row>
    <row r="29" spans="1:6" ht="19.5" customHeight="1" x14ac:dyDescent="0.25">
      <c r="B29" s="7" t="s">
        <v>26</v>
      </c>
      <c r="C29" s="16" cm="1">
        <f t="array" ref="C29">[1]!IPR_pi_sm3dayatm(qltest_,Pwftest_,Pres_,fw_,Pb_)</f>
        <v>0.61111111111111116</v>
      </c>
      <c r="D29" s="5" t="s">
        <v>31</v>
      </c>
    </row>
    <row r="30" spans="1:6" ht="19.5" customHeight="1" x14ac:dyDescent="0.3">
      <c r="B30" s="5" t="s">
        <v>32</v>
      </c>
      <c r="C30" s="17" cm="1">
        <f t="array" ref="C30">[1]!IPR_qliq_sm3day(PI_,Pres_,1,fw_,Pb_)</f>
        <v>62.290517869788012</v>
      </c>
      <c r="D30" s="5" t="s">
        <v>30</v>
      </c>
    </row>
    <row r="32" spans="1:6" x14ac:dyDescent="0.2">
      <c r="A32" s="11" t="s">
        <v>33</v>
      </c>
    </row>
    <row r="33" spans="2:23" ht="15" x14ac:dyDescent="0.25">
      <c r="B33" s="7" t="s">
        <v>4</v>
      </c>
      <c r="C33" s="2">
        <v>20</v>
      </c>
      <c r="D33" s="4"/>
    </row>
    <row r="35" spans="2:23" ht="15" x14ac:dyDescent="0.25">
      <c r="B35" s="7" t="s">
        <v>38</v>
      </c>
      <c r="C35" s="12" t="str" cm="1">
        <f t="array" ref="C35">[1]!PVT_encode_string(gamma_gas_,gamma_oil_,gamma_wat_,Rsb_,Rp_,Pb_cal_,Tres_,Bob_,muob_)</f>
        <v>gamma_gas:0.800;gamma_oil:0.880;gamma_wat:1.000;rsb_m3m3:80.000;rp_m3m3:80.000;pb_atma:120.000;tres_C:100.000;bob_m3m3:1.200;muob_cP:1.000;PVTcorr:0;ksep_fr:0.000;p_ksep_atma:-1.000;t_ksep_C:-1.000;gas_only:False;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4"/>
      <c r="U35" s="15"/>
      <c r="V35" s="15"/>
      <c r="W35" s="15"/>
    </row>
    <row r="39" spans="2:23" x14ac:dyDescent="0.2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3" x14ac:dyDescent="0.2">
      <c r="C40" s="18">
        <v>0</v>
      </c>
      <c r="D40" s="17" cm="1">
        <f t="array" ref="D40">[1]!IPR_pwf_atma(PI_,Pres_,C40,fw_,Pb_)</f>
        <v>150</v>
      </c>
      <c r="E40" s="17" cm="1">
        <f t="array" ref="E40">[1]!IPR_qliq_sm3day(PI_,Pres_,D40,fw_,Pb_)</f>
        <v>0</v>
      </c>
      <c r="L40" s="17" cm="1">
        <f t="array" ref="L40">[1]!MF_q_mix_rc_m3day(E40,fw_,D40,Tres_,PVT_str_)</f>
        <v>0</v>
      </c>
      <c r="M40" s="16" cm="1">
        <f t="array" ref="M40">[1]!MF_gas_fraction_d(D40,Tres_,fw_,PVT_str_)</f>
        <v>0</v>
      </c>
    </row>
    <row r="41" spans="2:23" x14ac:dyDescent="0.2">
      <c r="C41" s="18">
        <f t="shared" ref="C41:C60" si="0">C40+qmax_/N_</f>
        <v>3.1145258934894007</v>
      </c>
      <c r="D41" s="17" cm="1">
        <f t="array" ref="D41">[1]!IPR_pwf_atma(PI_,Pres_,C41,fw_,Pb_)</f>
        <v>144.90350308338097</v>
      </c>
      <c r="E41" s="17" cm="1">
        <f t="array" ref="E41">[1]!IPR_qliq_sm3day(PI_,Pres_,D41,fw_,Pb_)</f>
        <v>3.1145258934894082</v>
      </c>
      <c r="L41" s="17" cm="1">
        <f t="array" ref="L41">[1]!MF_q_mix_rc_m3day(E41,fw_,D41,Tres_,PVT_str_)</f>
        <v>3.475765700755642</v>
      </c>
      <c r="M41" s="16" cm="1">
        <f t="array" ref="M41">[1]!MF_gas_fraction_d(D41,Tres_,fw_,PVT_str_)</f>
        <v>0</v>
      </c>
    </row>
    <row r="42" spans="2:23" x14ac:dyDescent="0.2">
      <c r="C42" s="18">
        <f t="shared" si="0"/>
        <v>6.2290517869788014</v>
      </c>
      <c r="D42" s="17" cm="1">
        <f t="array" ref="D42">[1]!IPR_pwf_atma(PI_,Pres_,C42,fw_,Pb_)</f>
        <v>139.80700616676197</v>
      </c>
      <c r="E42" s="17" cm="1">
        <f t="array" ref="E42">[1]!IPR_qliq_sm3day(PI_,Pres_,D42,fw_,Pb_)</f>
        <v>6.2290517869787996</v>
      </c>
      <c r="L42" s="17" cm="1">
        <f t="array" ref="L42">[1]!MF_q_mix_rc_m3day(E42,fw_,D42,Tres_,PVT_str_)</f>
        <v>6.9562868114355787</v>
      </c>
      <c r="M42" s="16" cm="1">
        <f t="array" ref="M42">[1]!MF_gas_fraction_d(D42,Tres_,fw_,PVT_str_)</f>
        <v>0</v>
      </c>
    </row>
    <row r="43" spans="2:23" x14ac:dyDescent="0.2">
      <c r="C43" s="18">
        <f t="shared" si="0"/>
        <v>9.3435776804682025</v>
      </c>
      <c r="D43" s="17" cm="1">
        <f t="array" ref="D43">[1]!IPR_pwf_atma(PI_,Pres_,C43,fw_,Pb_)</f>
        <v>134.71050925014293</v>
      </c>
      <c r="E43" s="17" cm="1">
        <f t="array" ref="E43">[1]!IPR_qliq_sm3day(PI_,Pres_,D43,fw_,Pb_)</f>
        <v>9.3435776804682078</v>
      </c>
      <c r="L43" s="17" cm="1">
        <f t="array" ref="L43">[1]!MF_q_mix_rc_m3day(E43,fw_,D43,Tres_,PVT_str_)</f>
        <v>10.442045533105404</v>
      </c>
      <c r="M43" s="16" cm="1">
        <f t="array" ref="M43">[1]!MF_gas_fraction_d(D43,Tres_,fw_,PVT_str_)</f>
        <v>0</v>
      </c>
    </row>
    <row r="44" spans="2:23" x14ac:dyDescent="0.2">
      <c r="C44" s="18">
        <f t="shared" si="0"/>
        <v>12.458103573957603</v>
      </c>
      <c r="D44" s="17" cm="1">
        <f t="array" ref="D44">[1]!IPR_pwf_atma(PI_,Pres_,C44,fw_,Pb_)</f>
        <v>129.61401233352393</v>
      </c>
      <c r="E44" s="17" cm="1">
        <f t="array" ref="E44">[1]!IPR_qliq_sm3day(PI_,Pres_,D44,fw_,Pb_)</f>
        <v>12.458103573957599</v>
      </c>
      <c r="L44" s="17" cm="1">
        <f t="array" ref="L44">[1]!MF_q_mix_rc_m3day(E44,fw_,D44,Tres_,PVT_str_)</f>
        <v>13.933603539966196</v>
      </c>
      <c r="M44" s="16" cm="1">
        <f t="array" ref="M44">[1]!MF_gas_fraction_d(D44,Tres_,fw_,PVT_str_)</f>
        <v>0</v>
      </c>
    </row>
    <row r="45" spans="2:23" x14ac:dyDescent="0.2">
      <c r="C45" s="18">
        <f t="shared" si="0"/>
        <v>15.572629467447003</v>
      </c>
      <c r="D45" s="17" cm="1">
        <f t="array" ref="D45">[1]!IPR_pwf_atma(PI_,Pres_,C45,fw_,Pb_)</f>
        <v>124.5175154169049</v>
      </c>
      <c r="E45" s="17" cm="1">
        <f t="array" ref="E45">[1]!IPR_qliq_sm3day(PI_,Pres_,D45,fw_,Pb_)</f>
        <v>15.572629467447006</v>
      </c>
      <c r="L45" s="17" cm="1">
        <f t="array" ref="L45">[1]!MF_q_mix_rc_m3day(E45,fw_,D45,Tres_,PVT_str_)</f>
        <v>17.43161854112271</v>
      </c>
      <c r="M45" s="16" cm="1">
        <f t="array" ref="M45">[1]!MF_gas_fraction_d(D45,Tres_,fw_,PVT_str_)</f>
        <v>0</v>
      </c>
    </row>
    <row r="46" spans="2:23" x14ac:dyDescent="0.2">
      <c r="C46" s="18">
        <f t="shared" si="0"/>
        <v>18.687155360936405</v>
      </c>
      <c r="D46" s="17" cm="1">
        <f t="array" ref="D46">[1]!IPR_pwf_atma(PI_,Pres_,C46,fw_,Pb_)</f>
        <v>119.42039504657394</v>
      </c>
      <c r="E46" s="17" cm="1">
        <f t="array" ref="E46">[1]!IPR_qliq_sm3day(PI_,Pres_,D46,fw_,Pb_)</f>
        <v>18.687155360936398</v>
      </c>
      <c r="L46" s="17" cm="1">
        <f t="array" ref="L46">[1]!MF_q_mix_rc_m3day(E46,fw_,D46,Tres_,PVT_str_)</f>
        <v>20.993790970996475</v>
      </c>
      <c r="M46" s="16" cm="1">
        <f t="array" ref="M46">[1]!MF_gas_fraction_d(D46,Tres_,fw_,PVT_str_)</f>
        <v>3.6267765536544343E-3</v>
      </c>
    </row>
    <row r="47" spans="2:23" x14ac:dyDescent="0.2">
      <c r="C47" s="18">
        <f t="shared" si="0"/>
        <v>21.801681254425805</v>
      </c>
      <c r="D47" s="17" cm="1">
        <f t="array" ref="D47">[1]!IPR_pwf_atma(PI_,Pres_,C47,fw_,Pb_)</f>
        <v>114.26222369350633</v>
      </c>
      <c r="E47" s="17" cm="1">
        <f t="array" ref="E47">[1]!IPR_qliq_sm3day(PI_,Pres_,D47,fw_,Pb_)</f>
        <v>21.801681254425805</v>
      </c>
      <c r="L47" s="17" cm="1">
        <f t="array" ref="L47">[1]!MF_q_mix_rc_m3day(E47,fw_,D47,Tres_,PVT_str_)</f>
        <v>24.82436803521345</v>
      </c>
      <c r="M47" s="16" cm="1">
        <f t="array" ref="M47">[1]!MF_gas_fraction_d(D47,Tres_,fw_,PVT_str_)</f>
        <v>2.0443539567702115E-2</v>
      </c>
    </row>
    <row r="48" spans="2:23" x14ac:dyDescent="0.2">
      <c r="C48" s="18">
        <f t="shared" si="0"/>
        <v>24.916207147915205</v>
      </c>
      <c r="D48" s="17" cm="1">
        <f t="array" ref="D48">[1]!IPR_pwf_atma(PI_,Pres_,C48,fw_,Pb_)</f>
        <v>108.99407103603107</v>
      </c>
      <c r="E48" s="17" cm="1">
        <f t="array" ref="E48">[1]!IPR_qliq_sm3day(PI_,Pres_,D48,fw_,Pb_)</f>
        <v>24.916207147915209</v>
      </c>
      <c r="L48" s="17" cm="1">
        <f t="array" ref="L48">[1]!MF_q_mix_rc_m3day(E48,fw_,D48,Tres_,PVT_str_)</f>
        <v>28.806370757963851</v>
      </c>
      <c r="M48" s="16" cm="1">
        <f t="array" ref="M48">[1]!MF_gas_fraction_d(D48,Tres_,fw_,PVT_str_)</f>
        <v>3.8733360908313967E-2</v>
      </c>
    </row>
    <row r="49" spans="3:13" x14ac:dyDescent="0.2">
      <c r="C49" s="18">
        <f t="shared" si="0"/>
        <v>28.030733041404606</v>
      </c>
      <c r="D49" s="17" cm="1">
        <f t="array" ref="D49">[1]!IPR_pwf_atma(PI_,Pres_,C49,fw_,Pb_)</f>
        <v>103.60073760396224</v>
      </c>
      <c r="E49" s="17" cm="1">
        <f t="array" ref="E49">[1]!IPR_qliq_sm3day(PI_,Pres_,D49,fw_,Pb_)</f>
        <v>28.030733041404616</v>
      </c>
      <c r="L49" s="17" cm="1">
        <f t="array" ref="L49">[1]!MF_q_mix_rc_m3day(E49,fw_,D49,Tres_,PVT_str_)</f>
        <v>32.975711759075786</v>
      </c>
      <c r="M49" s="16" cm="1">
        <f t="array" ref="M49">[1]!MF_gas_fraction_d(D49,Tres_,fw_,PVT_str_)</f>
        <v>5.8748043285112336E-2</v>
      </c>
    </row>
    <row r="50" spans="3:13" x14ac:dyDescent="0.2">
      <c r="C50" s="18">
        <f t="shared" si="0"/>
        <v>31.145258934894006</v>
      </c>
      <c r="D50" s="17" cm="1">
        <f t="array" ref="D50">[1]!IPR_pwf_atma(PI_,Pres_,C50,fw_,Pb_)</f>
        <v>98.063162716959908</v>
      </c>
      <c r="E50" s="17" cm="1">
        <f t="array" ref="E50">[1]!IPR_qliq_sm3day(PI_,Pres_,D50,fw_,Pb_)</f>
        <v>31.145258934894002</v>
      </c>
      <c r="L50" s="17" cm="1">
        <f t="array" ref="L50">[1]!MF_q_mix_rc_m3day(E50,fw_,D50,Tres_,PVT_str_)</f>
        <v>37.380216367957125</v>
      </c>
      <c r="M50" s="16" cm="1">
        <f t="array" ref="M50">[1]!MF_gas_fraction_d(D50,Tres_,fw_,PVT_str_)</f>
        <v>8.079994688440123E-2</v>
      </c>
    </row>
    <row r="51" spans="3:13" x14ac:dyDescent="0.2">
      <c r="C51" s="18">
        <f t="shared" si="0"/>
        <v>34.25978482838341</v>
      </c>
      <c r="D51" s="17" cm="1">
        <f t="array" ref="D51">[1]!IPR_pwf_atma(PI_,Pres_,C51,fw_,Pb_)</f>
        <v>92.35689348324081</v>
      </c>
      <c r="E51" s="17" cm="1">
        <f t="array" ref="E51">[1]!IPR_qliq_sm3day(PI_,Pres_,D51,fw_,Pb_)</f>
        <v>34.259784828383424</v>
      </c>
      <c r="L51" s="17" cm="1">
        <f t="array" ref="L51">[1]!MF_q_mix_rc_m3day(E51,fw_,D51,Tres_,PVT_str_)</f>
        <v>42.085120499815076</v>
      </c>
      <c r="M51" s="16" cm="1">
        <f t="array" ref="M51">[1]!MF_gas_fraction_d(D51,Tres_,fw_,PVT_str_)</f>
        <v>0.10528387143130208</v>
      </c>
    </row>
    <row r="52" spans="3:13" x14ac:dyDescent="0.2">
      <c r="C52" s="18">
        <f t="shared" si="0"/>
        <v>37.37431072187281</v>
      </c>
      <c r="D52" s="17" cm="1">
        <f t="array" ref="D52">[1]!IPR_pwf_atma(PI_,Pres_,C52,fw_,Pb_)</f>
        <v>86.449671798539356</v>
      </c>
      <c r="E52" s="17" cm="1">
        <f t="array" ref="E52">[1]!IPR_qliq_sm3day(PI_,Pres_,D52,fw_,Pb_)</f>
        <v>37.374310721872817</v>
      </c>
      <c r="L52" s="17" cm="1">
        <f t="array" ref="L52">[1]!MF_q_mix_rc_m3day(E52,fw_,D52,Tres_,PVT_str_)</f>
        <v>47.182110151109583</v>
      </c>
      <c r="M52" s="16" cm="1">
        <f t="array" ref="M52">[1]!MF_gas_fraction_d(D52,Tres_,fw_,PVT_str_)</f>
        <v>0.13271107393801368</v>
      </c>
    </row>
    <row r="53" spans="3:13" x14ac:dyDescent="0.2">
      <c r="C53" s="18">
        <f t="shared" si="0"/>
        <v>40.48883661536221</v>
      </c>
      <c r="D53" s="17" cm="1">
        <f t="array" ref="D53">[1]!IPR_pwf_atma(PI_,Pres_,C53,fw_,Pb_)</f>
        <v>80.297425246635356</v>
      </c>
      <c r="E53" s="17" cm="1">
        <f t="array" ref="E53">[1]!IPR_qliq_sm3day(PI_,Pres_,D53,fw_,Pb_)</f>
        <v>40.488836615362203</v>
      </c>
      <c r="L53" s="17" cm="1">
        <f t="array" ref="L53">[1]!MF_q_mix_rc_m3day(E53,fw_,D53,Tres_,PVT_str_)</f>
        <v>52.80506020175325</v>
      </c>
      <c r="M53" s="16" cm="1">
        <f t="array" ref="M53">[1]!MF_gas_fraction_d(D53,Tres_,fw_,PVT_str_)</f>
        <v>0.16376522336020913</v>
      </c>
    </row>
    <row r="54" spans="3:13" x14ac:dyDescent="0.2">
      <c r="C54" s="18">
        <f t="shared" si="0"/>
        <v>43.60336250885161</v>
      </c>
      <c r="D54" s="17" cm="1">
        <f t="array" ref="D54">[1]!IPR_pwf_atma(PI_,Pres_,C54,fw_,Pb_)</f>
        <v>73.837143660788257</v>
      </c>
      <c r="E54" s="17" cm="1">
        <f t="array" ref="E54">[1]!IPR_qliq_sm3day(PI_,Pres_,D54,fw_,Pb_)</f>
        <v>43.60336250885161</v>
      </c>
      <c r="L54" s="17" cm="1">
        <f t="array" ref="L54">[1]!MF_q_mix_rc_m3day(E54,fw_,D54,Tres_,PVT_str_)</f>
        <v>59.159504493190489</v>
      </c>
      <c r="M54" s="16" cm="1">
        <f t="array" ref="M54">[1]!MF_gas_fraction_d(D54,Tres_,fw_,PVT_str_)</f>
        <v>0.19940114662819142</v>
      </c>
    </row>
    <row r="55" spans="3:13" x14ac:dyDescent="0.2">
      <c r="C55" s="18">
        <f t="shared" si="0"/>
        <v>46.717888402341011</v>
      </c>
      <c r="D55" s="17" cm="1">
        <f t="array" ref="D55">[1]!IPR_pwf_atma(PI_,Pres_,C55,fw_,Pb_)</f>
        <v>66.973048477146321</v>
      </c>
      <c r="E55" s="17" cm="1">
        <f t="array" ref="E55">[1]!IPR_qliq_sm3day(PI_,Pres_,D55,fw_,Pb_)</f>
        <v>46.717888402341011</v>
      </c>
      <c r="L55" s="17" cm="1">
        <f t="array" ref="L55">[1]!MF_q_mix_rc_m3day(E55,fw_,D55,Tres_,PVT_str_)</f>
        <v>66.583356187316525</v>
      </c>
      <c r="M55" s="16" cm="1">
        <f t="array" ref="M55">[1]!MF_gas_fraction_d(D55,Tres_,fw_,PVT_str_)</f>
        <v>0.24103570150334719</v>
      </c>
    </row>
    <row r="56" spans="3:13" x14ac:dyDescent="0.2">
      <c r="C56" s="18">
        <f t="shared" si="0"/>
        <v>49.832414295830411</v>
      </c>
      <c r="D56" s="17" cm="1">
        <f t="array" ref="D56">[1]!IPR_pwf_atma(PI_,Pres_,C56,fw_,Pb_)</f>
        <v>59.546210632324176</v>
      </c>
      <c r="E56" s="17" cm="1">
        <f t="array" ref="E56">[1]!IPR_qliq_sm3day(PI_,Pres_,D56,fw_,Pb_)</f>
        <v>49.832414295830411</v>
      </c>
      <c r="L56" s="17" cm="1">
        <f t="array" ref="L56">[1]!MF_q_mix_rc_m3day(E56,fw_,D56,Tres_,PVT_str_)</f>
        <v>75.689750860801027</v>
      </c>
      <c r="M56" s="16" cm="1">
        <f t="array" ref="M56">[1]!MF_gas_fraction_d(D56,Tres_,fw_,PVT_str_)</f>
        <v>0.29096575473433334</v>
      </c>
    </row>
    <row r="57" spans="3:13" x14ac:dyDescent="0.2">
      <c r="C57" s="18">
        <f t="shared" si="0"/>
        <v>52.946940189319811</v>
      </c>
      <c r="D57" s="17" cm="1">
        <f t="array" ref="D57">[1]!IPR_pwf_atma(PI_,Pres_,C57,fw_,Pb_)</f>
        <v>51.25411439418022</v>
      </c>
      <c r="E57" s="17" cm="1">
        <f t="array" ref="E57">[1]!IPR_qliq_sm3day(PI_,Pres_,D57,fw_,Pb_)</f>
        <v>52.946940189319825</v>
      </c>
      <c r="L57" s="17" cm="1">
        <f t="array" ref="L57">[1]!MF_q_mix_rc_m3day(E57,fw_,D57,Tres_,PVT_str_)</f>
        <v>87.777308385203597</v>
      </c>
      <c r="M57" s="16" cm="1">
        <f t="array" ref="M57">[1]!MF_gas_fraction_d(D57,Tres_,fw_,PVT_str_)</f>
        <v>0.35347148681332285</v>
      </c>
    </row>
    <row r="58" spans="3:13" x14ac:dyDescent="0.2">
      <c r="C58" s="18">
        <f t="shared" si="0"/>
        <v>56.061466082809211</v>
      </c>
      <c r="D58" s="17" cm="1">
        <f t="array" ref="D58">[1]!IPR_pwf_atma(PI_,Pres_,C58,fw_,Pb_)</f>
        <v>41.354769023300101</v>
      </c>
      <c r="E58" s="17" cm="1">
        <f t="array" ref="E58">[1]!IPR_qliq_sm3day(PI_,Pres_,D58,fw_,Pb_)</f>
        <v>56.061466082809211</v>
      </c>
      <c r="L58" s="17" cm="1">
        <f t="array" ref="L58">[1]!MF_q_mix_rc_m3day(E58,fw_,D58,Tres_,PVT_str_)</f>
        <v>106.50438743633541</v>
      </c>
      <c r="M58" s="16" cm="1">
        <f t="array" ref="M58">[1]!MF_gas_fraction_d(D58,Tres_,fw_,PVT_str_)</f>
        <v>0.43885934502018231</v>
      </c>
    </row>
    <row r="59" spans="3:13" x14ac:dyDescent="0.2">
      <c r="C59" s="18">
        <f t="shared" si="0"/>
        <v>59.175991976298612</v>
      </c>
      <c r="D59" s="17" cm="1">
        <f t="array" ref="D59">[1]!IPR_pwf_atma(PI_,Pres_,C59,fw_,Pb_)</f>
        <v>25.853379387327692</v>
      </c>
      <c r="E59" s="17" cm="1">
        <f t="array" ref="E59">[1]!IPR_qliq_sm3day(PI_,Pres_,D59,fw_,Pb_)</f>
        <v>59.175991976298612</v>
      </c>
      <c r="L59" s="17" cm="1">
        <f t="array" ref="L59">[1]!MF_q_mix_rc_m3day(E59,fw_,D59,Tres_,PVT_str_)</f>
        <v>157.16557766307949</v>
      </c>
      <c r="M59" s="16" cm="1">
        <f t="array" ref="M59">[1]!MF_gas_fraction_d(D59,Tres_,fw_,PVT_str_)</f>
        <v>0.6017469499505026</v>
      </c>
    </row>
    <row r="60" spans="3:13" x14ac:dyDescent="0.2">
      <c r="C60" s="18">
        <f t="shared" si="0"/>
        <v>62.290517869788012</v>
      </c>
      <c r="D60" s="17" cm="1">
        <f t="array" ref="D60">[1]!IPR_pwf_atma(PI_,Pres_,C60,fw_,Pb_)</f>
        <v>0.99999999999997113</v>
      </c>
      <c r="E60" s="17" cm="1">
        <f t="array" ref="E60">[1]!IPR_qliq_sm3day(PI_,Pres_,D60,fw_,Pb_)</f>
        <v>62.290517869788012</v>
      </c>
      <c r="L60" s="17"/>
      <c r="M60" s="1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exercise_IPR!PVT_str_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2020-05-06T18:35:17Z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