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4AD8E48E-E9F2-44D6-9294-63A0130749F2}" xr6:coauthVersionLast="46" xr6:coauthVersionMax="46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exercise_IPR!$I$18</definedName>
    <definedName name="pvt_prop">exercise_IPR!$K$40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L40" i="111"/>
  <c r="M42" i="111"/>
  <c r="M54" i="111"/>
  <c r="M57" i="111"/>
  <c r="M58" i="111"/>
  <c r="M59" i="111"/>
  <c r="M43" i="111"/>
  <c r="M55" i="111"/>
  <c r="M56" i="111"/>
  <c r="M46" i="111"/>
  <c r="M47" i="111"/>
  <c r="M44" i="111"/>
  <c r="M45" i="111"/>
  <c r="M48" i="111"/>
  <c r="M49" i="111"/>
  <c r="M51" i="111"/>
  <c r="M52" i="111"/>
  <c r="M53" i="111"/>
  <c r="M50" i="111"/>
  <c r="M41" i="111"/>
  <c r="M40" i="111"/>
  <c r="L47" i="111"/>
  <c r="L59" i="111"/>
  <c r="L50" i="111"/>
  <c r="L51" i="111"/>
  <c r="L53" i="111"/>
  <c r="L46" i="111"/>
  <c r="L48" i="111"/>
  <c r="L49" i="111"/>
  <c r="L52" i="111"/>
  <c r="L45" i="111"/>
  <c r="L54" i="111"/>
  <c r="L43" i="111"/>
  <c r="L55" i="111"/>
  <c r="L44" i="111"/>
  <c r="L56" i="111"/>
  <c r="L57" i="111"/>
  <c r="L58" i="111"/>
  <c r="L41" i="111"/>
  <c r="L42" i="111"/>
  <c r="K45" i="111" a="1"/>
  <c r="K44" i="111" a="1"/>
  <c r="K50" i="111" a="1"/>
  <c r="K56" i="111" a="1"/>
  <c r="K51" i="111" a="1"/>
  <c r="K57" i="111" a="1"/>
  <c r="K46" i="111" a="1"/>
  <c r="K52" i="111" a="1"/>
  <c r="K58" i="111" a="1"/>
  <c r="K55" i="111" a="1"/>
  <c r="K41" i="111" a="1"/>
  <c r="K47" i="111" a="1"/>
  <c r="K53" i="111" a="1"/>
  <c r="K59" i="111" a="1"/>
  <c r="K42" i="111" a="1"/>
  <c r="K48" i="111" a="1"/>
  <c r="K54" i="111" a="1"/>
  <c r="K43" i="111" a="1"/>
  <c r="K49" i="111" a="1"/>
  <c r="K40" i="111" a="1"/>
  <c r="C21" i="111"/>
  <c r="I18" i="111" a="1"/>
  <c r="G1" i="111"/>
  <c r="C29" i="111" a="1"/>
  <c r="K49" i="111" l="1"/>
  <c r="K43" i="111"/>
  <c r="K54" i="111"/>
  <c r="K48" i="111"/>
  <c r="K42" i="111"/>
  <c r="K59" i="111"/>
  <c r="K53" i="111"/>
  <c r="K47" i="111"/>
  <c r="K41" i="111"/>
  <c r="K55" i="111"/>
  <c r="K58" i="111"/>
  <c r="K52" i="111"/>
  <c r="K46" i="111"/>
  <c r="K57" i="111"/>
  <c r="K51" i="111"/>
  <c r="K56" i="111"/>
  <c r="K50" i="111"/>
  <c r="K44" i="111"/>
  <c r="K45" i="111"/>
  <c r="K40" i="111"/>
  <c r="I18" i="111"/>
  <c r="C29" i="111"/>
  <c r="E21" i="111"/>
  <c r="D40" i="111" a="1"/>
  <c r="C30" i="111" a="1"/>
  <c r="D40" i="111" l="1"/>
  <c r="C30" i="111"/>
  <c r="C41" i="111" s="1"/>
  <c r="D41" i="111" a="1"/>
  <c r="E40" i="111" a="1"/>
  <c r="D41" i="111" l="1"/>
  <c r="E40" i="111"/>
  <c r="C42" i="111"/>
  <c r="D42" i="111" a="1"/>
  <c r="E41" i="111" a="1"/>
  <c r="D42" i="111" l="1"/>
  <c r="E41" i="111"/>
  <c r="C43" i="111"/>
  <c r="D43" i="111" a="1"/>
  <c r="E42" i="111" a="1"/>
  <c r="D43" i="111" l="1"/>
  <c r="E42" i="111"/>
  <c r="C44" i="111"/>
  <c r="D44" i="111" a="1"/>
  <c r="E43" i="111" a="1"/>
  <c r="D44" i="111" l="1"/>
  <c r="E43" i="111"/>
  <c r="C45" i="111"/>
  <c r="D45" i="111" a="1"/>
  <c r="E44" i="111" a="1"/>
  <c r="D45" i="111" l="1"/>
  <c r="E44" i="111"/>
  <c r="C46" i="111"/>
  <c r="D46" i="111" a="1"/>
  <c r="E45" i="111" a="1"/>
  <c r="D46" i="111" l="1"/>
  <c r="E45" i="111"/>
  <c r="C47" i="111"/>
  <c r="D47" i="111" a="1"/>
  <c r="E46" i="111" a="1"/>
  <c r="D47" i="111" l="1"/>
  <c r="E46" i="111"/>
  <c r="C48" i="111"/>
  <c r="D48" i="111" a="1"/>
  <c r="E47" i="111" a="1"/>
  <c r="E47" i="111" l="1"/>
  <c r="D48" i="111"/>
  <c r="C49" i="111"/>
  <c r="D49" i="111" a="1"/>
  <c r="E48" i="111" a="1"/>
  <c r="D49" i="111" l="1"/>
  <c r="E48" i="111"/>
  <c r="C50" i="111"/>
  <c r="D50" i="111" a="1"/>
  <c r="E49" i="111" a="1"/>
  <c r="D50" i="111" l="1"/>
  <c r="E49" i="111"/>
  <c r="C51" i="111"/>
  <c r="D51" i="111" a="1"/>
  <c r="E50" i="111" a="1"/>
  <c r="D51" i="111" l="1"/>
  <c r="E50" i="111"/>
  <c r="C52" i="111"/>
  <c r="D52" i="111" a="1"/>
  <c r="E51" i="111" a="1"/>
  <c r="E51" i="111" l="1"/>
  <c r="D52" i="111"/>
  <c r="C53" i="111"/>
  <c r="D53" i="111" a="1"/>
  <c r="E52" i="111" a="1"/>
  <c r="D53" i="111" l="1"/>
  <c r="E52" i="111"/>
  <c r="C54" i="111"/>
  <c r="D54" i="111" a="1"/>
  <c r="E53" i="111" a="1"/>
  <c r="D54" i="111" l="1"/>
  <c r="E53" i="111"/>
  <c r="C55" i="111"/>
  <c r="D55" i="111" a="1"/>
  <c r="E54" i="111" a="1"/>
  <c r="E54" i="111" l="1"/>
  <c r="D55" i="111"/>
  <c r="C56" i="111"/>
  <c r="D56" i="111" a="1"/>
  <c r="E55" i="111" a="1"/>
  <c r="D56" i="111" l="1"/>
  <c r="E55" i="111"/>
  <c r="C57" i="111"/>
  <c r="D57" i="111" a="1"/>
  <c r="E56" i="111" a="1"/>
  <c r="D57" i="111" l="1"/>
  <c r="E56" i="111"/>
  <c r="C58" i="111"/>
  <c r="D58" i="111" a="1"/>
  <c r="E57" i="111" a="1"/>
  <c r="E57" i="111" l="1"/>
  <c r="D58" i="111"/>
  <c r="C59" i="111"/>
  <c r="D59" i="111" a="1"/>
  <c r="E58" i="111" a="1"/>
  <c r="D59" i="111" l="1"/>
  <c r="E58" i="111"/>
  <c r="C60" i="111"/>
  <c r="D60" i="111" a="1"/>
  <c r="E59" i="111" a="1"/>
  <c r="D60" i="111" l="1"/>
  <c r="E59" i="111"/>
  <c r="E60" i="111" a="1"/>
  <c r="E60" i="1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<sst xmlns="http://schemas.openxmlformats.org/spreadsheetml/2006/main" count="71" uniqueCount="57">
  <si>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</si>
  <si>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</si>
  <si>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</si>
  <si>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</si>
  <si>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</si>
  <si>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</si>
  <si>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</si>
  <si>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</si>
  <si>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</si>
  <si>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</si>
  <si>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</si>
  <si>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</si>
  <si>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</si>
  <si>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</si>
  <si>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</si>
  <si>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</si>
  <si>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</si>
  <si>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</si>
  <si>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</si>
  <si>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</si>
  <si>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</si>
  <si>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</si>
  <si>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</si>
  <si>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</si>
  <si>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</si>
  <si>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</si>
  <si>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</si>
  <si>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</si>
  <si>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</si>
  <si>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</si>
  <si>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</si>
  <si>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</si>
  <si>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</si>
  <si>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</si>
  <si>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</si>
  <si>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</si>
  <si>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</si>
  <si>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</si>
  <si>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</si>
  <si>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</si>
  <si>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</si>
  <si>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</si>
  <si>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</si>
  <si>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</si>
  <si>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</si>
  <si>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</si>
  <si>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</si>
  <si>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</si>
  <si>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</si>
  <si>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</si>
  <si>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</si>
  <si>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</si>
  <si>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</si>
  <si>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</si>
  <si>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</si>
  <si>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</si>
  <si>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PVT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</si>
</sst>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1.3602437618188637E-17</c:v>
                </c:pt>
                <c:pt idx="2">
                  <c:v>0</c:v>
                </c:pt>
                <c:pt idx="3">
                  <c:v>1.942562906753468E-17</c:v>
                </c:pt>
                <c:pt idx="4">
                  <c:v>1.5116737564296825E-17</c:v>
                </c:pt>
                <c:pt idx="5">
                  <c:v>0</c:v>
                </c:pt>
                <c:pt idx="6">
                  <c:v>0</c:v>
                </c:pt>
                <c:pt idx="7">
                  <c:v>2.619537151434102E-2</c:v>
                </c:pt>
                <c:pt idx="8">
                  <c:v>5.7282613264697822E-2</c:v>
                </c:pt>
                <c:pt idx="9">
                  <c:v>9.0943358886092979E-2</c:v>
                </c:pt>
                <c:pt idx="10">
                  <c:v>0.12757682216340763</c:v>
                </c:pt>
                <c:pt idx="11">
                  <c:v>0.16766852578952321</c:v>
                </c:pt>
                <c:pt idx="12">
                  <c:v>0.2118175362129735</c:v>
                </c:pt>
                <c:pt idx="13">
                  <c:v>0.26077772017442546</c:v>
                </c:pt>
                <c:pt idx="14">
                  <c:v>0.3155246060447211</c:v>
                </c:pt>
                <c:pt idx="15">
                  <c:v>0.37737318778514134</c:v>
                </c:pt>
                <c:pt idx="16">
                  <c:v>0.44820816536451197</c:v>
                </c:pt>
                <c:pt idx="17">
                  <c:v>0.53099825441523951</c:v>
                </c:pt>
                <c:pt idx="18">
                  <c:v>0.6311839292720367</c:v>
                </c:pt>
                <c:pt idx="19">
                  <c:v>0.76183059716245438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116.15201104062415</c:v>
                </c:pt>
                <c:pt idx="8">
                  <c:v>111.0848920370716</c:v>
                </c:pt>
                <c:pt idx="9">
                  <c:v>105.8054220637468</c:v>
                </c:pt>
                <c:pt idx="10">
                  <c:v>100.28443086557699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81.851174489522833</c:v>
                </c:pt>
                <c:pt idx="14">
                  <c:v>74.870462333293901</c:v>
                </c:pt>
                <c:pt idx="15">
                  <c:v>67.299756986275469</c:v>
                </c:pt>
                <c:pt idx="16">
                  <c:v>58.958096243751406</c:v>
                </c:pt>
                <c:pt idx="17">
                  <c:v>49.54726950073097</c:v>
                </c:pt>
                <c:pt idx="18">
                  <c:v>38.50607442150838</c:v>
                </c:pt>
                <c:pt idx="19">
                  <c:v>24.489872119316772</c:v>
                </c:pt>
                <c:pt idx="20">
                  <c:v>0.99999999999971001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3.1546644664466443</c:v>
                </c:pt>
                <c:pt idx="2">
                  <c:v>6.3093289328932887</c:v>
                </c:pt>
                <c:pt idx="3">
                  <c:v>9.4639933993399339</c:v>
                </c:pt>
                <c:pt idx="4">
                  <c:v>12.618657865786577</c:v>
                </c:pt>
                <c:pt idx="5">
                  <c:v>15.773322332233221</c:v>
                </c:pt>
                <c:pt idx="6">
                  <c:v>18.927986798679864</c:v>
                </c:pt>
                <c:pt idx="7">
                  <c:v>22.082651265126508</c:v>
                </c:pt>
                <c:pt idx="8">
                  <c:v>25.237315731573151</c:v>
                </c:pt>
                <c:pt idx="9">
                  <c:v>28.391980198019795</c:v>
                </c:pt>
                <c:pt idx="10">
                  <c:v>31.546644664466438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41.010638063806375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116.15201104062415</c:v>
                </c:pt>
                <c:pt idx="8">
                  <c:v>111.0848920370716</c:v>
                </c:pt>
                <c:pt idx="9">
                  <c:v>105.8054220637468</c:v>
                </c:pt>
                <c:pt idx="10">
                  <c:v>100.28443086557699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81.851174489522833</c:v>
                </c:pt>
                <c:pt idx="14">
                  <c:v>74.870462333293901</c:v>
                </c:pt>
                <c:pt idx="15">
                  <c:v>67.299756986275469</c:v>
                </c:pt>
                <c:pt idx="16">
                  <c:v>58.958096243751406</c:v>
                </c:pt>
                <c:pt idx="17">
                  <c:v>49.54726950073097</c:v>
                </c:pt>
                <c:pt idx="18">
                  <c:v>38.50607442150838</c:v>
                </c:pt>
                <c:pt idx="19">
                  <c:v>24.489872119316772</c:v>
                </c:pt>
                <c:pt idx="20">
                  <c:v>0.99999999999971001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3.1546644664466457</c:v>
                </c:pt>
                <c:pt idx="2">
                  <c:v>6.3093289328932913</c:v>
                </c:pt>
                <c:pt idx="3">
                  <c:v>9.4639933993399374</c:v>
                </c:pt>
                <c:pt idx="4">
                  <c:v>12.618657865786583</c:v>
                </c:pt>
                <c:pt idx="5">
                  <c:v>15.773322332233219</c:v>
                </c:pt>
                <c:pt idx="6">
                  <c:v>18.927986798679864</c:v>
                </c:pt>
                <c:pt idx="7">
                  <c:v>22.082651265126515</c:v>
                </c:pt>
                <c:pt idx="8">
                  <c:v>25.237315731573155</c:v>
                </c:pt>
                <c:pt idx="9">
                  <c:v>28.391980198019795</c:v>
                </c:pt>
                <c:pt idx="10">
                  <c:v>31.546644664466442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41.010638063806383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116.15201104062415</c:v>
                </c:pt>
                <c:pt idx="8">
                  <c:v>111.0848920370716</c:v>
                </c:pt>
                <c:pt idx="9">
                  <c:v>105.8054220637468</c:v>
                </c:pt>
                <c:pt idx="10">
                  <c:v>100.28443086557699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81.851174489522833</c:v>
                </c:pt>
                <c:pt idx="14">
                  <c:v>74.870462333293901</c:v>
                </c:pt>
                <c:pt idx="15">
                  <c:v>67.299756986275469</c:v>
                </c:pt>
                <c:pt idx="16">
                  <c:v>58.958096243751406</c:v>
                </c:pt>
                <c:pt idx="17">
                  <c:v>49.54726950073097</c:v>
                </c:pt>
                <c:pt idx="18">
                  <c:v>38.50607442150838</c:v>
                </c:pt>
                <c:pt idx="19">
                  <c:v>24.489872119316772</c:v>
                </c:pt>
                <c:pt idx="20">
                  <c:v>0.99999999999971001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3.1546644664466443</c:v>
                </c:pt>
                <c:pt idx="2">
                  <c:v>6.3093289328932887</c:v>
                </c:pt>
                <c:pt idx="3">
                  <c:v>9.4639933993399339</c:v>
                </c:pt>
                <c:pt idx="4">
                  <c:v>12.618657865786577</c:v>
                </c:pt>
                <c:pt idx="5">
                  <c:v>15.773322332233221</c:v>
                </c:pt>
                <c:pt idx="6">
                  <c:v>18.927986798679864</c:v>
                </c:pt>
                <c:pt idx="7">
                  <c:v>22.082651265126508</c:v>
                </c:pt>
                <c:pt idx="8">
                  <c:v>25.237315731573151</c:v>
                </c:pt>
                <c:pt idx="9">
                  <c:v>28.391980198019795</c:v>
                </c:pt>
                <c:pt idx="10">
                  <c:v>31.546644664466438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41.010638063806375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116.15201104062415</c:v>
                </c:pt>
                <c:pt idx="8">
                  <c:v>111.0848920370716</c:v>
                </c:pt>
                <c:pt idx="9">
                  <c:v>105.8054220637468</c:v>
                </c:pt>
                <c:pt idx="10">
                  <c:v>100.28443086557699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81.851174489522833</c:v>
                </c:pt>
                <c:pt idx="14">
                  <c:v>74.870462333293901</c:v>
                </c:pt>
                <c:pt idx="15">
                  <c:v>67.299756986275469</c:v>
                </c:pt>
                <c:pt idx="16">
                  <c:v>58.958096243751406</c:v>
                </c:pt>
                <c:pt idx="17">
                  <c:v>49.54726950073097</c:v>
                </c:pt>
                <c:pt idx="18">
                  <c:v>38.50607442150838</c:v>
                </c:pt>
                <c:pt idx="19">
                  <c:v>24.489872119316772</c:v>
                </c:pt>
                <c:pt idx="20">
                  <c:v>0.99999999999971001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3.1546644664466457</c:v>
                </c:pt>
                <c:pt idx="2">
                  <c:v>6.3093289328932913</c:v>
                </c:pt>
                <c:pt idx="3">
                  <c:v>9.4639933993399374</c:v>
                </c:pt>
                <c:pt idx="4">
                  <c:v>12.618657865786583</c:v>
                </c:pt>
                <c:pt idx="5">
                  <c:v>15.773322332233219</c:v>
                </c:pt>
                <c:pt idx="6">
                  <c:v>18.927986798679864</c:v>
                </c:pt>
                <c:pt idx="7">
                  <c:v>22.082651265126515</c:v>
                </c:pt>
                <c:pt idx="8">
                  <c:v>25.237315731573155</c:v>
                </c:pt>
                <c:pt idx="9">
                  <c:v>28.391980198019795</c:v>
                </c:pt>
                <c:pt idx="10">
                  <c:v>31.546644664466442</c:v>
                </c:pt>
                <c:pt idx="11">
                  <c:v>34.701309130913081</c:v>
                </c:pt>
                <c:pt idx="12">
                  <c:v>37.855973597359728</c:v>
                </c:pt>
                <c:pt idx="13">
                  <c:v>41.010638063806383</c:v>
                </c:pt>
                <c:pt idx="14">
                  <c:v>44.165302530253022</c:v>
                </c:pt>
                <c:pt idx="15">
                  <c:v>47.319966996699669</c:v>
                </c:pt>
                <c:pt idx="16">
                  <c:v>50.474631463146316</c:v>
                </c:pt>
                <c:pt idx="17">
                  <c:v>53.629295929592963</c:v>
                </c:pt>
                <c:pt idx="18">
                  <c:v>56.78396039603961</c:v>
                </c:pt>
                <c:pt idx="19">
                  <c:v>59.938624862486257</c:v>
                </c:pt>
                <c:pt idx="20">
                  <c:v>63.093289328932904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116.15201104062415</c:v>
                </c:pt>
                <c:pt idx="8">
                  <c:v>111.0848920370716</c:v>
                </c:pt>
                <c:pt idx="9">
                  <c:v>105.8054220637468</c:v>
                </c:pt>
                <c:pt idx="10">
                  <c:v>100.28443086557699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81.851174489522833</c:v>
                </c:pt>
                <c:pt idx="14">
                  <c:v>74.870462333293901</c:v>
                </c:pt>
                <c:pt idx="15">
                  <c:v>67.299756986275469</c:v>
                </c:pt>
                <c:pt idx="16">
                  <c:v>58.958096243751406</c:v>
                </c:pt>
                <c:pt idx="17">
                  <c:v>49.54726950073097</c:v>
                </c:pt>
                <c:pt idx="18">
                  <c:v>38.50607442150838</c:v>
                </c:pt>
                <c:pt idx="19">
                  <c:v>24.489872119316772</c:v>
                </c:pt>
                <c:pt idx="20">
                  <c:v>0.99999999999971001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3.7591854109027962</c:v>
                </c:pt>
                <c:pt idx="2">
                  <c:v>7.5270075505962408</c:v>
                </c:pt>
                <c:pt idx="3">
                  <c:v>11.304405940464061</c:v>
                </c:pt>
                <c:pt idx="4">
                  <c:v>15.092461484204108</c:v>
                </c:pt>
                <c:pt idx="5">
                  <c:v>18.892424098808842</c:v>
                </c:pt>
                <c:pt idx="6">
                  <c:v>22.705747088349053</c:v>
                </c:pt>
                <c:pt idx="7">
                  <c:v>27.051146030550481</c:v>
                </c:pt>
                <c:pt idx="8">
                  <c:v>31.720461791458995</c:v>
                </c:pt>
                <c:pt idx="9">
                  <c:v>36.750020643875573</c:v>
                </c:pt>
                <c:pt idx="10">
                  <c:v>42.242147067769508</c:v>
                </c:pt>
                <c:pt idx="11">
                  <c:v>48.340933935785422</c:v>
                </c:pt>
                <c:pt idx="12">
                  <c:v>55.256021348132634</c:v>
                </c:pt>
                <c:pt idx="13">
                  <c:v>63.30507663891197</c:v>
                </c:pt>
                <c:pt idx="14">
                  <c:v>72.995234389615717</c:v>
                </c:pt>
                <c:pt idx="15">
                  <c:v>85.194152267296275</c:v>
                </c:pt>
                <c:pt idx="16">
                  <c:v>101.53625941397974</c:v>
                </c:pt>
                <c:pt idx="17">
                  <c:v>125.57254941271631</c:v>
                </c:pt>
                <c:pt idx="18">
                  <c:v>167.0603530930147</c:v>
                </c:pt>
                <c:pt idx="19">
                  <c:v>269.24879680273898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145.17240740740741</c:v>
                </c:pt>
                <c:pt idx="2">
                  <c:v>140.34481481481481</c:v>
                </c:pt>
                <c:pt idx="3">
                  <c:v>135.51722222222222</c:v>
                </c:pt>
                <c:pt idx="4">
                  <c:v>130.68962962962962</c:v>
                </c:pt>
                <c:pt idx="5">
                  <c:v>125.86203703703704</c:v>
                </c:pt>
                <c:pt idx="6">
                  <c:v>121.03444444444445</c:v>
                </c:pt>
                <c:pt idx="7">
                  <c:v>116.15201104062415</c:v>
                </c:pt>
                <c:pt idx="8">
                  <c:v>111.0848920370716</c:v>
                </c:pt>
                <c:pt idx="9">
                  <c:v>105.8054220637468</c:v>
                </c:pt>
                <c:pt idx="10">
                  <c:v>100.28443086557699</c:v>
                </c:pt>
                <c:pt idx="11">
                  <c:v>94.485387152806851</c:v>
                </c:pt>
                <c:pt idx="12">
                  <c:v>88.361501537081011</c:v>
                </c:pt>
                <c:pt idx="13">
                  <c:v>81.851174489522833</c:v>
                </c:pt>
                <c:pt idx="14">
                  <c:v>74.870462333293901</c:v>
                </c:pt>
                <c:pt idx="15">
                  <c:v>67.299756986275469</c:v>
                </c:pt>
                <c:pt idx="16">
                  <c:v>58.958096243751406</c:v>
                </c:pt>
                <c:pt idx="17">
                  <c:v>49.54726950073097</c:v>
                </c:pt>
                <c:pt idx="18">
                  <c:v>38.50607442150838</c:v>
                </c:pt>
                <c:pt idx="19">
                  <c:v>24.489872119316772</c:v>
                </c:pt>
                <c:pt idx="20">
                  <c:v>0.99999999999971001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q_mix_rc_m3day"/>
      <definedName name="IPR_p_wf_atma"/>
      <definedName name="IPR_pi_sm3dayatm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topLeftCell="B10" zoomScale="85" zoomScaleNormal="85" workbookViewId="0">
      <selection activeCell="I24" sqref="I24"/>
    </sheetView>
  </sheetViews>
  <sheetFormatPr defaultRowHeight="13.2" x14ac:dyDescent="0.25"/>
  <cols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1.33203125" customWidth="1"/>
    <col min="11" max="11" width="10.88671875" customWidth="1"/>
    <col min="12" max="13" width="11.5546875" bestFit="1" customWidth="1"/>
    <col min="22" max="32" width="9.109375" customWidth="1"/>
  </cols>
  <sheetData>
    <row r="1" spans="1:12" x14ac:dyDescent="0.25">
      <c r="A1" s="1" t="s">
        <v>6</v>
      </c>
      <c r="F1" t="s">
        <v>34</v>
      </c>
      <c r="G1" t="str">
        <f>[1]!unf_Version()</f>
        <v>7.26</v>
      </c>
      <c r="H1" t="s">
        <v>41</v>
      </c>
      <c r="I1" s="21">
        <v>44265</v>
      </c>
      <c r="J1" s="22"/>
      <c r="K1" s="22"/>
      <c r="L1" s="22"/>
    </row>
    <row r="2" spans="1:12" x14ac:dyDescent="0.25">
      <c r="A2" t="s">
        <v>55</v>
      </c>
      <c r="H2" t="s">
        <v>42</v>
      </c>
      <c r="I2" s="23">
        <v>7.26</v>
      </c>
      <c r="J2" s="22"/>
      <c r="K2" s="22"/>
      <c r="L2" s="22"/>
    </row>
    <row r="3" spans="1:12" ht="14.4" x14ac:dyDescent="0.3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4.4" x14ac:dyDescent="0.3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4.4" x14ac:dyDescent="0.3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5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5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5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5">
      <c r="A10" s="1" t="s">
        <v>7</v>
      </c>
    </row>
    <row r="11" spans="1:12" ht="16.8" x14ac:dyDescent="0.35">
      <c r="B11" s="3" t="s">
        <v>8</v>
      </c>
      <c r="C11" s="2">
        <v>0.8</v>
      </c>
      <c r="D11" s="4"/>
      <c r="E11" s="20">
        <f>gamma_oil_*1000</f>
        <v>800</v>
      </c>
      <c r="F11" s="10" t="s">
        <v>35</v>
      </c>
    </row>
    <row r="12" spans="1:12" ht="16.8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6.8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6.8" x14ac:dyDescent="0.35">
      <c r="B14" s="6" t="s">
        <v>11</v>
      </c>
      <c r="C14" s="2">
        <v>80</v>
      </c>
      <c r="D14" s="5" t="s">
        <v>12</v>
      </c>
      <c r="E14" s="20">
        <f>Rsb_/gamma_oil_</f>
        <v>100</v>
      </c>
      <c r="F14" s="10" t="s">
        <v>36</v>
      </c>
    </row>
    <row r="15" spans="1:12" ht="16.8" x14ac:dyDescent="0.35">
      <c r="B15" s="6" t="s">
        <v>13</v>
      </c>
      <c r="C15" s="2">
        <v>80</v>
      </c>
      <c r="D15" s="5" t="s">
        <v>12</v>
      </c>
      <c r="E15" s="20">
        <f>Rsb_/gamma_oil_</f>
        <v>100</v>
      </c>
      <c r="F15" s="10" t="s">
        <v>36</v>
      </c>
    </row>
    <row r="16" spans="1:12" ht="15.6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9" ht="15.6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9" ht="16.8" x14ac:dyDescent="0.35">
      <c r="B18" s="6" t="s">
        <v>19</v>
      </c>
      <c r="C18" s="2">
        <v>1.2</v>
      </c>
      <c r="D18" s="5" t="s">
        <v>12</v>
      </c>
      <c r="E18" s="5"/>
      <c r="F18" s="4"/>
      <c r="H18" t="s">
        <v>56</v>
      </c>
      <c r="I18" t="str" cm="1">
        <f t="array" ref="I18">[1]!encode_PVT(gamma_gas_,gamma_oil_,gamma_wat_,Rsb_,Pb_cal_,Tres_,Bob_,muob_)</f>
        <v>{"gamma_gas":0.8,"gamma_oil":0.8,"gamma_wat":1,"rsb_m3m3":80,"pb_atma":120,"t_res_C":100,"bob_m3m3":1.2,"muob_cP":1}</v>
      </c>
    </row>
    <row r="19" spans="1:9" ht="15.6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9" ht="15.6" x14ac:dyDescent="0.35">
      <c r="B20" s="7" t="s">
        <v>23</v>
      </c>
      <c r="C20" s="2">
        <v>0</v>
      </c>
      <c r="D20" s="5" t="s">
        <v>3</v>
      </c>
      <c r="E20" s="19">
        <f>fw_/100</f>
        <v>0</v>
      </c>
      <c r="F20" s="10" t="s">
        <v>37</v>
      </c>
    </row>
    <row r="21" spans="1:9" ht="15.6" x14ac:dyDescent="0.35">
      <c r="B21" s="5" t="s">
        <v>22</v>
      </c>
      <c r="C21" s="9">
        <f>[1]!PVT_pb_atma(Tres_,pvt)</f>
        <v>120</v>
      </c>
      <c r="D21" s="5" t="s">
        <v>15</v>
      </c>
      <c r="E21" s="20">
        <f>Pb_*1.01325/10</f>
        <v>12.159000000000001</v>
      </c>
      <c r="F21" s="10" t="s">
        <v>16</v>
      </c>
    </row>
    <row r="23" spans="1:9" x14ac:dyDescent="0.25">
      <c r="A23" s="1" t="s">
        <v>5</v>
      </c>
      <c r="B23" s="1"/>
      <c r="C23" s="1"/>
      <c r="D23" s="1"/>
    </row>
    <row r="24" spans="1:9" ht="18" customHeight="1" x14ac:dyDescent="0.35">
      <c r="B24" s="7" t="s">
        <v>24</v>
      </c>
      <c r="C24" s="2">
        <v>55</v>
      </c>
      <c r="D24" s="5" t="s">
        <v>30</v>
      </c>
    </row>
    <row r="25" spans="1:9" ht="18" customHeight="1" x14ac:dyDescent="0.35">
      <c r="B25" s="7" t="s">
        <v>25</v>
      </c>
      <c r="C25" s="2">
        <v>45</v>
      </c>
      <c r="D25" s="5" t="s">
        <v>29</v>
      </c>
    </row>
    <row r="27" spans="1:9" x14ac:dyDescent="0.25">
      <c r="A27" s="1" t="s">
        <v>0</v>
      </c>
    </row>
    <row r="28" spans="1:9" ht="19.5" customHeight="1" x14ac:dyDescent="0.35">
      <c r="B28" s="7" t="s">
        <v>27</v>
      </c>
      <c r="C28" s="2">
        <v>150</v>
      </c>
      <c r="D28" s="5" t="s">
        <v>29</v>
      </c>
    </row>
    <row r="29" spans="1:9" ht="19.5" customHeight="1" x14ac:dyDescent="0.3">
      <c r="B29" s="7" t="s">
        <v>26</v>
      </c>
      <c r="C29" s="16" cm="1">
        <f t="array" ref="C29">[1]!IPR_pi_sm3dayatm(qltest_,Pwftest_,Pres_,fw_,Pb_)</f>
        <v>0.65346534653465338</v>
      </c>
      <c r="D29" s="5" t="s">
        <v>31</v>
      </c>
    </row>
    <row r="30" spans="1:9" ht="19.5" customHeight="1" x14ac:dyDescent="0.35">
      <c r="B30" s="5" t="s">
        <v>32</v>
      </c>
      <c r="C30" s="17" cm="1">
        <f t="array" ref="C30">[1]!IPR_q_liq_sm3day(PI_,Pres_,1,fw_,Pb_)</f>
        <v>63.093289328932883</v>
      </c>
      <c r="D30" s="5" t="s">
        <v>30</v>
      </c>
    </row>
    <row r="32" spans="1:9" x14ac:dyDescent="0.25">
      <c r="A32" s="11" t="s">
        <v>33</v>
      </c>
    </row>
    <row r="33" spans="2:23" ht="14.4" x14ac:dyDescent="0.3">
      <c r="B33" s="7" t="s">
        <v>4</v>
      </c>
      <c r="C33" s="2">
        <v>20</v>
      </c>
      <c r="D33" s="4"/>
    </row>
    <row r="35" spans="2:23" ht="14.4" x14ac:dyDescent="0.3">
      <c r="B35" s="7" t="s">
        <v>38</v>
      </c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5">
      <c r="C40" s="18">
        <v>0</v>
      </c>
      <c r="D40" s="17" cm="1">
        <f t="array" ref="D40">[1]!IPR_p_wf_atma(PI_,Pres_,C40,fw_,Pb_)</f>
        <v>150</v>
      </c>
      <c r="E40" s="17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{"gamma_gas":0.8,"gamma_oil":0.8,"gamma_wat":1,"rsb_m3m3":80,"pb_atma":120,"t_res_C":100,"bob_m3m3":1.2,"muob_cP":1,"q_liq_sm3day":0,"fw_perc":0,"rp_m3m3":80}</v>
      </c>
      <c r="L40" s="17">
        <f>[1]!feed_q_mix_rc_m3day(D40,Tres_,K40,PVT_str_)</f>
        <v>0</v>
      </c>
      <c r="M40" s="16">
        <f>[1]!feed_gas_fraction_d(D40,Tres_,K40,PVT_str_)</f>
        <v>0</v>
      </c>
    </row>
    <row r="41" spans="2:23" x14ac:dyDescent="0.25">
      <c r="C41" s="18">
        <f t="shared" ref="C41:C60" si="0">C40+qmax_/N_</f>
        <v>3.1546644664466443</v>
      </c>
      <c r="D41" s="17" cm="1">
        <f t="array" ref="D41">[1]!IPR_p_wf_atma(PI_,Pres_,C41,fw_,Pb_)</f>
        <v>145.17240740740741</v>
      </c>
      <c r="E41" s="17" cm="1">
        <f t="array" ref="E41">[1]!IPR_q_liq_sm3day(PI_,Pres_,D41,fw_,Pb_)</f>
        <v>3.1546644664466457</v>
      </c>
      <c r="K41" t="str" cm="1">
        <f t="array" ref="K41">[1]!encode_feed(E41,fw_,Rp_,,pvt)</f>
        <v>{"gamma_gas":0.8,"gamma_oil":0.8,"gamma_wat":1,"rsb_m3m3":80,"pb_atma":120,"t_res_C":100,"bob_m3m3":1.2,"muob_cP":1,"q_liq_sm3day":3.15466446644665,"fw_perc":0,"rp_m3m3":80}</v>
      </c>
      <c r="L41" s="17">
        <f>[1]!feed_q_mix_rc_m3day(D41,Tres_,K41,PVT_str_)</f>
        <v>3.7591854109027962</v>
      </c>
      <c r="M41" s="16">
        <f>[1]!feed_gas_fraction_d(D41,Tres_,K41,PVT_str_)</f>
        <v>1.3602437618188637E-17</v>
      </c>
    </row>
    <row r="42" spans="2:23" x14ac:dyDescent="0.25">
      <c r="C42" s="18">
        <f t="shared" si="0"/>
        <v>6.3093289328932887</v>
      </c>
      <c r="D42" s="17" cm="1">
        <f t="array" ref="D42">[1]!IPR_p_wf_atma(PI_,Pres_,C42,fw_,Pb_)</f>
        <v>140.34481481481481</v>
      </c>
      <c r="E42" s="17" cm="1">
        <f t="array" ref="E42">[1]!IPR_q_liq_sm3day(PI_,Pres_,D42,fw_,Pb_)</f>
        <v>6.3093289328932913</v>
      </c>
      <c r="K42" t="str" cm="1">
        <f t="array" ref="K42">[1]!encode_feed(E42,fw_,Rp_,,pvt)</f>
        <v>{"gamma_gas":0.8,"gamma_oil":0.8,"gamma_wat":1,"rsb_m3m3":80,"pb_atma":120,"t_res_C":100,"bob_m3m3":1.2,"muob_cP":1,"q_liq_sm3day":6.30932893289329,"fw_perc":0,"rp_m3m3":80}</v>
      </c>
      <c r="L42" s="17">
        <f>[1]!feed_q_mix_rc_m3day(D42,Tres_,K42,PVT_str_)</f>
        <v>7.5270075505962408</v>
      </c>
      <c r="M42" s="16">
        <f>[1]!feed_gas_fraction_d(D42,Tres_,K42,PVT_str_)</f>
        <v>0</v>
      </c>
    </row>
    <row r="43" spans="2:23" x14ac:dyDescent="0.25">
      <c r="C43" s="18">
        <f t="shared" si="0"/>
        <v>9.4639933993399339</v>
      </c>
      <c r="D43" s="17" cm="1">
        <f t="array" ref="D43">[1]!IPR_p_wf_atma(PI_,Pres_,C43,fw_,Pb_)</f>
        <v>135.51722222222222</v>
      </c>
      <c r="E43" s="17" cm="1">
        <f t="array" ref="E43">[1]!IPR_q_liq_sm3day(PI_,Pres_,D43,fw_,Pb_)</f>
        <v>9.4639933993399374</v>
      </c>
      <c r="K43" t="str" cm="1">
        <f t="array" ref="K43">[1]!encode_feed(E43,fw_,Rp_,,pvt)</f>
        <v>{"gamma_gas":0.8,"gamma_oil":0.8,"gamma_wat":1,"rsb_m3m3":80,"pb_atma":120,"t_res_C":100,"bob_m3m3":1.2,"muob_cP":1,"q_liq_sm3day":9.46399339933994,"fw_perc":0,"rp_m3m3":80}</v>
      </c>
      <c r="L43" s="17">
        <f>[1]!feed_q_mix_rc_m3day(D43,Tres_,K43,PVT_str_)</f>
        <v>11.304405940464061</v>
      </c>
      <c r="M43" s="16">
        <f>[1]!feed_gas_fraction_d(D43,Tres_,K43,PVT_str_)</f>
        <v>1.942562906753468E-17</v>
      </c>
    </row>
    <row r="44" spans="2:23" x14ac:dyDescent="0.25">
      <c r="C44" s="18">
        <f t="shared" si="0"/>
        <v>12.618657865786577</v>
      </c>
      <c r="D44" s="17" cm="1">
        <f t="array" ref="D44">[1]!IPR_p_wf_atma(PI_,Pres_,C44,fw_,Pb_)</f>
        <v>130.68962962962962</v>
      </c>
      <c r="E44" s="17" cm="1">
        <f t="array" ref="E44">[1]!IPR_q_liq_sm3day(PI_,Pres_,D44,fw_,Pb_)</f>
        <v>12.618657865786583</v>
      </c>
      <c r="K44" t="str" cm="1">
        <f t="array" ref="K44">[1]!encode_feed(E44,fw_,Rp_,,pvt)</f>
        <v>{"gamma_gas":0.8,"gamma_oil":0.8,"gamma_wat":1,"rsb_m3m3":80,"pb_atma":120,"t_res_C":100,"bob_m3m3":1.2,"muob_cP":1,"q_liq_sm3day":12.6186578657866,"fw_perc":0,"rp_m3m3":80}</v>
      </c>
      <c r="L44" s="17">
        <f>[1]!feed_q_mix_rc_m3day(D44,Tres_,K44,PVT_str_)</f>
        <v>15.092461484204108</v>
      </c>
      <c r="M44" s="16">
        <f>[1]!feed_gas_fraction_d(D44,Tres_,K44,PVT_str_)</f>
        <v>1.5116737564296825E-17</v>
      </c>
    </row>
    <row r="45" spans="2:23" x14ac:dyDescent="0.25">
      <c r="C45" s="18">
        <f t="shared" si="0"/>
        <v>15.773322332233221</v>
      </c>
      <c r="D45" s="17" cm="1">
        <f t="array" ref="D45">[1]!IPR_p_wf_atma(PI_,Pres_,C45,fw_,Pb_)</f>
        <v>125.86203703703704</v>
      </c>
      <c r="E45" s="17" cm="1">
        <f t="array" ref="E45">[1]!IPR_q_liq_sm3day(PI_,Pres_,D45,fw_,Pb_)</f>
        <v>15.773322332233219</v>
      </c>
      <c r="K45" t="str" cm="1">
        <f t="array" ref="K45">[1]!encode_feed(E45,fw_,Rp_,,pvt)</f>
        <v>{"gamma_gas":0.8,"gamma_oil":0.8,"gamma_wat":1,"rsb_m3m3":80,"pb_atma":120,"t_res_C":100,"bob_m3m3":1.2,"muob_cP":1,"q_liq_sm3day":15.7733223322332,"fw_perc":0,"rp_m3m3":80}</v>
      </c>
      <c r="L45" s="17">
        <f>[1]!feed_q_mix_rc_m3day(D45,Tres_,K45,PVT_str_)</f>
        <v>18.892424098808842</v>
      </c>
      <c r="M45" s="16">
        <f>[1]!feed_gas_fraction_d(D45,Tres_,K45,PVT_str_)</f>
        <v>0</v>
      </c>
    </row>
    <row r="46" spans="2:23" x14ac:dyDescent="0.25">
      <c r="C46" s="18">
        <f t="shared" si="0"/>
        <v>18.927986798679864</v>
      </c>
      <c r="D46" s="17" cm="1">
        <f t="array" ref="D46">[1]!IPR_p_wf_atma(PI_,Pres_,C46,fw_,Pb_)</f>
        <v>121.03444444444445</v>
      </c>
      <c r="E46" s="17" cm="1">
        <f t="array" ref="E46">[1]!IPR_q_liq_sm3day(PI_,Pres_,D46,fw_,Pb_)</f>
        <v>18.927986798679864</v>
      </c>
      <c r="K46" t="str" cm="1">
        <f t="array" ref="K46">[1]!encode_feed(E46,fw_,Rp_,,pvt)</f>
        <v>{"gamma_gas":0.8,"gamma_oil":0.8,"gamma_wat":1,"rsb_m3m3":80,"pb_atma":120,"t_res_C":100,"bob_m3m3":1.2,"muob_cP":1,"q_liq_sm3day":18.9279867986799,"fw_perc":0,"rp_m3m3":80}</v>
      </c>
      <c r="L46" s="17">
        <f>[1]!feed_q_mix_rc_m3day(D46,Tres_,K46,PVT_str_)</f>
        <v>22.705747088349053</v>
      </c>
      <c r="M46" s="16">
        <f>[1]!feed_gas_fraction_d(D46,Tres_,K46,PVT_str_)</f>
        <v>0</v>
      </c>
    </row>
    <row r="47" spans="2:23" x14ac:dyDescent="0.25">
      <c r="C47" s="18">
        <f t="shared" si="0"/>
        <v>22.082651265126508</v>
      </c>
      <c r="D47" s="17" cm="1">
        <f t="array" ref="D47">[1]!IPR_p_wf_atma(PI_,Pres_,C47,fw_,Pb_)</f>
        <v>116.15201104062415</v>
      </c>
      <c r="E47" s="17" cm="1">
        <f t="array" ref="E47">[1]!IPR_q_liq_sm3day(PI_,Pres_,D47,fw_,Pb_)</f>
        <v>22.082651265126515</v>
      </c>
      <c r="K47" t="str" cm="1">
        <f t="array" ref="K47">[1]!encode_feed(E47,fw_,Rp_,,pvt)</f>
        <v>{"gamma_gas":0.8,"gamma_oil":0.8,"gamma_wat":1,"rsb_m3m3":80,"pb_atma":120,"t_res_C":100,"bob_m3m3":1.2,"muob_cP":1,"q_liq_sm3day":22.0826512651265,"fw_perc":0,"rp_m3m3":80}</v>
      </c>
      <c r="L47" s="17">
        <f>[1]!feed_q_mix_rc_m3day(D47,Tres_,K47,PVT_str_)</f>
        <v>27.051146030550481</v>
      </c>
      <c r="M47" s="16">
        <f>[1]!feed_gas_fraction_d(D47,Tres_,K47,PVT_str_)</f>
        <v>2.619537151434102E-2</v>
      </c>
    </row>
    <row r="48" spans="2:23" x14ac:dyDescent="0.25">
      <c r="C48" s="18">
        <f t="shared" si="0"/>
        <v>25.237315731573151</v>
      </c>
      <c r="D48" s="17" cm="1">
        <f t="array" ref="D48">[1]!IPR_p_wf_atma(PI_,Pres_,C48,fw_,Pb_)</f>
        <v>111.0848920370716</v>
      </c>
      <c r="E48" s="17" cm="1">
        <f t="array" ref="E48">[1]!IPR_q_liq_sm3day(PI_,Pres_,D48,fw_,Pb_)</f>
        <v>25.237315731573155</v>
      </c>
      <c r="K48" t="str" cm="1">
        <f t="array" ref="K48">[1]!encode_feed(E48,fw_,Rp_,,pvt)</f>
        <v>{"gamma_gas":0.8,"gamma_oil":0.8,"gamma_wat":1,"rsb_m3m3":80,"pb_atma":120,"t_res_C":100,"bob_m3m3":1.2,"muob_cP":1,"q_liq_sm3day":25.2373157315732,"fw_perc":0,"rp_m3m3":80}</v>
      </c>
      <c r="L48" s="17">
        <f>[1]!feed_q_mix_rc_m3day(D48,Tres_,K48,PVT_str_)</f>
        <v>31.720461791458995</v>
      </c>
      <c r="M48" s="16">
        <f>[1]!feed_gas_fraction_d(D48,Tres_,K48,PVT_str_)</f>
        <v>5.7282613264697822E-2</v>
      </c>
    </row>
    <row r="49" spans="3:13" x14ac:dyDescent="0.25">
      <c r="C49" s="18">
        <f t="shared" si="0"/>
        <v>28.391980198019795</v>
      </c>
      <c r="D49" s="17" cm="1">
        <f t="array" ref="D49">[1]!IPR_p_wf_atma(PI_,Pres_,C49,fw_,Pb_)</f>
        <v>105.8054220637468</v>
      </c>
      <c r="E49" s="17" cm="1">
        <f t="array" ref="E49">[1]!IPR_q_liq_sm3day(PI_,Pres_,D49,fw_,Pb_)</f>
        <v>28.391980198019795</v>
      </c>
      <c r="K49" t="str" cm="1">
        <f t="array" ref="K49">[1]!encode_feed(E49,fw_,Rp_,,pvt)</f>
        <v>{"gamma_gas":0.8,"gamma_oil":0.8,"gamma_wat":1,"rsb_m3m3":80,"pb_atma":120,"t_res_C":100,"bob_m3m3":1.2,"muob_cP":1,"q_liq_sm3day":28.3919801980198,"fw_perc":0,"rp_m3m3":80}</v>
      </c>
      <c r="L49" s="17">
        <f>[1]!feed_q_mix_rc_m3day(D49,Tres_,K49,PVT_str_)</f>
        <v>36.750020643875573</v>
      </c>
      <c r="M49" s="16">
        <f>[1]!feed_gas_fraction_d(D49,Tres_,K49,PVT_str_)</f>
        <v>9.0943358886092979E-2</v>
      </c>
    </row>
    <row r="50" spans="3:13" x14ac:dyDescent="0.25">
      <c r="C50" s="18">
        <f t="shared" si="0"/>
        <v>31.546644664466438</v>
      </c>
      <c r="D50" s="17" cm="1">
        <f t="array" ref="D50">[1]!IPR_p_wf_atma(PI_,Pres_,C50,fw_,Pb_)</f>
        <v>100.28443086557699</v>
      </c>
      <c r="E50" s="17" cm="1">
        <f t="array" ref="E50">[1]!IPR_q_liq_sm3day(PI_,Pres_,D50,fw_,Pb_)</f>
        <v>31.546644664466442</v>
      </c>
      <c r="K50" t="str" cm="1">
        <f t="array" ref="K50">[1]!encode_feed(E50,fw_,Rp_,,pvt)</f>
        <v>{"gamma_gas":0.8,"gamma_oil":0.8,"gamma_wat":1,"rsb_m3m3":80,"pb_atma":120,"t_res_C":100,"bob_m3m3":1.2,"muob_cP":1,"q_liq_sm3day":31.5466446644664,"fw_perc":0,"rp_m3m3":80}</v>
      </c>
      <c r="L50" s="17">
        <f>[1]!feed_q_mix_rc_m3day(D50,Tres_,K50,PVT_str_)</f>
        <v>42.242147067769508</v>
      </c>
      <c r="M50" s="16">
        <f>[1]!feed_gas_fraction_d(D50,Tres_,K50,PVT_str_)</f>
        <v>0.12757682216340763</v>
      </c>
    </row>
    <row r="51" spans="3:13" x14ac:dyDescent="0.25">
      <c r="C51" s="18">
        <f t="shared" si="0"/>
        <v>34.701309130913081</v>
      </c>
      <c r="D51" s="17" cm="1">
        <f t="array" ref="D51">[1]!IPR_p_wf_atma(PI_,Pres_,C51,fw_,Pb_)</f>
        <v>94.485387152806851</v>
      </c>
      <c r="E51" s="17" cm="1">
        <f t="array" ref="E51">[1]!IPR_q_liq_sm3day(PI_,Pres_,D51,fw_,Pb_)</f>
        <v>34.701309130913081</v>
      </c>
      <c r="K51" t="str" cm="1">
        <f t="array" ref="K51">[1]!encode_feed(E51,fw_,Rp_,,pvt)</f>
        <v>{"gamma_gas":0.8,"gamma_oil":0.8,"gamma_wat":1,"rsb_m3m3":80,"pb_atma":120,"t_res_C":100,"bob_m3m3":1.2,"muob_cP":1,"q_liq_sm3day":34.7013091309131,"fw_perc":0,"rp_m3m3":80}</v>
      </c>
      <c r="L51" s="17">
        <f>[1]!feed_q_mix_rc_m3day(D51,Tres_,K51,PVT_str_)</f>
        <v>48.340933935785422</v>
      </c>
      <c r="M51" s="16">
        <f>[1]!feed_gas_fraction_d(D51,Tres_,K51,PVT_str_)</f>
        <v>0.16766852578952321</v>
      </c>
    </row>
    <row r="52" spans="3:13" x14ac:dyDescent="0.25">
      <c r="C52" s="18">
        <f t="shared" si="0"/>
        <v>37.855973597359728</v>
      </c>
      <c r="D52" s="17" cm="1">
        <f t="array" ref="D52">[1]!IPR_p_wf_atma(PI_,Pres_,C52,fw_,Pb_)</f>
        <v>88.361501537081011</v>
      </c>
      <c r="E52" s="17" cm="1">
        <f t="array" ref="E52">[1]!IPR_q_liq_sm3day(PI_,Pres_,D52,fw_,Pb_)</f>
        <v>37.855973597359728</v>
      </c>
      <c r="K52" t="str" cm="1">
        <f t="array" ref="K52">[1]!encode_feed(E52,fw_,Rp_,,pvt)</f>
        <v>{"gamma_gas":0.8,"gamma_oil":0.8,"gamma_wat":1,"rsb_m3m3":80,"pb_atma":120,"t_res_C":100,"bob_m3m3":1.2,"muob_cP":1,"q_liq_sm3day":37.8559735973597,"fw_perc":0,"rp_m3m3":80}</v>
      </c>
      <c r="L52" s="17">
        <f>[1]!feed_q_mix_rc_m3day(D52,Tres_,K52,PVT_str_)</f>
        <v>55.256021348132634</v>
      </c>
      <c r="M52" s="16">
        <f>[1]!feed_gas_fraction_d(D52,Tres_,K52,PVT_str_)</f>
        <v>0.2118175362129735</v>
      </c>
    </row>
    <row r="53" spans="3:13" x14ac:dyDescent="0.25">
      <c r="C53" s="18">
        <f t="shared" si="0"/>
        <v>41.010638063806375</v>
      </c>
      <c r="D53" s="17" cm="1">
        <f t="array" ref="D53">[1]!IPR_p_wf_atma(PI_,Pres_,C53,fw_,Pb_)</f>
        <v>81.851174489522833</v>
      </c>
      <c r="E53" s="17" cm="1">
        <f t="array" ref="E53">[1]!IPR_q_liq_sm3day(PI_,Pres_,D53,fw_,Pb_)</f>
        <v>41.010638063806383</v>
      </c>
      <c r="K53" t="str" cm="1">
        <f t="array" ref="K53">[1]!encode_feed(E53,fw_,Rp_,,pvt)</f>
        <v>{"gamma_gas":0.8,"gamma_oil":0.8,"gamma_wat":1,"rsb_m3m3":80,"pb_atma":120,"t_res_C":100,"bob_m3m3":1.2,"muob_cP":1,"q_liq_sm3day":41.0106380638064,"fw_perc":0,"rp_m3m3":80}</v>
      </c>
      <c r="L53" s="17">
        <f>[1]!feed_q_mix_rc_m3day(D53,Tres_,K53,PVT_str_)</f>
        <v>63.30507663891197</v>
      </c>
      <c r="M53" s="16">
        <f>[1]!feed_gas_fraction_d(D53,Tres_,K53,PVT_str_)</f>
        <v>0.26077772017442546</v>
      </c>
    </row>
    <row r="54" spans="3:13" x14ac:dyDescent="0.25">
      <c r="C54" s="18">
        <f t="shared" si="0"/>
        <v>44.165302530253022</v>
      </c>
      <c r="D54" s="17" cm="1">
        <f t="array" ref="D54">[1]!IPR_p_wf_atma(PI_,Pres_,C54,fw_,Pb_)</f>
        <v>74.870462333293901</v>
      </c>
      <c r="E54" s="17" cm="1">
        <f t="array" ref="E54">[1]!IPR_q_liq_sm3day(PI_,Pres_,D54,fw_,Pb_)</f>
        <v>44.165302530253022</v>
      </c>
      <c r="K54" t="str" cm="1">
        <f t="array" ref="K54">[1]!encode_feed(E54,fw_,Rp_,,pvt)</f>
        <v>{"gamma_gas":0.8,"gamma_oil":0.8,"gamma_wat":1,"rsb_m3m3":80,"pb_atma":120,"t_res_C":100,"bob_m3m3":1.2,"muob_cP":1,"q_liq_sm3day":44.165302530253,"fw_perc":0,"rp_m3m3":80}</v>
      </c>
      <c r="L54" s="17">
        <f>[1]!feed_q_mix_rc_m3day(D54,Tres_,K54,PVT_str_)</f>
        <v>72.995234389615717</v>
      </c>
      <c r="M54" s="16">
        <f>[1]!feed_gas_fraction_d(D54,Tres_,K54,PVT_str_)</f>
        <v>0.3155246060447211</v>
      </c>
    </row>
    <row r="55" spans="3:13" x14ac:dyDescent="0.25">
      <c r="C55" s="18">
        <f t="shared" si="0"/>
        <v>47.319966996699669</v>
      </c>
      <c r="D55" s="17" cm="1">
        <f t="array" ref="D55">[1]!IPR_p_wf_atma(PI_,Pres_,C55,fw_,Pb_)</f>
        <v>67.299756986275469</v>
      </c>
      <c r="E55" s="17" cm="1">
        <f t="array" ref="E55">[1]!IPR_q_liq_sm3day(PI_,Pres_,D55,fw_,Pb_)</f>
        <v>47.319966996699669</v>
      </c>
      <c r="K55" t="str" cm="1">
        <f t="array" ref="K55">[1]!encode_feed(E55,fw_,Rp_,,pvt)</f>
        <v>{"gamma_gas":0.8,"gamma_oil":0.8,"gamma_wat":1,"rsb_m3m3":80,"pb_atma":120,"t_res_C":100,"bob_m3m3":1.2,"muob_cP":1,"q_liq_sm3day":47.3199669966997,"fw_perc":0,"rp_m3m3":80}</v>
      </c>
      <c r="L55" s="17">
        <f>[1]!feed_q_mix_rc_m3day(D55,Tres_,K55,PVT_str_)</f>
        <v>85.194152267296275</v>
      </c>
      <c r="M55" s="16">
        <f>[1]!feed_gas_fraction_d(D55,Tres_,K55,PVT_str_)</f>
        <v>0.37737318778514134</v>
      </c>
    </row>
    <row r="56" spans="3:13" x14ac:dyDescent="0.25">
      <c r="C56" s="18">
        <f t="shared" si="0"/>
        <v>50.474631463146316</v>
      </c>
      <c r="D56" s="17" cm="1">
        <f t="array" ref="D56">[1]!IPR_p_wf_atma(PI_,Pres_,C56,fw_,Pb_)</f>
        <v>58.958096243751406</v>
      </c>
      <c r="E56" s="17" cm="1">
        <f t="array" ref="E56">[1]!IPR_q_liq_sm3day(PI_,Pres_,D56,fw_,Pb_)</f>
        <v>50.474631463146316</v>
      </c>
      <c r="K56" t="str" cm="1">
        <f t="array" ref="K56">[1]!encode_feed(E56,fw_,Rp_,,pvt)</f>
        <v>{"gamma_gas":0.8,"gamma_oil":0.8,"gamma_wat":1,"rsb_m3m3":80,"pb_atma":120,"t_res_C":100,"bob_m3m3":1.2,"muob_cP":1,"q_liq_sm3day":50.4746314631463,"fw_perc":0,"rp_m3m3":80}</v>
      </c>
      <c r="L56" s="17">
        <f>[1]!feed_q_mix_rc_m3day(D56,Tres_,K56,PVT_str_)</f>
        <v>101.53625941397974</v>
      </c>
      <c r="M56" s="16">
        <f>[1]!feed_gas_fraction_d(D56,Tres_,K56,PVT_str_)</f>
        <v>0.44820816536451197</v>
      </c>
    </row>
    <row r="57" spans="3:13" x14ac:dyDescent="0.25">
      <c r="C57" s="18">
        <f t="shared" si="0"/>
        <v>53.629295929592963</v>
      </c>
      <c r="D57" s="17" cm="1">
        <f t="array" ref="D57">[1]!IPR_p_wf_atma(PI_,Pres_,C57,fw_,Pb_)</f>
        <v>49.54726950073097</v>
      </c>
      <c r="E57" s="17" cm="1">
        <f t="array" ref="E57">[1]!IPR_q_liq_sm3day(PI_,Pres_,D57,fw_,Pb_)</f>
        <v>53.629295929592963</v>
      </c>
      <c r="K57" t="str" cm="1">
        <f t="array" ref="K57">[1]!encode_feed(E57,fw_,Rp_,,pvt)</f>
        <v>{"gamma_gas":0.8,"gamma_oil":0.8,"gamma_wat":1,"rsb_m3m3":80,"pb_atma":120,"t_res_C":100,"bob_m3m3":1.2,"muob_cP":1,"q_liq_sm3day":53.629295929593,"fw_perc":0,"rp_m3m3":80}</v>
      </c>
      <c r="L57" s="17">
        <f>[1]!feed_q_mix_rc_m3day(D57,Tres_,K57,PVT_str_)</f>
        <v>125.57254941271631</v>
      </c>
      <c r="M57" s="16">
        <f>[1]!feed_gas_fraction_d(D57,Tres_,K57,PVT_str_)</f>
        <v>0.53099825441523951</v>
      </c>
    </row>
    <row r="58" spans="3:13" x14ac:dyDescent="0.25">
      <c r="C58" s="18">
        <f t="shared" si="0"/>
        <v>56.78396039603961</v>
      </c>
      <c r="D58" s="17" cm="1">
        <f t="array" ref="D58">[1]!IPR_p_wf_atma(PI_,Pres_,C58,fw_,Pb_)</f>
        <v>38.50607442150838</v>
      </c>
      <c r="E58" s="17" cm="1">
        <f t="array" ref="E58">[1]!IPR_q_liq_sm3day(PI_,Pres_,D58,fw_,Pb_)</f>
        <v>56.78396039603961</v>
      </c>
      <c r="K58" t="str" cm="1">
        <f t="array" ref="K58">[1]!encode_feed(E58,fw_,Rp_,,pvt)</f>
        <v>{"gamma_gas":0.8,"gamma_oil":0.8,"gamma_wat":1,"rsb_m3m3":80,"pb_atma":120,"t_res_C":100,"bob_m3m3":1.2,"muob_cP":1,"q_liq_sm3day":56.7839603960396,"fw_perc":0,"rp_m3m3":80}</v>
      </c>
      <c r="L58" s="17">
        <f>[1]!feed_q_mix_rc_m3day(D58,Tres_,K58,PVT_str_)</f>
        <v>167.0603530930147</v>
      </c>
      <c r="M58" s="16">
        <f>[1]!feed_gas_fraction_d(D58,Tres_,K58,PVT_str_)</f>
        <v>0.6311839292720367</v>
      </c>
    </row>
    <row r="59" spans="3:13" x14ac:dyDescent="0.25">
      <c r="C59" s="18">
        <f t="shared" si="0"/>
        <v>59.938624862486257</v>
      </c>
      <c r="D59" s="17" cm="1">
        <f t="array" ref="D59">[1]!IPR_p_wf_atma(PI_,Pres_,C59,fw_,Pb_)</f>
        <v>24.489872119316772</v>
      </c>
      <c r="E59" s="17" cm="1">
        <f t="array" ref="E59">[1]!IPR_q_liq_sm3day(PI_,Pres_,D59,fw_,Pb_)</f>
        <v>59.938624862486257</v>
      </c>
      <c r="K59" t="str" cm="1">
        <f t="array" ref="K59">[1]!encode_feed(E59,fw_,Rp_,,pvt)</f>
        <v>{"gamma_gas":0.8,"gamma_oil":0.8,"gamma_wat":1,"rsb_m3m3":80,"pb_atma":120,"t_res_C":100,"bob_m3m3":1.2,"muob_cP":1,"q_liq_sm3day":59.9386248624863,"fw_perc":0,"rp_m3m3":80}</v>
      </c>
      <c r="L59" s="17">
        <f>[1]!feed_q_mix_rc_m3day(D59,Tres_,K59,PVT_str_)</f>
        <v>269.24879680273898</v>
      </c>
      <c r="M59" s="16">
        <f>[1]!feed_gas_fraction_d(D59,Tres_,K59,PVT_str_)</f>
        <v>0.76183059716245438</v>
      </c>
    </row>
    <row r="60" spans="3:13" x14ac:dyDescent="0.25">
      <c r="C60" s="18">
        <f t="shared" si="0"/>
        <v>63.093289328932904</v>
      </c>
      <c r="D60" s="17" cm="1">
        <f t="array" ref="D60">[1]!IPR_p_wf_atma(PI_,Pres_,C60,fw_,Pb_)</f>
        <v>0.99999999999971001</v>
      </c>
      <c r="E60" s="17" cm="1">
        <f t="array" ref="E60">[1]!IPR_q_liq_sm3day(PI_,Pres_,D60,fw_,Pb_)</f>
        <v>63.093289328932904</v>
      </c>
      <c r="L60" s="17"/>
      <c r="M60" s="1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2021-03-10T17:46:18Z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