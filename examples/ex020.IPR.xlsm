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C3A39308-2272-4FFA-96EA-DD895B73D99F}" xr6:coauthVersionLast="45" xr6:coauthVersionMax="45" xr10:uidLastSave="{00000000-0000-0000-0000-000000000000}"/>
  <bookViews>
    <workbookView xWindow="-120" yWindow="-120" windowWidth="38640" windowHeight="21240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C21" i="111"/>
  <c r="C35" i="111" a="1"/>
  <c r="G1" i="111"/>
  <c r="C35" i="111" l="1"/>
  <c r="E21" i="111"/>
  <c r="C29" i="111" a="1"/>
  <c r="C29" i="111" l="1"/>
  <c r="D40" i="111" a="1"/>
  <c r="C30" i="111" a="1"/>
  <c r="C30" i="111" l="1"/>
  <c r="C41" i="111" s="1"/>
  <c r="D40" i="111"/>
  <c r="D41" i="111" a="1"/>
  <c r="M40" i="111" a="1"/>
  <c r="E40" i="111" a="1"/>
  <c r="M40" i="111" l="1"/>
  <c r="E40" i="111"/>
  <c r="D41" i="111"/>
  <c r="C42" i="111"/>
  <c r="L40" i="111" a="1"/>
  <c r="D42" i="111" a="1"/>
  <c r="M41" i="111" a="1"/>
  <c r="E41" i="111" a="1"/>
  <c r="L40" i="111" l="1"/>
  <c r="D42" i="111"/>
  <c r="E41" i="111"/>
  <c r="M41" i="111"/>
  <c r="C43" i="111"/>
  <c r="D43" i="111" a="1"/>
  <c r="L41" i="111" a="1"/>
  <c r="E42" i="111" a="1"/>
  <c r="M42" i="111" a="1"/>
  <c r="L41" i="111" l="1"/>
  <c r="E42" i="111"/>
  <c r="M42" i="111"/>
  <c r="D43" i="111"/>
  <c r="C44" i="111"/>
  <c r="M43" i="111" a="1"/>
  <c r="E43" i="111" a="1"/>
  <c r="L42" i="111" a="1"/>
  <c r="D44" i="111" a="1"/>
  <c r="D44" i="111" l="1"/>
  <c r="M43" i="111"/>
  <c r="E43" i="111"/>
  <c r="L42" i="111"/>
  <c r="C45" i="111"/>
  <c r="D45" i="111" a="1"/>
  <c r="M44" i="111" a="1"/>
  <c r="E44" i="111" a="1"/>
  <c r="L43" i="111" a="1"/>
  <c r="D45" i="111" l="1"/>
  <c r="L43" i="111"/>
  <c r="M44" i="111"/>
  <c r="E44" i="111"/>
  <c r="C46" i="111"/>
  <c r="M45" i="111" a="1"/>
  <c r="E45" i="111" a="1"/>
  <c r="D46" i="111" a="1"/>
  <c r="L44" i="111" a="1"/>
  <c r="D46" i="111" l="1"/>
  <c r="L44" i="111"/>
  <c r="E45" i="111"/>
  <c r="M45" i="111"/>
  <c r="C47" i="111"/>
  <c r="D47" i="111" a="1"/>
  <c r="L45" i="111" a="1"/>
  <c r="M46" i="111" a="1"/>
  <c r="E46" i="111" a="1"/>
  <c r="L45" i="111" l="1"/>
  <c r="D47" i="111"/>
  <c r="M46" i="111"/>
  <c r="E46" i="111"/>
  <c r="C48" i="111"/>
  <c r="L46" i="111" a="1"/>
  <c r="E47" i="111" a="1"/>
  <c r="M47" i="111" a="1"/>
  <c r="D48" i="111" a="1"/>
  <c r="D48" i="111" l="1"/>
  <c r="L46" i="111"/>
  <c r="E47" i="111"/>
  <c r="M47" i="111"/>
  <c r="C49" i="111"/>
  <c r="M48" i="111" a="1"/>
  <c r="L47" i="111" a="1"/>
  <c r="E48" i="111" a="1"/>
  <c r="D49" i="111" a="1"/>
  <c r="D49" i="111" l="1"/>
  <c r="L47" i="111"/>
  <c r="M48" i="111"/>
  <c r="E48" i="111"/>
  <c r="C50" i="111"/>
  <c r="D50" i="111" a="1"/>
  <c r="L48" i="111" a="1"/>
  <c r="M49" i="111" a="1"/>
  <c r="E49" i="111" a="1"/>
  <c r="D50" i="111" l="1"/>
  <c r="L48" i="111"/>
  <c r="M49" i="111"/>
  <c r="E49" i="111"/>
  <c r="C51" i="111"/>
  <c r="E50" i="111" a="1"/>
  <c r="M50" i="111" a="1"/>
  <c r="L49" i="111" a="1"/>
  <c r="D51" i="111" a="1"/>
  <c r="D51" i="111" l="1"/>
  <c r="L49" i="111"/>
  <c r="M50" i="111"/>
  <c r="E50" i="111"/>
  <c r="C52" i="111"/>
  <c r="E51" i="111" a="1"/>
  <c r="L50" i="111" a="1"/>
  <c r="M51" i="111" a="1"/>
  <c r="D52" i="111" a="1"/>
  <c r="D52" i="111" l="1"/>
  <c r="L50" i="111"/>
  <c r="E51" i="111"/>
  <c r="M51" i="111"/>
  <c r="C53" i="111"/>
  <c r="E52" i="111" a="1"/>
  <c r="L51" i="111" a="1"/>
  <c r="M52" i="111" a="1"/>
  <c r="D53" i="111" a="1"/>
  <c r="D53" i="111" l="1"/>
  <c r="L51" i="111"/>
  <c r="M52" i="111"/>
  <c r="E52" i="111"/>
  <c r="C54" i="111"/>
  <c r="E53" i="111" a="1"/>
  <c r="D54" i="111" a="1"/>
  <c r="M53" i="111" a="1"/>
  <c r="L52" i="111" a="1"/>
  <c r="D54" i="111" l="1"/>
  <c r="L52" i="111"/>
  <c r="E53" i="111"/>
  <c r="M53" i="111"/>
  <c r="C55" i="111"/>
  <c r="L53" i="111" a="1"/>
  <c r="E54" i="111" a="1"/>
  <c r="D55" i="111" a="1"/>
  <c r="M54" i="111" a="1"/>
  <c r="D55" i="111" l="1"/>
  <c r="L53" i="111"/>
  <c r="E54" i="111"/>
  <c r="M54" i="111"/>
  <c r="C56" i="111"/>
  <c r="L54" i="111" a="1"/>
  <c r="D56" i="111" a="1"/>
  <c r="M55" i="111" a="1"/>
  <c r="E55" i="111" a="1"/>
  <c r="D56" i="111" l="1"/>
  <c r="L54" i="111"/>
  <c r="M55" i="111"/>
  <c r="E55" i="111"/>
  <c r="C57" i="111"/>
  <c r="E56" i="111" a="1"/>
  <c r="D57" i="111" a="1"/>
  <c r="M56" i="111" a="1"/>
  <c r="L55" i="111" a="1"/>
  <c r="D57" i="111" l="1"/>
  <c r="L55" i="111"/>
  <c r="M56" i="111"/>
  <c r="E56" i="111"/>
  <c r="C58" i="111"/>
  <c r="E57" i="111" a="1"/>
  <c r="D58" i="111" a="1"/>
  <c r="M57" i="111" a="1"/>
  <c r="L56" i="111" a="1"/>
  <c r="D58" i="111" l="1"/>
  <c r="L56" i="111"/>
  <c r="M57" i="111"/>
  <c r="E57" i="111"/>
  <c r="C59" i="111"/>
  <c r="L57" i="111" a="1"/>
  <c r="D59" i="111" a="1"/>
  <c r="M58" i="111" a="1"/>
  <c r="E58" i="111" a="1"/>
  <c r="D59" i="111" l="1"/>
  <c r="L57" i="111"/>
  <c r="E58" i="111"/>
  <c r="M58" i="111"/>
  <c r="C60" i="111"/>
  <c r="E59" i="111" a="1"/>
  <c r="L58" i="111" a="1"/>
  <c r="D60" i="111" a="1"/>
  <c r="M59" i="111" a="1"/>
  <c r="D60" i="111" l="1"/>
  <c r="L58" i="111"/>
  <c r="M59" i="111"/>
  <c r="E59" i="111"/>
  <c r="E60" i="111" a="1"/>
  <c r="L59" i="111" a="1"/>
  <c r="L59" i="111" l="1"/>
  <c r="E60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<sst xmlns="http://schemas.openxmlformats.org/spreadsheetml/2006/main" count="70" uniqueCount="56">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</sst>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3.6267765536544339E-3</c:v>
                </c:pt>
                <c:pt idx="7">
                  <c:v>2.0443539567702115E-2</c:v>
                </c:pt>
                <c:pt idx="8">
                  <c:v>3.8733360908313967E-2</c:v>
                </c:pt>
                <c:pt idx="9">
                  <c:v>5.8748043285112336E-2</c:v>
                </c:pt>
                <c:pt idx="10">
                  <c:v>8.079994688440123E-2</c:v>
                </c:pt>
                <c:pt idx="11">
                  <c:v>0.10528387143130208</c:v>
                </c:pt>
                <c:pt idx="12">
                  <c:v>0.13271107393801368</c:v>
                </c:pt>
                <c:pt idx="13">
                  <c:v>0.16376522336020913</c:v>
                </c:pt>
                <c:pt idx="14">
                  <c:v>0.19940114662819142</c:v>
                </c:pt>
                <c:pt idx="15">
                  <c:v>0.24103570150334719</c:v>
                </c:pt>
                <c:pt idx="16">
                  <c:v>0.29096575473433334</c:v>
                </c:pt>
                <c:pt idx="17">
                  <c:v>0.35347148681332285</c:v>
                </c:pt>
                <c:pt idx="18">
                  <c:v>0.43885934502018231</c:v>
                </c:pt>
                <c:pt idx="19">
                  <c:v>0.6017469499505026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3.1145258934894007</c:v>
                </c:pt>
                <c:pt idx="2">
                  <c:v>6.2290517869788014</c:v>
                </c:pt>
                <c:pt idx="3">
                  <c:v>9.3435776804682025</c:v>
                </c:pt>
                <c:pt idx="4">
                  <c:v>12.458103573957603</c:v>
                </c:pt>
                <c:pt idx="5">
                  <c:v>15.572629467447003</c:v>
                </c:pt>
                <c:pt idx="6">
                  <c:v>18.687155360936405</c:v>
                </c:pt>
                <c:pt idx="7">
                  <c:v>21.801681254425805</c:v>
                </c:pt>
                <c:pt idx="8">
                  <c:v>24.916207147915205</c:v>
                </c:pt>
                <c:pt idx="9">
                  <c:v>28.030733041404606</c:v>
                </c:pt>
                <c:pt idx="10">
                  <c:v>31.145258934894006</c:v>
                </c:pt>
                <c:pt idx="11">
                  <c:v>34.25978482838341</c:v>
                </c:pt>
                <c:pt idx="12">
                  <c:v>37.37431072187281</c:v>
                </c:pt>
                <c:pt idx="13">
                  <c:v>40.48883661536221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52.946940189319811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3.1145258934894082</c:v>
                </c:pt>
                <c:pt idx="2">
                  <c:v>6.2290517869787996</c:v>
                </c:pt>
                <c:pt idx="3">
                  <c:v>9.3435776804682078</c:v>
                </c:pt>
                <c:pt idx="4">
                  <c:v>12.458103573957599</c:v>
                </c:pt>
                <c:pt idx="5">
                  <c:v>15.572629467447006</c:v>
                </c:pt>
                <c:pt idx="6">
                  <c:v>18.687155360936398</c:v>
                </c:pt>
                <c:pt idx="7">
                  <c:v>21.801681254425805</c:v>
                </c:pt>
                <c:pt idx="8">
                  <c:v>24.916207147915209</c:v>
                </c:pt>
                <c:pt idx="9">
                  <c:v>28.030733041404616</c:v>
                </c:pt>
                <c:pt idx="10">
                  <c:v>31.145258934894002</c:v>
                </c:pt>
                <c:pt idx="11">
                  <c:v>34.259784828383424</c:v>
                </c:pt>
                <c:pt idx="12">
                  <c:v>37.374310721872817</c:v>
                </c:pt>
                <c:pt idx="13">
                  <c:v>40.488836615362203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52.946940189319825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3.1145258934894007</c:v>
                </c:pt>
                <c:pt idx="2">
                  <c:v>6.2290517869788014</c:v>
                </c:pt>
                <c:pt idx="3">
                  <c:v>9.3435776804682025</c:v>
                </c:pt>
                <c:pt idx="4">
                  <c:v>12.458103573957603</c:v>
                </c:pt>
                <c:pt idx="5">
                  <c:v>15.572629467447003</c:v>
                </c:pt>
                <c:pt idx="6">
                  <c:v>18.687155360936405</c:v>
                </c:pt>
                <c:pt idx="7">
                  <c:v>21.801681254425805</c:v>
                </c:pt>
                <c:pt idx="8">
                  <c:v>24.916207147915205</c:v>
                </c:pt>
                <c:pt idx="9">
                  <c:v>28.030733041404606</c:v>
                </c:pt>
                <c:pt idx="10">
                  <c:v>31.145258934894006</c:v>
                </c:pt>
                <c:pt idx="11">
                  <c:v>34.25978482838341</c:v>
                </c:pt>
                <c:pt idx="12">
                  <c:v>37.37431072187281</c:v>
                </c:pt>
                <c:pt idx="13">
                  <c:v>40.48883661536221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52.946940189319811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3.1145258934894082</c:v>
                </c:pt>
                <c:pt idx="2">
                  <c:v>6.2290517869787996</c:v>
                </c:pt>
                <c:pt idx="3">
                  <c:v>9.3435776804682078</c:v>
                </c:pt>
                <c:pt idx="4">
                  <c:v>12.458103573957599</c:v>
                </c:pt>
                <c:pt idx="5">
                  <c:v>15.572629467447006</c:v>
                </c:pt>
                <c:pt idx="6">
                  <c:v>18.687155360936398</c:v>
                </c:pt>
                <c:pt idx="7">
                  <c:v>21.801681254425805</c:v>
                </c:pt>
                <c:pt idx="8">
                  <c:v>24.916207147915209</c:v>
                </c:pt>
                <c:pt idx="9">
                  <c:v>28.030733041404616</c:v>
                </c:pt>
                <c:pt idx="10">
                  <c:v>31.145258934894002</c:v>
                </c:pt>
                <c:pt idx="11">
                  <c:v>34.259784828383424</c:v>
                </c:pt>
                <c:pt idx="12">
                  <c:v>37.374310721872817</c:v>
                </c:pt>
                <c:pt idx="13">
                  <c:v>40.488836615362203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52.946940189319825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3.475765700755642</c:v>
                </c:pt>
                <c:pt idx="2">
                  <c:v>6.9562868114355787</c:v>
                </c:pt>
                <c:pt idx="3">
                  <c:v>10.442045533105404</c:v>
                </c:pt>
                <c:pt idx="4">
                  <c:v>13.933603539966196</c:v>
                </c:pt>
                <c:pt idx="5">
                  <c:v>17.43161854112271</c:v>
                </c:pt>
                <c:pt idx="6">
                  <c:v>20.993790970996479</c:v>
                </c:pt>
                <c:pt idx="7">
                  <c:v>24.82436803521345</c:v>
                </c:pt>
                <c:pt idx="8">
                  <c:v>28.806370757963851</c:v>
                </c:pt>
                <c:pt idx="9">
                  <c:v>32.975711759075779</c:v>
                </c:pt>
                <c:pt idx="10">
                  <c:v>37.380216367957125</c:v>
                </c:pt>
                <c:pt idx="11">
                  <c:v>42.085120499815076</c:v>
                </c:pt>
                <c:pt idx="12">
                  <c:v>47.182110151109583</c:v>
                </c:pt>
                <c:pt idx="13">
                  <c:v>52.80506020175325</c:v>
                </c:pt>
                <c:pt idx="14">
                  <c:v>59.159504493190489</c:v>
                </c:pt>
                <c:pt idx="15">
                  <c:v>66.583356187316525</c:v>
                </c:pt>
                <c:pt idx="16">
                  <c:v>75.689750860801027</c:v>
                </c:pt>
                <c:pt idx="17">
                  <c:v>87.777308385203597</c:v>
                </c:pt>
                <c:pt idx="18">
                  <c:v>106.50438743633541</c:v>
                </c:pt>
                <c:pt idx="19">
                  <c:v>157.16557766307949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IPR_pi_sm3dayatm"/>
      <definedName name="IPR_pwf_atma"/>
      <definedName name="IPR_qliq_sm3day"/>
      <definedName name="MF_gas_fraction_d"/>
      <definedName name="MF_q_mix_rc_m3day"/>
      <definedName name="PVT_encode_string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zoomScale="115" zoomScaleNormal="115" workbookViewId="0">
      <selection activeCell="J19" sqref="J19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6</v>
      </c>
      <c r="F1" t="s">
        <v>34</v>
      </c>
      <c r="G1" t="str">
        <f>[1]!unf_Version()</f>
        <v>7.25</v>
      </c>
      <c r="H1" t="s">
        <v>41</v>
      </c>
      <c r="I1" s="21">
        <v>44026</v>
      </c>
      <c r="J1" s="22"/>
      <c r="K1" s="22"/>
      <c r="L1" s="22"/>
    </row>
    <row r="2" spans="1:12" x14ac:dyDescent="0.2">
      <c r="A2" t="s">
        <v>55</v>
      </c>
      <c r="H2" t="s">
        <v>42</v>
      </c>
      <c r="I2" s="23">
        <v>7.25</v>
      </c>
      <c r="J2" s="22"/>
      <c r="K2" s="22"/>
      <c r="L2" s="22"/>
    </row>
    <row r="3" spans="1:12" ht="15" x14ac:dyDescent="0.25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5" x14ac:dyDescent="0.25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5" x14ac:dyDescent="0.25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0.88</v>
      </c>
      <c r="D11" s="4"/>
      <c r="E11" s="20">
        <f>gamma_oil_*1000</f>
        <v>880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20">
        <f>Rsb_/gamma_oil_</f>
        <v>90.909090909090907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20">
        <f>Rsb_/gamma_oil_</f>
        <v>90.909090909090907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8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75" x14ac:dyDescent="0.3">
      <c r="B20" s="7" t="s">
        <v>23</v>
      </c>
      <c r="C20" s="2">
        <v>50</v>
      </c>
      <c r="D20" s="5" t="s">
        <v>3</v>
      </c>
      <c r="E20" s="19">
        <f>fw_/100</f>
        <v>0.5</v>
      </c>
      <c r="F20" s="10" t="s">
        <v>37</v>
      </c>
    </row>
    <row r="21" spans="1:6" ht="18" x14ac:dyDescent="0.35">
      <c r="B21" s="5" t="s">
        <v>22</v>
      </c>
      <c r="C21" s="9">
        <f>[1]!PVT_pb_atma(Tres_,gamma_gas_,gamma_oil_,gamma_wat_,Rsb_,Rp_,Pb_cal_,Tres_,Bob_,muob_)</f>
        <v>119.99999999999999</v>
      </c>
      <c r="D21" s="5" t="s">
        <v>15</v>
      </c>
      <c r="E21" s="20">
        <f>Pb_*1.01325/10</f>
        <v>12.158999999999999</v>
      </c>
      <c r="F21" s="10" t="s">
        <v>16</v>
      </c>
    </row>
    <row r="23" spans="1:6" x14ac:dyDescent="0.2">
      <c r="A23" s="1" t="s">
        <v>5</v>
      </c>
      <c r="B23" s="1"/>
      <c r="C23" s="1"/>
      <c r="D23" s="1"/>
    </row>
    <row r="24" spans="1:6" ht="18" customHeight="1" x14ac:dyDescent="0.3">
      <c r="B24" s="7" t="s">
        <v>24</v>
      </c>
      <c r="C24" s="2">
        <v>55</v>
      </c>
      <c r="D24" s="5" t="s">
        <v>30</v>
      </c>
    </row>
    <row r="25" spans="1:6" ht="18" customHeight="1" x14ac:dyDescent="0.3">
      <c r="B25" s="7" t="s">
        <v>25</v>
      </c>
      <c r="C25" s="2">
        <v>45</v>
      </c>
      <c r="D25" s="5" t="s">
        <v>29</v>
      </c>
    </row>
    <row r="27" spans="1:6" x14ac:dyDescent="0.2">
      <c r="A27" s="1" t="s">
        <v>0</v>
      </c>
    </row>
    <row r="28" spans="1:6" ht="19.5" customHeight="1" x14ac:dyDescent="0.3">
      <c r="B28" s="7" t="s">
        <v>27</v>
      </c>
      <c r="C28" s="2">
        <v>150</v>
      </c>
      <c r="D28" s="5" t="s">
        <v>29</v>
      </c>
    </row>
    <row r="29" spans="1:6" ht="19.5" customHeight="1" x14ac:dyDescent="0.25">
      <c r="B29" s="7" t="s">
        <v>26</v>
      </c>
      <c r="C29" s="16" cm="1">
        <f t="array" ref="C29">[1]!IPR_pi_sm3dayatm(qltest_,Pwftest_,Pres_,fw_,Pb_)</f>
        <v>0.61111111111111116</v>
      </c>
      <c r="D29" s="5" t="s">
        <v>31</v>
      </c>
    </row>
    <row r="30" spans="1:6" ht="19.5" customHeight="1" x14ac:dyDescent="0.3">
      <c r="B30" s="5" t="s">
        <v>32</v>
      </c>
      <c r="C30" s="17" cm="1">
        <f t="array" ref="C30">[1]!IPR_qliq_sm3day(PI_,Pres_,1,fw_,Pb_)</f>
        <v>62.290517869788012</v>
      </c>
      <c r="D30" s="5" t="s">
        <v>30</v>
      </c>
    </row>
    <row r="32" spans="1:6" x14ac:dyDescent="0.2">
      <c r="A32" s="11" t="s">
        <v>33</v>
      </c>
    </row>
    <row r="33" spans="2:23" ht="15" x14ac:dyDescent="0.25">
      <c r="B33" s="7" t="s">
        <v>4</v>
      </c>
      <c r="C33" s="2">
        <v>20</v>
      </c>
      <c r="D33" s="4"/>
    </row>
    <row r="35" spans="2:23" ht="15" x14ac:dyDescent="0.25">
      <c r="B35" s="7" t="s">
        <v>38</v>
      </c>
      <c r="C35" s="12" t="str" cm="1">
        <f t="array" ref="C35">[1]!PVT_encode_string(gamma_gas_,gamma_oil_,gamma_wat_,Rsb_,Rp_,Pb_cal_,Tres_,Bob_,muob_)</f>
        <v>{"gamma_gas":0.8,"gamma_oil":0.88,"gamma_wat":1,"rsb_m3m3":80,"rp_m3m3":80,"pb_atma":120,"t_res_C":100,"bob_m3m3":1.2,"muob_cP":1}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">
      <c r="C40" s="18">
        <v>0</v>
      </c>
      <c r="D40" s="17" cm="1">
        <f t="array" ref="D40">[1]!IPR_pwf_atma(PI_,Pres_,C40,fw_,Pb_)</f>
        <v>150</v>
      </c>
      <c r="E40" s="17" cm="1">
        <f t="array" ref="E40">[1]!IPR_qliq_sm3day(PI_,Pres_,D40,fw_,Pb_)</f>
        <v>0</v>
      </c>
      <c r="L40" s="17" cm="1">
        <f t="array" ref="L40">[1]!MF_q_mix_rc_m3day(E40,fw_,D40,Tres_,PVT_str_)</f>
        <v>0</v>
      </c>
      <c r="M40" s="16" cm="1">
        <f t="array" ref="M40">[1]!MF_gas_fraction_d(D40,Tres_,fw_,PVT_str_)</f>
        <v>0</v>
      </c>
    </row>
    <row r="41" spans="2:23" x14ac:dyDescent="0.2">
      <c r="C41" s="18">
        <f t="shared" ref="C41:C60" si="0">C40+qmax_/N_</f>
        <v>3.1145258934894007</v>
      </c>
      <c r="D41" s="17" cm="1">
        <f t="array" ref="D41">[1]!IPR_pwf_atma(PI_,Pres_,C41,fw_,Pb_)</f>
        <v>144.90350308338097</v>
      </c>
      <c r="E41" s="17" cm="1">
        <f t="array" ref="E41">[1]!IPR_qliq_sm3day(PI_,Pres_,D41,fw_,Pb_)</f>
        <v>3.1145258934894082</v>
      </c>
      <c r="L41" s="17" cm="1">
        <f t="array" ref="L41">[1]!MF_q_mix_rc_m3day(E41,fw_,D41,Tres_,PVT_str_)</f>
        <v>3.475765700755642</v>
      </c>
      <c r="M41" s="16" cm="1">
        <f t="array" ref="M41">[1]!MF_gas_fraction_d(D41,Tres_,fw_,PVT_str_)</f>
        <v>0</v>
      </c>
    </row>
    <row r="42" spans="2:23" x14ac:dyDescent="0.2">
      <c r="C42" s="18">
        <f t="shared" si="0"/>
        <v>6.2290517869788014</v>
      </c>
      <c r="D42" s="17" cm="1">
        <f t="array" ref="D42">[1]!IPR_pwf_atma(PI_,Pres_,C42,fw_,Pb_)</f>
        <v>139.80700616676197</v>
      </c>
      <c r="E42" s="17" cm="1">
        <f t="array" ref="E42">[1]!IPR_qliq_sm3day(PI_,Pres_,D42,fw_,Pb_)</f>
        <v>6.2290517869787996</v>
      </c>
      <c r="L42" s="17" cm="1">
        <f t="array" ref="L42">[1]!MF_q_mix_rc_m3day(E42,fw_,D42,Tres_,PVT_str_)</f>
        <v>6.9562868114355787</v>
      </c>
      <c r="M42" s="16" cm="1">
        <f t="array" ref="M42">[1]!MF_gas_fraction_d(D42,Tres_,fw_,PVT_str_)</f>
        <v>0</v>
      </c>
    </row>
    <row r="43" spans="2:23" x14ac:dyDescent="0.2">
      <c r="C43" s="18">
        <f t="shared" si="0"/>
        <v>9.3435776804682025</v>
      </c>
      <c r="D43" s="17" cm="1">
        <f t="array" ref="D43">[1]!IPR_pwf_atma(PI_,Pres_,C43,fw_,Pb_)</f>
        <v>134.71050925014293</v>
      </c>
      <c r="E43" s="17" cm="1">
        <f t="array" ref="E43">[1]!IPR_qliq_sm3day(PI_,Pres_,D43,fw_,Pb_)</f>
        <v>9.3435776804682078</v>
      </c>
      <c r="L43" s="17" cm="1">
        <f t="array" ref="L43">[1]!MF_q_mix_rc_m3day(E43,fw_,D43,Tres_,PVT_str_)</f>
        <v>10.442045533105404</v>
      </c>
      <c r="M43" s="16" cm="1">
        <f t="array" ref="M43">[1]!MF_gas_fraction_d(D43,Tres_,fw_,PVT_str_)</f>
        <v>0</v>
      </c>
    </row>
    <row r="44" spans="2:23" x14ac:dyDescent="0.2">
      <c r="C44" s="18">
        <f t="shared" si="0"/>
        <v>12.458103573957603</v>
      </c>
      <c r="D44" s="17" cm="1">
        <f t="array" ref="D44">[1]!IPR_pwf_atma(PI_,Pres_,C44,fw_,Pb_)</f>
        <v>129.61401233352393</v>
      </c>
      <c r="E44" s="17" cm="1">
        <f t="array" ref="E44">[1]!IPR_qliq_sm3day(PI_,Pres_,D44,fw_,Pb_)</f>
        <v>12.458103573957599</v>
      </c>
      <c r="L44" s="17" cm="1">
        <f t="array" ref="L44">[1]!MF_q_mix_rc_m3day(E44,fw_,D44,Tres_,PVT_str_)</f>
        <v>13.933603539966196</v>
      </c>
      <c r="M44" s="16" cm="1">
        <f t="array" ref="M44">[1]!MF_gas_fraction_d(D44,Tres_,fw_,PVT_str_)</f>
        <v>0</v>
      </c>
    </row>
    <row r="45" spans="2:23" x14ac:dyDescent="0.2">
      <c r="C45" s="18">
        <f t="shared" si="0"/>
        <v>15.572629467447003</v>
      </c>
      <c r="D45" s="17" cm="1">
        <f t="array" ref="D45">[1]!IPR_pwf_atma(PI_,Pres_,C45,fw_,Pb_)</f>
        <v>124.5175154169049</v>
      </c>
      <c r="E45" s="17" cm="1">
        <f t="array" ref="E45">[1]!IPR_qliq_sm3day(PI_,Pres_,D45,fw_,Pb_)</f>
        <v>15.572629467447006</v>
      </c>
      <c r="L45" s="17" cm="1">
        <f t="array" ref="L45">[1]!MF_q_mix_rc_m3day(E45,fw_,D45,Tres_,PVT_str_)</f>
        <v>17.43161854112271</v>
      </c>
      <c r="M45" s="16" cm="1">
        <f t="array" ref="M45">[1]!MF_gas_fraction_d(D45,Tres_,fw_,PVT_str_)</f>
        <v>0</v>
      </c>
    </row>
    <row r="46" spans="2:23" x14ac:dyDescent="0.2">
      <c r="C46" s="18">
        <f t="shared" si="0"/>
        <v>18.687155360936405</v>
      </c>
      <c r="D46" s="17" cm="1">
        <f t="array" ref="D46">[1]!IPR_pwf_atma(PI_,Pres_,C46,fw_,Pb_)</f>
        <v>119.42039504657394</v>
      </c>
      <c r="E46" s="17" cm="1">
        <f t="array" ref="E46">[1]!IPR_qliq_sm3day(PI_,Pres_,D46,fw_,Pb_)</f>
        <v>18.687155360936398</v>
      </c>
      <c r="L46" s="17" cm="1">
        <f t="array" ref="L46">[1]!MF_q_mix_rc_m3day(E46,fw_,D46,Tres_,PVT_str_)</f>
        <v>20.993790970996479</v>
      </c>
      <c r="M46" s="16" cm="1">
        <f t="array" ref="M46">[1]!MF_gas_fraction_d(D46,Tres_,fw_,PVT_str_)</f>
        <v>3.6267765536544339E-3</v>
      </c>
    </row>
    <row r="47" spans="2:23" x14ac:dyDescent="0.2">
      <c r="C47" s="18">
        <f t="shared" si="0"/>
        <v>21.801681254425805</v>
      </c>
      <c r="D47" s="17" cm="1">
        <f t="array" ref="D47">[1]!IPR_pwf_atma(PI_,Pres_,C47,fw_,Pb_)</f>
        <v>114.26222369350633</v>
      </c>
      <c r="E47" s="17" cm="1">
        <f t="array" ref="E47">[1]!IPR_qliq_sm3day(PI_,Pres_,D47,fw_,Pb_)</f>
        <v>21.801681254425805</v>
      </c>
      <c r="L47" s="17" cm="1">
        <f t="array" ref="L47">[1]!MF_q_mix_rc_m3day(E47,fw_,D47,Tres_,PVT_str_)</f>
        <v>24.82436803521345</v>
      </c>
      <c r="M47" s="16" cm="1">
        <f t="array" ref="M47">[1]!MF_gas_fraction_d(D47,Tres_,fw_,PVT_str_)</f>
        <v>2.0443539567702115E-2</v>
      </c>
    </row>
    <row r="48" spans="2:23" x14ac:dyDescent="0.2">
      <c r="C48" s="18">
        <f t="shared" si="0"/>
        <v>24.916207147915205</v>
      </c>
      <c r="D48" s="17" cm="1">
        <f t="array" ref="D48">[1]!IPR_pwf_atma(PI_,Pres_,C48,fw_,Pb_)</f>
        <v>108.99407103603107</v>
      </c>
      <c r="E48" s="17" cm="1">
        <f t="array" ref="E48">[1]!IPR_qliq_sm3day(PI_,Pres_,D48,fw_,Pb_)</f>
        <v>24.916207147915209</v>
      </c>
      <c r="L48" s="17" cm="1">
        <f t="array" ref="L48">[1]!MF_q_mix_rc_m3day(E48,fw_,D48,Tres_,PVT_str_)</f>
        <v>28.806370757963851</v>
      </c>
      <c r="M48" s="16" cm="1">
        <f t="array" ref="M48">[1]!MF_gas_fraction_d(D48,Tres_,fw_,PVT_str_)</f>
        <v>3.8733360908313967E-2</v>
      </c>
    </row>
    <row r="49" spans="3:13" x14ac:dyDescent="0.2">
      <c r="C49" s="18">
        <f t="shared" si="0"/>
        <v>28.030733041404606</v>
      </c>
      <c r="D49" s="17" cm="1">
        <f t="array" ref="D49">[1]!IPR_pwf_atma(PI_,Pres_,C49,fw_,Pb_)</f>
        <v>103.60073760396224</v>
      </c>
      <c r="E49" s="17" cm="1">
        <f t="array" ref="E49">[1]!IPR_qliq_sm3day(PI_,Pres_,D49,fw_,Pb_)</f>
        <v>28.030733041404616</v>
      </c>
      <c r="L49" s="17" cm="1">
        <f t="array" ref="L49">[1]!MF_q_mix_rc_m3day(E49,fw_,D49,Tres_,PVT_str_)</f>
        <v>32.975711759075779</v>
      </c>
      <c r="M49" s="16" cm="1">
        <f t="array" ref="M49">[1]!MF_gas_fraction_d(D49,Tres_,fw_,PVT_str_)</f>
        <v>5.8748043285112336E-2</v>
      </c>
    </row>
    <row r="50" spans="3:13" x14ac:dyDescent="0.2">
      <c r="C50" s="18">
        <f t="shared" si="0"/>
        <v>31.145258934894006</v>
      </c>
      <c r="D50" s="17" cm="1">
        <f t="array" ref="D50">[1]!IPR_pwf_atma(PI_,Pres_,C50,fw_,Pb_)</f>
        <v>98.063162716959908</v>
      </c>
      <c r="E50" s="17" cm="1">
        <f t="array" ref="E50">[1]!IPR_qliq_sm3day(PI_,Pres_,D50,fw_,Pb_)</f>
        <v>31.145258934894002</v>
      </c>
      <c r="L50" s="17" cm="1">
        <f t="array" ref="L50">[1]!MF_q_mix_rc_m3day(E50,fw_,D50,Tres_,PVT_str_)</f>
        <v>37.380216367957125</v>
      </c>
      <c r="M50" s="16" cm="1">
        <f t="array" ref="M50">[1]!MF_gas_fraction_d(D50,Tres_,fw_,PVT_str_)</f>
        <v>8.079994688440123E-2</v>
      </c>
    </row>
    <row r="51" spans="3:13" x14ac:dyDescent="0.2">
      <c r="C51" s="18">
        <f t="shared" si="0"/>
        <v>34.25978482838341</v>
      </c>
      <c r="D51" s="17" cm="1">
        <f t="array" ref="D51">[1]!IPR_pwf_atma(PI_,Pres_,C51,fw_,Pb_)</f>
        <v>92.35689348324081</v>
      </c>
      <c r="E51" s="17" cm="1">
        <f t="array" ref="E51">[1]!IPR_qliq_sm3day(PI_,Pres_,D51,fw_,Pb_)</f>
        <v>34.259784828383424</v>
      </c>
      <c r="L51" s="17" cm="1">
        <f t="array" ref="L51">[1]!MF_q_mix_rc_m3day(E51,fw_,D51,Tres_,PVT_str_)</f>
        <v>42.085120499815076</v>
      </c>
      <c r="M51" s="16" cm="1">
        <f t="array" ref="M51">[1]!MF_gas_fraction_d(D51,Tres_,fw_,PVT_str_)</f>
        <v>0.10528387143130208</v>
      </c>
    </row>
    <row r="52" spans="3:13" x14ac:dyDescent="0.2">
      <c r="C52" s="18">
        <f t="shared" si="0"/>
        <v>37.37431072187281</v>
      </c>
      <c r="D52" s="17" cm="1">
        <f t="array" ref="D52">[1]!IPR_pwf_atma(PI_,Pres_,C52,fw_,Pb_)</f>
        <v>86.449671798539356</v>
      </c>
      <c r="E52" s="17" cm="1">
        <f t="array" ref="E52">[1]!IPR_qliq_sm3day(PI_,Pres_,D52,fw_,Pb_)</f>
        <v>37.374310721872817</v>
      </c>
      <c r="L52" s="17" cm="1">
        <f t="array" ref="L52">[1]!MF_q_mix_rc_m3day(E52,fw_,D52,Tres_,PVT_str_)</f>
        <v>47.182110151109583</v>
      </c>
      <c r="M52" s="16" cm="1">
        <f t="array" ref="M52">[1]!MF_gas_fraction_d(D52,Tres_,fw_,PVT_str_)</f>
        <v>0.13271107393801368</v>
      </c>
    </row>
    <row r="53" spans="3:13" x14ac:dyDescent="0.2">
      <c r="C53" s="18">
        <f t="shared" si="0"/>
        <v>40.48883661536221</v>
      </c>
      <c r="D53" s="17" cm="1">
        <f t="array" ref="D53">[1]!IPR_pwf_atma(PI_,Pres_,C53,fw_,Pb_)</f>
        <v>80.297425246635356</v>
      </c>
      <c r="E53" s="17" cm="1">
        <f t="array" ref="E53">[1]!IPR_qliq_sm3day(PI_,Pres_,D53,fw_,Pb_)</f>
        <v>40.488836615362203</v>
      </c>
      <c r="L53" s="17" cm="1">
        <f t="array" ref="L53">[1]!MF_q_mix_rc_m3day(E53,fw_,D53,Tres_,PVT_str_)</f>
        <v>52.80506020175325</v>
      </c>
      <c r="M53" s="16" cm="1">
        <f t="array" ref="M53">[1]!MF_gas_fraction_d(D53,Tres_,fw_,PVT_str_)</f>
        <v>0.16376522336020913</v>
      </c>
    </row>
    <row r="54" spans="3:13" x14ac:dyDescent="0.2">
      <c r="C54" s="18">
        <f t="shared" si="0"/>
        <v>43.60336250885161</v>
      </c>
      <c r="D54" s="17" cm="1">
        <f t="array" ref="D54">[1]!IPR_pwf_atma(PI_,Pres_,C54,fw_,Pb_)</f>
        <v>73.837143660788257</v>
      </c>
      <c r="E54" s="17" cm="1">
        <f t="array" ref="E54">[1]!IPR_qliq_sm3day(PI_,Pres_,D54,fw_,Pb_)</f>
        <v>43.60336250885161</v>
      </c>
      <c r="L54" s="17" cm="1">
        <f t="array" ref="L54">[1]!MF_q_mix_rc_m3day(E54,fw_,D54,Tres_,PVT_str_)</f>
        <v>59.159504493190489</v>
      </c>
      <c r="M54" s="16" cm="1">
        <f t="array" ref="M54">[1]!MF_gas_fraction_d(D54,Tres_,fw_,PVT_str_)</f>
        <v>0.19940114662819142</v>
      </c>
    </row>
    <row r="55" spans="3:13" x14ac:dyDescent="0.2">
      <c r="C55" s="18">
        <f t="shared" si="0"/>
        <v>46.717888402341011</v>
      </c>
      <c r="D55" s="17" cm="1">
        <f t="array" ref="D55">[1]!IPR_pwf_atma(PI_,Pres_,C55,fw_,Pb_)</f>
        <v>66.973048477146321</v>
      </c>
      <c r="E55" s="17" cm="1">
        <f t="array" ref="E55">[1]!IPR_qliq_sm3day(PI_,Pres_,D55,fw_,Pb_)</f>
        <v>46.717888402341011</v>
      </c>
      <c r="L55" s="17" cm="1">
        <f t="array" ref="L55">[1]!MF_q_mix_rc_m3day(E55,fw_,D55,Tres_,PVT_str_)</f>
        <v>66.583356187316525</v>
      </c>
      <c r="M55" s="16" cm="1">
        <f t="array" ref="M55">[1]!MF_gas_fraction_d(D55,Tres_,fw_,PVT_str_)</f>
        <v>0.24103570150334719</v>
      </c>
    </row>
    <row r="56" spans="3:13" x14ac:dyDescent="0.2">
      <c r="C56" s="18">
        <f t="shared" si="0"/>
        <v>49.832414295830411</v>
      </c>
      <c r="D56" s="17" cm="1">
        <f t="array" ref="D56">[1]!IPR_pwf_atma(PI_,Pres_,C56,fw_,Pb_)</f>
        <v>59.546210632324176</v>
      </c>
      <c r="E56" s="17" cm="1">
        <f t="array" ref="E56">[1]!IPR_qliq_sm3day(PI_,Pres_,D56,fw_,Pb_)</f>
        <v>49.832414295830411</v>
      </c>
      <c r="L56" s="17" cm="1">
        <f t="array" ref="L56">[1]!MF_q_mix_rc_m3day(E56,fw_,D56,Tres_,PVT_str_)</f>
        <v>75.689750860801027</v>
      </c>
      <c r="M56" s="16" cm="1">
        <f t="array" ref="M56">[1]!MF_gas_fraction_d(D56,Tres_,fw_,PVT_str_)</f>
        <v>0.29096575473433334</v>
      </c>
    </row>
    <row r="57" spans="3:13" x14ac:dyDescent="0.2">
      <c r="C57" s="18">
        <f t="shared" si="0"/>
        <v>52.946940189319811</v>
      </c>
      <c r="D57" s="17" cm="1">
        <f t="array" ref="D57">[1]!IPR_pwf_atma(PI_,Pres_,C57,fw_,Pb_)</f>
        <v>51.25411439418022</v>
      </c>
      <c r="E57" s="17" cm="1">
        <f t="array" ref="E57">[1]!IPR_qliq_sm3day(PI_,Pres_,D57,fw_,Pb_)</f>
        <v>52.946940189319825</v>
      </c>
      <c r="L57" s="17" cm="1">
        <f t="array" ref="L57">[1]!MF_q_mix_rc_m3day(E57,fw_,D57,Tres_,PVT_str_)</f>
        <v>87.777308385203597</v>
      </c>
      <c r="M57" s="16" cm="1">
        <f t="array" ref="M57">[1]!MF_gas_fraction_d(D57,Tres_,fw_,PVT_str_)</f>
        <v>0.35347148681332285</v>
      </c>
    </row>
    <row r="58" spans="3:13" x14ac:dyDescent="0.2">
      <c r="C58" s="18">
        <f t="shared" si="0"/>
        <v>56.061466082809211</v>
      </c>
      <c r="D58" s="17" cm="1">
        <f t="array" ref="D58">[1]!IPR_pwf_atma(PI_,Pres_,C58,fw_,Pb_)</f>
        <v>41.354769023300101</v>
      </c>
      <c r="E58" s="17" cm="1">
        <f t="array" ref="E58">[1]!IPR_qliq_sm3day(PI_,Pres_,D58,fw_,Pb_)</f>
        <v>56.061466082809211</v>
      </c>
      <c r="L58" s="17" cm="1">
        <f t="array" ref="L58">[1]!MF_q_mix_rc_m3day(E58,fw_,D58,Tres_,PVT_str_)</f>
        <v>106.50438743633541</v>
      </c>
      <c r="M58" s="16" cm="1">
        <f t="array" ref="M58">[1]!MF_gas_fraction_d(D58,Tres_,fw_,PVT_str_)</f>
        <v>0.43885934502018231</v>
      </c>
    </row>
    <row r="59" spans="3:13" x14ac:dyDescent="0.2">
      <c r="C59" s="18">
        <f t="shared" si="0"/>
        <v>59.175991976298612</v>
      </c>
      <c r="D59" s="17" cm="1">
        <f t="array" ref="D59">[1]!IPR_pwf_atma(PI_,Pres_,C59,fw_,Pb_)</f>
        <v>25.853379387327692</v>
      </c>
      <c r="E59" s="17" cm="1">
        <f t="array" ref="E59">[1]!IPR_qliq_sm3day(PI_,Pres_,D59,fw_,Pb_)</f>
        <v>59.175991976298612</v>
      </c>
      <c r="L59" s="17" cm="1">
        <f t="array" ref="L59">[1]!MF_q_mix_rc_m3day(E59,fw_,D59,Tres_,PVT_str_)</f>
        <v>157.16557766307949</v>
      </c>
      <c r="M59" s="16" cm="1">
        <f t="array" ref="M59">[1]!MF_gas_fraction_d(D59,Tres_,fw_,PVT_str_)</f>
        <v>0.6017469499505026</v>
      </c>
    </row>
    <row r="60" spans="3:13" x14ac:dyDescent="0.2">
      <c r="C60" s="18">
        <f t="shared" si="0"/>
        <v>62.290517869788012</v>
      </c>
      <c r="D60" s="17" cm="1">
        <f t="array" ref="D60">[1]!IPR_pwf_atma(PI_,Pres_,C60,fw_,Pb_)</f>
        <v>0.99999999999997113</v>
      </c>
      <c r="E60" s="17" cm="1">
        <f t="array" ref="E60">[1]!IPR_qliq_sm3day(PI_,Pres_,D60,fw_,Pb_)</f>
        <v>62.290517869788012</v>
      </c>
      <c r="L60" s="17"/>
      <c r="M60" s="1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2020-07-14T11:41:07Z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