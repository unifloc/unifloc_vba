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AC640B0-45E4-4221-BB0D-C4823A08DDB9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G36" i="113" a="1"/>
  <c r="H41" i="113" a="1"/>
  <c r="H46" i="113" a="1"/>
  <c r="H29" i="113" a="1"/>
  <c r="S32" i="113" a="1"/>
  <c r="G25" i="113" a="1"/>
  <c r="D33" i="113" a="1"/>
  <c r="H36" i="113" a="1"/>
  <c r="D48" i="113" a="1"/>
  <c r="D38" i="113" a="1"/>
  <c r="D28" i="113" a="1"/>
  <c r="D49" i="113" a="1"/>
  <c r="S34" i="113" a="1"/>
  <c r="T29" i="113" a="1"/>
  <c r="G35" i="113" a="1"/>
  <c r="D43" i="113" a="1"/>
  <c r="T34" i="113" a="1"/>
  <c r="H31" i="113" a="1"/>
  <c r="H48" i="113" a="1"/>
  <c r="H26" i="113" a="1"/>
  <c r="G40" i="113" a="1"/>
  <c r="H35" i="113" a="1"/>
  <c r="G27" i="113" a="1"/>
  <c r="D47" i="113" a="1"/>
  <c r="S28" i="113" a="1"/>
  <c r="S27" i="113" a="1"/>
  <c r="G26" i="113" a="1"/>
  <c r="G49" i="113" a="1"/>
  <c r="T37" i="113" a="1"/>
  <c r="S37" i="113" a="1"/>
  <c r="S29" i="113" a="1"/>
  <c r="G41" i="113" a="1"/>
  <c r="G28" i="113" a="1"/>
  <c r="D39" i="113" a="1"/>
  <c r="G47" i="113" a="1"/>
  <c r="H32" i="113" a="1"/>
  <c r="G45" i="113" a="1"/>
  <c r="T26" i="113" a="1"/>
  <c r="H25" i="113" a="1"/>
  <c r="H40" i="113" a="1"/>
  <c r="H47" i="113" a="1"/>
  <c r="D37" i="113" a="1"/>
  <c r="H50" i="113" a="1"/>
  <c r="G39" i="113" a="1"/>
  <c r="T25" i="113" a="1"/>
  <c r="S31" i="113" a="1"/>
  <c r="G46" i="113" a="1"/>
  <c r="D25" i="113" a="1"/>
  <c r="H30" i="113" a="1"/>
  <c r="H49" i="113" a="1"/>
  <c r="G48" i="113" a="1"/>
  <c r="G44" i="113" a="1"/>
  <c r="G34" i="113" a="1"/>
  <c r="G38" i="113" a="1"/>
  <c r="G29" i="113" a="1"/>
  <c r="D31" i="113" a="1"/>
  <c r="D26" i="113" a="1"/>
  <c r="G42" i="113" a="1"/>
  <c r="G37" i="113" a="1"/>
  <c r="G43" i="113" a="1"/>
  <c r="G31" i="113" a="1"/>
  <c r="S35" i="113" a="1"/>
  <c r="H42" i="113" a="1"/>
  <c r="G50" i="113" a="1"/>
  <c r="T28" i="113" a="1"/>
  <c r="D46" i="113" a="1"/>
  <c r="H34" i="113" a="1"/>
  <c r="H37" i="113" a="1"/>
  <c r="S25" i="113" a="1"/>
  <c r="D40" i="113" a="1"/>
  <c r="D36" i="113" a="1"/>
  <c r="D35" i="113" a="1"/>
  <c r="G30" i="113" a="1"/>
  <c r="H45" i="113" a="1"/>
  <c r="G32" i="113" a="1"/>
  <c r="S36" i="113" a="1"/>
  <c r="D30" i="113" a="1"/>
  <c r="H28" i="113" a="1"/>
  <c r="S30" i="113" a="1"/>
  <c r="D45" i="113" a="1"/>
  <c r="D27" i="113" a="1"/>
  <c r="H27" i="113" a="1"/>
  <c r="G33" i="113" a="1"/>
  <c r="T31" i="113" a="1"/>
  <c r="D50" i="113" a="1"/>
  <c r="T36" i="113" a="1"/>
  <c r="H43" i="113" a="1"/>
  <c r="D34" i="113" a="1"/>
  <c r="H38" i="113" a="1"/>
  <c r="T27" i="113" a="1"/>
  <c r="S33" i="113" a="1"/>
  <c r="D32" i="113" a="1"/>
  <c r="S26" i="113" a="1"/>
  <c r="H39" i="113" a="1"/>
  <c r="T30" i="113" a="1"/>
  <c r="H44" i="113" a="1"/>
  <c r="D29" i="113" a="1"/>
  <c r="T35" i="113" a="1"/>
  <c r="D41" i="113" a="1"/>
  <c r="T33" i="113" a="1"/>
  <c r="D44" i="113" a="1"/>
  <c r="D42" i="113" a="1"/>
  <c r="H33" i="113" a="1"/>
  <c r="T32" i="113" a="1"/>
  <c r="G1" i="113"/>
  <c r="T36" i="113" l="1"/>
  <c r="T32" i="113"/>
  <c r="D26" i="113"/>
  <c r="H28" i="113"/>
  <c r="H31" i="113"/>
  <c r="T26" i="113"/>
  <c r="T28" i="113"/>
  <c r="T34" i="113"/>
  <c r="G49" i="113"/>
  <c r="H44" i="113"/>
  <c r="G44" i="113"/>
  <c r="H39" i="113"/>
  <c r="S27" i="113"/>
  <c r="H27" i="113"/>
  <c r="D45" i="113"/>
  <c r="H40" i="113"/>
  <c r="H45" i="113"/>
  <c r="D46" i="113"/>
  <c r="D41" i="113"/>
  <c r="T35" i="113"/>
  <c r="D29" i="113"/>
  <c r="S25" i="113"/>
  <c r="H29" i="113"/>
  <c r="G48" i="113"/>
  <c r="G37" i="113"/>
  <c r="H50" i="113"/>
  <c r="D37" i="113"/>
  <c r="H26" i="113"/>
  <c r="S29" i="113"/>
  <c r="T33" i="113"/>
  <c r="G34" i="113"/>
  <c r="T37" i="113"/>
  <c r="S32" i="113"/>
  <c r="G28" i="113"/>
  <c r="D34" i="113"/>
  <c r="G29" i="113"/>
  <c r="G42" i="113"/>
  <c r="D47" i="113"/>
  <c r="H35" i="113"/>
  <c r="G46" i="113"/>
  <c r="D44" i="113"/>
  <c r="S37" i="113"/>
  <c r="D35" i="113"/>
  <c r="D36" i="113"/>
  <c r="D40" i="113"/>
  <c r="D28" i="113"/>
  <c r="G31" i="113"/>
  <c r="T31" i="113"/>
  <c r="H49" i="113"/>
  <c r="H30" i="113"/>
  <c r="D25" i="113"/>
  <c r="D30" i="113"/>
  <c r="G45" i="113"/>
  <c r="G30" i="113"/>
  <c r="D33" i="113"/>
  <c r="G25" i="113"/>
  <c r="H38" i="113"/>
  <c r="T30" i="113"/>
  <c r="G26" i="113"/>
  <c r="S31" i="113"/>
  <c r="G33" i="113"/>
  <c r="D27" i="113"/>
  <c r="S30" i="113"/>
  <c r="H25" i="113"/>
  <c r="D48" i="113"/>
  <c r="H36" i="113"/>
  <c r="G47" i="113"/>
  <c r="D39" i="113"/>
  <c r="G38" i="113"/>
  <c r="H37" i="113"/>
  <c r="H46" i="113"/>
  <c r="H34" i="113"/>
  <c r="G36" i="113"/>
  <c r="D31" i="113"/>
  <c r="H47" i="113"/>
  <c r="H48" i="113"/>
  <c r="G32" i="113"/>
  <c r="H32" i="113"/>
  <c r="S33" i="113"/>
  <c r="T27" i="113"/>
  <c r="S35" i="113"/>
  <c r="G41" i="113"/>
  <c r="H43" i="113"/>
  <c r="H41" i="113"/>
  <c r="G39" i="113"/>
  <c r="D50" i="113"/>
  <c r="G40" i="113"/>
  <c r="D42" i="113"/>
  <c r="S26" i="113"/>
  <c r="D32" i="113"/>
  <c r="T29" i="113"/>
  <c r="S34" i="113"/>
  <c r="D49" i="113"/>
  <c r="D38" i="113"/>
  <c r="G43" i="113"/>
  <c r="T25" i="113"/>
  <c r="S28" i="113"/>
  <c r="G27" i="113"/>
  <c r="H33" i="113"/>
  <c r="S36" i="113"/>
  <c r="D43" i="113"/>
  <c r="G35" i="113"/>
  <c r="G50" i="113"/>
  <c r="H4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<sst xmlns="http://schemas.openxmlformats.org/spreadsheetml/2006/main" count="63" uniqueCount="48">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</sst>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7.9224658848759866</c:v>
                </c:pt>
                <c:pt idx="1">
                  <c:v>8.1302403865811979</c:v>
                </c:pt>
                <c:pt idx="2">
                  <c:v>8.3608027437609085</c:v>
                </c:pt>
                <c:pt idx="3">
                  <c:v>8.6157710510533754</c:v>
                </c:pt>
                <c:pt idx="4">
                  <c:v>8.8969654548411494</c:v>
                </c:pt>
                <c:pt idx="5">
                  <c:v>9.2064296869378506</c:v>
                </c:pt>
                <c:pt idx="6">
                  <c:v>9.5464556403469825</c:v>
                </c:pt>
                <c:pt idx="7">
                  <c:v>9.9196113982678114</c:v>
                </c:pt>
                <c:pt idx="8">
                  <c:v>10.32877319255771</c:v>
                </c:pt>
                <c:pt idx="9">
                  <c:v>10.777161843229262</c:v>
                </c:pt>
                <c:pt idx="10">
                  <c:v>11.268384318073426</c:v>
                </c:pt>
                <c:pt idx="11">
                  <c:v>12.395980594601085</c:v>
                </c:pt>
                <c:pt idx="12">
                  <c:v>13.750118860397523</c:v>
                </c:pt>
                <c:pt idx="13">
                  <c:v>15.379362887318788</c:v>
                </c:pt>
                <c:pt idx="14">
                  <c:v>17.345090264413638</c:v>
                </c:pt>
                <c:pt idx="15">
                  <c:v>19.725186199668027</c:v>
                </c:pt>
                <c:pt idx="16">
                  <c:v>22.618926339580366</c:v>
                </c:pt>
                <c:pt idx="17">
                  <c:v>26.153462174241213</c:v>
                </c:pt>
                <c:pt idx="18">
                  <c:v>30.492477945773999</c:v>
                </c:pt>
                <c:pt idx="19">
                  <c:v>35.847805596246801</c:v>
                </c:pt>
                <c:pt idx="20">
                  <c:v>42.495090706404184</c:v>
                </c:pt>
                <c:pt idx="21">
                  <c:v>50.795036060615423</c:v>
                </c:pt>
                <c:pt idx="22">
                  <c:v>61.222366501807734</c:v>
                </c:pt>
                <c:pt idx="23">
                  <c:v>74.405541267521571</c:v>
                </c:pt>
                <c:pt idx="24">
                  <c:v>91.181509012534377</c:v>
                </c:pt>
                <c:pt idx="25">
                  <c:v>112.6716353371126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-18.425663983288231</c:v>
                </c:pt>
                <c:pt idx="1">
                  <c:v>-10.989863391237515</c:v>
                </c:pt>
                <c:pt idx="2">
                  <c:v>-6.8900344710149461</c:v>
                </c:pt>
                <c:pt idx="3">
                  <c:v>-4.0929989066677823</c:v>
                </c:pt>
                <c:pt idx="4">
                  <c:v>-1.9873808484766817</c:v>
                </c:pt>
                <c:pt idx="5">
                  <c:v>-0.30842739960620591</c:v>
                </c:pt>
                <c:pt idx="6">
                  <c:v>1.082017024502038</c:v>
                </c:pt>
                <c:pt idx="7">
                  <c:v>2.2649294704209786</c:v>
                </c:pt>
                <c:pt idx="8">
                  <c:v>3.2917303426818258</c:v>
                </c:pt>
                <c:pt idx="9">
                  <c:v>4.1970488542647173</c:v>
                </c:pt>
                <c:pt idx="10">
                  <c:v>5.7342435643215559</c:v>
                </c:pt>
                <c:pt idx="11">
                  <c:v>7.0048326825414655</c:v>
                </c:pt>
                <c:pt idx="12">
                  <c:v>8.0839217400287602</c:v>
                </c:pt>
                <c:pt idx="13">
                  <c:v>9.0191438934485877</c:v>
                </c:pt>
                <c:pt idx="14">
                  <c:v>9.842542449525137</c:v>
                </c:pt>
                <c:pt idx="15">
                  <c:v>11.545309061323378</c:v>
                </c:pt>
                <c:pt idx="16">
                  <c:v>12.895108911846675</c:v>
                </c:pt>
                <c:pt idx="17">
                  <c:v>14.007257933891475</c:v>
                </c:pt>
                <c:pt idx="18">
                  <c:v>14.949099937304576</c:v>
                </c:pt>
                <c:pt idx="19">
                  <c:v>15.763261609394668</c:v>
                </c:pt>
                <c:pt idx="20">
                  <c:v>16.478367874755456</c:v>
                </c:pt>
                <c:pt idx="21">
                  <c:v>17.114533146023351</c:v>
                </c:pt>
                <c:pt idx="22">
                  <c:v>17.686408986465111</c:v>
                </c:pt>
                <c:pt idx="23">
                  <c:v>18.204984212682696</c:v>
                </c:pt>
                <c:pt idx="24">
                  <c:v>18.678702702621578</c:v>
                </c:pt>
                <c:pt idx="25">
                  <c:v>19.114186705497961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-7.0936203205039305</c:v>
                </c:pt>
                <c:pt idx="1">
                  <c:v>-2.515712128857956</c:v>
                </c:pt>
                <c:pt idx="2">
                  <c:v>0.23263807337849585</c:v>
                </c:pt>
                <c:pt idx="3">
                  <c:v>2.2143478943528976</c:v>
                </c:pt>
                <c:pt idx="4">
                  <c:v>3.7695204547413255</c:v>
                </c:pt>
                <c:pt idx="5">
                  <c:v>5.0517581202516908</c:v>
                </c:pt>
                <c:pt idx="6">
                  <c:v>6.1438706868884765</c:v>
                </c:pt>
                <c:pt idx="7">
                  <c:v>7.0957184298922016</c:v>
                </c:pt>
                <c:pt idx="8">
                  <c:v>7.9396996406122184</c:v>
                </c:pt>
                <c:pt idx="9">
                  <c:v>8.6980777163920493</c:v>
                </c:pt>
                <c:pt idx="10">
                  <c:v>10.017786303127195</c:v>
                </c:pt>
                <c:pt idx="11">
                  <c:v>11.140555775214807</c:v>
                </c:pt>
                <c:pt idx="12">
                  <c:v>12.118003111743405</c:v>
                </c:pt>
                <c:pt idx="13">
                  <c:v>12.983673522114941</c:v>
                </c:pt>
                <c:pt idx="14">
                  <c:v>13.760621911503222</c:v>
                </c:pt>
                <c:pt idx="15">
                  <c:v>15.413229893768744</c:v>
                </c:pt>
                <c:pt idx="16">
                  <c:v>16.769361984276827</c:v>
                </c:pt>
                <c:pt idx="17">
                  <c:v>17.918833124644152</c:v>
                </c:pt>
                <c:pt idx="18">
                  <c:v>18.91574841634241</c:v>
                </c:pt>
                <c:pt idx="19">
                  <c:v>19.795280057406842</c:v>
                </c:pt>
                <c:pt idx="20">
                  <c:v>20.581607483559026</c:v>
                </c:pt>
                <c:pt idx="21">
                  <c:v>21.29208164833841</c:v>
                </c:pt>
                <c:pt idx="22">
                  <c:v>21.939583986233004</c:v>
                </c:pt>
                <c:pt idx="23">
                  <c:v>22.533945600774473</c:v>
                </c:pt>
                <c:pt idx="24">
                  <c:v>23.082843415309299</c:v>
                </c:pt>
                <c:pt idx="25">
                  <c:v>23.592389045292691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70" zoomScaleNormal="70" workbookViewId="0">
      <selection activeCell="C14" sqref="C14"/>
    </sheetView>
  </sheetViews>
  <sheetFormatPr defaultRowHeight="12.75" x14ac:dyDescent="0.35"/>
  <cols>
    <col min="1" max="1" width="12.33203125" customWidth="1"/>
    <col min="2" max="2" width="11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1.6640625" customWidth="1"/>
    <col min="8" max="8" width="12.33203125" customWidth="1"/>
    <col min="10" max="10" width="11.33203125" customWidth="1"/>
    <col min="11" max="11" width="10.1328125" customWidth="1"/>
    <col min="14" max="14" width="14.46484375" customWidth="1"/>
    <col min="15" max="15" width="15.1328125" customWidth="1"/>
    <col min="19" max="19" width="15.1328125" customWidth="1"/>
    <col min="22" max="32" width="9.1328125" customWidth="1"/>
  </cols>
  <sheetData>
    <row r="1" spans="1:12" ht="13.15" x14ac:dyDescent="0.4">
      <c r="A1" s="1" t="s">
        <v>20</v>
      </c>
      <c r="F1" t="s">
        <v>22</v>
      </c>
      <c r="G1" t="str">
        <f>[1]!unf_version()</f>
        <v>7.38</v>
      </c>
      <c r="H1" s="12" t="s">
        <v>30</v>
      </c>
      <c r="I1" s="16">
        <v>44706</v>
      </c>
      <c r="J1" s="17"/>
      <c r="K1" s="17"/>
      <c r="L1" s="18"/>
    </row>
    <row r="2" spans="1:12" x14ac:dyDescent="0.35">
      <c r="A2" t="s">
        <v>21</v>
      </c>
      <c r="H2" s="12" t="s">
        <v>31</v>
      </c>
      <c r="I2" s="19">
        <v>7.38</v>
      </c>
      <c r="J2" s="14"/>
      <c r="K2" s="14"/>
      <c r="L2" s="15"/>
    </row>
    <row r="3" spans="1:12" ht="14.25" x14ac:dyDescent="0.45">
      <c r="A3" s="13" t="s">
        <v>23</v>
      </c>
      <c r="B3" s="30" t="s">
        <v>25</v>
      </c>
      <c r="C3" s="30"/>
      <c r="D3" s="30"/>
      <c r="E3" s="31"/>
      <c r="H3" s="13" t="s">
        <v>23</v>
      </c>
      <c r="I3" s="32" t="s">
        <v>25</v>
      </c>
      <c r="J3" s="32"/>
      <c r="K3" s="32"/>
      <c r="L3" s="32"/>
    </row>
    <row r="4" spans="1:12" ht="14.25" x14ac:dyDescent="0.45">
      <c r="A4" s="13" t="s">
        <v>27</v>
      </c>
      <c r="B4" s="30" t="s">
        <v>28</v>
      </c>
      <c r="C4" s="30"/>
      <c r="D4" s="30"/>
      <c r="E4" s="31"/>
      <c r="H4" s="13" t="s">
        <v>27</v>
      </c>
      <c r="I4" s="33" t="s">
        <v>28</v>
      </c>
      <c r="J4" s="33"/>
      <c r="K4" s="33"/>
      <c r="L4" s="33"/>
    </row>
    <row r="5" spans="1:12" ht="14.25" x14ac:dyDescent="0.45">
      <c r="A5" s="13" t="s">
        <v>32</v>
      </c>
      <c r="B5" s="30" t="s">
        <v>26</v>
      </c>
      <c r="C5" s="30"/>
      <c r="D5" s="30"/>
      <c r="E5" s="31"/>
      <c r="H5" s="13" t="s">
        <v>32</v>
      </c>
      <c r="I5" s="33" t="s">
        <v>26</v>
      </c>
      <c r="J5" s="33"/>
      <c r="K5" s="33"/>
      <c r="L5" s="33"/>
    </row>
    <row r="6" spans="1:12" x14ac:dyDescent="0.35">
      <c r="A6" s="36" t="s">
        <v>24</v>
      </c>
      <c r="B6" s="39" t="s">
        <v>29</v>
      </c>
      <c r="C6" s="40"/>
      <c r="D6" s="40"/>
      <c r="E6" s="41"/>
      <c r="H6" s="48" t="s">
        <v>24</v>
      </c>
      <c r="I6" s="49" t="s">
        <v>29</v>
      </c>
      <c r="J6" s="49"/>
      <c r="K6" s="49"/>
      <c r="L6" s="49"/>
    </row>
    <row r="7" spans="1:12" x14ac:dyDescent="0.35">
      <c r="A7" s="37"/>
      <c r="B7" s="42"/>
      <c r="C7" s="43"/>
      <c r="D7" s="43"/>
      <c r="E7" s="44"/>
      <c r="H7" s="48"/>
      <c r="I7" s="49"/>
      <c r="J7" s="49"/>
      <c r="K7" s="49"/>
      <c r="L7" s="49"/>
    </row>
    <row r="8" spans="1:12" x14ac:dyDescent="0.35">
      <c r="A8" s="38"/>
      <c r="B8" s="45"/>
      <c r="C8" s="46"/>
      <c r="D8" s="46"/>
      <c r="E8" s="47"/>
      <c r="H8" s="48"/>
      <c r="I8" s="49"/>
      <c r="J8" s="49"/>
      <c r="K8" s="49"/>
      <c r="L8" s="49"/>
    </row>
    <row r="10" spans="1:12" ht="13.15" x14ac:dyDescent="0.4">
      <c r="A10" s="1" t="s">
        <v>1</v>
      </c>
    </row>
    <row r="11" spans="1:12" ht="16.5" x14ac:dyDescent="0.55000000000000004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6.5" x14ac:dyDescent="0.55000000000000004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6.5" x14ac:dyDescent="0.55000000000000004">
      <c r="B13" s="3" t="s">
        <v>11</v>
      </c>
      <c r="C13" s="29">
        <v>0.74</v>
      </c>
      <c r="D13" s="5"/>
      <c r="E13" s="24">
        <f>gamma_gas_*1.22</f>
        <v>0.90279999999999994</v>
      </c>
      <c r="F13" s="25" t="s">
        <v>46</v>
      </c>
    </row>
    <row r="14" spans="1:12" ht="16.5" x14ac:dyDescent="0.55000000000000004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6.5" x14ac:dyDescent="0.55000000000000004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5.75" x14ac:dyDescent="0.55000000000000004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5.75" x14ac:dyDescent="0.55000000000000004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5.75" x14ac:dyDescent="0.55000000000000004">
      <c r="B18" s="6" t="s">
        <v>18</v>
      </c>
      <c r="C18" s="23">
        <v>1.2</v>
      </c>
      <c r="D18" s="3" t="s">
        <v>2</v>
      </c>
      <c r="E18" s="27"/>
      <c r="F18" s="28"/>
    </row>
    <row r="19" spans="2:25" ht="15.75" x14ac:dyDescent="0.55000000000000004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35">
      <c r="V21" s="10">
        <v>1</v>
      </c>
      <c r="W21" s="10" t="s">
        <v>40</v>
      </c>
      <c r="X21" s="34" t="s">
        <v>43</v>
      </c>
      <c r="Y21" s="35"/>
    </row>
    <row r="22" spans="2:25" x14ac:dyDescent="0.35">
      <c r="Q22" s="21"/>
      <c r="R22" s="22" t="s">
        <v>39</v>
      </c>
      <c r="S22" s="9">
        <v>1</v>
      </c>
      <c r="V22" s="10">
        <v>2</v>
      </c>
      <c r="W22" s="10" t="s">
        <v>41</v>
      </c>
      <c r="X22" s="34" t="s">
        <v>44</v>
      </c>
      <c r="Y22" s="35"/>
    </row>
    <row r="23" spans="2:25" x14ac:dyDescent="0.35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4" t="s">
        <v>45</v>
      </c>
      <c r="Y23" s="35"/>
    </row>
    <row r="24" spans="2:25" x14ac:dyDescent="0.35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35">
      <c r="C25" s="9">
        <v>0</v>
      </c>
      <c r="D25" s="20" cm="1">
        <f t="array" ref="D25">[1]!unf_fa_hydrate_p_Makogon_atma(C25,gamma_gas_)</f>
        <v>7.9224658848759866</v>
      </c>
      <c r="F25" s="9">
        <v>1</v>
      </c>
      <c r="G25" s="20" cm="1">
        <f t="array" ref="G25">[1]!unf_fa_hydrate_t_Moitee_C(F25,gamma_gas_)</f>
        <v>-18.425663983288231</v>
      </c>
      <c r="H25" s="20" cm="1">
        <f t="array" ref="H25">[1]!unf_fa_hydrate_t_Sun_C(F25,gamma_gas_)</f>
        <v>-7.0936203205039305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35">
      <c r="C26" s="9">
        <v>0.5</v>
      </c>
      <c r="D26" s="20" cm="1">
        <f t="array" ref="D26">[1]!unf_fa_hydrate_p_Makogon_atma(C26,gamma_gas_)</f>
        <v>8.1302403865811979</v>
      </c>
      <c r="F26" s="9">
        <v>2</v>
      </c>
      <c r="G26" s="20" cm="1">
        <f t="array" ref="G26">[1]!unf_fa_hydrate_t_Moitee_C(F26,gamma_gas_)</f>
        <v>-10.989863391237515</v>
      </c>
      <c r="H26" s="20" cm="1">
        <f t="array" ref="H26">[1]!unf_fa_hydrate_t_Sun_C(F26,gamma_gas_)</f>
        <v>-2.515712128857956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35">
      <c r="C27" s="9">
        <v>1</v>
      </c>
      <c r="D27" s="20" cm="1">
        <f t="array" ref="D27">[1]!unf_fa_hydrate_p_Makogon_atma(C27,gamma_gas_)</f>
        <v>8.3608027437609085</v>
      </c>
      <c r="F27" s="9">
        <v>3</v>
      </c>
      <c r="G27" s="20" cm="1">
        <f t="array" ref="G27">[1]!unf_fa_hydrate_t_Moitee_C(F27,gamma_gas_)</f>
        <v>-6.8900344710149461</v>
      </c>
      <c r="H27" s="20" cm="1">
        <f t="array" ref="H27">[1]!unf_fa_hydrate_t_Sun_C(F27,gamma_gas_)</f>
        <v>0.23263807337849585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35">
      <c r="C28" s="9">
        <v>1.5</v>
      </c>
      <c r="D28" s="20" cm="1">
        <f t="array" ref="D28">[1]!unf_fa_hydrate_p_Makogon_atma(C28,gamma_gas_)</f>
        <v>8.6157710510533754</v>
      </c>
      <c r="F28" s="9">
        <v>4</v>
      </c>
      <c r="G28" s="20" cm="1">
        <f t="array" ref="G28">[1]!unf_fa_hydrate_t_Moitee_C(F28,gamma_gas_)</f>
        <v>-4.0929989066677823</v>
      </c>
      <c r="H28" s="20" cm="1">
        <f t="array" ref="H28">[1]!unf_fa_hydrate_t_Sun_C(F28,gamma_gas_)</f>
        <v>2.2143478943528976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35">
      <c r="C29" s="9">
        <v>2</v>
      </c>
      <c r="D29" s="20" cm="1">
        <f t="array" ref="D29">[1]!unf_fa_hydrate_p_Makogon_atma(C29,gamma_gas_)</f>
        <v>8.8969654548411494</v>
      </c>
      <c r="F29" s="9">
        <v>5</v>
      </c>
      <c r="G29" s="20" cm="1">
        <f t="array" ref="G29">[1]!unf_fa_hydrate_t_Moitee_C(F29,gamma_gas_)</f>
        <v>-1.9873808484766817</v>
      </c>
      <c r="H29" s="20" cm="1">
        <f t="array" ref="H29">[1]!unf_fa_hydrate_t_Sun_C(F29,gamma_gas_)</f>
        <v>3.7695204547413255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35">
      <c r="C30" s="9">
        <v>2.5</v>
      </c>
      <c r="D30" s="20" cm="1">
        <f t="array" ref="D30">[1]!unf_fa_hydrate_p_Makogon_atma(C30,gamma_gas_)</f>
        <v>9.2064296869378506</v>
      </c>
      <c r="F30" s="9">
        <v>6</v>
      </c>
      <c r="G30" s="20" cm="1">
        <f t="array" ref="G30">[1]!unf_fa_hydrate_t_Moitee_C(F30,gamma_gas_)</f>
        <v>-0.30842739960620591</v>
      </c>
      <c r="H30" s="20" cm="1">
        <f t="array" ref="H30">[1]!unf_fa_hydrate_t_Sun_C(F30,gamma_gas_)</f>
        <v>5.0517581202516908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35">
      <c r="C31" s="9">
        <v>3</v>
      </c>
      <c r="D31" s="20" cm="1">
        <f t="array" ref="D31">[1]!unf_fa_hydrate_p_Makogon_atma(C31,gamma_gas_)</f>
        <v>9.5464556403469825</v>
      </c>
      <c r="F31" s="9">
        <v>7</v>
      </c>
      <c r="G31" s="20" cm="1">
        <f t="array" ref="G31">[1]!unf_fa_hydrate_t_Moitee_C(F31,gamma_gas_)</f>
        <v>1.082017024502038</v>
      </c>
      <c r="H31" s="20" cm="1">
        <f t="array" ref="H31">[1]!unf_fa_hydrate_t_Sun_C(F31,gamma_gas_)</f>
        <v>6.1438706868884765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35">
      <c r="C32" s="9">
        <v>3.5</v>
      </c>
      <c r="D32" s="20" cm="1">
        <f t="array" ref="D32">[1]!unf_fa_hydrate_p_Makogon_atma(C32,gamma_gas_)</f>
        <v>9.9196113982678114</v>
      </c>
      <c r="F32" s="9">
        <v>8</v>
      </c>
      <c r="G32" s="20" cm="1">
        <f t="array" ref="G32">[1]!unf_fa_hydrate_t_Moitee_C(F32,gamma_gas_)</f>
        <v>2.2649294704209786</v>
      </c>
      <c r="H32" s="20" cm="1">
        <f t="array" ref="H32">[1]!unf_fa_hydrate_t_Sun_C(F32,gamma_gas_)</f>
        <v>7.0957184298922016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35">
      <c r="C33" s="9">
        <v>4</v>
      </c>
      <c r="D33" s="20" cm="1">
        <f t="array" ref="D33">[1]!unf_fa_hydrate_p_Makogon_atma(C33,gamma_gas_)</f>
        <v>10.32877319255771</v>
      </c>
      <c r="F33" s="9">
        <v>9</v>
      </c>
      <c r="G33" s="20" cm="1">
        <f t="array" ref="G33">[1]!unf_fa_hydrate_t_Moitee_C(F33,gamma_gas_)</f>
        <v>3.2917303426818258</v>
      </c>
      <c r="H33" s="20" cm="1">
        <f t="array" ref="H33">[1]!unf_fa_hydrate_t_Sun_C(F33,gamma_gas_)</f>
        <v>7.9396996406122184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35">
      <c r="C34" s="9">
        <v>4.5</v>
      </c>
      <c r="D34" s="20" cm="1">
        <f t="array" ref="D34">[1]!unf_fa_hydrate_p_Makogon_atma(C34,gamma_gas_)</f>
        <v>10.777161843229262</v>
      </c>
      <c r="F34" s="9">
        <v>10</v>
      </c>
      <c r="G34" s="20" cm="1">
        <f t="array" ref="G34">[1]!unf_fa_hydrate_t_Moitee_C(F34,gamma_gas_)</f>
        <v>4.1970488542647173</v>
      </c>
      <c r="H34" s="20" cm="1">
        <f t="array" ref="H34">[1]!unf_fa_hydrate_t_Sun_C(F34,gamma_gas_)</f>
        <v>8.6980777163920493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35">
      <c r="C35" s="9">
        <v>5</v>
      </c>
      <c r="D35" s="20" cm="1">
        <f t="array" ref="D35">[1]!unf_fa_hydrate_p_Makogon_atma(C35,gamma_gas_)</f>
        <v>11.268384318073426</v>
      </c>
      <c r="F35" s="9">
        <v>12</v>
      </c>
      <c r="G35" s="20" cm="1">
        <f t="array" ref="G35">[1]!unf_fa_hydrate_t_Moitee_C(F35,gamma_gas_)</f>
        <v>5.7342435643215559</v>
      </c>
      <c r="H35" s="20" cm="1">
        <f t="array" ref="H35">[1]!unf_fa_hydrate_t_Sun_C(F35,gamma_gas_)</f>
        <v>10.017786303127195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35">
      <c r="C36" s="9">
        <v>6</v>
      </c>
      <c r="D36" s="20" cm="1">
        <f t="array" ref="D36">[1]!unf_fa_hydrate_p_Makogon_atma(C36,gamma_gas_)</f>
        <v>12.395980594601085</v>
      </c>
      <c r="F36" s="9">
        <v>14</v>
      </c>
      <c r="G36" s="20" cm="1">
        <f t="array" ref="G36">[1]!unf_fa_hydrate_t_Moitee_C(F36,gamma_gas_)</f>
        <v>7.0048326825414655</v>
      </c>
      <c r="H36" s="20" cm="1">
        <f t="array" ref="H36">[1]!unf_fa_hydrate_t_Sun_C(F36,gamma_gas_)</f>
        <v>11.140555775214807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35">
      <c r="C37" s="9">
        <v>7</v>
      </c>
      <c r="D37" s="20" cm="1">
        <f t="array" ref="D37">[1]!unf_fa_hydrate_p_Makogon_atma(C37,gamma_gas_)</f>
        <v>13.750118860397523</v>
      </c>
      <c r="F37" s="9">
        <v>16</v>
      </c>
      <c r="G37" s="20" cm="1">
        <f t="array" ref="G37">[1]!unf_fa_hydrate_t_Moitee_C(F37,gamma_gas_)</f>
        <v>8.0839217400287602</v>
      </c>
      <c r="H37" s="20" cm="1">
        <f t="array" ref="H37">[1]!unf_fa_hydrate_t_Sun_C(F37,gamma_gas_)</f>
        <v>12.118003111743405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35">
      <c r="C38" s="9">
        <v>8</v>
      </c>
      <c r="D38" s="20" cm="1">
        <f t="array" ref="D38">[1]!unf_fa_hydrate_p_Makogon_atma(C38,gamma_gas_)</f>
        <v>15.379362887318788</v>
      </c>
      <c r="F38" s="9">
        <v>18</v>
      </c>
      <c r="G38" s="20" cm="1">
        <f t="array" ref="G38">[1]!unf_fa_hydrate_t_Moitee_C(F38,gamma_gas_)</f>
        <v>9.0191438934485877</v>
      </c>
      <c r="H38" s="20" cm="1">
        <f t="array" ref="H38">[1]!unf_fa_hydrate_t_Sun_C(F38,gamma_gas_)</f>
        <v>12.983673522114941</v>
      </c>
    </row>
    <row r="39" spans="3:20" x14ac:dyDescent="0.35">
      <c r="C39" s="9">
        <v>9</v>
      </c>
      <c r="D39" s="20" cm="1">
        <f t="array" ref="D39">[1]!unf_fa_hydrate_p_Makogon_atma(C39,gamma_gas_)</f>
        <v>17.345090264413638</v>
      </c>
      <c r="F39" s="9">
        <v>20</v>
      </c>
      <c r="G39" s="20" cm="1">
        <f t="array" ref="G39">[1]!unf_fa_hydrate_t_Moitee_C(F39,gamma_gas_)</f>
        <v>9.842542449525137</v>
      </c>
      <c r="H39" s="20" cm="1">
        <f t="array" ref="H39">[1]!unf_fa_hydrate_t_Sun_C(F39,gamma_gas_)</f>
        <v>13.760621911503222</v>
      </c>
    </row>
    <row r="40" spans="3:20" x14ac:dyDescent="0.35">
      <c r="C40" s="9">
        <v>10</v>
      </c>
      <c r="D40" s="20" cm="1">
        <f t="array" ref="D40">[1]!unf_fa_hydrate_p_Makogon_atma(C40,gamma_gas_)</f>
        <v>19.725186199668027</v>
      </c>
      <c r="F40" s="9">
        <v>25</v>
      </c>
      <c r="G40" s="20" cm="1">
        <f t="array" ref="G40">[1]!unf_fa_hydrate_t_Moitee_C(F40,gamma_gas_)</f>
        <v>11.545309061323378</v>
      </c>
      <c r="H40" s="20" cm="1">
        <f t="array" ref="H40">[1]!unf_fa_hydrate_t_Sun_C(F40,gamma_gas_)</f>
        <v>15.413229893768744</v>
      </c>
    </row>
    <row r="41" spans="3:20" x14ac:dyDescent="0.35">
      <c r="C41" s="9">
        <v>11</v>
      </c>
      <c r="D41" s="20" cm="1">
        <f t="array" ref="D41">[1]!unf_fa_hydrate_p_Makogon_atma(C41,gamma_gas_)</f>
        <v>22.618926339580366</v>
      </c>
      <c r="F41" s="9">
        <v>30</v>
      </c>
      <c r="G41" s="20" cm="1">
        <f t="array" ref="G41">[1]!unf_fa_hydrate_t_Moitee_C(F41,gamma_gas_)</f>
        <v>12.895108911846675</v>
      </c>
      <c r="H41" s="20" cm="1">
        <f t="array" ref="H41">[1]!unf_fa_hydrate_t_Sun_C(F41,gamma_gas_)</f>
        <v>16.769361984276827</v>
      </c>
    </row>
    <row r="42" spans="3:20" x14ac:dyDescent="0.35">
      <c r="C42" s="9">
        <v>12</v>
      </c>
      <c r="D42" s="20" cm="1">
        <f t="array" ref="D42">[1]!unf_fa_hydrate_p_Makogon_atma(C42,gamma_gas_)</f>
        <v>26.153462174241213</v>
      </c>
      <c r="F42" s="9">
        <v>35</v>
      </c>
      <c r="G42" s="20" cm="1">
        <f t="array" ref="G42">[1]!unf_fa_hydrate_t_Moitee_C(F42,gamma_gas_)</f>
        <v>14.007257933891475</v>
      </c>
      <c r="H42" s="20" cm="1">
        <f t="array" ref="H42">[1]!unf_fa_hydrate_t_Sun_C(F42,gamma_gas_)</f>
        <v>17.918833124644152</v>
      </c>
    </row>
    <row r="43" spans="3:20" x14ac:dyDescent="0.35">
      <c r="C43" s="9">
        <v>13</v>
      </c>
      <c r="D43" s="20" cm="1">
        <f t="array" ref="D43">[1]!unf_fa_hydrate_p_Makogon_atma(C43,gamma_gas_)</f>
        <v>30.492477945773999</v>
      </c>
      <c r="F43" s="9">
        <v>40</v>
      </c>
      <c r="G43" s="20" cm="1">
        <f t="array" ref="G43">[1]!unf_fa_hydrate_t_Moitee_C(F43,gamma_gas_)</f>
        <v>14.949099937304576</v>
      </c>
      <c r="H43" s="20" cm="1">
        <f t="array" ref="H43">[1]!unf_fa_hydrate_t_Sun_C(F43,gamma_gas_)</f>
        <v>18.91574841634241</v>
      </c>
    </row>
    <row r="44" spans="3:20" x14ac:dyDescent="0.35">
      <c r="C44" s="9">
        <v>14</v>
      </c>
      <c r="D44" s="20" cm="1">
        <f t="array" ref="D44">[1]!unf_fa_hydrate_p_Makogon_atma(C44,gamma_gas_)</f>
        <v>35.847805596246801</v>
      </c>
      <c r="F44" s="9">
        <v>45</v>
      </c>
      <c r="G44" s="20" cm="1">
        <f t="array" ref="G44">[1]!unf_fa_hydrate_t_Moitee_C(F44,gamma_gas_)</f>
        <v>15.763261609394668</v>
      </c>
      <c r="H44" s="20" cm="1">
        <f t="array" ref="H44">[1]!unf_fa_hydrate_t_Sun_C(F44,gamma_gas_)</f>
        <v>19.795280057406842</v>
      </c>
    </row>
    <row r="45" spans="3:20" x14ac:dyDescent="0.35">
      <c r="C45" s="9">
        <v>15</v>
      </c>
      <c r="D45" s="20" cm="1">
        <f t="array" ref="D45">[1]!unf_fa_hydrate_p_Makogon_atma(C45,gamma_gas_)</f>
        <v>42.495090706404184</v>
      </c>
      <c r="F45" s="9">
        <v>50</v>
      </c>
      <c r="G45" s="20" cm="1">
        <f t="array" ref="G45">[1]!unf_fa_hydrate_t_Moitee_C(F45,gamma_gas_)</f>
        <v>16.478367874755456</v>
      </c>
      <c r="H45" s="20" cm="1">
        <f t="array" ref="H45">[1]!unf_fa_hydrate_t_Sun_C(F45,gamma_gas_)</f>
        <v>20.581607483559026</v>
      </c>
    </row>
    <row r="46" spans="3:20" x14ac:dyDescent="0.35">
      <c r="C46" s="9">
        <v>16</v>
      </c>
      <c r="D46" s="20" cm="1">
        <f t="array" ref="D46">[1]!unf_fa_hydrate_p_Makogon_atma(C46,gamma_gas_)</f>
        <v>50.795036060615423</v>
      </c>
      <c r="F46" s="9">
        <v>55</v>
      </c>
      <c r="G46" s="20" cm="1">
        <f t="array" ref="G46">[1]!unf_fa_hydrate_t_Moitee_C(F46,gamma_gas_)</f>
        <v>17.114533146023351</v>
      </c>
      <c r="H46" s="20" cm="1">
        <f t="array" ref="H46">[1]!unf_fa_hydrate_t_Sun_C(F46,gamma_gas_)</f>
        <v>21.29208164833841</v>
      </c>
    </row>
    <row r="47" spans="3:20" x14ac:dyDescent="0.35">
      <c r="C47" s="9">
        <v>17</v>
      </c>
      <c r="D47" s="20" cm="1">
        <f t="array" ref="D47">[1]!unf_fa_hydrate_p_Makogon_atma(C47,gamma_gas_)</f>
        <v>61.222366501807734</v>
      </c>
      <c r="F47" s="9">
        <v>60</v>
      </c>
      <c r="G47" s="20" cm="1">
        <f t="array" ref="G47">[1]!unf_fa_hydrate_t_Moitee_C(F47,gamma_gas_)</f>
        <v>17.686408986465111</v>
      </c>
      <c r="H47" s="20" cm="1">
        <f t="array" ref="H47">[1]!unf_fa_hydrate_t_Sun_C(F47,gamma_gas_)</f>
        <v>21.939583986233004</v>
      </c>
    </row>
    <row r="48" spans="3:20" x14ac:dyDescent="0.35">
      <c r="C48" s="9">
        <v>18</v>
      </c>
      <c r="D48" s="20" cm="1">
        <f t="array" ref="D48">[1]!unf_fa_hydrate_p_Makogon_atma(C48,gamma_gas_)</f>
        <v>74.405541267521571</v>
      </c>
      <c r="F48" s="9">
        <v>65</v>
      </c>
      <c r="G48" s="20" cm="1">
        <f t="array" ref="G48">[1]!unf_fa_hydrate_t_Moitee_C(F48,gamma_gas_)</f>
        <v>18.204984212682696</v>
      </c>
      <c r="H48" s="20" cm="1">
        <f t="array" ref="H48">[1]!unf_fa_hydrate_t_Sun_C(F48,gamma_gas_)</f>
        <v>22.533945600774473</v>
      </c>
    </row>
    <row r="49" spans="3:8" x14ac:dyDescent="0.35">
      <c r="C49" s="9">
        <v>19</v>
      </c>
      <c r="D49" s="20" cm="1">
        <f t="array" ref="D49">[1]!unf_fa_hydrate_p_Makogon_atma(C49,gamma_gas_)</f>
        <v>91.181509012534377</v>
      </c>
      <c r="F49" s="9">
        <v>70</v>
      </c>
      <c r="G49" s="20" cm="1">
        <f t="array" ref="G49">[1]!unf_fa_hydrate_t_Moitee_C(F49,gamma_gas_)</f>
        <v>18.678702702621578</v>
      </c>
      <c r="H49" s="20" cm="1">
        <f t="array" ref="H49">[1]!unf_fa_hydrate_t_Sun_C(F49,gamma_gas_)</f>
        <v>23.082843415309299</v>
      </c>
    </row>
    <row r="50" spans="3:8" x14ac:dyDescent="0.35">
      <c r="C50" s="9">
        <v>20</v>
      </c>
      <c r="D50" s="20" cm="1">
        <f t="array" ref="D50">[1]!unf_fa_hydrate_p_Makogon_atma(C50,gamma_gas_)</f>
        <v>112.6716353371126</v>
      </c>
      <c r="F50" s="9">
        <v>75</v>
      </c>
      <c r="G50" s="20" cm="1">
        <f t="array" ref="G50">[1]!unf_fa_hydrate_t_Moitee_C(F50,gamma_gas_)</f>
        <v>19.114186705497961</v>
      </c>
      <c r="H50" s="20" cm="1">
        <f t="array" ref="H50">[1]!unf_fa_hydrate_t_Sun_C(F50,gamma_gas_)</f>
        <v>23.592389045292691</v>
      </c>
    </row>
    <row r="109" spans="11:11" x14ac:dyDescent="0.35">
      <c r="K109" t="s">
        <v>5</v>
      </c>
    </row>
    <row r="120" spans="11:11" x14ac:dyDescent="0.35">
      <c r="K120" s="2"/>
    </row>
  </sheetData>
  <dataConsolidate/>
  <mergeCells count="13">
    <mergeCell ref="X21:Y21"/>
    <mergeCell ref="X22:Y22"/>
    <mergeCell ref="X23:Y23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rienm</cp:lastModifiedBy>
  <dcterms:created xsi:type="dcterms:W3CDTF">2020-04-13T13:26:12Z</dcterms:created>
  <dcterms:modified xsi:type="dcterms:W3CDTF">2022-05-25T07:54:41Z</dcterms:modified>
</cp:coreProperties>
</file>