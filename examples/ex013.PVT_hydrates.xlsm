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1E33E2A8-FD4E-4D56-9DCA-4FF04AEB0F20}" xr6:coauthVersionLast="47" xr6:coauthVersionMax="47" xr10:uidLastSave="{00000000-0000-0000-0000-000000000000}"/>
  <bookViews>
    <workbookView xWindow="-108" yWindow="-108" windowWidth="23256" windowHeight="14016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exercise_PVT!$C$18</definedName>
    <definedName name="Course" localSheetId="0">exercise_PVT!$B$3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exercise_PVT!$C$19</definedName>
    <definedName name="Notes" localSheetId="0">exercise_PVT!$B$6</definedName>
    <definedName name="Pb_" localSheetId="0">exercise_PVT!$C$16</definedName>
    <definedName name="Rp_" localSheetId="0">exercise_PVT!$C$15</definedName>
    <definedName name="Rsb_" localSheetId="0">exercise_PVT!$C$14</definedName>
    <definedName name="Student_Name" localSheetId="0">exercise_PVT!$B$5</definedName>
    <definedName name="Tres_" localSheetId="0">exercise_PVT!$C$17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113" l="1"/>
  <c r="E16" i="113"/>
  <c r="E15" i="113"/>
  <c r="E14" i="113"/>
  <c r="E13" i="113"/>
  <c r="E12" i="113"/>
  <c r="E11" i="113"/>
  <c r="D50" i="113" a="1"/>
  <c r="G36" i="113" a="1"/>
  <c r="H49" i="113" a="1"/>
  <c r="G37" i="113" a="1"/>
  <c r="T36" i="113" a="1"/>
  <c r="H41" i="113" a="1"/>
  <c r="G48" i="113" a="1"/>
  <c r="G43" i="113" a="1"/>
  <c r="H43" i="113" a="1"/>
  <c r="H46" i="113" a="1"/>
  <c r="G26" i="113" a="1"/>
  <c r="G31" i="113" a="1"/>
  <c r="D34" i="113" a="1"/>
  <c r="H29" i="113" a="1"/>
  <c r="G44" i="113" a="1"/>
  <c r="S35" i="113" a="1"/>
  <c r="H38" i="113" a="1"/>
  <c r="S32" i="113" a="1"/>
  <c r="G49" i="113" a="1"/>
  <c r="H42" i="113" a="1"/>
  <c r="T27" i="113" a="1"/>
  <c r="G25" i="113" a="1"/>
  <c r="T37" i="113" a="1"/>
  <c r="G50" i="113" a="1"/>
  <c r="S33" i="113" a="1"/>
  <c r="D33" i="113" a="1"/>
  <c r="G34" i="113" a="1"/>
  <c r="T28" i="113" a="1"/>
  <c r="D32" i="113" a="1"/>
  <c r="H36" i="113" a="1"/>
  <c r="S37" i="113" a="1"/>
  <c r="D46" i="113" a="1"/>
  <c r="S26" i="113" a="1"/>
  <c r="D48" i="113" a="1"/>
  <c r="S29" i="113" a="1"/>
  <c r="H34" i="113" a="1"/>
  <c r="H39" i="113" a="1"/>
  <c r="D38" i="113" a="1"/>
  <c r="G41" i="113" a="1"/>
  <c r="H37" i="113" a="1"/>
  <c r="T30" i="113" a="1"/>
  <c r="D28" i="113" a="1"/>
  <c r="G28" i="113" a="1"/>
  <c r="S25" i="113" a="1"/>
  <c r="H44" i="113" a="1"/>
  <c r="D49" i="113" a="1"/>
  <c r="G38" i="113" a="1"/>
  <c r="D40" i="113" a="1"/>
  <c r="D29" i="113" a="1"/>
  <c r="S34" i="113" a="1"/>
  <c r="D39" i="113" a="1"/>
  <c r="D36" i="113" a="1"/>
  <c r="T35" i="113" a="1"/>
  <c r="T29" i="113" a="1"/>
  <c r="G47" i="113" a="1"/>
  <c r="D35" i="113" a="1"/>
  <c r="D41" i="113" a="1"/>
  <c r="G35" i="113" a="1"/>
  <c r="H32" i="113" a="1"/>
  <c r="G30" i="113" a="1"/>
  <c r="T33" i="113" a="1"/>
  <c r="D43" i="113" a="1"/>
  <c r="G45" i="113" a="1"/>
  <c r="H45" i="113" a="1"/>
  <c r="S31" i="113" a="1"/>
  <c r="T34" i="113" a="1"/>
  <c r="T26" i="113" a="1"/>
  <c r="G32" i="113" a="1"/>
  <c r="D44" i="113" a="1"/>
  <c r="H31" i="113" a="1"/>
  <c r="G29" i="113" a="1"/>
  <c r="S36" i="113" a="1"/>
  <c r="D42" i="113" a="1"/>
  <c r="H48" i="113" a="1"/>
  <c r="H25" i="113" a="1"/>
  <c r="D30" i="113" a="1"/>
  <c r="G46" i="113" a="1"/>
  <c r="H26" i="113" a="1"/>
  <c r="H40" i="113" a="1"/>
  <c r="H28" i="113" a="1"/>
  <c r="H33" i="113" a="1"/>
  <c r="G40" i="113" a="1"/>
  <c r="H47" i="113" a="1"/>
  <c r="S30" i="113" a="1"/>
  <c r="D25" i="113" a="1"/>
  <c r="H35" i="113" a="1"/>
  <c r="D37" i="113" a="1"/>
  <c r="D45" i="113" a="1"/>
  <c r="D26" i="113" a="1"/>
  <c r="G27" i="113" a="1"/>
  <c r="D31" i="113" a="1"/>
  <c r="D27" i="113" a="1"/>
  <c r="H30" i="113" a="1"/>
  <c r="D47" i="113" a="1"/>
  <c r="H50" i="113" a="1"/>
  <c r="H27" i="113" a="1"/>
  <c r="T32" i="113" a="1"/>
  <c r="S28" i="113" a="1"/>
  <c r="G39" i="113" a="1"/>
  <c r="G33" i="113" a="1"/>
  <c r="G42" i="113" a="1"/>
  <c r="S27" i="113" a="1"/>
  <c r="T25" i="113" a="1"/>
  <c r="T31" i="113" a="1"/>
  <c r="G1" i="113"/>
  <c r="T36" i="113" l="1"/>
  <c r="T32" i="113"/>
  <c r="D26" i="113"/>
  <c r="H28" i="113"/>
  <c r="H31" i="113"/>
  <c r="T26" i="113"/>
  <c r="T28" i="113"/>
  <c r="T34" i="113"/>
  <c r="G49" i="113"/>
  <c r="H44" i="113"/>
  <c r="G44" i="113"/>
  <c r="H39" i="113"/>
  <c r="S27" i="113"/>
  <c r="H27" i="113"/>
  <c r="D45" i="113"/>
  <c r="H40" i="113"/>
  <c r="H45" i="113"/>
  <c r="D46" i="113"/>
  <c r="D41" i="113"/>
  <c r="T35" i="113"/>
  <c r="D29" i="113"/>
  <c r="S25" i="113"/>
  <c r="H29" i="113"/>
  <c r="G48" i="113"/>
  <c r="G37" i="113"/>
  <c r="H50" i="113"/>
  <c r="D37" i="113"/>
  <c r="H26" i="113"/>
  <c r="S29" i="113"/>
  <c r="T33" i="113"/>
  <c r="G34" i="113"/>
  <c r="T37" i="113"/>
  <c r="S32" i="113"/>
  <c r="G28" i="113"/>
  <c r="D34" i="113"/>
  <c r="G29" i="113"/>
  <c r="G42" i="113"/>
  <c r="D47" i="113"/>
  <c r="H35" i="113"/>
  <c r="G46" i="113"/>
  <c r="D44" i="113"/>
  <c r="S37" i="113"/>
  <c r="D35" i="113"/>
  <c r="D36" i="113"/>
  <c r="D40" i="113"/>
  <c r="D28" i="113"/>
  <c r="G31" i="113"/>
  <c r="T31" i="113"/>
  <c r="H49" i="113"/>
  <c r="H30" i="113"/>
  <c r="D25" i="113"/>
  <c r="D30" i="113"/>
  <c r="G45" i="113"/>
  <c r="G30" i="113"/>
  <c r="D33" i="113"/>
  <c r="G25" i="113"/>
  <c r="H38" i="113"/>
  <c r="T30" i="113"/>
  <c r="G26" i="113"/>
  <c r="S31" i="113"/>
  <c r="G33" i="113"/>
  <c r="D27" i="113"/>
  <c r="S30" i="113"/>
  <c r="H25" i="113"/>
  <c r="D48" i="113"/>
  <c r="H36" i="113"/>
  <c r="G47" i="113"/>
  <c r="D39" i="113"/>
  <c r="G38" i="113"/>
  <c r="H37" i="113"/>
  <c r="H46" i="113"/>
  <c r="H34" i="113"/>
  <c r="G36" i="113"/>
  <c r="D31" i="113"/>
  <c r="H47" i="113"/>
  <c r="H48" i="113"/>
  <c r="G32" i="113"/>
  <c r="H32" i="113"/>
  <c r="S33" i="113"/>
  <c r="T27" i="113"/>
  <c r="S35" i="113"/>
  <c r="G41" i="113"/>
  <c r="H43" i="113"/>
  <c r="H41" i="113"/>
  <c r="G39" i="113"/>
  <c r="D50" i="113"/>
  <c r="G40" i="113"/>
  <c r="D42" i="113"/>
  <c r="S26" i="113"/>
  <c r="D32" i="113"/>
  <c r="T29" i="113"/>
  <c r="S34" i="113"/>
  <c r="D49" i="113"/>
  <c r="D38" i="113"/>
  <c r="G43" i="113"/>
  <c r="T25" i="113"/>
  <c r="S28" i="113"/>
  <c r="G27" i="113"/>
  <c r="H33" i="113"/>
  <c r="S36" i="113"/>
  <c r="D43" i="113"/>
  <c r="G35" i="113"/>
  <c r="G50" i="113"/>
  <c r="H42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<sst xmlns="http://schemas.openxmlformats.org/spreadsheetml/2006/main" count="63" uniqueCount="48">
  <si>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</si>
  <si>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</si>
  <si>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</si>
  <si>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</si>
  <si>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</si>
  <si>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</si>
  <si>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</si>
  <si>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</si>
  <si>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</si>
  <si>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</si>
  <si>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</si>
  <si>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</si>
  <si>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</si>
  <si>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</si>
  <si>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</si>
  <si>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</si>
  <si>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</si>
  <si>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</si>
  <si>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</si>
  <si>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</si>
  <si>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Упражнения по работе с макросами Unifloc VBA</t>
  </si>
  <si>
    <t>Расчет базовых PVT свойств нефти</t>
  </si>
  <si>
    <t>версия</t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</si>
  <si>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</si>
  <si>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</si>
  <si>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</si>
  <si>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</si>
  <si>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</si>
  <si>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</si>
  <si>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</si>
  <si>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</si>
  <si>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</si>
  <si>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</si>
  <si>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>Makagon</t>
  </si>
  <si>
    <t>Moitee</t>
  </si>
  <si>
    <t>Sun</t>
  </si>
  <si>
    <t>w%</t>
  </si>
  <si>
    <t>Hammerschmedt</t>
  </si>
  <si>
    <t>Carrol</t>
  </si>
  <si>
    <t>тип ингибитора</t>
  </si>
  <si>
    <t>ME</t>
  </si>
  <si>
    <t>EG</t>
  </si>
  <si>
    <t>TEG</t>
  </si>
  <si>
    <t>methanol</t>
  </si>
  <si>
    <t>ethylene glycol</t>
  </si>
  <si>
    <t>triethylene glycol</t>
  </si>
  <si>
    <r>
      <t>кг/м</t>
    </r>
    <r>
      <rPr>
        <vertAlign val="superscript"/>
        <sz val="11"/>
        <color theme="0" tint="-0.249977111117893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</si>
  <si>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0" tint="-0.249977111117893"/>
        <rFont val="Calibri"/>
        <family val="2"/>
        <charset val="204"/>
        <scheme val="minor"/>
      </rPr>
      <t>3</t>
    </r>
    <r>
      <rPr>
        <sz val="10"/>
        <color theme="0" tint="-0.249977111117893"/>
        <rFont val="Arial Cyr"/>
        <charset val="204"/>
      </rPr>
      <t>/т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</si>
</sst>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"/>
  </numFmts>
  <fonts count="16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sz val="10"/>
      <color theme="0" tint="-0.249977111117893"/>
      <name val="Arial Cyr"/>
      <charset val="204"/>
    </font>
    <font>
      <vertAlign val="superscript"/>
      <sz val="11"/>
      <color theme="0" tint="-0.249977111117893"/>
      <name val="Calibri"/>
      <family val="2"/>
      <charset val="204"/>
      <scheme val="minor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50">
    <xf numFmtId="0" fontId="0" fillId="0" borderId="0" xfId="0"/>
    <xf numFmtId="0" fontId="6" fillId="0" borderId="0" xfId="0" applyFont="1"/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65" fontId="0" fillId="7" borderId="2" xfId="0" applyNumberFormat="1" applyFill="1" applyBorder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right"/>
    </xf>
    <xf numFmtId="0" fontId="13" fillId="2" borderId="2" xfId="0" applyFont="1" applyFill="1" applyBorder="1" applyAlignment="1">
      <alignment horizontal="center"/>
    </xf>
    <xf numFmtId="0" fontId="13" fillId="4" borderId="2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center"/>
    </xf>
    <xf numFmtId="1" fontId="13" fillId="4" borderId="2" xfId="0" applyNumberFormat="1" applyFont="1" applyFill="1" applyBorder="1" applyAlignment="1">
      <alignment horizontal="center"/>
    </xf>
    <xf numFmtId="0" fontId="13" fillId="5" borderId="2" xfId="0" applyFont="1" applyFill="1" applyBorder="1" applyAlignment="1">
      <alignment horizontal="center"/>
    </xf>
    <xf numFmtId="0" fontId="13" fillId="3" borderId="2" xfId="0" applyFont="1" applyFill="1" applyBorder="1"/>
    <xf numFmtId="0" fontId="15" fillId="2" borderId="2" xfId="0" applyFont="1" applyFill="1" applyBorder="1" applyAlignment="1">
      <alignment horizontal="center"/>
    </xf>
    <xf numFmtId="0" fontId="12" fillId="4" borderId="16" xfId="0" applyFont="1" applyFill="1" applyBorder="1" applyAlignment="1">
      <alignment horizontal="center"/>
    </xf>
    <xf numFmtId="0" fontId="12" fillId="4" borderId="4" xfId="0" applyFont="1" applyFill="1" applyBorder="1" applyAlignment="1">
      <alignment horizontal="center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Кривая</a:t>
            </a:r>
            <a:r>
              <a:rPr lang="ru-RU" baseline="0"/>
              <a:t> гидратообразования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exercise_PVT!$D$23</c:f>
              <c:strCache>
                <c:ptCount val="1"/>
                <c:pt idx="0">
                  <c:v>Makagon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exercise_PVT!$C$25:$C$50</c:f>
              <c:numCache>
                <c:formatCode>General</c:formatCode>
                <c:ptCount val="26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</c:numCache>
            </c:numRef>
          </c:xVal>
          <c:yVal>
            <c:numRef>
              <c:f>exercise_PVT!$D$25:$D$50</c:f>
              <c:numCache>
                <c:formatCode>0.0</c:formatCode>
                <c:ptCount val="26"/>
                <c:pt idx="0">
                  <c:v>8.3765162530753798</c:v>
                </c:pt>
                <c:pt idx="1">
                  <c:v>8.595681740603542</c:v>
                </c:pt>
                <c:pt idx="2">
                  <c:v>8.8378487809856576</c:v>
                </c:pt>
                <c:pt idx="3">
                  <c:v>9.1046268919213933</c:v>
                </c:pt>
                <c:pt idx="4">
                  <c:v>9.3978192386059582</c:v>
                </c:pt>
                <c:pt idx="5">
                  <c:v>9.7194428217855897</c:v>
                </c:pt>
                <c:pt idx="6">
                  <c:v>10.071751423344923</c:v>
                </c:pt>
                <c:pt idx="7">
                  <c:v>10.45726167245863</c:v>
                </c:pt>
                <c:pt idx="8">
                  <c:v>10.878782650943739</c:v>
                </c:pt>
                <c:pt idx="9">
                  <c:v>11.339449520638356</c:v>
                </c:pt>
                <c:pt idx="10">
                  <c:v>11.842761729863442</c:v>
                </c:pt>
                <c:pt idx="11">
                  <c:v>12.993407929007731</c:v>
                </c:pt>
                <c:pt idx="12">
                  <c:v>14.367808977386844</c:v>
                </c:pt>
                <c:pt idx="13">
                  <c:v>16.012362281001401</c:v>
                </c:pt>
                <c:pt idx="14">
                  <c:v>17.985298900957154</c:v>
                </c:pt>
                <c:pt idx="15">
                  <c:v>20.359977905043607</c:v>
                </c:pt>
                <c:pt idx="16">
                  <c:v>23.229204378818157</c:v>
                </c:pt>
                <c:pt idx="17">
                  <c:v>26.710914548585546</c:v>
                </c:pt>
                <c:pt idx="18">
                  <c:v>30.955695860637576</c:v>
                </c:pt>
                <c:pt idx="19">
                  <c:v>36.156782298899635</c:v>
                </c:pt>
                <c:pt idx="20">
                  <c:v>42.563405422881608</c:v>
                </c:pt>
                <c:pt idx="21">
                  <c:v>50.498717830692847</c:v>
                </c:pt>
                <c:pt idx="22">
                  <c:v>60.383978701457416</c:v>
                </c:pt>
                <c:pt idx="23">
                  <c:v>72.771359655297104</c:v>
                </c:pt>
                <c:pt idx="24">
                  <c:v>88.388679056226479</c:v>
                </c:pt>
                <c:pt idx="25">
                  <c:v>108.2007292764502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B8-4871-AA5E-7DD7B9C71992}"/>
            </c:ext>
          </c:extLst>
        </c:ser>
        <c:ser>
          <c:idx val="0"/>
          <c:order val="1"/>
          <c:tx>
            <c:strRef>
              <c:f>exercise_PVT!$G$23</c:f>
              <c:strCache>
                <c:ptCount val="1"/>
                <c:pt idx="0">
                  <c:v>Moitee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exercise_PVT!$G$25:$G$50</c:f>
              <c:numCache>
                <c:formatCode>0.0</c:formatCode>
                <c:ptCount val="26"/>
                <c:pt idx="0">
                  <c:v>-20.648340459199005</c:v>
                </c:pt>
                <c:pt idx="1">
                  <c:v>-13.027880943431438</c:v>
                </c:pt>
                <c:pt idx="2">
                  <c:v>-8.8200334774109841</c:v>
                </c:pt>
                <c:pt idx="3">
                  <c:v>-5.9463575351448545</c:v>
                </c:pt>
                <c:pt idx="4">
                  <c:v>-3.7812925814376364</c:v>
                </c:pt>
                <c:pt idx="5">
                  <c:v>-2.0537674822853922</c:v>
                </c:pt>
                <c:pt idx="6">
                  <c:v>-0.62225631301037465</c:v>
                </c:pt>
                <c:pt idx="7">
                  <c:v>0.59622976566075969</c:v>
                </c:pt>
                <c:pt idx="8">
                  <c:v>1.6544088058005277</c:v>
                </c:pt>
                <c:pt idx="9">
                  <c:v>2.5877960450206121</c:v>
                </c:pt>
                <c:pt idx="10">
                  <c:v>4.1735624053592186</c:v>
                </c:pt>
                <c:pt idx="11">
                  <c:v>5.4852182687459026</c:v>
                </c:pt>
                <c:pt idx="12">
                  <c:v>6.5998809589853895</c:v>
                </c:pt>
                <c:pt idx="13">
                  <c:v>7.5664812802841377</c:v>
                </c:pt>
                <c:pt idx="14">
                  <c:v>8.4179485639978839</c:v>
                </c:pt>
                <c:pt idx="15">
                  <c:v>10.180162071312241</c:v>
                </c:pt>
                <c:pt idx="16">
                  <c:v>11.578533572117308</c:v>
                </c:pt>
                <c:pt idx="17">
                  <c:v>12.731749339328877</c:v>
                </c:pt>
                <c:pt idx="18">
                  <c:v>13.709164975494174</c:v>
                </c:pt>
                <c:pt idx="19">
                  <c:v>14.554704815463188</c:v>
                </c:pt>
                <c:pt idx="20">
                  <c:v>15.297879808461168</c:v>
                </c:pt>
                <c:pt idx="21">
                  <c:v>15.959436332432</c:v>
                </c:pt>
                <c:pt idx="22">
                  <c:v>16.554492570452595</c:v>
                </c:pt>
                <c:pt idx="23">
                  <c:v>17.094391695352758</c:v>
                </c:pt>
                <c:pt idx="24">
                  <c:v>17.587853031775833</c:v>
                </c:pt>
                <c:pt idx="25">
                  <c:v>18.041717185001559</c:v>
                </c:pt>
              </c:numCache>
            </c:numRef>
          </c:xVal>
          <c:yVal>
            <c:numRef>
              <c:f>exercise_PVT!$F$25:$F$50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12</c:v>
                </c:pt>
                <c:pt idx="11">
                  <c:v>14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2-4B06-B07F-8D3A99B9C726}"/>
            </c:ext>
          </c:extLst>
        </c:ser>
        <c:ser>
          <c:idx val="2"/>
          <c:order val="2"/>
          <c:tx>
            <c:strRef>
              <c:f>exercise_PVT!$H$23</c:f>
              <c:strCache>
                <c:ptCount val="1"/>
                <c:pt idx="0">
                  <c:v>Sun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exercise_PVT!$H$25:$H$50</c:f>
              <c:numCache>
                <c:formatCode>0.0</c:formatCode>
                <c:ptCount val="26"/>
                <c:pt idx="0">
                  <c:v>-10.09129188687217</c:v>
                </c:pt>
                <c:pt idx="1">
                  <c:v>-5.6168875774308162</c:v>
                </c:pt>
                <c:pt idx="2">
                  <c:v>-2.931510091438156</c:v>
                </c:pt>
                <c:pt idx="3">
                  <c:v>-0.99559516640130141</c:v>
                </c:pt>
                <c:pt idx="4">
                  <c:v>0.52341154900494757</c:v>
                </c:pt>
                <c:pt idx="5">
                  <c:v>1.7756799418280025</c:v>
                </c:pt>
                <c:pt idx="6">
                  <c:v>2.8421596542962106</c:v>
                </c:pt>
                <c:pt idx="7">
                  <c:v>3.7715861844089318</c:v>
                </c:pt>
                <c:pt idx="8">
                  <c:v>4.5956243242031292</c:v>
                </c:pt>
                <c:pt idx="9">
                  <c:v>5.3360318418175439</c:v>
                </c:pt>
                <c:pt idx="10">
                  <c:v>6.6243551267289149</c:v>
                </c:pt>
                <c:pt idx="11">
                  <c:v>7.7203094898553672</c:v>
                </c:pt>
                <c:pt idx="12">
                  <c:v>8.6743275614521735</c:v>
                </c:pt>
                <c:pt idx="13">
                  <c:v>9.5191820160442262</c:v>
                </c:pt>
                <c:pt idx="14">
                  <c:v>10.277395104449567</c:v>
                </c:pt>
                <c:pt idx="15">
                  <c:v>11.889986205067942</c:v>
                </c:pt>
                <c:pt idx="16">
                  <c:v>13.213111767023975</c:v>
                </c:pt>
                <c:pt idx="17">
                  <c:v>14.334487235390895</c:v>
                </c:pt>
                <c:pt idx="18">
                  <c:v>15.306947261733058</c:v>
                </c:pt>
                <c:pt idx="19">
                  <c:v>16.164834992048895</c:v>
                </c:pt>
                <c:pt idx="20">
                  <c:v>16.931758013684089</c:v>
                </c:pt>
                <c:pt idx="21">
                  <c:v>17.624655704145709</c:v>
                </c:pt>
                <c:pt idx="22">
                  <c:v>18.256103120819319</c:v>
                </c:pt>
                <c:pt idx="23">
                  <c:v>18.835696967554838</c:v>
                </c:pt>
                <c:pt idx="24">
                  <c:v>19.370930716894918</c:v>
                </c:pt>
                <c:pt idx="25">
                  <c:v>19.867769633692717</c:v>
                </c:pt>
              </c:numCache>
            </c:numRef>
          </c:xVal>
          <c:yVal>
            <c:numRef>
              <c:f>exercise_PVT!$F$25:$F$50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12</c:v>
                </c:pt>
                <c:pt idx="11">
                  <c:v>14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62-4B06-B07F-8D3A99B9C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ДАвленеие,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Сдвиг</a:t>
            </a:r>
            <a:r>
              <a:rPr lang="ru-RU" baseline="0"/>
              <a:t> температуры гидратообразования при применении ингибитора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exercise_PVT!$S$24</c:f>
              <c:strCache>
                <c:ptCount val="1"/>
                <c:pt idx="0">
                  <c:v>Hammerschmedt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exercise_PVT!$R$25:$R$37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exercise_PVT!$S$25:$S$37</c:f>
              <c:numCache>
                <c:formatCode>0.0</c:formatCode>
                <c:ptCount val="13"/>
                <c:pt idx="0">
                  <c:v>0.73613790842255267</c:v>
                </c:pt>
                <c:pt idx="1">
                  <c:v>3.8356659438859322</c:v>
                </c:pt>
                <c:pt idx="2">
                  <c:v>8.0975169926480799</c:v>
                </c:pt>
                <c:pt idx="3">
                  <c:v>12.860762282441067</c:v>
                </c:pt>
                <c:pt idx="4">
                  <c:v>18.219413233458177</c:v>
                </c:pt>
                <c:pt idx="5">
                  <c:v>24.292550977944238</c:v>
                </c:pt>
                <c:pt idx="6">
                  <c:v>31.233279828785449</c:v>
                </c:pt>
                <c:pt idx="7">
                  <c:v>39.241813118217614</c:v>
                </c:pt>
                <c:pt idx="8">
                  <c:v>48.585101955888476</c:v>
                </c:pt>
                <c:pt idx="9">
                  <c:v>59.627170582226761</c:v>
                </c:pt>
                <c:pt idx="10">
                  <c:v>72.877652933832707</c:v>
                </c:pt>
                <c:pt idx="11">
                  <c:v>89.07268691912887</c:v>
                </c:pt>
                <c:pt idx="12">
                  <c:v>109.31647940074906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E1-4A21-A23D-328B25972600}"/>
            </c:ext>
          </c:extLst>
        </c:ser>
        <c:ser>
          <c:idx val="1"/>
          <c:order val="1"/>
          <c:tx>
            <c:strRef>
              <c:f>exercise_PVT!$T$24</c:f>
              <c:strCache>
                <c:ptCount val="1"/>
                <c:pt idx="0">
                  <c:v>Carrol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exercise_PVT!$R$25:$R$37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exercise_PVT!$T$25:$T$37</c:f>
              <c:numCache>
                <c:formatCode>0.0</c:formatCode>
                <c:ptCount val="13"/>
                <c:pt idx="0">
                  <c:v>0.4069438385645161</c:v>
                </c:pt>
                <c:pt idx="1">
                  <c:v>2.0855797442398951</c:v>
                </c:pt>
                <c:pt idx="2">
                  <c:v>4.3074896143365722</c:v>
                </c:pt>
                <c:pt idx="3">
                  <c:v>6.6830584488050127</c:v>
                </c:pt>
                <c:pt idx="4">
                  <c:v>9.2330960318606667</c:v>
                </c:pt>
                <c:pt idx="5">
                  <c:v>11.98286373955696</c:v>
                </c:pt>
                <c:pt idx="6">
                  <c:v>14.963397394129627</c:v>
                </c:pt>
                <c:pt idx="7">
                  <c:v>18.21334369346777</c:v>
                </c:pt>
                <c:pt idx="8">
                  <c:v>21.781563549341509</c:v>
                </c:pt>
                <c:pt idx="9">
                  <c:v>25.730912313039532</c:v>
                </c:pt>
                <c:pt idx="10">
                  <c:v>30.143884089565052</c:v>
                </c:pt>
                <c:pt idx="11">
                  <c:v>35.131320357403219</c:v>
                </c:pt>
                <c:pt idx="12">
                  <c:v>40.846383932776938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E1-4A21-A23D-328B25972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700943"/>
        <c:axId val="753628111"/>
      </c:scatterChart>
      <c:valAx>
        <c:axId val="6687009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Массовая доля ингибитора (по воде)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53628111"/>
        <c:crosses val="autoZero"/>
        <c:crossBetween val="midCat"/>
      </c:valAx>
      <c:valAx>
        <c:axId val="75362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Сдвиг температуры,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87009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590917</xdr:colOff>
      <xdr:row>23</xdr:row>
      <xdr:rowOff>70178</xdr:rowOff>
    </xdr:from>
    <xdr:to>
      <xdr:col>15</xdr:col>
      <xdr:colOff>430696</xdr:colOff>
      <xdr:row>50</xdr:row>
      <xdr:rowOff>24849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548409</xdr:colOff>
      <xdr:row>0</xdr:row>
      <xdr:rowOff>7037</xdr:rowOff>
    </xdr:from>
    <xdr:to>
      <xdr:col>14</xdr:col>
      <xdr:colOff>373417</xdr:colOff>
      <xdr:row>19</xdr:row>
      <xdr:rowOff>42497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182529" y="7037"/>
          <a:ext cx="5651823" cy="357213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/>
            <a:t>Упражнение показывает как рассчитать</a:t>
          </a:r>
          <a:r>
            <a:rPr lang="ru-RU" sz="1100" baseline="0"/>
            <a:t> кривые гидратообразования. Кривая показывает термобарические условия при которых гидрат находится в равновесном состоянии. Область левее, соответственно - там где гидрат не будет образовываться, область правее - там где гидраты могут существовать в стабильном состоянии.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en-US" sz="1100" baseline="0"/>
            <a:t>fa - flow assurance </a:t>
          </a: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Makogon -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простая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и старая корреляция, для справки</a:t>
          </a: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Moitee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для обычных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газов</a:t>
          </a:r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Sun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для сернистый газов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Hammerschmidt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простая и старая корреляция для ингибитора,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для справки</a:t>
          </a:r>
          <a:endParaRPr lang="ru-RU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Carroll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рекомендуется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для использования</a:t>
          </a: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следующее задание</a:t>
          </a:r>
          <a:endParaRPr lang="ru-RU" sz="1100"/>
        </a:p>
        <a:p>
          <a:endParaRPr lang="ru-RU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  <a:r>
            <a:rPr lang="en-US" sz="1100" baseline="0"/>
            <a:t>:</a:t>
          </a:r>
          <a:r>
            <a:rPr lang="ru-RU" sz="1100" baseline="0"/>
            <a:t> 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unf_fa_hydrate_p_Makogon_atma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unf_fa_hydrate_t_Moitee_C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unf_fa_hydrate_t_Sun_C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unf_fa_hydrate_dt_Hammerschmidt_C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unf_fa_hydrate_dt_Carroll_C</a:t>
          </a:r>
        </a:p>
        <a:p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15</xdr:col>
      <xdr:colOff>37761</xdr:colOff>
      <xdr:row>0</xdr:row>
      <xdr:rowOff>5847</xdr:rowOff>
    </xdr:from>
    <xdr:to>
      <xdr:col>26</xdr:col>
      <xdr:colOff>283165</xdr:colOff>
      <xdr:row>19</xdr:row>
      <xdr:rowOff>57979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0439061" y="5847"/>
          <a:ext cx="6951004" cy="386213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упражению: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От каких параметров зависит кривая гидратообразования</a:t>
          </a:r>
        </a:p>
        <a:p>
          <a:endParaRPr lang="ru-RU" sz="1100" baseline="0"/>
        </a:p>
        <a:p>
          <a:r>
            <a:rPr lang="ru-RU" sz="1100" baseline="0"/>
            <a:t>Дополнительные вопросы и задания</a:t>
          </a:r>
        </a:p>
        <a:p>
          <a:r>
            <a:rPr lang="ru-RU" sz="1100" baseline="0"/>
            <a:t>1. Для какого типа гидратов это работает?</a:t>
          </a:r>
        </a:p>
      </xdr:txBody>
    </xdr:sp>
    <xdr:clientData/>
  </xdr:twoCellAnchor>
  <xdr:twoCellAnchor>
    <xdr:from>
      <xdr:col>16</xdr:col>
      <xdr:colOff>202923</xdr:colOff>
      <xdr:row>38</xdr:row>
      <xdr:rowOff>94423</xdr:rowOff>
    </xdr:from>
    <xdr:to>
      <xdr:col>23</xdr:col>
      <xdr:colOff>269184</xdr:colOff>
      <xdr:row>62</xdr:row>
      <xdr:rowOff>115957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E6CE9E59-5CB3-4A7F-B58E-F27E74A0A6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99392</xdr:colOff>
      <xdr:row>20</xdr:row>
      <xdr:rowOff>82826</xdr:rowOff>
    </xdr:from>
    <xdr:to>
      <xdr:col>20</xdr:col>
      <xdr:colOff>563218</xdr:colOff>
      <xdr:row>22</xdr:row>
      <xdr:rowOff>74544</xdr:rowOff>
    </xdr:to>
    <xdr:sp macro="" textlink="">
      <xdr:nvSpPr>
        <xdr:cNvPr id="14" name="Стрелка: вправо 13">
          <a:extLst>
            <a:ext uri="{FF2B5EF4-FFF2-40B4-BE49-F238E27FC236}">
              <a16:creationId xmlns:a16="http://schemas.microsoft.com/office/drawing/2014/main" id="{A3093890-E54D-43C3-8D27-D87A9868003E}"/>
            </a:ext>
          </a:extLst>
        </xdr:cNvPr>
        <xdr:cNvSpPr/>
      </xdr:nvSpPr>
      <xdr:spPr>
        <a:xfrm>
          <a:off x="14113566" y="4108174"/>
          <a:ext cx="1076739" cy="323022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</xdr:col>
      <xdr:colOff>91107</xdr:colOff>
      <xdr:row>14</xdr:row>
      <xdr:rowOff>99391</xdr:rowOff>
    </xdr:from>
    <xdr:to>
      <xdr:col>14</xdr:col>
      <xdr:colOff>273325</xdr:colOff>
      <xdr:row>18</xdr:row>
      <xdr:rowOff>74543</xdr:rowOff>
    </xdr:to>
    <xdr:sp macro="" textlink="">
      <xdr:nvSpPr>
        <xdr:cNvPr id="15" name="Стрелка: вправо 14">
          <a:extLst>
            <a:ext uri="{FF2B5EF4-FFF2-40B4-BE49-F238E27FC236}">
              <a16:creationId xmlns:a16="http://schemas.microsoft.com/office/drawing/2014/main" id="{5509E5D2-AF33-4CB4-BC01-E53A059B06DE}"/>
            </a:ext>
          </a:extLst>
        </xdr:cNvPr>
        <xdr:cNvSpPr/>
      </xdr:nvSpPr>
      <xdr:spPr>
        <a:xfrm flipH="1">
          <a:off x="8058977" y="2791239"/>
          <a:ext cx="2368826" cy="911087"/>
        </a:xfrm>
        <a:prstGeom prst="rightArrow">
          <a:avLst>
            <a:gd name="adj1" fmla="val 70000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надо будет когда нибудь</a:t>
          </a:r>
          <a:r>
            <a:rPr lang="ru-RU" sz="1100" baseline="0"/>
            <a:t> сделать обобщающие функции, с выбором моделей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fa_hydrate_dt_Carroll_C"/>
      <definedName name="unf_fa_hydrate_dt_Hammerschmidt_C"/>
      <definedName name="unf_fa_hydrate_p_Makogon_atma"/>
      <definedName name="unf_fa_hydrate_t_Moitee_C"/>
      <definedName name="unf_fa_hydrate_t_Sun_C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Y120"/>
  <sheetViews>
    <sheetView tabSelected="1" zoomScale="70" zoomScaleNormal="70" workbookViewId="0">
      <selection activeCell="H41" sqref="H41"/>
    </sheetView>
  </sheetViews>
  <sheetFormatPr defaultRowHeight="13.2" x14ac:dyDescent="0.25"/>
  <cols>
    <col min="1" max="1" width="12.33203125" customWidth="1"/>
    <col min="2" max="2" width="11" customWidth="1"/>
    <col min="3" max="3" width="10.5546875" customWidth="1"/>
    <col min="4" max="4" width="9.88671875" customWidth="1"/>
    <col min="5" max="5" width="11.33203125" customWidth="1"/>
    <col min="6" max="6" width="9.88671875" customWidth="1"/>
    <col min="7" max="7" width="11.6640625" customWidth="1"/>
    <col min="8" max="8" width="12.33203125" customWidth="1"/>
    <col min="10" max="10" width="11.33203125" customWidth="1"/>
    <col min="11" max="11" width="10.109375" customWidth="1"/>
    <col min="14" max="14" width="14.44140625" customWidth="1"/>
    <col min="15" max="15" width="15.109375" customWidth="1"/>
    <col min="19" max="19" width="15.109375" customWidth="1"/>
    <col min="22" max="32" width="9.109375" customWidth="1"/>
  </cols>
  <sheetData>
    <row r="1" spans="1:12" x14ac:dyDescent="0.25">
      <c r="A1" s="1" t="s">
        <v>20</v>
      </c>
      <c r="F1" t="s">
        <v>22</v>
      </c>
      <c r="G1" t="str">
        <f>[1]!unf_Version()</f>
        <v>7.31</v>
      </c>
      <c r="H1" s="12" t="s">
        <v>30</v>
      </c>
      <c r="I1" s="16">
        <v>44411</v>
      </c>
      <c r="J1" s="17"/>
      <c r="K1" s="17"/>
      <c r="L1" s="18"/>
    </row>
    <row r="2" spans="1:12" x14ac:dyDescent="0.25">
      <c r="A2" t="s">
        <v>21</v>
      </c>
      <c r="H2" s="12" t="s">
        <v>31</v>
      </c>
      <c r="I2" s="19">
        <v>7.31</v>
      </c>
      <c r="J2" s="14"/>
      <c r="K2" s="14"/>
      <c r="L2" s="15"/>
    </row>
    <row r="3" spans="1:12" ht="14.4" x14ac:dyDescent="0.3">
      <c r="A3" s="13" t="s">
        <v>23</v>
      </c>
      <c r="B3" s="46" t="s">
        <v>25</v>
      </c>
      <c r="C3" s="46"/>
      <c r="D3" s="46"/>
      <c r="E3" s="47"/>
      <c r="H3" s="13" t="s">
        <v>23</v>
      </c>
      <c r="I3" s="48" t="s">
        <v>25</v>
      </c>
      <c r="J3" s="48"/>
      <c r="K3" s="48"/>
      <c r="L3" s="48"/>
    </row>
    <row r="4" spans="1:12" ht="14.4" x14ac:dyDescent="0.3">
      <c r="A4" s="13" t="s">
        <v>27</v>
      </c>
      <c r="B4" s="46" t="s">
        <v>28</v>
      </c>
      <c r="C4" s="46"/>
      <c r="D4" s="46"/>
      <c r="E4" s="47"/>
      <c r="H4" s="13" t="s">
        <v>27</v>
      </c>
      <c r="I4" s="49" t="s">
        <v>28</v>
      </c>
      <c r="J4" s="49"/>
      <c r="K4" s="49"/>
      <c r="L4" s="49"/>
    </row>
    <row r="5" spans="1:12" ht="14.4" x14ac:dyDescent="0.3">
      <c r="A5" s="13" t="s">
        <v>32</v>
      </c>
      <c r="B5" s="46" t="s">
        <v>26</v>
      </c>
      <c r="C5" s="46"/>
      <c r="D5" s="46"/>
      <c r="E5" s="47"/>
      <c r="H5" s="13" t="s">
        <v>32</v>
      </c>
      <c r="I5" s="49" t="s">
        <v>26</v>
      </c>
      <c r="J5" s="49"/>
      <c r="K5" s="49"/>
      <c r="L5" s="49"/>
    </row>
    <row r="6" spans="1:12" x14ac:dyDescent="0.25">
      <c r="A6" s="32" t="s">
        <v>24</v>
      </c>
      <c r="B6" s="35" t="s">
        <v>29</v>
      </c>
      <c r="C6" s="36"/>
      <c r="D6" s="36"/>
      <c r="E6" s="37"/>
      <c r="H6" s="44" t="s">
        <v>24</v>
      </c>
      <c r="I6" s="45" t="s">
        <v>29</v>
      </c>
      <c r="J6" s="45"/>
      <c r="K6" s="45"/>
      <c r="L6" s="45"/>
    </row>
    <row r="7" spans="1:12" x14ac:dyDescent="0.25">
      <c r="A7" s="33"/>
      <c r="B7" s="38"/>
      <c r="C7" s="39"/>
      <c r="D7" s="39"/>
      <c r="E7" s="40"/>
      <c r="H7" s="44"/>
      <c r="I7" s="45"/>
      <c r="J7" s="45"/>
      <c r="K7" s="45"/>
      <c r="L7" s="45"/>
    </row>
    <row r="8" spans="1:12" x14ac:dyDescent="0.25">
      <c r="A8" s="34"/>
      <c r="B8" s="41"/>
      <c r="C8" s="42"/>
      <c r="D8" s="42"/>
      <c r="E8" s="43"/>
      <c r="H8" s="44"/>
      <c r="I8" s="45"/>
      <c r="J8" s="45"/>
      <c r="K8" s="45"/>
      <c r="L8" s="45"/>
    </row>
    <row r="10" spans="1:12" x14ac:dyDescent="0.25">
      <c r="A10" s="1" t="s">
        <v>1</v>
      </c>
    </row>
    <row r="11" spans="1:12" ht="16.8" x14ac:dyDescent="0.35">
      <c r="B11" s="4" t="s">
        <v>10</v>
      </c>
      <c r="C11" s="23">
        <v>0.86</v>
      </c>
      <c r="D11" s="5"/>
      <c r="E11" s="24">
        <f>gamma_oil_*1000</f>
        <v>860</v>
      </c>
      <c r="F11" s="25" t="s">
        <v>46</v>
      </c>
    </row>
    <row r="12" spans="1:12" ht="16.8" x14ac:dyDescent="0.35">
      <c r="B12" s="3" t="s">
        <v>12</v>
      </c>
      <c r="C12" s="23">
        <v>1</v>
      </c>
      <c r="D12" s="5"/>
      <c r="E12" s="24">
        <f>gamma_wat_*1000</f>
        <v>1000</v>
      </c>
      <c r="F12" s="25" t="s">
        <v>46</v>
      </c>
    </row>
    <row r="13" spans="1:12" ht="16.8" x14ac:dyDescent="0.35">
      <c r="B13" s="3" t="s">
        <v>11</v>
      </c>
      <c r="C13" s="29">
        <v>0.7</v>
      </c>
      <c r="D13" s="5"/>
      <c r="E13" s="24">
        <f>gamma_gas_*1.22</f>
        <v>0.85399999999999998</v>
      </c>
      <c r="F13" s="25" t="s">
        <v>46</v>
      </c>
    </row>
    <row r="14" spans="1:12" ht="16.8" x14ac:dyDescent="0.35">
      <c r="B14" s="6" t="s">
        <v>13</v>
      </c>
      <c r="C14" s="23">
        <v>80</v>
      </c>
      <c r="D14" s="3" t="s">
        <v>14</v>
      </c>
      <c r="E14" s="26">
        <f>Rsb_/gamma_oil_</f>
        <v>93.023255813953483</v>
      </c>
      <c r="F14" s="25" t="s">
        <v>47</v>
      </c>
    </row>
    <row r="15" spans="1:12" ht="16.8" x14ac:dyDescent="0.35">
      <c r="B15" s="6" t="s">
        <v>15</v>
      </c>
      <c r="C15" s="23">
        <v>80</v>
      </c>
      <c r="D15" s="3" t="s">
        <v>14</v>
      </c>
      <c r="E15" s="26">
        <f>Rsb_/gamma_oil_</f>
        <v>93.023255813953483</v>
      </c>
      <c r="F15" s="25" t="s">
        <v>47</v>
      </c>
    </row>
    <row r="16" spans="1:12" ht="15.6" x14ac:dyDescent="0.35">
      <c r="B16" s="3" t="s">
        <v>17</v>
      </c>
      <c r="C16" s="23">
        <v>120</v>
      </c>
      <c r="D16" s="3" t="s">
        <v>7</v>
      </c>
      <c r="E16" s="26">
        <f>Pb_*1.01325/10</f>
        <v>12.159000000000001</v>
      </c>
      <c r="F16" s="25" t="s">
        <v>8</v>
      </c>
    </row>
    <row r="17" spans="2:25" ht="15.6" x14ac:dyDescent="0.35">
      <c r="B17" s="3" t="s">
        <v>16</v>
      </c>
      <c r="C17" s="23">
        <v>100</v>
      </c>
      <c r="D17" s="3" t="s">
        <v>3</v>
      </c>
      <c r="E17" s="26">
        <f>Tres_*9/5+32</f>
        <v>212</v>
      </c>
      <c r="F17" s="25" t="s">
        <v>9</v>
      </c>
    </row>
    <row r="18" spans="2:25" ht="15.6" x14ac:dyDescent="0.35">
      <c r="B18" s="6" t="s">
        <v>18</v>
      </c>
      <c r="C18" s="23">
        <v>1.2</v>
      </c>
      <c r="D18" s="3" t="s">
        <v>2</v>
      </c>
      <c r="E18" s="27"/>
      <c r="F18" s="28"/>
    </row>
    <row r="19" spans="2:25" ht="15.6" x14ac:dyDescent="0.35">
      <c r="B19" s="7" t="s">
        <v>19</v>
      </c>
      <c r="C19" s="23">
        <v>1</v>
      </c>
      <c r="D19" s="3" t="s">
        <v>6</v>
      </c>
      <c r="E19" s="11"/>
      <c r="F19" s="5"/>
    </row>
    <row r="21" spans="2:25" x14ac:dyDescent="0.25">
      <c r="V21" s="10">
        <v>1</v>
      </c>
      <c r="W21" s="10" t="s">
        <v>40</v>
      </c>
      <c r="X21" s="30" t="s">
        <v>43</v>
      </c>
      <c r="Y21" s="31"/>
    </row>
    <row r="22" spans="2:25" x14ac:dyDescent="0.25">
      <c r="Q22" s="21"/>
      <c r="R22" s="22" t="s">
        <v>39</v>
      </c>
      <c r="S22" s="9">
        <v>1</v>
      </c>
      <c r="V22" s="10">
        <v>2</v>
      </c>
      <c r="W22" s="10" t="s">
        <v>41</v>
      </c>
      <c r="X22" s="30" t="s">
        <v>44</v>
      </c>
      <c r="Y22" s="31"/>
    </row>
    <row r="23" spans="2:25" x14ac:dyDescent="0.25">
      <c r="D23" t="s">
        <v>33</v>
      </c>
      <c r="G23" t="s">
        <v>34</v>
      </c>
      <c r="H23" t="s">
        <v>35</v>
      </c>
      <c r="V23" s="10">
        <v>3</v>
      </c>
      <c r="W23" s="10" t="s">
        <v>42</v>
      </c>
      <c r="X23" s="30" t="s">
        <v>45</v>
      </c>
      <c r="Y23" s="31"/>
    </row>
    <row r="24" spans="2:25" x14ac:dyDescent="0.25">
      <c r="C24" s="8" t="s">
        <v>4</v>
      </c>
      <c r="D24" s="8" t="s">
        <v>0</v>
      </c>
      <c r="F24" s="8" t="s">
        <v>0</v>
      </c>
      <c r="G24" s="8" t="s">
        <v>4</v>
      </c>
      <c r="H24" s="8" t="s">
        <v>4</v>
      </c>
      <c r="R24" s="8" t="s">
        <v>36</v>
      </c>
      <c r="S24" s="8" t="s">
        <v>37</v>
      </c>
      <c r="T24" s="8" t="s">
        <v>38</v>
      </c>
    </row>
    <row r="25" spans="2:25" x14ac:dyDescent="0.25">
      <c r="C25" s="9">
        <v>0</v>
      </c>
      <c r="D25" s="20" cm="1">
        <f t="array" ref="D25">[1]!unf_fa_hydrate_p_Makogon_atma(C25,gamma_gas_)</f>
        <v>8.3765162530753798</v>
      </c>
      <c r="F25" s="9">
        <v>1</v>
      </c>
      <c r="G25" s="20" cm="1">
        <f t="array" ref="G25">[1]!unf_fa_hydrate_t_Moitee_C(F25,gamma_gas_)</f>
        <v>-20.648340459199005</v>
      </c>
      <c r="H25" s="20" cm="1">
        <f t="array" ref="H25">[1]!unf_fa_hydrate_t_Sun_C(F25,gamma_gas_)</f>
        <v>-10.09129188687217</v>
      </c>
      <c r="R25" s="9">
        <v>1</v>
      </c>
      <c r="S25" s="20" cm="1">
        <f t="array" ref="S25">[1]!unf_fa_hydrate_dt_Hammerschmidt_C(R25,$S$22)</f>
        <v>0.73613790842255267</v>
      </c>
      <c r="T25" s="20" cm="1">
        <f t="array" ref="T25">[1]!unf_fa_hydrate_dt_Carroll_C(R25,$S$22)</f>
        <v>0.4069438385645161</v>
      </c>
    </row>
    <row r="26" spans="2:25" x14ac:dyDescent="0.25">
      <c r="C26" s="9">
        <v>0.5</v>
      </c>
      <c r="D26" s="20" cm="1">
        <f t="array" ref="D26">[1]!unf_fa_hydrate_p_Makogon_atma(C26,gamma_gas_)</f>
        <v>8.595681740603542</v>
      </c>
      <c r="F26" s="9">
        <v>2</v>
      </c>
      <c r="G26" s="20" cm="1">
        <f t="array" ref="G26">[1]!unf_fa_hydrate_t_Moitee_C(F26,gamma_gas_)</f>
        <v>-13.027880943431438</v>
      </c>
      <c r="H26" s="20" cm="1">
        <f t="array" ref="H26">[1]!unf_fa_hydrate_t_Sun_C(F26,gamma_gas_)</f>
        <v>-5.6168875774308162</v>
      </c>
      <c r="R26" s="9">
        <v>5</v>
      </c>
      <c r="S26" s="20" cm="1">
        <f t="array" ref="S26">[1]!unf_fa_hydrate_dt_Hammerschmidt_C(R26,$S$22)</f>
        <v>3.8356659438859322</v>
      </c>
      <c r="T26" s="20" cm="1">
        <f t="array" ref="T26">[1]!unf_fa_hydrate_dt_Carroll_C(R26,$S$22)</f>
        <v>2.0855797442398951</v>
      </c>
    </row>
    <row r="27" spans="2:25" x14ac:dyDescent="0.25">
      <c r="C27" s="9">
        <v>1</v>
      </c>
      <c r="D27" s="20" cm="1">
        <f t="array" ref="D27">[1]!unf_fa_hydrate_p_Makogon_atma(C27,gamma_gas_)</f>
        <v>8.8378487809856576</v>
      </c>
      <c r="F27" s="9">
        <v>3</v>
      </c>
      <c r="G27" s="20" cm="1">
        <f t="array" ref="G27">[1]!unf_fa_hydrate_t_Moitee_C(F27,gamma_gas_)</f>
        <v>-8.8200334774109841</v>
      </c>
      <c r="H27" s="20" cm="1">
        <f t="array" ref="H27">[1]!unf_fa_hydrate_t_Sun_C(F27,gamma_gas_)</f>
        <v>-2.931510091438156</v>
      </c>
      <c r="R27" s="9">
        <v>10</v>
      </c>
      <c r="S27" s="20" cm="1">
        <f t="array" ref="S27">[1]!unf_fa_hydrate_dt_Hammerschmidt_C(R27,$S$22)</f>
        <v>8.0975169926480799</v>
      </c>
      <c r="T27" s="20" cm="1">
        <f t="array" ref="T27">[1]!unf_fa_hydrate_dt_Carroll_C(R27,$S$22)</f>
        <v>4.3074896143365722</v>
      </c>
    </row>
    <row r="28" spans="2:25" x14ac:dyDescent="0.25">
      <c r="C28" s="9">
        <v>1.5</v>
      </c>
      <c r="D28" s="20" cm="1">
        <f t="array" ref="D28">[1]!unf_fa_hydrate_p_Makogon_atma(C28,gamma_gas_)</f>
        <v>9.1046268919213933</v>
      </c>
      <c r="F28" s="9">
        <v>4</v>
      </c>
      <c r="G28" s="20" cm="1">
        <f t="array" ref="G28">[1]!unf_fa_hydrate_t_Moitee_C(F28,gamma_gas_)</f>
        <v>-5.9463575351448545</v>
      </c>
      <c r="H28" s="20" cm="1">
        <f t="array" ref="H28">[1]!unf_fa_hydrate_t_Sun_C(F28,gamma_gas_)</f>
        <v>-0.99559516640130141</v>
      </c>
      <c r="R28" s="9">
        <v>15</v>
      </c>
      <c r="S28" s="20" cm="1">
        <f t="array" ref="S28">[1]!unf_fa_hydrate_dt_Hammerschmidt_C(R28,$S$22)</f>
        <v>12.860762282441067</v>
      </c>
      <c r="T28" s="20" cm="1">
        <f t="array" ref="T28">[1]!unf_fa_hydrate_dt_Carroll_C(R28,$S$22)</f>
        <v>6.6830584488050127</v>
      </c>
    </row>
    <row r="29" spans="2:25" x14ac:dyDescent="0.25">
      <c r="C29" s="9">
        <v>2</v>
      </c>
      <c r="D29" s="20" cm="1">
        <f t="array" ref="D29">[1]!unf_fa_hydrate_p_Makogon_atma(C29,gamma_gas_)</f>
        <v>9.3978192386059582</v>
      </c>
      <c r="F29" s="9">
        <v>5</v>
      </c>
      <c r="G29" s="20" cm="1">
        <f t="array" ref="G29">[1]!unf_fa_hydrate_t_Moitee_C(F29,gamma_gas_)</f>
        <v>-3.7812925814376364</v>
      </c>
      <c r="H29" s="20" cm="1">
        <f t="array" ref="H29">[1]!unf_fa_hydrate_t_Sun_C(F29,gamma_gas_)</f>
        <v>0.52341154900494757</v>
      </c>
      <c r="R29" s="9">
        <v>20</v>
      </c>
      <c r="S29" s="20" cm="1">
        <f t="array" ref="S29">[1]!unf_fa_hydrate_dt_Hammerschmidt_C(R29,$S$22)</f>
        <v>18.219413233458177</v>
      </c>
      <c r="T29" s="20" cm="1">
        <f t="array" ref="T29">[1]!unf_fa_hydrate_dt_Carroll_C(R29,$S$22)</f>
        <v>9.2330960318606667</v>
      </c>
    </row>
    <row r="30" spans="2:25" x14ac:dyDescent="0.25">
      <c r="C30" s="9">
        <v>2.5</v>
      </c>
      <c r="D30" s="20" cm="1">
        <f t="array" ref="D30">[1]!unf_fa_hydrate_p_Makogon_atma(C30,gamma_gas_)</f>
        <v>9.7194428217855897</v>
      </c>
      <c r="F30" s="9">
        <v>6</v>
      </c>
      <c r="G30" s="20" cm="1">
        <f t="array" ref="G30">[1]!unf_fa_hydrate_t_Moitee_C(F30,gamma_gas_)</f>
        <v>-2.0537674822853922</v>
      </c>
      <c r="H30" s="20" cm="1">
        <f t="array" ref="H30">[1]!unf_fa_hydrate_t_Sun_C(F30,gamma_gas_)</f>
        <v>1.7756799418280025</v>
      </c>
      <c r="R30" s="9">
        <v>25</v>
      </c>
      <c r="S30" s="20" cm="1">
        <f t="array" ref="S30">[1]!unf_fa_hydrate_dt_Hammerschmidt_C(R30,$S$22)</f>
        <v>24.292550977944238</v>
      </c>
      <c r="T30" s="20" cm="1">
        <f t="array" ref="T30">[1]!unf_fa_hydrate_dt_Carroll_C(R30,$S$22)</f>
        <v>11.98286373955696</v>
      </c>
    </row>
    <row r="31" spans="2:25" x14ac:dyDescent="0.25">
      <c r="C31" s="9">
        <v>3</v>
      </c>
      <c r="D31" s="20" cm="1">
        <f t="array" ref="D31">[1]!unf_fa_hydrate_p_Makogon_atma(C31,gamma_gas_)</f>
        <v>10.071751423344923</v>
      </c>
      <c r="F31" s="9">
        <v>7</v>
      </c>
      <c r="G31" s="20" cm="1">
        <f t="array" ref="G31">[1]!unf_fa_hydrate_t_Moitee_C(F31,gamma_gas_)</f>
        <v>-0.62225631301037465</v>
      </c>
      <c r="H31" s="20" cm="1">
        <f t="array" ref="H31">[1]!unf_fa_hydrate_t_Sun_C(F31,gamma_gas_)</f>
        <v>2.8421596542962106</v>
      </c>
      <c r="R31" s="9">
        <v>30</v>
      </c>
      <c r="S31" s="20" cm="1">
        <f t="array" ref="S31">[1]!unf_fa_hydrate_dt_Hammerschmidt_C(R31,$S$22)</f>
        <v>31.233279828785449</v>
      </c>
      <c r="T31" s="20" cm="1">
        <f t="array" ref="T31">[1]!unf_fa_hydrate_dt_Carroll_C(R31,$S$22)</f>
        <v>14.963397394129627</v>
      </c>
    </row>
    <row r="32" spans="2:25" x14ac:dyDescent="0.25">
      <c r="C32" s="9">
        <v>3.5</v>
      </c>
      <c r="D32" s="20" cm="1">
        <f t="array" ref="D32">[1]!unf_fa_hydrate_p_Makogon_atma(C32,gamma_gas_)</f>
        <v>10.45726167245863</v>
      </c>
      <c r="F32" s="9">
        <v>8</v>
      </c>
      <c r="G32" s="20" cm="1">
        <f t="array" ref="G32">[1]!unf_fa_hydrate_t_Moitee_C(F32,gamma_gas_)</f>
        <v>0.59622976566075969</v>
      </c>
      <c r="H32" s="20" cm="1">
        <f t="array" ref="H32">[1]!unf_fa_hydrate_t_Sun_C(F32,gamma_gas_)</f>
        <v>3.7715861844089318</v>
      </c>
      <c r="R32" s="9">
        <v>35</v>
      </c>
      <c r="S32" s="20" cm="1">
        <f t="array" ref="S32">[1]!unf_fa_hydrate_dt_Hammerschmidt_C(R32,$S$22)</f>
        <v>39.241813118217614</v>
      </c>
      <c r="T32" s="20" cm="1">
        <f t="array" ref="T32">[1]!unf_fa_hydrate_dt_Carroll_C(R32,$S$22)</f>
        <v>18.21334369346777</v>
      </c>
    </row>
    <row r="33" spans="3:20" x14ac:dyDescent="0.25">
      <c r="C33" s="9">
        <v>4</v>
      </c>
      <c r="D33" s="20" cm="1">
        <f t="array" ref="D33">[1]!unf_fa_hydrate_p_Makogon_atma(C33,gamma_gas_)</f>
        <v>10.878782650943739</v>
      </c>
      <c r="F33" s="9">
        <v>9</v>
      </c>
      <c r="G33" s="20" cm="1">
        <f t="array" ref="G33">[1]!unf_fa_hydrate_t_Moitee_C(F33,gamma_gas_)</f>
        <v>1.6544088058005277</v>
      </c>
      <c r="H33" s="20" cm="1">
        <f t="array" ref="H33">[1]!unf_fa_hydrate_t_Sun_C(F33,gamma_gas_)</f>
        <v>4.5956243242031292</v>
      </c>
      <c r="R33" s="9">
        <v>40</v>
      </c>
      <c r="S33" s="20" cm="1">
        <f t="array" ref="S33">[1]!unf_fa_hydrate_dt_Hammerschmidt_C(R33,$S$22)</f>
        <v>48.585101955888476</v>
      </c>
      <c r="T33" s="20" cm="1">
        <f t="array" ref="T33">[1]!unf_fa_hydrate_dt_Carroll_C(R33,$S$22)</f>
        <v>21.781563549341509</v>
      </c>
    </row>
    <row r="34" spans="3:20" x14ac:dyDescent="0.25">
      <c r="C34" s="9">
        <v>4.5</v>
      </c>
      <c r="D34" s="20" cm="1">
        <f t="array" ref="D34">[1]!unf_fa_hydrate_p_Makogon_atma(C34,gamma_gas_)</f>
        <v>11.339449520638356</v>
      </c>
      <c r="F34" s="9">
        <v>10</v>
      </c>
      <c r="G34" s="20" cm="1">
        <f t="array" ref="G34">[1]!unf_fa_hydrate_t_Moitee_C(F34,gamma_gas_)</f>
        <v>2.5877960450206121</v>
      </c>
      <c r="H34" s="20" cm="1">
        <f t="array" ref="H34">[1]!unf_fa_hydrate_t_Sun_C(F34,gamma_gas_)</f>
        <v>5.3360318418175439</v>
      </c>
      <c r="R34" s="9">
        <v>45</v>
      </c>
      <c r="S34" s="20" cm="1">
        <f t="array" ref="S34">[1]!unf_fa_hydrate_dt_Hammerschmidt_C(R34,$S$22)</f>
        <v>59.627170582226761</v>
      </c>
      <c r="T34" s="20" cm="1">
        <f t="array" ref="T34">[1]!unf_fa_hydrate_dt_Carroll_C(R34,$S$22)</f>
        <v>25.730912313039532</v>
      </c>
    </row>
    <row r="35" spans="3:20" x14ac:dyDescent="0.25">
      <c r="C35" s="9">
        <v>5</v>
      </c>
      <c r="D35" s="20" cm="1">
        <f t="array" ref="D35">[1]!unf_fa_hydrate_p_Makogon_atma(C35,gamma_gas_)</f>
        <v>11.842761729863442</v>
      </c>
      <c r="F35" s="9">
        <v>12</v>
      </c>
      <c r="G35" s="20" cm="1">
        <f t="array" ref="G35">[1]!unf_fa_hydrate_t_Moitee_C(F35,gamma_gas_)</f>
        <v>4.1735624053592186</v>
      </c>
      <c r="H35" s="20" cm="1">
        <f t="array" ref="H35">[1]!unf_fa_hydrate_t_Sun_C(F35,gamma_gas_)</f>
        <v>6.6243551267289149</v>
      </c>
      <c r="R35" s="9">
        <v>50</v>
      </c>
      <c r="S35" s="20" cm="1">
        <f t="array" ref="S35">[1]!unf_fa_hydrate_dt_Hammerschmidt_C(R35,$S$22)</f>
        <v>72.877652933832707</v>
      </c>
      <c r="T35" s="20" cm="1">
        <f t="array" ref="T35">[1]!unf_fa_hydrate_dt_Carroll_C(R35,$S$22)</f>
        <v>30.143884089565052</v>
      </c>
    </row>
    <row r="36" spans="3:20" x14ac:dyDescent="0.25">
      <c r="C36" s="9">
        <v>6</v>
      </c>
      <c r="D36" s="20" cm="1">
        <f t="array" ref="D36">[1]!unf_fa_hydrate_p_Makogon_atma(C36,gamma_gas_)</f>
        <v>12.993407929007731</v>
      </c>
      <c r="F36" s="9">
        <v>14</v>
      </c>
      <c r="G36" s="20" cm="1">
        <f t="array" ref="G36">[1]!unf_fa_hydrate_t_Moitee_C(F36,gamma_gas_)</f>
        <v>5.4852182687459026</v>
      </c>
      <c r="H36" s="20" cm="1">
        <f t="array" ref="H36">[1]!unf_fa_hydrate_t_Sun_C(F36,gamma_gas_)</f>
        <v>7.7203094898553672</v>
      </c>
      <c r="R36" s="9">
        <v>55</v>
      </c>
      <c r="S36" s="20" cm="1">
        <f t="array" ref="S36">[1]!unf_fa_hydrate_dt_Hammerschmidt_C(R36,$S$22)</f>
        <v>89.07268691912887</v>
      </c>
      <c r="T36" s="20" cm="1">
        <f t="array" ref="T36">[1]!unf_fa_hydrate_dt_Carroll_C(R36,$S$22)</f>
        <v>35.131320357403219</v>
      </c>
    </row>
    <row r="37" spans="3:20" x14ac:dyDescent="0.25">
      <c r="C37" s="9">
        <v>7</v>
      </c>
      <c r="D37" s="20" cm="1">
        <f t="array" ref="D37">[1]!unf_fa_hydrate_p_Makogon_atma(C37,gamma_gas_)</f>
        <v>14.367808977386844</v>
      </c>
      <c r="F37" s="9">
        <v>16</v>
      </c>
      <c r="G37" s="20" cm="1">
        <f t="array" ref="G37">[1]!unf_fa_hydrate_t_Moitee_C(F37,gamma_gas_)</f>
        <v>6.5998809589853895</v>
      </c>
      <c r="H37" s="20" cm="1">
        <f t="array" ref="H37">[1]!unf_fa_hydrate_t_Sun_C(F37,gamma_gas_)</f>
        <v>8.6743275614521735</v>
      </c>
      <c r="R37" s="9">
        <v>60</v>
      </c>
      <c r="S37" s="20" cm="1">
        <f t="array" ref="S37">[1]!unf_fa_hydrate_dt_Hammerschmidt_C(R37,$S$22)</f>
        <v>109.31647940074906</v>
      </c>
      <c r="T37" s="20" cm="1">
        <f t="array" ref="T37">[1]!unf_fa_hydrate_dt_Carroll_C(R37,$S$22)</f>
        <v>40.846383932776938</v>
      </c>
    </row>
    <row r="38" spans="3:20" x14ac:dyDescent="0.25">
      <c r="C38" s="9">
        <v>8</v>
      </c>
      <c r="D38" s="20" cm="1">
        <f t="array" ref="D38">[1]!unf_fa_hydrate_p_Makogon_atma(C38,gamma_gas_)</f>
        <v>16.012362281001401</v>
      </c>
      <c r="F38" s="9">
        <v>18</v>
      </c>
      <c r="G38" s="20" cm="1">
        <f t="array" ref="G38">[1]!unf_fa_hydrate_t_Moitee_C(F38,gamma_gas_)</f>
        <v>7.5664812802841377</v>
      </c>
      <c r="H38" s="20" cm="1">
        <f t="array" ref="H38">[1]!unf_fa_hydrate_t_Sun_C(F38,gamma_gas_)</f>
        <v>9.5191820160442262</v>
      </c>
    </row>
    <row r="39" spans="3:20" x14ac:dyDescent="0.25">
      <c r="C39" s="9">
        <v>9</v>
      </c>
      <c r="D39" s="20" cm="1">
        <f t="array" ref="D39">[1]!unf_fa_hydrate_p_Makogon_atma(C39,gamma_gas_)</f>
        <v>17.985298900957154</v>
      </c>
      <c r="F39" s="9">
        <v>20</v>
      </c>
      <c r="G39" s="20" cm="1">
        <f t="array" ref="G39">[1]!unf_fa_hydrate_t_Moitee_C(F39,gamma_gas_)</f>
        <v>8.4179485639978839</v>
      </c>
      <c r="H39" s="20" cm="1">
        <f t="array" ref="H39">[1]!unf_fa_hydrate_t_Sun_C(F39,gamma_gas_)</f>
        <v>10.277395104449567</v>
      </c>
    </row>
    <row r="40" spans="3:20" x14ac:dyDescent="0.25">
      <c r="C40" s="9">
        <v>10</v>
      </c>
      <c r="D40" s="20" cm="1">
        <f t="array" ref="D40">[1]!unf_fa_hydrate_p_Makogon_atma(C40,gamma_gas_)</f>
        <v>20.359977905043607</v>
      </c>
      <c r="F40" s="9">
        <v>25</v>
      </c>
      <c r="G40" s="20" cm="1">
        <f t="array" ref="G40">[1]!unf_fa_hydrate_t_Moitee_C(F40,gamma_gas_)</f>
        <v>10.180162071312241</v>
      </c>
      <c r="H40" s="20" cm="1">
        <f t="array" ref="H40">[1]!unf_fa_hydrate_t_Sun_C(F40,gamma_gas_)</f>
        <v>11.889986205067942</v>
      </c>
    </row>
    <row r="41" spans="3:20" x14ac:dyDescent="0.25">
      <c r="C41" s="9">
        <v>11</v>
      </c>
      <c r="D41" s="20" cm="1">
        <f t="array" ref="D41">[1]!unf_fa_hydrate_p_Makogon_atma(C41,gamma_gas_)</f>
        <v>23.229204378818157</v>
      </c>
      <c r="F41" s="9">
        <v>30</v>
      </c>
      <c r="G41" s="20" cm="1">
        <f t="array" ref="G41">[1]!unf_fa_hydrate_t_Moitee_C(F41,gamma_gas_)</f>
        <v>11.578533572117308</v>
      </c>
      <c r="H41" s="20" cm="1">
        <f t="array" ref="H41">[1]!unf_fa_hydrate_t_Sun_C(F41,gamma_gas_)</f>
        <v>13.213111767023975</v>
      </c>
    </row>
    <row r="42" spans="3:20" x14ac:dyDescent="0.25">
      <c r="C42" s="9">
        <v>12</v>
      </c>
      <c r="D42" s="20" cm="1">
        <f t="array" ref="D42">[1]!unf_fa_hydrate_p_Makogon_atma(C42,gamma_gas_)</f>
        <v>26.710914548585546</v>
      </c>
      <c r="F42" s="9">
        <v>35</v>
      </c>
      <c r="G42" s="20" cm="1">
        <f t="array" ref="G42">[1]!unf_fa_hydrate_t_Moitee_C(F42,gamma_gas_)</f>
        <v>12.731749339328877</v>
      </c>
      <c r="H42" s="20" cm="1">
        <f t="array" ref="H42">[1]!unf_fa_hydrate_t_Sun_C(F42,gamma_gas_)</f>
        <v>14.334487235390895</v>
      </c>
    </row>
    <row r="43" spans="3:20" x14ac:dyDescent="0.25">
      <c r="C43" s="9">
        <v>13</v>
      </c>
      <c r="D43" s="20" cm="1">
        <f t="array" ref="D43">[1]!unf_fa_hydrate_p_Makogon_atma(C43,gamma_gas_)</f>
        <v>30.955695860637576</v>
      </c>
      <c r="F43" s="9">
        <v>40</v>
      </c>
      <c r="G43" s="20" cm="1">
        <f t="array" ref="G43">[1]!unf_fa_hydrate_t_Moitee_C(F43,gamma_gas_)</f>
        <v>13.709164975494174</v>
      </c>
      <c r="H43" s="20" cm="1">
        <f t="array" ref="H43">[1]!unf_fa_hydrate_t_Sun_C(F43,gamma_gas_)</f>
        <v>15.306947261733058</v>
      </c>
    </row>
    <row r="44" spans="3:20" x14ac:dyDescent="0.25">
      <c r="C44" s="9">
        <v>14</v>
      </c>
      <c r="D44" s="20" cm="1">
        <f t="array" ref="D44">[1]!unf_fa_hydrate_p_Makogon_atma(C44,gamma_gas_)</f>
        <v>36.156782298899635</v>
      </c>
      <c r="F44" s="9">
        <v>45</v>
      </c>
      <c r="G44" s="20" cm="1">
        <f t="array" ref="G44">[1]!unf_fa_hydrate_t_Moitee_C(F44,gamma_gas_)</f>
        <v>14.554704815463188</v>
      </c>
      <c r="H44" s="20" cm="1">
        <f t="array" ref="H44">[1]!unf_fa_hydrate_t_Sun_C(F44,gamma_gas_)</f>
        <v>16.164834992048895</v>
      </c>
    </row>
    <row r="45" spans="3:20" x14ac:dyDescent="0.25">
      <c r="C45" s="9">
        <v>15</v>
      </c>
      <c r="D45" s="20" cm="1">
        <f t="array" ref="D45">[1]!unf_fa_hydrate_p_Makogon_atma(C45,gamma_gas_)</f>
        <v>42.563405422881608</v>
      </c>
      <c r="F45" s="9">
        <v>50</v>
      </c>
      <c r="G45" s="20" cm="1">
        <f t="array" ref="G45">[1]!unf_fa_hydrate_t_Moitee_C(F45,gamma_gas_)</f>
        <v>15.297879808461168</v>
      </c>
      <c r="H45" s="20" cm="1">
        <f t="array" ref="H45">[1]!unf_fa_hydrate_t_Sun_C(F45,gamma_gas_)</f>
        <v>16.931758013684089</v>
      </c>
    </row>
    <row r="46" spans="3:20" x14ac:dyDescent="0.25">
      <c r="C46" s="9">
        <v>16</v>
      </c>
      <c r="D46" s="20" cm="1">
        <f t="array" ref="D46">[1]!unf_fa_hydrate_p_Makogon_atma(C46,gamma_gas_)</f>
        <v>50.498717830692847</v>
      </c>
      <c r="F46" s="9">
        <v>55</v>
      </c>
      <c r="G46" s="20" cm="1">
        <f t="array" ref="G46">[1]!unf_fa_hydrate_t_Moitee_C(F46,gamma_gas_)</f>
        <v>15.959436332432</v>
      </c>
      <c r="H46" s="20" cm="1">
        <f t="array" ref="H46">[1]!unf_fa_hydrate_t_Sun_C(F46,gamma_gas_)</f>
        <v>17.624655704145709</v>
      </c>
    </row>
    <row r="47" spans="3:20" x14ac:dyDescent="0.25">
      <c r="C47" s="9">
        <v>17</v>
      </c>
      <c r="D47" s="20" cm="1">
        <f t="array" ref="D47">[1]!unf_fa_hydrate_p_Makogon_atma(C47,gamma_gas_)</f>
        <v>60.383978701457416</v>
      </c>
      <c r="F47" s="9">
        <v>60</v>
      </c>
      <c r="G47" s="20" cm="1">
        <f t="array" ref="G47">[1]!unf_fa_hydrate_t_Moitee_C(F47,gamma_gas_)</f>
        <v>16.554492570452595</v>
      </c>
      <c r="H47" s="20" cm="1">
        <f t="array" ref="H47">[1]!unf_fa_hydrate_t_Sun_C(F47,gamma_gas_)</f>
        <v>18.256103120819319</v>
      </c>
    </row>
    <row r="48" spans="3:20" x14ac:dyDescent="0.25">
      <c r="C48" s="9">
        <v>18</v>
      </c>
      <c r="D48" s="20" cm="1">
        <f t="array" ref="D48">[1]!unf_fa_hydrate_p_Makogon_atma(C48,gamma_gas_)</f>
        <v>72.771359655297104</v>
      </c>
      <c r="F48" s="9">
        <v>65</v>
      </c>
      <c r="G48" s="20" cm="1">
        <f t="array" ref="G48">[1]!unf_fa_hydrate_t_Moitee_C(F48,gamma_gas_)</f>
        <v>17.094391695352758</v>
      </c>
      <c r="H48" s="20" cm="1">
        <f t="array" ref="H48">[1]!unf_fa_hydrate_t_Sun_C(F48,gamma_gas_)</f>
        <v>18.835696967554838</v>
      </c>
    </row>
    <row r="49" spans="3:8" x14ac:dyDescent="0.25">
      <c r="C49" s="9">
        <v>19</v>
      </c>
      <c r="D49" s="20" cm="1">
        <f t="array" ref="D49">[1]!unf_fa_hydrate_p_Makogon_atma(C49,gamma_gas_)</f>
        <v>88.388679056226479</v>
      </c>
      <c r="F49" s="9">
        <v>70</v>
      </c>
      <c r="G49" s="20" cm="1">
        <f t="array" ref="G49">[1]!unf_fa_hydrate_t_Moitee_C(F49,gamma_gas_)</f>
        <v>17.587853031775833</v>
      </c>
      <c r="H49" s="20" cm="1">
        <f t="array" ref="H49">[1]!unf_fa_hydrate_t_Sun_C(F49,gamma_gas_)</f>
        <v>19.370930716894918</v>
      </c>
    </row>
    <row r="50" spans="3:8" x14ac:dyDescent="0.25">
      <c r="C50" s="9">
        <v>20</v>
      </c>
      <c r="D50" s="20" cm="1">
        <f t="array" ref="D50">[1]!unf_fa_hydrate_p_Makogon_atma(C50,gamma_gas_)</f>
        <v>108.2007292764502</v>
      </c>
      <c r="F50" s="9">
        <v>75</v>
      </c>
      <c r="G50" s="20" cm="1">
        <f t="array" ref="G50">[1]!unf_fa_hydrate_t_Moitee_C(F50,gamma_gas_)</f>
        <v>18.041717185001559</v>
      </c>
      <c r="H50" s="20" cm="1">
        <f t="array" ref="H50">[1]!unf_fa_hydrate_t_Sun_C(F50,gamma_gas_)</f>
        <v>19.867769633692717</v>
      </c>
    </row>
    <row r="109" spans="11:11" x14ac:dyDescent="0.25">
      <c r="K109" t="s">
        <v>5</v>
      </c>
    </row>
    <row r="120" spans="11:11" x14ac:dyDescent="0.25">
      <c r="K120" s="2"/>
    </row>
  </sheetData>
  <dataConsolidate/>
  <mergeCells count="13">
    <mergeCell ref="B3:E3"/>
    <mergeCell ref="I3:L3"/>
    <mergeCell ref="B4:E4"/>
    <mergeCell ref="I4:L4"/>
    <mergeCell ref="B5:E5"/>
    <mergeCell ref="I5:L5"/>
    <mergeCell ref="X21:Y21"/>
    <mergeCell ref="X22:Y22"/>
    <mergeCell ref="X23:Y23"/>
    <mergeCell ref="A6:A8"/>
    <mergeCell ref="B6:E8"/>
    <mergeCell ref="H6:H8"/>
    <mergeCell ref="I6:L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20</vt:i4>
      </vt:variant>
    </vt:vector>
  </HeadingPairs>
  <TitlesOfParts>
    <vt:vector size="21" baseType="lpstr">
      <vt:lpstr>exercise_PVT</vt:lpstr>
      <vt:lpstr>exercise_PVT!Bob_</vt:lpstr>
      <vt:lpstr>exercise_PVT!Course</vt:lpstr>
      <vt:lpstr>exercise_PVT!gamma_gas_</vt:lpstr>
      <vt:lpstr>exercise_PVT!gamma_oil_</vt:lpstr>
      <vt:lpstr>exercise_PVT!gamma_wat_</vt:lpstr>
      <vt:lpstr>exercise_PVT!Group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exercise_PVT!Pb_</vt:lpstr>
      <vt:lpstr>exercise_PVT!Rp_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Ринат Хабибуллин</cp:lastModifiedBy>
  <dcterms:created xsi:type="dcterms:W3CDTF">2020-04-13T13:26:12Z</dcterms:created>
  <dcterms:modified xsi:type="dcterms:W3CDTF">2021-08-03T16:43:42Z</dcterms:modified>
</cp:coreProperties>
</file>