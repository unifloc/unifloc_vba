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E56A52CC-A04D-4EC3-8339-172610766691}" xr6:coauthVersionLast="47" xr6:coauthVersionMax="47" xr10:uidLastSave="{00000000-0000-0000-0000-000000000000}"/>
  <bookViews>
    <workbookView xWindow="-103" yWindow="-103" windowWidth="22149" windowHeight="13200" xr2:uid="{655CE64E-2A26-4643-A326-EC210B114416}"/>
  </bookViews>
  <sheets>
    <sheet name="Лист1" sheetId="1" r:id="rId1"/>
    <sheet name="Лист2" sheetId="2" r:id="rId2"/>
  </sheets>
  <externalReferences>
    <externalReference r:id="rId3"/>
  </externalReferences>
  <definedNames>
    <definedName name="feed_mix">Лист1!$M$19</definedName>
    <definedName name="feed1">Лист1!$D$16</definedName>
    <definedName name="feed2">Лист1!$H$16</definedName>
    <definedName name="p">Лист1!$M$8</definedName>
    <definedName name="t">Лист1!$M$9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32" i="1" l="1"/>
  <c r="R33" i="1" s="1"/>
  <c r="Q32" i="1"/>
  <c r="Q33" i="1" s="1"/>
  <c r="G13" i="2"/>
  <c r="G12" i="2"/>
  <c r="G11" i="2"/>
  <c r="G10" i="2"/>
  <c r="G9" i="2"/>
  <c r="G8" i="2"/>
  <c r="G7" i="2"/>
  <c r="G6" i="2"/>
  <c r="H11" i="1"/>
  <c r="D11" i="1"/>
  <c r="H16" i="1"/>
  <c r="I59" i="1" a="1"/>
  <c r="I67" i="1" a="1"/>
  <c r="I66" i="1" a="1"/>
  <c r="I49" i="1" a="1"/>
  <c r="I69" i="1" a="1"/>
  <c r="AD5" i="1" a="1"/>
  <c r="I55" i="1" a="1"/>
  <c r="G21" i="1" a="1"/>
  <c r="I56" i="1" a="1"/>
  <c r="I65" i="1" a="1"/>
  <c r="I64" i="1" a="1"/>
  <c r="I51" i="1" a="1"/>
  <c r="I52" i="1" a="1"/>
  <c r="I58" i="1" a="1"/>
  <c r="D16" i="1"/>
  <c r="Q30" i="1" s="1" a="1"/>
  <c r="I60" i="1" a="1"/>
  <c r="I50" i="1" a="1"/>
  <c r="H63" i="1" a="1"/>
  <c r="I71" i="1" a="1"/>
  <c r="I54" i="1" a="1"/>
  <c r="I57" i="1" a="1"/>
  <c r="I70" i="1" a="1"/>
  <c r="I63" i="1" a="1"/>
  <c r="I61" i="1" a="1"/>
  <c r="I53" i="1" a="1"/>
  <c r="I68" i="1" a="1"/>
  <c r="I62" i="1" a="1"/>
  <c r="I48" i="1" a="1"/>
  <c r="H52" i="1" a="1"/>
  <c r="H69" i="1" a="1"/>
  <c r="C21" i="1" a="1"/>
  <c r="H49" i="1" a="1"/>
  <c r="H50" i="1" a="1"/>
  <c r="AD4" i="1" a="1"/>
  <c r="D18" i="1" a="1"/>
  <c r="H51" i="1" a="1"/>
  <c r="H62" i="1" a="1"/>
  <c r="H67" i="1" a="1"/>
  <c r="H58" i="1" a="1"/>
  <c r="H59" i="1" a="1"/>
  <c r="H56" i="1" a="1"/>
  <c r="H53" i="1" a="1"/>
  <c r="H64" i="1" a="1"/>
  <c r="H71" i="1" a="1"/>
  <c r="H54" i="1" a="1"/>
  <c r="H65" i="1" a="1"/>
  <c r="H66" i="1" a="1"/>
  <c r="H57" i="1" a="1"/>
  <c r="H70" i="1" a="1"/>
  <c r="H61" i="1" a="1"/>
  <c r="H68" i="1" a="1"/>
  <c r="H48" i="1" a="1"/>
  <c r="H60" i="1" a="1"/>
  <c r="H55" i="1" a="1"/>
  <c r="M18" i="1" a="1"/>
  <c r="R30" i="1"/>
  <c r="H18" i="1" a="1"/>
  <c r="S33" i="1" l="1"/>
  <c r="H18" i="1"/>
  <c r="S32" i="1"/>
  <c r="Q30" i="1"/>
  <c r="M18" i="1"/>
  <c r="AD4" i="1"/>
  <c r="D18" i="1"/>
  <c r="I68" i="1"/>
  <c r="I60" i="1"/>
  <c r="I50" i="1"/>
  <c r="I65" i="1"/>
  <c r="I57" i="1"/>
  <c r="I49" i="1"/>
  <c r="I62" i="1"/>
  <c r="I48" i="1"/>
  <c r="I66" i="1"/>
  <c r="I58" i="1"/>
  <c r="I71" i="1"/>
  <c r="I63" i="1"/>
  <c r="I55" i="1"/>
  <c r="AD5" i="1"/>
  <c r="I70" i="1"/>
  <c r="I67" i="1"/>
  <c r="I51" i="1"/>
  <c r="G21" i="1"/>
  <c r="I52" i="1"/>
  <c r="I64" i="1"/>
  <c r="I56" i="1"/>
  <c r="I69" i="1"/>
  <c r="I61" i="1"/>
  <c r="I53" i="1"/>
  <c r="I54" i="1"/>
  <c r="I59" i="1"/>
  <c r="H48" i="1"/>
  <c r="H64" i="1"/>
  <c r="H56" i="1"/>
  <c r="H71" i="1"/>
  <c r="H63" i="1"/>
  <c r="H55" i="1"/>
  <c r="H50" i="1"/>
  <c r="H70" i="1"/>
  <c r="H62" i="1"/>
  <c r="H54" i="1"/>
  <c r="H69" i="1"/>
  <c r="H61" i="1"/>
  <c r="H53" i="1"/>
  <c r="H66" i="1"/>
  <c r="H65" i="1"/>
  <c r="H49" i="1"/>
  <c r="H68" i="1"/>
  <c r="H60" i="1"/>
  <c r="H52" i="1"/>
  <c r="H67" i="1"/>
  <c r="H59" i="1"/>
  <c r="H51" i="1"/>
  <c r="C21" i="1"/>
  <c r="H58" i="1"/>
  <c r="H57" i="1"/>
  <c r="AG6" i="1" a="1"/>
  <c r="M19" i="1" a="1"/>
  <c r="AD6" i="1" a="1"/>
  <c r="M19" i="1" l="1"/>
  <c r="S30" i="1"/>
  <c r="AD6" i="1"/>
  <c r="AG6" i="1"/>
  <c r="J51" i="1" a="1"/>
  <c r="M21" i="1" a="1"/>
  <c r="J69" i="1" a="1"/>
  <c r="J70" i="1" a="1"/>
  <c r="J60" i="1" a="1"/>
  <c r="J49" i="1" a="1"/>
  <c r="J48" i="1" a="1"/>
  <c r="J61" i="1" a="1"/>
  <c r="J50" i="1" a="1"/>
  <c r="J53" i="1" a="1"/>
  <c r="J65" i="1" a="1"/>
  <c r="J52" i="1" a="1"/>
  <c r="J64" i="1" a="1"/>
  <c r="J68" i="1" a="1"/>
  <c r="J71" i="1" a="1"/>
  <c r="J63" i="1" a="1"/>
  <c r="J59" i="1" a="1"/>
  <c r="J57" i="1" a="1"/>
  <c r="J62" i="1" a="1"/>
  <c r="J54" i="1" a="1"/>
  <c r="J66" i="1" a="1"/>
  <c r="J58" i="1" a="1"/>
  <c r="J56" i="1" a="1"/>
  <c r="J67" i="1" a="1"/>
  <c r="J55" i="1" a="1"/>
  <c r="U24" i="1" a="1"/>
  <c r="U26" i="1" l="1"/>
  <c r="U27" i="1" s="1"/>
  <c r="U24" i="1"/>
  <c r="J52" i="1"/>
  <c r="J49" i="1"/>
  <c r="J71" i="1"/>
  <c r="M21" i="1"/>
  <c r="J70" i="1"/>
  <c r="J50" i="1"/>
  <c r="J64" i="1"/>
  <c r="J55" i="1"/>
  <c r="J48" i="1"/>
  <c r="J65" i="1"/>
  <c r="J68" i="1"/>
  <c r="J58" i="1"/>
  <c r="J51" i="1"/>
  <c r="J69" i="1"/>
  <c r="J53" i="1"/>
  <c r="J66" i="1"/>
  <c r="J67" i="1"/>
  <c r="J62" i="1"/>
  <c r="J61" i="1"/>
  <c r="J57" i="1"/>
  <c r="J56" i="1"/>
  <c r="J63" i="1"/>
  <c r="J60" i="1"/>
  <c r="J59" i="1"/>
  <c r="J54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<sst xmlns="http://schemas.openxmlformats.org/spreadsheetml/2006/main" count="64" uniqueCount="47">
  <si>
    <t>gamma_gas</t>
  </si>
  <si>
    <t>gamma_oil</t>
  </si>
  <si>
    <t>gamma_wat</t>
  </si>
  <si>
    <t>rsb_m3m3</t>
  </si>
  <si>
    <t>pb_atma</t>
  </si>
  <si>
    <t>t_res_C</t>
  </si>
  <si>
    <t>bob_m3m3</t>
  </si>
  <si>
    <t>muob_cP</t>
  </si>
  <si>
    <t>pvt_corr_set</t>
  </si>
  <si>
    <t>PVT</t>
  </si>
  <si>
    <t>q_liq_sm3day</t>
  </si>
  <si>
    <t>fw_perc</t>
  </si>
  <si>
    <t>rp_m3m3</t>
  </si>
  <si>
    <t>q_gas_free_sm3day</t>
  </si>
  <si>
    <t>feed</t>
  </si>
  <si>
    <t>p</t>
  </si>
  <si>
    <t>rs feed 1</t>
  </si>
  <si>
    <t>T</t>
  </si>
  <si>
    <t>rs feed2</t>
  </si>
  <si>
    <t>Вязкость</t>
  </si>
  <si>
    <t>сП</t>
  </si>
  <si>
    <t>мПа·с</t>
  </si>
  <si>
    <t>Давление</t>
  </si>
  <si>
    <t>бар</t>
  </si>
  <si>
    <t>psi</t>
  </si>
  <si>
    <t>Проницаемость</t>
  </si>
  <si>
    <t>мД</t>
  </si>
  <si>
    <t>Температура</t>
  </si>
  <si>
    <t>°С</t>
  </si>
  <si>
    <t>°F</t>
  </si>
  <si>
    <t>Газосодержание</t>
  </si>
  <si>
    <t>м³/м³</t>
  </si>
  <si>
    <t>Расстояние</t>
  </si>
  <si>
    <t>мм</t>
  </si>
  <si>
    <t>in</t>
  </si>
  <si>
    <t>Дебит</t>
  </si>
  <si>
    <t>м³/сут</t>
  </si>
  <si>
    <t>bpd</t>
  </si>
  <si>
    <t>Плотность</t>
  </si>
  <si>
    <t>кг/м³</t>
  </si>
  <si>
    <t>°API</t>
  </si>
  <si>
    <t>scft/bbl</t>
  </si>
  <si>
    <t>Qo</t>
  </si>
  <si>
    <t>Qg</t>
  </si>
  <si>
    <t xml:space="preserve">Пример слияния двух потоков </t>
  </si>
  <si>
    <t>Проверка</t>
  </si>
  <si>
    <t>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</si>
</sst>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1" fillId="0" borderId="0" xfId="0" applyFont="1"/>
    <xf numFmtId="164" fontId="0" fillId="0" borderId="0" xfId="0" applyNumberFormat="1"/>
    <xf numFmtId="1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Лист1!$H$47</c:f>
              <c:strCache>
                <c:ptCount val="1"/>
                <c:pt idx="0">
                  <c:v>rs feed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Лист1!$G$48:$G$71</c:f>
              <c:numCache>
                <c:formatCode>General</c:formatCode>
                <c:ptCount val="24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80</c:v>
                </c:pt>
                <c:pt idx="8">
                  <c:v>110</c:v>
                </c:pt>
                <c:pt idx="9">
                  <c:v>140</c:v>
                </c:pt>
                <c:pt idx="10">
                  <c:v>170</c:v>
                </c:pt>
                <c:pt idx="11">
                  <c:v>200</c:v>
                </c:pt>
                <c:pt idx="12">
                  <c:v>230</c:v>
                </c:pt>
                <c:pt idx="13">
                  <c:v>260</c:v>
                </c:pt>
                <c:pt idx="14">
                  <c:v>290</c:v>
                </c:pt>
                <c:pt idx="15">
                  <c:v>320</c:v>
                </c:pt>
                <c:pt idx="16">
                  <c:v>350</c:v>
                </c:pt>
                <c:pt idx="17">
                  <c:v>380</c:v>
                </c:pt>
                <c:pt idx="18">
                  <c:v>410</c:v>
                </c:pt>
                <c:pt idx="19">
                  <c:v>440</c:v>
                </c:pt>
                <c:pt idx="20">
                  <c:v>470</c:v>
                </c:pt>
                <c:pt idx="21">
                  <c:v>500</c:v>
                </c:pt>
                <c:pt idx="22">
                  <c:v>530</c:v>
                </c:pt>
                <c:pt idx="23">
                  <c:v>560</c:v>
                </c:pt>
              </c:numCache>
            </c:numRef>
          </c:xVal>
          <c:yVal>
            <c:numRef>
              <c:f>Лист1!$H$48:$H$71</c:f>
              <c:numCache>
                <c:formatCode>General</c:formatCode>
                <c:ptCount val="24"/>
                <c:pt idx="0">
                  <c:v>0.1291259196121729</c:v>
                </c:pt>
                <c:pt idx="1">
                  <c:v>0.89654751828329948</c:v>
                </c:pt>
                <c:pt idx="2">
                  <c:v>2.0654440141790347</c:v>
                </c:pt>
                <c:pt idx="3">
                  <c:v>4.7583188717945637</c:v>
                </c:pt>
                <c:pt idx="4">
                  <c:v>7.7529577663624369</c:v>
                </c:pt>
                <c:pt idx="5">
                  <c:v>10.96209741355579</c:v>
                </c:pt>
                <c:pt idx="6">
                  <c:v>14.340797809046078</c:v>
                </c:pt>
                <c:pt idx="7">
                  <c:v>25.254209089809539</c:v>
                </c:pt>
                <c:pt idx="8">
                  <c:v>33.215274351507247</c:v>
                </c:pt>
                <c:pt idx="9">
                  <c:v>33.215274351507247</c:v>
                </c:pt>
                <c:pt idx="10">
                  <c:v>33.215274351507247</c:v>
                </c:pt>
                <c:pt idx="11">
                  <c:v>33.215274351507247</c:v>
                </c:pt>
                <c:pt idx="12">
                  <c:v>33.215274351507247</c:v>
                </c:pt>
                <c:pt idx="13">
                  <c:v>33.215274351507247</c:v>
                </c:pt>
                <c:pt idx="14">
                  <c:v>33.215274351507247</c:v>
                </c:pt>
                <c:pt idx="15">
                  <c:v>33.215274351507247</c:v>
                </c:pt>
                <c:pt idx="16">
                  <c:v>33.215274351507247</c:v>
                </c:pt>
                <c:pt idx="17">
                  <c:v>33.215274351507247</c:v>
                </c:pt>
                <c:pt idx="18">
                  <c:v>33.215274351507247</c:v>
                </c:pt>
                <c:pt idx="19">
                  <c:v>33.215274351507247</c:v>
                </c:pt>
                <c:pt idx="20">
                  <c:v>33.215274351507247</c:v>
                </c:pt>
                <c:pt idx="21">
                  <c:v>33.215274351507247</c:v>
                </c:pt>
                <c:pt idx="22">
                  <c:v>33.215274351507247</c:v>
                </c:pt>
                <c:pt idx="23">
                  <c:v>33.215274351507247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3F-4ED5-BECF-84D6EE9A9B82}"/>
            </c:ext>
          </c:extLst>
        </c:ser>
        <c:ser>
          <c:idx val="1"/>
          <c:order val="1"/>
          <c:tx>
            <c:strRef>
              <c:f>Лист1!$I$47</c:f>
              <c:strCache>
                <c:ptCount val="1"/>
                <c:pt idx="0">
                  <c:v>rs feed2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Лист1!$G$48:$G$71</c:f>
              <c:numCache>
                <c:formatCode>General</c:formatCode>
                <c:ptCount val="24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80</c:v>
                </c:pt>
                <c:pt idx="8">
                  <c:v>110</c:v>
                </c:pt>
                <c:pt idx="9">
                  <c:v>140</c:v>
                </c:pt>
                <c:pt idx="10">
                  <c:v>170</c:v>
                </c:pt>
                <c:pt idx="11">
                  <c:v>200</c:v>
                </c:pt>
                <c:pt idx="12">
                  <c:v>230</c:v>
                </c:pt>
                <c:pt idx="13">
                  <c:v>260</c:v>
                </c:pt>
                <c:pt idx="14">
                  <c:v>290</c:v>
                </c:pt>
                <c:pt idx="15">
                  <c:v>320</c:v>
                </c:pt>
                <c:pt idx="16">
                  <c:v>350</c:v>
                </c:pt>
                <c:pt idx="17">
                  <c:v>380</c:v>
                </c:pt>
                <c:pt idx="18">
                  <c:v>410</c:v>
                </c:pt>
                <c:pt idx="19">
                  <c:v>440</c:v>
                </c:pt>
                <c:pt idx="20">
                  <c:v>470</c:v>
                </c:pt>
                <c:pt idx="21">
                  <c:v>500</c:v>
                </c:pt>
                <c:pt idx="22">
                  <c:v>530</c:v>
                </c:pt>
                <c:pt idx="23">
                  <c:v>560</c:v>
                </c:pt>
              </c:numCache>
            </c:numRef>
          </c:xVal>
          <c:yVal>
            <c:numRef>
              <c:f>Лист1!$I$48:$I$71</c:f>
              <c:numCache>
                <c:formatCode>General</c:formatCode>
                <c:ptCount val="24"/>
                <c:pt idx="0">
                  <c:v>7.7972628877435435</c:v>
                </c:pt>
                <c:pt idx="1">
                  <c:v>19.687914056339608</c:v>
                </c:pt>
                <c:pt idx="2">
                  <c:v>26.992699745640159</c:v>
                </c:pt>
                <c:pt idx="3">
                  <c:v>37.301219656314835</c:v>
                </c:pt>
                <c:pt idx="4">
                  <c:v>45.664188258641119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83F-4ED5-BECF-84D6EE9A9B82}"/>
            </c:ext>
          </c:extLst>
        </c:ser>
        <c:ser>
          <c:idx val="2"/>
          <c:order val="2"/>
          <c:tx>
            <c:strRef>
              <c:f>Лист1!$J$47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Лист1!$G$48:$G$71</c:f>
              <c:numCache>
                <c:formatCode>General</c:formatCode>
                <c:ptCount val="24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80</c:v>
                </c:pt>
                <c:pt idx="8">
                  <c:v>110</c:v>
                </c:pt>
                <c:pt idx="9">
                  <c:v>140</c:v>
                </c:pt>
                <c:pt idx="10">
                  <c:v>170</c:v>
                </c:pt>
                <c:pt idx="11">
                  <c:v>200</c:v>
                </c:pt>
                <c:pt idx="12">
                  <c:v>230</c:v>
                </c:pt>
                <c:pt idx="13">
                  <c:v>260</c:v>
                </c:pt>
                <c:pt idx="14">
                  <c:v>290</c:v>
                </c:pt>
                <c:pt idx="15">
                  <c:v>320</c:v>
                </c:pt>
                <c:pt idx="16">
                  <c:v>350</c:v>
                </c:pt>
                <c:pt idx="17">
                  <c:v>380</c:v>
                </c:pt>
                <c:pt idx="18">
                  <c:v>410</c:v>
                </c:pt>
                <c:pt idx="19">
                  <c:v>440</c:v>
                </c:pt>
                <c:pt idx="20">
                  <c:v>470</c:v>
                </c:pt>
                <c:pt idx="21">
                  <c:v>500</c:v>
                </c:pt>
                <c:pt idx="22">
                  <c:v>530</c:v>
                </c:pt>
                <c:pt idx="23">
                  <c:v>560</c:v>
                </c:pt>
              </c:numCache>
            </c:numRef>
          </c:xVal>
          <c:yVal>
            <c:numRef>
              <c:f>Лист1!$J$48:$J$71</c:f>
              <c:numCache>
                <c:formatCode>General</c:formatCode>
                <c:ptCount val="24"/>
                <c:pt idx="0">
                  <c:v>0.15081131730154476</c:v>
                </c:pt>
                <c:pt idx="1">
                  <c:v>1.0471136442771072</c:v>
                </c:pt>
                <c:pt idx="2">
                  <c:v>2.4123145339564021</c:v>
                </c:pt>
                <c:pt idx="3">
                  <c:v>5.5574306022482585</c:v>
                </c:pt>
                <c:pt idx="4">
                  <c:v>9.0549889382405269</c:v>
                </c:pt>
                <c:pt idx="5">
                  <c:v>12.803071267887836</c:v>
                </c:pt>
                <c:pt idx="6">
                  <c:v>16.749190365754114</c:v>
                </c:pt>
                <c:pt idx="7">
                  <c:v>29.495399155196239</c:v>
                </c:pt>
                <c:pt idx="8">
                  <c:v>35.405000000000001</c:v>
                </c:pt>
                <c:pt idx="9">
                  <c:v>35.405000000000001</c:v>
                </c:pt>
                <c:pt idx="10">
                  <c:v>35.405000000000001</c:v>
                </c:pt>
                <c:pt idx="11">
                  <c:v>35.405000000000001</c:v>
                </c:pt>
                <c:pt idx="12">
                  <c:v>35.405000000000001</c:v>
                </c:pt>
                <c:pt idx="13">
                  <c:v>35.405000000000001</c:v>
                </c:pt>
                <c:pt idx="14">
                  <c:v>35.405000000000001</c:v>
                </c:pt>
                <c:pt idx="15">
                  <c:v>35.405000000000001</c:v>
                </c:pt>
                <c:pt idx="16">
                  <c:v>35.405000000000001</c:v>
                </c:pt>
                <c:pt idx="17">
                  <c:v>35.405000000000001</c:v>
                </c:pt>
                <c:pt idx="18">
                  <c:v>35.405000000000001</c:v>
                </c:pt>
                <c:pt idx="19">
                  <c:v>35.405000000000001</c:v>
                </c:pt>
                <c:pt idx="20">
                  <c:v>35.405000000000001</c:v>
                </c:pt>
                <c:pt idx="21">
                  <c:v>35.405000000000001</c:v>
                </c:pt>
                <c:pt idx="22">
                  <c:v>35.405000000000001</c:v>
                </c:pt>
                <c:pt idx="23">
                  <c:v>35.405000000000001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F3F-4433-A7F6-788FC2DDF0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2638495"/>
        <c:axId val="2077143135"/>
      </c:scatterChart>
      <c:valAx>
        <c:axId val="2072638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77143135"/>
        <c:crosses val="autoZero"/>
        <c:crossBetween val="midCat"/>
      </c:valAx>
      <c:valAx>
        <c:axId val="207714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726384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437252</xdr:colOff>
      <xdr:row>47</xdr:row>
      <xdr:rowOff>89812</xdr:rowOff>
    </xdr:from>
    <xdr:to>
      <xdr:col>21</xdr:col>
      <xdr:colOff>64711</xdr:colOff>
      <xdr:row>69</xdr:row>
      <xdr:rowOff>47259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6139F9A6-E665-4CCE-9546-499C7F3EE9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unifloc\unifloc_vba\UniflocVBA_7.xlam" TargetMode="External"/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fo"/>
    </sheetNames>
    <definedNames>
      <definedName name="decode_json"/>
      <definedName name="encode_feed"/>
      <definedName name="encode_PVT"/>
      <definedName name="feed_mod_mix"/>
      <definedName name="feed_mod_separate_gas"/>
      <definedName name="feed_q_mix_rc_m3day"/>
      <definedName name="PVT_rs_m3m3"/>
      <definedName name="PVT_rsb_m3m3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D4D40-318F-4317-88A8-15A2B78CBBC0}">
  <sheetPr codeName="Лист1"/>
  <dimension ref="B1:AH71"/>
  <sheetViews>
    <sheetView tabSelected="1" zoomScaleNormal="100" workbookViewId="0">
      <selection activeCell="B8" sqref="B8"/>
    </sheetView>
  </sheetViews>
  <sheetFormatPr defaultRowHeight="14.6" x14ac:dyDescent="0.4"/>
  <cols>
    <col min="3" max="3" width="12.53515625" customWidth="1"/>
    <col min="7" max="7" width="12.15234375" customWidth="1"/>
    <col min="10" max="10" width="12.765625" customWidth="1"/>
    <col min="13" max="13" width="10.4609375" customWidth="1"/>
    <col min="18" max="18" width="11.23046875" customWidth="1"/>
    <col min="19" max="19" width="11.61328125" customWidth="1"/>
  </cols>
  <sheetData>
    <row r="1" spans="2:34" x14ac:dyDescent="0.4">
      <c r="B1" t="s">
        <v>44</v>
      </c>
    </row>
    <row r="2" spans="2:34" x14ac:dyDescent="0.4">
      <c r="C2" t="s">
        <v>0</v>
      </c>
      <c r="D2">
        <v>0.6</v>
      </c>
      <c r="G2" t="s">
        <v>0</v>
      </c>
      <c r="H2">
        <v>0.9</v>
      </c>
    </row>
    <row r="3" spans="2:34" x14ac:dyDescent="0.4">
      <c r="C3" t="s">
        <v>1</v>
      </c>
      <c r="D3">
        <v>0.9</v>
      </c>
      <c r="G3" t="s">
        <v>1</v>
      </c>
      <c r="H3">
        <v>0.8</v>
      </c>
    </row>
    <row r="4" spans="2:34" x14ac:dyDescent="0.4">
      <c r="C4" t="s">
        <v>2</v>
      </c>
      <c r="D4">
        <v>1</v>
      </c>
      <c r="G4" t="s">
        <v>2</v>
      </c>
      <c r="H4">
        <v>1.3</v>
      </c>
      <c r="AD4" t="str" cm="1">
        <f t="array" ref="AD4">[1]!feed_mod_separate_gas(1,p,t,feed1)</f>
        <v>{"gamma_gas":0.6,"gamma_oil":0.9,"gamma_wat":1,"rsb_m3m3":0.391,"pb_atma":2.244,"t_res_C":80,"bob_m3m3":1.177,"muob_cP":2.26,"PVT_corr_set":0,"q_liq_sm3day":100,"fw_perc":80,"rp_m3m3":0.391}</v>
      </c>
    </row>
    <row r="5" spans="2:34" x14ac:dyDescent="0.4">
      <c r="C5" t="s">
        <v>3</v>
      </c>
      <c r="G5" t="s">
        <v>3</v>
      </c>
      <c r="H5">
        <v>50</v>
      </c>
      <c r="AD5" t="str" cm="1">
        <f t="array" ref="AD5">[1]!feed_mod_separate_gas(1,p,t,feed2)</f>
        <v>{"gamma_gas":0.9,"gamma_oil":0.8,"gamma_wat":1.3,"rsb_m3m3":13.721,"pb_atma":2.436,"t_res_C":40,"bob_m3m3":1.016,"muob_cP":0.592,"PVT_corr_set":1,"q_liq_sm3day":30,"fw_perc":90,"rp_m3m3":13.721}</v>
      </c>
    </row>
    <row r="6" spans="2:34" x14ac:dyDescent="0.4">
      <c r="C6" t="s">
        <v>4</v>
      </c>
      <c r="D6">
        <v>100</v>
      </c>
      <c r="G6" t="s">
        <v>4</v>
      </c>
      <c r="H6">
        <v>30</v>
      </c>
      <c r="AD6" t="str" cm="1">
        <f t="array" ref="AD6:AE17">[1]!decode_json(AD4)</f>
        <v>gamma_gas</v>
      </c>
      <c r="AE6">
        <v>0.6</v>
      </c>
      <c r="AG6" t="str" cm="1">
        <f t="array" ref="AG6:AH17">[1]!decode_json(AD5)</f>
        <v>gamma_gas</v>
      </c>
      <c r="AH6">
        <v>0.9</v>
      </c>
    </row>
    <row r="7" spans="2:34" x14ac:dyDescent="0.4">
      <c r="C7" t="s">
        <v>5</v>
      </c>
      <c r="D7">
        <v>80</v>
      </c>
      <c r="G7" t="s">
        <v>5</v>
      </c>
      <c r="H7">
        <v>40</v>
      </c>
      <c r="AD7" t="str">
        <v>gamma_oil</v>
      </c>
      <c r="AE7">
        <v>0.9</v>
      </c>
      <c r="AG7" t="str">
        <v>gamma_oil</v>
      </c>
      <c r="AH7">
        <v>0.8</v>
      </c>
    </row>
    <row r="8" spans="2:34" x14ac:dyDescent="0.4">
      <c r="C8" t="s">
        <v>6</v>
      </c>
      <c r="D8">
        <v>1.4</v>
      </c>
      <c r="G8" t="s">
        <v>6</v>
      </c>
      <c r="H8">
        <v>1.04</v>
      </c>
      <c r="L8" t="s">
        <v>15</v>
      </c>
      <c r="M8">
        <v>2</v>
      </c>
      <c r="AD8" t="str">
        <v>gamma_wat</v>
      </c>
      <c r="AE8">
        <v>1</v>
      </c>
      <c r="AG8" t="str">
        <v>gamma_wat</v>
      </c>
      <c r="AH8">
        <v>1.3</v>
      </c>
    </row>
    <row r="9" spans="2:34" x14ac:dyDescent="0.4">
      <c r="C9" t="s">
        <v>7</v>
      </c>
      <c r="D9">
        <v>0.9</v>
      </c>
      <c r="G9" t="s">
        <v>7</v>
      </c>
      <c r="H9">
        <v>0.4</v>
      </c>
      <c r="L9" t="s">
        <v>46</v>
      </c>
      <c r="M9">
        <v>20</v>
      </c>
      <c r="AD9" t="str">
        <v>rsb_m3m3</v>
      </c>
      <c r="AE9">
        <v>0.39100000000000001</v>
      </c>
      <c r="AG9" t="str">
        <v>rsb_m3m3</v>
      </c>
      <c r="AH9">
        <v>13.721</v>
      </c>
    </row>
    <row r="10" spans="2:34" x14ac:dyDescent="0.4">
      <c r="C10" t="s">
        <v>8</v>
      </c>
      <c r="D10">
        <v>0</v>
      </c>
      <c r="G10" t="s">
        <v>8</v>
      </c>
      <c r="H10">
        <v>1</v>
      </c>
      <c r="AD10" t="str">
        <v>pb_atma</v>
      </c>
      <c r="AE10">
        <v>2.2440000000000002</v>
      </c>
      <c r="AG10" t="str">
        <v>pb_atma</v>
      </c>
      <c r="AH10">
        <v>2.4359999999999999</v>
      </c>
    </row>
    <row r="11" spans="2:34" x14ac:dyDescent="0.4">
      <c r="C11" t="s">
        <v>9</v>
      </c>
      <c r="D11" t="str">
        <f>[1]!encode_PVT(D2,D3,D4,D5,D6,D7,D8,D9,D10)</f>
        <v>{"gamma_gas":0.6,"gamma_oil":0.9,"gamma_wat":1,"rsb_m3m3":0,"pb_atma":100,"t_res_C":80,"bob_m3m3":1.4,"muob_cP":0.9,"PVT_corr_set":0}</v>
      </c>
      <c r="G11" t="s">
        <v>9</v>
      </c>
      <c r="H11" t="str">
        <f>[1]!encode_PVT(H2,H3,H4,H5,H6,H7,H8,H9,H10)</f>
        <v>{"gamma_gas":0.9,"gamma_oil":0.8,"gamma_wat":1.3,"rsb_m3m3":50,"pb_atma":30,"t_res_C":40,"bob_m3m3":1.04,"muob_cP":0.4,"PVT_corr_set":1}</v>
      </c>
      <c r="AD11" t="str">
        <v>t_res_C</v>
      </c>
      <c r="AE11">
        <v>80</v>
      </c>
      <c r="AG11" t="str">
        <v>t_res_C</v>
      </c>
      <c r="AH11">
        <v>40</v>
      </c>
    </row>
    <row r="12" spans="2:34" x14ac:dyDescent="0.4">
      <c r="C12" t="s">
        <v>10</v>
      </c>
      <c r="D12">
        <v>100</v>
      </c>
      <c r="G12" t="s">
        <v>10</v>
      </c>
      <c r="H12">
        <v>30</v>
      </c>
      <c r="AD12" t="str">
        <v>bob_m3m3</v>
      </c>
      <c r="AE12">
        <v>1.177</v>
      </c>
      <c r="AG12" t="str">
        <v>bob_m3m3</v>
      </c>
      <c r="AH12">
        <v>1.016</v>
      </c>
    </row>
    <row r="13" spans="2:34" x14ac:dyDescent="0.4">
      <c r="C13" t="s">
        <v>11</v>
      </c>
      <c r="D13">
        <v>80</v>
      </c>
      <c r="G13" t="s">
        <v>11</v>
      </c>
      <c r="H13">
        <v>90</v>
      </c>
      <c r="AD13" t="str">
        <v>muob_cP</v>
      </c>
      <c r="AE13">
        <v>2.2599999999999998</v>
      </c>
      <c r="AG13" t="str">
        <v>muob_cP</v>
      </c>
      <c r="AH13">
        <v>0.59199999999999997</v>
      </c>
    </row>
    <row r="14" spans="2:34" x14ac:dyDescent="0.4">
      <c r="C14" t="s">
        <v>12</v>
      </c>
      <c r="D14">
        <v>500</v>
      </c>
      <c r="G14" t="s">
        <v>12</v>
      </c>
      <c r="H14">
        <v>60</v>
      </c>
      <c r="AD14" t="str">
        <v>PVT_corr_set</v>
      </c>
      <c r="AE14">
        <v>0</v>
      </c>
      <c r="AG14" t="str">
        <v>PVT_corr_set</v>
      </c>
      <c r="AH14">
        <v>1</v>
      </c>
    </row>
    <row r="15" spans="2:34" x14ac:dyDescent="0.4">
      <c r="C15" t="s">
        <v>13</v>
      </c>
      <c r="D15">
        <v>0</v>
      </c>
      <c r="G15" t="s">
        <v>13</v>
      </c>
      <c r="H15">
        <v>5000</v>
      </c>
      <c r="AD15" t="str">
        <v>q_liq_sm3day</v>
      </c>
      <c r="AE15">
        <v>100</v>
      </c>
      <c r="AG15" t="str">
        <v>q_liq_sm3day</v>
      </c>
      <c r="AH15">
        <v>30</v>
      </c>
    </row>
    <row r="16" spans="2:34" x14ac:dyDescent="0.4">
      <c r="C16" t="s">
        <v>14</v>
      </c>
      <c r="D16" t="str">
        <f>[1]!encode_feed(D12,D13,D14,D15,D11)</f>
        <v>{"gamma_gas":0.6,"gamma_oil":0.9,"gamma_wat":1,"rsb_m3m3":0,"pb_atma":100,"t_res_C":80,"bob_m3m3":1.4,"muob_cP":0.9,"PVT_corr_set":0,"q_liq_sm3day":100,"fw_perc":80,"rp_m3m3":500}</v>
      </c>
      <c r="G16" t="s">
        <v>14</v>
      </c>
      <c r="H16" t="str">
        <f>[1]!encode_feed(H12,H13,H14,H15,H11)</f>
        <v>{"gamma_gas":0.9,"gamma_oil":0.8,"gamma_wat":1.3,"rsb_m3m3":50,"pb_atma":30,"t_res_C":40,"bob_m3m3":1.04,"muob_cP":0.4,"PVT_corr_set":1,"q_liq_sm3day":30,"fw_perc":90,"rp_m3m3":60,"q_gas_free_sm3day":5000}</v>
      </c>
      <c r="AD16" t="str">
        <v>fw_perc</v>
      </c>
      <c r="AE16">
        <v>80</v>
      </c>
      <c r="AG16" t="str">
        <v>fw_perc</v>
      </c>
      <c r="AH16">
        <v>90</v>
      </c>
    </row>
    <row r="17" spans="3:34" x14ac:dyDescent="0.4">
      <c r="D17" s="4">
        <v>250</v>
      </c>
      <c r="H17" s="4">
        <v>30</v>
      </c>
      <c r="AD17" t="str">
        <v>rp_m3m3</v>
      </c>
      <c r="AE17">
        <v>0.39100000000000001</v>
      </c>
      <c r="AG17" t="str">
        <v>rp_m3m3</v>
      </c>
      <c r="AH17">
        <v>13.721</v>
      </c>
    </row>
    <row r="18" spans="3:34" x14ac:dyDescent="0.4">
      <c r="D18" s="4" cm="1">
        <f t="array" ref="D18">[1]!PVT_rsb_m3m3(D17,t,feed1)</f>
        <v>131.67676077094598</v>
      </c>
      <c r="H18" s="4" cm="1">
        <f t="array" ref="H18">[1]!PVT_rsb_m3m3(H17,t,feed2)</f>
        <v>135.98611366976252</v>
      </c>
      <c r="M18" t="str" cm="1">
        <f t="array" ref="M18">[1]!feed_mod_mix(feed1,feed2)</f>
        <v>{"gamma_gas":0.605,"gamma_oil":0.887,"gamma_wat":1.076,"rsb_m3m3":35.405,"pb_atma":90.87,"t_res_C":74.783,"bob_m3m3":1.353,"muob_cP":0.835,"PVT_corr_set":0,"q_liq_sm3day":130,"fw_perc":82.308,"rp_m3m3":442.609,"q_gas_free_sm3day":5000}</v>
      </c>
    </row>
    <row r="19" spans="3:34" x14ac:dyDescent="0.4">
      <c r="M19" t="str" cm="1">
        <f t="array" ref="M19">[1]!feed_mod_mix(feed1,feed2)</f>
        <v>{"gamma_gas":0.605,"gamma_oil":0.887,"gamma_wat":1.076,"rsb_m3m3":35.405,"pb_atma":90.87,"t_res_C":74.783,"bob_m3m3":1.353,"muob_cP":0.835,"PVT_corr_set":0,"q_liq_sm3day":130,"fw_perc":82.308,"rp_m3m3":442.609,"q_gas_free_sm3day":5000}</v>
      </c>
    </row>
    <row r="21" spans="3:34" x14ac:dyDescent="0.4">
      <c r="C21" s="1" t="str" cm="1">
        <f t="array" ref="C21:D32">[1]!decode_json(feed1)</f>
        <v>gamma_gas</v>
      </c>
      <c r="D21" s="1">
        <v>0.6</v>
      </c>
      <c r="G21" s="2" t="str" cm="1">
        <f t="array" ref="G21:H33">[1]!decode_json(feed2)</f>
        <v>gamma_gas</v>
      </c>
      <c r="H21" s="2">
        <v>0.9</v>
      </c>
      <c r="I21" s="2"/>
      <c r="M21" s="3" t="str" cm="1">
        <f t="array" ref="M21:N33">[1]!decode_json(M19)</f>
        <v>gamma_gas</v>
      </c>
      <c r="N21" s="3">
        <v>0.60499999999999998</v>
      </c>
    </row>
    <row r="22" spans="3:34" x14ac:dyDescent="0.4">
      <c r="C22" s="1" t="str">
        <v>gamma_oil</v>
      </c>
      <c r="D22" s="1">
        <v>0.9</v>
      </c>
      <c r="G22" s="2" t="str">
        <v>gamma_oil</v>
      </c>
      <c r="H22" s="2">
        <v>0.8</v>
      </c>
      <c r="I22" s="2"/>
      <c r="M22" s="3" t="str">
        <v>gamma_oil</v>
      </c>
      <c r="N22" s="3">
        <v>0.88700000000000001</v>
      </c>
    </row>
    <row r="23" spans="3:34" x14ac:dyDescent="0.4">
      <c r="C23" s="1" t="str">
        <v>gamma_wat</v>
      </c>
      <c r="D23" s="1">
        <v>1</v>
      </c>
      <c r="G23" s="2" t="str">
        <v>gamma_wat</v>
      </c>
      <c r="H23" s="2">
        <v>1.3</v>
      </c>
      <c r="I23" s="2"/>
      <c r="M23" s="3" t="str">
        <v>gamma_wat</v>
      </c>
      <c r="N23" s="3">
        <v>1.0760000000000001</v>
      </c>
    </row>
    <row r="24" spans="3:34" x14ac:dyDescent="0.4">
      <c r="C24" s="1" t="str">
        <v>rsb_m3m3</v>
      </c>
      <c r="D24" s="1">
        <v>0</v>
      </c>
      <c r="G24" s="2" t="str">
        <v>rsb_m3m3</v>
      </c>
      <c r="H24" s="2">
        <v>50</v>
      </c>
      <c r="I24" s="2"/>
      <c r="M24" s="3" t="str">
        <v>rsb_m3m3</v>
      </c>
      <c r="N24" s="3">
        <v>35.405000000000001</v>
      </c>
      <c r="U24" cm="1">
        <f t="array" ref="U24">[1]!feed_q_mix_rc_m3day($Q$27,$Q$28,feed_mix)</f>
        <v>15335.660924523452</v>
      </c>
    </row>
    <row r="25" spans="3:34" x14ac:dyDescent="0.4">
      <c r="C25" s="1" t="str">
        <v>pb_atma</v>
      </c>
      <c r="D25" s="1">
        <v>100</v>
      </c>
      <c r="G25" s="2" t="str">
        <v>pb_atma</v>
      </c>
      <c r="H25" s="2">
        <v>30</v>
      </c>
      <c r="I25" s="2"/>
      <c r="M25" s="3" t="str">
        <v>pb_atma</v>
      </c>
      <c r="N25" s="3">
        <v>90.87</v>
      </c>
      <c r="P25" t="s">
        <v>45</v>
      </c>
    </row>
    <row r="26" spans="3:34" x14ac:dyDescent="0.4">
      <c r="C26" s="1" t="str">
        <v>t_res_C</v>
      </c>
      <c r="D26" s="1">
        <v>80</v>
      </c>
      <c r="G26" s="2" t="str">
        <v>t_res_C</v>
      </c>
      <c r="H26" s="2">
        <v>40</v>
      </c>
      <c r="I26" s="2"/>
      <c r="M26" s="3" t="str">
        <v>t_res_C</v>
      </c>
      <c r="N26" s="3">
        <v>74.783000000000001</v>
      </c>
      <c r="U26" s="6">
        <f>N30*(1-N31/100)</f>
        <v>22.999599999999994</v>
      </c>
    </row>
    <row r="27" spans="3:34" x14ac:dyDescent="0.4">
      <c r="C27" s="1" t="str">
        <v>bob_m3m3</v>
      </c>
      <c r="D27" s="1">
        <v>1.4</v>
      </c>
      <c r="G27" s="2" t="str">
        <v>bob_m3m3</v>
      </c>
      <c r="H27" s="2">
        <v>1.04</v>
      </c>
      <c r="I27" s="2"/>
      <c r="M27" s="3" t="str">
        <v>bob_m3m3</v>
      </c>
      <c r="N27" s="3">
        <v>1.353</v>
      </c>
      <c r="Q27">
        <v>1</v>
      </c>
      <c r="U27" s="7">
        <f>N32*U26+N33</f>
        <v>15179.829956399997</v>
      </c>
    </row>
    <row r="28" spans="3:34" x14ac:dyDescent="0.4">
      <c r="C28" s="1" t="str">
        <v>muob_cP</v>
      </c>
      <c r="D28" s="1">
        <v>0.9</v>
      </c>
      <c r="G28" s="2" t="str">
        <v>muob_cP</v>
      </c>
      <c r="H28" s="2">
        <v>0.4</v>
      </c>
      <c r="I28" s="2"/>
      <c r="M28" s="3" t="str">
        <v>muob_cP</v>
      </c>
      <c r="N28" s="3">
        <v>0.83499999999999996</v>
      </c>
      <c r="Q28">
        <v>20</v>
      </c>
    </row>
    <row r="29" spans="3:34" x14ac:dyDescent="0.4">
      <c r="C29" s="1" t="str">
        <v>PVT_corr_set</v>
      </c>
      <c r="D29" s="1">
        <v>0</v>
      </c>
      <c r="G29" s="2" t="str">
        <v>PVT_corr_set</v>
      </c>
      <c r="H29" s="2">
        <v>1</v>
      </c>
      <c r="I29" s="2"/>
      <c r="M29" s="3" t="str">
        <v>PVT_corr_set</v>
      </c>
      <c r="N29" s="3">
        <v>0</v>
      </c>
    </row>
    <row r="30" spans="3:34" x14ac:dyDescent="0.4">
      <c r="C30" s="1" t="str">
        <v>q_liq_sm3day</v>
      </c>
      <c r="D30" s="1">
        <v>100</v>
      </c>
      <c r="G30" s="2" t="str">
        <v>q_liq_sm3day</v>
      </c>
      <c r="H30" s="2">
        <v>30</v>
      </c>
      <c r="I30" s="2"/>
      <c r="M30" s="3" t="str">
        <v>q_liq_sm3day</v>
      </c>
      <c r="N30" s="3">
        <v>130</v>
      </c>
      <c r="Q30" cm="1">
        <f t="array" ref="Q30">[1]!feed_q_mix_rc_m3day($Q$27,$Q$28,feed1)</f>
        <v>10116.932324023232</v>
      </c>
      <c r="R30">
        <f>[1]!feed_q_mix_rc_m3day($Q$27,$Q$28,feed2)</f>
        <v>5182.4737785617335</v>
      </c>
      <c r="S30">
        <f>Q30+R30</f>
        <v>15299.406102584966</v>
      </c>
    </row>
    <row r="31" spans="3:34" x14ac:dyDescent="0.4">
      <c r="C31" s="1" t="str">
        <v>fw_perc</v>
      </c>
      <c r="D31" s="1">
        <v>80</v>
      </c>
      <c r="G31" s="2" t="str">
        <v>fw_perc</v>
      </c>
      <c r="H31" s="2">
        <v>90</v>
      </c>
      <c r="I31" s="2"/>
      <c r="M31" s="3" t="str">
        <v>fw_perc</v>
      </c>
      <c r="N31" s="3">
        <v>82.308000000000007</v>
      </c>
    </row>
    <row r="32" spans="3:34" x14ac:dyDescent="0.4">
      <c r="C32" s="1" t="str">
        <v>rp_m3m3</v>
      </c>
      <c r="D32" s="1">
        <v>500</v>
      </c>
      <c r="G32" s="2" t="str">
        <v>rp_m3m3</v>
      </c>
      <c r="H32" s="2">
        <v>60</v>
      </c>
      <c r="I32" s="2"/>
      <c r="M32" s="3" t="str">
        <v>rp_m3m3</v>
      </c>
      <c r="N32" s="3">
        <v>442.60899999999998</v>
      </c>
      <c r="P32" t="s">
        <v>42</v>
      </c>
      <c r="Q32">
        <f>D12*(1-D13/100)</f>
        <v>19.999999999999996</v>
      </c>
      <c r="R32">
        <f>H12*(1-H13/100)</f>
        <v>2.9999999999999991</v>
      </c>
      <c r="S32">
        <f>SUM(Q32:R32)</f>
        <v>22.999999999999996</v>
      </c>
    </row>
    <row r="33" spans="6:19" x14ac:dyDescent="0.4">
      <c r="G33" s="2" t="str">
        <v>q_gas_free_sm3day</v>
      </c>
      <c r="H33" s="2">
        <v>5000</v>
      </c>
      <c r="I33" s="2"/>
      <c r="M33" s="3" t="str">
        <v>q_gas_free_sm3day</v>
      </c>
      <c r="N33" s="3">
        <v>5000</v>
      </c>
      <c r="P33" t="s">
        <v>43</v>
      </c>
      <c r="Q33">
        <f>D14*Q32+D15</f>
        <v>9999.9999999999982</v>
      </c>
      <c r="R33">
        <f>H14*R32+H15</f>
        <v>5180</v>
      </c>
      <c r="S33">
        <f>SUM(Q33:R33)</f>
        <v>15179.999999999998</v>
      </c>
    </row>
    <row r="47" spans="6:19" x14ac:dyDescent="0.4">
      <c r="F47" t="s">
        <v>17</v>
      </c>
      <c r="G47" t="s">
        <v>15</v>
      </c>
      <c r="H47" t="s">
        <v>16</v>
      </c>
      <c r="I47" t="s">
        <v>18</v>
      </c>
    </row>
    <row r="48" spans="6:19" x14ac:dyDescent="0.4">
      <c r="F48">
        <v>80</v>
      </c>
      <c r="G48">
        <v>1</v>
      </c>
      <c r="H48" cm="1">
        <f t="array" ref="H48">[1]!PVT_rs_m3m3(G48,F48,feed1)</f>
        <v>0.1291259196121729</v>
      </c>
      <c r="I48" cm="1">
        <f t="array" ref="I48">[1]!PVT_rs_m3m3(G48,F48,feed2)</f>
        <v>7.7972628877435435</v>
      </c>
      <c r="J48" cm="1">
        <f t="array" ref="J48">[1]!PVT_rs_m3m3(G48,F48,feed_mix)</f>
        <v>0.15081131730154476</v>
      </c>
    </row>
    <row r="49" spans="6:10" x14ac:dyDescent="0.4">
      <c r="F49">
        <v>80</v>
      </c>
      <c r="G49">
        <v>5</v>
      </c>
      <c r="H49" cm="1">
        <f t="array" ref="H49">[1]!PVT_rs_m3m3(G49,F49,feed1)</f>
        <v>0.89654751828329948</v>
      </c>
      <c r="I49" cm="1">
        <f t="array" ref="I49">[1]!PVT_rs_m3m3(G49,F49,feed2)</f>
        <v>19.687914056339608</v>
      </c>
      <c r="J49" cm="1">
        <f t="array" ref="J49">[1]!PVT_rs_m3m3(G49,F49,feed_mix)</f>
        <v>1.0471136442771072</v>
      </c>
    </row>
    <row r="50" spans="6:10" x14ac:dyDescent="0.4">
      <c r="F50">
        <v>80</v>
      </c>
      <c r="G50">
        <v>10</v>
      </c>
      <c r="H50" cm="1">
        <f t="array" ref="H50">[1]!PVT_rs_m3m3(G50,F50,feed1)</f>
        <v>2.0654440141790347</v>
      </c>
      <c r="I50" cm="1">
        <f t="array" ref="I50">[1]!PVT_rs_m3m3(G50,F50,feed2)</f>
        <v>26.992699745640159</v>
      </c>
      <c r="J50" cm="1">
        <f t="array" ref="J50">[1]!PVT_rs_m3m3(G50,F50,feed_mix)</f>
        <v>2.4123145339564021</v>
      </c>
    </row>
    <row r="51" spans="6:10" x14ac:dyDescent="0.4">
      <c r="F51">
        <v>80</v>
      </c>
      <c r="G51">
        <v>20</v>
      </c>
      <c r="H51" cm="1">
        <f t="array" ref="H51">[1]!PVT_rs_m3m3(G51,F51,feed1)</f>
        <v>4.7583188717945637</v>
      </c>
      <c r="I51" cm="1">
        <f t="array" ref="I51">[1]!PVT_rs_m3m3(G51,F51,feed2)</f>
        <v>37.301219656314835</v>
      </c>
      <c r="J51" cm="1">
        <f t="array" ref="J51">[1]!PVT_rs_m3m3(G51,F51,feed_mix)</f>
        <v>5.5574306022482585</v>
      </c>
    </row>
    <row r="52" spans="6:10" x14ac:dyDescent="0.4">
      <c r="F52">
        <v>80</v>
      </c>
      <c r="G52">
        <v>30</v>
      </c>
      <c r="H52" cm="1">
        <f t="array" ref="H52">[1]!PVT_rs_m3m3(G52,F52,feed1)</f>
        <v>7.7529577663624369</v>
      </c>
      <c r="I52" cm="1">
        <f t="array" ref="I52">[1]!PVT_rs_m3m3(G52,F52,feed2)</f>
        <v>45.664188258641119</v>
      </c>
      <c r="J52" cm="1">
        <f t="array" ref="J52">[1]!PVT_rs_m3m3(G52,F52,feed_mix)</f>
        <v>9.0549889382405269</v>
      </c>
    </row>
    <row r="53" spans="6:10" x14ac:dyDescent="0.4">
      <c r="F53">
        <v>80</v>
      </c>
      <c r="G53">
        <v>40</v>
      </c>
      <c r="H53" cm="1">
        <f t="array" ref="H53">[1]!PVT_rs_m3m3(G53,F53,feed1)</f>
        <v>10.96209741355579</v>
      </c>
      <c r="I53" cm="1">
        <f t="array" ref="I53">[1]!PVT_rs_m3m3(G53,F53,feed2)</f>
        <v>50</v>
      </c>
      <c r="J53" cm="1">
        <f t="array" ref="J53">[1]!PVT_rs_m3m3(G53,F53,feed_mix)</f>
        <v>12.803071267887836</v>
      </c>
    </row>
    <row r="54" spans="6:10" x14ac:dyDescent="0.4">
      <c r="F54">
        <v>80</v>
      </c>
      <c r="G54">
        <v>50</v>
      </c>
      <c r="H54" cm="1">
        <f t="array" ref="H54">[1]!PVT_rs_m3m3(G54,F54,feed1)</f>
        <v>14.340797809046078</v>
      </c>
      <c r="I54" cm="1">
        <f t="array" ref="I54">[1]!PVT_rs_m3m3(G54,F54,feed2)</f>
        <v>50</v>
      </c>
      <c r="J54" cm="1">
        <f t="array" ref="J54">[1]!PVT_rs_m3m3(G54,F54,feed_mix)</f>
        <v>16.749190365754114</v>
      </c>
    </row>
    <row r="55" spans="6:10" x14ac:dyDescent="0.4">
      <c r="F55">
        <v>80</v>
      </c>
      <c r="G55">
        <v>80</v>
      </c>
      <c r="H55" cm="1">
        <f t="array" ref="H55">[1]!PVT_rs_m3m3(G55,F55,feed1)</f>
        <v>25.254209089809539</v>
      </c>
      <c r="I55" cm="1">
        <f t="array" ref="I55">[1]!PVT_rs_m3m3(G55,F55,feed2)</f>
        <v>50</v>
      </c>
      <c r="J55" cm="1">
        <f t="array" ref="J55">[1]!PVT_rs_m3m3(G55,F55,feed_mix)</f>
        <v>29.495399155196239</v>
      </c>
    </row>
    <row r="56" spans="6:10" x14ac:dyDescent="0.4">
      <c r="F56">
        <v>80</v>
      </c>
      <c r="G56">
        <v>110</v>
      </c>
      <c r="H56" cm="1">
        <f t="array" ref="H56">[1]!PVT_rs_m3m3(G56,F56,feed1)</f>
        <v>33.215274351507247</v>
      </c>
      <c r="I56" cm="1">
        <f t="array" ref="I56">[1]!PVT_rs_m3m3(G56,F56,feed2)</f>
        <v>50</v>
      </c>
      <c r="J56" cm="1">
        <f t="array" ref="J56">[1]!PVT_rs_m3m3(G56,F56,feed_mix)</f>
        <v>35.405000000000001</v>
      </c>
    </row>
    <row r="57" spans="6:10" x14ac:dyDescent="0.4">
      <c r="F57">
        <v>80</v>
      </c>
      <c r="G57">
        <v>140</v>
      </c>
      <c r="H57" cm="1">
        <f t="array" ref="H57">[1]!PVT_rs_m3m3(G57,F57,feed1)</f>
        <v>33.215274351507247</v>
      </c>
      <c r="I57" cm="1">
        <f t="array" ref="I57">[1]!PVT_rs_m3m3(G57,F57,feed2)</f>
        <v>50</v>
      </c>
      <c r="J57" cm="1">
        <f t="array" ref="J57">[1]!PVT_rs_m3m3(G57,F57,feed_mix)</f>
        <v>35.405000000000001</v>
      </c>
    </row>
    <row r="58" spans="6:10" x14ac:dyDescent="0.4">
      <c r="F58">
        <v>80</v>
      </c>
      <c r="G58">
        <v>170</v>
      </c>
      <c r="H58" cm="1">
        <f t="array" ref="H58">[1]!PVT_rs_m3m3(G58,F58,feed1)</f>
        <v>33.215274351507247</v>
      </c>
      <c r="I58" cm="1">
        <f t="array" ref="I58">[1]!PVT_rs_m3m3(G58,F58,feed2)</f>
        <v>50</v>
      </c>
      <c r="J58" cm="1">
        <f t="array" ref="J58">[1]!PVT_rs_m3m3(G58,F58,feed_mix)</f>
        <v>35.405000000000001</v>
      </c>
    </row>
    <row r="59" spans="6:10" x14ac:dyDescent="0.4">
      <c r="F59">
        <v>80</v>
      </c>
      <c r="G59">
        <v>200</v>
      </c>
      <c r="H59" cm="1">
        <f t="array" ref="H59">[1]!PVT_rs_m3m3(G59,F59,feed1)</f>
        <v>33.215274351507247</v>
      </c>
      <c r="I59" cm="1">
        <f t="array" ref="I59">[1]!PVT_rs_m3m3(G59,F59,feed2)</f>
        <v>50</v>
      </c>
      <c r="J59" cm="1">
        <f t="array" ref="J59">[1]!PVT_rs_m3m3(G59,F59,feed_mix)</f>
        <v>35.405000000000001</v>
      </c>
    </row>
    <row r="60" spans="6:10" x14ac:dyDescent="0.4">
      <c r="F60">
        <v>80</v>
      </c>
      <c r="G60">
        <v>230</v>
      </c>
      <c r="H60" cm="1">
        <f t="array" ref="H60">[1]!PVT_rs_m3m3(G60,F60,feed1)</f>
        <v>33.215274351507247</v>
      </c>
      <c r="I60" cm="1">
        <f t="array" ref="I60">[1]!PVT_rs_m3m3(G60,F60,feed2)</f>
        <v>50</v>
      </c>
      <c r="J60" cm="1">
        <f t="array" ref="J60">[1]!PVT_rs_m3m3(G60,F60,feed_mix)</f>
        <v>35.405000000000001</v>
      </c>
    </row>
    <row r="61" spans="6:10" x14ac:dyDescent="0.4">
      <c r="F61">
        <v>80</v>
      </c>
      <c r="G61">
        <v>260</v>
      </c>
      <c r="H61" cm="1">
        <f t="array" ref="H61">[1]!PVT_rs_m3m3(G61,F61,feed1)</f>
        <v>33.215274351507247</v>
      </c>
      <c r="I61" cm="1">
        <f t="array" ref="I61">[1]!PVT_rs_m3m3(G61,F61,feed2)</f>
        <v>50</v>
      </c>
      <c r="J61" cm="1">
        <f t="array" ref="J61">[1]!PVT_rs_m3m3(G61,F61,feed_mix)</f>
        <v>35.405000000000001</v>
      </c>
    </row>
    <row r="62" spans="6:10" x14ac:dyDescent="0.4">
      <c r="F62">
        <v>80</v>
      </c>
      <c r="G62">
        <v>290</v>
      </c>
      <c r="H62" cm="1">
        <f t="array" ref="H62">[1]!PVT_rs_m3m3(G62,F62,feed1)</f>
        <v>33.215274351507247</v>
      </c>
      <c r="I62" cm="1">
        <f t="array" ref="I62">[1]!PVT_rs_m3m3(G62,F62,feed2)</f>
        <v>50</v>
      </c>
      <c r="J62" cm="1">
        <f t="array" ref="J62">[1]!PVT_rs_m3m3(G62,F62,feed_mix)</f>
        <v>35.405000000000001</v>
      </c>
    </row>
    <row r="63" spans="6:10" x14ac:dyDescent="0.4">
      <c r="F63">
        <v>80</v>
      </c>
      <c r="G63">
        <v>320</v>
      </c>
      <c r="H63" cm="1">
        <f t="array" ref="H63">[1]!PVT_rs_m3m3(G63,F63,feed1)</f>
        <v>33.215274351507247</v>
      </c>
      <c r="I63" cm="1">
        <f t="array" ref="I63">[1]!PVT_rs_m3m3(G63,F63,feed2)</f>
        <v>50</v>
      </c>
      <c r="J63" cm="1">
        <f t="array" ref="J63">[1]!PVT_rs_m3m3(G63,F63,feed_mix)</f>
        <v>35.405000000000001</v>
      </c>
    </row>
    <row r="64" spans="6:10" x14ac:dyDescent="0.4">
      <c r="F64">
        <v>80</v>
      </c>
      <c r="G64">
        <v>350</v>
      </c>
      <c r="H64" cm="1">
        <f t="array" ref="H64">[1]!PVT_rs_m3m3(G64,F64,feed1)</f>
        <v>33.215274351507247</v>
      </c>
      <c r="I64" cm="1">
        <f t="array" ref="I64">[1]!PVT_rs_m3m3(G64,F64,feed2)</f>
        <v>50</v>
      </c>
      <c r="J64" cm="1">
        <f t="array" ref="J64">[1]!PVT_rs_m3m3(G64,F64,feed_mix)</f>
        <v>35.405000000000001</v>
      </c>
    </row>
    <row r="65" spans="6:10" x14ac:dyDescent="0.4">
      <c r="F65">
        <v>80</v>
      </c>
      <c r="G65">
        <v>380</v>
      </c>
      <c r="H65" cm="1">
        <f t="array" ref="H65">[1]!PVT_rs_m3m3(G65,F65,feed1)</f>
        <v>33.215274351507247</v>
      </c>
      <c r="I65" cm="1">
        <f t="array" ref="I65">[1]!PVT_rs_m3m3(G65,F65,feed2)</f>
        <v>50</v>
      </c>
      <c r="J65" cm="1">
        <f t="array" ref="J65">[1]!PVT_rs_m3m3(G65,F65,feed_mix)</f>
        <v>35.405000000000001</v>
      </c>
    </row>
    <row r="66" spans="6:10" x14ac:dyDescent="0.4">
      <c r="F66">
        <v>80</v>
      </c>
      <c r="G66">
        <v>410</v>
      </c>
      <c r="H66" cm="1">
        <f t="array" ref="H66">[1]!PVT_rs_m3m3(G66,F66,feed1)</f>
        <v>33.215274351507247</v>
      </c>
      <c r="I66" cm="1">
        <f t="array" ref="I66">[1]!PVT_rs_m3m3(G66,F66,feed2)</f>
        <v>50</v>
      </c>
      <c r="J66" cm="1">
        <f t="array" ref="J66">[1]!PVT_rs_m3m3(G66,F66,feed_mix)</f>
        <v>35.405000000000001</v>
      </c>
    </row>
    <row r="67" spans="6:10" x14ac:dyDescent="0.4">
      <c r="F67">
        <v>80</v>
      </c>
      <c r="G67">
        <v>440</v>
      </c>
      <c r="H67" cm="1">
        <f t="array" ref="H67">[1]!PVT_rs_m3m3(G67,F67,feed1)</f>
        <v>33.215274351507247</v>
      </c>
      <c r="I67" cm="1">
        <f t="array" ref="I67">[1]!PVT_rs_m3m3(G67,F67,feed2)</f>
        <v>50</v>
      </c>
      <c r="J67" cm="1">
        <f t="array" ref="J67">[1]!PVT_rs_m3m3(G67,F67,feed_mix)</f>
        <v>35.405000000000001</v>
      </c>
    </row>
    <row r="68" spans="6:10" x14ac:dyDescent="0.4">
      <c r="F68">
        <v>80</v>
      </c>
      <c r="G68">
        <v>470</v>
      </c>
      <c r="H68" cm="1">
        <f t="array" ref="H68">[1]!PVT_rs_m3m3(G68,F68,feed1)</f>
        <v>33.215274351507247</v>
      </c>
      <c r="I68" cm="1">
        <f t="array" ref="I68">[1]!PVT_rs_m3m3(G68,F68,feed2)</f>
        <v>50</v>
      </c>
      <c r="J68" cm="1">
        <f t="array" ref="J68">[1]!PVT_rs_m3m3(G68,F68,feed_mix)</f>
        <v>35.405000000000001</v>
      </c>
    </row>
    <row r="69" spans="6:10" x14ac:dyDescent="0.4">
      <c r="F69">
        <v>80</v>
      </c>
      <c r="G69">
        <v>500</v>
      </c>
      <c r="H69" cm="1">
        <f t="array" ref="H69">[1]!PVT_rs_m3m3(G69,F69,feed1)</f>
        <v>33.215274351507247</v>
      </c>
      <c r="I69" cm="1">
        <f t="array" ref="I69">[1]!PVT_rs_m3m3(G69,F69,feed2)</f>
        <v>50</v>
      </c>
      <c r="J69" cm="1">
        <f t="array" ref="J69">[1]!PVT_rs_m3m3(G69,F69,feed_mix)</f>
        <v>35.405000000000001</v>
      </c>
    </row>
    <row r="70" spans="6:10" x14ac:dyDescent="0.4">
      <c r="F70">
        <v>80</v>
      </c>
      <c r="G70">
        <v>530</v>
      </c>
      <c r="H70" cm="1">
        <f t="array" ref="H70">[1]!PVT_rs_m3m3(G70,F70,feed1)</f>
        <v>33.215274351507247</v>
      </c>
      <c r="I70" cm="1">
        <f t="array" ref="I70">[1]!PVT_rs_m3m3(G70,F70,feed2)</f>
        <v>50</v>
      </c>
      <c r="J70" cm="1">
        <f t="array" ref="J70">[1]!PVT_rs_m3m3(G70,F70,feed_mix)</f>
        <v>35.405000000000001</v>
      </c>
    </row>
    <row r="71" spans="6:10" x14ac:dyDescent="0.4">
      <c r="F71">
        <v>80</v>
      </c>
      <c r="G71">
        <v>560</v>
      </c>
      <c r="H71" cm="1">
        <f t="array" ref="H71">[1]!PVT_rs_m3m3(G71,F71,feed1)</f>
        <v>33.215274351507247</v>
      </c>
      <c r="I71" cm="1">
        <f t="array" ref="I71">[1]!PVT_rs_m3m3(G71,F71,feed2)</f>
        <v>50</v>
      </c>
      <c r="J71" cm="1">
        <f t="array" ref="J71">[1]!PVT_rs_m3m3(G71,F71,feed_mix)</f>
        <v>35.405000000000001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23C55-5BF1-4899-9718-812B3E6972A9}">
  <sheetPr codeName="Лист2"/>
  <dimension ref="C6:H13"/>
  <sheetViews>
    <sheetView workbookViewId="0">
      <selection activeCell="E16" sqref="E16"/>
    </sheetView>
  </sheetViews>
  <sheetFormatPr defaultRowHeight="14.6" x14ac:dyDescent="0.4"/>
  <sheetData>
    <row r="6" spans="3:8" x14ac:dyDescent="0.4">
      <c r="C6" t="s">
        <v>19</v>
      </c>
      <c r="E6">
        <v>5</v>
      </c>
      <c r="F6" t="s">
        <v>20</v>
      </c>
      <c r="G6" s="5">
        <f>_xlfn.IFS(E6="","",H6="Па·с",_xlfn.IFS(E6="","",F6="Па·с",E6,F6="мПа·с",E6/1000,F6="сП",E6/1000),H6="мПа·с",_xlfn.IFS(E6="","",F6="Па·с",E6,F6="мПа·с",E6/1000,F6="сП",E6/1000)*1000,H6="сП",_xlfn.IFS(E6="","",F6="Па·с",E6,F6="мПа·с",E6/1000,F6="сП",E6/1000)*1000)</f>
        <v>5</v>
      </c>
      <c r="H6" t="s">
        <v>21</v>
      </c>
    </row>
    <row r="7" spans="3:8" x14ac:dyDescent="0.4">
      <c r="C7" t="s">
        <v>22</v>
      </c>
      <c r="E7">
        <v>200</v>
      </c>
      <c r="F7" t="s">
        <v>23</v>
      </c>
      <c r="G7" s="5">
        <f>_xlfn.IFS(E7="","",H7="Па",_xlfn.IFS(E7="","",F7="Па",E7,F7="МПа",E7*1000000,F7="ат",E7*98066.5,F7="кгс/см²",E7*98066.5,F7="атм",E7*101325,F7="psi",E7*6894.76,F7="бар",E7*100000),H7="МПа",_xlfn.IFS(E7="","",F7="Па",E7,F7="МПа",E7*1000000,F7="ат",E7*98066.5,F7="кгс/см²",E7*98066.5,F7="атм",E7*101325,F7="psi",E7*6894.76,F7="бар",E7*100000)/1000000,H7="ат",_xlfn.IFS(E7="","",F7="Па",E7,F7="МПа",E7*1000000,F7="ат",E7*98066.5,F7="кгс/см²",E7*98066.5,F7="атм",E7*101325,F7="psi",E7*6894.76,F7="бар",E7*100000)/98066.5,H7="кгс/см²",_xlfn.IFS(E7="","",F7="Па",E7,F7="МПа",E7*1000000,F7="ат",E7*98066.5,F7="кгс/см²",E7*98066.5,F7="атм",E7*101325,F7="psi",E7*6894.76,F7="бар",E7*100000)/98066.5,H7="атм",_xlfn.IFS(E7="","",F7="Па",E7,F7="МПа",E7*1000000,F7="ат",E7*98066.5,F7="кгс/см²",E7*98066.5,F7="атм",E7*101325,F7="psi",E7*6894.76,F7="бар",E7*100000)/101325,H7="psi",_xlfn.IFS(E7="","",F7="Па",E7,F7="МПа",E7*1000000,F7="ат",E7*98066.5,F7="кгс/см²",E7*98066.5,F7="атм",E7*101325,F7="psi",E7*6894.76,F7="бар",E7*100000)/6894.76,H7="бар",_xlfn.IFS(E7="","",F7="Па",E7,F7="МПа",E7*1000000,F7="ат",E7*98066.5,F7="кгс/см²",E7*98066.5,F7="атм",E7*101325,F7="psi",E7*6894.76,F7="бар",E7*100000)/100000)</f>
        <v>2900.7536157893819</v>
      </c>
      <c r="H7" t="s">
        <v>24</v>
      </c>
    </row>
    <row r="8" spans="3:8" x14ac:dyDescent="0.4">
      <c r="C8" t="s">
        <v>25</v>
      </c>
      <c r="E8">
        <v>100</v>
      </c>
      <c r="F8" t="s">
        <v>26</v>
      </c>
      <c r="G8" s="5">
        <f>_xlfn.IFS(E8="","",H8="м²",_xlfn.IFS(E8="","",F8="м²",E8,F8="Д",E8*0.00000000000102,F8="мД",E8*0.00000000000000102),H8="Д",_xlfn.IFS(E8="","",F8="м²",E8,F8="Д",E8*0.00000000000102,F8="мД",E8*0.00000000000000102)/0.00000000000102,H8="мД",_xlfn.IFS(E8="","",F8="м²",E8,F8="Д",E8*0.00000000000102,F8="мД",E8*0.00000000000000102)/0.00000000000000102)</f>
        <v>100</v>
      </c>
      <c r="H8" t="s">
        <v>26</v>
      </c>
    </row>
    <row r="9" spans="3:8" x14ac:dyDescent="0.4">
      <c r="C9" t="s">
        <v>27</v>
      </c>
      <c r="E9">
        <v>100</v>
      </c>
      <c r="F9" t="s">
        <v>28</v>
      </c>
      <c r="G9" s="5">
        <f>_xlfn.IFS(E9="","",H9="°К",_xlfn.IFS(E9="","",F9="°К",E9,F9="°С",E9+273.15,F9="°F",(E9-32)*5/9+273.15),H9="°С",_xlfn.IFS(E9="","",F9="°К",E9,F9="°С",E9+273.15,F9="°F",(E9-32)*5/9+273.15)-273.15,H9="°F",(_xlfn.IFS(E9="","",F9="°К",E9,F9="°С",E9+273.15,F9="°F",(E9-32)*5/9+273.15)-273.15)*9/5+32)</f>
        <v>212</v>
      </c>
      <c r="H9" t="s">
        <v>29</v>
      </c>
    </row>
    <row r="10" spans="3:8" x14ac:dyDescent="0.4">
      <c r="C10" t="s">
        <v>30</v>
      </c>
      <c r="E10">
        <v>50</v>
      </c>
      <c r="F10" t="s">
        <v>31</v>
      </c>
      <c r="G10" s="5">
        <f>_xlfn.IFS(E10="","",H10="м³/м³",_xlfn.IFS(E10="","",F10="м³/м³",E10,F10="scft/bbl",E10*0.02832/0.158987,F10="ft³/bbl",E10*0.02832/0.158987),H10="scft/bbl",_xlfn.IFS(E10="","",F10="м³/м³",E10,F10="scft/bbl",E10*0.02832/0.158987,F10="ft³/bbl",E10*0.02832/0.158987)/0.02832*0.158987,H10="ft³/bbl",_xlfn.IFS(E10="","",F10="м³/м³",E10,F10="scft/bbl",E10*0.02832/0.158987,F10="ft³/bbl",E10*0.02832/0.158987)/0.02832*0.158987)</f>
        <v>280.69738700564972</v>
      </c>
      <c r="H10" t="s">
        <v>41</v>
      </c>
    </row>
    <row r="11" spans="3:8" x14ac:dyDescent="0.4">
      <c r="C11" t="s">
        <v>32</v>
      </c>
      <c r="E11">
        <v>73</v>
      </c>
      <c r="F11" t="s">
        <v>33</v>
      </c>
      <c r="G11" s="5">
        <f>_xlfn.IFS(E11="","",H11="м",_xlfn.IFS(E11="","",F11="м",E11,F11="мм",E11/1000,F11="см",E11/100,F11="in",E11*0.0254,F11="ft",E11*0.3048),H11="мм",_xlfn.IFS(E11="","",F11="м",E11,F11="мм",E11/1000,F11="см",E11/100,F11="in",E11*0.0254,F11="ft",E11*0.3048)*1000,H11="см",_xlfn.IFS(E11="","",F11="м",E11,F11="мм",E11/1000,F11="см",E11/100,F11="in",E11*0.0254,F11="ft",E11*0.3048)*100,H11="in",_xlfn.IFS(E11="","",F11="м",E11,F11="мм",E11/1000,F11="см",E11/100,F11="in",E11*0.0254,F11="ft",E11*0.3048)/0.0254,H11="ft",_xlfn.IFS(E11="","",F11="м",E11,F11="мм",E11/1000,F11="см",E11/100,F11="in",E11*0.0254,F11="ft",E11*0.3048)/0.3048)</f>
        <v>2.8740157480314958</v>
      </c>
      <c r="H11" t="s">
        <v>34</v>
      </c>
    </row>
    <row r="12" spans="3:8" x14ac:dyDescent="0.4">
      <c r="C12" t="s">
        <v>35</v>
      </c>
      <c r="E12">
        <v>100</v>
      </c>
      <c r="F12" t="s">
        <v>36</v>
      </c>
      <c r="G12" s="5">
        <f>_xlfn.IFS(E12="","",H12="м³/с",_xlfn.IFS(E12="","",F12="м³/с",E12,F12="м³/сут",E12/86400,F12="л/мин",E12/60000,F12="л/сек",E12/1000,F12="bpd",E12*0.158987/86400,F12="ft³/сут",E12*0.02832/86400),H12="м³/сут",_xlfn.IFS(E12="","",F12="м³/с",E12,F12="м³/сут",E12/86400,F12="л/мин",E12/60000,F12="л/сек",E12/1000,F12="bpd",E12*0.158987/86400,F12="ft³/сут",E12*0.02832/86400)*86400,H12="л/мин",_xlfn.IFS(E12="","",F12="м³/с",E12,F12="м³/сут",E12/86400,F12="л/мин",E12/60000,F12="л/сек",E12/1000,F12="bpd",E12*0.158987/86400,F12="ft³/сут",E12*0.02832/86400)*60000,H12="л/сек",_xlfn.IFS(E12="","",F12="м³/с",E12,F12="м³/сут",E12/86400,F12="л/мин",E12/60000,F12="л/сек",E12/1000,F12="bpd",E12*0.158987/86400,F12="ft³/сут",E12*0.02832/86400)*1000,H12="bpd",_xlfn.IFS(E12="","",F12="м³/с",E12,F12="м³/сут",E12/86400,F12="л/мин",E12/60000,F12="л/сек",E12/1000,F12="bpd",E12*0.158987/86400,F12="ft³/сут",E12*0.02832/86400)/0.158987*86400,H12="ft³/сут",_xlfn.IFS(E12="","",F12="м³/с",E12,F12="м³/сут",E12/86400,F12="л/мин",E12/60000,F12="л/сек",E12/1000,F12="bpd",E12*0.158987/86400,F12="ft³/сут",E12*0.02832/86400)/0.02832*86400)</f>
        <v>628.9822438312566</v>
      </c>
      <c r="H12" t="s">
        <v>37</v>
      </c>
    </row>
    <row r="13" spans="3:8" x14ac:dyDescent="0.4">
      <c r="C13" t="s">
        <v>38</v>
      </c>
      <c r="E13">
        <v>850</v>
      </c>
      <c r="F13" t="s">
        <v>39</v>
      </c>
      <c r="G13" s="5">
        <f>_xlfn.IFS(E13="","",H13="кг/м³",_xlfn.IFS(E13="","",F13="кг/м³",E13,F13="г/cм³",E13*1000,F13="lb/gal",E13*119.8,F13="lb/in³",E13*27679.9,F13="lb/ft³",E13*16.01846,F13="°API",141.5*1000/(131.5+E13)),H13="г/cм³",_xlfn.IFS(E13="","",F13="кг/м³",E13,F13="г/cм³",E13*1000,F13="lb/gal",E13*119.8,F13="lb/in³",E13*27679.9,F13="lb/ft³",E13*16.01846,F13="°API",141.5*1000/(131.5+E13))/1000,H13="lb/gal",_xlfn.IFS(E13="","",F13="кг/м³",E13,F13="г/cм³",E13*1000,F13="lb/gal",E13*119.8,F13="lb/in³",E13*27679.9,F13="lb/ft³",E13*16.01846,F13="°API",141.5*1000/(131.5+E13))/119.8,H13="lb/in³",_xlfn.IFS(E13="","",F13="кг/м³",E13,F13="г/cм³",E13*1000,F13="lb/gal",E13*119.8,F13="lb/in³",E13*27679.9,F13="lb/ft³",E13*16.01846,F13="°API",141.5*1000/(131.5+E13))/27679.9,H13="lb/ft³",_xlfn.IFS(E13="","",F13="кг/м³",E13,F13="г/cм³",E13*1000,F13="lb/gal",E13*119.8,F13="lb/in³",E13*27679.9,F13="lb/ft³",E13*16.01846,F13="°API",141.5*1000/(131.5+E13))/16.01846,H13="°API",141.5*1000/_xlfn.IFS(E13="","",F13="кг/м³",E13,F13="г/cм³",E13*1000,F13="lb/gal",E13*119.8,F13="lb/in³",E13*27679.9,F13="lb/ft³",E13*16.01846,F13="°API",141.5*1000/(131.5+E13))-131.5)</f>
        <v>34.970588235294116</v>
      </c>
      <c r="H13" t="s">
        <v>40</v>
      </c>
    </row>
  </sheetData>
  <dataValidations count="8">
    <dataValidation type="list" allowBlank="1" showInputMessage="1" showErrorMessage="1" sqref="F6 H6" xr:uid="{1D57B03D-7BFF-46C5-BE45-39F03264C00F}">
      <formula1>",Па·с,мПа·с,сП"</formula1>
    </dataValidation>
    <dataValidation type="list" allowBlank="1" showInputMessage="1" showErrorMessage="1" sqref="F7 H7" xr:uid="{55EA7873-22E2-4FDD-9767-5BA34278F95A}">
      <formula1>",Па,МПа,ат,кгс/см²,атм,psi,бар"</formula1>
    </dataValidation>
    <dataValidation type="list" allowBlank="1" showInputMessage="1" showErrorMessage="1" sqref="F8 H8" xr:uid="{12D704E4-9FE0-42B1-B1C8-548D3BF74877}">
      <formula1>",м²,Д,мД"</formula1>
    </dataValidation>
    <dataValidation type="list" allowBlank="1" showInputMessage="1" showErrorMessage="1" sqref="F9 H9" xr:uid="{C52D8560-B47A-426B-9B15-814176919FAA}">
      <formula1>",°К,°С,°F"</formula1>
    </dataValidation>
    <dataValidation type="list" allowBlank="1" showInputMessage="1" showErrorMessage="1" sqref="F10 H10" xr:uid="{A2A1A612-D422-4ED3-996C-E0FA2341DDA7}">
      <formula1>",м³/м³,scft/bbl,ft³/bbl"</formula1>
    </dataValidation>
    <dataValidation type="list" allowBlank="1" showInputMessage="1" showErrorMessage="1" sqref="F11 H11" xr:uid="{5DF318BF-796B-4617-8A81-061F901B9A98}">
      <formula1>",м,мм,см,in,ft"</formula1>
    </dataValidation>
    <dataValidation type="list" allowBlank="1" showInputMessage="1" showErrorMessage="1" sqref="F12 H12" xr:uid="{775091F5-1C16-427B-ADB7-3C9E63CDA86E}">
      <formula1>",м³/с,м³/сут,л/мин,л/сек,bpd,ft³/сут"</formula1>
    </dataValidation>
    <dataValidation type="list" allowBlank="1" showInputMessage="1" showErrorMessage="1" sqref="F13 H13" xr:uid="{EC692CF2-381B-4283-93F1-7974E8DBE5B8}">
      <formula1>",кг/м³,г/cм³,lb/gal,lb/in³,lb/ft³,°API"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5</vt:i4>
      </vt:variant>
    </vt:vector>
  </HeadingPairs>
  <TitlesOfParts>
    <vt:vector size="7" baseType="lpstr">
      <vt:lpstr>Лист1</vt:lpstr>
      <vt:lpstr>Лист2</vt:lpstr>
      <vt:lpstr>feed_mix</vt:lpstr>
      <vt:lpstr>feed1</vt:lpstr>
      <vt:lpstr>feed2</vt:lpstr>
      <vt:lpstr>p</vt:lpstr>
      <vt:lpstr>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2021-12-04T07:20:25Z</dcterms:created>
  <dcterms:modified xsi:type="dcterms:W3CDTF">2023-10-31T16:06:38Z</dcterms:modified>
</cp:coreProperties>
</file>