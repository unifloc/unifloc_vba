
<file path=[Content_Types].xml><?xml version="1.0" encoding="utf-8"?>
<Types xmlns="http://schemas.openxmlformats.org/package/2006/content-types"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/>
  <workbookPr codeName="ЭтаКнига" defaultThemeVersion="202300"/>
  <mc:AlternateContent xmlns:mc="http://schemas.openxmlformats.org/markup-compatibility/2006">
    <mc:Choice Requires="x15">
      <x15ac:absPath xmlns:x15ac="http://schemas.microsoft.com/office/spreadsheetml/2010/11/ac" url="E:\unifloc\unifloc_vba\examples\"/>
    </mc:Choice>
  </mc:AlternateContent>
  <xr:revisionPtr revIDLastSave="0" documentId="13_ncr:1_{2BCD7DC7-4E5E-453E-AB24-F4DFFBC9CA87}" xr6:coauthVersionLast="47" xr6:coauthVersionMax="47" xr10:uidLastSave="{00000000-0000-0000-0000-000000000000}"/>
  <bookViews>
    <workbookView xWindow="-120" yWindow="-120" windowWidth="38640" windowHeight="21390" xr2:uid="{99BFEA69-ECD2-40FD-90A3-86E4F5ACE267}"/>
  </bookViews>
  <sheets>
    <sheet name="Смешение флюидов" sheetId="1" r:id="rId1"/>
  </sheets>
  <externalReferences>
    <externalReference r:id="rId2"/>
  </externalReferences>
  <definedNames>
    <definedName name="feed_json">'Смешение флюидов'!$C$19</definedName>
    <definedName name="feed_json_1">'Смешение флюидов'!$F$19</definedName>
    <definedName name="feed_mix">'Смешение флюидов'!$C$27</definedName>
    <definedName name="linspace">'Смешение флюидов'!$K$8</definedName>
    <definedName name="PVT_json">'Смешение флюидов'!$C$14</definedName>
    <definedName name="PVT_json_1">'Смешение флюидов'!$F$14</definedName>
    <definedName name="T_C">'Смешение флюидов'!$K$10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31" i="1" l="1"/>
  <c r="C31" i="1"/>
  <c r="B31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N20" i="1"/>
  <c r="N19" i="1"/>
  <c r="N18" i="1"/>
  <c r="N17" i="1"/>
  <c r="N16" i="1"/>
  <c r="N15" i="1"/>
  <c r="N14" i="1"/>
  <c r="N13" i="1"/>
  <c r="N12" i="1"/>
  <c r="N11" i="1"/>
  <c r="N10" i="1"/>
  <c r="N9" i="1"/>
  <c r="N8" i="1"/>
  <c r="N7" i="1"/>
  <c r="N6" i="1"/>
  <c r="N5" i="1"/>
  <c r="F14" i="1"/>
  <c r="K8" i="1"/>
  <c r="C14" i="1"/>
  <c r="K1" i="1" a="1"/>
  <c r="G31" i="1" a="1"/>
  <c r="M5" i="1" a="1"/>
  <c r="G35" i="1" l="1"/>
  <c r="G46" i="1"/>
  <c r="G34" i="1"/>
  <c r="G42" i="1"/>
  <c r="G45" i="1"/>
  <c r="G33" i="1"/>
  <c r="G44" i="1"/>
  <c r="G32" i="1"/>
  <c r="G43" i="1"/>
  <c r="G31" i="1"/>
  <c r="G41" i="1"/>
  <c r="G39" i="1"/>
  <c r="G38" i="1"/>
  <c r="G37" i="1"/>
  <c r="G36" i="1"/>
  <c r="G40" i="1"/>
  <c r="M5" i="1"/>
  <c r="M17" i="1"/>
  <c r="M7" i="1"/>
  <c r="M19" i="1"/>
  <c r="M20" i="1"/>
  <c r="M10" i="1"/>
  <c r="M11" i="1"/>
  <c r="M13" i="1"/>
  <c r="M6" i="1"/>
  <c r="M18" i="1"/>
  <c r="M9" i="1"/>
  <c r="M12" i="1"/>
  <c r="M15" i="1"/>
  <c r="M8" i="1"/>
  <c r="M14" i="1"/>
  <c r="M16" i="1"/>
  <c r="K1" i="1"/>
  <c r="C19" i="1"/>
  <c r="P14" i="1" a="1"/>
  <c r="G49" i="1" a="1"/>
  <c r="F19" i="1"/>
  <c r="S17" i="1" a="1"/>
  <c r="S9" i="1" a="1"/>
  <c r="T7" i="1" a="1"/>
  <c r="S19" i="1" a="1"/>
  <c r="T20" i="1" a="1"/>
  <c r="R5" i="1" a="1"/>
  <c r="S18" i="1" a="1"/>
  <c r="S11" i="1" a="1"/>
  <c r="O17" i="1" a="1"/>
  <c r="O9" i="1" a="1"/>
  <c r="O7" i="1" a="1"/>
  <c r="O19" i="1" a="1"/>
  <c r="O20" i="1" a="1"/>
  <c r="O5" i="1" a="1"/>
  <c r="O18" i="1" a="1"/>
  <c r="O11" i="1" a="1"/>
  <c r="T15" i="1" a="1"/>
  <c r="P15" i="1" a="1"/>
  <c r="P12" i="1" a="1"/>
  <c r="P17" i="1" a="1"/>
  <c r="P9" i="1" a="1"/>
  <c r="P7" i="1" a="1"/>
  <c r="P19" i="1" a="1"/>
  <c r="P20" i="1" a="1"/>
  <c r="Q5" i="1" a="1"/>
  <c r="P18" i="1" a="1"/>
  <c r="P11" i="1" a="1"/>
  <c r="R8" i="1" a="1"/>
  <c r="R16" i="1" a="1"/>
  <c r="T13" i="1" a="1"/>
  <c r="S10" i="1" a="1"/>
  <c r="T12" i="1" a="1"/>
  <c r="S6" i="1" a="1"/>
  <c r="T14" i="1" a="1"/>
  <c r="R12" i="1" a="1"/>
  <c r="P6" i="1" a="1"/>
  <c r="Q6" i="1" a="1"/>
  <c r="Q17" i="1" a="1"/>
  <c r="Q9" i="1" a="1"/>
  <c r="Q7" i="1" a="1"/>
  <c r="Q19" i="1" a="1"/>
  <c r="Q20" i="1" a="1"/>
  <c r="P5" i="1" a="1"/>
  <c r="Q18" i="1" a="1"/>
  <c r="Q11" i="1" a="1"/>
  <c r="R14" i="1" a="1"/>
  <c r="R13" i="1" a="1"/>
  <c r="S12" i="1" a="1"/>
  <c r="R6" i="1" a="1"/>
  <c r="T6" i="1" a="1"/>
  <c r="Q8" i="1" a="1"/>
  <c r="T8" i="1" a="1"/>
  <c r="R15" i="1" a="1"/>
  <c r="S16" i="1" a="1"/>
  <c r="R10" i="1" a="1"/>
  <c r="S15" i="1" a="1"/>
  <c r="S14" i="1" a="1"/>
  <c r="P8" i="1" a="1"/>
  <c r="O15" i="1" a="1"/>
  <c r="Q14" i="1" a="1"/>
  <c r="P16" i="1" a="1"/>
  <c r="O13" i="1" a="1"/>
  <c r="Q10" i="1" a="1"/>
  <c r="O16" i="1" a="1"/>
  <c r="O10" i="1" a="1"/>
  <c r="O8" i="1" a="1"/>
  <c r="Q15" i="1" a="1"/>
  <c r="O14" i="1" a="1"/>
  <c r="Q16" i="1" a="1"/>
  <c r="Q13" i="1" a="1"/>
  <c r="P10" i="1" a="1"/>
  <c r="O12" i="1" a="1"/>
  <c r="O6" i="1" a="1"/>
  <c r="T16" i="1" a="1"/>
  <c r="T10" i="1" a="1"/>
  <c r="Q12" i="1" a="1"/>
  <c r="P13" i="1" a="1"/>
  <c r="T11" i="1" a="1"/>
  <c r="R18" i="1" a="1"/>
  <c r="S5" i="1" a="1"/>
  <c r="R20" i="1" a="1"/>
  <c r="R19" i="1" a="1"/>
  <c r="S7" i="1" a="1"/>
  <c r="T9" i="1" a="1"/>
  <c r="T17" i="1" a="1"/>
  <c r="S13" i="1" a="1"/>
  <c r="S8" i="1" a="1"/>
  <c r="R11" i="1" a="1"/>
  <c r="T18" i="1" a="1"/>
  <c r="T5" i="1" a="1"/>
  <c r="S20" i="1" a="1"/>
  <c r="T19" i="1" a="1"/>
  <c r="R7" i="1" a="1"/>
  <c r="R9" i="1" a="1"/>
  <c r="R17" i="1" a="1"/>
  <c r="C26" i="1" l="1"/>
  <c r="G49" i="1"/>
  <c r="G60" i="1"/>
  <c r="G58" i="1"/>
  <c r="G53" i="1"/>
  <c r="G64" i="1"/>
  <c r="G57" i="1"/>
  <c r="G52" i="1"/>
  <c r="G56" i="1"/>
  <c r="G61" i="1"/>
  <c r="G55" i="1"/>
  <c r="G63" i="1"/>
  <c r="G54" i="1"/>
  <c r="G51" i="1"/>
  <c r="G59" i="1"/>
  <c r="G62" i="1"/>
  <c r="G50" i="1"/>
  <c r="C25" i="1"/>
  <c r="O6" i="1"/>
  <c r="Q6" i="1"/>
  <c r="P6" i="1"/>
  <c r="T6" i="1"/>
  <c r="S6" i="1"/>
  <c r="R6" i="1"/>
  <c r="Q11" i="1"/>
  <c r="P11" i="1"/>
  <c r="O11" i="1"/>
  <c r="S11" i="1"/>
  <c r="T11" i="1"/>
  <c r="R11" i="1"/>
  <c r="O12" i="1"/>
  <c r="P12" i="1"/>
  <c r="Q12" i="1"/>
  <c r="R12" i="1"/>
  <c r="T12" i="1"/>
  <c r="S12" i="1"/>
  <c r="Q18" i="1"/>
  <c r="P18" i="1"/>
  <c r="O18" i="1"/>
  <c r="S18" i="1"/>
  <c r="R18" i="1"/>
  <c r="T18" i="1"/>
  <c r="P10" i="1"/>
  <c r="O10" i="1"/>
  <c r="Q10" i="1"/>
  <c r="T10" i="1"/>
  <c r="S10" i="1"/>
  <c r="R10" i="1"/>
  <c r="P5" i="1"/>
  <c r="Q5" i="1"/>
  <c r="O5" i="1"/>
  <c r="R5" i="1"/>
  <c r="S5" i="1"/>
  <c r="T5" i="1"/>
  <c r="Q13" i="1"/>
  <c r="P13" i="1"/>
  <c r="O13" i="1"/>
  <c r="S13" i="1"/>
  <c r="T13" i="1"/>
  <c r="R13" i="1"/>
  <c r="Q20" i="1"/>
  <c r="P20" i="1"/>
  <c r="O20" i="1"/>
  <c r="T20" i="1"/>
  <c r="R20" i="1"/>
  <c r="S20" i="1"/>
  <c r="Q16" i="1"/>
  <c r="O16" i="1"/>
  <c r="P16" i="1"/>
  <c r="T16" i="1"/>
  <c r="R16" i="1"/>
  <c r="S16" i="1"/>
  <c r="Q19" i="1"/>
  <c r="P19" i="1"/>
  <c r="O19" i="1"/>
  <c r="S19" i="1"/>
  <c r="R19" i="1"/>
  <c r="T19" i="1"/>
  <c r="O14" i="1"/>
  <c r="P14" i="1"/>
  <c r="Q14" i="1"/>
  <c r="T14" i="1"/>
  <c r="S14" i="1"/>
  <c r="R14" i="1"/>
  <c r="Q7" i="1"/>
  <c r="P7" i="1"/>
  <c r="O7" i="1"/>
  <c r="T7" i="1"/>
  <c r="S7" i="1"/>
  <c r="R7" i="1"/>
  <c r="Q15" i="1"/>
  <c r="P15" i="1"/>
  <c r="O15" i="1"/>
  <c r="T15" i="1"/>
  <c r="S15" i="1"/>
  <c r="R15" i="1"/>
  <c r="Q9" i="1"/>
  <c r="P9" i="1"/>
  <c r="O9" i="1"/>
  <c r="S9" i="1"/>
  <c r="T9" i="1"/>
  <c r="R9" i="1"/>
  <c r="O8" i="1"/>
  <c r="Q8" i="1"/>
  <c r="P8" i="1"/>
  <c r="S8" i="1"/>
  <c r="R8" i="1"/>
  <c r="T8" i="1"/>
  <c r="Q17" i="1"/>
  <c r="P17" i="1"/>
  <c r="O17" i="1"/>
  <c r="S17" i="1"/>
  <c r="T17" i="1"/>
  <c r="R17" i="1"/>
  <c r="J49" i="1" a="1"/>
  <c r="M49" i="1" a="1"/>
  <c r="I49" i="1" a="1"/>
  <c r="L49" i="1" a="1"/>
  <c r="J51" i="1" a="1"/>
  <c r="M51" i="1" a="1"/>
  <c r="I51" i="1" a="1"/>
  <c r="L51" i="1" a="1"/>
  <c r="J58" i="1" a="1"/>
  <c r="M58" i="1" a="1"/>
  <c r="I58" i="1" a="1"/>
  <c r="L58" i="1" a="1"/>
  <c r="J62" i="1" a="1"/>
  <c r="M62" i="1" a="1"/>
  <c r="I62" i="1" a="1"/>
  <c r="L62" i="1" a="1"/>
  <c r="J60" i="1" a="1"/>
  <c r="M60" i="1" a="1"/>
  <c r="I60" i="1" a="1"/>
  <c r="L60" i="1" a="1"/>
  <c r="J59" i="1" a="1"/>
  <c r="M59" i="1" a="1"/>
  <c r="I59" i="1" a="1"/>
  <c r="L59" i="1" a="1"/>
  <c r="J53" i="1" a="1"/>
  <c r="M53" i="1" a="1"/>
  <c r="I53" i="1" a="1"/>
  <c r="L53" i="1" a="1"/>
  <c r="J50" i="1" a="1"/>
  <c r="M50" i="1" a="1"/>
  <c r="I50" i="1" a="1"/>
  <c r="L50" i="1" a="1"/>
  <c r="J56" i="1" a="1"/>
  <c r="M56" i="1" a="1"/>
  <c r="I56" i="1" a="1"/>
  <c r="L56" i="1" a="1"/>
  <c r="J64" i="1" a="1"/>
  <c r="M64" i="1" a="1"/>
  <c r="I64" i="1" a="1"/>
  <c r="L64" i="1" a="1"/>
  <c r="A32" i="1" a="1"/>
  <c r="J57" i="1" a="1"/>
  <c r="M57" i="1" a="1"/>
  <c r="I57" i="1" a="1"/>
  <c r="L57" i="1" a="1"/>
  <c r="J61" i="1" a="1"/>
  <c r="M61" i="1" a="1"/>
  <c r="I61" i="1" a="1"/>
  <c r="L61" i="1" a="1"/>
  <c r="J55" i="1" a="1"/>
  <c r="M55" i="1" a="1"/>
  <c r="I55" i="1" a="1"/>
  <c r="L55" i="1" a="1"/>
  <c r="J52" i="1" a="1"/>
  <c r="I52" i="1" a="1"/>
  <c r="L52" i="1" a="1"/>
  <c r="M52" i="1" a="1"/>
  <c r="J63" i="1" a="1"/>
  <c r="M63" i="1" a="1"/>
  <c r="I63" i="1" a="1"/>
  <c r="L63" i="1" a="1"/>
  <c r="C32" i="1" a="1"/>
  <c r="C27" i="1"/>
  <c r="J54" i="1" a="1"/>
  <c r="M54" i="1" a="1"/>
  <c r="I54" i="1" a="1"/>
  <c r="L54" i="1" a="1"/>
  <c r="N53" i="1" a="1"/>
  <c r="I42" i="1" a="1"/>
  <c r="K40" i="1" a="1"/>
  <c r="N62" i="1" a="1"/>
  <c r="K50" i="1" a="1"/>
  <c r="J35" i="1" a="1"/>
  <c r="J42" i="1" a="1"/>
  <c r="J34" i="1" a="1"/>
  <c r="I43" i="1" a="1"/>
  <c r="K62" i="1" a="1"/>
  <c r="J43" i="1" a="1"/>
  <c r="N60" i="1" a="1"/>
  <c r="J41" i="1" a="1"/>
  <c r="K37" i="1" a="1"/>
  <c r="N52" i="1" a="1"/>
  <c r="K41" i="1" a="1"/>
  <c r="J38" i="1" a="1"/>
  <c r="I32" i="1" a="1"/>
  <c r="N58" i="1" a="1"/>
  <c r="K35" i="1" a="1"/>
  <c r="I44" i="1" a="1"/>
  <c r="N51" i="1" a="1"/>
  <c r="K61" i="1" a="1"/>
  <c r="K39" i="1" a="1"/>
  <c r="I45" i="1" a="1"/>
  <c r="I39" i="1" a="1"/>
  <c r="N50" i="1" a="1"/>
  <c r="N49" i="1" a="1"/>
  <c r="K63" i="1" a="1"/>
  <c r="K44" i="1" a="1"/>
  <c r="K42" i="1" a="1"/>
  <c r="I33" i="1" a="1"/>
  <c r="I40" i="1" a="1"/>
  <c r="N54" i="1" a="1"/>
  <c r="K53" i="1" a="1"/>
  <c r="K33" i="1" a="1"/>
  <c r="N64" i="1" a="1"/>
  <c r="K59" i="1" a="1"/>
  <c r="K36" i="1" a="1"/>
  <c r="K46" i="1" a="1"/>
  <c r="N56" i="1" a="1"/>
  <c r="K52" i="1" a="1"/>
  <c r="K55" i="1" a="1"/>
  <c r="K32" i="1" a="1"/>
  <c r="K45" i="1" a="1"/>
  <c r="I35" i="1" a="1"/>
  <c r="I46" i="1" a="1"/>
  <c r="J45" i="1" a="1"/>
  <c r="K34" i="1" a="1"/>
  <c r="K54" i="1" a="1"/>
  <c r="K51" i="1" a="1"/>
  <c r="K38" i="1" a="1"/>
  <c r="J37" i="1" a="1"/>
  <c r="I41" i="1" a="1"/>
  <c r="K31" i="1" a="1"/>
  <c r="J31" i="1" a="1"/>
  <c r="K56" i="1" a="1"/>
  <c r="J40" i="1" a="1"/>
  <c r="N61" i="1" a="1"/>
  <c r="K49" i="1" a="1"/>
  <c r="I37" i="1" a="1"/>
  <c r="N63" i="1" a="1"/>
  <c r="I36" i="1" a="1"/>
  <c r="K64" i="1" a="1"/>
  <c r="K43" i="1" a="1"/>
  <c r="N57" i="1" a="1"/>
  <c r="J44" i="1" a="1"/>
  <c r="I38" i="1" a="1"/>
  <c r="N55" i="1" a="1"/>
  <c r="K57" i="1" a="1"/>
  <c r="J33" i="1" a="1"/>
  <c r="K58" i="1" a="1"/>
  <c r="J36" i="1" a="1"/>
  <c r="I31" i="1" a="1"/>
  <c r="N59" i="1" a="1"/>
  <c r="K60" i="1" a="1"/>
  <c r="J32" i="1" a="1"/>
  <c r="J39" i="1" a="1"/>
  <c r="J46" i="1" a="1"/>
  <c r="I34" i="1" a="1"/>
  <c r="I34" i="1" l="1"/>
  <c r="J46" i="1"/>
  <c r="J39" i="1"/>
  <c r="J32" i="1"/>
  <c r="K60" i="1"/>
  <c r="N59" i="1"/>
  <c r="I31" i="1"/>
  <c r="J36" i="1"/>
  <c r="K58" i="1"/>
  <c r="J33" i="1"/>
  <c r="K57" i="1"/>
  <c r="N55" i="1"/>
  <c r="I38" i="1"/>
  <c r="J44" i="1"/>
  <c r="N57" i="1"/>
  <c r="K43" i="1"/>
  <c r="K64" i="1"/>
  <c r="I36" i="1"/>
  <c r="N63" i="1"/>
  <c r="I37" i="1"/>
  <c r="K49" i="1"/>
  <c r="N61" i="1"/>
  <c r="J40" i="1"/>
  <c r="K56" i="1"/>
  <c r="J31" i="1"/>
  <c r="K31" i="1"/>
  <c r="I41" i="1"/>
  <c r="J37" i="1"/>
  <c r="K38" i="1"/>
  <c r="K51" i="1"/>
  <c r="K54" i="1"/>
  <c r="K34" i="1"/>
  <c r="J45" i="1"/>
  <c r="I46" i="1"/>
  <c r="I35" i="1"/>
  <c r="K45" i="1"/>
  <c r="K32" i="1"/>
  <c r="K55" i="1"/>
  <c r="K52" i="1"/>
  <c r="N56" i="1"/>
  <c r="K46" i="1"/>
  <c r="K36" i="1"/>
  <c r="K59" i="1"/>
  <c r="N64" i="1"/>
  <c r="K33" i="1"/>
  <c r="K53" i="1"/>
  <c r="N54" i="1"/>
  <c r="I40" i="1"/>
  <c r="I33" i="1"/>
  <c r="K42" i="1"/>
  <c r="K44" i="1"/>
  <c r="K63" i="1"/>
  <c r="N49" i="1"/>
  <c r="N50" i="1"/>
  <c r="I39" i="1"/>
  <c r="I45" i="1"/>
  <c r="K39" i="1"/>
  <c r="K61" i="1"/>
  <c r="N51" i="1"/>
  <c r="I44" i="1"/>
  <c r="K35" i="1"/>
  <c r="N58" i="1"/>
  <c r="I32" i="1"/>
  <c r="J38" i="1"/>
  <c r="K41" i="1"/>
  <c r="N52" i="1"/>
  <c r="K37" i="1"/>
  <c r="J41" i="1"/>
  <c r="N60" i="1"/>
  <c r="J43" i="1"/>
  <c r="K62" i="1"/>
  <c r="I43" i="1"/>
  <c r="J34" i="1"/>
  <c r="J42" i="1"/>
  <c r="J35" i="1"/>
  <c r="K50" i="1"/>
  <c r="N62" i="1"/>
  <c r="K40" i="1"/>
  <c r="I42" i="1"/>
  <c r="N53" i="1"/>
  <c r="L54" i="1"/>
  <c r="I54" i="1"/>
  <c r="M54" i="1"/>
  <c r="J54" i="1"/>
  <c r="C42" i="1"/>
  <c r="C41" i="1"/>
  <c r="C43" i="1"/>
  <c r="C39" i="1"/>
  <c r="C44" i="1"/>
  <c r="C35" i="1"/>
  <c r="C36" i="1"/>
  <c r="C37" i="1"/>
  <c r="C40" i="1"/>
  <c r="C32" i="1"/>
  <c r="C33" i="1"/>
  <c r="C38" i="1"/>
  <c r="C34" i="1"/>
  <c r="L63" i="1"/>
  <c r="I63" i="1"/>
  <c r="M63" i="1"/>
  <c r="J63" i="1"/>
  <c r="M52" i="1"/>
  <c r="L52" i="1"/>
  <c r="I52" i="1"/>
  <c r="J52" i="1"/>
  <c r="L55" i="1"/>
  <c r="I55" i="1"/>
  <c r="M55" i="1"/>
  <c r="J55" i="1"/>
  <c r="L61" i="1"/>
  <c r="I61" i="1"/>
  <c r="M61" i="1"/>
  <c r="J61" i="1"/>
  <c r="L57" i="1"/>
  <c r="I57" i="1"/>
  <c r="M57" i="1"/>
  <c r="J57" i="1"/>
  <c r="B37" i="1"/>
  <c r="B44" i="1"/>
  <c r="B43" i="1"/>
  <c r="B41" i="1"/>
  <c r="A44" i="1"/>
  <c r="A32" i="1"/>
  <c r="B39" i="1"/>
  <c r="A39" i="1"/>
  <c r="B36" i="1"/>
  <c r="A33" i="1"/>
  <c r="B32" i="1"/>
  <c r="A43" i="1"/>
  <c r="B38" i="1"/>
  <c r="A42" i="1"/>
  <c r="A40" i="1"/>
  <c r="B33" i="1"/>
  <c r="A38" i="1"/>
  <c r="A36" i="1"/>
  <c r="B42" i="1"/>
  <c r="B34" i="1"/>
  <c r="A37" i="1"/>
  <c r="A41" i="1"/>
  <c r="A34" i="1"/>
  <c r="B35" i="1"/>
  <c r="A35" i="1"/>
  <c r="B40" i="1"/>
  <c r="L64" i="1"/>
  <c r="I64" i="1"/>
  <c r="M64" i="1"/>
  <c r="J64" i="1"/>
  <c r="L56" i="1"/>
  <c r="I56" i="1"/>
  <c r="M56" i="1"/>
  <c r="J56" i="1"/>
  <c r="L50" i="1"/>
  <c r="I50" i="1"/>
  <c r="M50" i="1"/>
  <c r="J50" i="1"/>
  <c r="L53" i="1"/>
  <c r="I53" i="1"/>
  <c r="M53" i="1"/>
  <c r="J53" i="1"/>
  <c r="L59" i="1"/>
  <c r="I59" i="1"/>
  <c r="M59" i="1"/>
  <c r="J59" i="1"/>
  <c r="L60" i="1"/>
  <c r="I60" i="1"/>
  <c r="M60" i="1"/>
  <c r="J60" i="1"/>
  <c r="L62" i="1"/>
  <c r="I62" i="1"/>
  <c r="M62" i="1"/>
  <c r="J62" i="1"/>
  <c r="L58" i="1"/>
  <c r="I58" i="1"/>
  <c r="M58" i="1"/>
  <c r="J58" i="1"/>
  <c r="L51" i="1"/>
  <c r="I51" i="1"/>
  <c r="M51" i="1"/>
  <c r="J51" i="1"/>
  <c r="L49" i="1"/>
  <c r="I49" i="1"/>
  <c r="M49" i="1"/>
  <c r="J49" i="1"/>
  <c r="D32" i="1" a="1"/>
  <c r="D36" i="1" l="1"/>
  <c r="D44" i="1"/>
  <c r="D37" i="1"/>
  <c r="D34" i="1"/>
  <c r="D39" i="1"/>
  <c r="D38" i="1"/>
  <c r="D43" i="1"/>
  <c r="D40" i="1"/>
  <c r="D35" i="1"/>
  <c r="D41" i="1"/>
  <c r="D42" i="1"/>
  <c r="D32" i="1"/>
  <c r="D33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rnt</author>
  </authors>
  <commentList>
    <comment ref="C5" authorId="0" shapeId="0" xr:uid="{6944DC66-AD4D-44B1-A3A5-95A6CB36CAD8}">
      <text>
        <r>
          <rPr>
            <sz val="9"/>
            <color indexed="81"/>
            <rFont val="Tahoma"/>
            <charset val="1"/>
          </rPr>
          <t>Удельная плотность газа по воздуху</t>
        </r>
      </text>
    </comment>
    <comment ref="F5" authorId="0" shapeId="0" xr:uid="{DEE59EA0-4655-48F7-87C8-D31E6F7D1A0F}">
      <text>
        <r>
          <rPr>
            <sz val="9"/>
            <color indexed="81"/>
            <rFont val="Tahoma"/>
            <charset val="1"/>
          </rPr>
          <t>Удельная плотность газа по воздуху</t>
        </r>
      </text>
    </comment>
    <comment ref="K5" authorId="0" shapeId="0" xr:uid="{A1C9EF64-20B4-4355-9CEA-69E0F5900D5B}">
      <text>
        <r>
          <rPr>
            <sz val="9"/>
            <color indexed="81"/>
            <rFont val="Tahoma"/>
            <charset val="1"/>
          </rPr>
          <t>Начало диапазона значений</t>
        </r>
      </text>
    </comment>
    <comment ref="C6" authorId="0" shapeId="0" xr:uid="{DD1B342A-843B-44C0-8BB8-A377EC1F6185}">
      <text>
        <r>
          <rPr>
            <sz val="9"/>
            <color indexed="81"/>
            <rFont val="Tahoma"/>
            <charset val="1"/>
          </rPr>
          <t>Удельная плотность нефти по воде</t>
        </r>
      </text>
    </comment>
    <comment ref="F6" authorId="0" shapeId="0" xr:uid="{89981455-1B97-49C8-8DB8-9798E54248B5}">
      <text>
        <r>
          <rPr>
            <sz val="9"/>
            <color indexed="81"/>
            <rFont val="Tahoma"/>
            <charset val="1"/>
          </rPr>
          <t>Удельная плотность нефти по воде</t>
        </r>
      </text>
    </comment>
    <comment ref="K6" authorId="0" shapeId="0" xr:uid="{F25E55D7-BEBB-4C79-B1B0-B1CFE4A13C98}">
      <text>
        <r>
          <rPr>
            <sz val="9"/>
            <color indexed="81"/>
            <rFont val="Tahoma"/>
            <charset val="1"/>
          </rPr>
          <t>Конец диапазона значений</t>
        </r>
      </text>
    </comment>
    <comment ref="C7" authorId="0" shapeId="0" xr:uid="{2B4C2DAE-7A6B-4601-BE9F-0B6AE9633C40}">
      <text>
        <r>
          <rPr>
            <sz val="9"/>
            <color indexed="81"/>
            <rFont val="Tahoma"/>
            <charset val="1"/>
          </rPr>
          <t>Удельная плотность воды (по воде)</t>
        </r>
      </text>
    </comment>
    <comment ref="F7" authorId="0" shapeId="0" xr:uid="{38A1A4E7-38D6-4D89-AF8D-6888963E3F9C}">
      <text>
        <r>
          <rPr>
            <sz val="9"/>
            <color indexed="81"/>
            <rFont val="Tahoma"/>
            <charset val="1"/>
          </rPr>
          <t>Удельная плотность воды (по воде)</t>
        </r>
      </text>
    </comment>
    <comment ref="K7" authorId="0" shapeId="0" xr:uid="{0F9D4B83-B086-4677-92A6-1F2E5D4C1B35}">
      <text>
        <r>
          <rPr>
            <sz val="9"/>
            <color indexed="81"/>
            <rFont val="Tahoma"/>
            <charset val="1"/>
          </rPr>
          <t>Количество точек в генерируемом списке значений</t>
        </r>
      </text>
    </comment>
    <comment ref="C8" authorId="0" shapeId="0" xr:uid="{48C74769-0866-46A1-8C8D-5053FCABC1B1}">
      <text>
        <r>
          <rPr>
            <sz val="9"/>
            <color indexed="81"/>
            <rFont val="Tahoma"/>
            <charset val="1"/>
          </rPr>
          <t>Газосодержание при давлении насыщения, м3/м3</t>
        </r>
      </text>
    </comment>
    <comment ref="F8" authorId="0" shapeId="0" xr:uid="{15734240-203C-4407-A396-85DFE204085D}">
      <text>
        <r>
          <rPr>
            <sz val="9"/>
            <color indexed="81"/>
            <rFont val="Tahoma"/>
            <charset val="1"/>
          </rPr>
          <t>Газосодержание при давлении насыщения, м3/м3</t>
        </r>
      </text>
    </comment>
    <comment ref="K8" authorId="0" shapeId="0" xr:uid="{04E8FFC2-1038-4204-8E7C-BF84DD25E28A}">
      <text>
        <r>
          <rPr>
            <sz val="9"/>
            <color indexed="81"/>
            <rFont val="Tahoma"/>
            <charset val="1"/>
          </rPr>
          <t>json список сгенерированный значений. Используйте decode_json чтобы развернуть</t>
        </r>
      </text>
    </comment>
    <comment ref="C9" authorId="0" shapeId="0" xr:uid="{5BE33C4A-A3E4-4AC6-83AC-AF4FCEEBEAE7}">
      <text>
        <r>
          <rPr>
            <sz val="9"/>
            <color indexed="81"/>
            <rFont val="Tahoma"/>
            <charset val="1"/>
          </rPr>
          <t>Давление насыщения при заданной температуре, атма</t>
        </r>
      </text>
    </comment>
    <comment ref="F9" authorId="0" shapeId="0" xr:uid="{9F92F32B-C3D5-4E5A-9AF4-94D50EE0A785}">
      <text>
        <r>
          <rPr>
            <sz val="9"/>
            <color indexed="81"/>
            <rFont val="Tahoma"/>
            <charset val="1"/>
          </rPr>
          <t>Давление насыщения при заданной температуре, атма</t>
        </r>
      </text>
    </comment>
    <comment ref="C10" authorId="0" shapeId="0" xr:uid="{A8E9478E-E3E2-4CD6-801C-9766BF0E0338}">
      <text>
        <r>
          <rPr>
            <sz val="9"/>
            <color indexed="81"/>
            <rFont val="Tahoma"/>
            <charset val="1"/>
          </rPr>
          <t>Температура пласта, при которой определено давление насыщения, С</t>
        </r>
      </text>
    </comment>
    <comment ref="F10" authorId="0" shapeId="0" xr:uid="{D2C78FAF-2592-4FC6-B645-79A97563DE86}">
      <text>
        <r>
          <rPr>
            <sz val="9"/>
            <color indexed="81"/>
            <rFont val="Tahoma"/>
            <charset val="1"/>
          </rPr>
          <t>Температура пласта, при которой определено давление насыщения, С</t>
        </r>
      </text>
    </comment>
    <comment ref="C11" authorId="0" shapeId="0" xr:uid="{79DD18ED-BC63-46FD-BE78-236222372222}">
      <text>
        <r>
          <rPr>
            <sz val="9"/>
            <color indexed="81"/>
            <rFont val="Tahoma"/>
            <charset val="1"/>
          </rPr>
          <t>Объемный коэффициент нефти при давлении насыщения и пластовой температуре, м3/м3</t>
        </r>
      </text>
    </comment>
    <comment ref="F11" authorId="0" shapeId="0" xr:uid="{63A546E6-5942-41BF-8BCD-41E0E2504B94}">
      <text>
        <r>
          <rPr>
            <sz val="9"/>
            <color indexed="81"/>
            <rFont val="Tahoma"/>
            <charset val="1"/>
          </rPr>
          <t>Объемный коэффициент нефти при давлении насыщения и пластовой температуре, м3/м3</t>
        </r>
      </text>
    </comment>
    <comment ref="C12" authorId="0" shapeId="0" xr:uid="{8489F386-B877-4A03-A17E-C48754CF0CB9}">
      <text>
        <r>
          <rPr>
            <sz val="9"/>
            <color indexed="81"/>
            <rFont val="Tahoma"/>
            <charset val="1"/>
          </rPr>
          <t>Вязкость нефти при давлении насыщения и пластовой температуре, сП</t>
        </r>
      </text>
    </comment>
    <comment ref="F12" authorId="0" shapeId="0" xr:uid="{BA8AF0B3-9D22-4C89-9324-B71A2D9DC8D5}">
      <text>
        <r>
          <rPr>
            <sz val="9"/>
            <color indexed="81"/>
            <rFont val="Tahoma"/>
            <charset val="1"/>
          </rPr>
          <t>Вязкость нефти при давлении насыщения и пластовой температуре, сП</t>
        </r>
      </text>
    </comment>
    <comment ref="C13" authorId="0" shapeId="0" xr:uid="{C349A64A-3541-4A4B-A126-D26AB0EE5CC5}">
      <text>
        <r>
          <rPr>
            <sz val="9"/>
            <color indexed="81"/>
            <rFont val="Tahoma"/>
            <charset val="1"/>
          </rPr>
          <t>Набор PVT корреляций. 0 - на основе корреляции Стендинга для газосодержания, 1 - на основе корреляции Веларда Маккейна для газосодержания</t>
        </r>
      </text>
    </comment>
    <comment ref="F13" authorId="0" shapeId="0" xr:uid="{28C42898-5A5F-48DE-BFF0-8A3A834C459D}">
      <text>
        <r>
          <rPr>
            <sz val="9"/>
            <color indexed="81"/>
            <rFont val="Tahoma"/>
            <charset val="1"/>
          </rPr>
          <t>Набор PVT корреляций. 0 - на основе корреляции Стендинга для газосодержания, 1 - на основе корреляции Веларда Маккейна для газосодержания</t>
        </r>
      </text>
    </comment>
    <comment ref="C15" authorId="0" shapeId="0" xr:uid="{320D1DA1-6340-4D05-9024-65CB6532A5CE}">
      <text>
        <r>
          <rPr>
            <sz val="9"/>
            <color indexed="81"/>
            <rFont val="Tahoma"/>
            <charset val="1"/>
          </rPr>
          <t>Дебит жидкости в стандартных условиях</t>
        </r>
      </text>
    </comment>
    <comment ref="F15" authorId="0" shapeId="0" xr:uid="{BDFC0DAE-E464-43BC-97CE-BC82B20F6225}">
      <text>
        <r>
          <rPr>
            <sz val="9"/>
            <color indexed="81"/>
            <rFont val="Tahoma"/>
            <charset val="1"/>
          </rPr>
          <t>Дебит жидкости в стандартных условиях</t>
        </r>
      </text>
    </comment>
    <comment ref="C16" authorId="0" shapeId="0" xr:uid="{54B5E745-EC96-4C18-8715-2DFB1CF36D85}">
      <text>
        <r>
          <rPr>
            <sz val="9"/>
            <color indexed="81"/>
            <rFont val="Tahoma"/>
            <charset val="1"/>
          </rPr>
          <t>Обводненность, %</t>
        </r>
      </text>
    </comment>
    <comment ref="F16" authorId="0" shapeId="0" xr:uid="{D891E16E-17D8-4D7F-A024-EAA614042041}">
      <text>
        <r>
          <rPr>
            <sz val="9"/>
            <color indexed="81"/>
            <rFont val="Tahoma"/>
            <charset val="1"/>
          </rPr>
          <t>Обводненность, %</t>
        </r>
      </text>
    </comment>
    <comment ref="C17" authorId="0" shapeId="0" xr:uid="{099BE135-82D3-48E0-8884-4A2339FBB134}">
      <text>
        <r>
          <rPr>
            <sz val="9"/>
            <color indexed="81"/>
            <rFont val="Tahoma"/>
            <charset val="1"/>
          </rPr>
          <t>Газовый фактор, м3/м3</t>
        </r>
      </text>
    </comment>
    <comment ref="F17" authorId="0" shapeId="0" xr:uid="{DA1F2EC2-C749-427A-9A7C-62A9AB8B6B14}">
      <text>
        <r>
          <rPr>
            <sz val="9"/>
            <color indexed="81"/>
            <rFont val="Tahoma"/>
            <charset val="1"/>
          </rPr>
          <t>Газовый фактор, м3/м3</t>
        </r>
      </text>
    </comment>
    <comment ref="C18" authorId="0" shapeId="0" xr:uid="{F902F870-0F9C-4E45-8D33-37BBB61CFBD8}">
      <text>
        <r>
          <rPr>
            <sz val="9"/>
            <color indexed="81"/>
            <rFont val="Tahoma"/>
            <charset val="1"/>
          </rPr>
          <t>Дебит свободного газа в потоке ст.м3/сут. Свободный газ в потоке дополняет газ выделившийся из нефти.</t>
        </r>
      </text>
    </comment>
    <comment ref="F18" authorId="0" shapeId="0" xr:uid="{FBB680C2-20A4-421B-A675-861325E09DB8}">
      <text>
        <r>
          <rPr>
            <sz val="9"/>
            <color indexed="81"/>
            <rFont val="Tahoma"/>
            <charset val="1"/>
          </rPr>
          <t>Дебит свободного газа в потоке ст.м3/сут. Свободный газ в потоке дополняет газ выделившийся из нефти.</t>
        </r>
      </text>
    </comment>
    <comment ref="C25" authorId="0" shapeId="0" xr:uid="{DE64DCE6-AF14-4F31-850F-AC69654B5366}">
      <text>
        <r>
          <rPr>
            <sz val="9"/>
            <color indexed="81"/>
            <rFont val="Tahoma"/>
            <charset val="1"/>
          </rPr>
          <t>json строка с параметрами первого потока флюидов. Установите ссылку на ячейку с параметрами флюида</t>
        </r>
      </text>
    </comment>
    <comment ref="C26" authorId="0" shapeId="0" xr:uid="{6A735850-63A2-4E6B-9824-3BC970240E7D}">
      <text>
        <r>
          <rPr>
            <sz val="9"/>
            <color indexed="81"/>
            <rFont val="Tahoma"/>
            <charset val="1"/>
          </rPr>
          <t>json строка с параметрами второго потока флюидов. Установите ссылку на ячейку с параметрами флюида</t>
        </r>
      </text>
    </comment>
    <comment ref="C27" authorId="0" shapeId="0" xr:uid="{020F9622-ED8C-414F-9CDA-5B7AC1879142}">
      <text>
        <r>
          <rPr>
            <sz val="9"/>
            <color indexed="81"/>
            <rFont val="Tahoma"/>
            <charset val="1"/>
          </rPr>
          <t>Расчетная json строка с параметрами потока флюидов (feed) после слияния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<sst xmlns="http://schemas.openxmlformats.org/spreadsheetml/2006/main" count="70" uniqueCount="48">
  <si>
    <t>Пример расчета свойтв потока флюидов с использованием Inifloc VBA</t>
  </si>
  <si>
    <t>версия</t>
  </si>
  <si>
    <t>Смешение двух потоков</t>
  </si>
  <si>
    <t>Свойства потока 1</t>
  </si>
  <si>
    <t>gamma_gas</t>
  </si>
  <si>
    <t>gamma_oil</t>
  </si>
  <si>
    <t>gamma_wat</t>
  </si>
  <si>
    <t>rsb_m3m3</t>
  </si>
  <si>
    <t>pb_atma</t>
  </si>
  <si>
    <t>t_res_C</t>
  </si>
  <si>
    <t>bob_m3m3</t>
  </si>
  <si>
    <t>muob_cP</t>
  </si>
  <si>
    <t>pvt_corr_set</t>
  </si>
  <si>
    <t>PVT</t>
  </si>
  <si>
    <t>q_liq_sm3day</t>
  </si>
  <si>
    <t>fw_perc</t>
  </si>
  <si>
    <t>rp_m3m3</t>
  </si>
  <si>
    <t>q_gas_free_sm3day</t>
  </si>
  <si>
    <t>feed</t>
  </si>
  <si>
    <t xml:space="preserve"> </t>
  </si>
  <si>
    <t>Свойства потока 2</t>
  </si>
  <si>
    <t>val_from</t>
  </si>
  <si>
    <t>val_to</t>
  </si>
  <si>
    <t>num</t>
  </si>
  <si>
    <t>linspace</t>
  </si>
  <si>
    <t>T_C</t>
  </si>
  <si>
    <t>P</t>
  </si>
  <si>
    <t>T</t>
  </si>
  <si>
    <t>rs</t>
  </si>
  <si>
    <t>bo</t>
  </si>
  <si>
    <t>muo</t>
  </si>
  <si>
    <t>rs_2</t>
  </si>
  <si>
    <t>bo_2</t>
  </si>
  <si>
    <t>muo_2</t>
  </si>
  <si>
    <t>Параметры объединенного потока</t>
  </si>
  <si>
    <t>feed 1</t>
  </si>
  <si>
    <t>feed 2</t>
  </si>
  <si>
    <t>new feeds</t>
  </si>
  <si>
    <t>rs_mix</t>
  </si>
  <si>
    <t>bo_mix</t>
  </si>
  <si>
    <t>muo_mix</t>
  </si>
  <si>
    <t>gas_fraction_1</t>
  </si>
  <si>
    <t>gas_fraction_2</t>
  </si>
  <si>
    <t>gas_fraction_mix</t>
  </si>
  <si>
    <t>q_mix_1</t>
  </si>
  <si>
    <t>q_mix_2</t>
  </si>
  <si>
    <t>q_mix_mix</t>
  </si>
  <si>
    <t>Параметры флюида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</si>
</sst>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3" x14ac:knownFonts="1">
    <font>
      <sz val="11"/>
      <color theme="1"/>
      <name val="Aptos Narrow"/>
      <family val="2"/>
      <charset val="204"/>
      <scheme val="minor"/>
    </font>
    <font>
      <sz val="9"/>
      <color indexed="81"/>
      <name val="Tahoma"/>
      <charset val="1"/>
    </font>
    <font>
      <sz val="8"/>
      <name val="Aptos Narrow"/>
      <family val="2"/>
      <charset val="204"/>
      <scheme val="minor"/>
    </font>
  </fonts>
  <fills count="6">
    <fill>
      <patternFill patternType="none"/>
    </fill>
    <fill>
      <patternFill patternType="gray125"/>
    </fill>
    <fill>
      <patternFill patternType="solid">
        <fgColor rgb="FFDCDCDC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A0FAFA"/>
        <bgColor indexed="64"/>
      </patternFill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2">
    <xf numFmtId="0" fontId="0" fillId="0" borderId="0" xfId="0"/>
    <xf numFmtId="0" fontId="0" fillId="2" borderId="0" xfId="0" applyFill="1"/>
    <xf numFmtId="0" fontId="0" fillId="3" borderId="0" xfId="0" applyFill="1"/>
    <xf numFmtId="0" fontId="0" fillId="4" borderId="0" xfId="0" applyFill="1"/>
    <xf numFmtId="0" fontId="0" fillId="5" borderId="1" xfId="0" applyFill="1" applyBorder="1"/>
    <xf numFmtId="1" fontId="0" fillId="0" borderId="1" xfId="0" applyNumberFormat="1" applyBorder="1" applyAlignment="1">
      <alignment horizontal="center"/>
    </xf>
    <xf numFmtId="0" fontId="0" fillId="0" borderId="1" xfId="0" applyBorder="1" applyAlignment="1">
      <alignment horizontal="center"/>
    </xf>
    <xf numFmtId="2" fontId="0" fillId="0" borderId="1" xfId="0" applyNumberFormat="1" applyBorder="1" applyAlignment="1">
      <alignment horizontal="center"/>
    </xf>
    <xf numFmtId="2" fontId="0" fillId="0" borderId="1" xfId="0" applyNumberFormat="1" applyBorder="1"/>
    <xf numFmtId="164" fontId="0" fillId="0" borderId="1" xfId="0" applyNumberFormat="1" applyBorder="1"/>
    <xf numFmtId="1" fontId="0" fillId="0" borderId="1" xfId="0" applyNumberFormat="1" applyBorder="1"/>
    <xf numFmtId="0" fontId="0" fillId="0" borderId="1" xfId="0" applyBorder="1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газосодержение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'Смешение флюидов'!$O$4</c:f>
              <c:strCache>
                <c:ptCount val="1"/>
                <c:pt idx="0">
                  <c:v>rs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'Смешение флюидов'!$M$5:$M$20</c:f>
              <c:numCache>
                <c:formatCode>0</c:formatCode>
                <c:ptCount val="16"/>
                <c:pt idx="0">
                  <c:v>1</c:v>
                </c:pt>
                <c:pt idx="1">
                  <c:v>12.933</c:v>
                </c:pt>
                <c:pt idx="2">
                  <c:v>24.867000000000001</c:v>
                </c:pt>
                <c:pt idx="3">
                  <c:v>36.799999999999997</c:v>
                </c:pt>
                <c:pt idx="4">
                  <c:v>48.732999999999997</c:v>
                </c:pt>
                <c:pt idx="5">
                  <c:v>60.667000000000002</c:v>
                </c:pt>
                <c:pt idx="6">
                  <c:v>72.599999999999994</c:v>
                </c:pt>
                <c:pt idx="7">
                  <c:v>84.533000000000001</c:v>
                </c:pt>
                <c:pt idx="8">
                  <c:v>96.466999999999999</c:v>
                </c:pt>
                <c:pt idx="9">
                  <c:v>108.4</c:v>
                </c:pt>
                <c:pt idx="10">
                  <c:v>120.333</c:v>
                </c:pt>
                <c:pt idx="11">
                  <c:v>132.267</c:v>
                </c:pt>
                <c:pt idx="12">
                  <c:v>144.19999999999999</c:v>
                </c:pt>
                <c:pt idx="13">
                  <c:v>156.13300000000001</c:v>
                </c:pt>
                <c:pt idx="14">
                  <c:v>168.06700000000001</c:v>
                </c:pt>
                <c:pt idx="15">
                  <c:v>180</c:v>
                </c:pt>
              </c:numCache>
            </c:numRef>
          </c:xVal>
          <c:yVal>
            <c:numRef>
              <c:f>'Смешение флюидов'!$O$5:$O$20</c:f>
              <c:numCache>
                <c:formatCode>0</c:formatCode>
                <c:ptCount val="16"/>
                <c:pt idx="0">
                  <c:v>0.38977632799358036</c:v>
                </c:pt>
                <c:pt idx="1">
                  <c:v>8.4976999070702277</c:v>
                </c:pt>
                <c:pt idx="2">
                  <c:v>18.670073457717251</c:v>
                </c:pt>
                <c:pt idx="3">
                  <c:v>29.929277539763</c:v>
                </c:pt>
                <c:pt idx="4">
                  <c:v>41.971503744715427</c:v>
                </c:pt>
                <c:pt idx="5">
                  <c:v>54.637433807424927</c:v>
                </c:pt>
                <c:pt idx="6">
                  <c:v>67.823961267486865</c:v>
                </c:pt>
                <c:pt idx="7">
                  <c:v>81.462006563551995</c:v>
                </c:pt>
                <c:pt idx="8">
                  <c:v>95.500908326510924</c:v>
                </c:pt>
                <c:pt idx="9">
                  <c:v>109.89823451520597</c:v>
                </c:pt>
                <c:pt idx="10">
                  <c:v>120</c:v>
                </c:pt>
                <c:pt idx="11">
                  <c:v>120</c:v>
                </c:pt>
                <c:pt idx="12">
                  <c:v>120</c:v>
                </c:pt>
                <c:pt idx="13">
                  <c:v>120</c:v>
                </c:pt>
                <c:pt idx="14">
                  <c:v>120</c:v>
                </c:pt>
                <c:pt idx="15">
                  <c:v>120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2A9-48E0-A670-4A2C80FE5E48}"/>
            </c:ext>
          </c:extLst>
        </c:ser>
        <c:ser>
          <c:idx val="1"/>
          <c:order val="1"/>
          <c:tx>
            <c:strRef>
              <c:f>'Смешение флюидов'!$R$4</c:f>
              <c:strCache>
                <c:ptCount val="1"/>
                <c:pt idx="0">
                  <c:v>rs_2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'Смешение флюидов'!$M$5:$M$20</c:f>
              <c:numCache>
                <c:formatCode>0</c:formatCode>
                <c:ptCount val="16"/>
                <c:pt idx="0">
                  <c:v>1</c:v>
                </c:pt>
                <c:pt idx="1">
                  <c:v>12.933</c:v>
                </c:pt>
                <c:pt idx="2">
                  <c:v>24.867000000000001</c:v>
                </c:pt>
                <c:pt idx="3">
                  <c:v>36.799999999999997</c:v>
                </c:pt>
                <c:pt idx="4">
                  <c:v>48.732999999999997</c:v>
                </c:pt>
                <c:pt idx="5">
                  <c:v>60.667000000000002</c:v>
                </c:pt>
                <c:pt idx="6">
                  <c:v>72.599999999999994</c:v>
                </c:pt>
                <c:pt idx="7">
                  <c:v>84.533000000000001</c:v>
                </c:pt>
                <c:pt idx="8">
                  <c:v>96.466999999999999</c:v>
                </c:pt>
                <c:pt idx="9">
                  <c:v>108.4</c:v>
                </c:pt>
                <c:pt idx="10">
                  <c:v>120.333</c:v>
                </c:pt>
                <c:pt idx="11">
                  <c:v>132.267</c:v>
                </c:pt>
                <c:pt idx="12">
                  <c:v>144.19999999999999</c:v>
                </c:pt>
                <c:pt idx="13">
                  <c:v>156.13300000000001</c:v>
                </c:pt>
                <c:pt idx="14">
                  <c:v>168.06700000000001</c:v>
                </c:pt>
                <c:pt idx="15">
                  <c:v>180</c:v>
                </c:pt>
              </c:numCache>
            </c:numRef>
          </c:xVal>
          <c:yVal>
            <c:numRef>
              <c:f>'Смешение флюидов'!$R$5:$R$20</c:f>
              <c:numCache>
                <c:formatCode>0</c:formatCode>
                <c:ptCount val="16"/>
                <c:pt idx="0">
                  <c:v>0.27706785303936693</c:v>
                </c:pt>
                <c:pt idx="1">
                  <c:v>6.0404886082860152</c:v>
                </c:pt>
                <c:pt idx="2">
                  <c:v>13.271398998612828</c:v>
                </c:pt>
                <c:pt idx="3">
                  <c:v>21.274869907179326</c:v>
                </c:pt>
                <c:pt idx="4">
                  <c:v>29.834942750996365</c:v>
                </c:pt>
                <c:pt idx="5">
                  <c:v>38.83836804181982</c:v>
                </c:pt>
                <c:pt idx="6">
                  <c:v>48.211853782247317</c:v>
                </c:pt>
                <c:pt idx="7">
                  <c:v>57.906295590156788</c:v>
                </c:pt>
                <c:pt idx="8">
                  <c:v>60</c:v>
                </c:pt>
                <c:pt idx="9">
                  <c:v>60</c:v>
                </c:pt>
                <c:pt idx="10">
                  <c:v>60</c:v>
                </c:pt>
                <c:pt idx="11">
                  <c:v>60</c:v>
                </c:pt>
                <c:pt idx="12">
                  <c:v>60</c:v>
                </c:pt>
                <c:pt idx="13">
                  <c:v>60</c:v>
                </c:pt>
                <c:pt idx="14">
                  <c:v>60</c:v>
                </c:pt>
                <c:pt idx="15">
                  <c:v>60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2A9-48E0-A670-4A2C80FE5E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3862367"/>
        <c:axId val="393863807"/>
      </c:scatterChart>
      <c:valAx>
        <c:axId val="393862367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атма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3863807"/>
        <c:crosses val="autoZero"/>
        <c:crossBetween val="midCat"/>
      </c:valAx>
      <c:valAx>
        <c:axId val="39386380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газосодержание, м3/м3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3862367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>
        <a:lumMod val="9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объемный к-т нефти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'Смешение флюидов'!$P$4</c:f>
              <c:strCache>
                <c:ptCount val="1"/>
                <c:pt idx="0">
                  <c:v>bo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'Смешение флюидов'!$M$5:$M$20</c:f>
              <c:numCache>
                <c:formatCode>0</c:formatCode>
                <c:ptCount val="16"/>
                <c:pt idx="0">
                  <c:v>1</c:v>
                </c:pt>
                <c:pt idx="1">
                  <c:v>12.933</c:v>
                </c:pt>
                <c:pt idx="2">
                  <c:v>24.867000000000001</c:v>
                </c:pt>
                <c:pt idx="3">
                  <c:v>36.799999999999997</c:v>
                </c:pt>
                <c:pt idx="4">
                  <c:v>48.732999999999997</c:v>
                </c:pt>
                <c:pt idx="5">
                  <c:v>60.667000000000002</c:v>
                </c:pt>
                <c:pt idx="6">
                  <c:v>72.599999999999994</c:v>
                </c:pt>
                <c:pt idx="7">
                  <c:v>84.533000000000001</c:v>
                </c:pt>
                <c:pt idx="8">
                  <c:v>96.466999999999999</c:v>
                </c:pt>
                <c:pt idx="9">
                  <c:v>108.4</c:v>
                </c:pt>
                <c:pt idx="10">
                  <c:v>120.333</c:v>
                </c:pt>
                <c:pt idx="11">
                  <c:v>132.267</c:v>
                </c:pt>
                <c:pt idx="12">
                  <c:v>144.19999999999999</c:v>
                </c:pt>
                <c:pt idx="13">
                  <c:v>156.13300000000001</c:v>
                </c:pt>
                <c:pt idx="14">
                  <c:v>168.06700000000001</c:v>
                </c:pt>
                <c:pt idx="15">
                  <c:v>180</c:v>
                </c:pt>
              </c:numCache>
            </c:numRef>
          </c:xVal>
          <c:yVal>
            <c:numRef>
              <c:f>'Смешение флюидов'!$P$5:$P$20</c:f>
              <c:numCache>
                <c:formatCode>0.00</c:formatCode>
                <c:ptCount val="16"/>
                <c:pt idx="0">
                  <c:v>1.0155380707585446</c:v>
                </c:pt>
                <c:pt idx="1">
                  <c:v>1.0250274135799717</c:v>
                </c:pt>
                <c:pt idx="2">
                  <c:v>1.0374042026090147</c:v>
                </c:pt>
                <c:pt idx="3">
                  <c:v>1.0516161260895331</c:v>
                </c:pt>
                <c:pt idx="4">
                  <c:v>1.0673229078518915</c:v>
                </c:pt>
                <c:pt idx="5">
                  <c:v>1.0843315358634731</c:v>
                </c:pt>
                <c:pt idx="6">
                  <c:v>1.1025064385534851</c:v>
                </c:pt>
                <c:pt idx="7">
                  <c:v>1.1217498564884643</c:v>
                </c:pt>
                <c:pt idx="8">
                  <c:v>1.1419853715701116</c:v>
                </c:pt>
                <c:pt idx="9">
                  <c:v>1.1631457280401198</c:v>
                </c:pt>
                <c:pt idx="10">
                  <c:v>1.1766511327010518</c:v>
                </c:pt>
                <c:pt idx="11">
                  <c:v>1.1728576912209689</c:v>
                </c:pt>
                <c:pt idx="12">
                  <c:v>1.1697017410910679</c:v>
                </c:pt>
                <c:pt idx="13">
                  <c:v>1.1670348446914183</c:v>
                </c:pt>
                <c:pt idx="14">
                  <c:v>1.1647513270858536</c:v>
                </c:pt>
                <c:pt idx="15">
                  <c:v>1.1627743757984097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2A9-48E0-A670-4A2C80FE5E48}"/>
            </c:ext>
          </c:extLst>
        </c:ser>
        <c:ser>
          <c:idx val="1"/>
          <c:order val="1"/>
          <c:tx>
            <c:strRef>
              <c:f>'Смешение флюидов'!$S$4</c:f>
              <c:strCache>
                <c:ptCount val="1"/>
                <c:pt idx="0">
                  <c:v>bo_2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'Смешение флюидов'!$M$5:$M$20</c:f>
              <c:numCache>
                <c:formatCode>0</c:formatCode>
                <c:ptCount val="16"/>
                <c:pt idx="0">
                  <c:v>1</c:v>
                </c:pt>
                <c:pt idx="1">
                  <c:v>12.933</c:v>
                </c:pt>
                <c:pt idx="2">
                  <c:v>24.867000000000001</c:v>
                </c:pt>
                <c:pt idx="3">
                  <c:v>36.799999999999997</c:v>
                </c:pt>
                <c:pt idx="4">
                  <c:v>48.732999999999997</c:v>
                </c:pt>
                <c:pt idx="5">
                  <c:v>60.667000000000002</c:v>
                </c:pt>
                <c:pt idx="6">
                  <c:v>72.599999999999994</c:v>
                </c:pt>
                <c:pt idx="7">
                  <c:v>84.533000000000001</c:v>
                </c:pt>
                <c:pt idx="8">
                  <c:v>96.466999999999999</c:v>
                </c:pt>
                <c:pt idx="9">
                  <c:v>108.4</c:v>
                </c:pt>
                <c:pt idx="10">
                  <c:v>120.333</c:v>
                </c:pt>
                <c:pt idx="11">
                  <c:v>132.267</c:v>
                </c:pt>
                <c:pt idx="12">
                  <c:v>144.19999999999999</c:v>
                </c:pt>
                <c:pt idx="13">
                  <c:v>156.13300000000001</c:v>
                </c:pt>
                <c:pt idx="14">
                  <c:v>168.06700000000001</c:v>
                </c:pt>
                <c:pt idx="15">
                  <c:v>180</c:v>
                </c:pt>
              </c:numCache>
            </c:numRef>
          </c:xVal>
          <c:yVal>
            <c:numRef>
              <c:f>'Смешение флюидов'!$S$5:$S$20</c:f>
              <c:numCache>
                <c:formatCode>0.00</c:formatCode>
                <c:ptCount val="16"/>
                <c:pt idx="0">
                  <c:v>1.0313519834292018</c:v>
                </c:pt>
                <c:pt idx="1">
                  <c:v>1.0449933951986474</c:v>
                </c:pt>
                <c:pt idx="2">
                  <c:v>1.0626185137565405</c:v>
                </c:pt>
                <c:pt idx="3">
                  <c:v>1.0827043842535364</c:v>
                </c:pt>
                <c:pt idx="4">
                  <c:v>1.104775781270829</c:v>
                </c:pt>
                <c:pt idx="5">
                  <c:v>1.1285715774470917</c:v>
                </c:pt>
                <c:pt idx="6">
                  <c:v>1.1539118410796254</c:v>
                </c:pt>
                <c:pt idx="7">
                  <c:v>1.1806686430224316</c:v>
                </c:pt>
                <c:pt idx="8">
                  <c:v>1.1840712467850245</c:v>
                </c:pt>
                <c:pt idx="9">
                  <c:v>1.1817013291859999</c:v>
                </c:pt>
                <c:pt idx="10">
                  <c:v>1.179804870337045</c:v>
                </c:pt>
                <c:pt idx="11">
                  <c:v>1.1782527587160925</c:v>
                </c:pt>
                <c:pt idx="12">
                  <c:v>1.1769592134048723</c:v>
                </c:pt>
                <c:pt idx="13">
                  <c:v>1.1758645065268798</c:v>
                </c:pt>
                <c:pt idx="14">
                  <c:v>1.1749259907084797</c:v>
                </c:pt>
                <c:pt idx="15">
                  <c:v>1.1741125917111854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2A9-48E0-A670-4A2C80FE5E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3862367"/>
        <c:axId val="393863807"/>
      </c:scatterChart>
      <c:valAx>
        <c:axId val="393862367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атма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3863807"/>
        <c:crosses val="autoZero"/>
        <c:crossBetween val="midCat"/>
      </c:valAx>
      <c:valAx>
        <c:axId val="39386380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объемный к-т нефти, м3/м3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3862367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>
        <a:lumMod val="9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вязкость нефти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'Смешение флюидов'!$Q$4</c:f>
              <c:strCache>
                <c:ptCount val="1"/>
                <c:pt idx="0">
                  <c:v>muo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'Смешение флюидов'!$M$5:$M$20</c:f>
              <c:numCache>
                <c:formatCode>0</c:formatCode>
                <c:ptCount val="16"/>
                <c:pt idx="0">
                  <c:v>1</c:v>
                </c:pt>
                <c:pt idx="1">
                  <c:v>12.933</c:v>
                </c:pt>
                <c:pt idx="2">
                  <c:v>24.867000000000001</c:v>
                </c:pt>
                <c:pt idx="3">
                  <c:v>36.799999999999997</c:v>
                </c:pt>
                <c:pt idx="4">
                  <c:v>48.732999999999997</c:v>
                </c:pt>
                <c:pt idx="5">
                  <c:v>60.667000000000002</c:v>
                </c:pt>
                <c:pt idx="6">
                  <c:v>72.599999999999994</c:v>
                </c:pt>
                <c:pt idx="7">
                  <c:v>84.533000000000001</c:v>
                </c:pt>
                <c:pt idx="8">
                  <c:v>96.466999999999999</c:v>
                </c:pt>
                <c:pt idx="9">
                  <c:v>108.4</c:v>
                </c:pt>
                <c:pt idx="10">
                  <c:v>120.333</c:v>
                </c:pt>
                <c:pt idx="11">
                  <c:v>132.267</c:v>
                </c:pt>
                <c:pt idx="12">
                  <c:v>144.19999999999999</c:v>
                </c:pt>
                <c:pt idx="13">
                  <c:v>156.13300000000001</c:v>
                </c:pt>
                <c:pt idx="14">
                  <c:v>168.06700000000001</c:v>
                </c:pt>
                <c:pt idx="15">
                  <c:v>180</c:v>
                </c:pt>
              </c:numCache>
            </c:numRef>
          </c:xVal>
          <c:yVal>
            <c:numRef>
              <c:f>'Смешение флюидов'!$Q$5:$Q$20</c:f>
              <c:numCache>
                <c:formatCode>0.00</c:formatCode>
                <c:ptCount val="16"/>
                <c:pt idx="0">
                  <c:v>6.1855669796062909</c:v>
                </c:pt>
                <c:pt idx="1">
                  <c:v>4.3758976388699802</c:v>
                </c:pt>
                <c:pt idx="2">
                  <c:v>3.2180920590344093</c:v>
                </c:pt>
                <c:pt idx="3">
                  <c:v>2.5049917810512525</c:v>
                </c:pt>
                <c:pt idx="4">
                  <c:v>2.0373189348753571</c:v>
                </c:pt>
                <c:pt idx="5">
                  <c:v>1.7120305664220479</c:v>
                </c:pt>
                <c:pt idx="6">
                  <c:v>1.4747649606961923</c:v>
                </c:pt>
                <c:pt idx="7">
                  <c:v>1.2949621319356261</c:v>
                </c:pt>
                <c:pt idx="8">
                  <c:v>1.1544463917712431</c:v>
                </c:pt>
                <c:pt idx="9">
                  <c:v>1.0418644845700447</c:v>
                </c:pt>
                <c:pt idx="10">
                  <c:v>0.98671737973284213</c:v>
                </c:pt>
                <c:pt idx="11">
                  <c:v>1.0166067870590569</c:v>
                </c:pt>
                <c:pt idx="12">
                  <c:v>1.0492053226597564</c:v>
                </c:pt>
                <c:pt idx="13">
                  <c:v>1.0842857993239079</c:v>
                </c:pt>
                <c:pt idx="14">
                  <c:v>1.1216463841385871</c:v>
                </c:pt>
                <c:pt idx="15">
                  <c:v>1.1610923348559687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F85-4ABF-A731-FD88382505B5}"/>
            </c:ext>
          </c:extLst>
        </c:ser>
        <c:ser>
          <c:idx val="1"/>
          <c:order val="1"/>
          <c:tx>
            <c:strRef>
              <c:f>'Смешение флюидов'!$T$4</c:f>
              <c:strCache>
                <c:ptCount val="1"/>
                <c:pt idx="0">
                  <c:v>muo_2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'Смешение флюидов'!$M$5:$M$20</c:f>
              <c:numCache>
                <c:formatCode>0</c:formatCode>
                <c:ptCount val="16"/>
                <c:pt idx="0">
                  <c:v>1</c:v>
                </c:pt>
                <c:pt idx="1">
                  <c:v>12.933</c:v>
                </c:pt>
                <c:pt idx="2">
                  <c:v>24.867000000000001</c:v>
                </c:pt>
                <c:pt idx="3">
                  <c:v>36.799999999999997</c:v>
                </c:pt>
                <c:pt idx="4">
                  <c:v>48.732999999999997</c:v>
                </c:pt>
                <c:pt idx="5">
                  <c:v>60.667000000000002</c:v>
                </c:pt>
                <c:pt idx="6">
                  <c:v>72.599999999999994</c:v>
                </c:pt>
                <c:pt idx="7">
                  <c:v>84.533000000000001</c:v>
                </c:pt>
                <c:pt idx="8">
                  <c:v>96.466999999999999</c:v>
                </c:pt>
                <c:pt idx="9">
                  <c:v>108.4</c:v>
                </c:pt>
                <c:pt idx="10">
                  <c:v>120.333</c:v>
                </c:pt>
                <c:pt idx="11">
                  <c:v>132.267</c:v>
                </c:pt>
                <c:pt idx="12">
                  <c:v>144.19999999999999</c:v>
                </c:pt>
                <c:pt idx="13">
                  <c:v>156.13300000000001</c:v>
                </c:pt>
                <c:pt idx="14">
                  <c:v>168.06700000000001</c:v>
                </c:pt>
                <c:pt idx="15">
                  <c:v>180</c:v>
                </c:pt>
              </c:numCache>
            </c:numRef>
          </c:xVal>
          <c:yVal>
            <c:numRef>
              <c:f>'Смешение флюидов'!$T$5:$T$20</c:f>
              <c:numCache>
                <c:formatCode>0.00</c:formatCode>
                <c:ptCount val="16"/>
                <c:pt idx="0">
                  <c:v>4.9075019258581287</c:v>
                </c:pt>
                <c:pt idx="1">
                  <c:v>3.785579893852995</c:v>
                </c:pt>
                <c:pt idx="2">
                  <c:v>2.9502004261219494</c:v>
                </c:pt>
                <c:pt idx="3">
                  <c:v>2.3798092593156968</c:v>
                </c:pt>
                <c:pt idx="4">
                  <c:v>1.9795298233666327</c:v>
                </c:pt>
                <c:pt idx="5">
                  <c:v>1.6880204812996229</c:v>
                </c:pt>
                <c:pt idx="6">
                  <c:v>1.4684052930873477</c:v>
                </c:pt>
                <c:pt idx="7">
                  <c:v>1.2980289694975233</c:v>
                </c:pt>
                <c:pt idx="8">
                  <c:v>1.2905235657763319</c:v>
                </c:pt>
                <c:pt idx="9">
                  <c:v>1.3232141765203638</c:v>
                </c:pt>
                <c:pt idx="10">
                  <c:v>1.3597560725968676</c:v>
                </c:pt>
                <c:pt idx="11">
                  <c:v>1.3998788159118005</c:v>
                </c:pt>
                <c:pt idx="12">
                  <c:v>1.4433515269320956</c:v>
                </c:pt>
                <c:pt idx="13">
                  <c:v>1.489988392283726</c:v>
                </c:pt>
                <c:pt idx="14">
                  <c:v>1.5396293477183913</c:v>
                </c:pt>
                <c:pt idx="15">
                  <c:v>1.592118827651164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F85-4ABF-A731-FD88382505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3862367"/>
        <c:axId val="393863807"/>
      </c:scatterChart>
      <c:valAx>
        <c:axId val="393862367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атма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3863807"/>
        <c:crosses val="autoZero"/>
        <c:crossBetween val="midCat"/>
      </c:valAx>
      <c:valAx>
        <c:axId val="39386380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вязкость нефти сП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3862367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>
        <a:lumMod val="9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газосодержение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'Смешение флюидов'!$O$4</c:f>
              <c:strCache>
                <c:ptCount val="1"/>
                <c:pt idx="0">
                  <c:v>rs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'Смешение флюидов'!$M$5:$M$20</c:f>
              <c:numCache>
                <c:formatCode>0</c:formatCode>
                <c:ptCount val="16"/>
                <c:pt idx="0">
                  <c:v>1</c:v>
                </c:pt>
                <c:pt idx="1">
                  <c:v>12.933</c:v>
                </c:pt>
                <c:pt idx="2">
                  <c:v>24.867000000000001</c:v>
                </c:pt>
                <c:pt idx="3">
                  <c:v>36.799999999999997</c:v>
                </c:pt>
                <c:pt idx="4">
                  <c:v>48.732999999999997</c:v>
                </c:pt>
                <c:pt idx="5">
                  <c:v>60.667000000000002</c:v>
                </c:pt>
                <c:pt idx="6">
                  <c:v>72.599999999999994</c:v>
                </c:pt>
                <c:pt idx="7">
                  <c:v>84.533000000000001</c:v>
                </c:pt>
                <c:pt idx="8">
                  <c:v>96.466999999999999</c:v>
                </c:pt>
                <c:pt idx="9">
                  <c:v>108.4</c:v>
                </c:pt>
                <c:pt idx="10">
                  <c:v>120.333</c:v>
                </c:pt>
                <c:pt idx="11">
                  <c:v>132.267</c:v>
                </c:pt>
                <c:pt idx="12">
                  <c:v>144.19999999999999</c:v>
                </c:pt>
                <c:pt idx="13">
                  <c:v>156.13300000000001</c:v>
                </c:pt>
                <c:pt idx="14">
                  <c:v>168.06700000000001</c:v>
                </c:pt>
                <c:pt idx="15">
                  <c:v>180</c:v>
                </c:pt>
              </c:numCache>
            </c:numRef>
          </c:xVal>
          <c:yVal>
            <c:numRef>
              <c:f>'Смешение флюидов'!$O$5:$O$20</c:f>
              <c:numCache>
                <c:formatCode>0</c:formatCode>
                <c:ptCount val="16"/>
                <c:pt idx="0">
                  <c:v>0.38977632799358036</c:v>
                </c:pt>
                <c:pt idx="1">
                  <c:v>8.4976999070702277</c:v>
                </c:pt>
                <c:pt idx="2">
                  <c:v>18.670073457717251</c:v>
                </c:pt>
                <c:pt idx="3">
                  <c:v>29.929277539763</c:v>
                </c:pt>
                <c:pt idx="4">
                  <c:v>41.971503744715427</c:v>
                </c:pt>
                <c:pt idx="5">
                  <c:v>54.637433807424927</c:v>
                </c:pt>
                <c:pt idx="6">
                  <c:v>67.823961267486865</c:v>
                </c:pt>
                <c:pt idx="7">
                  <c:v>81.462006563551995</c:v>
                </c:pt>
                <c:pt idx="8">
                  <c:v>95.500908326510924</c:v>
                </c:pt>
                <c:pt idx="9">
                  <c:v>109.89823451520597</c:v>
                </c:pt>
                <c:pt idx="10">
                  <c:v>120</c:v>
                </c:pt>
                <c:pt idx="11">
                  <c:v>120</c:v>
                </c:pt>
                <c:pt idx="12">
                  <c:v>120</c:v>
                </c:pt>
                <c:pt idx="13">
                  <c:v>120</c:v>
                </c:pt>
                <c:pt idx="14">
                  <c:v>120</c:v>
                </c:pt>
                <c:pt idx="15">
                  <c:v>120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D36-456E-8F7F-BC4D74E6C66A}"/>
            </c:ext>
          </c:extLst>
        </c:ser>
        <c:ser>
          <c:idx val="1"/>
          <c:order val="1"/>
          <c:tx>
            <c:strRef>
              <c:f>'Смешение флюидов'!$R$4</c:f>
              <c:strCache>
                <c:ptCount val="1"/>
                <c:pt idx="0">
                  <c:v>rs_2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'Смешение флюидов'!$M$5:$M$20</c:f>
              <c:numCache>
                <c:formatCode>0</c:formatCode>
                <c:ptCount val="16"/>
                <c:pt idx="0">
                  <c:v>1</c:v>
                </c:pt>
                <c:pt idx="1">
                  <c:v>12.933</c:v>
                </c:pt>
                <c:pt idx="2">
                  <c:v>24.867000000000001</c:v>
                </c:pt>
                <c:pt idx="3">
                  <c:v>36.799999999999997</c:v>
                </c:pt>
                <c:pt idx="4">
                  <c:v>48.732999999999997</c:v>
                </c:pt>
                <c:pt idx="5">
                  <c:v>60.667000000000002</c:v>
                </c:pt>
                <c:pt idx="6">
                  <c:v>72.599999999999994</c:v>
                </c:pt>
                <c:pt idx="7">
                  <c:v>84.533000000000001</c:v>
                </c:pt>
                <c:pt idx="8">
                  <c:v>96.466999999999999</c:v>
                </c:pt>
                <c:pt idx="9">
                  <c:v>108.4</c:v>
                </c:pt>
                <c:pt idx="10">
                  <c:v>120.333</c:v>
                </c:pt>
                <c:pt idx="11">
                  <c:v>132.267</c:v>
                </c:pt>
                <c:pt idx="12">
                  <c:v>144.19999999999999</c:v>
                </c:pt>
                <c:pt idx="13">
                  <c:v>156.13300000000001</c:v>
                </c:pt>
                <c:pt idx="14">
                  <c:v>168.06700000000001</c:v>
                </c:pt>
                <c:pt idx="15">
                  <c:v>180</c:v>
                </c:pt>
              </c:numCache>
            </c:numRef>
          </c:xVal>
          <c:yVal>
            <c:numRef>
              <c:f>'Смешение флюидов'!$R$5:$R$20</c:f>
              <c:numCache>
                <c:formatCode>0</c:formatCode>
                <c:ptCount val="16"/>
                <c:pt idx="0">
                  <c:v>0.27706785303936693</c:v>
                </c:pt>
                <c:pt idx="1">
                  <c:v>6.0404886082860152</c:v>
                </c:pt>
                <c:pt idx="2">
                  <c:v>13.271398998612828</c:v>
                </c:pt>
                <c:pt idx="3">
                  <c:v>21.274869907179326</c:v>
                </c:pt>
                <c:pt idx="4">
                  <c:v>29.834942750996365</c:v>
                </c:pt>
                <c:pt idx="5">
                  <c:v>38.83836804181982</c:v>
                </c:pt>
                <c:pt idx="6">
                  <c:v>48.211853782247317</c:v>
                </c:pt>
                <c:pt idx="7">
                  <c:v>57.906295590156788</c:v>
                </c:pt>
                <c:pt idx="8">
                  <c:v>60</c:v>
                </c:pt>
                <c:pt idx="9">
                  <c:v>60</c:v>
                </c:pt>
                <c:pt idx="10">
                  <c:v>60</c:v>
                </c:pt>
                <c:pt idx="11">
                  <c:v>60</c:v>
                </c:pt>
                <c:pt idx="12">
                  <c:v>60</c:v>
                </c:pt>
                <c:pt idx="13">
                  <c:v>60</c:v>
                </c:pt>
                <c:pt idx="14">
                  <c:v>60</c:v>
                </c:pt>
                <c:pt idx="15">
                  <c:v>60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D36-456E-8F7F-BC4D74E6C66A}"/>
            </c:ext>
          </c:extLst>
        </c:ser>
        <c:ser>
          <c:idx val="2"/>
          <c:order val="2"/>
          <c:tx>
            <c:strRef>
              <c:f>'Смешение флюидов'!$I$30</c:f>
              <c:strCache>
                <c:ptCount val="1"/>
                <c:pt idx="0">
                  <c:v>rs_mix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3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'Смешение флюидов'!$G$31:$G$46</c:f>
              <c:numCache>
                <c:formatCode>0</c:formatCode>
                <c:ptCount val="16"/>
                <c:pt idx="0">
                  <c:v>1</c:v>
                </c:pt>
                <c:pt idx="1">
                  <c:v>12.933</c:v>
                </c:pt>
                <c:pt idx="2">
                  <c:v>24.867000000000001</c:v>
                </c:pt>
                <c:pt idx="3">
                  <c:v>36.799999999999997</c:v>
                </c:pt>
                <c:pt idx="4">
                  <c:v>48.732999999999997</c:v>
                </c:pt>
                <c:pt idx="5">
                  <c:v>60.667000000000002</c:v>
                </c:pt>
                <c:pt idx="6">
                  <c:v>72.599999999999994</c:v>
                </c:pt>
                <c:pt idx="7">
                  <c:v>84.533000000000001</c:v>
                </c:pt>
                <c:pt idx="8">
                  <c:v>96.466999999999999</c:v>
                </c:pt>
                <c:pt idx="9">
                  <c:v>108.4</c:v>
                </c:pt>
                <c:pt idx="10">
                  <c:v>120.333</c:v>
                </c:pt>
                <c:pt idx="11">
                  <c:v>132.267</c:v>
                </c:pt>
                <c:pt idx="12">
                  <c:v>144.19999999999999</c:v>
                </c:pt>
                <c:pt idx="13">
                  <c:v>156.13300000000001</c:v>
                </c:pt>
                <c:pt idx="14">
                  <c:v>168.06700000000001</c:v>
                </c:pt>
                <c:pt idx="15">
                  <c:v>180</c:v>
                </c:pt>
              </c:numCache>
            </c:numRef>
          </c:xVal>
          <c:yVal>
            <c:numRef>
              <c:f>'Смешение флюидов'!$I$31:$I$46</c:f>
              <c:numCache>
                <c:formatCode>0</c:formatCode>
                <c:ptCount val="16"/>
                <c:pt idx="0">
                  <c:v>0.31962803021113323</c:v>
                </c:pt>
                <c:pt idx="1">
                  <c:v>6.9683633600933312</c:v>
                </c:pt>
                <c:pt idx="2">
                  <c:v>15.310008265267486</c:v>
                </c:pt>
                <c:pt idx="3">
                  <c:v>24.542886108348572</c:v>
                </c:pt>
                <c:pt idx="4">
                  <c:v>34.417865076566535</c:v>
                </c:pt>
                <c:pt idx="5">
                  <c:v>44.804299515967607</c:v>
                </c:pt>
                <c:pt idx="6">
                  <c:v>55.617639102495907</c:v>
                </c:pt>
                <c:pt idx="7">
                  <c:v>66.801236568125731</c:v>
                </c:pt>
                <c:pt idx="8">
                  <c:v>78.620999999999995</c:v>
                </c:pt>
                <c:pt idx="9">
                  <c:v>78.620999999999995</c:v>
                </c:pt>
                <c:pt idx="10">
                  <c:v>78.620999999999995</c:v>
                </c:pt>
                <c:pt idx="11">
                  <c:v>78.620999999999995</c:v>
                </c:pt>
                <c:pt idx="12">
                  <c:v>78.620999999999995</c:v>
                </c:pt>
                <c:pt idx="13">
                  <c:v>78.620999999999995</c:v>
                </c:pt>
                <c:pt idx="14">
                  <c:v>78.620999999999995</c:v>
                </c:pt>
                <c:pt idx="15">
                  <c:v>78.620999999999995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D36-456E-8F7F-BC4D74E6C6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3862367"/>
        <c:axId val="393863807"/>
      </c:scatterChart>
      <c:valAx>
        <c:axId val="393862367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атма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3863807"/>
        <c:crosses val="autoZero"/>
        <c:crossBetween val="midCat"/>
      </c:valAx>
      <c:valAx>
        <c:axId val="39386380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газосодержание, м3/м3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3862367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4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объемный к-т нефти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2"/>
          <c:order val="2"/>
          <c:tx>
            <c:strRef>
              <c:f>'Смешение флюидов'!$J$30</c:f>
              <c:strCache>
                <c:ptCount val="1"/>
                <c:pt idx="0">
                  <c:v>bo_mix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'Смешение флюидов'!$G$31:$G$46</c:f>
              <c:numCache>
                <c:formatCode>0</c:formatCode>
                <c:ptCount val="16"/>
                <c:pt idx="0">
                  <c:v>1</c:v>
                </c:pt>
                <c:pt idx="1">
                  <c:v>12.933</c:v>
                </c:pt>
                <c:pt idx="2">
                  <c:v>24.867000000000001</c:v>
                </c:pt>
                <c:pt idx="3">
                  <c:v>36.799999999999997</c:v>
                </c:pt>
                <c:pt idx="4">
                  <c:v>48.732999999999997</c:v>
                </c:pt>
                <c:pt idx="5">
                  <c:v>60.667000000000002</c:v>
                </c:pt>
                <c:pt idx="6">
                  <c:v>72.599999999999994</c:v>
                </c:pt>
                <c:pt idx="7">
                  <c:v>84.533000000000001</c:v>
                </c:pt>
                <c:pt idx="8">
                  <c:v>96.466999999999999</c:v>
                </c:pt>
                <c:pt idx="9">
                  <c:v>108.4</c:v>
                </c:pt>
                <c:pt idx="10">
                  <c:v>120.333</c:v>
                </c:pt>
                <c:pt idx="11">
                  <c:v>132.267</c:v>
                </c:pt>
                <c:pt idx="12">
                  <c:v>144.19999999999999</c:v>
                </c:pt>
                <c:pt idx="13">
                  <c:v>156.13300000000001</c:v>
                </c:pt>
                <c:pt idx="14">
                  <c:v>168.06700000000001</c:v>
                </c:pt>
                <c:pt idx="15">
                  <c:v>180</c:v>
                </c:pt>
              </c:numCache>
            </c:numRef>
          </c:xVal>
          <c:yVal>
            <c:numRef>
              <c:f>'Смешение флюидов'!$J$31:$J$46</c:f>
              <c:numCache>
                <c:formatCode>0.00</c:formatCode>
                <c:ptCount val="16"/>
                <c:pt idx="0">
                  <c:v>1.0239997715284446</c:v>
                </c:pt>
                <c:pt idx="1">
                  <c:v>1.0360362092021915</c:v>
                </c:pt>
                <c:pt idx="2">
                  <c:v>1.0516453124642526</c:v>
                </c:pt>
                <c:pt idx="3">
                  <c:v>1.0694881184887584</c:v>
                </c:pt>
                <c:pt idx="4">
                  <c:v>1.089141288401603</c:v>
                </c:pt>
                <c:pt idx="5">
                  <c:v>1.1103691339521196</c:v>
                </c:pt>
                <c:pt idx="6">
                  <c:v>1.1330078404984261</c:v>
                </c:pt>
                <c:pt idx="7">
                  <c:v>1.1569401664218946</c:v>
                </c:pt>
                <c:pt idx="8">
                  <c:v>1.1827019966239298</c:v>
                </c:pt>
                <c:pt idx="9">
                  <c:v>1.179392907024841</c:v>
                </c:pt>
                <c:pt idx="10">
                  <c:v>1.1767468064108308</c:v>
                </c:pt>
                <c:pt idx="11">
                  <c:v>1.1745824290154205</c:v>
                </c:pt>
                <c:pt idx="12">
                  <c:v>1.1727794829818323</c:v>
                </c:pt>
                <c:pt idx="13">
                  <c:v>1.1712542950419889</c:v>
                </c:pt>
                <c:pt idx="14">
                  <c:v>1.1699471688854155</c:v>
                </c:pt>
                <c:pt idx="15">
                  <c:v>1.168814636763452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C48-4336-B802-40108A7602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3862367"/>
        <c:axId val="393863807"/>
      </c:scatterChart>
      <c:scatterChart>
        <c:scatterStyle val="lineMarker"/>
        <c:varyColors val="0"/>
        <c:ser>
          <c:idx val="0"/>
          <c:order val="0"/>
          <c:tx>
            <c:strRef>
              <c:f>'Смешение флюидов'!$P$4</c:f>
              <c:strCache>
                <c:ptCount val="1"/>
                <c:pt idx="0">
                  <c:v>bo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'Смешение флюидов'!$M$5:$M$20</c:f>
              <c:numCache>
                <c:formatCode>0</c:formatCode>
                <c:ptCount val="16"/>
                <c:pt idx="0">
                  <c:v>1</c:v>
                </c:pt>
                <c:pt idx="1">
                  <c:v>12.933</c:v>
                </c:pt>
                <c:pt idx="2">
                  <c:v>24.867000000000001</c:v>
                </c:pt>
                <c:pt idx="3">
                  <c:v>36.799999999999997</c:v>
                </c:pt>
                <c:pt idx="4">
                  <c:v>48.732999999999997</c:v>
                </c:pt>
                <c:pt idx="5">
                  <c:v>60.667000000000002</c:v>
                </c:pt>
                <c:pt idx="6">
                  <c:v>72.599999999999994</c:v>
                </c:pt>
                <c:pt idx="7">
                  <c:v>84.533000000000001</c:v>
                </c:pt>
                <c:pt idx="8">
                  <c:v>96.466999999999999</c:v>
                </c:pt>
                <c:pt idx="9">
                  <c:v>108.4</c:v>
                </c:pt>
                <c:pt idx="10">
                  <c:v>120.333</c:v>
                </c:pt>
                <c:pt idx="11">
                  <c:v>132.267</c:v>
                </c:pt>
                <c:pt idx="12">
                  <c:v>144.19999999999999</c:v>
                </c:pt>
                <c:pt idx="13">
                  <c:v>156.13300000000001</c:v>
                </c:pt>
                <c:pt idx="14">
                  <c:v>168.06700000000001</c:v>
                </c:pt>
                <c:pt idx="15">
                  <c:v>180</c:v>
                </c:pt>
              </c:numCache>
            </c:numRef>
          </c:xVal>
          <c:yVal>
            <c:numRef>
              <c:f>('Смешение флюидов'!$P$5:$P$20,'Смешение флюидов'!$J$31:$J$46)</c:f>
              <c:numCache>
                <c:formatCode>0.00</c:formatCode>
                <c:ptCount val="32"/>
                <c:pt idx="0">
                  <c:v>1.0155380707585446</c:v>
                </c:pt>
                <c:pt idx="1">
                  <c:v>1.0250274135799717</c:v>
                </c:pt>
                <c:pt idx="2">
                  <c:v>1.0374042026090147</c:v>
                </c:pt>
                <c:pt idx="3">
                  <c:v>1.0516161260895331</c:v>
                </c:pt>
                <c:pt idx="4">
                  <c:v>1.0673229078518915</c:v>
                </c:pt>
                <c:pt idx="5">
                  <c:v>1.0843315358634731</c:v>
                </c:pt>
                <c:pt idx="6">
                  <c:v>1.1025064385534851</c:v>
                </c:pt>
                <c:pt idx="7">
                  <c:v>1.1217498564884643</c:v>
                </c:pt>
                <c:pt idx="8">
                  <c:v>1.1419853715701116</c:v>
                </c:pt>
                <c:pt idx="9">
                  <c:v>1.1631457280401198</c:v>
                </c:pt>
                <c:pt idx="10">
                  <c:v>1.1766511327010518</c:v>
                </c:pt>
                <c:pt idx="11">
                  <c:v>1.1728576912209689</c:v>
                </c:pt>
                <c:pt idx="12">
                  <c:v>1.1697017410910679</c:v>
                </c:pt>
                <c:pt idx="13">
                  <c:v>1.1670348446914183</c:v>
                </c:pt>
                <c:pt idx="14">
                  <c:v>1.1647513270858536</c:v>
                </c:pt>
                <c:pt idx="15">
                  <c:v>1.1627743757984097</c:v>
                </c:pt>
                <c:pt idx="16">
                  <c:v>1.0239997715284446</c:v>
                </c:pt>
                <c:pt idx="17">
                  <c:v>1.0360362092021915</c:v>
                </c:pt>
                <c:pt idx="18">
                  <c:v>1.0516453124642526</c:v>
                </c:pt>
                <c:pt idx="19">
                  <c:v>1.0694881184887584</c:v>
                </c:pt>
                <c:pt idx="20">
                  <c:v>1.089141288401603</c:v>
                </c:pt>
                <c:pt idx="21">
                  <c:v>1.1103691339521196</c:v>
                </c:pt>
                <c:pt idx="22">
                  <c:v>1.1330078404984261</c:v>
                </c:pt>
                <c:pt idx="23">
                  <c:v>1.1569401664218946</c:v>
                </c:pt>
                <c:pt idx="24">
                  <c:v>1.1827019966239298</c:v>
                </c:pt>
                <c:pt idx="25">
                  <c:v>1.179392907024841</c:v>
                </c:pt>
                <c:pt idx="26">
                  <c:v>1.1767468064108308</c:v>
                </c:pt>
                <c:pt idx="27">
                  <c:v>1.1745824290154205</c:v>
                </c:pt>
                <c:pt idx="28">
                  <c:v>1.1727794829818323</c:v>
                </c:pt>
                <c:pt idx="29">
                  <c:v>1.1712542950419889</c:v>
                </c:pt>
                <c:pt idx="30">
                  <c:v>1.1699471688854155</c:v>
                </c:pt>
                <c:pt idx="31">
                  <c:v>1.168814636763452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2A9-48E0-A670-4A2C80FE5E48}"/>
            </c:ext>
          </c:extLst>
        </c:ser>
        <c:ser>
          <c:idx val="1"/>
          <c:order val="1"/>
          <c:tx>
            <c:strRef>
              <c:f>'Смешение флюидов'!$S$4</c:f>
              <c:strCache>
                <c:ptCount val="1"/>
                <c:pt idx="0">
                  <c:v>bo_2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'Смешение флюидов'!$M$5:$M$20</c:f>
              <c:numCache>
                <c:formatCode>0</c:formatCode>
                <c:ptCount val="16"/>
                <c:pt idx="0">
                  <c:v>1</c:v>
                </c:pt>
                <c:pt idx="1">
                  <c:v>12.933</c:v>
                </c:pt>
                <c:pt idx="2">
                  <c:v>24.867000000000001</c:v>
                </c:pt>
                <c:pt idx="3">
                  <c:v>36.799999999999997</c:v>
                </c:pt>
                <c:pt idx="4">
                  <c:v>48.732999999999997</c:v>
                </c:pt>
                <c:pt idx="5">
                  <c:v>60.667000000000002</c:v>
                </c:pt>
                <c:pt idx="6">
                  <c:v>72.599999999999994</c:v>
                </c:pt>
                <c:pt idx="7">
                  <c:v>84.533000000000001</c:v>
                </c:pt>
                <c:pt idx="8">
                  <c:v>96.466999999999999</c:v>
                </c:pt>
                <c:pt idx="9">
                  <c:v>108.4</c:v>
                </c:pt>
                <c:pt idx="10">
                  <c:v>120.333</c:v>
                </c:pt>
                <c:pt idx="11">
                  <c:v>132.267</c:v>
                </c:pt>
                <c:pt idx="12">
                  <c:v>144.19999999999999</c:v>
                </c:pt>
                <c:pt idx="13">
                  <c:v>156.13300000000001</c:v>
                </c:pt>
                <c:pt idx="14">
                  <c:v>168.06700000000001</c:v>
                </c:pt>
                <c:pt idx="15">
                  <c:v>180</c:v>
                </c:pt>
              </c:numCache>
            </c:numRef>
          </c:xVal>
          <c:yVal>
            <c:numRef>
              <c:f>'Смешение флюидов'!$S$5:$S$20</c:f>
              <c:numCache>
                <c:formatCode>0.00</c:formatCode>
                <c:ptCount val="16"/>
                <c:pt idx="0">
                  <c:v>1.0313519834292018</c:v>
                </c:pt>
                <c:pt idx="1">
                  <c:v>1.0449933951986474</c:v>
                </c:pt>
                <c:pt idx="2">
                  <c:v>1.0626185137565405</c:v>
                </c:pt>
                <c:pt idx="3">
                  <c:v>1.0827043842535364</c:v>
                </c:pt>
                <c:pt idx="4">
                  <c:v>1.104775781270829</c:v>
                </c:pt>
                <c:pt idx="5">
                  <c:v>1.1285715774470917</c:v>
                </c:pt>
                <c:pt idx="6">
                  <c:v>1.1539118410796254</c:v>
                </c:pt>
                <c:pt idx="7">
                  <c:v>1.1806686430224316</c:v>
                </c:pt>
                <c:pt idx="8">
                  <c:v>1.1840712467850245</c:v>
                </c:pt>
                <c:pt idx="9">
                  <c:v>1.1817013291859999</c:v>
                </c:pt>
                <c:pt idx="10">
                  <c:v>1.179804870337045</c:v>
                </c:pt>
                <c:pt idx="11">
                  <c:v>1.1782527587160925</c:v>
                </c:pt>
                <c:pt idx="12">
                  <c:v>1.1769592134048723</c:v>
                </c:pt>
                <c:pt idx="13">
                  <c:v>1.1758645065268798</c:v>
                </c:pt>
                <c:pt idx="14">
                  <c:v>1.1749259907084797</c:v>
                </c:pt>
                <c:pt idx="15">
                  <c:v>1.1741125917111854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2A9-48E0-A670-4A2C80FE5E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3862367"/>
        <c:axId val="393863807"/>
      </c:scatterChart>
      <c:valAx>
        <c:axId val="393862367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атма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3863807"/>
        <c:crosses val="autoZero"/>
        <c:crossBetween val="midCat"/>
      </c:valAx>
      <c:valAx>
        <c:axId val="39386380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объемный к-т нефти, м3/м3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3862367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4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вязкость нефти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2"/>
          <c:order val="2"/>
          <c:tx>
            <c:strRef>
              <c:f>'Смешение флюидов'!$K$30</c:f>
              <c:strCache>
                <c:ptCount val="1"/>
                <c:pt idx="0">
                  <c:v>muo_mix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'Смешение флюидов'!$G$31:$G$46</c:f>
              <c:numCache>
                <c:formatCode>0</c:formatCode>
                <c:ptCount val="16"/>
                <c:pt idx="0">
                  <c:v>1</c:v>
                </c:pt>
                <c:pt idx="1">
                  <c:v>12.933</c:v>
                </c:pt>
                <c:pt idx="2">
                  <c:v>24.867000000000001</c:v>
                </c:pt>
                <c:pt idx="3">
                  <c:v>36.799999999999997</c:v>
                </c:pt>
                <c:pt idx="4">
                  <c:v>48.732999999999997</c:v>
                </c:pt>
                <c:pt idx="5">
                  <c:v>60.667000000000002</c:v>
                </c:pt>
                <c:pt idx="6">
                  <c:v>72.599999999999994</c:v>
                </c:pt>
                <c:pt idx="7">
                  <c:v>84.533000000000001</c:v>
                </c:pt>
                <c:pt idx="8">
                  <c:v>96.466999999999999</c:v>
                </c:pt>
                <c:pt idx="9">
                  <c:v>108.4</c:v>
                </c:pt>
                <c:pt idx="10">
                  <c:v>120.333</c:v>
                </c:pt>
                <c:pt idx="11">
                  <c:v>132.267</c:v>
                </c:pt>
                <c:pt idx="12">
                  <c:v>144.19999999999999</c:v>
                </c:pt>
                <c:pt idx="13">
                  <c:v>156.13300000000001</c:v>
                </c:pt>
                <c:pt idx="14">
                  <c:v>168.06700000000001</c:v>
                </c:pt>
                <c:pt idx="15">
                  <c:v>180</c:v>
                </c:pt>
              </c:numCache>
            </c:numRef>
          </c:xVal>
          <c:yVal>
            <c:numRef>
              <c:f>'Смешение флюидов'!$K$31:$K$46</c:f>
              <c:numCache>
                <c:formatCode>0.00</c:formatCode>
                <c:ptCount val="16"/>
                <c:pt idx="0">
                  <c:v>5.7262620951801777</c:v>
                </c:pt>
                <c:pt idx="1">
                  <c:v>4.270609617473994</c:v>
                </c:pt>
                <c:pt idx="2">
                  <c:v>3.2500090527066288</c:v>
                </c:pt>
                <c:pt idx="3">
                  <c:v>2.5821661105805322</c:v>
                </c:pt>
                <c:pt idx="4">
                  <c:v>2.1267841629314965</c:v>
                </c:pt>
                <c:pt idx="5">
                  <c:v>1.8016969310085567</c:v>
                </c:pt>
                <c:pt idx="6">
                  <c:v>1.5602557861895208</c:v>
                </c:pt>
                <c:pt idx="7">
                  <c:v>1.3749023138629195</c:v>
                </c:pt>
                <c:pt idx="8">
                  <c:v>1.2256267510715748</c:v>
                </c:pt>
                <c:pt idx="9">
                  <c:v>1.257345257015962</c:v>
                </c:pt>
                <c:pt idx="10">
                  <c:v>1.2930002888474255</c:v>
                </c:pt>
                <c:pt idx="11">
                  <c:v>1.3322814211949354</c:v>
                </c:pt>
                <c:pt idx="12">
                  <c:v>1.3749222602315159</c:v>
                </c:pt>
                <c:pt idx="13">
                  <c:v>1.4207037597183474</c:v>
                </c:pt>
                <c:pt idx="14">
                  <c:v>1.4694339301691819</c:v>
                </c:pt>
                <c:pt idx="15">
                  <c:v>1.5209260510581506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200-48AA-9520-E9BAB5930B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3862367"/>
        <c:axId val="393863807"/>
      </c:scatterChart>
      <c:scatterChart>
        <c:scatterStyle val="lineMarker"/>
        <c:varyColors val="0"/>
        <c:ser>
          <c:idx val="0"/>
          <c:order val="0"/>
          <c:tx>
            <c:strRef>
              <c:f>'Смешение флюидов'!$Q$4</c:f>
              <c:strCache>
                <c:ptCount val="1"/>
                <c:pt idx="0">
                  <c:v>muo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'Смешение флюидов'!$M$5:$M$20</c:f>
              <c:numCache>
                <c:formatCode>0</c:formatCode>
                <c:ptCount val="16"/>
                <c:pt idx="0">
                  <c:v>1</c:v>
                </c:pt>
                <c:pt idx="1">
                  <c:v>12.933</c:v>
                </c:pt>
                <c:pt idx="2">
                  <c:v>24.867000000000001</c:v>
                </c:pt>
                <c:pt idx="3">
                  <c:v>36.799999999999997</c:v>
                </c:pt>
                <c:pt idx="4">
                  <c:v>48.732999999999997</c:v>
                </c:pt>
                <c:pt idx="5">
                  <c:v>60.667000000000002</c:v>
                </c:pt>
                <c:pt idx="6">
                  <c:v>72.599999999999994</c:v>
                </c:pt>
                <c:pt idx="7">
                  <c:v>84.533000000000001</c:v>
                </c:pt>
                <c:pt idx="8">
                  <c:v>96.466999999999999</c:v>
                </c:pt>
                <c:pt idx="9">
                  <c:v>108.4</c:v>
                </c:pt>
                <c:pt idx="10">
                  <c:v>120.333</c:v>
                </c:pt>
                <c:pt idx="11">
                  <c:v>132.267</c:v>
                </c:pt>
                <c:pt idx="12">
                  <c:v>144.19999999999999</c:v>
                </c:pt>
                <c:pt idx="13">
                  <c:v>156.13300000000001</c:v>
                </c:pt>
                <c:pt idx="14">
                  <c:v>168.06700000000001</c:v>
                </c:pt>
                <c:pt idx="15">
                  <c:v>180</c:v>
                </c:pt>
              </c:numCache>
            </c:numRef>
          </c:xVal>
          <c:yVal>
            <c:numRef>
              <c:f>'Смешение флюидов'!$Q$5:$Q$20</c:f>
              <c:numCache>
                <c:formatCode>0.00</c:formatCode>
                <c:ptCount val="16"/>
                <c:pt idx="0">
                  <c:v>6.1855669796062909</c:v>
                </c:pt>
                <c:pt idx="1">
                  <c:v>4.3758976388699802</c:v>
                </c:pt>
                <c:pt idx="2">
                  <c:v>3.2180920590344093</c:v>
                </c:pt>
                <c:pt idx="3">
                  <c:v>2.5049917810512525</c:v>
                </c:pt>
                <c:pt idx="4">
                  <c:v>2.0373189348753571</c:v>
                </c:pt>
                <c:pt idx="5">
                  <c:v>1.7120305664220479</c:v>
                </c:pt>
                <c:pt idx="6">
                  <c:v>1.4747649606961923</c:v>
                </c:pt>
                <c:pt idx="7">
                  <c:v>1.2949621319356261</c:v>
                </c:pt>
                <c:pt idx="8">
                  <c:v>1.1544463917712431</c:v>
                </c:pt>
                <c:pt idx="9">
                  <c:v>1.0418644845700447</c:v>
                </c:pt>
                <c:pt idx="10">
                  <c:v>0.98671737973284213</c:v>
                </c:pt>
                <c:pt idx="11">
                  <c:v>1.0166067870590569</c:v>
                </c:pt>
                <c:pt idx="12">
                  <c:v>1.0492053226597564</c:v>
                </c:pt>
                <c:pt idx="13">
                  <c:v>1.0842857993239079</c:v>
                </c:pt>
                <c:pt idx="14">
                  <c:v>1.1216463841385871</c:v>
                </c:pt>
                <c:pt idx="15">
                  <c:v>1.1610923348559687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F85-4ABF-A731-FD88382505B5}"/>
            </c:ext>
          </c:extLst>
        </c:ser>
        <c:ser>
          <c:idx val="1"/>
          <c:order val="1"/>
          <c:tx>
            <c:strRef>
              <c:f>'Смешение флюидов'!$T$4</c:f>
              <c:strCache>
                <c:ptCount val="1"/>
                <c:pt idx="0">
                  <c:v>muo_2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'Смешение флюидов'!$M$5:$M$20</c:f>
              <c:numCache>
                <c:formatCode>0</c:formatCode>
                <c:ptCount val="16"/>
                <c:pt idx="0">
                  <c:v>1</c:v>
                </c:pt>
                <c:pt idx="1">
                  <c:v>12.933</c:v>
                </c:pt>
                <c:pt idx="2">
                  <c:v>24.867000000000001</c:v>
                </c:pt>
                <c:pt idx="3">
                  <c:v>36.799999999999997</c:v>
                </c:pt>
                <c:pt idx="4">
                  <c:v>48.732999999999997</c:v>
                </c:pt>
                <c:pt idx="5">
                  <c:v>60.667000000000002</c:v>
                </c:pt>
                <c:pt idx="6">
                  <c:v>72.599999999999994</c:v>
                </c:pt>
                <c:pt idx="7">
                  <c:v>84.533000000000001</c:v>
                </c:pt>
                <c:pt idx="8">
                  <c:v>96.466999999999999</c:v>
                </c:pt>
                <c:pt idx="9">
                  <c:v>108.4</c:v>
                </c:pt>
                <c:pt idx="10">
                  <c:v>120.333</c:v>
                </c:pt>
                <c:pt idx="11">
                  <c:v>132.267</c:v>
                </c:pt>
                <c:pt idx="12">
                  <c:v>144.19999999999999</c:v>
                </c:pt>
                <c:pt idx="13">
                  <c:v>156.13300000000001</c:v>
                </c:pt>
                <c:pt idx="14">
                  <c:v>168.06700000000001</c:v>
                </c:pt>
                <c:pt idx="15">
                  <c:v>180</c:v>
                </c:pt>
              </c:numCache>
            </c:numRef>
          </c:xVal>
          <c:yVal>
            <c:numRef>
              <c:f>'Смешение флюидов'!$T$5:$T$20</c:f>
              <c:numCache>
                <c:formatCode>0.00</c:formatCode>
                <c:ptCount val="16"/>
                <c:pt idx="0">
                  <c:v>4.9075019258581287</c:v>
                </c:pt>
                <c:pt idx="1">
                  <c:v>3.785579893852995</c:v>
                </c:pt>
                <c:pt idx="2">
                  <c:v>2.9502004261219494</c:v>
                </c:pt>
                <c:pt idx="3">
                  <c:v>2.3798092593156968</c:v>
                </c:pt>
                <c:pt idx="4">
                  <c:v>1.9795298233666327</c:v>
                </c:pt>
                <c:pt idx="5">
                  <c:v>1.6880204812996229</c:v>
                </c:pt>
                <c:pt idx="6">
                  <c:v>1.4684052930873477</c:v>
                </c:pt>
                <c:pt idx="7">
                  <c:v>1.2980289694975233</c:v>
                </c:pt>
                <c:pt idx="8">
                  <c:v>1.2905235657763319</c:v>
                </c:pt>
                <c:pt idx="9">
                  <c:v>1.3232141765203638</c:v>
                </c:pt>
                <c:pt idx="10">
                  <c:v>1.3597560725968676</c:v>
                </c:pt>
                <c:pt idx="11">
                  <c:v>1.3998788159118005</c:v>
                </c:pt>
                <c:pt idx="12">
                  <c:v>1.4433515269320956</c:v>
                </c:pt>
                <c:pt idx="13">
                  <c:v>1.489988392283726</c:v>
                </c:pt>
                <c:pt idx="14">
                  <c:v>1.5396293477183913</c:v>
                </c:pt>
                <c:pt idx="15">
                  <c:v>1.592118827651164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F85-4ABF-A731-FD88382505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3862367"/>
        <c:axId val="393863807"/>
      </c:scatterChart>
      <c:valAx>
        <c:axId val="393862367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атма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3863807"/>
        <c:crosses val="autoZero"/>
        <c:crossBetween val="midCat"/>
      </c:valAx>
      <c:valAx>
        <c:axId val="39386380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вязкость нефти сП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3862367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4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доля</a:t>
            </a:r>
            <a:r>
              <a:rPr lang="ru-RU" baseline="0"/>
              <a:t> газа в потоке</a:t>
            </a:r>
            <a:endParaRPr lang="ru-R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'Смешение флюидов'!$I$48</c:f>
              <c:strCache>
                <c:ptCount val="1"/>
                <c:pt idx="0">
                  <c:v>gas_fraction_1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'Смешение флюидов'!$G$49:$G$64</c:f>
              <c:numCache>
                <c:formatCode>0</c:formatCode>
                <c:ptCount val="16"/>
                <c:pt idx="0">
                  <c:v>1</c:v>
                </c:pt>
                <c:pt idx="1">
                  <c:v>12.933</c:v>
                </c:pt>
                <c:pt idx="2">
                  <c:v>24.867000000000001</c:v>
                </c:pt>
                <c:pt idx="3">
                  <c:v>36.799999999999997</c:v>
                </c:pt>
                <c:pt idx="4">
                  <c:v>48.732999999999997</c:v>
                </c:pt>
                <c:pt idx="5">
                  <c:v>60.667000000000002</c:v>
                </c:pt>
                <c:pt idx="6">
                  <c:v>72.599999999999994</c:v>
                </c:pt>
                <c:pt idx="7">
                  <c:v>84.533000000000001</c:v>
                </c:pt>
                <c:pt idx="8">
                  <c:v>96.466999999999999</c:v>
                </c:pt>
                <c:pt idx="9">
                  <c:v>108.4</c:v>
                </c:pt>
                <c:pt idx="10">
                  <c:v>120.333</c:v>
                </c:pt>
                <c:pt idx="11">
                  <c:v>132.267</c:v>
                </c:pt>
                <c:pt idx="12">
                  <c:v>144.19999999999999</c:v>
                </c:pt>
                <c:pt idx="13">
                  <c:v>156.13300000000001</c:v>
                </c:pt>
                <c:pt idx="14">
                  <c:v>168.06700000000001</c:v>
                </c:pt>
                <c:pt idx="15">
                  <c:v>180</c:v>
                </c:pt>
              </c:numCache>
            </c:numRef>
          </c:xVal>
          <c:yVal>
            <c:numRef>
              <c:f>'Смешение флюидов'!$I$49:$I$64</c:f>
              <c:numCache>
                <c:formatCode>0.00</c:formatCode>
                <c:ptCount val="16"/>
                <c:pt idx="0">
                  <c:v>0.99155097563128436</c:v>
                </c:pt>
                <c:pt idx="1">
                  <c:v>0.89179478260186806</c:v>
                </c:pt>
                <c:pt idx="2">
                  <c:v>0.79083783381386219</c:v>
                </c:pt>
                <c:pt idx="3">
                  <c:v>0.6873689301558733</c:v>
                </c:pt>
                <c:pt idx="4">
                  <c:v>0.58160077251394848</c:v>
                </c:pt>
                <c:pt idx="5">
                  <c:v>0.47460261682138538</c:v>
                </c:pt>
                <c:pt idx="6">
                  <c:v>0.36794205612156222</c:v>
                </c:pt>
                <c:pt idx="7">
                  <c:v>0.26325597353158259</c:v>
                </c:pt>
                <c:pt idx="8">
                  <c:v>0.16195333677178134</c:v>
                </c:pt>
                <c:pt idx="9">
                  <c:v>6.503469078519819E-2</c:v>
                </c:pt>
                <c:pt idx="10">
                  <c:v>1.1038497442818526E-3</c:v>
                </c:pt>
                <c:pt idx="11">
                  <c:v>1.00052179674285E-3</c:v>
                </c:pt>
                <c:pt idx="12">
                  <c:v>9.1674784186729287E-4</c:v>
                </c:pt>
                <c:pt idx="13">
                  <c:v>8.4796063651482862E-4</c:v>
                </c:pt>
                <c:pt idx="14">
                  <c:v>7.9082423412208563E-4</c:v>
                </c:pt>
                <c:pt idx="15">
                  <c:v>7.4286809521295172E-4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F46-4A17-9B9F-AF73F5C39451}"/>
            </c:ext>
          </c:extLst>
        </c:ser>
        <c:ser>
          <c:idx val="2"/>
          <c:order val="1"/>
          <c:tx>
            <c:strRef>
              <c:f>'Смешение флюидов'!$J$48</c:f>
              <c:strCache>
                <c:ptCount val="1"/>
                <c:pt idx="0">
                  <c:v>gas_fraction_2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'Смешение флюидов'!$G$49:$G$64</c:f>
              <c:numCache>
                <c:formatCode>0</c:formatCode>
                <c:ptCount val="16"/>
                <c:pt idx="0">
                  <c:v>1</c:v>
                </c:pt>
                <c:pt idx="1">
                  <c:v>12.933</c:v>
                </c:pt>
                <c:pt idx="2">
                  <c:v>24.867000000000001</c:v>
                </c:pt>
                <c:pt idx="3">
                  <c:v>36.799999999999997</c:v>
                </c:pt>
                <c:pt idx="4">
                  <c:v>48.732999999999997</c:v>
                </c:pt>
                <c:pt idx="5">
                  <c:v>60.667000000000002</c:v>
                </c:pt>
                <c:pt idx="6">
                  <c:v>72.599999999999994</c:v>
                </c:pt>
                <c:pt idx="7">
                  <c:v>84.533000000000001</c:v>
                </c:pt>
                <c:pt idx="8">
                  <c:v>96.466999999999999</c:v>
                </c:pt>
                <c:pt idx="9">
                  <c:v>108.4</c:v>
                </c:pt>
                <c:pt idx="10">
                  <c:v>120.333</c:v>
                </c:pt>
                <c:pt idx="11">
                  <c:v>132.267</c:v>
                </c:pt>
                <c:pt idx="12">
                  <c:v>144.19999999999999</c:v>
                </c:pt>
                <c:pt idx="13">
                  <c:v>156.13300000000001</c:v>
                </c:pt>
                <c:pt idx="14">
                  <c:v>168.06700000000001</c:v>
                </c:pt>
                <c:pt idx="15">
                  <c:v>180</c:v>
                </c:pt>
              </c:numCache>
            </c:numRef>
          </c:xVal>
          <c:yVal>
            <c:numRef>
              <c:f>'Смешение флюидов'!$J$49:$J$64</c:f>
              <c:numCache>
                <c:formatCode>0.00</c:formatCode>
                <c:ptCount val="16"/>
                <c:pt idx="0">
                  <c:v>0.98462042202815969</c:v>
                </c:pt>
                <c:pt idx="1">
                  <c:v>0.81260942464994101</c:v>
                </c:pt>
                <c:pt idx="2">
                  <c:v>0.65330100664175295</c:v>
                </c:pt>
                <c:pt idx="3">
                  <c:v>0.50368790212999004</c:v>
                </c:pt>
                <c:pt idx="4">
                  <c:v>0.36423715192155148</c:v>
                </c:pt>
                <c:pt idx="5">
                  <c:v>0.23637548524641344</c:v>
                </c:pt>
                <c:pt idx="6">
                  <c:v>0.12142093034881724</c:v>
                </c:pt>
                <c:pt idx="7">
                  <c:v>1.995252495937884E-2</c:v>
                </c:pt>
                <c:pt idx="8">
                  <c:v>1.3822768670096512E-4</c:v>
                </c:pt>
                <c:pt idx="9">
                  <c:v>1.2164357637153214E-4</c:v>
                </c:pt>
                <c:pt idx="10">
                  <c:v>1.0866182753813626E-4</c:v>
                </c:pt>
                <c:pt idx="11">
                  <c:v>9.8318436061332703E-5</c:v>
                </c:pt>
                <c:pt idx="12">
                  <c:v>8.9954773381625274E-5</c:v>
                </c:pt>
                <c:pt idx="13">
                  <c:v>8.3102030107341999E-5</c:v>
                </c:pt>
                <c:pt idx="14">
                  <c:v>7.7419899826109347E-5</c:v>
                </c:pt>
                <c:pt idx="15">
                  <c:v>7.2657598456314729E-5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F46-4A17-9B9F-AF73F5C394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8976287"/>
        <c:axId val="138991167"/>
      </c:scatterChart>
      <c:scatterChart>
        <c:scatterStyle val="smoothMarker"/>
        <c:varyColors val="0"/>
        <c:ser>
          <c:idx val="3"/>
          <c:order val="2"/>
          <c:tx>
            <c:strRef>
              <c:f>'Смешение флюидов'!$K$48</c:f>
              <c:strCache>
                <c:ptCount val="1"/>
                <c:pt idx="0">
                  <c:v>gas_fraction_mix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'Смешение флюидов'!$G$49:$G$64</c:f>
              <c:numCache>
                <c:formatCode>0</c:formatCode>
                <c:ptCount val="16"/>
                <c:pt idx="0">
                  <c:v>1</c:v>
                </c:pt>
                <c:pt idx="1">
                  <c:v>12.933</c:v>
                </c:pt>
                <c:pt idx="2">
                  <c:v>24.867000000000001</c:v>
                </c:pt>
                <c:pt idx="3">
                  <c:v>36.799999999999997</c:v>
                </c:pt>
                <c:pt idx="4">
                  <c:v>48.732999999999997</c:v>
                </c:pt>
                <c:pt idx="5">
                  <c:v>60.667000000000002</c:v>
                </c:pt>
                <c:pt idx="6">
                  <c:v>72.599999999999994</c:v>
                </c:pt>
                <c:pt idx="7">
                  <c:v>84.533000000000001</c:v>
                </c:pt>
                <c:pt idx="8">
                  <c:v>96.466999999999999</c:v>
                </c:pt>
                <c:pt idx="9">
                  <c:v>108.4</c:v>
                </c:pt>
                <c:pt idx="10">
                  <c:v>120.333</c:v>
                </c:pt>
                <c:pt idx="11">
                  <c:v>132.267</c:v>
                </c:pt>
                <c:pt idx="12">
                  <c:v>144.19999999999999</c:v>
                </c:pt>
                <c:pt idx="13">
                  <c:v>156.13300000000001</c:v>
                </c:pt>
                <c:pt idx="14">
                  <c:v>168.06700000000001</c:v>
                </c:pt>
                <c:pt idx="15">
                  <c:v>180</c:v>
                </c:pt>
              </c:numCache>
            </c:numRef>
          </c:xVal>
          <c:yVal>
            <c:numRef>
              <c:f>'Смешение флюидов'!$K$49:$K$64</c:f>
              <c:numCache>
                <c:formatCode>0.00</c:formatCode>
                <c:ptCount val="16"/>
                <c:pt idx="0">
                  <c:v>0.98792223734236728</c:v>
                </c:pt>
                <c:pt idx="1">
                  <c:v>0.8489921725610029</c:v>
                </c:pt>
                <c:pt idx="2">
                  <c:v>0.71416308802619044</c:v>
                </c:pt>
                <c:pt idx="3">
                  <c:v>0.58167524064450526</c:v>
                </c:pt>
                <c:pt idx="4">
                  <c:v>0.45233574568193957</c:v>
                </c:pt>
                <c:pt idx="5">
                  <c:v>0.32797292393149224</c:v>
                </c:pt>
                <c:pt idx="6">
                  <c:v>0.21065081621544438</c:v>
                </c:pt>
                <c:pt idx="7">
                  <c:v>0.10202138146804772</c:v>
                </c:pt>
                <c:pt idx="8">
                  <c:v>5.5597931115467067E-4</c:v>
                </c:pt>
                <c:pt idx="9">
                  <c:v>4.8965374362697797E-4</c:v>
                </c:pt>
                <c:pt idx="10">
                  <c:v>4.3767006743536282E-4</c:v>
                </c:pt>
                <c:pt idx="11">
                  <c:v>3.9621088554751366E-4</c:v>
                </c:pt>
                <c:pt idx="12">
                  <c:v>3.6266107440847473E-4</c:v>
                </c:pt>
                <c:pt idx="13">
                  <c:v>3.3515503467663885E-4</c:v>
                </c:pt>
                <c:pt idx="14">
                  <c:v>3.1233612740391638E-4</c:v>
                </c:pt>
                <c:pt idx="15">
                  <c:v>2.9320317665350955E-4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4F46-4A17-9B9F-AF73F5C394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8976287"/>
        <c:axId val="138991167"/>
      </c:scatterChart>
      <c:valAx>
        <c:axId val="138976287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атма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38991167"/>
        <c:crosses val="autoZero"/>
        <c:crossBetween val="midCat"/>
      </c:valAx>
      <c:valAx>
        <c:axId val="138991167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доля газа в потоке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38976287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2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aseline="0"/>
              <a:t> </a:t>
            </a:r>
            <a:r>
              <a:rPr lang="ru-RU" baseline="0"/>
              <a:t>расход ГЖС с р.у.</a:t>
            </a:r>
            <a:endParaRPr lang="ru-RU"/>
          </a:p>
        </c:rich>
      </c:tx>
      <c:layout>
        <c:manualLayout>
          <c:xMode val="edge"/>
          <c:yMode val="edge"/>
          <c:x val="0.34054451802796176"/>
          <c:y val="2.420574502074800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'Смешение флюидов'!$L$48</c:f>
              <c:strCache>
                <c:ptCount val="1"/>
                <c:pt idx="0">
                  <c:v>q_mix_1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'Смешение флюидов'!$G$50:$G$64</c:f>
              <c:numCache>
                <c:formatCode>0</c:formatCode>
                <c:ptCount val="15"/>
                <c:pt idx="0">
                  <c:v>12.933</c:v>
                </c:pt>
                <c:pt idx="1">
                  <c:v>24.867000000000001</c:v>
                </c:pt>
                <c:pt idx="2">
                  <c:v>36.799999999999997</c:v>
                </c:pt>
                <c:pt idx="3">
                  <c:v>48.732999999999997</c:v>
                </c:pt>
                <c:pt idx="4">
                  <c:v>60.667000000000002</c:v>
                </c:pt>
                <c:pt idx="5">
                  <c:v>72.599999999999994</c:v>
                </c:pt>
                <c:pt idx="6">
                  <c:v>84.533000000000001</c:v>
                </c:pt>
                <c:pt idx="7">
                  <c:v>96.466999999999999</c:v>
                </c:pt>
                <c:pt idx="8">
                  <c:v>108.4</c:v>
                </c:pt>
                <c:pt idx="9">
                  <c:v>120.333</c:v>
                </c:pt>
                <c:pt idx="10">
                  <c:v>132.267</c:v>
                </c:pt>
                <c:pt idx="11">
                  <c:v>144.19999999999999</c:v>
                </c:pt>
                <c:pt idx="12">
                  <c:v>156.13300000000001</c:v>
                </c:pt>
                <c:pt idx="13">
                  <c:v>168.06700000000001</c:v>
                </c:pt>
                <c:pt idx="14">
                  <c:v>180</c:v>
                </c:pt>
              </c:numCache>
            </c:numRef>
          </c:xVal>
          <c:yVal>
            <c:numRef>
              <c:f>'Смешение флюидов'!$L$50:$L$64</c:f>
              <c:numCache>
                <c:formatCode>0</c:formatCode>
                <c:ptCount val="15"/>
                <c:pt idx="0">
                  <c:v>283.88920303699689</c:v>
                </c:pt>
                <c:pt idx="1">
                  <c:v>148.45933034451303</c:v>
                </c:pt>
                <c:pt idx="2">
                  <c:v>100.55097816209444</c:v>
                </c:pt>
                <c:pt idx="3">
                  <c:v>76.144881742410377</c:v>
                </c:pt>
                <c:pt idx="4">
                  <c:v>61.510894901613284</c:v>
                </c:pt>
                <c:pt idx="5">
                  <c:v>51.906332973861446</c:v>
                </c:pt>
                <c:pt idx="6">
                  <c:v>45.235196458932549</c:v>
                </c:pt>
                <c:pt idx="7">
                  <c:v>40.418336363048191</c:v>
                </c:pt>
                <c:pt idx="8">
                  <c:v>36.838872411450723</c:v>
                </c:pt>
                <c:pt idx="9">
                  <c:v>34.845417851500038</c:v>
                </c:pt>
                <c:pt idx="10">
                  <c:v>34.738481345476409</c:v>
                </c:pt>
                <c:pt idx="11">
                  <c:v>34.649426745208352</c:v>
                </c:pt>
                <c:pt idx="12">
                  <c:v>34.574074980130149</c:v>
                </c:pt>
                <c:pt idx="13">
                  <c:v>34.509449044426368</c:v>
                </c:pt>
                <c:pt idx="14">
                  <c:v>34.453384330368991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DC2-45FC-84C1-EF35D0F5A4CC}"/>
            </c:ext>
          </c:extLst>
        </c:ser>
        <c:ser>
          <c:idx val="2"/>
          <c:order val="1"/>
          <c:tx>
            <c:strRef>
              <c:f>'Смешение флюидов'!$M$48</c:f>
              <c:strCache>
                <c:ptCount val="1"/>
                <c:pt idx="0">
                  <c:v>q_mix_2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'Смешение флюидов'!$G$50:$G$64</c:f>
              <c:numCache>
                <c:formatCode>0</c:formatCode>
                <c:ptCount val="15"/>
                <c:pt idx="0">
                  <c:v>12.933</c:v>
                </c:pt>
                <c:pt idx="1">
                  <c:v>24.867000000000001</c:v>
                </c:pt>
                <c:pt idx="2">
                  <c:v>36.799999999999997</c:v>
                </c:pt>
                <c:pt idx="3">
                  <c:v>48.732999999999997</c:v>
                </c:pt>
                <c:pt idx="4">
                  <c:v>60.667000000000002</c:v>
                </c:pt>
                <c:pt idx="5">
                  <c:v>72.599999999999994</c:v>
                </c:pt>
                <c:pt idx="6">
                  <c:v>84.533000000000001</c:v>
                </c:pt>
                <c:pt idx="7">
                  <c:v>96.466999999999999</c:v>
                </c:pt>
                <c:pt idx="8">
                  <c:v>108.4</c:v>
                </c:pt>
                <c:pt idx="9">
                  <c:v>120.333</c:v>
                </c:pt>
                <c:pt idx="10">
                  <c:v>132.267</c:v>
                </c:pt>
                <c:pt idx="11">
                  <c:v>144.19999999999999</c:v>
                </c:pt>
                <c:pt idx="12">
                  <c:v>156.13300000000001</c:v>
                </c:pt>
                <c:pt idx="13">
                  <c:v>168.06700000000001</c:v>
                </c:pt>
                <c:pt idx="14">
                  <c:v>180</c:v>
                </c:pt>
              </c:numCache>
            </c:numRef>
          </c:xVal>
          <c:yVal>
            <c:numRef>
              <c:f>'Смешение флюидов'!$M$50:$M$64</c:f>
              <c:numCache>
                <c:formatCode>0</c:formatCode>
                <c:ptCount val="15"/>
                <c:pt idx="0">
                  <c:v>334.59315440379805</c:v>
                </c:pt>
                <c:pt idx="1">
                  <c:v>183.89759430167038</c:v>
                </c:pt>
                <c:pt idx="2">
                  <c:v>130.88994472229564</c:v>
                </c:pt>
                <c:pt idx="3">
                  <c:v>104.2630079385678</c:v>
                </c:pt>
                <c:pt idx="4">
                  <c:v>88.67485699915774</c:v>
                </c:pt>
                <c:pt idx="5">
                  <c:v>78.803050125318123</c:v>
                </c:pt>
                <c:pt idx="6">
                  <c:v>72.282333647571207</c:v>
                </c:pt>
                <c:pt idx="7">
                  <c:v>71.054096450484451</c:v>
                </c:pt>
                <c:pt idx="8">
                  <c:v>70.910705582990133</c:v>
                </c:pt>
                <c:pt idx="9">
                  <c:v>70.795985041339662</c:v>
                </c:pt>
                <c:pt idx="10">
                  <c:v>70.702116844519935</c:v>
                </c:pt>
                <c:pt idx="11">
                  <c:v>70.62390576173047</c:v>
                </c:pt>
                <c:pt idx="12">
                  <c:v>70.557733882538201</c:v>
                </c:pt>
                <c:pt idx="13">
                  <c:v>70.501017624230883</c:v>
                </c:pt>
                <c:pt idx="14">
                  <c:v>70.451874366669358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DC2-45FC-84C1-EF35D0F5A4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8976287"/>
        <c:axId val="138991167"/>
      </c:scatterChart>
      <c:scatterChart>
        <c:scatterStyle val="smoothMarker"/>
        <c:varyColors val="0"/>
        <c:ser>
          <c:idx val="3"/>
          <c:order val="2"/>
          <c:tx>
            <c:strRef>
              <c:f>'Смешение флюидов'!$N$48</c:f>
              <c:strCache>
                <c:ptCount val="1"/>
                <c:pt idx="0">
                  <c:v>q_mix_mix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'Смешение флюидов'!$G$50:$G$64</c:f>
              <c:numCache>
                <c:formatCode>0</c:formatCode>
                <c:ptCount val="15"/>
                <c:pt idx="0">
                  <c:v>12.933</c:v>
                </c:pt>
                <c:pt idx="1">
                  <c:v>24.867000000000001</c:v>
                </c:pt>
                <c:pt idx="2">
                  <c:v>36.799999999999997</c:v>
                </c:pt>
                <c:pt idx="3">
                  <c:v>48.732999999999997</c:v>
                </c:pt>
                <c:pt idx="4">
                  <c:v>60.667000000000002</c:v>
                </c:pt>
                <c:pt idx="5">
                  <c:v>72.599999999999994</c:v>
                </c:pt>
                <c:pt idx="6">
                  <c:v>84.533000000000001</c:v>
                </c:pt>
                <c:pt idx="7">
                  <c:v>96.466999999999999</c:v>
                </c:pt>
                <c:pt idx="8">
                  <c:v>108.4</c:v>
                </c:pt>
                <c:pt idx="9">
                  <c:v>120.333</c:v>
                </c:pt>
                <c:pt idx="10">
                  <c:v>132.267</c:v>
                </c:pt>
                <c:pt idx="11">
                  <c:v>144.19999999999999</c:v>
                </c:pt>
                <c:pt idx="12">
                  <c:v>156.13300000000001</c:v>
                </c:pt>
                <c:pt idx="13">
                  <c:v>168.06700000000001</c:v>
                </c:pt>
                <c:pt idx="14">
                  <c:v>180</c:v>
                </c:pt>
              </c:numCache>
            </c:numRef>
          </c:xVal>
          <c:yVal>
            <c:numRef>
              <c:f>'Смешение флюидов'!$N$50:$N$64</c:f>
              <c:numCache>
                <c:formatCode>0</c:formatCode>
                <c:ptCount val="15"/>
                <c:pt idx="0">
                  <c:v>617.03893832099232</c:v>
                </c:pt>
                <c:pt idx="1">
                  <c:v>330.7316555583227</c:v>
                </c:pt>
                <c:pt idx="2">
                  <c:v>229.69524348217328</c:v>
                </c:pt>
                <c:pt idx="3">
                  <c:v>178.57027389348553</c:v>
                </c:pt>
                <c:pt idx="4">
                  <c:v>148.27208455096599</c:v>
                </c:pt>
                <c:pt idx="5">
                  <c:v>128.72864931296124</c:v>
                </c:pt>
                <c:pt idx="6">
                  <c:v>115.47418849556406</c:v>
                </c:pt>
                <c:pt idx="7">
                  <c:v>105.99290138238506</c:v>
                </c:pt>
                <c:pt idx="8">
                  <c:v>105.69712098491974</c:v>
                </c:pt>
                <c:pt idx="9">
                  <c:v>105.46055153415649</c:v>
                </c:pt>
                <c:pt idx="10">
                  <c:v>105.26699504642744</c:v>
                </c:pt>
                <c:pt idx="11">
                  <c:v>105.10569597495709</c:v>
                </c:pt>
                <c:pt idx="12">
                  <c:v>104.96916922765692</c:v>
                </c:pt>
                <c:pt idx="13">
                  <c:v>104.8520726847818</c:v>
                </c:pt>
                <c:pt idx="14">
                  <c:v>104.75051580243512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DC2-45FC-84C1-EF35D0F5A4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8976287"/>
        <c:axId val="138991167"/>
      </c:scatterChart>
      <c:valAx>
        <c:axId val="138976287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атма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38991167"/>
        <c:crosses val="autoZero"/>
        <c:crossBetween val="midCat"/>
      </c:valAx>
      <c:valAx>
        <c:axId val="1389911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расход ГЖС м3/сут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38976287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2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590550</xdr:colOff>
      <xdr:row>6</xdr:row>
      <xdr:rowOff>123824</xdr:rowOff>
    </xdr:from>
    <xdr:to>
      <xdr:col>17</xdr:col>
      <xdr:colOff>228600</xdr:colOff>
      <xdr:row>22</xdr:row>
      <xdr:rowOff>38099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82447FE2-4F2A-0307-8625-B84EEA786CF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247650</xdr:colOff>
      <xdr:row>6</xdr:row>
      <xdr:rowOff>114299</xdr:rowOff>
    </xdr:from>
    <xdr:to>
      <xdr:col>23</xdr:col>
      <xdr:colOff>495300</xdr:colOff>
      <xdr:row>22</xdr:row>
      <xdr:rowOff>28574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1489D3CB-3C1F-7111-1958-C55BF54FCCA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23</xdr:col>
      <xdr:colOff>504825</xdr:colOff>
      <xdr:row>6</xdr:row>
      <xdr:rowOff>114300</xdr:rowOff>
    </xdr:from>
    <xdr:to>
      <xdr:col>30</xdr:col>
      <xdr:colOff>142875</xdr:colOff>
      <xdr:row>22</xdr:row>
      <xdr:rowOff>28575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B1F0F588-9938-41E1-B2EE-52DBED70FC7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57149</xdr:colOff>
      <xdr:row>28</xdr:row>
      <xdr:rowOff>142875</xdr:rowOff>
    </xdr:from>
    <xdr:to>
      <xdr:col>17</xdr:col>
      <xdr:colOff>352425</xdr:colOff>
      <xdr:row>45</xdr:row>
      <xdr:rowOff>142875</xdr:rowOff>
    </xdr:to>
    <xdr:graphicFrame macro="">
      <xdr:nvGraphicFramePr>
        <xdr:cNvPr id="5" name="Диаграмма 4">
          <a:extLst>
            <a:ext uri="{FF2B5EF4-FFF2-40B4-BE49-F238E27FC236}">
              <a16:creationId xmlns:a16="http://schemas.microsoft.com/office/drawing/2014/main" id="{DEFDC325-5A82-40F2-A87B-DC437678207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17</xdr:col>
      <xdr:colOff>371474</xdr:colOff>
      <xdr:row>28</xdr:row>
      <xdr:rowOff>123824</xdr:rowOff>
    </xdr:from>
    <xdr:to>
      <xdr:col>24</xdr:col>
      <xdr:colOff>133349</xdr:colOff>
      <xdr:row>45</xdr:row>
      <xdr:rowOff>133350</xdr:rowOff>
    </xdr:to>
    <xdr:graphicFrame macro="">
      <xdr:nvGraphicFramePr>
        <xdr:cNvPr id="6" name="Диаграмма 5">
          <a:extLst>
            <a:ext uri="{FF2B5EF4-FFF2-40B4-BE49-F238E27FC236}">
              <a16:creationId xmlns:a16="http://schemas.microsoft.com/office/drawing/2014/main" id="{42D25A70-3639-2E52-C4FC-87B5A93C6F6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24</xdr:col>
      <xdr:colOff>161925</xdr:colOff>
      <xdr:row>28</xdr:row>
      <xdr:rowOff>104775</xdr:rowOff>
    </xdr:from>
    <xdr:to>
      <xdr:col>30</xdr:col>
      <xdr:colOff>352425</xdr:colOff>
      <xdr:row>45</xdr:row>
      <xdr:rowOff>133350</xdr:rowOff>
    </xdr:to>
    <xdr:graphicFrame macro="">
      <xdr:nvGraphicFramePr>
        <xdr:cNvPr id="7" name="Диаграмма 6">
          <a:extLst>
            <a:ext uri="{FF2B5EF4-FFF2-40B4-BE49-F238E27FC236}">
              <a16:creationId xmlns:a16="http://schemas.microsoft.com/office/drawing/2014/main" id="{A28162E7-494A-7CE1-5E89-BA791391D3B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15</xdr:col>
      <xdr:colOff>19050</xdr:colOff>
      <xdr:row>47</xdr:row>
      <xdr:rowOff>80961</xdr:rowOff>
    </xdr:from>
    <xdr:to>
      <xdr:col>22</xdr:col>
      <xdr:colOff>66675</xdr:colOff>
      <xdr:row>63</xdr:row>
      <xdr:rowOff>180974</xdr:rowOff>
    </xdr:to>
    <xdr:graphicFrame macro="">
      <xdr:nvGraphicFramePr>
        <xdr:cNvPr id="8" name="Диаграмма 7">
          <a:extLst>
            <a:ext uri="{FF2B5EF4-FFF2-40B4-BE49-F238E27FC236}">
              <a16:creationId xmlns:a16="http://schemas.microsoft.com/office/drawing/2014/main" id="{31B5AAE8-8208-9026-B7CE-97CEDBF8535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22</xdr:col>
      <xdr:colOff>76200</xdr:colOff>
      <xdr:row>47</xdr:row>
      <xdr:rowOff>66675</xdr:rowOff>
    </xdr:from>
    <xdr:to>
      <xdr:col>29</xdr:col>
      <xdr:colOff>123825</xdr:colOff>
      <xdr:row>63</xdr:row>
      <xdr:rowOff>166688</xdr:rowOff>
    </xdr:to>
    <xdr:graphicFrame macro="">
      <xdr:nvGraphicFramePr>
        <xdr:cNvPr id="9" name="Диаграмма 8">
          <a:extLst>
            <a:ext uri="{FF2B5EF4-FFF2-40B4-BE49-F238E27FC236}">
              <a16:creationId xmlns:a16="http://schemas.microsoft.com/office/drawing/2014/main" id="{929BA55E-6136-4217-9513-5AFB1B1A0FE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E:\unifloc\unifloc_vba\UniflocVBA_7.xlam" TargetMode="External"/><Relationship Id="rId1" Type="http://schemas.openxmlformats.org/officeDocument/2006/relationships/externalLinkPath" Target="/unifloc/unifloc_vba/UniflocVBA_7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Info"/>
    </sheetNames>
    <definedNames>
      <definedName name="decode_json"/>
      <definedName name="encode_feed"/>
      <definedName name="encode_linspace"/>
      <definedName name="encode_PVT"/>
      <definedName name="feed_gas_fraction_d"/>
      <definedName name="feed_mod_mix"/>
      <definedName name="feed_q_mix_rc_m3day"/>
      <definedName name="PVT_bo_m3m3"/>
      <definedName name="PVT_mu_oil_cP"/>
      <definedName name="PVT_rs_m3m3"/>
      <definedName name="unf_Version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Стандартная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99A856-2B10-47A7-AFE8-6991776577FC}">
  <sheetPr codeName="Лист1"/>
  <dimension ref="A1:T64"/>
  <sheetViews>
    <sheetView tabSelected="1" workbookViewId="0">
      <selection activeCell="H16" sqref="H16"/>
    </sheetView>
  </sheetViews>
  <sheetFormatPr defaultRowHeight="15" x14ac:dyDescent="0.25"/>
  <cols>
    <col min="1" max="1" width="13.5703125" customWidth="1"/>
  </cols>
  <sheetData>
    <row r="1" spans="1:20" x14ac:dyDescent="0.25">
      <c r="A1" t="s">
        <v>0</v>
      </c>
      <c r="J1" t="s">
        <v>1</v>
      </c>
      <c r="K1" t="str" cm="1">
        <f t="array" ref="K1">[1]!unf_Version()</f>
        <v>7.57</v>
      </c>
    </row>
    <row r="2" spans="1:20" x14ac:dyDescent="0.25">
      <c r="A2" t="s">
        <v>2</v>
      </c>
    </row>
    <row r="4" spans="1:20" x14ac:dyDescent="0.25">
      <c r="B4" t="s">
        <v>3</v>
      </c>
      <c r="E4" t="s">
        <v>20</v>
      </c>
      <c r="M4" s="4" t="s">
        <v>26</v>
      </c>
      <c r="N4" s="4" t="s">
        <v>27</v>
      </c>
      <c r="O4" s="4" t="s">
        <v>28</v>
      </c>
      <c r="P4" s="4" t="s">
        <v>29</v>
      </c>
      <c r="Q4" s="4" t="s">
        <v>30</v>
      </c>
      <c r="R4" s="4" t="s">
        <v>31</v>
      </c>
      <c r="S4" s="4" t="s">
        <v>32</v>
      </c>
      <c r="T4" s="4" t="s">
        <v>33</v>
      </c>
    </row>
    <row r="5" spans="1:20" x14ac:dyDescent="0.25">
      <c r="B5" s="1" t="s">
        <v>4</v>
      </c>
      <c r="C5" s="2">
        <v>0.6</v>
      </c>
      <c r="E5" s="1" t="s">
        <v>4</v>
      </c>
      <c r="F5" s="2">
        <v>0.6</v>
      </c>
      <c r="J5" s="1" t="s">
        <v>21</v>
      </c>
      <c r="K5" s="2">
        <v>1</v>
      </c>
      <c r="M5" s="5">
        <f t="array" ref="M5:M20">[1]!decode_json($K$8)</f>
        <v>1</v>
      </c>
      <c r="N5" s="6">
        <f t="shared" ref="N5:N20" si="0">T_C</f>
        <v>50</v>
      </c>
      <c r="O5" s="5" cm="1">
        <f t="array" ref="O5">[1]!PVT_rs_m3m3(M5,N5,feed_json)</f>
        <v>0.38977632799358036</v>
      </c>
      <c r="P5" s="7" cm="1">
        <f t="array" ref="P5">[1]!PVT_bo_m3m3(M5,N5,feed_json)</f>
        <v>1.0155380707585446</v>
      </c>
      <c r="Q5" s="7" cm="1">
        <f t="array" ref="Q5">[1]!PVT_mu_oil_cP(M5,N5,feed_json)</f>
        <v>6.1855669796062909</v>
      </c>
      <c r="R5" s="5" cm="1">
        <f t="array" ref="R5">[1]!PVT_rs_m3m3(M5,N5,feed_json_1)</f>
        <v>0.27706785303936693</v>
      </c>
      <c r="S5" s="7" cm="1">
        <f t="array" ref="S5">[1]!PVT_bo_m3m3(M5,N5,feed_json_1)</f>
        <v>1.0313519834292018</v>
      </c>
      <c r="T5" s="7" cm="1">
        <f t="array" ref="T5">[1]!PVT_mu_oil_cP(M5,N5,feed_json_1)</f>
        <v>4.9075019258581287</v>
      </c>
    </row>
    <row r="6" spans="1:20" x14ac:dyDescent="0.25">
      <c r="B6" s="1" t="s">
        <v>5</v>
      </c>
      <c r="C6" s="2">
        <v>0.86</v>
      </c>
      <c r="E6" s="1" t="s">
        <v>5</v>
      </c>
      <c r="F6" s="2">
        <v>0.86</v>
      </c>
      <c r="J6" s="1" t="s">
        <v>22</v>
      </c>
      <c r="K6" s="2">
        <v>180</v>
      </c>
      <c r="M6" s="5">
        <v>12.933</v>
      </c>
      <c r="N6" s="6">
        <f t="shared" si="0"/>
        <v>50</v>
      </c>
      <c r="O6" s="5" cm="1">
        <f t="array" ref="O6">[1]!PVT_rs_m3m3(M6,N6,feed_json)</f>
        <v>8.4976999070702277</v>
      </c>
      <c r="P6" s="7" cm="1">
        <f t="array" ref="P6">[1]!PVT_bo_m3m3(M6,N6,feed_json)</f>
        <v>1.0250274135799717</v>
      </c>
      <c r="Q6" s="7" cm="1">
        <f t="array" ref="Q6">[1]!PVT_mu_oil_cP(M6,N6,feed_json)</f>
        <v>4.3758976388699802</v>
      </c>
      <c r="R6" s="5" cm="1">
        <f t="array" ref="R6">[1]!PVT_rs_m3m3(M6,N6,feed_json_1)</f>
        <v>6.0404886082860152</v>
      </c>
      <c r="S6" s="7" cm="1">
        <f t="array" ref="S6">[1]!PVT_bo_m3m3(M6,N6,feed_json_1)</f>
        <v>1.0449933951986474</v>
      </c>
      <c r="T6" s="7" cm="1">
        <f t="array" ref="T6">[1]!PVT_mu_oil_cP(M6,N6,feed_json_1)</f>
        <v>3.785579893852995</v>
      </c>
    </row>
    <row r="7" spans="1:20" x14ac:dyDescent="0.25">
      <c r="B7" s="1" t="s">
        <v>6</v>
      </c>
      <c r="C7" s="2">
        <v>1.1000000000000001</v>
      </c>
      <c r="E7" s="1" t="s">
        <v>6</v>
      </c>
      <c r="F7" s="2">
        <v>1.1000000000000001</v>
      </c>
      <c r="J7" s="1" t="s">
        <v>23</v>
      </c>
      <c r="K7" s="2">
        <v>15</v>
      </c>
      <c r="M7" s="5">
        <v>24.867000000000001</v>
      </c>
      <c r="N7" s="6">
        <f t="shared" si="0"/>
        <v>50</v>
      </c>
      <c r="O7" s="5" cm="1">
        <f t="array" ref="O7">[1]!PVT_rs_m3m3(M7,N7,feed_json)</f>
        <v>18.670073457717251</v>
      </c>
      <c r="P7" s="7" cm="1">
        <f t="array" ref="P7">[1]!PVT_bo_m3m3(M7,N7,feed_json)</f>
        <v>1.0374042026090147</v>
      </c>
      <c r="Q7" s="7" cm="1">
        <f t="array" ref="Q7">[1]!PVT_mu_oil_cP(M7,N7,feed_json)</f>
        <v>3.2180920590344093</v>
      </c>
      <c r="R7" s="5" cm="1">
        <f t="array" ref="R7">[1]!PVT_rs_m3m3(M7,N7,feed_json_1)</f>
        <v>13.271398998612828</v>
      </c>
      <c r="S7" s="7" cm="1">
        <f t="array" ref="S7">[1]!PVT_bo_m3m3(M7,N7,feed_json_1)</f>
        <v>1.0626185137565405</v>
      </c>
      <c r="T7" s="7" cm="1">
        <f t="array" ref="T7">[1]!PVT_mu_oil_cP(M7,N7,feed_json_1)</f>
        <v>2.9502004261219494</v>
      </c>
    </row>
    <row r="8" spans="1:20" x14ac:dyDescent="0.25">
      <c r="B8" s="1" t="s">
        <v>7</v>
      </c>
      <c r="C8" s="2">
        <v>120</v>
      </c>
      <c r="E8" s="1" t="s">
        <v>7</v>
      </c>
      <c r="F8" s="2">
        <v>60</v>
      </c>
      <c r="J8" s="1" t="s">
        <v>24</v>
      </c>
      <c r="K8" s="3" t="str">
        <f>[1]!encode_linspace(K5,K6,K7)</f>
        <v>[1,12.933,24.867,36.8,48.733,60.667,72.6,84.533,96.467,108.4,120.333,132.267,144.2,156.133,168.067,180]</v>
      </c>
      <c r="M8" s="5">
        <v>36.799999999999997</v>
      </c>
      <c r="N8" s="6">
        <f t="shared" si="0"/>
        <v>50</v>
      </c>
      <c r="O8" s="5" cm="1">
        <f t="array" ref="O8">[1]!PVT_rs_m3m3(M8,N8,feed_json)</f>
        <v>29.929277539763</v>
      </c>
      <c r="P8" s="7" cm="1">
        <f t="array" ref="P8">[1]!PVT_bo_m3m3(M8,N8,feed_json)</f>
        <v>1.0516161260895331</v>
      </c>
      <c r="Q8" s="7" cm="1">
        <f t="array" ref="Q8">[1]!PVT_mu_oil_cP(M8,N8,feed_json)</f>
        <v>2.5049917810512525</v>
      </c>
      <c r="R8" s="5" cm="1">
        <f t="array" ref="R8">[1]!PVT_rs_m3m3(M8,N8,feed_json_1)</f>
        <v>21.274869907179326</v>
      </c>
      <c r="S8" s="7" cm="1">
        <f t="array" ref="S8">[1]!PVT_bo_m3m3(M8,N8,feed_json_1)</f>
        <v>1.0827043842535364</v>
      </c>
      <c r="T8" s="7" cm="1">
        <f t="array" ref="T8">[1]!PVT_mu_oil_cP(M8,N8,feed_json_1)</f>
        <v>2.3798092593156968</v>
      </c>
    </row>
    <row r="9" spans="1:20" x14ac:dyDescent="0.25">
      <c r="B9" s="1" t="s">
        <v>8</v>
      </c>
      <c r="C9" s="2">
        <v>130</v>
      </c>
      <c r="E9" s="1" t="s">
        <v>8</v>
      </c>
      <c r="F9" s="2">
        <v>90</v>
      </c>
      <c r="M9" s="5">
        <v>48.732999999999997</v>
      </c>
      <c r="N9" s="6">
        <f t="shared" si="0"/>
        <v>50</v>
      </c>
      <c r="O9" s="5" cm="1">
        <f t="array" ref="O9">[1]!PVT_rs_m3m3(M9,N9,feed_json)</f>
        <v>41.971503744715427</v>
      </c>
      <c r="P9" s="7" cm="1">
        <f t="array" ref="P9">[1]!PVT_bo_m3m3(M9,N9,feed_json)</f>
        <v>1.0673229078518915</v>
      </c>
      <c r="Q9" s="7" cm="1">
        <f t="array" ref="Q9">[1]!PVT_mu_oil_cP(M9,N9,feed_json)</f>
        <v>2.0373189348753571</v>
      </c>
      <c r="R9" s="5" cm="1">
        <f t="array" ref="R9">[1]!PVT_rs_m3m3(M9,N9,feed_json_1)</f>
        <v>29.834942750996365</v>
      </c>
      <c r="S9" s="7" cm="1">
        <f t="array" ref="S9">[1]!PVT_bo_m3m3(M9,N9,feed_json_1)</f>
        <v>1.104775781270829</v>
      </c>
      <c r="T9" s="7" cm="1">
        <f t="array" ref="T9">[1]!PVT_mu_oil_cP(M9,N9,feed_json_1)</f>
        <v>1.9795298233666327</v>
      </c>
    </row>
    <row r="10" spans="1:20" x14ac:dyDescent="0.25">
      <c r="B10" s="1" t="s">
        <v>9</v>
      </c>
      <c r="C10" s="2">
        <v>80</v>
      </c>
      <c r="E10" s="1" t="s">
        <v>9</v>
      </c>
      <c r="F10" s="2">
        <v>60</v>
      </c>
      <c r="J10" s="1" t="s">
        <v>25</v>
      </c>
      <c r="K10" s="2">
        <v>50</v>
      </c>
      <c r="M10" s="5">
        <v>60.667000000000002</v>
      </c>
      <c r="N10" s="6">
        <f t="shared" si="0"/>
        <v>50</v>
      </c>
      <c r="O10" s="5" cm="1">
        <f t="array" ref="O10">[1]!PVT_rs_m3m3(M10,N10,feed_json)</f>
        <v>54.637433807424927</v>
      </c>
      <c r="P10" s="7" cm="1">
        <f t="array" ref="P10">[1]!PVT_bo_m3m3(M10,N10,feed_json)</f>
        <v>1.0843315358634731</v>
      </c>
      <c r="Q10" s="7" cm="1">
        <f t="array" ref="Q10">[1]!PVT_mu_oil_cP(M10,N10,feed_json)</f>
        <v>1.7120305664220479</v>
      </c>
      <c r="R10" s="5" cm="1">
        <f t="array" ref="R10">[1]!PVT_rs_m3m3(M10,N10,feed_json_1)</f>
        <v>38.83836804181982</v>
      </c>
      <c r="S10" s="7" cm="1">
        <f t="array" ref="S10">[1]!PVT_bo_m3m3(M10,N10,feed_json_1)</f>
        <v>1.1285715774470917</v>
      </c>
      <c r="T10" s="7" cm="1">
        <f t="array" ref="T10">[1]!PVT_mu_oil_cP(M10,N10,feed_json_1)</f>
        <v>1.6880204812996229</v>
      </c>
    </row>
    <row r="11" spans="1:20" x14ac:dyDescent="0.25">
      <c r="B11" s="1" t="s">
        <v>10</v>
      </c>
      <c r="C11" s="2">
        <v>1.2</v>
      </c>
      <c r="E11" s="1" t="s">
        <v>10</v>
      </c>
      <c r="F11" s="2">
        <v>1.2</v>
      </c>
      <c r="M11" s="5">
        <v>72.599999999999994</v>
      </c>
      <c r="N11" s="6">
        <f t="shared" si="0"/>
        <v>50</v>
      </c>
      <c r="O11" s="5" cm="1">
        <f t="array" ref="O11">[1]!PVT_rs_m3m3(M11,N11,feed_json)</f>
        <v>67.823961267486865</v>
      </c>
      <c r="P11" s="7" cm="1">
        <f t="array" ref="P11">[1]!PVT_bo_m3m3(M11,N11,feed_json)</f>
        <v>1.1025064385534851</v>
      </c>
      <c r="Q11" s="7" cm="1">
        <f t="array" ref="Q11">[1]!PVT_mu_oil_cP(M11,N11,feed_json)</f>
        <v>1.4747649606961923</v>
      </c>
      <c r="R11" s="5" cm="1">
        <f t="array" ref="R11">[1]!PVT_rs_m3m3(M11,N11,feed_json_1)</f>
        <v>48.211853782247317</v>
      </c>
      <c r="S11" s="7" cm="1">
        <f t="array" ref="S11">[1]!PVT_bo_m3m3(M11,N11,feed_json_1)</f>
        <v>1.1539118410796254</v>
      </c>
      <c r="T11" s="7" cm="1">
        <f t="array" ref="T11">[1]!PVT_mu_oil_cP(M11,N11,feed_json_1)</f>
        <v>1.4684052930873477</v>
      </c>
    </row>
    <row r="12" spans="1:20" x14ac:dyDescent="0.25">
      <c r="B12" s="1" t="s">
        <v>11</v>
      </c>
      <c r="C12" s="2">
        <v>0.6</v>
      </c>
      <c r="E12" s="1" t="s">
        <v>11</v>
      </c>
      <c r="F12" s="2">
        <v>1</v>
      </c>
      <c r="M12" s="5">
        <v>84.533000000000001</v>
      </c>
      <c r="N12" s="6">
        <f t="shared" si="0"/>
        <v>50</v>
      </c>
      <c r="O12" s="5" cm="1">
        <f t="array" ref="O12">[1]!PVT_rs_m3m3(M12,N12,feed_json)</f>
        <v>81.462006563551995</v>
      </c>
      <c r="P12" s="7" cm="1">
        <f t="array" ref="P12">[1]!PVT_bo_m3m3(M12,N12,feed_json)</f>
        <v>1.1217498564884643</v>
      </c>
      <c r="Q12" s="7" cm="1">
        <f t="array" ref="Q12">[1]!PVT_mu_oil_cP(M12,N12,feed_json)</f>
        <v>1.2949621319356261</v>
      </c>
      <c r="R12" s="5" cm="1">
        <f t="array" ref="R12">[1]!PVT_rs_m3m3(M12,N12,feed_json_1)</f>
        <v>57.906295590156788</v>
      </c>
      <c r="S12" s="7" cm="1">
        <f t="array" ref="S12">[1]!PVT_bo_m3m3(M12,N12,feed_json_1)</f>
        <v>1.1806686430224316</v>
      </c>
      <c r="T12" s="7" cm="1">
        <f t="array" ref="T12">[1]!PVT_mu_oil_cP(M12,N12,feed_json_1)</f>
        <v>1.2980289694975233</v>
      </c>
    </row>
    <row r="13" spans="1:20" x14ac:dyDescent="0.25">
      <c r="B13" s="1" t="s">
        <v>12</v>
      </c>
      <c r="C13" s="2">
        <v>0</v>
      </c>
      <c r="E13" s="1" t="s">
        <v>12</v>
      </c>
      <c r="F13" s="2">
        <v>0</v>
      </c>
      <c r="M13" s="5">
        <v>96.466999999999999</v>
      </c>
      <c r="N13" s="6">
        <f t="shared" si="0"/>
        <v>50</v>
      </c>
      <c r="O13" s="5" cm="1">
        <f t="array" ref="O13">[1]!PVT_rs_m3m3(M13,N13,feed_json)</f>
        <v>95.500908326510924</v>
      </c>
      <c r="P13" s="7" cm="1">
        <f t="array" ref="P13">[1]!PVT_bo_m3m3(M13,N13,feed_json)</f>
        <v>1.1419853715701116</v>
      </c>
      <c r="Q13" s="7" cm="1">
        <f t="array" ref="Q13">[1]!PVT_mu_oil_cP(M13,N13,feed_json)</f>
        <v>1.1544463917712431</v>
      </c>
      <c r="R13" s="5" cm="1">
        <f t="array" ref="R13">[1]!PVT_rs_m3m3(M13,N13,feed_json_1)</f>
        <v>60</v>
      </c>
      <c r="S13" s="7" cm="1">
        <f t="array" ref="S13">[1]!PVT_bo_m3m3(M13,N13,feed_json_1)</f>
        <v>1.1840712467850245</v>
      </c>
      <c r="T13" s="7" cm="1">
        <f t="array" ref="T13">[1]!PVT_mu_oil_cP(M13,N13,feed_json_1)</f>
        <v>1.2905235657763319</v>
      </c>
    </row>
    <row r="14" spans="1:20" x14ac:dyDescent="0.25">
      <c r="B14" s="1" t="s">
        <v>13</v>
      </c>
      <c r="C14" s="3" t="str">
        <f>[1]!encode_PVT(C5,C6,C7,C8,C9,C10,C11,C12,C13)</f>
        <v>{"gamma_gas":0.6,"gamma_oil":0.86,"gamma_wat":1.1,"rsb_m3m3":120,"pb_atma":130,"t_res_C":80,"bob_m3m3":1.2,"muob_cP":0.6,"PVT_corr_set":0}</v>
      </c>
      <c r="D14" t="s">
        <v>19</v>
      </c>
      <c r="E14" s="1" t="s">
        <v>13</v>
      </c>
      <c r="F14" s="3" t="str">
        <f>[1]!encode_PVT(F5,F6,F7,F8,F9,F10,F11,F12,F13)</f>
        <v>{"gamma_gas":0.6,"gamma_oil":0.86,"gamma_wat":1.1,"rsb_m3m3":60,"pb_atma":90,"t_res_C":60,"bob_m3m3":1.2,"muob_cP":1,"PVT_corr_set":0}</v>
      </c>
      <c r="G14" t="s">
        <v>19</v>
      </c>
      <c r="M14" s="5">
        <v>108.4</v>
      </c>
      <c r="N14" s="6">
        <f t="shared" si="0"/>
        <v>50</v>
      </c>
      <c r="O14" s="5" cm="1">
        <f t="array" ref="O14">[1]!PVT_rs_m3m3(M14,N14,feed_json)</f>
        <v>109.89823451520597</v>
      </c>
      <c r="P14" s="7" cm="1">
        <f t="array" ref="P14">[1]!PVT_bo_m3m3(M14,N14,feed_json)</f>
        <v>1.1631457280401198</v>
      </c>
      <c r="Q14" s="7" cm="1">
        <f t="array" ref="Q14">[1]!PVT_mu_oil_cP(M14,N14,feed_json)</f>
        <v>1.0418644845700447</v>
      </c>
      <c r="R14" s="5" cm="1">
        <f t="array" ref="R14">[1]!PVT_rs_m3m3(M14,N14,feed_json_1)</f>
        <v>60</v>
      </c>
      <c r="S14" s="7" cm="1">
        <f t="array" ref="S14">[1]!PVT_bo_m3m3(M14,N14,feed_json_1)</f>
        <v>1.1817013291859999</v>
      </c>
      <c r="T14" s="7" cm="1">
        <f t="array" ref="T14">[1]!PVT_mu_oil_cP(M14,N14,feed_json_1)</f>
        <v>1.3232141765203638</v>
      </c>
    </row>
    <row r="15" spans="1:20" x14ac:dyDescent="0.25">
      <c r="B15" s="1" t="s">
        <v>14</v>
      </c>
      <c r="C15" s="2">
        <v>30</v>
      </c>
      <c r="E15" s="1" t="s">
        <v>14</v>
      </c>
      <c r="F15" s="2">
        <v>60</v>
      </c>
      <c r="M15" s="5">
        <v>120.333</v>
      </c>
      <c r="N15" s="6">
        <f t="shared" si="0"/>
        <v>50</v>
      </c>
      <c r="O15" s="5" cm="1">
        <f t="array" ref="O15">[1]!PVT_rs_m3m3(M15,N15,feed_json)</f>
        <v>120</v>
      </c>
      <c r="P15" s="7" cm="1">
        <f t="array" ref="P15">[1]!PVT_bo_m3m3(M15,N15,feed_json)</f>
        <v>1.1766511327010518</v>
      </c>
      <c r="Q15" s="7" cm="1">
        <f t="array" ref="Q15">[1]!PVT_mu_oil_cP(M15,N15,feed_json)</f>
        <v>0.98671737973284213</v>
      </c>
      <c r="R15" s="5" cm="1">
        <f t="array" ref="R15">[1]!PVT_rs_m3m3(M15,N15,feed_json_1)</f>
        <v>60</v>
      </c>
      <c r="S15" s="7" cm="1">
        <f t="array" ref="S15">[1]!PVT_bo_m3m3(M15,N15,feed_json_1)</f>
        <v>1.179804870337045</v>
      </c>
      <c r="T15" s="7" cm="1">
        <f t="array" ref="T15">[1]!PVT_mu_oil_cP(M15,N15,feed_json_1)</f>
        <v>1.3597560725968676</v>
      </c>
    </row>
    <row r="16" spans="1:20" x14ac:dyDescent="0.25">
      <c r="B16" s="1" t="s">
        <v>15</v>
      </c>
      <c r="C16" s="2">
        <v>10</v>
      </c>
      <c r="E16" s="1" t="s">
        <v>15</v>
      </c>
      <c r="F16" s="2">
        <v>0</v>
      </c>
      <c r="M16" s="5">
        <v>132.267</v>
      </c>
      <c r="N16" s="6">
        <f t="shared" si="0"/>
        <v>50</v>
      </c>
      <c r="O16" s="5" cm="1">
        <f t="array" ref="O16">[1]!PVT_rs_m3m3(M16,N16,feed_json)</f>
        <v>120</v>
      </c>
      <c r="P16" s="7" cm="1">
        <f t="array" ref="P16">[1]!PVT_bo_m3m3(M16,N16,feed_json)</f>
        <v>1.1728576912209689</v>
      </c>
      <c r="Q16" s="7" cm="1">
        <f t="array" ref="Q16">[1]!PVT_mu_oil_cP(M16,N16,feed_json)</f>
        <v>1.0166067870590569</v>
      </c>
      <c r="R16" s="5" cm="1">
        <f t="array" ref="R16">[1]!PVT_rs_m3m3(M16,N16,feed_json_1)</f>
        <v>60</v>
      </c>
      <c r="S16" s="7" cm="1">
        <f t="array" ref="S16">[1]!PVT_bo_m3m3(M16,N16,feed_json_1)</f>
        <v>1.1782527587160925</v>
      </c>
      <c r="T16" s="7" cm="1">
        <f t="array" ref="T16">[1]!PVT_mu_oil_cP(M16,N16,feed_json_1)</f>
        <v>1.3998788159118005</v>
      </c>
    </row>
    <row r="17" spans="1:20" x14ac:dyDescent="0.25">
      <c r="B17" s="1" t="s">
        <v>16</v>
      </c>
      <c r="C17" s="2">
        <v>120</v>
      </c>
      <c r="E17" s="1" t="s">
        <v>16</v>
      </c>
      <c r="F17" s="2">
        <v>60</v>
      </c>
      <c r="M17" s="5">
        <v>144.19999999999999</v>
      </c>
      <c r="N17" s="6">
        <f t="shared" si="0"/>
        <v>50</v>
      </c>
      <c r="O17" s="5" cm="1">
        <f t="array" ref="O17">[1]!PVT_rs_m3m3(M17,N17,feed_json)</f>
        <v>120</v>
      </c>
      <c r="P17" s="7" cm="1">
        <f t="array" ref="P17">[1]!PVT_bo_m3m3(M17,N17,feed_json)</f>
        <v>1.1697017410910679</v>
      </c>
      <c r="Q17" s="7" cm="1">
        <f t="array" ref="Q17">[1]!PVT_mu_oil_cP(M17,N17,feed_json)</f>
        <v>1.0492053226597564</v>
      </c>
      <c r="R17" s="5" cm="1">
        <f t="array" ref="R17">[1]!PVT_rs_m3m3(M17,N17,feed_json_1)</f>
        <v>60</v>
      </c>
      <c r="S17" s="7" cm="1">
        <f t="array" ref="S17">[1]!PVT_bo_m3m3(M17,N17,feed_json_1)</f>
        <v>1.1769592134048723</v>
      </c>
      <c r="T17" s="7" cm="1">
        <f t="array" ref="T17">[1]!PVT_mu_oil_cP(M17,N17,feed_json_1)</f>
        <v>1.4433515269320956</v>
      </c>
    </row>
    <row r="18" spans="1:20" x14ac:dyDescent="0.25">
      <c r="B18" s="1" t="s">
        <v>17</v>
      </c>
      <c r="C18" s="2">
        <v>5</v>
      </c>
      <c r="E18" s="1" t="s">
        <v>17</v>
      </c>
      <c r="F18" s="2">
        <v>1</v>
      </c>
      <c r="M18" s="5">
        <v>156.13300000000001</v>
      </c>
      <c r="N18" s="6">
        <f t="shared" si="0"/>
        <v>50</v>
      </c>
      <c r="O18" s="5" cm="1">
        <f t="array" ref="O18">[1]!PVT_rs_m3m3(M18,N18,feed_json)</f>
        <v>120</v>
      </c>
      <c r="P18" s="7" cm="1">
        <f t="array" ref="P18">[1]!PVT_bo_m3m3(M18,N18,feed_json)</f>
        <v>1.1670348446914183</v>
      </c>
      <c r="Q18" s="7" cm="1">
        <f t="array" ref="Q18">[1]!PVT_mu_oil_cP(M18,N18,feed_json)</f>
        <v>1.0842857993239079</v>
      </c>
      <c r="R18" s="5" cm="1">
        <f t="array" ref="R18">[1]!PVT_rs_m3m3(M18,N18,feed_json_1)</f>
        <v>60</v>
      </c>
      <c r="S18" s="7" cm="1">
        <f t="array" ref="S18">[1]!PVT_bo_m3m3(M18,N18,feed_json_1)</f>
        <v>1.1758645065268798</v>
      </c>
      <c r="T18" s="7" cm="1">
        <f t="array" ref="T18">[1]!PVT_mu_oil_cP(M18,N18,feed_json_1)</f>
        <v>1.489988392283726</v>
      </c>
    </row>
    <row r="19" spans="1:20" x14ac:dyDescent="0.25">
      <c r="B19" s="1" t="s">
        <v>18</v>
      </c>
      <c r="C19" s="3" t="str">
        <f>[1]!encode_feed(C15,C16,C17,C18,C14)</f>
        <v>{"gamma_gas":0.6,"gamma_oil":0.86,"gamma_wat":1.1,"rsb_m3m3":120,"pb_atma":130,"t_res_C":80,"bob_m3m3":1.2,"muob_cP":0.6,"PVT_corr_set":0,"q_liq_sm3day":30,"fw_perc":10,"rp_m3m3":120,"q_gas_free_sm3day":5}</v>
      </c>
      <c r="D19" t="s">
        <v>19</v>
      </c>
      <c r="E19" s="1" t="s">
        <v>18</v>
      </c>
      <c r="F19" s="3" t="str">
        <f>[1]!encode_feed(F15,F16,F17,F18,F14)</f>
        <v>{"gamma_gas":0.6,"gamma_oil":0.86,"gamma_wat":1.1,"rsb_m3m3":60,"pb_atma":90,"t_res_C":60,"bob_m3m3":1.2,"muob_cP":1,"PVT_corr_set":0,"q_liq_sm3day":60,"fw_perc":0,"rp_m3m3":60,"q_gas_free_sm3day":1}</v>
      </c>
      <c r="G19" t="s">
        <v>19</v>
      </c>
      <c r="M19" s="5">
        <v>168.06700000000001</v>
      </c>
      <c r="N19" s="6">
        <f t="shared" si="0"/>
        <v>50</v>
      </c>
      <c r="O19" s="5" cm="1">
        <f t="array" ref="O19">[1]!PVT_rs_m3m3(M19,N19,feed_json)</f>
        <v>120</v>
      </c>
      <c r="P19" s="7" cm="1">
        <f t="array" ref="P19">[1]!PVT_bo_m3m3(M19,N19,feed_json)</f>
        <v>1.1647513270858536</v>
      </c>
      <c r="Q19" s="7" cm="1">
        <f t="array" ref="Q19">[1]!PVT_mu_oil_cP(M19,N19,feed_json)</f>
        <v>1.1216463841385871</v>
      </c>
      <c r="R19" s="5" cm="1">
        <f t="array" ref="R19">[1]!PVT_rs_m3m3(M19,N19,feed_json_1)</f>
        <v>60</v>
      </c>
      <c r="S19" s="7" cm="1">
        <f t="array" ref="S19">[1]!PVT_bo_m3m3(M19,N19,feed_json_1)</f>
        <v>1.1749259907084797</v>
      </c>
      <c r="T19" s="7" cm="1">
        <f t="array" ref="T19">[1]!PVT_mu_oil_cP(M19,N19,feed_json_1)</f>
        <v>1.5396293477183913</v>
      </c>
    </row>
    <row r="20" spans="1:20" x14ac:dyDescent="0.25">
      <c r="M20" s="5">
        <v>180</v>
      </c>
      <c r="N20" s="6">
        <f t="shared" si="0"/>
        <v>50</v>
      </c>
      <c r="O20" s="5" cm="1">
        <f t="array" ref="O20">[1]!PVT_rs_m3m3(M20,N20,feed_json)</f>
        <v>120</v>
      </c>
      <c r="P20" s="7" cm="1">
        <f t="array" ref="P20">[1]!PVT_bo_m3m3(M20,N20,feed_json)</f>
        <v>1.1627743757984097</v>
      </c>
      <c r="Q20" s="7" cm="1">
        <f t="array" ref="Q20">[1]!PVT_mu_oil_cP(M20,N20,feed_json)</f>
        <v>1.1610923348559687</v>
      </c>
      <c r="R20" s="5" cm="1">
        <f t="array" ref="R20">[1]!PVT_rs_m3m3(M20,N20,feed_json_1)</f>
        <v>60</v>
      </c>
      <c r="S20" s="7" cm="1">
        <f t="array" ref="S20">[1]!PVT_bo_m3m3(M20,N20,feed_json_1)</f>
        <v>1.1741125917111854</v>
      </c>
      <c r="T20" s="7" cm="1">
        <f t="array" ref="T20">[1]!PVT_mu_oil_cP(M20,N20,feed_json_1)</f>
        <v>1.592118827651164</v>
      </c>
    </row>
    <row r="23" spans="1:20" x14ac:dyDescent="0.25">
      <c r="A23" t="s">
        <v>34</v>
      </c>
    </row>
    <row r="25" spans="1:20" x14ac:dyDescent="0.25">
      <c r="B25" s="1" t="s">
        <v>35</v>
      </c>
      <c r="C25" s="2" t="str">
        <f>feed_json</f>
        <v>{"gamma_gas":0.6,"gamma_oil":0.86,"gamma_wat":1.1,"rsb_m3m3":120,"pb_atma":130,"t_res_C":80,"bob_m3m3":1.2,"muob_cP":0.6,"PVT_corr_set":0,"q_liq_sm3day":30,"fw_perc":10,"rp_m3m3":120,"q_gas_free_sm3day":5}</v>
      </c>
    </row>
    <row r="26" spans="1:20" x14ac:dyDescent="0.25">
      <c r="B26" s="1" t="s">
        <v>36</v>
      </c>
      <c r="C26" s="2" t="str">
        <f>feed_json_1</f>
        <v>{"gamma_gas":0.6,"gamma_oil":0.86,"gamma_wat":1.1,"rsb_m3m3":60,"pb_atma":90,"t_res_C":60,"bob_m3m3":1.2,"muob_cP":1,"PVT_corr_set":0,"q_liq_sm3day":60,"fw_perc":0,"rp_m3m3":60,"q_gas_free_sm3day":1}</v>
      </c>
    </row>
    <row r="27" spans="1:20" x14ac:dyDescent="0.25">
      <c r="B27" s="1" t="s">
        <v>37</v>
      </c>
      <c r="C27" s="3" t="str">
        <f>[1]!feed_mod_mix(C25,C26)</f>
        <v>{"gamma_gas":0.6,"gamma_oil":0.86,"gamma_wat":1.1,"rsb_m3m3":78.621,"pb_atma":102.414,"t_res_C":66.207,"bob_m3m3":1.2,"muob_cP":0.876,"PVT_corr_set":0,"q_liq_sm3day":90,"fw_perc":3.333,"rp_m3m3":78.621,"q_gas_free_sm3day":6}</v>
      </c>
    </row>
    <row r="30" spans="1:20" x14ac:dyDescent="0.25">
      <c r="A30" t="s">
        <v>47</v>
      </c>
      <c r="G30" s="4" t="s">
        <v>26</v>
      </c>
      <c r="H30" s="4" t="s">
        <v>27</v>
      </c>
      <c r="I30" s="4" t="s">
        <v>38</v>
      </c>
      <c r="J30" s="4" t="s">
        <v>39</v>
      </c>
      <c r="K30" s="4" t="s">
        <v>40</v>
      </c>
    </row>
    <row r="31" spans="1:20" x14ac:dyDescent="0.25">
      <c r="A31" s="4"/>
      <c r="B31" s="4" t="str">
        <f>B25</f>
        <v>feed 1</v>
      </c>
      <c r="C31" s="4" t="str">
        <f>B26</f>
        <v>feed 2</v>
      </c>
      <c r="D31" s="4" t="str">
        <f>B27</f>
        <v>new feeds</v>
      </c>
      <c r="G31" s="5">
        <f t="array" ref="G31:G46">[1]!decode_json($K$8)</f>
        <v>1</v>
      </c>
      <c r="H31" s="6">
        <f t="shared" ref="H31:H46" si="1">T_C</f>
        <v>50</v>
      </c>
      <c r="I31" s="5" cm="1">
        <f t="array" ref="I31">[1]!PVT_rs_m3m3(G31,H31,feed_mix)</f>
        <v>0.31962803021113323</v>
      </c>
      <c r="J31" s="7" cm="1">
        <f t="array" ref="J31">[1]!PVT_bo_m3m3(G31,H31,feed_mix)</f>
        <v>1.0239997715284446</v>
      </c>
      <c r="K31" s="7" cm="1">
        <f t="array" ref="K31">[1]!PVT_mu_oil_cP(G31,H31,feed_mix)</f>
        <v>5.7262620951801777</v>
      </c>
    </row>
    <row r="32" spans="1:20" x14ac:dyDescent="0.25">
      <c r="A32" s="11" t="str">
        <f t="array" ref="A32:B44">[1]!decode_json($C$25)</f>
        <v>gamma_gas</v>
      </c>
      <c r="B32" s="11">
        <v>0.6</v>
      </c>
      <c r="C32" s="11">
        <f t="array" ref="C32:C44">[1]!decode_json(C26,,,1)</f>
        <v>0.6</v>
      </c>
      <c r="D32" s="11">
        <f t="array" ref="D32:D44">[1]!decode_json(C27,,,1)</f>
        <v>0.6</v>
      </c>
      <c r="G32" s="5">
        <v>12.933</v>
      </c>
      <c r="H32" s="6">
        <f t="shared" si="1"/>
        <v>50</v>
      </c>
      <c r="I32" s="5" cm="1">
        <f t="array" ref="I32">[1]!PVT_rs_m3m3(G32,H32,feed_mix)</f>
        <v>6.9683633600933312</v>
      </c>
      <c r="J32" s="7" cm="1">
        <f t="array" ref="J32">[1]!PVT_bo_m3m3(G32,H32,feed_mix)</f>
        <v>1.0360362092021915</v>
      </c>
      <c r="K32" s="7" cm="1">
        <f t="array" ref="K32">[1]!PVT_mu_oil_cP(G32,H32,feed_mix)</f>
        <v>4.270609617473994</v>
      </c>
    </row>
    <row r="33" spans="1:14" x14ac:dyDescent="0.25">
      <c r="A33" s="11" t="str">
        <v>gamma_oil</v>
      </c>
      <c r="B33" s="11">
        <v>0.86</v>
      </c>
      <c r="C33" s="11">
        <v>0.86</v>
      </c>
      <c r="D33" s="11">
        <v>0.86</v>
      </c>
      <c r="G33" s="5">
        <v>24.867000000000001</v>
      </c>
      <c r="H33" s="6">
        <f t="shared" si="1"/>
        <v>50</v>
      </c>
      <c r="I33" s="5" cm="1">
        <f t="array" ref="I33">[1]!PVT_rs_m3m3(G33,H33,feed_mix)</f>
        <v>15.310008265267486</v>
      </c>
      <c r="J33" s="7" cm="1">
        <f t="array" ref="J33">[1]!PVT_bo_m3m3(G33,H33,feed_mix)</f>
        <v>1.0516453124642526</v>
      </c>
      <c r="K33" s="7" cm="1">
        <f t="array" ref="K33">[1]!PVT_mu_oil_cP(G33,H33,feed_mix)</f>
        <v>3.2500090527066288</v>
      </c>
    </row>
    <row r="34" spans="1:14" x14ac:dyDescent="0.25">
      <c r="A34" s="11" t="str">
        <v>gamma_wat</v>
      </c>
      <c r="B34" s="11">
        <v>1.1000000000000001</v>
      </c>
      <c r="C34" s="11">
        <v>1.1000000000000001</v>
      </c>
      <c r="D34" s="11">
        <v>1.1000000000000001</v>
      </c>
      <c r="G34" s="5">
        <v>36.799999999999997</v>
      </c>
      <c r="H34" s="6">
        <f t="shared" si="1"/>
        <v>50</v>
      </c>
      <c r="I34" s="5" cm="1">
        <f t="array" ref="I34">[1]!PVT_rs_m3m3(G34,H34,feed_mix)</f>
        <v>24.542886108348572</v>
      </c>
      <c r="J34" s="7" cm="1">
        <f t="array" ref="J34">[1]!PVT_bo_m3m3(G34,H34,feed_mix)</f>
        <v>1.0694881184887584</v>
      </c>
      <c r="K34" s="7" cm="1">
        <f t="array" ref="K34">[1]!PVT_mu_oil_cP(G34,H34,feed_mix)</f>
        <v>2.5821661105805322</v>
      </c>
    </row>
    <row r="35" spans="1:14" x14ac:dyDescent="0.25">
      <c r="A35" s="11" t="str">
        <v>rsb_m3m3</v>
      </c>
      <c r="B35" s="11">
        <v>120</v>
      </c>
      <c r="C35" s="11">
        <v>60</v>
      </c>
      <c r="D35" s="10">
        <v>78.620999999999995</v>
      </c>
      <c r="G35" s="5">
        <v>48.732999999999997</v>
      </c>
      <c r="H35" s="6">
        <f t="shared" si="1"/>
        <v>50</v>
      </c>
      <c r="I35" s="5" cm="1">
        <f t="array" ref="I35">[1]!PVT_rs_m3m3(G35,H35,feed_mix)</f>
        <v>34.417865076566535</v>
      </c>
      <c r="J35" s="7" cm="1">
        <f t="array" ref="J35">[1]!PVT_bo_m3m3(G35,H35,feed_mix)</f>
        <v>1.089141288401603</v>
      </c>
      <c r="K35" s="7" cm="1">
        <f t="array" ref="K35">[1]!PVT_mu_oil_cP(G35,H35,feed_mix)</f>
        <v>2.1267841629314965</v>
      </c>
    </row>
    <row r="36" spans="1:14" x14ac:dyDescent="0.25">
      <c r="A36" s="11" t="str">
        <v>pb_atma</v>
      </c>
      <c r="B36" s="11">
        <v>130</v>
      </c>
      <c r="C36" s="11">
        <v>90</v>
      </c>
      <c r="D36" s="10">
        <v>102.414</v>
      </c>
      <c r="G36" s="5">
        <v>60.667000000000002</v>
      </c>
      <c r="H36" s="6">
        <f t="shared" si="1"/>
        <v>50</v>
      </c>
      <c r="I36" s="5" cm="1">
        <f t="array" ref="I36">[1]!PVT_rs_m3m3(G36,H36,feed_mix)</f>
        <v>44.804299515967607</v>
      </c>
      <c r="J36" s="7" cm="1">
        <f t="array" ref="J36">[1]!PVT_bo_m3m3(G36,H36,feed_mix)</f>
        <v>1.1103691339521196</v>
      </c>
      <c r="K36" s="7" cm="1">
        <f t="array" ref="K36">[1]!PVT_mu_oil_cP(G36,H36,feed_mix)</f>
        <v>1.8016969310085567</v>
      </c>
    </row>
    <row r="37" spans="1:14" x14ac:dyDescent="0.25">
      <c r="A37" s="11" t="str">
        <v>t_res_C</v>
      </c>
      <c r="B37" s="11">
        <v>80</v>
      </c>
      <c r="C37" s="11">
        <v>60</v>
      </c>
      <c r="D37" s="9">
        <v>66.206999999999994</v>
      </c>
      <c r="G37" s="5">
        <v>72.599999999999994</v>
      </c>
      <c r="H37" s="6">
        <f t="shared" si="1"/>
        <v>50</v>
      </c>
      <c r="I37" s="5" cm="1">
        <f t="array" ref="I37">[1]!PVT_rs_m3m3(G37,H37,feed_mix)</f>
        <v>55.617639102495907</v>
      </c>
      <c r="J37" s="7" cm="1">
        <f t="array" ref="J37">[1]!PVT_bo_m3m3(G37,H37,feed_mix)</f>
        <v>1.1330078404984261</v>
      </c>
      <c r="K37" s="7" cm="1">
        <f t="array" ref="K37">[1]!PVT_mu_oil_cP(G37,H37,feed_mix)</f>
        <v>1.5602557861895208</v>
      </c>
    </row>
    <row r="38" spans="1:14" x14ac:dyDescent="0.25">
      <c r="A38" s="11" t="str">
        <v>bob_m3m3</v>
      </c>
      <c r="B38" s="11">
        <v>1.2</v>
      </c>
      <c r="C38" s="11">
        <v>1.2</v>
      </c>
      <c r="D38" s="11">
        <v>1.2</v>
      </c>
      <c r="G38" s="5">
        <v>84.533000000000001</v>
      </c>
      <c r="H38" s="6">
        <f t="shared" si="1"/>
        <v>50</v>
      </c>
      <c r="I38" s="5" cm="1">
        <f t="array" ref="I38">[1]!PVT_rs_m3m3(G38,H38,feed_mix)</f>
        <v>66.801236568125731</v>
      </c>
      <c r="J38" s="7" cm="1">
        <f t="array" ref="J38">[1]!PVT_bo_m3m3(G38,H38,feed_mix)</f>
        <v>1.1569401664218946</v>
      </c>
      <c r="K38" s="7" cm="1">
        <f t="array" ref="K38">[1]!PVT_mu_oil_cP(G38,H38,feed_mix)</f>
        <v>1.3749023138629195</v>
      </c>
    </row>
    <row r="39" spans="1:14" x14ac:dyDescent="0.25">
      <c r="A39" s="11" t="str">
        <v>muob_cP</v>
      </c>
      <c r="B39" s="11">
        <v>0.6</v>
      </c>
      <c r="C39" s="11">
        <v>1</v>
      </c>
      <c r="D39" s="9">
        <v>0.876</v>
      </c>
      <c r="G39" s="5">
        <v>96.466999999999999</v>
      </c>
      <c r="H39" s="6">
        <f t="shared" si="1"/>
        <v>50</v>
      </c>
      <c r="I39" s="5" cm="1">
        <f t="array" ref="I39">[1]!PVT_rs_m3m3(G39,H39,feed_mix)</f>
        <v>78.620999999999995</v>
      </c>
      <c r="J39" s="7" cm="1">
        <f t="array" ref="J39">[1]!PVT_bo_m3m3(G39,H39,feed_mix)</f>
        <v>1.1827019966239298</v>
      </c>
      <c r="K39" s="7" cm="1">
        <f t="array" ref="K39">[1]!PVT_mu_oil_cP(G39,H39,feed_mix)</f>
        <v>1.2256267510715748</v>
      </c>
    </row>
    <row r="40" spans="1:14" x14ac:dyDescent="0.25">
      <c r="A40" s="11" t="str">
        <v>PVT_corr_set</v>
      </c>
      <c r="B40" s="11">
        <v>0</v>
      </c>
      <c r="C40" s="11">
        <v>0</v>
      </c>
      <c r="D40" s="11">
        <v>0</v>
      </c>
      <c r="G40" s="5">
        <v>108.4</v>
      </c>
      <c r="H40" s="6">
        <f t="shared" si="1"/>
        <v>50</v>
      </c>
      <c r="I40" s="5" cm="1">
        <f t="array" ref="I40">[1]!PVT_rs_m3m3(G40,H40,feed_mix)</f>
        <v>78.620999999999995</v>
      </c>
      <c r="J40" s="7" cm="1">
        <f t="array" ref="J40">[1]!PVT_bo_m3m3(G40,H40,feed_mix)</f>
        <v>1.179392907024841</v>
      </c>
      <c r="K40" s="7" cm="1">
        <f t="array" ref="K40">[1]!PVT_mu_oil_cP(G40,H40,feed_mix)</f>
        <v>1.257345257015962</v>
      </c>
    </row>
    <row r="41" spans="1:14" x14ac:dyDescent="0.25">
      <c r="A41" s="11" t="str">
        <v>q_liq_sm3day</v>
      </c>
      <c r="B41" s="11">
        <v>30</v>
      </c>
      <c r="C41" s="11">
        <v>60</v>
      </c>
      <c r="D41" s="11">
        <v>90</v>
      </c>
      <c r="G41" s="5">
        <v>120.333</v>
      </c>
      <c r="H41" s="6">
        <f t="shared" si="1"/>
        <v>50</v>
      </c>
      <c r="I41" s="5" cm="1">
        <f t="array" ref="I41">[1]!PVT_rs_m3m3(G41,H41,feed_mix)</f>
        <v>78.620999999999995</v>
      </c>
      <c r="J41" s="7" cm="1">
        <f t="array" ref="J41">[1]!PVT_bo_m3m3(G41,H41,feed_mix)</f>
        <v>1.1767468064108308</v>
      </c>
      <c r="K41" s="7" cm="1">
        <f t="array" ref="K41">[1]!PVT_mu_oil_cP(G41,H41,feed_mix)</f>
        <v>1.2930002888474255</v>
      </c>
    </row>
    <row r="42" spans="1:14" x14ac:dyDescent="0.25">
      <c r="A42" s="11" t="str">
        <v>fw_perc</v>
      </c>
      <c r="B42" s="11">
        <v>10</v>
      </c>
      <c r="C42" s="11">
        <v>0</v>
      </c>
      <c r="D42" s="11">
        <v>3.3330000000000002</v>
      </c>
      <c r="G42" s="5">
        <v>132.267</v>
      </c>
      <c r="H42" s="6">
        <f t="shared" si="1"/>
        <v>50</v>
      </c>
      <c r="I42" s="5" cm="1">
        <f t="array" ref="I42">[1]!PVT_rs_m3m3(G42,H42,feed_mix)</f>
        <v>78.620999999999995</v>
      </c>
      <c r="J42" s="7" cm="1">
        <f t="array" ref="J42">[1]!PVT_bo_m3m3(G42,H42,feed_mix)</f>
        <v>1.1745824290154205</v>
      </c>
      <c r="K42" s="7" cm="1">
        <f t="array" ref="K42">[1]!PVT_mu_oil_cP(G42,H42,feed_mix)</f>
        <v>1.3322814211949354</v>
      </c>
    </row>
    <row r="43" spans="1:14" x14ac:dyDescent="0.25">
      <c r="A43" s="11" t="str">
        <v>rp_m3m3</v>
      </c>
      <c r="B43" s="11">
        <v>120</v>
      </c>
      <c r="C43" s="11">
        <v>60</v>
      </c>
      <c r="D43" s="11">
        <v>78.620999999999995</v>
      </c>
      <c r="G43" s="5">
        <v>144.19999999999999</v>
      </c>
      <c r="H43" s="6">
        <f t="shared" si="1"/>
        <v>50</v>
      </c>
      <c r="I43" s="5" cm="1">
        <f t="array" ref="I43">[1]!PVT_rs_m3m3(G43,H43,feed_mix)</f>
        <v>78.620999999999995</v>
      </c>
      <c r="J43" s="7" cm="1">
        <f t="array" ref="J43">[1]!PVT_bo_m3m3(G43,H43,feed_mix)</f>
        <v>1.1727794829818323</v>
      </c>
      <c r="K43" s="7" cm="1">
        <f t="array" ref="K43">[1]!PVT_mu_oil_cP(G43,H43,feed_mix)</f>
        <v>1.3749222602315159</v>
      </c>
    </row>
    <row r="44" spans="1:14" x14ac:dyDescent="0.25">
      <c r="A44" s="11" t="str">
        <v>q_gas_free_sm3day</v>
      </c>
      <c r="B44" s="11">
        <v>5</v>
      </c>
      <c r="C44" s="11">
        <v>1</v>
      </c>
      <c r="D44" s="11">
        <v>6</v>
      </c>
      <c r="G44" s="5">
        <v>156.13300000000001</v>
      </c>
      <c r="H44" s="6">
        <f t="shared" si="1"/>
        <v>50</v>
      </c>
      <c r="I44" s="5" cm="1">
        <f t="array" ref="I44">[1]!PVT_rs_m3m3(G44,H44,feed_mix)</f>
        <v>78.620999999999995</v>
      </c>
      <c r="J44" s="7" cm="1">
        <f t="array" ref="J44">[1]!PVT_bo_m3m3(G44,H44,feed_mix)</f>
        <v>1.1712542950419889</v>
      </c>
      <c r="K44" s="7" cm="1">
        <f t="array" ref="K44">[1]!PVT_mu_oil_cP(G44,H44,feed_mix)</f>
        <v>1.4207037597183474</v>
      </c>
    </row>
    <row r="45" spans="1:14" x14ac:dyDescent="0.25">
      <c r="G45" s="5">
        <v>168.06700000000001</v>
      </c>
      <c r="H45" s="6">
        <f t="shared" si="1"/>
        <v>50</v>
      </c>
      <c r="I45" s="5" cm="1">
        <f t="array" ref="I45">[1]!PVT_rs_m3m3(G45,H45,feed_mix)</f>
        <v>78.620999999999995</v>
      </c>
      <c r="J45" s="7" cm="1">
        <f t="array" ref="J45">[1]!PVT_bo_m3m3(G45,H45,feed_mix)</f>
        <v>1.1699471688854155</v>
      </c>
      <c r="K45" s="7" cm="1">
        <f t="array" ref="K45">[1]!PVT_mu_oil_cP(G45,H45,feed_mix)</f>
        <v>1.4694339301691819</v>
      </c>
    </row>
    <row r="46" spans="1:14" x14ac:dyDescent="0.25">
      <c r="G46" s="5">
        <v>180</v>
      </c>
      <c r="H46" s="6">
        <f t="shared" si="1"/>
        <v>50</v>
      </c>
      <c r="I46" s="5" cm="1">
        <f t="array" ref="I46">[1]!PVT_rs_m3m3(G46,H46,feed_mix)</f>
        <v>78.620999999999995</v>
      </c>
      <c r="J46" s="7" cm="1">
        <f t="array" ref="J46">[1]!PVT_bo_m3m3(G46,H46,feed_mix)</f>
        <v>1.168814636763452</v>
      </c>
      <c r="K46" s="7" cm="1">
        <f t="array" ref="K46">[1]!PVT_mu_oil_cP(G46,H46,feed_mix)</f>
        <v>1.5209260510581506</v>
      </c>
    </row>
    <row r="48" spans="1:14" x14ac:dyDescent="0.25">
      <c r="G48" s="4" t="s">
        <v>26</v>
      </c>
      <c r="H48" s="4" t="s">
        <v>27</v>
      </c>
      <c r="I48" s="4" t="s">
        <v>41</v>
      </c>
      <c r="J48" s="4" t="s">
        <v>42</v>
      </c>
      <c r="K48" s="4" t="s">
        <v>43</v>
      </c>
      <c r="L48" s="4" t="s">
        <v>44</v>
      </c>
      <c r="M48" s="4" t="s">
        <v>45</v>
      </c>
      <c r="N48" s="4" t="s">
        <v>46</v>
      </c>
    </row>
    <row r="49" spans="7:14" x14ac:dyDescent="0.25">
      <c r="G49" s="5">
        <f t="array" ref="G49:G64">[1]!decode_json($K$8)</f>
        <v>1</v>
      </c>
      <c r="H49" s="6">
        <f t="shared" ref="H49:H64" si="2">T_C</f>
        <v>50</v>
      </c>
      <c r="I49" s="8" cm="1">
        <f t="array" ref="I49">[1]!feed_gas_fraction_d(G49,H49,feed_json)</f>
        <v>0.99155097563128436</v>
      </c>
      <c r="J49" s="8" cm="1">
        <f t="array" ref="J49">[1]!feed_gas_fraction_d(G49,H49,feed_json_1)</f>
        <v>0.98462042202815969</v>
      </c>
      <c r="K49" s="8" cm="1">
        <f t="array" ref="K49">[1]!feed_gas_fraction_d(G49,H49,feed_mix)</f>
        <v>0.98792223734236728</v>
      </c>
      <c r="L49" s="10" cm="1">
        <f t="array" ref="L49">[1]!feed_q_mix_rc_m3day(G49,H49,feed_json)</f>
        <v>3605.4370679708068</v>
      </c>
      <c r="M49" s="10" cm="1">
        <f t="array" ref="M49">[1]!feed_q_mix_rc_m3day(G49,H49,feed_json_1)</f>
        <v>4023.5901868734727</v>
      </c>
      <c r="N49" s="10" cm="1">
        <f t="array" ref="N49">[1]!feed_q_mix_rc_m3day(G49,H49,feed_mix)</f>
        <v>7628.1413521223894</v>
      </c>
    </row>
    <row r="50" spans="7:14" x14ac:dyDescent="0.25">
      <c r="G50" s="5">
        <v>12.933</v>
      </c>
      <c r="H50" s="6">
        <f t="shared" si="2"/>
        <v>50</v>
      </c>
      <c r="I50" s="8" cm="1">
        <f t="array" ref="I50">[1]!feed_gas_fraction_d(G50,H50,feed_json)</f>
        <v>0.89179478260186806</v>
      </c>
      <c r="J50" s="8" cm="1">
        <f t="array" ref="J50">[1]!feed_gas_fraction_d(G50,H50,feed_json_1)</f>
        <v>0.81260942464994101</v>
      </c>
      <c r="K50" s="8" cm="1">
        <f t="array" ref="K50">[1]!feed_gas_fraction_d(G50,H50,feed_mix)</f>
        <v>0.8489921725610029</v>
      </c>
      <c r="L50" s="10" cm="1">
        <f t="array" ref="L50">[1]!feed_q_mix_rc_m3day(G50,H50,feed_json)</f>
        <v>283.88920303699689</v>
      </c>
      <c r="M50" s="10" cm="1">
        <f t="array" ref="M50">[1]!feed_q_mix_rc_m3day(G50,H50,feed_json_1)</f>
        <v>334.59315440379805</v>
      </c>
      <c r="N50" s="10" cm="1">
        <f t="array" ref="N50">[1]!feed_q_mix_rc_m3day(G50,H50,feed_mix)</f>
        <v>617.03893832099232</v>
      </c>
    </row>
    <row r="51" spans="7:14" x14ac:dyDescent="0.25">
      <c r="G51" s="5">
        <v>24.867000000000001</v>
      </c>
      <c r="H51" s="6">
        <f t="shared" si="2"/>
        <v>50</v>
      </c>
      <c r="I51" s="8" cm="1">
        <f t="array" ref="I51">[1]!feed_gas_fraction_d(G51,H51,feed_json)</f>
        <v>0.79083783381386219</v>
      </c>
      <c r="J51" s="8" cm="1">
        <f t="array" ref="J51">[1]!feed_gas_fraction_d(G51,H51,feed_json_1)</f>
        <v>0.65330100664175295</v>
      </c>
      <c r="K51" s="8" cm="1">
        <f t="array" ref="K51">[1]!feed_gas_fraction_d(G51,H51,feed_mix)</f>
        <v>0.71416308802619044</v>
      </c>
      <c r="L51" s="10" cm="1">
        <f t="array" ref="L51">[1]!feed_q_mix_rc_m3day(G51,H51,feed_json)</f>
        <v>148.45933034451303</v>
      </c>
      <c r="M51" s="10" cm="1">
        <f t="array" ref="M51">[1]!feed_q_mix_rc_m3day(G51,H51,feed_json_1)</f>
        <v>183.89759430167038</v>
      </c>
      <c r="N51" s="10" cm="1">
        <f t="array" ref="N51">[1]!feed_q_mix_rc_m3day(G51,H51,feed_mix)</f>
        <v>330.7316555583227</v>
      </c>
    </row>
    <row r="52" spans="7:14" x14ac:dyDescent="0.25">
      <c r="G52" s="5">
        <v>36.799999999999997</v>
      </c>
      <c r="H52" s="6">
        <f t="shared" si="2"/>
        <v>50</v>
      </c>
      <c r="I52" s="8" cm="1">
        <f t="array" ref="I52">[1]!feed_gas_fraction_d(G52,H52,feed_json)</f>
        <v>0.6873689301558733</v>
      </c>
      <c r="J52" s="8" cm="1">
        <f t="array" ref="J52">[1]!feed_gas_fraction_d(G52,H52,feed_json_1)</f>
        <v>0.50368790212999004</v>
      </c>
      <c r="K52" s="8" cm="1">
        <f t="array" ref="K52">[1]!feed_gas_fraction_d(G52,H52,feed_mix)</f>
        <v>0.58167524064450526</v>
      </c>
      <c r="L52" s="10" cm="1">
        <f t="array" ref="L52">[1]!feed_q_mix_rc_m3day(G52,H52,feed_json)</f>
        <v>100.55097816209444</v>
      </c>
      <c r="M52" s="10" cm="1">
        <f t="array" ref="M52">[1]!feed_q_mix_rc_m3day(G52,H52,feed_json_1)</f>
        <v>130.88994472229564</v>
      </c>
      <c r="N52" s="10" cm="1">
        <f t="array" ref="N52">[1]!feed_q_mix_rc_m3day(G52,H52,feed_mix)</f>
        <v>229.69524348217328</v>
      </c>
    </row>
    <row r="53" spans="7:14" x14ac:dyDescent="0.25">
      <c r="G53" s="5">
        <v>48.732999999999997</v>
      </c>
      <c r="H53" s="6">
        <f t="shared" si="2"/>
        <v>50</v>
      </c>
      <c r="I53" s="8" cm="1">
        <f t="array" ref="I53">[1]!feed_gas_fraction_d(G53,H53,feed_json)</f>
        <v>0.58160077251394848</v>
      </c>
      <c r="J53" s="8" cm="1">
        <f t="array" ref="J53">[1]!feed_gas_fraction_d(G53,H53,feed_json_1)</f>
        <v>0.36423715192155148</v>
      </c>
      <c r="K53" s="8" cm="1">
        <f t="array" ref="K53">[1]!feed_gas_fraction_d(G53,H53,feed_mix)</f>
        <v>0.45233574568193957</v>
      </c>
      <c r="L53" s="10" cm="1">
        <f t="array" ref="L53">[1]!feed_q_mix_rc_m3day(G53,H53,feed_json)</f>
        <v>76.144881742410377</v>
      </c>
      <c r="M53" s="10" cm="1">
        <f t="array" ref="M53">[1]!feed_q_mix_rc_m3day(G53,H53,feed_json_1)</f>
        <v>104.2630079385678</v>
      </c>
      <c r="N53" s="10" cm="1">
        <f t="array" ref="N53">[1]!feed_q_mix_rc_m3day(G53,H53,feed_mix)</f>
        <v>178.57027389348553</v>
      </c>
    </row>
    <row r="54" spans="7:14" x14ac:dyDescent="0.25">
      <c r="G54" s="5">
        <v>60.667000000000002</v>
      </c>
      <c r="H54" s="6">
        <f t="shared" si="2"/>
        <v>50</v>
      </c>
      <c r="I54" s="8" cm="1">
        <f t="array" ref="I54">[1]!feed_gas_fraction_d(G54,H54,feed_json)</f>
        <v>0.47460261682138538</v>
      </c>
      <c r="J54" s="8" cm="1">
        <f t="array" ref="J54">[1]!feed_gas_fraction_d(G54,H54,feed_json_1)</f>
        <v>0.23637548524641344</v>
      </c>
      <c r="K54" s="8" cm="1">
        <f t="array" ref="K54">[1]!feed_gas_fraction_d(G54,H54,feed_mix)</f>
        <v>0.32797292393149224</v>
      </c>
      <c r="L54" s="10" cm="1">
        <f t="array" ref="L54">[1]!feed_q_mix_rc_m3day(G54,H54,feed_json)</f>
        <v>61.510894901613284</v>
      </c>
      <c r="M54" s="10" cm="1">
        <f t="array" ref="M54">[1]!feed_q_mix_rc_m3day(G54,H54,feed_json_1)</f>
        <v>88.67485699915774</v>
      </c>
      <c r="N54" s="10" cm="1">
        <f t="array" ref="N54">[1]!feed_q_mix_rc_m3day(G54,H54,feed_mix)</f>
        <v>148.27208455096599</v>
      </c>
    </row>
    <row r="55" spans="7:14" x14ac:dyDescent="0.25">
      <c r="G55" s="5">
        <v>72.599999999999994</v>
      </c>
      <c r="H55" s="6">
        <f t="shared" si="2"/>
        <v>50</v>
      </c>
      <c r="I55" s="8" cm="1">
        <f t="array" ref="I55">[1]!feed_gas_fraction_d(G55,H55,feed_json)</f>
        <v>0.36794205612156222</v>
      </c>
      <c r="J55" s="8" cm="1">
        <f t="array" ref="J55">[1]!feed_gas_fraction_d(G55,H55,feed_json_1)</f>
        <v>0.12142093034881724</v>
      </c>
      <c r="K55" s="8" cm="1">
        <f t="array" ref="K55">[1]!feed_gas_fraction_d(G55,H55,feed_mix)</f>
        <v>0.21065081621544438</v>
      </c>
      <c r="L55" s="10" cm="1">
        <f t="array" ref="L55">[1]!feed_q_mix_rc_m3day(G55,H55,feed_json)</f>
        <v>51.906332973861446</v>
      </c>
      <c r="M55" s="10" cm="1">
        <f t="array" ref="M55">[1]!feed_q_mix_rc_m3day(G55,H55,feed_json_1)</f>
        <v>78.803050125318123</v>
      </c>
      <c r="N55" s="10" cm="1">
        <f t="array" ref="N55">[1]!feed_q_mix_rc_m3day(G55,H55,feed_mix)</f>
        <v>128.72864931296124</v>
      </c>
    </row>
    <row r="56" spans="7:14" x14ac:dyDescent="0.25">
      <c r="G56" s="5">
        <v>84.533000000000001</v>
      </c>
      <c r="H56" s="6">
        <f t="shared" si="2"/>
        <v>50</v>
      </c>
      <c r="I56" s="8" cm="1">
        <f t="array" ref="I56">[1]!feed_gas_fraction_d(G56,H56,feed_json)</f>
        <v>0.26325597353158259</v>
      </c>
      <c r="J56" s="8" cm="1">
        <f t="array" ref="J56">[1]!feed_gas_fraction_d(G56,H56,feed_json_1)</f>
        <v>1.995252495937884E-2</v>
      </c>
      <c r="K56" s="8" cm="1">
        <f t="array" ref="K56">[1]!feed_gas_fraction_d(G56,H56,feed_mix)</f>
        <v>0.10202138146804772</v>
      </c>
      <c r="L56" s="10" cm="1">
        <f t="array" ref="L56">[1]!feed_q_mix_rc_m3day(G56,H56,feed_json)</f>
        <v>45.235196458932549</v>
      </c>
      <c r="M56" s="10" cm="1">
        <f t="array" ref="M56">[1]!feed_q_mix_rc_m3day(G56,H56,feed_json_1)</f>
        <v>72.282333647571207</v>
      </c>
      <c r="N56" s="10" cm="1">
        <f t="array" ref="N56">[1]!feed_q_mix_rc_m3day(G56,H56,feed_mix)</f>
        <v>115.47418849556406</v>
      </c>
    </row>
    <row r="57" spans="7:14" x14ac:dyDescent="0.25">
      <c r="G57" s="5">
        <v>96.466999999999999</v>
      </c>
      <c r="H57" s="6">
        <f t="shared" si="2"/>
        <v>50</v>
      </c>
      <c r="I57" s="8" cm="1">
        <f t="array" ref="I57">[1]!feed_gas_fraction_d(G57,H57,feed_json)</f>
        <v>0.16195333677178134</v>
      </c>
      <c r="J57" s="8" cm="1">
        <f t="array" ref="J57">[1]!feed_gas_fraction_d(G57,H57,feed_json_1)</f>
        <v>1.3822768670096512E-4</v>
      </c>
      <c r="K57" s="8" cm="1">
        <f t="array" ref="K57">[1]!feed_gas_fraction_d(G57,H57,feed_mix)</f>
        <v>5.5597931115467067E-4</v>
      </c>
      <c r="L57" s="10" cm="1">
        <f t="array" ref="L57">[1]!feed_q_mix_rc_m3day(G57,H57,feed_json)</f>
        <v>40.418336363048191</v>
      </c>
      <c r="M57" s="10" cm="1">
        <f t="array" ref="M57">[1]!feed_q_mix_rc_m3day(G57,H57,feed_json_1)</f>
        <v>71.054096450484451</v>
      </c>
      <c r="N57" s="10" cm="1">
        <f t="array" ref="N57">[1]!feed_q_mix_rc_m3day(G57,H57,feed_mix)</f>
        <v>105.99290138238506</v>
      </c>
    </row>
    <row r="58" spans="7:14" x14ac:dyDescent="0.25">
      <c r="G58" s="5">
        <v>108.4</v>
      </c>
      <c r="H58" s="6">
        <f t="shared" si="2"/>
        <v>50</v>
      </c>
      <c r="I58" s="8" cm="1">
        <f t="array" ref="I58">[1]!feed_gas_fraction_d(G58,H58,feed_json)</f>
        <v>6.503469078519819E-2</v>
      </c>
      <c r="J58" s="8" cm="1">
        <f t="array" ref="J58">[1]!feed_gas_fraction_d(G58,H58,feed_json_1)</f>
        <v>1.2164357637153214E-4</v>
      </c>
      <c r="K58" s="8" cm="1">
        <f t="array" ref="K58">[1]!feed_gas_fraction_d(G58,H58,feed_mix)</f>
        <v>4.8965374362697797E-4</v>
      </c>
      <c r="L58" s="10" cm="1">
        <f t="array" ref="L58">[1]!feed_q_mix_rc_m3day(G58,H58,feed_json)</f>
        <v>36.838872411450723</v>
      </c>
      <c r="M58" s="10" cm="1">
        <f t="array" ref="M58">[1]!feed_q_mix_rc_m3day(G58,H58,feed_json_1)</f>
        <v>70.910705582990133</v>
      </c>
      <c r="N58" s="10" cm="1">
        <f t="array" ref="N58">[1]!feed_q_mix_rc_m3day(G58,H58,feed_mix)</f>
        <v>105.69712098491974</v>
      </c>
    </row>
    <row r="59" spans="7:14" x14ac:dyDescent="0.25">
      <c r="G59" s="5">
        <v>120.333</v>
      </c>
      <c r="H59" s="6">
        <f t="shared" si="2"/>
        <v>50</v>
      </c>
      <c r="I59" s="8" cm="1">
        <f t="array" ref="I59">[1]!feed_gas_fraction_d(G59,H59,feed_json)</f>
        <v>1.1038497442818526E-3</v>
      </c>
      <c r="J59" s="8" cm="1">
        <f t="array" ref="J59">[1]!feed_gas_fraction_d(G59,H59,feed_json_1)</f>
        <v>1.0866182753813626E-4</v>
      </c>
      <c r="K59" s="8" cm="1">
        <f t="array" ref="K59">[1]!feed_gas_fraction_d(G59,H59,feed_mix)</f>
        <v>4.3767006743536282E-4</v>
      </c>
      <c r="L59" s="10" cm="1">
        <f t="array" ref="L59">[1]!feed_q_mix_rc_m3day(G59,H59,feed_json)</f>
        <v>34.845417851500038</v>
      </c>
      <c r="M59" s="10" cm="1">
        <f t="array" ref="M59">[1]!feed_q_mix_rc_m3day(G59,H59,feed_json_1)</f>
        <v>70.795985041339662</v>
      </c>
      <c r="N59" s="10" cm="1">
        <f t="array" ref="N59">[1]!feed_q_mix_rc_m3day(G59,H59,feed_mix)</f>
        <v>105.46055153415649</v>
      </c>
    </row>
    <row r="60" spans="7:14" x14ac:dyDescent="0.25">
      <c r="G60" s="5">
        <v>132.267</v>
      </c>
      <c r="H60" s="6">
        <f t="shared" si="2"/>
        <v>50</v>
      </c>
      <c r="I60" s="8" cm="1">
        <f t="array" ref="I60">[1]!feed_gas_fraction_d(G60,H60,feed_json)</f>
        <v>1.00052179674285E-3</v>
      </c>
      <c r="J60" s="8" cm="1">
        <f t="array" ref="J60">[1]!feed_gas_fraction_d(G60,H60,feed_json_1)</f>
        <v>9.8318436061332703E-5</v>
      </c>
      <c r="K60" s="8" cm="1">
        <f t="array" ref="K60">[1]!feed_gas_fraction_d(G60,H60,feed_mix)</f>
        <v>3.9621088554751366E-4</v>
      </c>
      <c r="L60" s="10" cm="1">
        <f t="array" ref="L60">[1]!feed_q_mix_rc_m3day(G60,H60,feed_json)</f>
        <v>34.738481345476409</v>
      </c>
      <c r="M60" s="10" cm="1">
        <f t="array" ref="M60">[1]!feed_q_mix_rc_m3day(G60,H60,feed_json_1)</f>
        <v>70.702116844519935</v>
      </c>
      <c r="N60" s="10" cm="1">
        <f t="array" ref="N60">[1]!feed_q_mix_rc_m3day(G60,H60,feed_mix)</f>
        <v>105.26699504642744</v>
      </c>
    </row>
    <row r="61" spans="7:14" x14ac:dyDescent="0.25">
      <c r="G61" s="5">
        <v>144.19999999999999</v>
      </c>
      <c r="H61" s="6">
        <f t="shared" si="2"/>
        <v>50</v>
      </c>
      <c r="I61" s="8" cm="1">
        <f t="array" ref="I61">[1]!feed_gas_fraction_d(G61,H61,feed_json)</f>
        <v>9.1674784186729287E-4</v>
      </c>
      <c r="J61" s="8" cm="1">
        <f t="array" ref="J61">[1]!feed_gas_fraction_d(G61,H61,feed_json_1)</f>
        <v>8.9954773381625274E-5</v>
      </c>
      <c r="K61" s="8" cm="1">
        <f t="array" ref="K61">[1]!feed_gas_fraction_d(G61,H61,feed_mix)</f>
        <v>3.6266107440847473E-4</v>
      </c>
      <c r="L61" s="10" cm="1">
        <f t="array" ref="L61">[1]!feed_q_mix_rc_m3day(G61,H61,feed_json)</f>
        <v>34.649426745208352</v>
      </c>
      <c r="M61" s="10" cm="1">
        <f t="array" ref="M61">[1]!feed_q_mix_rc_m3day(G61,H61,feed_json_1)</f>
        <v>70.62390576173047</v>
      </c>
      <c r="N61" s="10" cm="1">
        <f t="array" ref="N61">[1]!feed_q_mix_rc_m3day(G61,H61,feed_mix)</f>
        <v>105.10569597495709</v>
      </c>
    </row>
    <row r="62" spans="7:14" x14ac:dyDescent="0.25">
      <c r="G62" s="5">
        <v>156.13300000000001</v>
      </c>
      <c r="H62" s="6">
        <f t="shared" si="2"/>
        <v>50</v>
      </c>
      <c r="I62" s="8" cm="1">
        <f t="array" ref="I62">[1]!feed_gas_fraction_d(G62,H62,feed_json)</f>
        <v>8.4796063651482862E-4</v>
      </c>
      <c r="J62" s="8" cm="1">
        <f t="array" ref="J62">[1]!feed_gas_fraction_d(G62,H62,feed_json_1)</f>
        <v>8.3102030107341999E-5</v>
      </c>
      <c r="K62" s="8" cm="1">
        <f t="array" ref="K62">[1]!feed_gas_fraction_d(G62,H62,feed_mix)</f>
        <v>3.3515503467663885E-4</v>
      </c>
      <c r="L62" s="10" cm="1">
        <f t="array" ref="L62">[1]!feed_q_mix_rc_m3day(G62,H62,feed_json)</f>
        <v>34.574074980130149</v>
      </c>
      <c r="M62" s="10" cm="1">
        <f t="array" ref="M62">[1]!feed_q_mix_rc_m3day(G62,H62,feed_json_1)</f>
        <v>70.557733882538201</v>
      </c>
      <c r="N62" s="10" cm="1">
        <f t="array" ref="N62">[1]!feed_q_mix_rc_m3day(G62,H62,feed_mix)</f>
        <v>104.96916922765692</v>
      </c>
    </row>
    <row r="63" spans="7:14" x14ac:dyDescent="0.25">
      <c r="G63" s="5">
        <v>168.06700000000001</v>
      </c>
      <c r="H63" s="6">
        <f t="shared" si="2"/>
        <v>50</v>
      </c>
      <c r="I63" s="8" cm="1">
        <f t="array" ref="I63">[1]!feed_gas_fraction_d(G63,H63,feed_json)</f>
        <v>7.9082423412208563E-4</v>
      </c>
      <c r="J63" s="8" cm="1">
        <f t="array" ref="J63">[1]!feed_gas_fraction_d(G63,H63,feed_json_1)</f>
        <v>7.7419899826109347E-5</v>
      </c>
      <c r="K63" s="8" cm="1">
        <f t="array" ref="K63">[1]!feed_gas_fraction_d(G63,H63,feed_mix)</f>
        <v>3.1233612740391638E-4</v>
      </c>
      <c r="L63" s="10" cm="1">
        <f t="array" ref="L63">[1]!feed_q_mix_rc_m3day(G63,H63,feed_json)</f>
        <v>34.509449044426368</v>
      </c>
      <c r="M63" s="10" cm="1">
        <f t="array" ref="M63">[1]!feed_q_mix_rc_m3day(G63,H63,feed_json_1)</f>
        <v>70.501017624230883</v>
      </c>
      <c r="N63" s="10" cm="1">
        <f t="array" ref="N63">[1]!feed_q_mix_rc_m3day(G63,H63,feed_mix)</f>
        <v>104.8520726847818</v>
      </c>
    </row>
    <row r="64" spans="7:14" x14ac:dyDescent="0.25">
      <c r="G64" s="5">
        <v>180</v>
      </c>
      <c r="H64" s="6">
        <f t="shared" si="2"/>
        <v>50</v>
      </c>
      <c r="I64" s="8" cm="1">
        <f t="array" ref="I64">[1]!feed_gas_fraction_d(G64,H64,feed_json)</f>
        <v>7.4286809521295172E-4</v>
      </c>
      <c r="J64" s="8" cm="1">
        <f t="array" ref="J64">[1]!feed_gas_fraction_d(G64,H64,feed_json_1)</f>
        <v>7.2657598456314729E-5</v>
      </c>
      <c r="K64" s="8" cm="1">
        <f t="array" ref="K64">[1]!feed_gas_fraction_d(G64,H64,feed_mix)</f>
        <v>2.9320317665350955E-4</v>
      </c>
      <c r="L64" s="10" cm="1">
        <f t="array" ref="L64">[1]!feed_q_mix_rc_m3day(G64,H64,feed_json)</f>
        <v>34.453384330368991</v>
      </c>
      <c r="M64" s="10" cm="1">
        <f t="array" ref="M64">[1]!feed_q_mix_rc_m3day(G64,H64,feed_json_1)</f>
        <v>70.451874366669358</v>
      </c>
      <c r="N64" s="10" cm="1">
        <f t="array" ref="N64">[1]!feed_q_mix_rc_m3day(G64,H64,feed_mix)</f>
        <v>104.75051580243512</v>
      </c>
    </row>
  </sheetData>
  <phoneticPr fontId="2" type="noConversion"/>
  <pageMargins left="0.7" right="0.7" top="0.75" bottom="0.75" header="0.3" footer="0.3"/>
  <drawing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</vt:i4>
      </vt:variant>
      <vt:variant>
        <vt:lpstr>Именованные диапазоны</vt:lpstr>
      </vt:variant>
      <vt:variant>
        <vt:i4>7</vt:i4>
      </vt:variant>
    </vt:vector>
  </HeadingPairs>
  <TitlesOfParts>
    <vt:vector size="8" baseType="lpstr">
      <vt:lpstr>Смешение флюидов</vt:lpstr>
      <vt:lpstr>feed_json</vt:lpstr>
      <vt:lpstr>feed_json_1</vt:lpstr>
      <vt:lpstr>feed_mix</vt:lpstr>
      <vt:lpstr>linspace</vt:lpstr>
      <vt:lpstr>PVT_json</vt:lpstr>
      <vt:lpstr>PVT_json_1</vt:lpstr>
      <vt:lpstr>T_C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rnt</dc:creator>
  <cp:lastModifiedBy>rnt</cp:lastModifiedBy>
  <dcterms:created xsi:type="dcterms:W3CDTF">2025-05-15T13:04:14Z</dcterms:created>
  <dcterms:modified xsi:type="dcterms:W3CDTF">2025-05-15T13:49:47Z</dcterms:modified>
</cp:coreProperties>
</file>