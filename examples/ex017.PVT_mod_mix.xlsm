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8_{C1F35C82-52BC-422D-872B-2A36A62B896D}" xr6:coauthVersionLast="47" xr6:coauthVersionMax="47" xr10:uidLastSave="{00000000-0000-0000-0000-000000000000}"/>
  <bookViews>
    <workbookView xWindow="-120" yWindow="-21720" windowWidth="38640" windowHeight="21840" xr2:uid="{655CE64E-2A26-4643-A326-EC210B114416}"/>
  </bookViews>
  <sheets>
    <sheet name="Лист1" sheetId="1" r:id="rId1"/>
    <sheet name="Лист2" sheetId="2" r:id="rId2"/>
  </sheets>
  <externalReferences>
    <externalReference r:id="rId3"/>
  </externalReferences>
  <definedNames>
    <definedName name="feed_mix">Лист1!$R$19</definedName>
    <definedName name="feed1">Лист1!$I$16</definedName>
    <definedName name="feed2">Лист1!$M$16</definedName>
    <definedName name="p">Лист1!$N$35</definedName>
    <definedName name="t">Лист1!$N$36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27" i="1" l="1"/>
  <c r="W27" i="1"/>
  <c r="V27" i="1"/>
  <c r="X26" i="1"/>
  <c r="W26" i="1"/>
  <c r="V26" i="1"/>
  <c r="G13" i="2"/>
  <c r="G12" i="2"/>
  <c r="G11" i="2"/>
  <c r="G10" i="2"/>
  <c r="G9" i="2"/>
  <c r="G8" i="2"/>
  <c r="G7" i="2"/>
  <c r="G6" i="2"/>
  <c r="M11" i="1"/>
  <c r="I11" i="1"/>
  <c r="S5" i="1" s="1" a="1"/>
  <c r="Q4" i="1" a="1"/>
  <c r="S5" i="1" l="1"/>
  <c r="Q4" i="1"/>
  <c r="Q5" i="1" a="1"/>
  <c r="I16" i="1"/>
  <c r="M16" i="1"/>
  <c r="R19" i="1" s="1" a="1"/>
  <c r="M57" i="1" a="1"/>
  <c r="M58" i="1" a="1"/>
  <c r="H21" i="1" a="1"/>
  <c r="M51" i="1" a="1"/>
  <c r="M59" i="1" a="1"/>
  <c r="M67" i="1" a="1"/>
  <c r="M52" i="1" a="1"/>
  <c r="M60" i="1" a="1"/>
  <c r="M68" i="1" a="1"/>
  <c r="M49" i="1" a="1"/>
  <c r="M65" i="1" a="1"/>
  <c r="M66" i="1" a="1"/>
  <c r="M53" i="1" a="1"/>
  <c r="M61" i="1" a="1"/>
  <c r="M69" i="1" a="1"/>
  <c r="M54" i="1" a="1"/>
  <c r="M62" i="1" a="1"/>
  <c r="M70" i="1" a="1"/>
  <c r="M50" i="1" a="1"/>
  <c r="M55" i="1" a="1"/>
  <c r="M63" i="1" a="1"/>
  <c r="M71" i="1" a="1"/>
  <c r="M56" i="1" a="1"/>
  <c r="M64" i="1" a="1"/>
  <c r="M48" i="1" a="1"/>
  <c r="N59" i="1" a="1"/>
  <c r="N54" i="1" a="1"/>
  <c r="N53" i="1" a="1"/>
  <c r="N61" i="1" a="1"/>
  <c r="N69" i="1" a="1"/>
  <c r="N56" i="1" a="1"/>
  <c r="N64" i="1" a="1"/>
  <c r="N52" i="1" a="1"/>
  <c r="L21" i="1" a="1"/>
  <c r="N51" i="1" a="1"/>
  <c r="N67" i="1" a="1"/>
  <c r="N70" i="1" a="1"/>
  <c r="AI5" i="1" a="1"/>
  <c r="N55" i="1" a="1"/>
  <c r="N63" i="1" a="1"/>
  <c r="N71" i="1" a="1"/>
  <c r="N58" i="1" a="1"/>
  <c r="N66" i="1" a="1"/>
  <c r="N48" i="1" a="1"/>
  <c r="N62" i="1" a="1"/>
  <c r="N49" i="1" a="1"/>
  <c r="N57" i="1" a="1"/>
  <c r="N65" i="1" a="1"/>
  <c r="N50" i="1" a="1"/>
  <c r="N60" i="1" a="1"/>
  <c r="N68" i="1" a="1"/>
  <c r="I18" i="1" a="1"/>
  <c r="M18" i="1" a="1"/>
  <c r="V24" i="1" a="1"/>
  <c r="AI4" i="1" a="1"/>
  <c r="W24" i="1" a="1"/>
  <c r="R19" i="1" l="1"/>
  <c r="W24" i="1"/>
  <c r="V24" i="1"/>
  <c r="AI4" i="1"/>
  <c r="Q5" i="1"/>
  <c r="M18" i="1"/>
  <c r="I18" i="1"/>
  <c r="N68" i="1"/>
  <c r="N60" i="1"/>
  <c r="N50" i="1"/>
  <c r="N65" i="1"/>
  <c r="N57" i="1"/>
  <c r="N49" i="1"/>
  <c r="N62" i="1"/>
  <c r="N48" i="1"/>
  <c r="N66" i="1"/>
  <c r="N58" i="1"/>
  <c r="N71" i="1"/>
  <c r="N63" i="1"/>
  <c r="N55" i="1"/>
  <c r="AI5" i="1"/>
  <c r="N70" i="1"/>
  <c r="N67" i="1"/>
  <c r="N51" i="1"/>
  <c r="L21" i="1"/>
  <c r="N52" i="1"/>
  <c r="N64" i="1"/>
  <c r="N56" i="1"/>
  <c r="N69" i="1"/>
  <c r="N61" i="1"/>
  <c r="N53" i="1"/>
  <c r="N54" i="1"/>
  <c r="N59" i="1"/>
  <c r="M48" i="1"/>
  <c r="M64" i="1"/>
  <c r="M56" i="1"/>
  <c r="M71" i="1"/>
  <c r="M63" i="1"/>
  <c r="M55" i="1"/>
  <c r="M50" i="1"/>
  <c r="M70" i="1"/>
  <c r="M62" i="1"/>
  <c r="M54" i="1"/>
  <c r="M69" i="1"/>
  <c r="M61" i="1"/>
  <c r="M53" i="1"/>
  <c r="M66" i="1"/>
  <c r="M65" i="1"/>
  <c r="M49" i="1"/>
  <c r="M68" i="1"/>
  <c r="M60" i="1"/>
  <c r="M52" i="1"/>
  <c r="M67" i="1"/>
  <c r="M59" i="1"/>
  <c r="M51" i="1"/>
  <c r="H21" i="1"/>
  <c r="M58" i="1"/>
  <c r="M57" i="1"/>
  <c r="Z24" i="1" a="1"/>
  <c r="O48" i="1" a="1"/>
  <c r="O70" i="1" a="1"/>
  <c r="O66" i="1" a="1"/>
  <c r="O62" i="1" a="1"/>
  <c r="O50" i="1" a="1"/>
  <c r="O68" i="1" a="1"/>
  <c r="O64" i="1" a="1"/>
  <c r="O60" i="1" a="1"/>
  <c r="O58" i="1" a="1"/>
  <c r="O56" i="1" a="1"/>
  <c r="O54" i="1" a="1"/>
  <c r="O52" i="1" a="1"/>
  <c r="O71" i="1" a="1"/>
  <c r="O69" i="1" a="1"/>
  <c r="O67" i="1" a="1"/>
  <c r="O65" i="1" a="1"/>
  <c r="O63" i="1" a="1"/>
  <c r="O61" i="1" a="1"/>
  <c r="O59" i="1" a="1"/>
  <c r="O57" i="1" a="1"/>
  <c r="O55" i="1" a="1"/>
  <c r="O53" i="1" a="1"/>
  <c r="O51" i="1" a="1"/>
  <c r="O49" i="1" a="1"/>
  <c r="R21" i="1" a="1"/>
  <c r="AL6" i="1" a="1"/>
  <c r="AI6" i="1" a="1"/>
  <c r="X24" i="1" l="1"/>
  <c r="Z26" i="1"/>
  <c r="Z27" i="1" s="1"/>
  <c r="Z24" i="1"/>
  <c r="O49" i="1"/>
  <c r="O51" i="1"/>
  <c r="O53" i="1"/>
  <c r="O55" i="1"/>
  <c r="O57" i="1"/>
  <c r="O59" i="1"/>
  <c r="O61" i="1"/>
  <c r="O63" i="1"/>
  <c r="O65" i="1"/>
  <c r="O67" i="1"/>
  <c r="O69" i="1"/>
  <c r="O71" i="1"/>
  <c r="O52" i="1"/>
  <c r="O54" i="1"/>
  <c r="O56" i="1"/>
  <c r="O58" i="1"/>
  <c r="O60" i="1"/>
  <c r="O64" i="1"/>
  <c r="O68" i="1"/>
  <c r="O50" i="1"/>
  <c r="O62" i="1"/>
  <c r="O66" i="1"/>
  <c r="O70" i="1"/>
  <c r="O48" i="1"/>
  <c r="AI6" i="1"/>
  <c r="AL6" i="1"/>
  <c r="R2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<sst xmlns="http://schemas.openxmlformats.org/spreadsheetml/2006/main" count="61" uniqueCount="45">
  <si>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</si>
  <si>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</si>
  <si>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</si>
  <si>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</si>
  <si>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</si>
  <si>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</si>
  <si>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</si>
  <si>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</si>
  <si>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</si>
  <si>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</si>
  <si>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</si>
  <si>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</si>
  <si>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</si>
  <si>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</si>
  <si>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</si>
  <si>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>p</t>
  </si>
  <si>
    <t>rs feed 1</t>
  </si>
  <si>
    <t>T</t>
  </si>
  <si>
    <t>rs feed2</t>
  </si>
  <si>
    <t>Вязкость</t>
  </si>
  <si>
    <t>сП</t>
  </si>
  <si>
    <t>мПа·с</t>
  </si>
  <si>
    <t>Давление</t>
  </si>
  <si>
    <t>бар</t>
  </si>
  <si>
    <t>psi</t>
  </si>
  <si>
    <t>Проницаемость</t>
  </si>
  <si>
    <t>мД</t>
  </si>
  <si>
    <t>Температура</t>
  </si>
  <si>
    <t>°С</t>
  </si>
  <si>
    <t>°F</t>
  </si>
  <si>
    <t>Газосодержание</t>
  </si>
  <si>
    <t>м³/м³</t>
  </si>
  <si>
    <t>Расстояние</t>
  </si>
  <si>
    <t>мм</t>
  </si>
  <si>
    <t>in</t>
  </si>
  <si>
    <t>Дебит</t>
  </si>
  <si>
    <t>м³/сут</t>
  </si>
  <si>
    <t>bpd</t>
  </si>
  <si>
    <t>Плотность</t>
  </si>
  <si>
    <t>кг/м³</t>
  </si>
  <si>
    <t>°API</t>
  </si>
  <si>
    <t>scft/bbl</t>
  </si>
  <si>
    <t>Qo</t>
  </si>
  <si>
    <t>Qg</t>
  </si>
  <si>
    <t xml:space="preserve">Пример слияния двух потоков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</si>
</sst>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0" borderId="0" xfId="0" applyFont="1"/>
    <xf numFmtId="165" fontId="0" fillId="0" borderId="0" xfId="0" applyNumberFormat="1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Лист1!$M$47</c:f>
              <c:strCache>
                <c:ptCount val="1"/>
                <c:pt idx="0">
                  <c:v>rs feed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Лист1!$L$48:$L$71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80</c:v>
                </c:pt>
                <c:pt idx="8">
                  <c:v>110</c:v>
                </c:pt>
                <c:pt idx="9">
                  <c:v>140</c:v>
                </c:pt>
                <c:pt idx="10">
                  <c:v>170</c:v>
                </c:pt>
                <c:pt idx="11">
                  <c:v>200</c:v>
                </c:pt>
                <c:pt idx="12">
                  <c:v>230</c:v>
                </c:pt>
                <c:pt idx="13">
                  <c:v>260</c:v>
                </c:pt>
                <c:pt idx="14">
                  <c:v>290</c:v>
                </c:pt>
                <c:pt idx="15">
                  <c:v>320</c:v>
                </c:pt>
                <c:pt idx="16">
                  <c:v>350</c:v>
                </c:pt>
                <c:pt idx="17">
                  <c:v>380</c:v>
                </c:pt>
                <c:pt idx="18">
                  <c:v>410</c:v>
                </c:pt>
                <c:pt idx="19">
                  <c:v>440</c:v>
                </c:pt>
                <c:pt idx="20">
                  <c:v>470</c:v>
                </c:pt>
                <c:pt idx="21">
                  <c:v>500</c:v>
                </c:pt>
                <c:pt idx="22">
                  <c:v>530</c:v>
                </c:pt>
                <c:pt idx="23">
                  <c:v>560</c:v>
                </c:pt>
              </c:numCache>
            </c:numRef>
          </c:xVal>
          <c:yVal>
            <c:numRef>
              <c:f>Лист1!$M$48:$M$71</c:f>
              <c:numCache>
                <c:formatCode>General</c:formatCode>
                <c:ptCount val="24"/>
                <c:pt idx="0">
                  <c:v>0.12912591961217293</c:v>
                </c:pt>
                <c:pt idx="1">
                  <c:v>0.89654751828329948</c:v>
                </c:pt>
                <c:pt idx="2">
                  <c:v>2.0654440141790347</c:v>
                </c:pt>
                <c:pt idx="3">
                  <c:v>4.7583188717945637</c:v>
                </c:pt>
                <c:pt idx="4">
                  <c:v>7.7529577663624369</c:v>
                </c:pt>
                <c:pt idx="5">
                  <c:v>10.96209741355579</c:v>
                </c:pt>
                <c:pt idx="6">
                  <c:v>14.340797809046082</c:v>
                </c:pt>
                <c:pt idx="7">
                  <c:v>25.254209089809539</c:v>
                </c:pt>
                <c:pt idx="8">
                  <c:v>33.215274351507247</c:v>
                </c:pt>
                <c:pt idx="9">
                  <c:v>33.215274351507247</c:v>
                </c:pt>
                <c:pt idx="10">
                  <c:v>33.215274351507247</c:v>
                </c:pt>
                <c:pt idx="11">
                  <c:v>33.215274351507247</c:v>
                </c:pt>
                <c:pt idx="12">
                  <c:v>33.215274351507247</c:v>
                </c:pt>
                <c:pt idx="13">
                  <c:v>33.215274351507247</c:v>
                </c:pt>
                <c:pt idx="14">
                  <c:v>33.215274351507247</c:v>
                </c:pt>
                <c:pt idx="15">
                  <c:v>33.215274351507247</c:v>
                </c:pt>
                <c:pt idx="16">
                  <c:v>33.215274351507247</c:v>
                </c:pt>
                <c:pt idx="17">
                  <c:v>33.215274351507247</c:v>
                </c:pt>
                <c:pt idx="18">
                  <c:v>33.215274351507247</c:v>
                </c:pt>
                <c:pt idx="19">
                  <c:v>33.215274351507247</c:v>
                </c:pt>
                <c:pt idx="20">
                  <c:v>33.215274351507247</c:v>
                </c:pt>
                <c:pt idx="21">
                  <c:v>33.215274351507247</c:v>
                </c:pt>
                <c:pt idx="22">
                  <c:v>33.215274351507247</c:v>
                </c:pt>
                <c:pt idx="23">
                  <c:v>33.215274351507247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F-4ED5-BECF-84D6EE9A9B82}"/>
            </c:ext>
          </c:extLst>
        </c:ser>
        <c:ser>
          <c:idx val="1"/>
          <c:order val="1"/>
          <c:tx>
            <c:strRef>
              <c:f>Лист1!$N$47</c:f>
              <c:strCache>
                <c:ptCount val="1"/>
                <c:pt idx="0">
                  <c:v>rs feed2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Лист1!$L$48:$L$71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80</c:v>
                </c:pt>
                <c:pt idx="8">
                  <c:v>110</c:v>
                </c:pt>
                <c:pt idx="9">
                  <c:v>140</c:v>
                </c:pt>
                <c:pt idx="10">
                  <c:v>170</c:v>
                </c:pt>
                <c:pt idx="11">
                  <c:v>200</c:v>
                </c:pt>
                <c:pt idx="12">
                  <c:v>230</c:v>
                </c:pt>
                <c:pt idx="13">
                  <c:v>260</c:v>
                </c:pt>
                <c:pt idx="14">
                  <c:v>290</c:v>
                </c:pt>
                <c:pt idx="15">
                  <c:v>320</c:v>
                </c:pt>
                <c:pt idx="16">
                  <c:v>350</c:v>
                </c:pt>
                <c:pt idx="17">
                  <c:v>380</c:v>
                </c:pt>
                <c:pt idx="18">
                  <c:v>410</c:v>
                </c:pt>
                <c:pt idx="19">
                  <c:v>440</c:v>
                </c:pt>
                <c:pt idx="20">
                  <c:v>470</c:v>
                </c:pt>
                <c:pt idx="21">
                  <c:v>500</c:v>
                </c:pt>
                <c:pt idx="22">
                  <c:v>530</c:v>
                </c:pt>
                <c:pt idx="23">
                  <c:v>560</c:v>
                </c:pt>
              </c:numCache>
            </c:numRef>
          </c:xVal>
          <c:yVal>
            <c:numRef>
              <c:f>Лист1!$N$48:$N$71</c:f>
              <c:numCache>
                <c:formatCode>General</c:formatCode>
                <c:ptCount val="24"/>
                <c:pt idx="0">
                  <c:v>7.7972628877435408</c:v>
                </c:pt>
                <c:pt idx="1">
                  <c:v>19.687914056339597</c:v>
                </c:pt>
                <c:pt idx="2">
                  <c:v>26.992699745640149</c:v>
                </c:pt>
                <c:pt idx="3">
                  <c:v>37.301219656314821</c:v>
                </c:pt>
                <c:pt idx="4">
                  <c:v>45.664188258641111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3F-4ED5-BECF-84D6EE9A9B82}"/>
            </c:ext>
          </c:extLst>
        </c:ser>
        <c:ser>
          <c:idx val="2"/>
          <c:order val="2"/>
          <c:tx>
            <c:strRef>
              <c:f>Лист1!$O$47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Лист1!$L$48:$L$71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80</c:v>
                </c:pt>
                <c:pt idx="8">
                  <c:v>110</c:v>
                </c:pt>
                <c:pt idx="9">
                  <c:v>140</c:v>
                </c:pt>
                <c:pt idx="10">
                  <c:v>170</c:v>
                </c:pt>
                <c:pt idx="11">
                  <c:v>200</c:v>
                </c:pt>
                <c:pt idx="12">
                  <c:v>230</c:v>
                </c:pt>
                <c:pt idx="13">
                  <c:v>260</c:v>
                </c:pt>
                <c:pt idx="14">
                  <c:v>290</c:v>
                </c:pt>
                <c:pt idx="15">
                  <c:v>320</c:v>
                </c:pt>
                <c:pt idx="16">
                  <c:v>350</c:v>
                </c:pt>
                <c:pt idx="17">
                  <c:v>380</c:v>
                </c:pt>
                <c:pt idx="18">
                  <c:v>410</c:v>
                </c:pt>
                <c:pt idx="19">
                  <c:v>440</c:v>
                </c:pt>
                <c:pt idx="20">
                  <c:v>470</c:v>
                </c:pt>
                <c:pt idx="21">
                  <c:v>500</c:v>
                </c:pt>
                <c:pt idx="22">
                  <c:v>530</c:v>
                </c:pt>
                <c:pt idx="23">
                  <c:v>560</c:v>
                </c:pt>
              </c:numCache>
            </c:numRef>
          </c:xVal>
          <c:yVal>
            <c:numRef>
              <c:f>Лист1!$O$48:$O$71</c:f>
              <c:numCache>
                <c:formatCode>General</c:formatCode>
                <c:ptCount val="24"/>
                <c:pt idx="0">
                  <c:v>0.15081131730154482</c:v>
                </c:pt>
                <c:pt idx="1">
                  <c:v>1.0471136442771076</c:v>
                </c:pt>
                <c:pt idx="2">
                  <c:v>2.4123145339564025</c:v>
                </c:pt>
                <c:pt idx="3">
                  <c:v>5.5574306022482594</c:v>
                </c:pt>
                <c:pt idx="4">
                  <c:v>9.0549889382405286</c:v>
                </c:pt>
                <c:pt idx="5">
                  <c:v>12.803071267887837</c:v>
                </c:pt>
                <c:pt idx="6">
                  <c:v>16.749190365754117</c:v>
                </c:pt>
                <c:pt idx="7">
                  <c:v>29.495399155196246</c:v>
                </c:pt>
                <c:pt idx="8">
                  <c:v>35.405000000000001</c:v>
                </c:pt>
                <c:pt idx="9">
                  <c:v>35.405000000000001</c:v>
                </c:pt>
                <c:pt idx="10">
                  <c:v>35.405000000000001</c:v>
                </c:pt>
                <c:pt idx="11">
                  <c:v>35.405000000000001</c:v>
                </c:pt>
                <c:pt idx="12">
                  <c:v>35.405000000000001</c:v>
                </c:pt>
                <c:pt idx="13">
                  <c:v>35.405000000000001</c:v>
                </c:pt>
                <c:pt idx="14">
                  <c:v>35.405000000000001</c:v>
                </c:pt>
                <c:pt idx="15">
                  <c:v>35.405000000000001</c:v>
                </c:pt>
                <c:pt idx="16">
                  <c:v>35.405000000000001</c:v>
                </c:pt>
                <c:pt idx="17">
                  <c:v>35.405000000000001</c:v>
                </c:pt>
                <c:pt idx="18">
                  <c:v>35.405000000000001</c:v>
                </c:pt>
                <c:pt idx="19">
                  <c:v>35.405000000000001</c:v>
                </c:pt>
                <c:pt idx="20">
                  <c:v>35.405000000000001</c:v>
                </c:pt>
                <c:pt idx="21">
                  <c:v>35.405000000000001</c:v>
                </c:pt>
                <c:pt idx="22">
                  <c:v>35.405000000000001</c:v>
                </c:pt>
                <c:pt idx="23">
                  <c:v>35.405000000000001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F-4433-A7F6-788FC2DDF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638495"/>
        <c:axId val="2077143135"/>
      </c:scatterChart>
      <c:valAx>
        <c:axId val="2072638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7143135"/>
        <c:crosses val="autoZero"/>
        <c:crossBetween val="midCat"/>
      </c:valAx>
      <c:valAx>
        <c:axId val="207714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638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437252</xdr:colOff>
      <xdr:row>47</xdr:row>
      <xdr:rowOff>89812</xdr:rowOff>
    </xdr:from>
    <xdr:to>
      <xdr:col>26</xdr:col>
      <xdr:colOff>64711</xdr:colOff>
      <xdr:row>69</xdr:row>
      <xdr:rowOff>47259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139F9A6-E665-4CCE-9546-499C7F3EE9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PVT"/>
      <definedName name="feed_mod_mix"/>
      <definedName name="feed_mod_separate_gas"/>
      <definedName name="feed_q_mix_rc_m3day"/>
      <definedName name="PVT_pb_atma"/>
      <definedName name="PVT_rs_m3m3"/>
      <definedName name="PVT_rsb_m3m3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D4D40-318F-4317-88A8-15A2B78CBBC0}">
  <sheetPr codeName="Лист1"/>
  <dimension ref="G1:AL71"/>
  <sheetViews>
    <sheetView tabSelected="1" topLeftCell="F1" zoomScale="115" zoomScaleNormal="115" workbookViewId="0">
      <selection activeCell="O22" sqref="O22"/>
    </sheetView>
  </sheetViews>
  <sheetFormatPr defaultRowHeight="14.4" x14ac:dyDescent="0.3"/>
  <cols>
    <col min="8" max="8" width="12.5546875" customWidth="1"/>
    <col min="12" max="12" width="12.109375" customWidth="1"/>
    <col min="15" max="15" width="12.77734375" customWidth="1"/>
    <col min="18" max="18" width="10.44140625" customWidth="1"/>
  </cols>
  <sheetData>
    <row r="1" spans="7:38" x14ac:dyDescent="0.3">
      <c r="G1" t="s">
        <v>44</v>
      </c>
    </row>
    <row r="2" spans="7:38" x14ac:dyDescent="0.3">
      <c r="H2" t="s">
        <v>0</v>
      </c>
      <c r="I2">
        <v>0.6</v>
      </c>
      <c r="L2" t="s">
        <v>0</v>
      </c>
      <c r="M2">
        <v>0.9</v>
      </c>
    </row>
    <row r="3" spans="7:38" x14ac:dyDescent="0.3">
      <c r="H3" t="s">
        <v>1</v>
      </c>
      <c r="I3">
        <v>0.9</v>
      </c>
      <c r="L3" t="s">
        <v>1</v>
      </c>
      <c r="M3">
        <v>0.8</v>
      </c>
      <c r="S3">
        <v>500</v>
      </c>
    </row>
    <row r="4" spans="7:38" x14ac:dyDescent="0.3">
      <c r="H4" t="s">
        <v>2</v>
      </c>
      <c r="I4">
        <v>1</v>
      </c>
      <c r="L4" t="s">
        <v>2</v>
      </c>
      <c r="M4">
        <v>1.3</v>
      </c>
      <c r="Q4" cm="1">
        <f t="array" ref="Q4">[1]!PVT_pb_atma(I7,I11)</f>
        <v>100</v>
      </c>
      <c r="AI4" t="str" cm="1">
        <f t="array" ref="AI4">[1]!feed_mod_separate_gas(1,p,t,feed1)</f>
        <v>error:feed_mod_separate_gas: Error:CPVT.mod_after_separation:Error:CPVT.calc_PVT:unf_pvt_Zgas_d: error with t_K = 273, P_MPa = 0, GammaGas = 0,6, z_cor = 2: Overflow</v>
      </c>
    </row>
    <row r="5" spans="7:38" x14ac:dyDescent="0.3">
      <c r="H5" t="s">
        <v>3</v>
      </c>
      <c r="L5" t="s">
        <v>3</v>
      </c>
      <c r="M5">
        <v>50</v>
      </c>
      <c r="Q5" cm="1">
        <f t="array" ref="Q5">[1]!PVT_rsb_m3m3(Q4,I7,I11)</f>
        <v>33.215274351507247</v>
      </c>
      <c r="S5" cm="1">
        <f t="array" ref="S5">[1]!PVT_rs_m3m3(S3,I7,I11)</f>
        <v>33.215274351507247</v>
      </c>
      <c r="AI5" t="str" cm="1">
        <f t="array" ref="AI5">[1]!feed_mod_separate_gas(1,p,t,feed2)</f>
        <v>error:feed_mod_separate_gas: Error:CPVT.mod_after_separation:Error:CPVT.calc_PVT:unf_pvt_Zgas_d: error with t_K = 273, P_MPa = 0, GammaGas = 0,9, z_cor = 2: Overflow</v>
      </c>
    </row>
    <row r="6" spans="7:38" x14ac:dyDescent="0.3">
      <c r="H6" t="s">
        <v>4</v>
      </c>
      <c r="I6">
        <v>100</v>
      </c>
      <c r="L6" t="s">
        <v>4</v>
      </c>
      <c r="M6">
        <v>30</v>
      </c>
      <c r="AI6" t="str" cm="1">
        <f t="array" ref="AI6">[1]!decode_json(AI4)</f>
        <v>error</v>
      </c>
      <c r="AL6" t="str" cm="1">
        <f t="array" ref="AL6">[1]!decode_json(AI5)</f>
        <v>error</v>
      </c>
    </row>
    <row r="7" spans="7:38" x14ac:dyDescent="0.3">
      <c r="H7" t="s">
        <v>5</v>
      </c>
      <c r="I7">
        <v>80</v>
      </c>
      <c r="L7" t="s">
        <v>5</v>
      </c>
      <c r="M7">
        <v>40</v>
      </c>
    </row>
    <row r="8" spans="7:38" x14ac:dyDescent="0.3">
      <c r="H8" t="s">
        <v>6</v>
      </c>
      <c r="I8">
        <v>1.4</v>
      </c>
      <c r="L8" t="s">
        <v>6</v>
      </c>
      <c r="M8">
        <v>1.04</v>
      </c>
    </row>
    <row r="9" spans="7:38" x14ac:dyDescent="0.3">
      <c r="H9" t="s">
        <v>7</v>
      </c>
      <c r="I9">
        <v>0.9</v>
      </c>
      <c r="L9" t="s">
        <v>7</v>
      </c>
      <c r="M9">
        <v>0.4</v>
      </c>
    </row>
    <row r="10" spans="7:38" x14ac:dyDescent="0.3">
      <c r="H10" t="s">
        <v>8</v>
      </c>
      <c r="I10">
        <v>0</v>
      </c>
      <c r="L10" t="s">
        <v>8</v>
      </c>
      <c r="M10">
        <v>1</v>
      </c>
    </row>
    <row r="11" spans="7:38" x14ac:dyDescent="0.3">
      <c r="H11" t="s">
        <v>9</v>
      </c>
      <c r="I11" t="str">
        <f>[1]!encode_PVT(I2,I3,I4,I5,I6,I7,I8,I9,I10)</f>
        <v>{"gamma_gas":0.6,"gamma_oil":0.9,"gamma_wat":1,"rsb_m3m3":0,"pb_atma":100,"t_res_C":80,"bob_m3m3":1.4,"muob_cP":0.9,"PVT_corr_set":0}</v>
      </c>
      <c r="L11" t="s">
        <v>9</v>
      </c>
      <c r="M11" t="str">
        <f>[1]!encode_PVT(M2,M3,M4,M5,M6,M7,M8,M9,M10)</f>
        <v>{"gamma_gas":0.9,"gamma_oil":0.8,"gamma_wat":1.3,"rsb_m3m3":50,"pb_atma":30,"t_res_C":40,"bob_m3m3":1.04,"muob_cP":0.4,"PVT_corr_set":1}</v>
      </c>
    </row>
    <row r="12" spans="7:38" x14ac:dyDescent="0.3">
      <c r="H12" t="s">
        <v>10</v>
      </c>
      <c r="I12">
        <v>100</v>
      </c>
      <c r="L12" t="s">
        <v>10</v>
      </c>
      <c r="M12">
        <v>30</v>
      </c>
    </row>
    <row r="13" spans="7:38" x14ac:dyDescent="0.3">
      <c r="H13" t="s">
        <v>11</v>
      </c>
      <c r="I13">
        <v>80</v>
      </c>
      <c r="L13" t="s">
        <v>11</v>
      </c>
      <c r="M13">
        <v>90</v>
      </c>
    </row>
    <row r="14" spans="7:38" x14ac:dyDescent="0.3">
      <c r="H14" t="s">
        <v>12</v>
      </c>
      <c r="I14">
        <v>500</v>
      </c>
      <c r="L14" t="s">
        <v>12</v>
      </c>
      <c r="M14">
        <v>60</v>
      </c>
    </row>
    <row r="15" spans="7:38" x14ac:dyDescent="0.3">
      <c r="H15" t="s">
        <v>13</v>
      </c>
      <c r="I15">
        <v>0</v>
      </c>
      <c r="L15" t="s">
        <v>13</v>
      </c>
      <c r="M15">
        <v>5000</v>
      </c>
    </row>
    <row r="16" spans="7:38" x14ac:dyDescent="0.3">
      <c r="H16" t="s">
        <v>14</v>
      </c>
      <c r="I16" t="str">
        <f>[1]!encode_feed(I12,I13,I14,I15,I11)</f>
        <v>{"gamma_gas":0.6,"gamma_oil":0.9,"gamma_wat":1,"rsb_m3m3":0,"pb_atma":100,"t_res_C":80,"bob_m3m3":1.4,"muob_cP":0.9,"PVT_corr_set":0,"q_liq_sm3day":100,"fw_perc":80,"rp_m3m3":500}</v>
      </c>
      <c r="L16" t="s">
        <v>14</v>
      </c>
      <c r="M16" t="str">
        <f>[1]!encode_feed(M12,M13,M14,M15,M11)</f>
        <v>{"gamma_gas":0.9,"gamma_oil":0.8,"gamma_wat":1.3,"rsb_m3m3":50,"pb_atma":30,"t_res_C":40,"bob_m3m3":1.04,"muob_cP":0.4,"PVT_corr_set":1,"q_liq_sm3day":30,"fw_perc":90,"rp_m3m3":60,"q_gas_free_sm3day":5000}</v>
      </c>
    </row>
    <row r="17" spans="8:26" x14ac:dyDescent="0.3">
      <c r="I17" s="4">
        <v>250</v>
      </c>
      <c r="M17" s="4">
        <v>30</v>
      </c>
    </row>
    <row r="18" spans="8:26" x14ac:dyDescent="0.3">
      <c r="I18" s="4" cm="1">
        <f t="array" ref="I18">[1]!PVT_rsb_m3m3(I17,t,feed1)</f>
        <v>144.27562834746388</v>
      </c>
      <c r="M18" s="4" cm="1">
        <f t="array" ref="M18">[1]!PVT_rsb_m3m3(M17,t,feed2)</f>
        <v>141.0049945202274</v>
      </c>
    </row>
    <row r="19" spans="8:26" x14ac:dyDescent="0.3">
      <c r="R19" t="str" cm="1">
        <f t="array" ref="R19">[1]!feed_mod_mix(feed1,feed2)</f>
        <v>{"gamma_gas":0.605,"gamma_oil":0.887,"gamma_wat":1.076,"rsb_m3m3":35.405,"pb_atma":90.87,"t_res_C":74.783,"bob_m3m3":1.353,"muob_cP":0.835,"PVT_corr_set":0,"q_liq_sm3day":130,"fw_perc":82.308,"rp_m3m3":442.609,"q_gas_free_sm3day":5000}</v>
      </c>
    </row>
    <row r="21" spans="8:26" x14ac:dyDescent="0.3">
      <c r="H21" s="1" t="str" cm="1">
        <f t="array" ref="H21:I32">[1]!decode_json(feed1)</f>
        <v>gamma_gas</v>
      </c>
      <c r="I21" s="1">
        <v>0.6</v>
      </c>
      <c r="L21" s="2" t="str" cm="1">
        <f t="array" ref="L21:M33">[1]!decode_json(feed2)</f>
        <v>gamma_gas</v>
      </c>
      <c r="M21" s="2">
        <v>0.9</v>
      </c>
      <c r="N21" s="2"/>
      <c r="R21" s="3" t="str" cm="1">
        <f t="array" ref="R21:S33">[1]!decode_json(R19)</f>
        <v>gamma_gas</v>
      </c>
      <c r="S21" s="3">
        <v>0.60499999999999998</v>
      </c>
      <c r="V21">
        <v>1</v>
      </c>
    </row>
    <row r="22" spans="8:26" x14ac:dyDescent="0.3">
      <c r="H22" s="1" t="str">
        <v>gamma_oil</v>
      </c>
      <c r="I22" s="1">
        <v>0.9</v>
      </c>
      <c r="L22" s="2" t="str">
        <v>gamma_oil</v>
      </c>
      <c r="M22" s="2">
        <v>0.8</v>
      </c>
      <c r="N22" s="2"/>
      <c r="R22" s="3" t="str">
        <v>gamma_oil</v>
      </c>
      <c r="S22" s="3">
        <v>0.88700000000000001</v>
      </c>
      <c r="V22">
        <v>1</v>
      </c>
    </row>
    <row r="23" spans="8:26" x14ac:dyDescent="0.3">
      <c r="H23" s="1" t="str">
        <v>gamma_wat</v>
      </c>
      <c r="I23" s="1">
        <v>1</v>
      </c>
      <c r="L23" s="2" t="str">
        <v>gamma_wat</v>
      </c>
      <c r="M23" s="2">
        <v>1.3</v>
      </c>
      <c r="N23" s="2"/>
      <c r="R23" s="3" t="str">
        <v>gamma_wat</v>
      </c>
      <c r="S23" s="3">
        <v>1.0760000000000001</v>
      </c>
    </row>
    <row r="24" spans="8:26" x14ac:dyDescent="0.3">
      <c r="H24" s="1" t="str">
        <v>rsb_m3m3</v>
      </c>
      <c r="I24" s="1">
        <v>0</v>
      </c>
      <c r="L24" s="2" t="str">
        <v>rsb_m3m3</v>
      </c>
      <c r="M24" s="2">
        <v>50</v>
      </c>
      <c r="N24" s="2"/>
      <c r="R24" s="3" t="str">
        <v>rsb_m3m3</v>
      </c>
      <c r="S24" s="3">
        <v>35.405000000000001</v>
      </c>
      <c r="V24" cm="1">
        <f t="array" ref="V24">[1]!feed_q_mix_rc_m3day($V$21,$V$22,feed1)</f>
        <v>9460.5835914228937</v>
      </c>
      <c r="W24" cm="1">
        <f t="array" ref="W24">[1]!feed_q_mix_rc_m3day($V$21,$V$22,feed2)</f>
        <v>4842.1772615062382</v>
      </c>
      <c r="X24">
        <f>V24+W24</f>
        <v>14302.760852929132</v>
      </c>
      <c r="Z24" cm="1">
        <f t="array" ref="Z24">[1]!feed_q_mix_rc_m3day($V$21,$V$22,feed_mix)</f>
        <v>14339.838575589441</v>
      </c>
    </row>
    <row r="25" spans="8:26" x14ac:dyDescent="0.3">
      <c r="H25" s="1" t="str">
        <v>pb_atma</v>
      </c>
      <c r="I25" s="1">
        <v>100</v>
      </c>
      <c r="L25" s="2" t="str">
        <v>pb_atma</v>
      </c>
      <c r="M25" s="2">
        <v>30</v>
      </c>
      <c r="N25" s="2"/>
      <c r="R25" s="3" t="str">
        <v>pb_atma</v>
      </c>
      <c r="S25" s="3">
        <v>90.87</v>
      </c>
    </row>
    <row r="26" spans="8:26" x14ac:dyDescent="0.3">
      <c r="H26" s="1" t="str">
        <v>t_res_C</v>
      </c>
      <c r="I26" s="1">
        <v>80</v>
      </c>
      <c r="L26" s="2" t="str">
        <v>t_res_C</v>
      </c>
      <c r="M26" s="2">
        <v>40</v>
      </c>
      <c r="N26" s="2"/>
      <c r="R26" s="3" t="str">
        <v>t_res_C</v>
      </c>
      <c r="S26" s="3">
        <v>74.783000000000001</v>
      </c>
      <c r="U26" t="s">
        <v>42</v>
      </c>
      <c r="V26">
        <f>I12*(1-I13/100)</f>
        <v>19.999999999999996</v>
      </c>
      <c r="W26">
        <f>M12*(1-M13/100)</f>
        <v>2.9999999999999991</v>
      </c>
      <c r="X26">
        <f>SUM(V26:W26)</f>
        <v>22.999999999999996</v>
      </c>
      <c r="Z26" s="6">
        <f>S30*(1-S31/100)</f>
        <v>22.999599999999994</v>
      </c>
    </row>
    <row r="27" spans="8:26" x14ac:dyDescent="0.3">
      <c r="H27" s="1" t="str">
        <v>bob_m3m3</v>
      </c>
      <c r="I27" s="1">
        <v>1.4</v>
      </c>
      <c r="L27" s="2" t="str">
        <v>bob_m3m3</v>
      </c>
      <c r="M27" s="2">
        <v>1.04</v>
      </c>
      <c r="N27" s="2"/>
      <c r="R27" s="3" t="str">
        <v>bob_m3m3</v>
      </c>
      <c r="S27" s="3">
        <v>1.353</v>
      </c>
      <c r="U27" t="s">
        <v>43</v>
      </c>
      <c r="V27">
        <f>I14*V26+I15</f>
        <v>9999.9999999999982</v>
      </c>
      <c r="W27">
        <f>M14*W26+M15</f>
        <v>5180</v>
      </c>
      <c r="X27">
        <f>SUM(V27:W27)</f>
        <v>15179.999999999998</v>
      </c>
      <c r="Z27" s="7">
        <f>S32*Z26+S33</f>
        <v>15179.829956399997</v>
      </c>
    </row>
    <row r="28" spans="8:26" x14ac:dyDescent="0.3">
      <c r="H28" s="1" t="str">
        <v>muob_cP</v>
      </c>
      <c r="I28" s="1">
        <v>0.9</v>
      </c>
      <c r="L28" s="2" t="str">
        <v>muob_cP</v>
      </c>
      <c r="M28" s="2">
        <v>0.4</v>
      </c>
      <c r="N28" s="2"/>
      <c r="R28" s="3" t="str">
        <v>muob_cP</v>
      </c>
      <c r="S28" s="3">
        <v>0.83499999999999996</v>
      </c>
    </row>
    <row r="29" spans="8:26" x14ac:dyDescent="0.3">
      <c r="H29" s="1" t="str">
        <v>PVT_corr_set</v>
      </c>
      <c r="I29" s="1">
        <v>0</v>
      </c>
      <c r="L29" s="2" t="str">
        <v>PVT_corr_set</v>
      </c>
      <c r="M29" s="2">
        <v>1</v>
      </c>
      <c r="N29" s="2"/>
      <c r="R29" s="3" t="str">
        <v>PVT_corr_set</v>
      </c>
      <c r="S29" s="3">
        <v>0</v>
      </c>
    </row>
    <row r="30" spans="8:26" x14ac:dyDescent="0.3">
      <c r="H30" s="1" t="str">
        <v>q_liq_sm3day</v>
      </c>
      <c r="I30" s="1">
        <v>100</v>
      </c>
      <c r="L30" s="2" t="str">
        <v>q_liq_sm3day</v>
      </c>
      <c r="M30" s="2">
        <v>30</v>
      </c>
      <c r="N30" s="2"/>
      <c r="R30" s="3" t="str">
        <v>q_liq_sm3day</v>
      </c>
      <c r="S30" s="3">
        <v>130</v>
      </c>
    </row>
    <row r="31" spans="8:26" x14ac:dyDescent="0.3">
      <c r="H31" s="1" t="str">
        <v>fw_perc</v>
      </c>
      <c r="I31" s="1">
        <v>80</v>
      </c>
      <c r="L31" s="2" t="str">
        <v>fw_perc</v>
      </c>
      <c r="M31" s="2">
        <v>90</v>
      </c>
      <c r="N31" s="2"/>
      <c r="R31" s="3" t="str">
        <v>fw_perc</v>
      </c>
      <c r="S31" s="3">
        <v>82.308000000000007</v>
      </c>
    </row>
    <row r="32" spans="8:26" x14ac:dyDescent="0.3">
      <c r="H32" s="1" t="str">
        <v>rp_m3m3</v>
      </c>
      <c r="I32" s="1">
        <v>500</v>
      </c>
      <c r="L32" s="2" t="str">
        <v>rp_m3m3</v>
      </c>
      <c r="M32" s="2">
        <v>60</v>
      </c>
      <c r="N32" s="2"/>
      <c r="R32" s="3" t="str">
        <v>rp_m3m3</v>
      </c>
      <c r="S32" s="3">
        <v>442.60899999999998</v>
      </c>
    </row>
    <row r="33" spans="11:19" x14ac:dyDescent="0.3">
      <c r="L33" s="2" t="str">
        <v>q_gas_free_sm3day</v>
      </c>
      <c r="M33" s="2">
        <v>5000</v>
      </c>
      <c r="N33" s="2"/>
      <c r="R33" s="3" t="str">
        <v>q_gas_free_sm3day</v>
      </c>
      <c r="S33" s="3">
        <v>5000</v>
      </c>
    </row>
    <row r="47" spans="11:19" x14ac:dyDescent="0.3">
      <c r="K47" t="s">
        <v>17</v>
      </c>
      <c r="L47" t="s">
        <v>15</v>
      </c>
      <c r="M47" t="s">
        <v>16</v>
      </c>
      <c r="N47" t="s">
        <v>18</v>
      </c>
    </row>
    <row r="48" spans="11:19" x14ac:dyDescent="0.3">
      <c r="K48">
        <v>80</v>
      </c>
      <c r="L48">
        <v>1</v>
      </c>
      <c r="M48" cm="1">
        <f t="array" ref="M48">[1]!PVT_rs_m3m3(L48,K48,feed1)</f>
        <v>0.12912591961217293</v>
      </c>
      <c r="N48" cm="1">
        <f t="array" ref="N48">[1]!PVT_rs_m3m3(L48,K48,feed2)</f>
        <v>7.7972628877435408</v>
      </c>
      <c r="O48" cm="1">
        <f t="array" ref="O48">[1]!PVT_rs_m3m3(L48,K48,feed_mix)</f>
        <v>0.15081131730154482</v>
      </c>
    </row>
    <row r="49" spans="11:15" x14ac:dyDescent="0.3">
      <c r="K49">
        <v>80</v>
      </c>
      <c r="L49">
        <v>5</v>
      </c>
      <c r="M49" cm="1">
        <f t="array" ref="M49">[1]!PVT_rs_m3m3(L49,K49,feed1)</f>
        <v>0.89654751828329948</v>
      </c>
      <c r="N49" cm="1">
        <f t="array" ref="N49">[1]!PVT_rs_m3m3(L49,K49,feed2)</f>
        <v>19.687914056339597</v>
      </c>
      <c r="O49" cm="1">
        <f t="array" ref="O49">[1]!PVT_rs_m3m3(L49,K49,feed_mix)</f>
        <v>1.0471136442771076</v>
      </c>
    </row>
    <row r="50" spans="11:15" x14ac:dyDescent="0.3">
      <c r="K50">
        <v>80</v>
      </c>
      <c r="L50">
        <v>10</v>
      </c>
      <c r="M50" cm="1">
        <f t="array" ref="M50">[1]!PVT_rs_m3m3(L50,K50,feed1)</f>
        <v>2.0654440141790347</v>
      </c>
      <c r="N50" cm="1">
        <f t="array" ref="N50">[1]!PVT_rs_m3m3(L50,K50,feed2)</f>
        <v>26.992699745640149</v>
      </c>
      <c r="O50" cm="1">
        <f t="array" ref="O50">[1]!PVT_rs_m3m3(L50,K50,feed_mix)</f>
        <v>2.4123145339564025</v>
      </c>
    </row>
    <row r="51" spans="11:15" x14ac:dyDescent="0.3">
      <c r="K51">
        <v>80</v>
      </c>
      <c r="L51">
        <v>20</v>
      </c>
      <c r="M51" cm="1">
        <f t="array" ref="M51">[1]!PVT_rs_m3m3(L51,K51,feed1)</f>
        <v>4.7583188717945637</v>
      </c>
      <c r="N51" cm="1">
        <f t="array" ref="N51">[1]!PVT_rs_m3m3(L51,K51,feed2)</f>
        <v>37.301219656314821</v>
      </c>
      <c r="O51" cm="1">
        <f t="array" ref="O51">[1]!PVT_rs_m3m3(L51,K51,feed_mix)</f>
        <v>5.5574306022482594</v>
      </c>
    </row>
    <row r="52" spans="11:15" x14ac:dyDescent="0.3">
      <c r="K52">
        <v>80</v>
      </c>
      <c r="L52">
        <v>30</v>
      </c>
      <c r="M52" cm="1">
        <f t="array" ref="M52">[1]!PVT_rs_m3m3(L52,K52,feed1)</f>
        <v>7.7529577663624369</v>
      </c>
      <c r="N52" cm="1">
        <f t="array" ref="N52">[1]!PVT_rs_m3m3(L52,K52,feed2)</f>
        <v>45.664188258641111</v>
      </c>
      <c r="O52" cm="1">
        <f t="array" ref="O52">[1]!PVT_rs_m3m3(L52,K52,feed_mix)</f>
        <v>9.0549889382405286</v>
      </c>
    </row>
    <row r="53" spans="11:15" x14ac:dyDescent="0.3">
      <c r="K53">
        <v>80</v>
      </c>
      <c r="L53">
        <v>40</v>
      </c>
      <c r="M53" cm="1">
        <f t="array" ref="M53">[1]!PVT_rs_m3m3(L53,K53,feed1)</f>
        <v>10.96209741355579</v>
      </c>
      <c r="N53" cm="1">
        <f t="array" ref="N53">[1]!PVT_rs_m3m3(L53,K53,feed2)</f>
        <v>50</v>
      </c>
      <c r="O53" cm="1">
        <f t="array" ref="O53">[1]!PVT_rs_m3m3(L53,K53,feed_mix)</f>
        <v>12.803071267887837</v>
      </c>
    </row>
    <row r="54" spans="11:15" x14ac:dyDescent="0.3">
      <c r="K54">
        <v>80</v>
      </c>
      <c r="L54">
        <v>50</v>
      </c>
      <c r="M54" cm="1">
        <f t="array" ref="M54">[1]!PVT_rs_m3m3(L54,K54,feed1)</f>
        <v>14.340797809046082</v>
      </c>
      <c r="N54" cm="1">
        <f t="array" ref="N54">[1]!PVT_rs_m3m3(L54,K54,feed2)</f>
        <v>50</v>
      </c>
      <c r="O54" cm="1">
        <f t="array" ref="O54">[1]!PVT_rs_m3m3(L54,K54,feed_mix)</f>
        <v>16.749190365754117</v>
      </c>
    </row>
    <row r="55" spans="11:15" x14ac:dyDescent="0.3">
      <c r="K55">
        <v>80</v>
      </c>
      <c r="L55">
        <v>80</v>
      </c>
      <c r="M55" cm="1">
        <f t="array" ref="M55">[1]!PVT_rs_m3m3(L55,K55,feed1)</f>
        <v>25.254209089809539</v>
      </c>
      <c r="N55" cm="1">
        <f t="array" ref="N55">[1]!PVT_rs_m3m3(L55,K55,feed2)</f>
        <v>50</v>
      </c>
      <c r="O55" cm="1">
        <f t="array" ref="O55">[1]!PVT_rs_m3m3(L55,K55,feed_mix)</f>
        <v>29.495399155196246</v>
      </c>
    </row>
    <row r="56" spans="11:15" x14ac:dyDescent="0.3">
      <c r="K56">
        <v>80</v>
      </c>
      <c r="L56">
        <v>110</v>
      </c>
      <c r="M56" cm="1">
        <f t="array" ref="M56">[1]!PVT_rs_m3m3(L56,K56,feed1)</f>
        <v>33.215274351507247</v>
      </c>
      <c r="N56" cm="1">
        <f t="array" ref="N56">[1]!PVT_rs_m3m3(L56,K56,feed2)</f>
        <v>50</v>
      </c>
      <c r="O56" cm="1">
        <f t="array" ref="O56">[1]!PVT_rs_m3m3(L56,K56,feed_mix)</f>
        <v>35.405000000000001</v>
      </c>
    </row>
    <row r="57" spans="11:15" x14ac:dyDescent="0.3">
      <c r="K57">
        <v>80</v>
      </c>
      <c r="L57">
        <v>140</v>
      </c>
      <c r="M57" cm="1">
        <f t="array" ref="M57">[1]!PVT_rs_m3m3(L57,K57,feed1)</f>
        <v>33.215274351507247</v>
      </c>
      <c r="N57" cm="1">
        <f t="array" ref="N57">[1]!PVT_rs_m3m3(L57,K57,feed2)</f>
        <v>50</v>
      </c>
      <c r="O57" cm="1">
        <f t="array" ref="O57">[1]!PVT_rs_m3m3(L57,K57,feed_mix)</f>
        <v>35.405000000000001</v>
      </c>
    </row>
    <row r="58" spans="11:15" x14ac:dyDescent="0.3">
      <c r="K58">
        <v>80</v>
      </c>
      <c r="L58">
        <v>170</v>
      </c>
      <c r="M58" cm="1">
        <f t="array" ref="M58">[1]!PVT_rs_m3m3(L58,K58,feed1)</f>
        <v>33.215274351507247</v>
      </c>
      <c r="N58" cm="1">
        <f t="array" ref="N58">[1]!PVT_rs_m3m3(L58,K58,feed2)</f>
        <v>50</v>
      </c>
      <c r="O58" cm="1">
        <f t="array" ref="O58">[1]!PVT_rs_m3m3(L58,K58,feed_mix)</f>
        <v>35.405000000000001</v>
      </c>
    </row>
    <row r="59" spans="11:15" x14ac:dyDescent="0.3">
      <c r="K59">
        <v>80</v>
      </c>
      <c r="L59">
        <v>200</v>
      </c>
      <c r="M59" cm="1">
        <f t="array" ref="M59">[1]!PVT_rs_m3m3(L59,K59,feed1)</f>
        <v>33.215274351507247</v>
      </c>
      <c r="N59" cm="1">
        <f t="array" ref="N59">[1]!PVT_rs_m3m3(L59,K59,feed2)</f>
        <v>50</v>
      </c>
      <c r="O59" cm="1">
        <f t="array" ref="O59">[1]!PVT_rs_m3m3(L59,K59,feed_mix)</f>
        <v>35.405000000000001</v>
      </c>
    </row>
    <row r="60" spans="11:15" x14ac:dyDescent="0.3">
      <c r="K60">
        <v>80</v>
      </c>
      <c r="L60">
        <v>230</v>
      </c>
      <c r="M60" cm="1">
        <f t="array" ref="M60">[1]!PVT_rs_m3m3(L60,K60,feed1)</f>
        <v>33.215274351507247</v>
      </c>
      <c r="N60" cm="1">
        <f t="array" ref="N60">[1]!PVT_rs_m3m3(L60,K60,feed2)</f>
        <v>50</v>
      </c>
      <c r="O60" cm="1">
        <f t="array" ref="O60">[1]!PVT_rs_m3m3(L60,K60,feed_mix)</f>
        <v>35.405000000000001</v>
      </c>
    </row>
    <row r="61" spans="11:15" x14ac:dyDescent="0.3">
      <c r="K61">
        <v>80</v>
      </c>
      <c r="L61">
        <v>260</v>
      </c>
      <c r="M61" cm="1">
        <f t="array" ref="M61">[1]!PVT_rs_m3m3(L61,K61,feed1)</f>
        <v>33.215274351507247</v>
      </c>
      <c r="N61" cm="1">
        <f t="array" ref="N61">[1]!PVT_rs_m3m3(L61,K61,feed2)</f>
        <v>50</v>
      </c>
      <c r="O61" cm="1">
        <f t="array" ref="O61">[1]!PVT_rs_m3m3(L61,K61,feed_mix)</f>
        <v>35.405000000000001</v>
      </c>
    </row>
    <row r="62" spans="11:15" x14ac:dyDescent="0.3">
      <c r="K62">
        <v>80</v>
      </c>
      <c r="L62">
        <v>290</v>
      </c>
      <c r="M62" cm="1">
        <f t="array" ref="M62">[1]!PVT_rs_m3m3(L62,K62,feed1)</f>
        <v>33.215274351507247</v>
      </c>
      <c r="N62" cm="1">
        <f t="array" ref="N62">[1]!PVT_rs_m3m3(L62,K62,feed2)</f>
        <v>50</v>
      </c>
      <c r="O62" cm="1">
        <f t="array" ref="O62">[1]!PVT_rs_m3m3(L62,K62,feed_mix)</f>
        <v>35.405000000000001</v>
      </c>
    </row>
    <row r="63" spans="11:15" x14ac:dyDescent="0.3">
      <c r="K63">
        <v>80</v>
      </c>
      <c r="L63">
        <v>320</v>
      </c>
      <c r="M63" cm="1">
        <f t="array" ref="M63">[1]!PVT_rs_m3m3(L63,K63,feed1)</f>
        <v>33.215274351507247</v>
      </c>
      <c r="N63" cm="1">
        <f t="array" ref="N63">[1]!PVT_rs_m3m3(L63,K63,feed2)</f>
        <v>50</v>
      </c>
      <c r="O63" cm="1">
        <f t="array" ref="O63">[1]!PVT_rs_m3m3(L63,K63,feed_mix)</f>
        <v>35.405000000000001</v>
      </c>
    </row>
    <row r="64" spans="11:15" x14ac:dyDescent="0.3">
      <c r="K64">
        <v>80</v>
      </c>
      <c r="L64">
        <v>350</v>
      </c>
      <c r="M64" cm="1">
        <f t="array" ref="M64">[1]!PVT_rs_m3m3(L64,K64,feed1)</f>
        <v>33.215274351507247</v>
      </c>
      <c r="N64" cm="1">
        <f t="array" ref="N64">[1]!PVT_rs_m3m3(L64,K64,feed2)</f>
        <v>50</v>
      </c>
      <c r="O64" cm="1">
        <f t="array" ref="O64">[1]!PVT_rs_m3m3(L64,K64,feed_mix)</f>
        <v>35.405000000000001</v>
      </c>
    </row>
    <row r="65" spans="11:15" x14ac:dyDescent="0.3">
      <c r="K65">
        <v>80</v>
      </c>
      <c r="L65">
        <v>380</v>
      </c>
      <c r="M65" cm="1">
        <f t="array" ref="M65">[1]!PVT_rs_m3m3(L65,K65,feed1)</f>
        <v>33.215274351507247</v>
      </c>
      <c r="N65" cm="1">
        <f t="array" ref="N65">[1]!PVT_rs_m3m3(L65,K65,feed2)</f>
        <v>50</v>
      </c>
      <c r="O65" cm="1">
        <f t="array" ref="O65">[1]!PVT_rs_m3m3(L65,K65,feed_mix)</f>
        <v>35.405000000000001</v>
      </c>
    </row>
    <row r="66" spans="11:15" x14ac:dyDescent="0.3">
      <c r="K66">
        <v>80</v>
      </c>
      <c r="L66">
        <v>410</v>
      </c>
      <c r="M66" cm="1">
        <f t="array" ref="M66">[1]!PVT_rs_m3m3(L66,K66,feed1)</f>
        <v>33.215274351507247</v>
      </c>
      <c r="N66" cm="1">
        <f t="array" ref="N66">[1]!PVT_rs_m3m3(L66,K66,feed2)</f>
        <v>50</v>
      </c>
      <c r="O66" cm="1">
        <f t="array" ref="O66">[1]!PVT_rs_m3m3(L66,K66,feed_mix)</f>
        <v>35.405000000000001</v>
      </c>
    </row>
    <row r="67" spans="11:15" x14ac:dyDescent="0.3">
      <c r="K67">
        <v>80</v>
      </c>
      <c r="L67">
        <v>440</v>
      </c>
      <c r="M67" cm="1">
        <f t="array" ref="M67">[1]!PVT_rs_m3m3(L67,K67,feed1)</f>
        <v>33.215274351507247</v>
      </c>
      <c r="N67" cm="1">
        <f t="array" ref="N67">[1]!PVT_rs_m3m3(L67,K67,feed2)</f>
        <v>50</v>
      </c>
      <c r="O67" cm="1">
        <f t="array" ref="O67">[1]!PVT_rs_m3m3(L67,K67,feed_mix)</f>
        <v>35.405000000000001</v>
      </c>
    </row>
    <row r="68" spans="11:15" x14ac:dyDescent="0.3">
      <c r="K68">
        <v>80</v>
      </c>
      <c r="L68">
        <v>470</v>
      </c>
      <c r="M68" cm="1">
        <f t="array" ref="M68">[1]!PVT_rs_m3m3(L68,K68,feed1)</f>
        <v>33.215274351507247</v>
      </c>
      <c r="N68" cm="1">
        <f t="array" ref="N68">[1]!PVT_rs_m3m3(L68,K68,feed2)</f>
        <v>50</v>
      </c>
      <c r="O68" cm="1">
        <f t="array" ref="O68">[1]!PVT_rs_m3m3(L68,K68,feed_mix)</f>
        <v>35.405000000000001</v>
      </c>
    </row>
    <row r="69" spans="11:15" x14ac:dyDescent="0.3">
      <c r="K69">
        <v>80</v>
      </c>
      <c r="L69">
        <v>500</v>
      </c>
      <c r="M69" cm="1">
        <f t="array" ref="M69">[1]!PVT_rs_m3m3(L69,K69,feed1)</f>
        <v>33.215274351507247</v>
      </c>
      <c r="N69" cm="1">
        <f t="array" ref="N69">[1]!PVT_rs_m3m3(L69,K69,feed2)</f>
        <v>50</v>
      </c>
      <c r="O69" cm="1">
        <f t="array" ref="O69">[1]!PVT_rs_m3m3(L69,K69,feed_mix)</f>
        <v>35.405000000000001</v>
      </c>
    </row>
    <row r="70" spans="11:15" x14ac:dyDescent="0.3">
      <c r="K70">
        <v>80</v>
      </c>
      <c r="L70">
        <v>530</v>
      </c>
      <c r="M70" cm="1">
        <f t="array" ref="M70">[1]!PVT_rs_m3m3(L70,K70,feed1)</f>
        <v>33.215274351507247</v>
      </c>
      <c r="N70" cm="1">
        <f t="array" ref="N70">[1]!PVT_rs_m3m3(L70,K70,feed2)</f>
        <v>50</v>
      </c>
      <c r="O70" cm="1">
        <f t="array" ref="O70">[1]!PVT_rs_m3m3(L70,K70,feed_mix)</f>
        <v>35.405000000000001</v>
      </c>
    </row>
    <row r="71" spans="11:15" x14ac:dyDescent="0.3">
      <c r="K71">
        <v>80</v>
      </c>
      <c r="L71">
        <v>560</v>
      </c>
      <c r="M71" cm="1">
        <f t="array" ref="M71">[1]!PVT_rs_m3m3(L71,K71,feed1)</f>
        <v>33.215274351507247</v>
      </c>
      <c r="N71" cm="1">
        <f t="array" ref="N71">[1]!PVT_rs_m3m3(L71,K71,feed2)</f>
        <v>50</v>
      </c>
      <c r="O71" cm="1">
        <f t="array" ref="O71">[1]!PVT_rs_m3m3(L71,K71,feed_mix)</f>
        <v>35.405000000000001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23C55-5BF1-4899-9718-812B3E6972A9}">
  <sheetPr codeName="Лист2"/>
  <dimension ref="C6:H13"/>
  <sheetViews>
    <sheetView workbookViewId="0">
      <selection activeCell="E16" sqref="E16"/>
    </sheetView>
  </sheetViews>
  <sheetFormatPr defaultRowHeight="14.4" x14ac:dyDescent="0.3"/>
  <sheetData>
    <row r="6" spans="3:8" x14ac:dyDescent="0.3">
      <c r="C6" t="s">
        <v>19</v>
      </c>
      <c r="E6">
        <v>5</v>
      </c>
      <c r="F6" t="s">
        <v>20</v>
      </c>
      <c r="G6" s="5">
        <f>_xlfn.IFS(E6="","",H6="Па·с",_xlfn.IFS(E6="","",F6="Па·с",E6,F6="мПа·с",E6/1000,F6="сП",E6/1000),H6="мПа·с",_xlfn.IFS(E6="","",F6="Па·с",E6,F6="мПа·с",E6/1000,F6="сП",E6/1000)*1000,H6="сП",_xlfn.IFS(E6="","",F6="Па·с",E6,F6="мПа·с",E6/1000,F6="сП",E6/1000)*1000)</f>
        <v>5</v>
      </c>
      <c r="H6" t="s">
        <v>21</v>
      </c>
    </row>
    <row r="7" spans="3:8" x14ac:dyDescent="0.3">
      <c r="C7" t="s">
        <v>22</v>
      </c>
      <c r="E7">
        <v>200</v>
      </c>
      <c r="F7" t="s">
        <v>23</v>
      </c>
      <c r="G7" s="5">
        <f>_xlfn.IFS(E7="","",H7="Па",_xlfn.IFS(E7="","",F7="Па",E7,F7="МПа",E7*1000000,F7="ат",E7*98066.5,F7="кгс/см²",E7*98066.5,F7="атм",E7*101325,F7="psi",E7*6894.76,F7="бар",E7*100000),H7="МПа",_xlfn.IFS(E7="","",F7="Па",E7,F7="МПа",E7*1000000,F7="ат",E7*98066.5,F7="кгс/см²",E7*98066.5,F7="атм",E7*101325,F7="psi",E7*6894.76,F7="бар",E7*100000)/1000000,H7="ат",_xlfn.IFS(E7="","",F7="Па",E7,F7="МПа",E7*1000000,F7="ат",E7*98066.5,F7="кгс/см²",E7*98066.5,F7="атм",E7*101325,F7="psi",E7*6894.76,F7="бар",E7*100000)/98066.5,H7="кгс/см²",_xlfn.IFS(E7="","",F7="Па",E7,F7="МПа",E7*1000000,F7="ат",E7*98066.5,F7="кгс/см²",E7*98066.5,F7="атм",E7*101325,F7="psi",E7*6894.76,F7="бар",E7*100000)/98066.5,H7="атм",_xlfn.IFS(E7="","",F7="Па",E7,F7="МПа",E7*1000000,F7="ат",E7*98066.5,F7="кгс/см²",E7*98066.5,F7="атм",E7*101325,F7="psi",E7*6894.76,F7="бар",E7*100000)/101325,H7="psi",_xlfn.IFS(E7="","",F7="Па",E7,F7="МПа",E7*1000000,F7="ат",E7*98066.5,F7="кгс/см²",E7*98066.5,F7="атм",E7*101325,F7="psi",E7*6894.76,F7="бар",E7*100000)/6894.76,H7="бар",_xlfn.IFS(E7="","",F7="Па",E7,F7="МПа",E7*1000000,F7="ат",E7*98066.5,F7="кгс/см²",E7*98066.5,F7="атм",E7*101325,F7="psi",E7*6894.76,F7="бар",E7*100000)/100000)</f>
        <v>2900.7536157893819</v>
      </c>
      <c r="H7" t="s">
        <v>24</v>
      </c>
    </row>
    <row r="8" spans="3:8" x14ac:dyDescent="0.3">
      <c r="C8" t="s">
        <v>25</v>
      </c>
      <c r="E8">
        <v>100</v>
      </c>
      <c r="F8" t="s">
        <v>26</v>
      </c>
      <c r="G8" s="5">
        <f>_xlfn.IFS(E8="","",H8="м²",_xlfn.IFS(E8="","",F8="м²",E8,F8="Д",E8*0.00000000000102,F8="мД",E8*0.00000000000000102),H8="Д",_xlfn.IFS(E8="","",F8="м²",E8,F8="Д",E8*0.00000000000102,F8="мД",E8*0.00000000000000102)/0.00000000000102,H8="мД",_xlfn.IFS(E8="","",F8="м²",E8,F8="Д",E8*0.00000000000102,F8="мД",E8*0.00000000000000102)/0.00000000000000102)</f>
        <v>100</v>
      </c>
      <c r="H8" t="s">
        <v>26</v>
      </c>
    </row>
    <row r="9" spans="3:8" x14ac:dyDescent="0.3">
      <c r="C9" t="s">
        <v>27</v>
      </c>
      <c r="E9">
        <v>100</v>
      </c>
      <c r="F9" t="s">
        <v>28</v>
      </c>
      <c r="G9" s="5">
        <f>_xlfn.IFS(E9="","",H9="°К",_xlfn.IFS(E9="","",F9="°К",E9,F9="°С",E9+273.15,F9="°F",(E9-32)*5/9+273.15),H9="°С",_xlfn.IFS(E9="","",F9="°К",E9,F9="°С",E9+273.15,F9="°F",(E9-32)*5/9+273.15)-273.15,H9="°F",(_xlfn.IFS(E9="","",F9="°К",E9,F9="°С",E9+273.15,F9="°F",(E9-32)*5/9+273.15)-273.15)*9/5+32)</f>
        <v>212</v>
      </c>
      <c r="H9" t="s">
        <v>29</v>
      </c>
    </row>
    <row r="10" spans="3:8" x14ac:dyDescent="0.3">
      <c r="C10" t="s">
        <v>30</v>
      </c>
      <c r="E10">
        <v>50</v>
      </c>
      <c r="F10" t="s">
        <v>31</v>
      </c>
      <c r="G10" s="5">
        <f>_xlfn.IFS(E10="","",H10="м³/м³",_xlfn.IFS(E10="","",F10="м³/м³",E10,F10="scft/bbl",E10*0.02832/0.158987,F10="ft³/bbl",E10*0.02832/0.158987),H10="scft/bbl",_xlfn.IFS(E10="","",F10="м³/м³",E10,F10="scft/bbl",E10*0.02832/0.158987,F10="ft³/bbl",E10*0.02832/0.158987)/0.02832*0.158987,H10="ft³/bbl",_xlfn.IFS(E10="","",F10="м³/м³",E10,F10="scft/bbl",E10*0.02832/0.158987,F10="ft³/bbl",E10*0.02832/0.158987)/0.02832*0.158987)</f>
        <v>280.69738700564972</v>
      </c>
      <c r="H10" t="s">
        <v>41</v>
      </c>
    </row>
    <row r="11" spans="3:8" x14ac:dyDescent="0.3">
      <c r="C11" t="s">
        <v>32</v>
      </c>
      <c r="E11">
        <v>73</v>
      </c>
      <c r="F11" t="s">
        <v>33</v>
      </c>
      <c r="G11" s="5">
        <f>_xlfn.IFS(E11="","",H11="м",_xlfn.IFS(E11="","",F11="м",E11,F11="мм",E11/1000,F11="см",E11/100,F11="in",E11*0.0254,F11="ft",E11*0.3048),H11="мм",_xlfn.IFS(E11="","",F11="м",E11,F11="мм",E11/1000,F11="см",E11/100,F11="in",E11*0.0254,F11="ft",E11*0.3048)*1000,H11="см",_xlfn.IFS(E11="","",F11="м",E11,F11="мм",E11/1000,F11="см",E11/100,F11="in",E11*0.0254,F11="ft",E11*0.3048)*100,H11="in",_xlfn.IFS(E11="","",F11="м",E11,F11="мм",E11/1000,F11="см",E11/100,F11="in",E11*0.0254,F11="ft",E11*0.3048)/0.0254,H11="ft",_xlfn.IFS(E11="","",F11="м",E11,F11="мм",E11/1000,F11="см",E11/100,F11="in",E11*0.0254,F11="ft",E11*0.3048)/0.3048)</f>
        <v>2.8740157480314958</v>
      </c>
      <c r="H11" t="s">
        <v>34</v>
      </c>
    </row>
    <row r="12" spans="3:8" x14ac:dyDescent="0.3">
      <c r="C12" t="s">
        <v>35</v>
      </c>
      <c r="E12">
        <v>100</v>
      </c>
      <c r="F12" t="s">
        <v>36</v>
      </c>
      <c r="G12" s="5">
        <f>_xlfn.IFS(E12="","",H12="м³/с",_xlfn.IFS(E12="","",F12="м³/с",E12,F12="м³/сут",E12/86400,F12="л/мин",E12/60000,F12="л/сек",E12/1000,F12="bpd",E12*0.158987/86400,F12="ft³/сут",E12*0.02832/86400),H12="м³/сут",_xlfn.IFS(E12="","",F12="м³/с",E12,F12="м³/сут",E12/86400,F12="л/мин",E12/60000,F12="л/сек",E12/1000,F12="bpd",E12*0.158987/86400,F12="ft³/сут",E12*0.02832/86400)*86400,H12="л/мин",_xlfn.IFS(E12="","",F12="м³/с",E12,F12="м³/сут",E12/86400,F12="л/мин",E12/60000,F12="л/сек",E12/1000,F12="bpd",E12*0.158987/86400,F12="ft³/сут",E12*0.02832/86400)*60000,H12="л/сек",_xlfn.IFS(E12="","",F12="м³/с",E12,F12="м³/сут",E12/86400,F12="л/мин",E12/60000,F12="л/сек",E12/1000,F12="bpd",E12*0.158987/86400,F12="ft³/сут",E12*0.02832/86400)*1000,H12="bpd",_xlfn.IFS(E12="","",F12="м³/с",E12,F12="м³/сут",E12/86400,F12="л/мин",E12/60000,F12="л/сек",E12/1000,F12="bpd",E12*0.158987/86400,F12="ft³/сут",E12*0.02832/86400)/0.158987*86400,H12="ft³/сут",_xlfn.IFS(E12="","",F12="м³/с",E12,F12="м³/сут",E12/86400,F12="л/мин",E12/60000,F12="л/сек",E12/1000,F12="bpd",E12*0.158987/86400,F12="ft³/сут",E12*0.02832/86400)/0.02832*86400)</f>
        <v>628.9822438312566</v>
      </c>
      <c r="H12" t="s">
        <v>37</v>
      </c>
    </row>
    <row r="13" spans="3:8" x14ac:dyDescent="0.3">
      <c r="C13" t="s">
        <v>38</v>
      </c>
      <c r="E13">
        <v>850</v>
      </c>
      <c r="F13" t="s">
        <v>39</v>
      </c>
      <c r="G13" s="5">
        <f>_xlfn.IFS(E13="","",H13="кг/м³",_xlfn.IFS(E13="","",F13="кг/м³",E13,F13="г/cм³",E13*1000,F13="lb/gal",E13*119.8,F13="lb/in³",E13*27679.9,F13="lb/ft³",E13*16.01846,F13="°API",141.5*1000/(131.5+E13)),H13="г/cм³",_xlfn.IFS(E13="","",F13="кг/м³",E13,F13="г/cм³",E13*1000,F13="lb/gal",E13*119.8,F13="lb/in³",E13*27679.9,F13="lb/ft³",E13*16.01846,F13="°API",141.5*1000/(131.5+E13))/1000,H13="lb/gal",_xlfn.IFS(E13="","",F13="кг/м³",E13,F13="г/cм³",E13*1000,F13="lb/gal",E13*119.8,F13="lb/in³",E13*27679.9,F13="lb/ft³",E13*16.01846,F13="°API",141.5*1000/(131.5+E13))/119.8,H13="lb/in³",_xlfn.IFS(E13="","",F13="кг/м³",E13,F13="г/cм³",E13*1000,F13="lb/gal",E13*119.8,F13="lb/in³",E13*27679.9,F13="lb/ft³",E13*16.01846,F13="°API",141.5*1000/(131.5+E13))/27679.9,H13="lb/ft³",_xlfn.IFS(E13="","",F13="кг/м³",E13,F13="г/cм³",E13*1000,F13="lb/gal",E13*119.8,F13="lb/in³",E13*27679.9,F13="lb/ft³",E13*16.01846,F13="°API",141.5*1000/(131.5+E13))/16.01846,H13="°API",141.5*1000/_xlfn.IFS(E13="","",F13="кг/м³",E13,F13="г/cм³",E13*1000,F13="lb/gal",E13*119.8,F13="lb/in³",E13*27679.9,F13="lb/ft³",E13*16.01846,F13="°API",141.5*1000/(131.5+E13))-131.5)</f>
        <v>34.970588235294116</v>
      </c>
      <c r="H13" t="s">
        <v>40</v>
      </c>
    </row>
  </sheetData>
  <dataValidations count="8">
    <dataValidation type="list" allowBlank="1" showInputMessage="1" showErrorMessage="1" sqref="F6 H6" xr:uid="{1D57B03D-7BFF-46C5-BE45-39F03264C00F}">
      <formula1>",Па·с,мПа·с,сП"</formula1>
    </dataValidation>
    <dataValidation type="list" allowBlank="1" showInputMessage="1" showErrorMessage="1" sqref="F7 H7" xr:uid="{55EA7873-22E2-4FDD-9767-5BA34278F95A}">
      <formula1>",Па,МПа,ат,кгс/см²,атм,psi,бар"</formula1>
    </dataValidation>
    <dataValidation type="list" allowBlank="1" showInputMessage="1" showErrorMessage="1" sqref="F8 H8" xr:uid="{12D704E4-9FE0-42B1-B1C8-548D3BF74877}">
      <formula1>",м²,Д,мД"</formula1>
    </dataValidation>
    <dataValidation type="list" allowBlank="1" showInputMessage="1" showErrorMessage="1" sqref="F9 H9" xr:uid="{C52D8560-B47A-426B-9B15-814176919FAA}">
      <formula1>",°К,°С,°F"</formula1>
    </dataValidation>
    <dataValidation type="list" allowBlank="1" showInputMessage="1" showErrorMessage="1" sqref="F10 H10" xr:uid="{A2A1A612-D422-4ED3-996C-E0FA2341DDA7}">
      <formula1>",м³/м³,scft/bbl,ft³/bbl"</formula1>
    </dataValidation>
    <dataValidation type="list" allowBlank="1" showInputMessage="1" showErrorMessage="1" sqref="F11 H11" xr:uid="{5DF318BF-796B-4617-8A81-061F901B9A98}">
      <formula1>",м,мм,см,in,ft"</formula1>
    </dataValidation>
    <dataValidation type="list" allowBlank="1" showInputMessage="1" showErrorMessage="1" sqref="F12 H12" xr:uid="{775091F5-1C16-427B-ADB7-3C9E63CDA86E}">
      <formula1>",м³/с,м³/сут,л/мин,л/сек,bpd,ft³/сут"</formula1>
    </dataValidation>
    <dataValidation type="list" allowBlank="1" showInputMessage="1" showErrorMessage="1" sqref="F13 H13" xr:uid="{EC692CF2-381B-4283-93F1-7974E8DBE5B8}">
      <formula1>",кг/м³,г/cм³,lb/gal,lb/in³,lb/ft³,°API"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5</vt:i4>
      </vt:variant>
    </vt:vector>
  </HeadingPairs>
  <TitlesOfParts>
    <vt:vector size="7" baseType="lpstr">
      <vt:lpstr>Лист1</vt:lpstr>
      <vt:lpstr>Лист2</vt:lpstr>
      <vt:lpstr>feed_mix</vt:lpstr>
      <vt:lpstr>feed1</vt:lpstr>
      <vt:lpstr>feed2</vt:lpstr>
      <vt:lpstr>p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2021-12-04T07:20:25Z</dcterms:created>
  <dcterms:modified xsi:type="dcterms:W3CDTF">2021-12-08T11:58:11Z</dcterms:modified>
</cp:coreProperties>
</file>