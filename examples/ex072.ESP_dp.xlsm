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47BD92D-E1F2-420E-94DF-C2FC9AE9C45E}" xr6:coauthVersionLast="47" xr6:coauthVersionMax="47" xr10:uidLastSave="{00000000-0000-0000-0000-000000000000}"/>
  <bookViews>
    <workbookView xWindow="-120" yWindow="-120" windowWidth="38640" windowHeight="21240" tabRatio="422" xr2:uid="{00000000-000D-0000-FFFF-FFFF00000000}"/>
  </bookViews>
  <sheets>
    <sheet name="Exercise_ESP" sheetId="110" r:id="rId1"/>
    <sheet name="Exercise_ESP (2)" sheetId="111" r:id="rId2"/>
  </sheets>
  <externalReferences>
    <externalReference r:id="rId3"/>
  </externalReferences>
  <definedNames>
    <definedName name="Bob_" localSheetId="0">Exercise_ESP!$C$18</definedName>
    <definedName name="Bob_" localSheetId="1">'Exercise_ESP (2)'!$C$18</definedName>
    <definedName name="calc_along_flow" localSheetId="1">'Exercise_ESP (2)'!$G$39</definedName>
    <definedName name="calc_along_flow">Exercise_ESP!$G$39</definedName>
    <definedName name="dN" localSheetId="1">'Exercise_ESP (2)'!$C$44</definedName>
    <definedName name="dN">Exercise_ESP!$C$44</definedName>
    <definedName name="ESPstr" localSheetId="1">'Exercise_ESP (2)'!$J$33</definedName>
    <definedName name="ESPstr">Exercise_ESP!$J$33</definedName>
    <definedName name="Freq_" localSheetId="0">Exercise_ESP!$C$26</definedName>
    <definedName name="Freq_" localSheetId="1">'Exercise_ESP (2)'!$C$26</definedName>
    <definedName name="fw_" localSheetId="0">Exercise_ESP!$C$22</definedName>
    <definedName name="fw_" localSheetId="1">'Exercise_ESP (2)'!$C$22</definedName>
    <definedName name="gamma_gas_" localSheetId="0">Exercise_ESP!$C$13</definedName>
    <definedName name="gamma_gas_" localSheetId="1">'Exercise_ESP (2)'!$C$13</definedName>
    <definedName name="gamma_oil_" localSheetId="0">Exercise_ESP!$C$11</definedName>
    <definedName name="gamma_oil_" localSheetId="1">'Exercise_ESP (2)'!$C$11</definedName>
    <definedName name="gamma_wat_" localSheetId="0">Exercise_ESP!$C$12</definedName>
    <definedName name="gamma_wat_" localSheetId="1">'Exercise_ESP (2)'!$C$12</definedName>
    <definedName name="gas_degr_type_" localSheetId="1">'Exercise_ESP (2)'!$C$43</definedName>
    <definedName name="gas_degr_type_">Exercise_ESP!$C$43</definedName>
    <definedName name="Head_ESP_" localSheetId="0">Exercise_ESP!$C$25</definedName>
    <definedName name="Head_ESP_" localSheetId="1">'Exercise_ESP (2)'!$C$25</definedName>
    <definedName name="input_">#REF!</definedName>
    <definedName name="input_Course" localSheetId="1">'Exercise_ESP (2)'!$I$3</definedName>
    <definedName name="input_Course">Exercise_ESP!$I$3</definedName>
    <definedName name="input_Date" localSheetId="1">'Exercise_ESP (2)'!$I$1</definedName>
    <definedName name="input_Date">Exercise_ESP!$I$1</definedName>
    <definedName name="input_Group" localSheetId="1">'Exercise_ESP (2)'!$I$4</definedName>
    <definedName name="input_Group">Exercise_ESP!$I$4</definedName>
    <definedName name="input_Notes" localSheetId="1">'Exercise_ESP (2)'!$I$6</definedName>
    <definedName name="input_Notes">Exercise_ESP!$I$6</definedName>
    <definedName name="input_Student_Name" localSheetId="1">'Exercise_ESP (2)'!$I$5</definedName>
    <definedName name="input_Student_Name">Exercise_ESP!$I$5</definedName>
    <definedName name="input_Version" localSheetId="1">'Exercise_ESP (2)'!$I$2</definedName>
    <definedName name="input_Version">Exercise_ESP!$I$2</definedName>
    <definedName name="KsepGasSep_" localSheetId="0">Exercise_ESP!$C$31</definedName>
    <definedName name="KsepGasSep_" localSheetId="1">'Exercise_ESP (2)'!$C$31</definedName>
    <definedName name="mu" localSheetId="1">'Exercise_ESP (2)'!$C$34</definedName>
    <definedName name="mu">Exercise_ESP!$C$34</definedName>
    <definedName name="muob_" localSheetId="0">Exercise_ESP!$C$19</definedName>
    <definedName name="muob_" localSheetId="1">'Exercise_ESP (2)'!$C$19</definedName>
    <definedName name="N_" localSheetId="0">Exercise_ESP!$C$36</definedName>
    <definedName name="N_" localSheetId="1">'Exercise_ESP (2)'!$C$36</definedName>
    <definedName name="NumStage_" localSheetId="0">Exercise_ESP!$C$30</definedName>
    <definedName name="NumStage_" localSheetId="1">'Exercise_ESP (2)'!$C$30</definedName>
    <definedName name="output_">#REF!</definedName>
    <definedName name="Pb_" localSheetId="0">Exercise_ESP!$C$16</definedName>
    <definedName name="Pb_" localSheetId="1">'Exercise_ESP (2)'!$C$16</definedName>
    <definedName name="Pdis_" localSheetId="0">Exercise_ESP!$C$41</definedName>
    <definedName name="Pdis_" localSheetId="1">'Exercise_ESP (2)'!$C$41</definedName>
    <definedName name="Pintake_" localSheetId="0">Exercise_ESP!$C$39</definedName>
    <definedName name="Pintake_" localSheetId="1">'Exercise_ESP (2)'!$C$39</definedName>
    <definedName name="PKsep" localSheetId="1">'Exercise_ESP (2)'!$C$32</definedName>
    <definedName name="PKsep">Exercise_ESP!$C$32</definedName>
    <definedName name="PumpID_" localSheetId="0">Exercise_ESP!$C$27</definedName>
    <definedName name="PumpID_" localSheetId="1">'Exercise_ESP (2)'!$C$27</definedName>
    <definedName name="PVT_str_" localSheetId="1">'Exercise_ESP (2)'!$J$30</definedName>
    <definedName name="PVT_str_">Exercise_ESP!$J$30</definedName>
    <definedName name="Q_" localSheetId="0">Exercise_ESP!$C$21</definedName>
    <definedName name="Q_" localSheetId="1">'Exercise_ESP (2)'!$C$21</definedName>
    <definedName name="Q_ESP_" localSheetId="0">Exercise_ESP!$C$24</definedName>
    <definedName name="Q_ESP_" localSheetId="1">'Exercise_ESP (2)'!$C$24</definedName>
    <definedName name="Qmax_" localSheetId="0">Exercise_ESP!$C$29</definedName>
    <definedName name="Qmax_" localSheetId="1">'Exercise_ESP (2)'!$C$29</definedName>
    <definedName name="Rp_" localSheetId="0">Exercise_ESP!$C$15</definedName>
    <definedName name="Rp_" localSheetId="1">'Exercise_ESP (2)'!$C$15</definedName>
    <definedName name="Rsb_" localSheetId="0">Exercise_ESP!$C$14</definedName>
    <definedName name="Rsb_" localSheetId="1">'Exercise_ESP (2)'!$C$14</definedName>
    <definedName name="Tdis_" localSheetId="1">'Exercise_ESP (2)'!$C$42</definedName>
    <definedName name="Tdis_">Exercise_ESP!$C$42</definedName>
    <definedName name="Tintake_" localSheetId="0">Exercise_ESP!$C$40</definedName>
    <definedName name="Tintake_" localSheetId="1">'Exercise_ESP (2)'!$C$40</definedName>
    <definedName name="TKsep_" localSheetId="1">'Exercise_ESP (2)'!$C$33</definedName>
    <definedName name="TKsep_">Exercise_ESP!$C$33</definedName>
    <definedName name="Tres_" localSheetId="0">Exercise_ESP!$C$17</definedName>
    <definedName name="Tres_" localSheetId="1">'Exercise_ESP (2)'!$C$17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3" i="110" l="1" a="1"/>
  <c r="L23" i="110" l="1"/>
  <c r="C104" i="111" l="1"/>
  <c r="E17" i="111"/>
  <c r="E16" i="111"/>
  <c r="E15" i="111"/>
  <c r="E14" i="111"/>
  <c r="E13" i="111"/>
  <c r="E12" i="111"/>
  <c r="E11" i="111"/>
  <c r="C104" i="110"/>
  <c r="E17" i="110"/>
  <c r="E16" i="110"/>
  <c r="E15" i="110"/>
  <c r="E14" i="110"/>
  <c r="E13" i="110"/>
  <c r="E12" i="110"/>
  <c r="E11" i="110"/>
  <c r="Q24" i="111" a="1"/>
  <c r="S34" i="111" a="1"/>
  <c r="J30" i="110" a="1"/>
  <c r="C27" i="110" a="1"/>
  <c r="L40" i="110" a="1"/>
  <c r="J30" i="111" a="1"/>
  <c r="G1" i="111"/>
  <c r="G1" i="110"/>
  <c r="L40" i="111" a="1"/>
  <c r="K68" i="110" a="1"/>
  <c r="C27" i="111" a="1"/>
  <c r="L40" i="110" l="1"/>
  <c r="K68" i="110"/>
  <c r="Q24" i="111"/>
  <c r="W25" i="111" s="1"/>
  <c r="C27" i="110"/>
  <c r="J30" i="111"/>
  <c r="C27" i="111"/>
  <c r="J30" i="110"/>
  <c r="S34" i="111"/>
  <c r="L40" i="111"/>
  <c r="J31" i="110" a="1"/>
  <c r="C29" i="111" a="1"/>
  <c r="B104" i="110" a="1"/>
  <c r="B76" i="111" a="1"/>
  <c r="C30" i="110" a="1"/>
  <c r="C28" i="110" a="1"/>
  <c r="J31" i="111" a="1"/>
  <c r="B104" i="111" a="1"/>
  <c r="B76" i="110" a="1"/>
  <c r="C28" i="111" a="1"/>
  <c r="C29" i="110" a="1"/>
  <c r="AD27" i="111" a="1"/>
  <c r="C30" i="111" a="1"/>
  <c r="AD27" i="111" l="1"/>
  <c r="J31" i="110"/>
  <c r="B76" i="110"/>
  <c r="B104" i="110"/>
  <c r="C30" i="111"/>
  <c r="C29" i="111"/>
  <c r="C77" i="111" s="1"/>
  <c r="C28" i="111"/>
  <c r="J31" i="111"/>
  <c r="B104" i="111"/>
  <c r="B76" i="111"/>
  <c r="C30" i="110"/>
  <c r="C29" i="110"/>
  <c r="C77" i="110" s="1"/>
  <c r="C28" i="110"/>
  <c r="F43" i="110" a="1"/>
  <c r="D76" i="110" a="1"/>
  <c r="D76" i="111" a="1"/>
  <c r="D104" i="111" a="1"/>
  <c r="B77" i="110" a="1"/>
  <c r="K70" i="110" a="1"/>
  <c r="B77" i="111" a="1"/>
  <c r="D104" i="110" a="1"/>
  <c r="F43" i="111" a="1"/>
  <c r="F43" i="110" l="1"/>
  <c r="K70" i="110"/>
  <c r="B77" i="110"/>
  <c r="B77" i="111"/>
  <c r="E76" i="110"/>
  <c r="H76" i="110"/>
  <c r="F76" i="110"/>
  <c r="G76" i="110"/>
  <c r="D76" i="110"/>
  <c r="H104" i="110"/>
  <c r="D104" i="110"/>
  <c r="F104" i="110"/>
  <c r="G104" i="110"/>
  <c r="E104" i="110"/>
  <c r="F43" i="111"/>
  <c r="H76" i="111"/>
  <c r="D76" i="111"/>
  <c r="E76" i="111"/>
  <c r="G76" i="111"/>
  <c r="F76" i="111"/>
  <c r="H104" i="111"/>
  <c r="D104" i="111"/>
  <c r="G104" i="111"/>
  <c r="F104" i="111"/>
  <c r="E104" i="111"/>
  <c r="C78" i="110"/>
  <c r="C105" i="110"/>
  <c r="C105" i="111"/>
  <c r="C78" i="111"/>
  <c r="B78" i="111" a="1"/>
  <c r="D105" i="110" a="1"/>
  <c r="S34" i="110" a="1"/>
  <c r="D77" i="110" a="1"/>
  <c r="B105" i="110" a="1"/>
  <c r="D77" i="111" a="1"/>
  <c r="B78" i="110" a="1"/>
  <c r="B105" i="111" a="1"/>
  <c r="D105" i="111" a="1"/>
  <c r="K72" i="110" a="1"/>
  <c r="S34" i="110" l="1"/>
  <c r="K72" i="110"/>
  <c r="B78" i="111"/>
  <c r="B78" i="110"/>
  <c r="B105" i="111"/>
  <c r="B105" i="110"/>
  <c r="H77" i="111"/>
  <c r="G77" i="111"/>
  <c r="F77" i="111"/>
  <c r="D77" i="111"/>
  <c r="E77" i="111"/>
  <c r="H105" i="111"/>
  <c r="F105" i="111"/>
  <c r="E105" i="111"/>
  <c r="D105" i="111"/>
  <c r="G105" i="111"/>
  <c r="H77" i="110"/>
  <c r="F77" i="110"/>
  <c r="D77" i="110"/>
  <c r="E77" i="110"/>
  <c r="G77" i="110"/>
  <c r="H105" i="110"/>
  <c r="F105" i="110"/>
  <c r="G105" i="110"/>
  <c r="D105" i="110"/>
  <c r="E105" i="110"/>
  <c r="C106" i="111"/>
  <c r="C79" i="111"/>
  <c r="C106" i="110"/>
  <c r="C79" i="110"/>
  <c r="B79" i="110" a="1"/>
  <c r="B106" i="111" a="1"/>
  <c r="D106" i="111" a="1"/>
  <c r="B79" i="111" a="1"/>
  <c r="D78" i="111" a="1"/>
  <c r="B106" i="110" a="1"/>
  <c r="D106" i="110" a="1"/>
  <c r="D78" i="110" a="1"/>
  <c r="B106" i="111" l="1"/>
  <c r="B79" i="110"/>
  <c r="B106" i="110"/>
  <c r="H78" i="110"/>
  <c r="F78" i="110"/>
  <c r="E78" i="110"/>
  <c r="G78" i="110"/>
  <c r="D78" i="110"/>
  <c r="F106" i="110"/>
  <c r="D106" i="110"/>
  <c r="G106" i="110"/>
  <c r="H106" i="110"/>
  <c r="E106" i="110"/>
  <c r="B79" i="111"/>
  <c r="H78" i="111"/>
  <c r="E78" i="111"/>
  <c r="G78" i="111"/>
  <c r="F78" i="111"/>
  <c r="D78" i="111"/>
  <c r="F106" i="111"/>
  <c r="D106" i="111"/>
  <c r="H106" i="111"/>
  <c r="G106" i="111"/>
  <c r="E106" i="111"/>
  <c r="C107" i="110"/>
  <c r="C80" i="110"/>
  <c r="C107" i="111"/>
  <c r="C80" i="111"/>
  <c r="B80" i="110" a="1"/>
  <c r="B80" i="111" a="1"/>
  <c r="B107" i="110" a="1"/>
  <c r="B107" i="111" a="1"/>
  <c r="D107" i="110" a="1"/>
  <c r="D107" i="111" a="1"/>
  <c r="D79" i="110" a="1"/>
  <c r="D79" i="111" a="1"/>
  <c r="B80" i="111" l="1"/>
  <c r="B107" i="111"/>
  <c r="B80" i="110"/>
  <c r="H107" i="111"/>
  <c r="D107" i="111"/>
  <c r="G107" i="111"/>
  <c r="F107" i="111"/>
  <c r="E107" i="111"/>
  <c r="E79" i="111"/>
  <c r="H79" i="111"/>
  <c r="G79" i="111"/>
  <c r="D79" i="111"/>
  <c r="F79" i="111"/>
  <c r="D79" i="110"/>
  <c r="G79" i="110"/>
  <c r="F79" i="110"/>
  <c r="H79" i="110"/>
  <c r="E79" i="110"/>
  <c r="E107" i="110"/>
  <c r="H107" i="110"/>
  <c r="F107" i="110"/>
  <c r="G107" i="110"/>
  <c r="D107" i="110"/>
  <c r="B107" i="110"/>
  <c r="C108" i="111"/>
  <c r="C81" i="111"/>
  <c r="C108" i="110"/>
  <c r="C81" i="110"/>
  <c r="B81" i="111" a="1"/>
  <c r="D108" i="110" a="1"/>
  <c r="B108" i="110" a="1"/>
  <c r="D80" i="111" a="1"/>
  <c r="B81" i="110" a="1"/>
  <c r="B108" i="111" a="1"/>
  <c r="D108" i="111" a="1"/>
  <c r="D80" i="110" a="1"/>
  <c r="B81" i="110" l="1"/>
  <c r="B108" i="110"/>
  <c r="G108" i="110"/>
  <c r="H108" i="110"/>
  <c r="E108" i="110"/>
  <c r="D108" i="110"/>
  <c r="F108" i="110"/>
  <c r="H80" i="110"/>
  <c r="G80" i="110"/>
  <c r="D80" i="110"/>
  <c r="E80" i="110"/>
  <c r="F80" i="110"/>
  <c r="B81" i="111"/>
  <c r="B108" i="111"/>
  <c r="D108" i="111"/>
  <c r="F108" i="111"/>
  <c r="H108" i="111"/>
  <c r="E108" i="111"/>
  <c r="G108" i="111"/>
  <c r="G80" i="111"/>
  <c r="H80" i="111"/>
  <c r="D80" i="111"/>
  <c r="E80" i="111"/>
  <c r="F80" i="111"/>
  <c r="C109" i="110"/>
  <c r="C82" i="110"/>
  <c r="C109" i="111"/>
  <c r="C82" i="111"/>
  <c r="B82" i="110" a="1"/>
  <c r="D81" i="111" a="1"/>
  <c r="B109" i="111" a="1"/>
  <c r="B82" i="111" a="1"/>
  <c r="D81" i="110" a="1"/>
  <c r="D109" i="111" a="1"/>
  <c r="D109" i="110" a="1"/>
  <c r="B109" i="110" a="1"/>
  <c r="B82" i="111" l="1"/>
  <c r="B82" i="110"/>
  <c r="B109" i="111"/>
  <c r="B109" i="110"/>
  <c r="G109" i="111"/>
  <c r="E109" i="111"/>
  <c r="H109" i="111"/>
  <c r="F109" i="111"/>
  <c r="D109" i="111"/>
  <c r="H81" i="111"/>
  <c r="E81" i="111"/>
  <c r="D81" i="111"/>
  <c r="G81" i="111"/>
  <c r="F81" i="111"/>
  <c r="H81" i="110"/>
  <c r="F81" i="110"/>
  <c r="D81" i="110"/>
  <c r="E81" i="110"/>
  <c r="G81" i="110"/>
  <c r="H109" i="110"/>
  <c r="F109" i="110"/>
  <c r="G109" i="110"/>
  <c r="D109" i="110"/>
  <c r="E109" i="110"/>
  <c r="C110" i="111"/>
  <c r="C83" i="111"/>
  <c r="C110" i="110"/>
  <c r="C83" i="110"/>
  <c r="B110" i="111" a="1"/>
  <c r="D82" i="110" a="1"/>
  <c r="D82" i="111" a="1"/>
  <c r="B83" i="110" a="1"/>
  <c r="B110" i="110" a="1"/>
  <c r="D110" i="111" a="1"/>
  <c r="D110" i="110" a="1"/>
  <c r="B83" i="111" a="1"/>
  <c r="B83" i="110" l="1"/>
  <c r="B83" i="111"/>
  <c r="B110" i="110"/>
  <c r="B110" i="111"/>
  <c r="H110" i="110"/>
  <c r="F110" i="110"/>
  <c r="D110" i="110"/>
  <c r="E110" i="110"/>
  <c r="G110" i="110"/>
  <c r="G82" i="110"/>
  <c r="D82" i="110"/>
  <c r="F82" i="110"/>
  <c r="H82" i="110"/>
  <c r="E82" i="110"/>
  <c r="D82" i="111"/>
  <c r="G82" i="111"/>
  <c r="E82" i="111"/>
  <c r="H82" i="111"/>
  <c r="F82" i="111"/>
  <c r="D110" i="111"/>
  <c r="E110" i="111"/>
  <c r="F110" i="111"/>
  <c r="H110" i="111"/>
  <c r="G110" i="111"/>
  <c r="C84" i="110"/>
  <c r="C111" i="110"/>
  <c r="C111" i="111"/>
  <c r="C84" i="111"/>
  <c r="B84" i="111" a="1"/>
  <c r="B111" i="111" a="1"/>
  <c r="B84" i="110" a="1"/>
  <c r="D111" i="110" a="1"/>
  <c r="B111" i="110" a="1"/>
  <c r="D111" i="111" a="1"/>
  <c r="D83" i="110" a="1"/>
  <c r="D83" i="111" a="1"/>
  <c r="B111" i="110" l="1"/>
  <c r="D83" i="110"/>
  <c r="G83" i="110"/>
  <c r="F83" i="110"/>
  <c r="H83" i="110"/>
  <c r="E83" i="110"/>
  <c r="E111" i="110"/>
  <c r="F111" i="110"/>
  <c r="H111" i="110"/>
  <c r="G111" i="110"/>
  <c r="D111" i="110"/>
  <c r="B84" i="110"/>
  <c r="B111" i="111"/>
  <c r="D83" i="111"/>
  <c r="H83" i="111"/>
  <c r="E83" i="111"/>
  <c r="F83" i="111"/>
  <c r="G83" i="111"/>
  <c r="H111" i="111"/>
  <c r="D111" i="111"/>
  <c r="G111" i="111"/>
  <c r="E111" i="111"/>
  <c r="F111" i="111"/>
  <c r="B84" i="111"/>
  <c r="C112" i="110"/>
  <c r="C85" i="110"/>
  <c r="C112" i="111"/>
  <c r="C85" i="111"/>
  <c r="D84" i="111" a="1"/>
  <c r="B112" i="110" a="1"/>
  <c r="D84" i="110" a="1"/>
  <c r="B85" i="110" a="1"/>
  <c r="B85" i="111" a="1"/>
  <c r="D112" i="111" a="1"/>
  <c r="D112" i="110" a="1"/>
  <c r="B112" i="111" a="1"/>
  <c r="B85" i="110" l="1"/>
  <c r="F112" i="111"/>
  <c r="D112" i="111"/>
  <c r="G112" i="111"/>
  <c r="E112" i="111"/>
  <c r="H112" i="111"/>
  <c r="E84" i="111"/>
  <c r="F84" i="111"/>
  <c r="H84" i="111"/>
  <c r="G84" i="111"/>
  <c r="D84" i="111"/>
  <c r="E84" i="110"/>
  <c r="H84" i="110"/>
  <c r="D84" i="110"/>
  <c r="G84" i="110"/>
  <c r="F84" i="110"/>
  <c r="E112" i="110"/>
  <c r="G112" i="110"/>
  <c r="F112" i="110"/>
  <c r="D112" i="110"/>
  <c r="H112" i="110"/>
  <c r="B85" i="111"/>
  <c r="B112" i="111"/>
  <c r="B112" i="110"/>
  <c r="C113" i="110"/>
  <c r="C86" i="110"/>
  <c r="C86" i="111"/>
  <c r="C113" i="111"/>
  <c r="B86" i="110" a="1"/>
  <c r="D113" i="111" a="1"/>
  <c r="B86" i="111" a="1"/>
  <c r="D113" i="110" a="1"/>
  <c r="D85" i="111" a="1"/>
  <c r="B113" i="110" a="1"/>
  <c r="B113" i="111" a="1"/>
  <c r="D85" i="110" a="1"/>
  <c r="B86" i="111" l="1"/>
  <c r="F113" i="111"/>
  <c r="E113" i="111"/>
  <c r="D113" i="111"/>
  <c r="G113" i="111"/>
  <c r="H113" i="111"/>
  <c r="E85" i="111"/>
  <c r="G85" i="111"/>
  <c r="F85" i="111"/>
  <c r="H85" i="111"/>
  <c r="D85" i="111"/>
  <c r="B113" i="111"/>
  <c r="B86" i="110"/>
  <c r="B113" i="110"/>
  <c r="H85" i="110"/>
  <c r="G85" i="110"/>
  <c r="E85" i="110"/>
  <c r="F85" i="110"/>
  <c r="D85" i="110"/>
  <c r="E113" i="110"/>
  <c r="H113" i="110"/>
  <c r="F113" i="110"/>
  <c r="G113" i="110"/>
  <c r="D113" i="110"/>
  <c r="C114" i="111"/>
  <c r="C87" i="111"/>
  <c r="C87" i="110"/>
  <c r="C114" i="110"/>
  <c r="D114" i="110" a="1"/>
  <c r="D86" i="110" a="1"/>
  <c r="D86" i="111" a="1"/>
  <c r="B114" i="110" a="1"/>
  <c r="B114" i="111" a="1"/>
  <c r="B87" i="110" a="1"/>
  <c r="B87" i="111" a="1"/>
  <c r="D114" i="111" a="1"/>
  <c r="B87" i="111" l="1"/>
  <c r="B114" i="110"/>
  <c r="B87" i="110"/>
  <c r="B114" i="111"/>
  <c r="H114" i="110"/>
  <c r="E114" i="110"/>
  <c r="G114" i="110"/>
  <c r="F114" i="110"/>
  <c r="D114" i="110"/>
  <c r="H86" i="110"/>
  <c r="E86" i="110"/>
  <c r="F86" i="110"/>
  <c r="G86" i="110"/>
  <c r="D86" i="110"/>
  <c r="F114" i="111"/>
  <c r="H114" i="111"/>
  <c r="G114" i="111"/>
  <c r="D114" i="111"/>
  <c r="E114" i="111"/>
  <c r="H86" i="111"/>
  <c r="E86" i="111"/>
  <c r="D86" i="111"/>
  <c r="G86" i="111"/>
  <c r="F86" i="111"/>
  <c r="C115" i="111"/>
  <c r="C88" i="111"/>
  <c r="C88" i="110"/>
  <c r="C115" i="110"/>
  <c r="B88" i="110" a="1"/>
  <c r="D115" i="111" a="1"/>
  <c r="B115" i="110" a="1"/>
  <c r="D115" i="110" a="1"/>
  <c r="B88" i="111" a="1"/>
  <c r="B115" i="111" a="1"/>
  <c r="D87" i="111" a="1"/>
  <c r="D87" i="110" a="1"/>
  <c r="B88" i="110" l="1"/>
  <c r="F87" i="110"/>
  <c r="D87" i="110"/>
  <c r="G87" i="110"/>
  <c r="H87" i="110"/>
  <c r="E87" i="110"/>
  <c r="D115" i="110"/>
  <c r="E115" i="110"/>
  <c r="H115" i="110"/>
  <c r="F115" i="110"/>
  <c r="G115" i="110"/>
  <c r="B115" i="110"/>
  <c r="B88" i="111"/>
  <c r="B115" i="111"/>
  <c r="H87" i="111"/>
  <c r="G87" i="111"/>
  <c r="D87" i="111"/>
  <c r="E87" i="111"/>
  <c r="F87" i="111"/>
  <c r="H115" i="111"/>
  <c r="E115" i="111"/>
  <c r="F115" i="111"/>
  <c r="D115" i="111"/>
  <c r="G115" i="111"/>
  <c r="C116" i="110"/>
  <c r="C89" i="110"/>
  <c r="C116" i="111"/>
  <c r="C89" i="111"/>
  <c r="D116" i="110" a="1"/>
  <c r="B89" i="110" a="1"/>
  <c r="D116" i="111" a="1"/>
  <c r="D88" i="111" a="1"/>
  <c r="B89" i="111" a="1"/>
  <c r="B116" i="111" a="1"/>
  <c r="B116" i="110" a="1"/>
  <c r="D88" i="110" a="1"/>
  <c r="B89" i="111" l="1"/>
  <c r="B116" i="111"/>
  <c r="B89" i="110"/>
  <c r="B116" i="110"/>
  <c r="H88" i="111"/>
  <c r="G88" i="111"/>
  <c r="D88" i="111"/>
  <c r="E88" i="111"/>
  <c r="F88" i="111"/>
  <c r="D116" i="111"/>
  <c r="G116" i="111"/>
  <c r="F116" i="111"/>
  <c r="E116" i="111"/>
  <c r="H116" i="111"/>
  <c r="D88" i="110"/>
  <c r="F88" i="110"/>
  <c r="E88" i="110"/>
  <c r="G88" i="110"/>
  <c r="H88" i="110"/>
  <c r="H116" i="110"/>
  <c r="E116" i="110"/>
  <c r="G116" i="110"/>
  <c r="F116" i="110"/>
  <c r="D116" i="110"/>
  <c r="C117" i="111"/>
  <c r="C90" i="111"/>
  <c r="C117" i="110"/>
  <c r="C90" i="110"/>
  <c r="D117" i="110" a="1"/>
  <c r="B90" i="111" a="1"/>
  <c r="B90" i="110" a="1"/>
  <c r="B117" i="110" a="1"/>
  <c r="D117" i="111" a="1"/>
  <c r="D89" i="110" a="1"/>
  <c r="D89" i="111" a="1"/>
  <c r="B117" i="111" a="1"/>
  <c r="B117" i="111" l="1"/>
  <c r="B117" i="110"/>
  <c r="B90" i="111"/>
  <c r="B90" i="110"/>
  <c r="G89" i="110"/>
  <c r="F89" i="110"/>
  <c r="E89" i="110"/>
  <c r="H89" i="110"/>
  <c r="D89" i="110"/>
  <c r="H117" i="110"/>
  <c r="F117" i="110"/>
  <c r="G117" i="110"/>
  <c r="D117" i="110"/>
  <c r="E117" i="110"/>
  <c r="G117" i="111"/>
  <c r="H117" i="111"/>
  <c r="D117" i="111"/>
  <c r="F117" i="111"/>
  <c r="E117" i="111"/>
  <c r="H89" i="111"/>
  <c r="F89" i="111"/>
  <c r="E89" i="111"/>
  <c r="D89" i="111"/>
  <c r="G89" i="111"/>
  <c r="C118" i="111"/>
  <c r="C91" i="111"/>
  <c r="C118" i="110"/>
  <c r="C91" i="110"/>
  <c r="B91" i="110" a="1"/>
  <c r="B118" i="111" a="1"/>
  <c r="B91" i="111" a="1"/>
  <c r="D90" i="110" a="1"/>
  <c r="D118" i="110" a="1"/>
  <c r="D118" i="111" a="1"/>
  <c r="B118" i="110" a="1"/>
  <c r="D90" i="111" a="1"/>
  <c r="B91" i="110" l="1"/>
  <c r="B91" i="111"/>
  <c r="B118" i="110"/>
  <c r="H90" i="110"/>
  <c r="D90" i="110"/>
  <c r="E90" i="110"/>
  <c r="F90" i="110"/>
  <c r="G90" i="110"/>
  <c r="H118" i="110"/>
  <c r="D118" i="110"/>
  <c r="G118" i="110"/>
  <c r="E118" i="110"/>
  <c r="F118" i="110"/>
  <c r="B118" i="111"/>
  <c r="E90" i="111"/>
  <c r="F90" i="111"/>
  <c r="D90" i="111"/>
  <c r="G90" i="111"/>
  <c r="H90" i="111"/>
  <c r="F118" i="111"/>
  <c r="H118" i="111"/>
  <c r="G118" i="111"/>
  <c r="E118" i="111"/>
  <c r="D118" i="111"/>
  <c r="C92" i="110"/>
  <c r="C119" i="110"/>
  <c r="C119" i="111"/>
  <c r="C92" i="111"/>
  <c r="B119" i="111" a="1"/>
  <c r="B92" i="110" a="1"/>
  <c r="D91" i="111" a="1"/>
  <c r="B92" i="111" a="1"/>
  <c r="D119" i="111" a="1"/>
  <c r="D119" i="110" a="1"/>
  <c r="D91" i="110" a="1"/>
  <c r="B119" i="110" a="1"/>
  <c r="E119" i="111" l="1"/>
  <c r="H119" i="111"/>
  <c r="G119" i="111"/>
  <c r="D119" i="111"/>
  <c r="F119" i="111"/>
  <c r="F91" i="111"/>
  <c r="D91" i="111"/>
  <c r="G91" i="111"/>
  <c r="H91" i="111"/>
  <c r="E91" i="111"/>
  <c r="D119" i="110"/>
  <c r="H119" i="110"/>
  <c r="E119" i="110"/>
  <c r="F119" i="110"/>
  <c r="G119" i="110"/>
  <c r="E91" i="110"/>
  <c r="D91" i="110"/>
  <c r="H91" i="110"/>
  <c r="F91" i="110"/>
  <c r="G91" i="110"/>
  <c r="B92" i="111"/>
  <c r="B119" i="111"/>
  <c r="B119" i="110"/>
  <c r="B92" i="110"/>
  <c r="C93" i="111"/>
  <c r="C120" i="111"/>
  <c r="C120" i="110"/>
  <c r="C93" i="110"/>
  <c r="D120" i="111" a="1"/>
  <c r="D92" i="110" a="1"/>
  <c r="D92" i="111" a="1"/>
  <c r="D120" i="110" a="1"/>
  <c r="B93" i="111" a="1"/>
  <c r="B93" i="110" a="1"/>
  <c r="B120" i="111" a="1"/>
  <c r="B120" i="110" a="1"/>
  <c r="E92" i="110" l="1"/>
  <c r="H92" i="110"/>
  <c r="F92" i="110"/>
  <c r="D92" i="110"/>
  <c r="G92" i="110"/>
  <c r="H120" i="110"/>
  <c r="E120" i="110"/>
  <c r="G120" i="110"/>
  <c r="D120" i="110"/>
  <c r="F120" i="110"/>
  <c r="H92" i="111"/>
  <c r="G92" i="111"/>
  <c r="F92" i="111"/>
  <c r="E92" i="111"/>
  <c r="D92" i="111"/>
  <c r="G120" i="111"/>
  <c r="F120" i="111"/>
  <c r="E120" i="111"/>
  <c r="H120" i="111"/>
  <c r="D120" i="111"/>
  <c r="B93" i="110"/>
  <c r="B120" i="110"/>
  <c r="B120" i="111"/>
  <c r="B93" i="111"/>
  <c r="C121" i="110"/>
  <c r="C94" i="110"/>
  <c r="C121" i="111"/>
  <c r="C94" i="111"/>
  <c r="B121" i="111" a="1"/>
  <c r="D121" i="111" a="1"/>
  <c r="D121" i="110" a="1"/>
  <c r="D93" i="111" a="1"/>
  <c r="B94" i="110" a="1"/>
  <c r="D93" i="110" a="1"/>
  <c r="B121" i="110" a="1"/>
  <c r="B94" i="111" a="1"/>
  <c r="B94" i="110" l="1"/>
  <c r="B94" i="111"/>
  <c r="B121" i="111"/>
  <c r="B121" i="110"/>
  <c r="D93" i="111"/>
  <c r="G93" i="111"/>
  <c r="F93" i="111"/>
  <c r="H93" i="111"/>
  <c r="E93" i="111"/>
  <c r="H121" i="111"/>
  <c r="E121" i="111"/>
  <c r="D121" i="111"/>
  <c r="G121" i="111"/>
  <c r="F121" i="111"/>
  <c r="D93" i="110"/>
  <c r="F93" i="110"/>
  <c r="G93" i="110"/>
  <c r="E93" i="110"/>
  <c r="H93" i="110"/>
  <c r="H121" i="110"/>
  <c r="D121" i="110"/>
  <c r="E121" i="110"/>
  <c r="F121" i="110"/>
  <c r="G121" i="110"/>
  <c r="C122" i="110"/>
  <c r="C95" i="110"/>
  <c r="C122" i="111"/>
  <c r="C95" i="111"/>
  <c r="B122" i="110" a="1"/>
  <c r="B95" i="110" a="1"/>
  <c r="B122" i="111" a="1"/>
  <c r="D122" i="110" a="1"/>
  <c r="D122" i="111" a="1"/>
  <c r="B95" i="111" a="1"/>
  <c r="D94" i="111" a="1"/>
  <c r="D94" i="110" a="1"/>
  <c r="B95" i="111" l="1"/>
  <c r="B95" i="110"/>
  <c r="H94" i="111"/>
  <c r="F94" i="111"/>
  <c r="E94" i="111"/>
  <c r="D94" i="111"/>
  <c r="G94" i="111"/>
  <c r="F122" i="111"/>
  <c r="H122" i="111"/>
  <c r="E122" i="111"/>
  <c r="D122" i="111"/>
  <c r="G122" i="111"/>
  <c r="B122" i="111"/>
  <c r="B122" i="110"/>
  <c r="D94" i="110"/>
  <c r="E94" i="110"/>
  <c r="H94" i="110"/>
  <c r="F94" i="110"/>
  <c r="G94" i="110"/>
  <c r="H122" i="110"/>
  <c r="D122" i="110"/>
  <c r="F122" i="110"/>
  <c r="G122" i="110"/>
  <c r="E122" i="110"/>
  <c r="C96" i="111"/>
  <c r="C123" i="111"/>
  <c r="C123" i="110"/>
  <c r="C96" i="110"/>
  <c r="D95" i="110" a="1"/>
  <c r="B96" i="110" a="1"/>
  <c r="B96" i="111" a="1"/>
  <c r="D95" i="111" a="1"/>
  <c r="D123" i="110" a="1"/>
  <c r="D123" i="111" a="1"/>
  <c r="B123" i="111" a="1"/>
  <c r="B123" i="110" a="1"/>
  <c r="B123" i="110" l="1"/>
  <c r="G123" i="110"/>
  <c r="D123" i="110"/>
  <c r="F123" i="110"/>
  <c r="E123" i="110"/>
  <c r="H123" i="110"/>
  <c r="H95" i="110"/>
  <c r="E95" i="110"/>
  <c r="D95" i="110"/>
  <c r="F95" i="110"/>
  <c r="G95" i="110"/>
  <c r="B96" i="110"/>
  <c r="B123" i="111"/>
  <c r="B96" i="111"/>
  <c r="D123" i="111"/>
  <c r="F123" i="111"/>
  <c r="H123" i="111"/>
  <c r="E123" i="111"/>
  <c r="G123" i="111"/>
  <c r="E95" i="111"/>
  <c r="F95" i="111"/>
  <c r="H95" i="111"/>
  <c r="D95" i="111"/>
  <c r="G95" i="111"/>
  <c r="C124" i="110"/>
  <c r="C124" i="111"/>
  <c r="B124" i="111" a="1"/>
  <c r="D96" i="111" a="1"/>
  <c r="D124" i="110" a="1"/>
  <c r="D124" i="111" a="1"/>
  <c r="D96" i="110" a="1"/>
  <c r="B124" i="110" a="1"/>
  <c r="B124" i="111" l="1"/>
  <c r="H124" i="111"/>
  <c r="E124" i="111"/>
  <c r="D124" i="111"/>
  <c r="F124" i="111"/>
  <c r="G124" i="111"/>
  <c r="H96" i="111"/>
  <c r="G96" i="111"/>
  <c r="F96" i="111"/>
  <c r="E96" i="111"/>
  <c r="D96" i="111"/>
  <c r="B124" i="110"/>
  <c r="G124" i="110"/>
  <c r="F124" i="110"/>
  <c r="H124" i="110"/>
  <c r="D124" i="110"/>
  <c r="E124" i="110"/>
  <c r="E96" i="110"/>
  <c r="H96" i="110"/>
  <c r="D96" i="110"/>
  <c r="F96" i="110"/>
  <c r="G96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<sst xmlns="http://schemas.openxmlformats.org/spreadsheetml/2006/main" count="209" uniqueCount="83">
  <si>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</si>
  <si>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</si>
  <si>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</si>
  <si>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</si>
  <si>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</si>
  <si>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</si>
  <si>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</si>
  <si>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</si>
  <si>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</si>
  <si>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</si>
  <si>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</si>
  <si>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</si>
  <si>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</si>
  <si>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</si>
  <si>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</si>
  <si>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</si>
  <si>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</si>
  <si>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</si>
  <si>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</si>
  <si>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</si>
  <si>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</si>
  <si>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</si>
  <si>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</si>
  <si>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</si>
  <si>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</si>
  <si>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</si>
  <si>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</si>
  <si>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</si>
  <si>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</si>
  <si>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</si>
  <si>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</si>
  <si>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</si>
  <si>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</si>
  <si>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</si>
  <si>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</si>
  <si>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</si>
  <si>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</si>
  <si>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</si>
  <si>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</si>
  <si>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</si>
  <si>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</si>
  <si>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</si>
  <si>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</si>
  <si>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</si>
  <si>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</si>
  <si>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</si>
  <si>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</si>
  <si>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</si>
  <si>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</si>
  <si>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</si>
  <si>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</si>
  <si>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</si>
  <si>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</si>
  <si>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</si>
  <si>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</si>
  <si>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</si>
  <si>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</si>
  <si>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</si>
  <si>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</si>
  <si>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</si>
  <si>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</si>
  <si>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</si>
  <si>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</si>
  <si>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</si>
  <si>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</si>
  <si>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</si>
  <si>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</si>
  <si>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</si>
  <si>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</si>
  <si>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</si>
  <si>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</si>
  <si>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Параметры расчета</t>
  </si>
  <si>
    <t>show_log</t>
  </si>
  <si>
    <t>num_value</t>
  </si>
  <si>
    <t>show_array</t>
  </si>
  <si>
    <t>p_dis_atma</t>
  </si>
  <si>
    <t>p_int_atma</t>
  </si>
  <si>
    <t>t_int_C</t>
  </si>
  <si>
    <t>t_dis_C</t>
  </si>
  <si>
    <t xml:space="preserve"> </t>
  </si>
  <si>
    <t>esp_gas_correct</t>
  </si>
  <si>
    <t>7.27b</t>
  </si>
  <si>
    <t>show_json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</si>
</sst>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8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center" wrapText="1"/>
    </xf>
    <xf numFmtId="1" fontId="0" fillId="7" borderId="8" xfId="0" applyNumberFormat="1" applyFill="1" applyBorder="1" applyAlignment="1">
      <alignment horizontal="center"/>
    </xf>
    <xf numFmtId="0" fontId="0" fillId="7" borderId="9" xfId="0" applyFill="1" applyBorder="1"/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/>
    <xf numFmtId="1" fontId="0" fillId="7" borderId="12" xfId="0" applyNumberFormat="1" applyFill="1" applyBorder="1" applyAlignment="1">
      <alignment horizontal="center"/>
    </xf>
    <xf numFmtId="1" fontId="0" fillId="7" borderId="16" xfId="0" applyNumberFormat="1" applyFill="1" applyBorder="1" applyAlignment="1">
      <alignment horizontal="center"/>
    </xf>
    <xf numFmtId="164" fontId="0" fillId="7" borderId="0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174.73959652582298</c:v>
                </c:pt>
                <c:pt idx="1">
                  <c:v>210.65433789371806</c:v>
                </c:pt>
                <c:pt idx="2">
                  <c:v>212.78883624598888</c:v>
                </c:pt>
                <c:pt idx="3">
                  <c:v>213.17152600315524</c:v>
                </c:pt>
                <c:pt idx="4">
                  <c:v>212.56745554839844</c:v>
                </c:pt>
                <c:pt idx="5">
                  <c:v>211.06202318515068</c:v>
                </c:pt>
                <c:pt idx="6">
                  <c:v>208.37298361327902</c:v>
                </c:pt>
                <c:pt idx="7">
                  <c:v>203.17137607983631</c:v>
                </c:pt>
                <c:pt idx="8">
                  <c:v>194.87327002657173</c:v>
                </c:pt>
                <c:pt idx="9">
                  <c:v>184.25352863406451</c:v>
                </c:pt>
                <c:pt idx="10">
                  <c:v>171.779125472613</c:v>
                </c:pt>
                <c:pt idx="11">
                  <c:v>157.43435780735763</c:v>
                </c:pt>
                <c:pt idx="12">
                  <c:v>140.31462659856584</c:v>
                </c:pt>
                <c:pt idx="13">
                  <c:v>116.10290396719387</c:v>
                </c:pt>
                <c:pt idx="14">
                  <c:v>76.906776763008111</c:v>
                </c:pt>
                <c:pt idx="15">
                  <c:v>9.3992437633970134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299</c:v>
                </c:pt>
                <c:pt idx="1">
                  <c:v>132.09554748866358</c:v>
                </c:pt>
                <c:pt idx="2">
                  <c:v>106.23118277913856</c:v>
                </c:pt>
                <c:pt idx="3">
                  <c:v>96.508086829992322</c:v>
                </c:pt>
                <c:pt idx="4">
                  <c:v>91.360180309076839</c:v>
                </c:pt>
                <c:pt idx="5">
                  <c:v>88.211146050922437</c:v>
                </c:pt>
                <c:pt idx="6">
                  <c:v>86.17545900625754</c:v>
                </c:pt>
                <c:pt idx="7">
                  <c:v>84.878753310723297</c:v>
                </c:pt>
                <c:pt idx="8">
                  <c:v>84.151089313494623</c:v>
                </c:pt>
                <c:pt idx="9">
                  <c:v>83.83740595707107</c:v>
                </c:pt>
                <c:pt idx="10">
                  <c:v>83.790551118930196</c:v>
                </c:pt>
                <c:pt idx="11">
                  <c:v>83.93625319110599</c:v>
                </c:pt>
                <c:pt idx="12">
                  <c:v>84.282004956370201</c:v>
                </c:pt>
                <c:pt idx="13">
                  <c:v>84.965735404380709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40.41500234319227</c:v>
                </c:pt>
                <c:pt idx="1">
                  <c:v>39.725745754193575</c:v>
                </c:pt>
                <c:pt idx="2">
                  <c:v>39.642148117791884</c:v>
                </c:pt>
                <c:pt idx="3">
                  <c:v>40.159614680102472</c:v>
                </c:pt>
                <c:pt idx="4">
                  <c:v>41.543491269586262</c:v>
                </c:pt>
                <c:pt idx="5">
                  <c:v>44.031809798462199</c:v>
                </c:pt>
                <c:pt idx="6">
                  <c:v>47.485214936203477</c:v>
                </c:pt>
                <c:pt idx="7">
                  <c:v>51.837166461183287</c:v>
                </c:pt>
                <c:pt idx="8">
                  <c:v>57.0014261540042</c:v>
                </c:pt>
                <c:pt idx="9">
                  <c:v>62.786981655352392</c:v>
                </c:pt>
                <c:pt idx="10">
                  <c:v>69.158797363278453</c:v>
                </c:pt>
                <c:pt idx="11">
                  <c:v>76.147465664672424</c:v>
                </c:pt>
                <c:pt idx="12">
                  <c:v>83.832547212951454</c:v>
                </c:pt>
                <c:pt idx="13">
                  <c:v>92.499175974647798</c:v>
                </c:pt>
                <c:pt idx="14">
                  <c:v>102.70929511429782</c:v>
                </c:pt>
                <c:pt idx="15">
                  <c:v>116.11311951934081</c:v>
                </c:pt>
                <c:pt idx="16">
                  <c:v>131.46560851683739</c:v>
                </c:pt>
                <c:pt idx="17">
                  <c:v>147.626659425204</c:v>
                </c:pt>
                <c:pt idx="18">
                  <c:v>164.02865419466713</c:v>
                </c:pt>
                <c:pt idx="19">
                  <c:v>180.42999496051479</c:v>
                </c:pt>
                <c:pt idx="20">
                  <c:v>196.86294949470852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9.75</c:v>
                </c:pt>
                <c:pt idx="2">
                  <c:v>18.5</c:v>
                </c:pt>
                <c:pt idx="3">
                  <c:v>27.25</c:v>
                </c:pt>
                <c:pt idx="4">
                  <c:v>36</c:v>
                </c:pt>
                <c:pt idx="5">
                  <c:v>44.75</c:v>
                </c:pt>
                <c:pt idx="6">
                  <c:v>53.5</c:v>
                </c:pt>
                <c:pt idx="7">
                  <c:v>62.25</c:v>
                </c:pt>
                <c:pt idx="8">
                  <c:v>71</c:v>
                </c:pt>
                <c:pt idx="9">
                  <c:v>79.75</c:v>
                </c:pt>
                <c:pt idx="10">
                  <c:v>88.5</c:v>
                </c:pt>
                <c:pt idx="11">
                  <c:v>97.25</c:v>
                </c:pt>
                <c:pt idx="12">
                  <c:v>106</c:v>
                </c:pt>
                <c:pt idx="13">
                  <c:v>114.75</c:v>
                </c:pt>
                <c:pt idx="14">
                  <c:v>123.5</c:v>
                </c:pt>
                <c:pt idx="15">
                  <c:v>132.25</c:v>
                </c:pt>
                <c:pt idx="16">
                  <c:v>141</c:v>
                </c:pt>
                <c:pt idx="17">
                  <c:v>149.75</c:v>
                </c:pt>
                <c:pt idx="18">
                  <c:v>158.5</c:v>
                </c:pt>
                <c:pt idx="19">
                  <c:v>167.25</c:v>
                </c:pt>
                <c:pt idx="20">
                  <c:v>176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80.526315789473685</c:v>
                </c:pt>
                <c:pt idx="2">
                  <c:v>81.052631578947384</c:v>
                </c:pt>
                <c:pt idx="3">
                  <c:v>81.578947368421069</c:v>
                </c:pt>
                <c:pt idx="4">
                  <c:v>82.105263157894768</c:v>
                </c:pt>
                <c:pt idx="5">
                  <c:v>82.631578947368453</c:v>
                </c:pt>
                <c:pt idx="6">
                  <c:v>83.157894736842152</c:v>
                </c:pt>
                <c:pt idx="7">
                  <c:v>83.684210526315837</c:v>
                </c:pt>
                <c:pt idx="8">
                  <c:v>84.210526315789537</c:v>
                </c:pt>
                <c:pt idx="9">
                  <c:v>84.736842105263221</c:v>
                </c:pt>
                <c:pt idx="10">
                  <c:v>85.263157894736921</c:v>
                </c:pt>
                <c:pt idx="11">
                  <c:v>85.789473684210606</c:v>
                </c:pt>
                <c:pt idx="12">
                  <c:v>86.315789473684305</c:v>
                </c:pt>
                <c:pt idx="13">
                  <c:v>86.84210526315799</c:v>
                </c:pt>
                <c:pt idx="14">
                  <c:v>87.368421052631689</c:v>
                </c:pt>
                <c:pt idx="15">
                  <c:v>87.894736842105374</c:v>
                </c:pt>
                <c:pt idx="16">
                  <c:v>88.421052631579073</c:v>
                </c:pt>
                <c:pt idx="17">
                  <c:v>88.947368421052758</c:v>
                </c:pt>
                <c:pt idx="18">
                  <c:v>89.473684210526457</c:v>
                </c:pt>
                <c:pt idx="19">
                  <c:v>90.000000000000142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19.697585709715334</c:v>
                </c:pt>
                <c:pt idx="2">
                  <c:v>14.561339538290197</c:v>
                </c:pt>
                <c:pt idx="3">
                  <c:v>10.435880928306011</c:v>
                </c:pt>
                <c:pt idx="4">
                  <c:v>6.4001211629265944</c:v>
                </c:pt>
                <c:pt idx="5">
                  <c:v>2.4625689709452656</c:v>
                </c:pt>
                <c:pt idx="6">
                  <c:v>0.12819951164409327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</c:formatCode>
                <c:ptCount val="20"/>
                <c:pt idx="0">
                  <c:v>71.140600486008623</c:v>
                </c:pt>
                <c:pt idx="1">
                  <c:v>70.076312448966576</c:v>
                </c:pt>
                <c:pt idx="2">
                  <c:v>66.440228682588838</c:v>
                </c:pt>
                <c:pt idx="3">
                  <c:v>63.86222921218134</c:v>
                </c:pt>
                <c:pt idx="4">
                  <c:v>61.621597033514995</c:v>
                </c:pt>
                <c:pt idx="5">
                  <c:v>59.647682944935148</c:v>
                </c:pt>
                <c:pt idx="6">
                  <c:v>58.5181057835891</c:v>
                </c:pt>
                <c:pt idx="7">
                  <c:v>58.387982427106628</c:v>
                </c:pt>
                <c:pt idx="8">
                  <c:v>58.323635254221152</c:v>
                </c:pt>
                <c:pt idx="9">
                  <c:v>58.266662967340679</c:v>
                </c:pt>
                <c:pt idx="10">
                  <c:v>58.216608894449713</c:v>
                </c:pt>
                <c:pt idx="11">
                  <c:v>58.17248251856342</c:v>
                </c:pt>
                <c:pt idx="12">
                  <c:v>58.133041041716588</c:v>
                </c:pt>
                <c:pt idx="13">
                  <c:v>58.097968714223903</c:v>
                </c:pt>
                <c:pt idx="14">
                  <c:v>58.066943995577887</c:v>
                </c:pt>
                <c:pt idx="15">
                  <c:v>58.039071948249649</c:v>
                </c:pt>
                <c:pt idx="16">
                  <c:v>58.014104636879345</c:v>
                </c:pt>
                <c:pt idx="17">
                  <c:v>57.992032279270468</c:v>
                </c:pt>
                <c:pt idx="18">
                  <c:v>57.972177511515603</c:v>
                </c:pt>
                <c:pt idx="19">
                  <c:v>57.954332013196698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19.697585709715334</c:v>
                </c:pt>
                <c:pt idx="2">
                  <c:v>14.561339538290197</c:v>
                </c:pt>
                <c:pt idx="3">
                  <c:v>10.435880928306011</c:v>
                </c:pt>
                <c:pt idx="4">
                  <c:v>6.4001211629265944</c:v>
                </c:pt>
                <c:pt idx="5">
                  <c:v>2.4625689709452656</c:v>
                </c:pt>
                <c:pt idx="6">
                  <c:v>0.12819951164409327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Exercise_ESP!$N$45</c:f>
              <c:strCache>
                <c:ptCount val="1"/>
                <c:pt idx="0">
                  <c:v>eff fluid,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Exercise_ESP!$N$47:$N$65</c:f>
              <c:numCache>
                <c:formatCode>0.00</c:formatCode>
                <c:ptCount val="19"/>
                <c:pt idx="0">
                  <c:v>51.630252319158053</c:v>
                </c:pt>
                <c:pt idx="1">
                  <c:v>49.848290398018655</c:v>
                </c:pt>
                <c:pt idx="2">
                  <c:v>48.438089495146194</c:v>
                </c:pt>
                <c:pt idx="3">
                  <c:v>47.119642358183981</c:v>
                </c:pt>
                <c:pt idx="4">
                  <c:v>45.902890681938899</c:v>
                </c:pt>
                <c:pt idx="5">
                  <c:v>45.188968677486208</c:v>
                </c:pt>
                <c:pt idx="6">
                  <c:v>45.105822691825942</c:v>
                </c:pt>
                <c:pt idx="7">
                  <c:v>45.064569464937492</c:v>
                </c:pt>
                <c:pt idx="8">
                  <c:v>45.028013801036835</c:v>
                </c:pt>
                <c:pt idx="9">
                  <c:v>44.995871298392608</c:v>
                </c:pt>
                <c:pt idx="10">
                  <c:v>44.967515268323474</c:v>
                </c:pt>
                <c:pt idx="11">
                  <c:v>44.942155394951868</c:v>
                </c:pt>
                <c:pt idx="12">
                  <c:v>44.919592607984924</c:v>
                </c:pt>
                <c:pt idx="13">
                  <c:v>44.89962361722894</c:v>
                </c:pt>
                <c:pt idx="14">
                  <c:v>44.881676714717436</c:v>
                </c:pt>
                <c:pt idx="15">
                  <c:v>44.865594241077474</c:v>
                </c:pt>
                <c:pt idx="16">
                  <c:v>44.851371281719423</c:v>
                </c:pt>
                <c:pt idx="17">
                  <c:v>44.838573699512843</c:v>
                </c:pt>
                <c:pt idx="18">
                  <c:v>44.82706827705271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Exercise_ESP!$J$47:$J$65</c:f>
              <c:numCache>
                <c:formatCode>0</c:formatCode>
                <c:ptCount val="19"/>
                <c:pt idx="0">
                  <c:v>19.697585709715334</c:v>
                </c:pt>
                <c:pt idx="1">
                  <c:v>14.561339538290197</c:v>
                </c:pt>
                <c:pt idx="2">
                  <c:v>10.435880928306011</c:v>
                </c:pt>
                <c:pt idx="3">
                  <c:v>6.4001211629265944</c:v>
                </c:pt>
                <c:pt idx="4">
                  <c:v>2.4625689709452656</c:v>
                </c:pt>
                <c:pt idx="5">
                  <c:v>0.12819951164409327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156.46425566759805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4-4439-88EB-340FFF3C4821}"/>
            </c:ext>
          </c:extLst>
        </c:ser>
        <c:ser>
          <c:idx val="1"/>
          <c:order val="1"/>
          <c:tx>
            <c:strRef>
              <c:f>'Exercise_ESP (2)'!$E$75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44-4439-88EB-340FFF3C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B-4E9D-BA06-2601DE261E87}"/>
            </c:ext>
          </c:extLst>
        </c:ser>
        <c:ser>
          <c:idx val="1"/>
          <c:order val="1"/>
          <c:tx>
            <c:strRef>
              <c:f>'Exercise_ESP (2)'!$H$75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B-4E9D-BA06-2601DE26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(2)'!$E$104:$E$124</c:f>
              <c:numCache>
                <c:formatCode>0</c:formatCode>
                <c:ptCount val="21"/>
                <c:pt idx="0">
                  <c:v>28.906627181664422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35.479867146179252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C-4ED6-8AFD-5827F77493B0}"/>
            </c:ext>
          </c:extLst>
        </c:ser>
        <c:ser>
          <c:idx val="1"/>
          <c:order val="1"/>
          <c:tx>
            <c:strRef>
              <c:f>'Exercise_ESP (2)'!$G$103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C-4ED6-8AFD-5827F774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7-4E35-A25C-36FF2CAD9436}"/>
            </c:ext>
          </c:extLst>
        </c:ser>
        <c:ser>
          <c:idx val="1"/>
          <c:order val="1"/>
          <c:tx>
            <c:strRef>
              <c:f>'Exercise_ESP (2)'!$H$103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77-4E35-A25C-36FF2CAD9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'Exercise_ESP (2)'!$I$45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(2)'!$I$46:$I$65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B-4123-AADC-1D3F83646D93}"/>
            </c:ext>
          </c:extLst>
        </c:ser>
        <c:ser>
          <c:idx val="1"/>
          <c:order val="1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B-4123-AADC-1D3F8364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'Exercise_ESP (2)'!$K$45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(2)'!$K$46:$K$65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260430</xdr:colOff>
      <xdr:row>74</xdr:row>
      <xdr:rowOff>165146</xdr:rowOff>
    </xdr:from>
    <xdr:to>
      <xdr:col>21</xdr:col>
      <xdr:colOff>626489</xdr:colOff>
      <xdr:row>97</xdr:row>
      <xdr:rowOff>141273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19</xdr:col>
      <xdr:colOff>224678</xdr:colOff>
      <xdr:row>75</xdr:row>
      <xdr:rowOff>76760</xdr:rowOff>
    </xdr:from>
    <xdr:to>
      <xdr:col>28</xdr:col>
      <xdr:colOff>88714</xdr:colOff>
      <xdr:row>98</xdr:row>
      <xdr:rowOff>71376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  <xdr:twoCellAnchor>
    <xdr:from>
      <xdr:col>28</xdr:col>
      <xdr:colOff>170330</xdr:colOff>
      <xdr:row>43</xdr:row>
      <xdr:rowOff>44824</xdr:rowOff>
    </xdr:from>
    <xdr:to>
      <xdr:col>33</xdr:col>
      <xdr:colOff>461360</xdr:colOff>
      <xdr:row>65</xdr:row>
      <xdr:rowOff>124516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6B661BB-35C6-44A0-AC19-EB99F715E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E0882F-CA60-4BCF-9092-A556A71B1236}"/>
            </a:ext>
          </a:extLst>
        </xdr:cNvPr>
        <xdr:cNvSpPr txBox="1"/>
      </xdr:nvSpPr>
      <xdr:spPr>
        <a:xfrm>
          <a:off x="5175404" y="22597"/>
          <a:ext cx="532855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6CB69E2-206B-4465-8253-33C2D8C33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4B7BD2-F69D-4083-9641-E3599F4DC41F}"/>
            </a:ext>
          </a:extLst>
        </xdr:cNvPr>
        <xdr:cNvSpPr txBox="1"/>
      </xdr:nvSpPr>
      <xdr:spPr>
        <a:xfrm>
          <a:off x="10601324" y="11642"/>
          <a:ext cx="6577542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5" name="Выноска со стрелкой влево 3">
          <a:extLst>
            <a:ext uri="{FF2B5EF4-FFF2-40B4-BE49-F238E27FC236}">
              <a16:creationId xmlns:a16="http://schemas.microsoft.com/office/drawing/2014/main" id="{7EC10242-F5F8-47D2-B4FD-5326A83D41A6}"/>
            </a:ext>
          </a:extLst>
        </xdr:cNvPr>
        <xdr:cNvSpPr/>
      </xdr:nvSpPr>
      <xdr:spPr>
        <a:xfrm flipH="1">
          <a:off x="0" y="9013388"/>
          <a:ext cx="36766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6" name="Выноска со стрелкой влево 16">
          <a:extLst>
            <a:ext uri="{FF2B5EF4-FFF2-40B4-BE49-F238E27FC236}">
              <a16:creationId xmlns:a16="http://schemas.microsoft.com/office/drawing/2014/main" id="{2DAC0239-F34F-4406-8F1E-9667F19480A6}"/>
            </a:ext>
          </a:extLst>
        </xdr:cNvPr>
        <xdr:cNvSpPr/>
      </xdr:nvSpPr>
      <xdr:spPr>
        <a:xfrm>
          <a:off x="6153151" y="14376399"/>
          <a:ext cx="320886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FF885E3-A1D8-4A11-AB44-3BAD2D3D7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4FE7153-D6C0-41E4-BF11-0CDDB2C78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CBD2615-B1AC-4474-A8C8-460E8CA72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10" name="Выноска со стрелкой влево 16">
          <a:extLst>
            <a:ext uri="{FF2B5EF4-FFF2-40B4-BE49-F238E27FC236}">
              <a16:creationId xmlns:a16="http://schemas.microsoft.com/office/drawing/2014/main" id="{F6504E4B-F98E-405F-8FC2-B3F830CDD7E0}"/>
            </a:ext>
          </a:extLst>
        </xdr:cNvPr>
        <xdr:cNvSpPr/>
      </xdr:nvSpPr>
      <xdr:spPr>
        <a:xfrm>
          <a:off x="6219826" y="19005549"/>
          <a:ext cx="3237442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1" name="Стрелка: влево 10">
          <a:extLst>
            <a:ext uri="{FF2B5EF4-FFF2-40B4-BE49-F238E27FC236}">
              <a16:creationId xmlns:a16="http://schemas.microsoft.com/office/drawing/2014/main" id="{E84167D5-DCD4-4228-ACCD-65C1D3A0694A}"/>
            </a:ext>
          </a:extLst>
        </xdr:cNvPr>
        <xdr:cNvSpPr/>
      </xdr:nvSpPr>
      <xdr:spPr>
        <a:xfrm>
          <a:off x="3148293" y="217955"/>
          <a:ext cx="193506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CE24F17A-B6E2-436E-BFA2-38036AB3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493AC49-23E5-43A2-99D6-479429DAA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14" name="Выноска со стрелкой влево 3">
          <a:extLst>
            <a:ext uri="{FF2B5EF4-FFF2-40B4-BE49-F238E27FC236}">
              <a16:creationId xmlns:a16="http://schemas.microsoft.com/office/drawing/2014/main" id="{C70A4B28-2C80-4CC8-84C1-4BD1182DF56F}"/>
            </a:ext>
          </a:extLst>
        </xdr:cNvPr>
        <xdr:cNvSpPr/>
      </xdr:nvSpPr>
      <xdr:spPr>
        <a:xfrm>
          <a:off x="3009899" y="5193863"/>
          <a:ext cx="37528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ESP_pump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zoomScale="115" zoomScaleNormal="115" workbookViewId="0">
      <selection activeCell="C131" sqref="C131"/>
    </sheetView>
  </sheetViews>
  <sheetFormatPr defaultRowHeight="12.75" x14ac:dyDescent="0.2"/>
  <cols>
    <col min="2" max="2" width="13.140625" customWidth="1"/>
    <col min="3" max="3" width="9.85546875" customWidth="1"/>
    <col min="4" max="4" width="11.5703125" bestFit="1" customWidth="1"/>
    <col min="5" max="5" width="11.140625" customWidth="1"/>
    <col min="6" max="6" width="13.5703125" customWidth="1"/>
    <col min="7" max="11" width="11.85546875" customWidth="1"/>
    <col min="12" max="12" width="13.140625" customWidth="1"/>
    <col min="13" max="13" width="13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29" width="12.42578125" customWidth="1"/>
    <col min="30" max="30" width="17.42578125" customWidth="1"/>
    <col min="31" max="37" width="12.42578125" customWidth="1"/>
  </cols>
  <sheetData>
    <row r="1" spans="1:12" x14ac:dyDescent="0.2">
      <c r="A1" s="1" t="s">
        <v>13</v>
      </c>
      <c r="F1" t="s">
        <v>14</v>
      </c>
      <c r="G1" t="str">
        <f>[1]!unf_version()</f>
        <v>7.46</v>
      </c>
      <c r="H1" t="s">
        <v>52</v>
      </c>
      <c r="I1" s="27">
        <v>45055</v>
      </c>
      <c r="J1" s="20"/>
      <c r="K1" s="20"/>
      <c r="L1" s="20"/>
    </row>
    <row r="2" spans="1:12" x14ac:dyDescent="0.2">
      <c r="A2" t="s">
        <v>69</v>
      </c>
      <c r="H2" t="s">
        <v>53</v>
      </c>
      <c r="I2" s="28">
        <v>7.46</v>
      </c>
      <c r="J2" s="20"/>
      <c r="K2" s="20"/>
      <c r="L2" s="20"/>
    </row>
    <row r="3" spans="1:12" ht="15" x14ac:dyDescent="0.25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5" x14ac:dyDescent="0.25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5" x14ac:dyDescent="0.25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2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2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2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8.75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8.75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8.75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8.75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8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26" ht="18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26" ht="18.75" x14ac:dyDescent="0.35">
      <c r="B18" s="13" t="s">
        <v>28</v>
      </c>
      <c r="C18" s="2">
        <v>1.2</v>
      </c>
      <c r="D18" s="12" t="s">
        <v>20</v>
      </c>
    </row>
    <row r="19" spans="1:26" ht="18" x14ac:dyDescent="0.35">
      <c r="B19" s="22" t="s">
        <v>48</v>
      </c>
      <c r="C19" s="2">
        <v>1</v>
      </c>
      <c r="D19" s="12" t="s">
        <v>47</v>
      </c>
    </row>
    <row r="20" spans="1:26" x14ac:dyDescent="0.2">
      <c r="B20" s="3"/>
      <c r="C20" s="4"/>
    </row>
    <row r="21" spans="1:26" ht="15.75" x14ac:dyDescent="0.3">
      <c r="B21" s="15" t="s">
        <v>32</v>
      </c>
      <c r="C21" s="2">
        <v>50</v>
      </c>
      <c r="D21" s="23" t="s">
        <v>3</v>
      </c>
    </row>
    <row r="22" spans="1:26" ht="15.75" x14ac:dyDescent="0.3">
      <c r="B22" s="15" t="s">
        <v>35</v>
      </c>
      <c r="C22" s="2">
        <v>10</v>
      </c>
      <c r="D22" s="23" t="s">
        <v>34</v>
      </c>
    </row>
    <row r="23" spans="1:26" x14ac:dyDescent="0.2">
      <c r="A23" s="1" t="s">
        <v>46</v>
      </c>
      <c r="L23" t="str" cm="1">
        <f t="array" ref="L23">[1]!encode_ESP_pump(Q_ESP_,Head_ESP_,Freq_)</f>
        <v>{"q_nom_sm3day":80,"head_nom_m":1500,"freq_nom_Hz":50,"name":"ESP-80-1500","ESP_ID":1006,"num_stages":250,"gas_correct_model":0,"gas_correct_stage_by_stage":0,"calibr_head":1,"calibr_power":1,"calibr_rate":1,"dnum_stages_integrate":1}</v>
      </c>
    </row>
    <row r="24" spans="1:26" ht="15.75" x14ac:dyDescent="0.3">
      <c r="B24" s="16" t="s">
        <v>39</v>
      </c>
      <c r="C24" s="2">
        <v>80</v>
      </c>
      <c r="D24" s="16" t="s">
        <v>3</v>
      </c>
      <c r="J24">
        <v>55</v>
      </c>
    </row>
    <row r="25" spans="1:26" ht="15.75" x14ac:dyDescent="0.3">
      <c r="B25" s="16" t="s">
        <v>40</v>
      </c>
      <c r="C25" s="2">
        <v>1500</v>
      </c>
      <c r="D25" s="16" t="s">
        <v>4</v>
      </c>
    </row>
    <row r="26" spans="1:26" x14ac:dyDescent="0.2">
      <c r="B26" s="16" t="s">
        <v>36</v>
      </c>
      <c r="C26" s="2">
        <v>50</v>
      </c>
      <c r="D26" s="16" t="s">
        <v>5</v>
      </c>
    </row>
    <row r="27" spans="1:26" x14ac:dyDescent="0.2">
      <c r="B27" s="16" t="s">
        <v>37</v>
      </c>
      <c r="C27" s="11" cm="1">
        <f t="array" ref="C27">[1]!ESP_id_by_rate(Q_ESP_)</f>
        <v>1006</v>
      </c>
      <c r="D27" s="16"/>
    </row>
    <row r="28" spans="1:26" x14ac:dyDescent="0.2">
      <c r="B28" s="16" t="s">
        <v>38</v>
      </c>
      <c r="C28" s="11" t="str" cm="1">
        <f t="array" ref="C28">[1]!ESP_name(PumpID_)</f>
        <v>ЭЦН5-80</v>
      </c>
      <c r="D28" s="16"/>
    </row>
    <row r="29" spans="1:26" ht="15.75" x14ac:dyDescent="0.3">
      <c r="B29" s="16" t="s">
        <v>41</v>
      </c>
      <c r="C29" s="11" cm="1">
        <f t="array" ref="C29">[1]!ESP_rate_max_sm3day(Freq_,PumpID_)</f>
        <v>175</v>
      </c>
      <c r="D29" s="16"/>
      <c r="J29" s="17" t="s">
        <v>12</v>
      </c>
    </row>
    <row r="30" spans="1:26" x14ac:dyDescent="0.2">
      <c r="B30" s="16" t="s">
        <v>9</v>
      </c>
      <c r="C30" s="47" cm="1">
        <f t="array" ref="C30">INT(Head_ESP_/[1]!ESP_head_m(Q_ESP_,1,,PumpID_))</f>
        <v>250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{"gamma_gas":0.8,"gamma_oil":0.9,"gamma_wat":1,"rsb_m3m3":80,"pb_atma":120,"t_res_C":100,"bob_m3m3":1.2,"muob_cP":1,"PVT_corr_set":0}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5.75" x14ac:dyDescent="0.3">
      <c r="B31" s="16" t="s">
        <v>42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{"gamma_gas":0.8,"gamma_oil":0.9,"gamma_wat":1,"rsb_m3m3":80,"pb_atma":120,"t_res_C":100,"bob_m3m3":1.2,"muob_cP":1,"PVT_corr_set":0,"q_liq_sm3day":50,"fw_perc":10,"rp_m3m3":80}</v>
      </c>
    </row>
    <row r="32" spans="1:26" ht="15.75" x14ac:dyDescent="0.3">
      <c r="B32" s="16" t="s">
        <v>43</v>
      </c>
      <c r="C32" s="7">
        <v>80</v>
      </c>
      <c r="D32" s="16" t="s">
        <v>1</v>
      </c>
    </row>
    <row r="33" spans="1:19" ht="15.75" x14ac:dyDescent="0.3">
      <c r="B33" s="16" t="s">
        <v>44</v>
      </c>
      <c r="C33" s="7">
        <v>80</v>
      </c>
      <c r="D33" s="16" t="s">
        <v>2</v>
      </c>
      <c r="L33" s="54" t="s">
        <v>71</v>
      </c>
    </row>
    <row r="34" spans="1:19" x14ac:dyDescent="0.2">
      <c r="B34" s="21" t="s">
        <v>45</v>
      </c>
      <c r="C34" s="2">
        <v>1</v>
      </c>
      <c r="D34" s="21" t="s">
        <v>29</v>
      </c>
      <c r="L34" t="s">
        <v>82</v>
      </c>
      <c r="M34">
        <v>0</v>
      </c>
      <c r="S34" t="str" cm="1">
        <f t="array" ref="S34">[1]!decode_json(P43)</f>
        <v>set show_log=1 in param to show calc log</v>
      </c>
    </row>
    <row r="35" spans="1:19" x14ac:dyDescent="0.2">
      <c r="A35" t="s">
        <v>51</v>
      </c>
      <c r="L35" s="12" t="s">
        <v>72</v>
      </c>
      <c r="M35" s="55">
        <v>0</v>
      </c>
    </row>
    <row r="36" spans="1:19" x14ac:dyDescent="0.2">
      <c r="B36" s="16" t="s">
        <v>7</v>
      </c>
      <c r="C36" s="2">
        <v>20</v>
      </c>
      <c r="D36" s="16"/>
      <c r="J36" s="36"/>
      <c r="L36" s="12" t="s">
        <v>73</v>
      </c>
      <c r="M36" s="55">
        <v>0</v>
      </c>
    </row>
    <row r="37" spans="1:19" x14ac:dyDescent="0.2">
      <c r="A37" s="1"/>
      <c r="L37" s="12" t="s">
        <v>74</v>
      </c>
      <c r="M37" s="55">
        <v>1</v>
      </c>
    </row>
    <row r="38" spans="1:19" x14ac:dyDescent="0.2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">
      <c r="B39" s="15" t="s">
        <v>30</v>
      </c>
      <c r="C39" s="2">
        <v>80</v>
      </c>
      <c r="D39" s="16" t="s">
        <v>1</v>
      </c>
      <c r="F39" s="46" t="s">
        <v>67</v>
      </c>
      <c r="G39" s="2">
        <v>1</v>
      </c>
    </row>
    <row r="40" spans="1:19" ht="15.75" x14ac:dyDescent="0.3">
      <c r="B40" s="15" t="s">
        <v>31</v>
      </c>
      <c r="C40" s="2">
        <v>80</v>
      </c>
      <c r="D40" s="16" t="s">
        <v>2</v>
      </c>
      <c r="L40" s="20" t="str" cm="1">
        <f t="array" ref="L40">[1]!encode_json(L34:M38)</f>
        <v>{"show_json":0,"show_log":0,"num_value":0,"show_array":1,"esp_gas_correct":20}</v>
      </c>
    </row>
    <row r="41" spans="1:19" ht="15.75" x14ac:dyDescent="0.3">
      <c r="B41" s="15" t="s">
        <v>33</v>
      </c>
      <c r="C41" s="2">
        <v>150</v>
      </c>
      <c r="D41" s="16" t="s">
        <v>1</v>
      </c>
      <c r="F41" t="s">
        <v>66</v>
      </c>
    </row>
    <row r="42" spans="1:19" ht="15.75" x14ac:dyDescent="0.3">
      <c r="B42" s="15" t="s">
        <v>49</v>
      </c>
      <c r="C42" s="2">
        <v>90</v>
      </c>
      <c r="D42" s="23" t="s">
        <v>2</v>
      </c>
    </row>
    <row r="43" spans="1:19" ht="25.5" x14ac:dyDescent="0.2">
      <c r="B43" s="15" t="s">
        <v>50</v>
      </c>
      <c r="C43" s="2">
        <v>0</v>
      </c>
      <c r="D43" s="23"/>
      <c r="F43" s="53" cm="1">
        <f t="array" ref="F43:P65">[1]!ESP_p_atma(Pintake_,Tintake_,Tdis_,J31,PumpID_,NumStage_,Freq_,,,,,gas_degr_type_,0,L40)</f>
        <v>209.4191798816853</v>
      </c>
      <c r="G43" s="41">
        <v>80</v>
      </c>
      <c r="H43" s="41">
        <v>80</v>
      </c>
      <c r="I43" s="41">
        <v>209.4191798816853</v>
      </c>
      <c r="J43" s="41">
        <v>90.000000000000142</v>
      </c>
      <c r="K43" s="41">
        <v>1623.867755332308</v>
      </c>
      <c r="L43" s="41">
        <v>45.862207371384699</v>
      </c>
      <c r="M43" s="41">
        <v>9054.2094918157072</v>
      </c>
      <c r="N43" s="41">
        <v>19742.201718500357</v>
      </c>
      <c r="O43" s="58">
        <v>1</v>
      </c>
      <c r="P43" s="59" t="str">
        <v>["set show_log=1 in param to show calc log"]</v>
      </c>
    </row>
    <row r="44" spans="1:19" ht="25.5" x14ac:dyDescent="0.2">
      <c r="B44" s="15" t="s">
        <v>68</v>
      </c>
      <c r="C44" s="2">
        <v>10</v>
      </c>
      <c r="F44" s="60" t="str">
        <v>p_dis_atma</v>
      </c>
      <c r="G44" s="57" t="str">
        <v>p_int_atma</v>
      </c>
      <c r="H44" s="57" t="str">
        <v>t_int_C</v>
      </c>
      <c r="I44" s="57" t="str">
        <v>p_dis_atma</v>
      </c>
      <c r="J44" s="57" t="str">
        <v>t_dis_C</v>
      </c>
      <c r="K44" s="57" t="str">
        <v>head_m</v>
      </c>
      <c r="L44" s="57" t="str">
        <v>eff_ESP_d, %</v>
      </c>
      <c r="M44" s="57" t="str">
        <v>power_fluid_W</v>
      </c>
      <c r="N44" s="57" t="str">
        <v>power_ESP_W</v>
      </c>
      <c r="O44" s="57" t="str">
        <v>gas_correction</v>
      </c>
      <c r="P44" s="61" t="str">
        <v>log</v>
      </c>
    </row>
    <row r="45" spans="1:19" x14ac:dyDescent="0.2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3" t="str">
        <v>mu_stage_cP</v>
      </c>
      <c r="P45" s="61" t="str">
        <v>gas correction, %</v>
      </c>
    </row>
    <row r="46" spans="1:19" x14ac:dyDescent="0.2">
      <c r="F46" s="51">
        <v>0</v>
      </c>
      <c r="G46" s="45">
        <v>1012.5</v>
      </c>
      <c r="H46" s="45">
        <v>80</v>
      </c>
      <c r="I46" s="45">
        <v>80</v>
      </c>
      <c r="J46" s="45">
        <v>21.142465601823325</v>
      </c>
      <c r="K46" s="45">
        <v>71.140600486008623</v>
      </c>
      <c r="L46" s="64">
        <v>0</v>
      </c>
      <c r="M46" s="45">
        <v>0</v>
      </c>
      <c r="N46" s="44">
        <v>0</v>
      </c>
      <c r="O46" s="44">
        <v>1.264609566765668</v>
      </c>
      <c r="P46" s="62">
        <v>100</v>
      </c>
    </row>
    <row r="47" spans="1:19" x14ac:dyDescent="0.2">
      <c r="F47" s="51">
        <v>13.157894736842104</v>
      </c>
      <c r="G47" s="45">
        <v>1011.8421052631579</v>
      </c>
      <c r="H47" s="45">
        <v>85.610001827953525</v>
      </c>
      <c r="I47" s="45">
        <v>80.526315789473685</v>
      </c>
      <c r="J47" s="45">
        <v>19.697585709715334</v>
      </c>
      <c r="K47" s="45">
        <v>70.076312448966576</v>
      </c>
      <c r="L47" s="64">
        <v>462.46637759793612</v>
      </c>
      <c r="M47" s="45">
        <v>893.86700868389096</v>
      </c>
      <c r="N47" s="44">
        <v>51.630252319158053</v>
      </c>
      <c r="O47" s="44">
        <v>1.2605786774859871</v>
      </c>
      <c r="P47" s="62">
        <v>100</v>
      </c>
    </row>
    <row r="48" spans="1:19" x14ac:dyDescent="0.2">
      <c r="F48" s="51">
        <v>26.315789473684209</v>
      </c>
      <c r="G48" s="45">
        <v>1011.1842105263158</v>
      </c>
      <c r="H48" s="45">
        <v>91.59667750588963</v>
      </c>
      <c r="I48" s="45">
        <v>81.052631578947384</v>
      </c>
      <c r="J48" s="45">
        <v>14.561339538290197</v>
      </c>
      <c r="K48" s="45">
        <v>66.440228682588838</v>
      </c>
      <c r="L48" s="64">
        <v>931.03148310426297</v>
      </c>
      <c r="M48" s="45">
        <v>1830.8594052242647</v>
      </c>
      <c r="N48" s="44">
        <v>49.848290398018655</v>
      </c>
      <c r="O48" s="44">
        <v>1.2453700161232184</v>
      </c>
      <c r="P48" s="62">
        <v>100</v>
      </c>
    </row>
    <row r="49" spans="6:16" x14ac:dyDescent="0.2">
      <c r="F49" s="51">
        <v>39.473684210526315</v>
      </c>
      <c r="G49" s="45">
        <v>1010.5263157894736</v>
      </c>
      <c r="H49" s="45">
        <v>97.858764893653429</v>
      </c>
      <c r="I49" s="45">
        <v>81.578947368421069</v>
      </c>
      <c r="J49" s="45">
        <v>10.435880928306011</v>
      </c>
      <c r="K49" s="45">
        <v>63.86222921218134</v>
      </c>
      <c r="L49" s="64">
        <v>1403.1031003146472</v>
      </c>
      <c r="M49" s="45">
        <v>2800.7361896304869</v>
      </c>
      <c r="N49" s="44">
        <v>48.438089495146194</v>
      </c>
      <c r="O49" s="44">
        <v>1.230642264301552</v>
      </c>
      <c r="P49" s="62">
        <v>100</v>
      </c>
    </row>
    <row r="50" spans="6:16" x14ac:dyDescent="0.2">
      <c r="F50" s="51">
        <v>52.631578947368418</v>
      </c>
      <c r="G50" s="45">
        <v>1009.8684210526316</v>
      </c>
      <c r="H50" s="45">
        <v>104.41597554680013</v>
      </c>
      <c r="I50" s="45">
        <v>82.105263157894768</v>
      </c>
      <c r="J50" s="45">
        <v>6.4001211629265944</v>
      </c>
      <c r="K50" s="45">
        <v>61.621597033514995</v>
      </c>
      <c r="L50" s="64">
        <v>1878.1822715922101</v>
      </c>
      <c r="M50" s="45">
        <v>3806.9334641871965</v>
      </c>
      <c r="N50" s="44">
        <v>47.119642358183981</v>
      </c>
      <c r="O50" s="44">
        <v>1.2136495338123352</v>
      </c>
      <c r="P50" s="62">
        <v>100</v>
      </c>
    </row>
    <row r="51" spans="6:16" x14ac:dyDescent="0.2">
      <c r="F51" s="51">
        <v>65.78947368421052</v>
      </c>
      <c r="G51" s="45">
        <v>1009.2105263157895</v>
      </c>
      <c r="H51" s="45">
        <v>111.21446355581742</v>
      </c>
      <c r="I51" s="45">
        <v>82.631578947368453</v>
      </c>
      <c r="J51" s="45">
        <v>2.4625689709452656</v>
      </c>
      <c r="K51" s="45">
        <v>59.647682944935148</v>
      </c>
      <c r="L51" s="64">
        <v>2355.2410571189153</v>
      </c>
      <c r="M51" s="45">
        <v>4843.5339199296204</v>
      </c>
      <c r="N51" s="44">
        <v>45.902890681938899</v>
      </c>
      <c r="O51" s="44">
        <v>1.1949741460910404</v>
      </c>
      <c r="P51" s="62">
        <v>100</v>
      </c>
    </row>
    <row r="52" spans="6:16" x14ac:dyDescent="0.2">
      <c r="F52" s="51">
        <v>78.94736842105263</v>
      </c>
      <c r="G52" s="45">
        <v>1008.5526315789474</v>
      </c>
      <c r="H52" s="45">
        <v>118.16708890762308</v>
      </c>
      <c r="I52" s="45">
        <v>83.157894736842152</v>
      </c>
      <c r="J52" s="45">
        <v>0.12819951164409327</v>
      </c>
      <c r="K52" s="45">
        <v>58.5181057835891</v>
      </c>
      <c r="L52" s="64">
        <v>2833.4085413816256</v>
      </c>
      <c r="M52" s="45">
        <v>5899.7963827235444</v>
      </c>
      <c r="N52" s="44">
        <v>45.188968677486208</v>
      </c>
      <c r="O52" s="44">
        <v>1.1864542663065212</v>
      </c>
      <c r="P52" s="62">
        <v>100</v>
      </c>
    </row>
    <row r="53" spans="6:16" x14ac:dyDescent="0.2">
      <c r="F53" s="51">
        <v>92.105263157894726</v>
      </c>
      <c r="G53" s="45">
        <v>1007.8947368421053</v>
      </c>
      <c r="H53" s="45">
        <v>125.15241924413833</v>
      </c>
      <c r="I53" s="45">
        <v>83.684210526315837</v>
      </c>
      <c r="J53" s="45">
        <v>0</v>
      </c>
      <c r="K53" s="45">
        <v>58.387982427106628</v>
      </c>
      <c r="L53" s="64">
        <v>3311.7808413320458</v>
      </c>
      <c r="M53" s="45">
        <v>6960.2451007074433</v>
      </c>
      <c r="N53" s="44">
        <v>45.105822691825942</v>
      </c>
      <c r="O53" s="44">
        <v>1.1921583309909261</v>
      </c>
      <c r="P53" s="62">
        <v>100</v>
      </c>
    </row>
    <row r="54" spans="6:16" x14ac:dyDescent="0.2">
      <c r="F54" s="51">
        <v>105.26315789473684</v>
      </c>
      <c r="G54" s="45">
        <v>1007.2368421052631</v>
      </c>
      <c r="H54" s="45">
        <v>132.14616275230898</v>
      </c>
      <c r="I54" s="45">
        <v>84.210526315789537</v>
      </c>
      <c r="J54" s="45">
        <v>0</v>
      </c>
      <c r="K54" s="45">
        <v>58.323635254221152</v>
      </c>
      <c r="L54" s="64">
        <v>3790.1909741218578</v>
      </c>
      <c r="M54" s="45">
        <v>8021.7677435101723</v>
      </c>
      <c r="N54" s="44">
        <v>45.064569464937492</v>
      </c>
      <c r="O54" s="44">
        <v>1.1994083591514202</v>
      </c>
      <c r="P54" s="62">
        <v>100</v>
      </c>
    </row>
    <row r="55" spans="6:16" x14ac:dyDescent="0.2">
      <c r="F55" s="51">
        <v>118.42105263157895</v>
      </c>
      <c r="G55" s="45">
        <v>1006.578947368421</v>
      </c>
      <c r="H55" s="45">
        <v>139.14688441807101</v>
      </c>
      <c r="I55" s="45">
        <v>84.736842105263221</v>
      </c>
      <c r="J55" s="45">
        <v>0</v>
      </c>
      <c r="K55" s="45">
        <v>58.266662967340679</v>
      </c>
      <c r="L55" s="64">
        <v>4268.6323033375766</v>
      </c>
      <c r="M55" s="45">
        <v>9084.1814975305224</v>
      </c>
      <c r="N55" s="44">
        <v>45.028013801036835</v>
      </c>
      <c r="O55" s="44">
        <v>1.2074259136380838</v>
      </c>
      <c r="P55" s="62">
        <v>100</v>
      </c>
    </row>
    <row r="56" spans="6:16" x14ac:dyDescent="0.2">
      <c r="F56" s="51">
        <v>131.57894736842104</v>
      </c>
      <c r="G56" s="45">
        <v>1005.921052631579</v>
      </c>
      <c r="H56" s="45">
        <v>146.15437415088039</v>
      </c>
      <c r="I56" s="45">
        <v>85.263157894736921</v>
      </c>
      <c r="J56" s="45">
        <v>0</v>
      </c>
      <c r="K56" s="45">
        <v>58.216608894449713</v>
      </c>
      <c r="L56" s="64">
        <v>4747.103718102775</v>
      </c>
      <c r="M56" s="45">
        <v>10147.459842251637</v>
      </c>
      <c r="N56" s="44">
        <v>44.995871298392608</v>
      </c>
      <c r="O56" s="44">
        <v>1.2162198285410235</v>
      </c>
      <c r="P56" s="62">
        <v>100</v>
      </c>
    </row>
    <row r="57" spans="6:16" x14ac:dyDescent="0.2">
      <c r="F57" s="51">
        <v>144.73684210526315</v>
      </c>
      <c r="G57" s="45">
        <v>1005.2631578947369</v>
      </c>
      <c r="H57" s="45">
        <v>153.16784044871449</v>
      </c>
      <c r="I57" s="45">
        <v>85.789473684210606</v>
      </c>
      <c r="J57" s="45">
        <v>0</v>
      </c>
      <c r="K57" s="45">
        <v>58.17248251856342</v>
      </c>
      <c r="L57" s="64">
        <v>5225.6015484668042</v>
      </c>
      <c r="M57" s="45">
        <v>11211.501911800644</v>
      </c>
      <c r="N57" s="44">
        <v>44.967515268323474</v>
      </c>
      <c r="O57" s="44">
        <v>1.2257281963488724</v>
      </c>
      <c r="P57" s="62">
        <v>100</v>
      </c>
    </row>
    <row r="58" spans="6:16" x14ac:dyDescent="0.2">
      <c r="F58" s="51">
        <v>157.89473684210526</v>
      </c>
      <c r="G58" s="45">
        <v>1004.6052631578947</v>
      </c>
      <c r="H58" s="45">
        <v>160.18615002666215</v>
      </c>
      <c r="I58" s="45">
        <v>86.315789473684305</v>
      </c>
      <c r="J58" s="45">
        <v>0</v>
      </c>
      <c r="K58" s="45">
        <v>58.133041041716588</v>
      </c>
      <c r="L58" s="64">
        <v>5704.1206705954983</v>
      </c>
      <c r="M58" s="45">
        <v>12276.163054565954</v>
      </c>
      <c r="N58" s="44">
        <v>44.942155394951868</v>
      </c>
      <c r="O58" s="44">
        <v>1.2358378581384859</v>
      </c>
      <c r="P58" s="62">
        <v>100</v>
      </c>
    </row>
    <row r="59" spans="6:16" x14ac:dyDescent="0.2">
      <c r="F59" s="51">
        <v>171.05263157894737</v>
      </c>
      <c r="G59" s="45">
        <v>1003.9473684210526</v>
      </c>
      <c r="H59" s="45">
        <v>167.20906802963572</v>
      </c>
      <c r="I59" s="45">
        <v>86.84210526315799</v>
      </c>
      <c r="J59" s="45">
        <v>0</v>
      </c>
      <c r="K59" s="45">
        <v>58.097968714223903</v>
      </c>
      <c r="L59" s="64">
        <v>6182.6599503839452</v>
      </c>
      <c r="M59" s="45">
        <v>13341.413383643523</v>
      </c>
      <c r="N59" s="44">
        <v>44.919592607984924</v>
      </c>
      <c r="O59" s="44">
        <v>1.2465396671616209</v>
      </c>
      <c r="P59" s="62">
        <v>100</v>
      </c>
    </row>
    <row r="60" spans="6:16" x14ac:dyDescent="0.2">
      <c r="F60" s="51">
        <v>184.21052631578945</v>
      </c>
      <c r="G60" s="45">
        <v>1003.2894736842105</v>
      </c>
      <c r="H60" s="45">
        <v>174.23632984628327</v>
      </c>
      <c r="I60" s="45">
        <v>87.368421052631689</v>
      </c>
      <c r="J60" s="45">
        <v>0</v>
      </c>
      <c r="K60" s="45">
        <v>58.066943995577887</v>
      </c>
      <c r="L60" s="64">
        <v>6661.2181318203038</v>
      </c>
      <c r="M60" s="45">
        <v>14407.219184417401</v>
      </c>
      <c r="N60" s="44">
        <v>44.89962361722894</v>
      </c>
      <c r="O60" s="44">
        <v>1.2578191514022325</v>
      </c>
      <c r="P60" s="62">
        <v>100</v>
      </c>
    </row>
    <row r="61" spans="6:16" x14ac:dyDescent="0.2">
      <c r="F61" s="51">
        <v>197.36842105263156</v>
      </c>
      <c r="G61" s="45">
        <v>1002.6315789473684</v>
      </c>
      <c r="H61" s="45">
        <v>181.26701965175016</v>
      </c>
      <c r="I61" s="45">
        <v>87.894736842105374</v>
      </c>
      <c r="J61" s="45">
        <v>0</v>
      </c>
      <c r="K61" s="45">
        <v>58.039071948249649</v>
      </c>
      <c r="L61" s="64">
        <v>7139.7911555788714</v>
      </c>
      <c r="M61" s="45">
        <v>15473.463423218263</v>
      </c>
      <c r="N61" s="44">
        <v>44.881676714717436</v>
      </c>
      <c r="O61" s="44">
        <v>1.2695692143387989</v>
      </c>
      <c r="P61" s="62">
        <v>100</v>
      </c>
    </row>
    <row r="62" spans="6:16" x14ac:dyDescent="0.2">
      <c r="F62" s="51">
        <v>210.52631578947367</v>
      </c>
      <c r="G62" s="45">
        <v>1001.9736842105264</v>
      </c>
      <c r="H62" s="45">
        <v>188.30089382319701</v>
      </c>
      <c r="I62" s="45">
        <v>88.421052631579073</v>
      </c>
      <c r="J62" s="45">
        <v>0</v>
      </c>
      <c r="K62" s="45">
        <v>58.014104636879345</v>
      </c>
      <c r="L62" s="64">
        <v>7618.3779063876482</v>
      </c>
      <c r="M62" s="45">
        <v>16540.114998979087</v>
      </c>
      <c r="N62" s="44">
        <v>44.865594241077474</v>
      </c>
      <c r="O62" s="44">
        <v>1.2817682860421382</v>
      </c>
      <c r="P62" s="62">
        <v>100</v>
      </c>
    </row>
    <row r="63" spans="6:16" x14ac:dyDescent="0.2">
      <c r="F63" s="51">
        <v>223.68421052631578</v>
      </c>
      <c r="G63" s="45">
        <v>1001.3157894736842</v>
      </c>
      <c r="H63" s="45">
        <v>195.33795716535212</v>
      </c>
      <c r="I63" s="45">
        <v>88.947368421052758</v>
      </c>
      <c r="J63" s="45">
        <v>0</v>
      </c>
      <c r="K63" s="45">
        <v>57.992032279270468</v>
      </c>
      <c r="L63" s="64">
        <v>8096.978341356551</v>
      </c>
      <c r="M63" s="45">
        <v>17607.174582454441</v>
      </c>
      <c r="N63" s="44">
        <v>44.851371281719423</v>
      </c>
      <c r="O63" s="44">
        <v>1.2944293131735003</v>
      </c>
      <c r="P63" s="62">
        <v>100</v>
      </c>
    </row>
    <row r="64" spans="6:16" x14ac:dyDescent="0.2">
      <c r="F64" s="51">
        <v>236.84210526315789</v>
      </c>
      <c r="G64" s="45">
        <v>1000.6578947368421</v>
      </c>
      <c r="H64" s="45">
        <v>202.37746488980005</v>
      </c>
      <c r="I64" s="45">
        <v>89.473684210526457</v>
      </c>
      <c r="J64" s="45">
        <v>0</v>
      </c>
      <c r="K64" s="45">
        <v>57.972177511515603</v>
      </c>
      <c r="L64" s="64">
        <v>8575.5892186575729</v>
      </c>
      <c r="M64" s="45">
        <v>18674.54692663069</v>
      </c>
      <c r="N64" s="44">
        <v>44.838573699512843</v>
      </c>
      <c r="O64" s="44">
        <v>1.3074530280982435</v>
      </c>
      <c r="P64" s="62">
        <v>100</v>
      </c>
    </row>
    <row r="65" spans="2:35" x14ac:dyDescent="0.2">
      <c r="F65" s="52">
        <v>250</v>
      </c>
      <c r="G65" s="48">
        <v>1000</v>
      </c>
      <c r="H65" s="48">
        <v>209.4191798816853</v>
      </c>
      <c r="I65" s="48">
        <v>90.000000000000142</v>
      </c>
      <c r="J65" s="48">
        <v>0</v>
      </c>
      <c r="K65" s="48">
        <v>57.954332013196698</v>
      </c>
      <c r="L65" s="65">
        <v>9054.2094918157072</v>
      </c>
      <c r="M65" s="48">
        <v>19742.201718500357</v>
      </c>
      <c r="N65" s="49">
        <v>44.82706827705271</v>
      </c>
      <c r="O65" s="49">
        <v>1.3208102119143434</v>
      </c>
      <c r="P65" s="63">
        <v>100</v>
      </c>
    </row>
    <row r="68" spans="2:35" x14ac:dyDescent="0.2">
      <c r="G68" s="36"/>
      <c r="K68" t="str" cm="1">
        <f t="array" ref="K68">[1]!encode_arange(45,55,1)</f>
        <v>[45,46,47,48,49,50,51,52,53,54,55]</v>
      </c>
    </row>
    <row r="69" spans="2:35" x14ac:dyDescent="0.2">
      <c r="G69" s="36"/>
    </row>
    <row r="70" spans="2:35" x14ac:dyDescent="0.2">
      <c r="G70" s="36"/>
      <c r="K70" t="str" cm="1">
        <f t="array" ref="K70">[1]!ESP_p_atma(K68,Tintake_,-1,J31,PumpID_,NumStage_,Freq_,,,,,gas_degr_type_,0,L40)</f>
        <v>{"p_intake_atma":[45,46,47,48,49,50,51,52,53,54,55],"p_dis_atma":[146.177901378425,149.045068340208,151.778966604795,154.40129485019,156.916056562874,159.342685010722,161.6716147003,163.940761220235,166.110354773565,168.233611001196,170.28442208211],"t_intake_C":[80,80,80,80,80,80,80,80,80,80,80],"t_dis_C":[85.4431162189437,85.5152524119098,85.5841847646996,85.6507423350972,85.7145607636291,85.7765178090762,85.8354238749184,85.8936609587396,85.9478964817404,86.0017537338552,86.0529937970295],"feed":[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]}</v>
      </c>
    </row>
    <row r="71" spans="2:35" x14ac:dyDescent="0.2">
      <c r="G71" s="36"/>
    </row>
    <row r="72" spans="2:35" x14ac:dyDescent="0.2">
      <c r="G72" s="36"/>
      <c r="K72" t="str" cm="1">
        <f t="array" ref="K72:L76">[1]!decode_json(K70)</f>
        <v>p_intake_atma</v>
      </c>
      <c r="L72" t="str">
        <v>[45,46,47,48,49,50,51,52,53,54,55]</v>
      </c>
    </row>
    <row r="73" spans="2:35" x14ac:dyDescent="0.2">
      <c r="C73" s="4"/>
      <c r="K73" t="str">
        <v>p_dis_atma</v>
      </c>
      <c r="L73" t="str">
        <v>[146.177901378425,149.045068340208,151.778966604795,154.40129485019,156.916056562874,159.342685010722,161.6716147003,163.940761220235,166.110354773565,168.233611001196,170.28442208211]</v>
      </c>
    </row>
    <row r="74" spans="2:35" x14ac:dyDescent="0.2">
      <c r="C74" s="4"/>
      <c r="D74" s="66" t="s">
        <v>10</v>
      </c>
      <c r="E74" s="67"/>
      <c r="F74" s="67"/>
      <c r="G74" s="67"/>
      <c r="H74" s="68"/>
      <c r="K74" t="str">
        <v>t_intake_C</v>
      </c>
      <c r="L74" t="str">
        <v>[80,80,80,80,80,80,80,80,80,80,80]</v>
      </c>
      <c r="AI74" t="s">
        <v>70</v>
      </c>
    </row>
    <row r="75" spans="2:35" x14ac:dyDescent="0.2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  <c r="K75" t="str">
        <v>t_dis_C</v>
      </c>
      <c r="L75" t="str">
        <v>[85.4431162189437,85.5152524119098,85.5841847646996,85.6507423350972,85.7145607636291,85.7765178090762,85.8354238749184,85.8936609587396,85.9478964817404,86.0017537338552,86.0529937970295]</v>
      </c>
    </row>
    <row r="76" spans="2:35" x14ac:dyDescent="0.2">
      <c r="B76" t="str" cm="1">
        <f t="array" ref="B76">[1]!encode_feed(C76,fw_,Rp_,,PVT_str_)</f>
        <v>{"gamma_gas":0.8,"gamma_oil":0.9,"gamma_wat":1,"rsb_m3m3":80,"pb_atma":120,"t_res_C":100,"bob_m3m3":1.2,"muob_cP":1,"PVT_corr_set":0,"q_liq_sm3day":1,"fw_perc":10,"rp_m3m3":80}</v>
      </c>
      <c r="C76" s="6">
        <v>1</v>
      </c>
      <c r="D76" s="26">
        <f t="array" ref="D76:H76">[1]!ESP_p_atma(Pintake_,Tintake_,0,B76,PumpID_,NumStage_,Freq_,,,,,gas_degr_type_,,$L$40)</f>
        <v>174.73959652582298</v>
      </c>
      <c r="E76" s="26">
        <v>80</v>
      </c>
      <c r="F76" s="26">
        <v>80</v>
      </c>
      <c r="G76" s="26">
        <v>174.73959652582298</v>
      </c>
      <c r="H76" s="50">
        <v>299</v>
      </c>
      <c r="K76" t="str">
        <v>feed</v>
      </c>
      <c r="L76" t="str">
        <v>[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,{"gamma_gas":0.8,"gamma_oil":0.9,"gamma_wat":1,"rsb_m3m3":80,"pb_atma":120,"t_res_C":100,"bob_m3m3":1.2,"muob_cP":1,"PVT_corr_set":0,"q_liq_sm3day":50,"fw_perc":10,"rp_m3m3":80}]</v>
      </c>
    </row>
    <row r="77" spans="2:35" x14ac:dyDescent="0.2">
      <c r="B77" t="str" cm="1">
        <f t="array" ref="B77">[1]!encode_feed(C77,fw_,Rp_,,PVT_str_)</f>
        <v>{"gamma_gas":0.8,"gamma_oil":0.9,"gamma_wat":1,"rsb_m3m3":80,"pb_atma":120,"t_res_C":100,"bob_m3m3":1.2,"muob_cP":1,"PVT_corr_set":0,"q_liq_sm3day":9.75,"fw_perc":10,"rp_m3m3":80}</v>
      </c>
      <c r="C77" s="6">
        <f t="shared" ref="C77:C96" si="0">C76+Qmax_/20</f>
        <v>9.75</v>
      </c>
      <c r="D77" s="26">
        <f t="array" ref="D77:H77">[1]!ESP_p_atma(Pintake_,Tintake_,0,B77,PumpID_,NumStage_,Freq_,,,,,gas_degr_type_,,$L$40)</f>
        <v>210.65433789371806</v>
      </c>
      <c r="E77" s="26">
        <v>80</v>
      </c>
      <c r="F77" s="26">
        <v>80</v>
      </c>
      <c r="G77" s="26">
        <v>210.65433789371806</v>
      </c>
      <c r="H77" s="50">
        <v>132.09554748866358</v>
      </c>
    </row>
    <row r="78" spans="2:35" x14ac:dyDescent="0.2">
      <c r="B78" t="str" cm="1">
        <f t="array" ref="B78">[1]!encode_feed(C78,fw_,Rp_,,PVT_str_)</f>
        <v>{"gamma_gas":0.8,"gamma_oil":0.9,"gamma_wat":1,"rsb_m3m3":80,"pb_atma":120,"t_res_C":100,"bob_m3m3":1.2,"muob_cP":1,"PVT_corr_set":0,"q_liq_sm3day":18.5,"fw_perc":10,"rp_m3m3":80}</v>
      </c>
      <c r="C78" s="6">
        <f t="shared" si="0"/>
        <v>18.5</v>
      </c>
      <c r="D78" s="26">
        <f t="array" ref="D78:H78">[1]!ESP_p_atma(Pintake_,Tintake_,0,B78,PumpID_,NumStage_,Freq_,,,,,gas_degr_type_,,$L$40)</f>
        <v>212.78883624598888</v>
      </c>
      <c r="E78" s="26">
        <v>80</v>
      </c>
      <c r="F78" s="26">
        <v>80</v>
      </c>
      <c r="G78" s="26">
        <v>212.78883624598888</v>
      </c>
      <c r="H78" s="50">
        <v>106.23118277913856</v>
      </c>
    </row>
    <row r="79" spans="2:35" x14ac:dyDescent="0.2">
      <c r="B79" t="str" cm="1">
        <f t="array" ref="B79">[1]!encode_feed(C79,fw_,Rp_,,PVT_str_)</f>
        <v>{"gamma_gas":0.8,"gamma_oil":0.9,"gamma_wat":1,"rsb_m3m3":80,"pb_atma":120,"t_res_C":100,"bob_m3m3":1.2,"muob_cP":1,"PVT_corr_set":0,"q_liq_sm3day":27.25,"fw_perc":10,"rp_m3m3":80}</v>
      </c>
      <c r="C79" s="6">
        <f t="shared" si="0"/>
        <v>27.25</v>
      </c>
      <c r="D79" s="26">
        <f t="array" ref="D79:H79">[1]!ESP_p_atma(Pintake_,Tintake_,0,B79,PumpID_,NumStage_,Freq_,,,,,gas_degr_type_,,$L$40)</f>
        <v>213.17152600315524</v>
      </c>
      <c r="E79" s="26">
        <v>80</v>
      </c>
      <c r="F79" s="26">
        <v>80</v>
      </c>
      <c r="G79" s="26">
        <v>213.17152600315524</v>
      </c>
      <c r="H79" s="50">
        <v>96.508086829992322</v>
      </c>
    </row>
    <row r="80" spans="2:35" x14ac:dyDescent="0.2">
      <c r="B80" t="str" cm="1">
        <f t="array" ref="B80">[1]!encode_feed(C80,fw_,Rp_,,PVT_str_)</f>
        <v>{"gamma_gas":0.8,"gamma_oil":0.9,"gamma_wat":1,"rsb_m3m3":80,"pb_atma":120,"t_res_C":100,"bob_m3m3":1.2,"muob_cP":1,"PVT_corr_set":0,"q_liq_sm3day":36,"fw_perc":10,"rp_m3m3":80}</v>
      </c>
      <c r="C80" s="6">
        <f t="shared" si="0"/>
        <v>36</v>
      </c>
      <c r="D80" s="26">
        <f t="array" ref="D80:H80">[1]!ESP_p_atma(Pintake_,Tintake_,0,B80,PumpID_,NumStage_,Freq_,,,,,gas_degr_type_,,$L$40)</f>
        <v>212.56745554839844</v>
      </c>
      <c r="E80" s="26">
        <v>80</v>
      </c>
      <c r="F80" s="26">
        <v>80</v>
      </c>
      <c r="G80" s="26">
        <v>212.56745554839844</v>
      </c>
      <c r="H80" s="50">
        <v>91.360180309076839</v>
      </c>
    </row>
    <row r="81" spans="2:36" x14ac:dyDescent="0.2">
      <c r="B81" t="str" cm="1">
        <f t="array" ref="B81">[1]!encode_feed(C81,fw_,Rp_,,PVT_str_)</f>
        <v>{"gamma_gas":0.8,"gamma_oil":0.9,"gamma_wat":1,"rsb_m3m3":80,"pb_atma":120,"t_res_C":100,"bob_m3m3":1.2,"muob_cP":1,"PVT_corr_set":0,"q_liq_sm3day":44.75,"fw_perc":10,"rp_m3m3":80}</v>
      </c>
      <c r="C81" s="6">
        <f t="shared" si="0"/>
        <v>44.75</v>
      </c>
      <c r="D81" s="26">
        <f t="array" ref="D81:H81">[1]!ESP_p_atma(Pintake_,Tintake_,0,B81,PumpID_,NumStage_,Freq_,,,,,gas_degr_type_,,$L$40)</f>
        <v>211.06202318515068</v>
      </c>
      <c r="E81" s="26">
        <v>80</v>
      </c>
      <c r="F81" s="26">
        <v>80</v>
      </c>
      <c r="G81" s="26">
        <v>211.06202318515068</v>
      </c>
      <c r="H81" s="50">
        <v>88.211146050922437</v>
      </c>
    </row>
    <row r="82" spans="2:36" x14ac:dyDescent="0.2">
      <c r="B82" t="str" cm="1">
        <f t="array" ref="B82">[1]!encode_feed(C82,fw_,Rp_,,PVT_str_)</f>
        <v>{"gamma_gas":0.8,"gamma_oil":0.9,"gamma_wat":1,"rsb_m3m3":80,"pb_atma":120,"t_res_C":100,"bob_m3m3":1.2,"muob_cP":1,"PVT_corr_set":0,"q_liq_sm3day":53.5,"fw_perc":10,"rp_m3m3":80}</v>
      </c>
      <c r="C82" s="6">
        <f t="shared" si="0"/>
        <v>53.5</v>
      </c>
      <c r="D82" s="26">
        <f t="array" ref="D82:H82">[1]!ESP_p_atma(Pintake_,Tintake_,0,B82,PumpID_,NumStage_,Freq_,,,,,gas_degr_type_,,$L$40)</f>
        <v>208.37298361327902</v>
      </c>
      <c r="E82" s="26">
        <v>80</v>
      </c>
      <c r="F82" s="26">
        <v>80</v>
      </c>
      <c r="G82" s="26">
        <v>208.37298361327902</v>
      </c>
      <c r="H82" s="50">
        <v>86.17545900625754</v>
      </c>
    </row>
    <row r="83" spans="2:36" x14ac:dyDescent="0.2">
      <c r="B83" t="str" cm="1">
        <f t="array" ref="B83">[1]!encode_feed(C83,fw_,Rp_,,PVT_str_)</f>
        <v>{"gamma_gas":0.8,"gamma_oil":0.9,"gamma_wat":1,"rsb_m3m3":80,"pb_atma":120,"t_res_C":100,"bob_m3m3":1.2,"muob_cP":1,"PVT_corr_set":0,"q_liq_sm3day":62.25,"fw_perc":10,"rp_m3m3":80}</v>
      </c>
      <c r="C83" s="6">
        <f t="shared" si="0"/>
        <v>62.25</v>
      </c>
      <c r="D83" s="26">
        <f t="array" ref="D83:H83">[1]!ESP_p_atma(Pintake_,Tintake_,0,B83,PumpID_,NumStage_,Freq_,,,,,gas_degr_type_,,$L$40)</f>
        <v>203.17137607983631</v>
      </c>
      <c r="E83" s="26">
        <v>80</v>
      </c>
      <c r="F83" s="26">
        <v>80</v>
      </c>
      <c r="G83" s="26">
        <v>203.17137607983631</v>
      </c>
      <c r="H83" s="50">
        <v>84.878753310723297</v>
      </c>
    </row>
    <row r="84" spans="2:36" x14ac:dyDescent="0.2">
      <c r="B84" t="str" cm="1">
        <f t="array" ref="B84">[1]!encode_feed(C84,fw_,Rp_,,PVT_str_)</f>
        <v>{"gamma_gas":0.8,"gamma_oil":0.9,"gamma_wat":1,"rsb_m3m3":80,"pb_atma":120,"t_res_C":100,"bob_m3m3":1.2,"muob_cP":1,"PVT_corr_set":0,"q_liq_sm3day":71,"fw_perc":10,"rp_m3m3":80}</v>
      </c>
      <c r="C84" s="6">
        <f t="shared" si="0"/>
        <v>71</v>
      </c>
      <c r="D84" s="26">
        <f t="array" ref="D84:H84">[1]!ESP_p_atma(Pintake_,Tintake_,0,B84,PumpID_,NumStage_,Freq_,,,,,gas_degr_type_,,$L$40)</f>
        <v>194.87327002657173</v>
      </c>
      <c r="E84" s="26">
        <v>80</v>
      </c>
      <c r="F84" s="26">
        <v>80</v>
      </c>
      <c r="G84" s="26">
        <v>194.87327002657173</v>
      </c>
      <c r="H84" s="50">
        <v>84.151089313494623</v>
      </c>
    </row>
    <row r="85" spans="2:36" x14ac:dyDescent="0.2">
      <c r="B85" t="str" cm="1">
        <f t="array" ref="B85">[1]!encode_feed(C85,fw_,Rp_,,PVT_str_)</f>
        <v>{"gamma_gas":0.8,"gamma_oil":0.9,"gamma_wat":1,"rsb_m3m3":80,"pb_atma":120,"t_res_C":100,"bob_m3m3":1.2,"muob_cP":1,"PVT_corr_set":0,"q_liq_sm3day":79.75,"fw_perc":10,"rp_m3m3":80}</v>
      </c>
      <c r="C85" s="6">
        <f t="shared" si="0"/>
        <v>79.75</v>
      </c>
      <c r="D85" s="26">
        <f t="array" ref="D85:H85">[1]!ESP_p_atma(Pintake_,Tintake_,0,B85,PumpID_,NumStage_,Freq_,,,,,gas_degr_type_,,$L$40)</f>
        <v>184.25352863406451</v>
      </c>
      <c r="E85" s="26">
        <v>80</v>
      </c>
      <c r="F85" s="26">
        <v>80</v>
      </c>
      <c r="G85" s="26">
        <v>184.25352863406451</v>
      </c>
      <c r="H85" s="50">
        <v>83.83740595707107</v>
      </c>
      <c r="AJ85" s="35"/>
    </row>
    <row r="86" spans="2:36" x14ac:dyDescent="0.2">
      <c r="B86" t="str" cm="1">
        <f t="array" ref="B86">[1]!encode_feed(C86,fw_,Rp_,,PVT_str_)</f>
        <v>{"gamma_gas":0.8,"gamma_oil":0.9,"gamma_wat":1,"rsb_m3m3":80,"pb_atma":120,"t_res_C":100,"bob_m3m3":1.2,"muob_cP":1,"PVT_corr_set":0,"q_liq_sm3day":88.5,"fw_perc":10,"rp_m3m3":80}</v>
      </c>
      <c r="C86" s="6">
        <f t="shared" si="0"/>
        <v>88.5</v>
      </c>
      <c r="D86" s="26">
        <f t="array" ref="D86:H86">[1]!ESP_p_atma(Pintake_,Tintake_,0,B86,PumpID_,NumStage_,Freq_,,,,,gas_degr_type_,,$L$40)</f>
        <v>171.779125472613</v>
      </c>
      <c r="E86" s="26">
        <v>80</v>
      </c>
      <c r="F86" s="26">
        <v>80</v>
      </c>
      <c r="G86" s="26">
        <v>171.779125472613</v>
      </c>
      <c r="H86" s="50">
        <v>83.790551118930196</v>
      </c>
      <c r="AJ86" s="35"/>
    </row>
    <row r="87" spans="2:36" x14ac:dyDescent="0.2">
      <c r="B87" t="str" cm="1">
        <f t="array" ref="B87">[1]!encode_feed(C87,fw_,Rp_,,PVT_str_)</f>
        <v>{"gamma_gas":0.8,"gamma_oil":0.9,"gamma_wat":1,"rsb_m3m3":80,"pb_atma":120,"t_res_C":100,"bob_m3m3":1.2,"muob_cP":1,"PVT_corr_set":0,"q_liq_sm3day":97.25,"fw_perc":10,"rp_m3m3":80}</v>
      </c>
      <c r="C87" s="6">
        <f t="shared" si="0"/>
        <v>97.25</v>
      </c>
      <c r="D87" s="26">
        <f t="array" ref="D87:H87">[1]!ESP_p_atma(Pintake_,Tintake_,0,B87,PumpID_,NumStage_,Freq_,,,,,gas_degr_type_,,$L$40)</f>
        <v>157.43435780735763</v>
      </c>
      <c r="E87" s="26">
        <v>80</v>
      </c>
      <c r="F87" s="26">
        <v>80</v>
      </c>
      <c r="G87" s="26">
        <v>157.43435780735763</v>
      </c>
      <c r="H87" s="50">
        <v>83.93625319110599</v>
      </c>
      <c r="AJ87" s="35"/>
    </row>
    <row r="88" spans="2:36" x14ac:dyDescent="0.2">
      <c r="B88" t="str" cm="1">
        <f t="array" ref="B88">[1]!encode_feed(C88,fw_,Rp_,,PVT_str_)</f>
        <v>{"gamma_gas":0.8,"gamma_oil":0.9,"gamma_wat":1,"rsb_m3m3":80,"pb_atma":120,"t_res_C":100,"bob_m3m3":1.2,"muob_cP":1,"PVT_corr_set":0,"q_liq_sm3day":106,"fw_perc":10,"rp_m3m3":80}</v>
      </c>
      <c r="C88" s="6">
        <f t="shared" si="0"/>
        <v>106</v>
      </c>
      <c r="D88" s="26">
        <f t="array" ref="D88:H88">[1]!ESP_p_atma(Pintake_,Tintake_,0,B88,PumpID_,NumStage_,Freq_,,,,,gas_degr_type_,,$L$40)</f>
        <v>140.31462659856584</v>
      </c>
      <c r="E88" s="26">
        <v>80</v>
      </c>
      <c r="F88" s="26">
        <v>80</v>
      </c>
      <c r="G88" s="26">
        <v>140.31462659856584</v>
      </c>
      <c r="H88" s="50">
        <v>84.282004956370201</v>
      </c>
      <c r="AJ88" s="35"/>
    </row>
    <row r="89" spans="2:36" x14ac:dyDescent="0.2">
      <c r="B89" t="str" cm="1">
        <f t="array" ref="B89">[1]!encode_feed(C89,fw_,Rp_,,PVT_str_)</f>
        <v>{"gamma_gas":0.8,"gamma_oil":0.9,"gamma_wat":1,"rsb_m3m3":80,"pb_atma":120,"t_res_C":100,"bob_m3m3":1.2,"muob_cP":1,"PVT_corr_set":0,"q_liq_sm3day":114.75,"fw_perc":10,"rp_m3m3":80}</v>
      </c>
      <c r="C89" s="6">
        <f t="shared" si="0"/>
        <v>114.75</v>
      </c>
      <c r="D89" s="26">
        <f t="array" ref="D89:H89">[1]!ESP_p_atma(Pintake_,Tintake_,0,B89,PumpID_,NumStage_,Freq_,,,,,gas_degr_type_,,$L$40)</f>
        <v>116.10290396719387</v>
      </c>
      <c r="E89" s="26">
        <v>80</v>
      </c>
      <c r="F89" s="26">
        <v>80</v>
      </c>
      <c r="G89" s="26">
        <v>116.10290396719387</v>
      </c>
      <c r="H89" s="50">
        <v>84.965735404380709</v>
      </c>
      <c r="AJ89" s="35"/>
    </row>
    <row r="90" spans="2:36" x14ac:dyDescent="0.2">
      <c r="B90" t="str" cm="1">
        <f t="array" ref="B90">[1]!encode_feed(C90,fw_,Rp_,,PVT_str_)</f>
        <v>{"gamma_gas":0.8,"gamma_oil":0.9,"gamma_wat":1,"rsb_m3m3":80,"pb_atma":120,"t_res_C":100,"bob_m3m3":1.2,"muob_cP":1,"PVT_corr_set":0,"q_liq_sm3day":123.5,"fw_perc":10,"rp_m3m3":80}</v>
      </c>
      <c r="C90" s="6">
        <f t="shared" si="0"/>
        <v>123.5</v>
      </c>
      <c r="D90" s="26">
        <f t="array" ref="D90:H90">[1]!ESP_p_atma(Pintake_,Tintake_,0,B90,PumpID_,NumStage_,Freq_,,,,,gas_degr_type_,,$L$40)</f>
        <v>76.906776763008111</v>
      </c>
      <c r="E90" s="26">
        <v>80</v>
      </c>
      <c r="F90" s="26">
        <v>80</v>
      </c>
      <c r="G90" s="26">
        <v>76.906776763008111</v>
      </c>
      <c r="H90" s="50">
        <v>80</v>
      </c>
      <c r="AJ90" s="35"/>
    </row>
    <row r="91" spans="2:36" x14ac:dyDescent="0.2">
      <c r="B91" t="str" cm="1">
        <f t="array" ref="B91">[1]!encode_feed(C91,fw_,Rp_,,PVT_str_)</f>
        <v>{"gamma_gas":0.8,"gamma_oil":0.9,"gamma_wat":1,"rsb_m3m3":80,"pb_atma":120,"t_res_C":100,"bob_m3m3":1.2,"muob_cP":1,"PVT_corr_set":0,"q_liq_sm3day":132.25,"fw_perc":10,"rp_m3m3":80}</v>
      </c>
      <c r="C91" s="6">
        <f t="shared" si="0"/>
        <v>132.25</v>
      </c>
      <c r="D91" s="26">
        <f t="array" ref="D91:H91">[1]!ESP_p_atma(Pintake_,Tintake_,0,B91,PumpID_,NumStage_,Freq_,,,,,gas_degr_type_,,$L$40)</f>
        <v>9.3992437633970134</v>
      </c>
      <c r="E91" s="26">
        <v>80</v>
      </c>
      <c r="F91" s="26">
        <v>80</v>
      </c>
      <c r="G91" s="26">
        <v>9.3992437633970134</v>
      </c>
      <c r="H91" s="50">
        <v>80</v>
      </c>
      <c r="AJ91" s="35"/>
    </row>
    <row r="92" spans="2:36" x14ac:dyDescent="0.2">
      <c r="B92" t="str" cm="1">
        <f t="array" ref="B92">[1]!encode_feed(C92,fw_,Rp_,,PVT_str_)</f>
        <v>{"gamma_gas":0.8,"gamma_oil":0.9,"gamma_wat":1,"rsb_m3m3":80,"pb_atma":120,"t_res_C":100,"bob_m3m3":1.2,"muob_cP":1,"PVT_corr_set":0,"q_liq_sm3day":141,"fw_perc":10,"rp_m3m3":80}</v>
      </c>
      <c r="C92" s="6">
        <f t="shared" si="0"/>
        <v>141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2">
      <c r="B93" t="str" cm="1">
        <f t="array" ref="B93">[1]!encode_feed(C93,fw_,Rp_,,PVT_str_)</f>
        <v>{"gamma_gas":0.8,"gamma_oil":0.9,"gamma_wat":1,"rsb_m3m3":80,"pb_atma":120,"t_res_C":100,"bob_m3m3":1.2,"muob_cP":1,"PVT_corr_set":0,"q_liq_sm3day":149.75,"fw_perc":10,"rp_m3m3":80}</v>
      </c>
      <c r="C93" s="6">
        <f t="shared" si="0"/>
        <v>149.75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2">
      <c r="B94" t="str" cm="1">
        <f t="array" ref="B94">[1]!encode_feed(C94,fw_,Rp_,,PVT_str_)</f>
        <v>{"gamma_gas":0.8,"gamma_oil":0.9,"gamma_wat":1,"rsb_m3m3":80,"pb_atma":120,"t_res_C":100,"bob_m3m3":1.2,"muob_cP":1,"PVT_corr_set":0,"q_liq_sm3day":158.5,"fw_perc":10,"rp_m3m3":80}</v>
      </c>
      <c r="C94" s="6">
        <f t="shared" si="0"/>
        <v>158.5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2">
      <c r="B95" t="str" cm="1">
        <f t="array" ref="B95">[1]!encode_feed(C95,fw_,Rp_,,PVT_str_)</f>
        <v>{"gamma_gas":0.8,"gamma_oil":0.9,"gamma_wat":1,"rsb_m3m3":80,"pb_atma":120,"t_res_C":100,"bob_m3m3":1.2,"muob_cP":1,"PVT_corr_set":0,"q_liq_sm3day":167.25,"fw_perc":10,"rp_m3m3":80}</v>
      </c>
      <c r="C95" s="6">
        <f t="shared" si="0"/>
        <v>167.25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2">
      <c r="B96" t="str" cm="1">
        <f t="array" ref="B96">[1]!encode_feed(C96,fw_,Rp_,,PVT_str_)</f>
        <v>{"gamma_gas":0.8,"gamma_oil":0.9,"gamma_wat":1,"rsb_m3m3":80,"pb_atma":120,"t_res_C":100,"bob_m3m3":1.2,"muob_cP":1,"PVT_corr_set":0,"q_liq_sm3day":176,"fw_perc":10,"rp_m3m3":80}</v>
      </c>
      <c r="C96" s="6">
        <f t="shared" si="0"/>
        <v>176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2">
      <c r="D97" s="24"/>
      <c r="E97" s="24"/>
      <c r="F97" s="24"/>
      <c r="G97" s="25"/>
      <c r="H97" s="26"/>
    </row>
    <row r="102" spans="2:8" x14ac:dyDescent="0.2">
      <c r="C102" s="4"/>
      <c r="D102" s="66" t="s">
        <v>11</v>
      </c>
      <c r="E102" s="67"/>
      <c r="F102" s="67"/>
      <c r="G102" s="67"/>
      <c r="H102" s="68"/>
    </row>
    <row r="103" spans="2:8" x14ac:dyDescent="0.2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">
      <c r="B104" t="str" cm="1">
        <f t="array" ref="B104">[1]!encode_feed(C104,fw_,Rp_,,PVT_str_)</f>
        <v>{"gamma_gas":0.8,"gamma_oil":0.9,"gamma_wat":1,"rsb_m3m3":80,"pb_atma":120,"t_res_C":100,"bob_m3m3":1.2,"muob_cP":1,"PVT_corr_set":0,"q_liq_sm3day":1,"fw_perc":10,"rp_m3m3":80}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40.41500234319227</v>
      </c>
      <c r="E104" s="26">
        <v>40.41500234319227</v>
      </c>
      <c r="F104" s="26">
        <v>80</v>
      </c>
      <c r="G104" s="25">
        <v>150</v>
      </c>
      <c r="H104" s="26">
        <v>80</v>
      </c>
    </row>
    <row r="105" spans="2:8" x14ac:dyDescent="0.2">
      <c r="B105" t="str" cm="1">
        <f t="array" ref="B105">[1]!encode_feed(C105,fw_,Rp_,,PVT_str_)</f>
        <v>{"gamma_gas":0.8,"gamma_oil":0.9,"gamma_wat":1,"rsb_m3m3":80,"pb_atma":120,"t_res_C":100,"bob_m3m3":1.2,"muob_cP":1,"PVT_corr_set":0,"q_liq_sm3day":9.75,"fw_perc":10,"rp_m3m3":80}</v>
      </c>
      <c r="C105" s="6">
        <f t="shared" si="1"/>
        <v>9.75</v>
      </c>
      <c r="D105" s="26">
        <f t="array" ref="D105:H105">[1]!ESP_p_atma($C$41,Tintake_,Tintake_,B77,PumpID_,NumStage_,Freq_,0,,,,gas_degr_type_,,$L$40)</f>
        <v>39.725745754193575</v>
      </c>
      <c r="E105" s="26">
        <v>39.725745754193575</v>
      </c>
      <c r="F105" s="26">
        <v>80</v>
      </c>
      <c r="G105" s="25">
        <v>150</v>
      </c>
      <c r="H105" s="26">
        <v>80</v>
      </c>
    </row>
    <row r="106" spans="2:8" x14ac:dyDescent="0.2">
      <c r="B106" t="str" cm="1">
        <f t="array" ref="B106">[1]!encode_feed(C106,fw_,Rp_,,PVT_str_)</f>
        <v>{"gamma_gas":0.8,"gamma_oil":0.9,"gamma_wat":1,"rsb_m3m3":80,"pb_atma":120,"t_res_C":100,"bob_m3m3":1.2,"muob_cP":1,"PVT_corr_set":0,"q_liq_sm3day":18.5,"fw_perc":10,"rp_m3m3":80}</v>
      </c>
      <c r="C106" s="6">
        <f t="shared" si="1"/>
        <v>18.5</v>
      </c>
      <c r="D106" s="26">
        <f t="array" ref="D106:H106">[1]!ESP_p_atma($C$41,Tintake_,Tintake_,B78,PumpID_,NumStage_,Freq_,0,,,,gas_degr_type_,,$L$40)</f>
        <v>39.642148117791884</v>
      </c>
      <c r="E106" s="26">
        <v>39.642148117791884</v>
      </c>
      <c r="F106" s="26">
        <v>80</v>
      </c>
      <c r="G106" s="25">
        <v>150</v>
      </c>
      <c r="H106" s="26">
        <v>80</v>
      </c>
    </row>
    <row r="107" spans="2:8" x14ac:dyDescent="0.2">
      <c r="B107" t="str" cm="1">
        <f t="array" ref="B107">[1]!encode_feed(C107,fw_,Rp_,,PVT_str_)</f>
        <v>{"gamma_gas":0.8,"gamma_oil":0.9,"gamma_wat":1,"rsb_m3m3":80,"pb_atma":120,"t_res_C":100,"bob_m3m3":1.2,"muob_cP":1,"PVT_corr_set":0,"q_liq_sm3day":27.25,"fw_perc":10,"rp_m3m3":80}</v>
      </c>
      <c r="C107" s="6">
        <f t="shared" si="1"/>
        <v>27.25</v>
      </c>
      <c r="D107" s="26">
        <f t="array" ref="D107:H107">[1]!ESP_p_atma($C$41,Tintake_,Tintake_,B79,PumpID_,NumStage_,Freq_,0,,,,gas_degr_type_,,$L$40)</f>
        <v>40.159614680102472</v>
      </c>
      <c r="E107" s="26">
        <v>40.159614680102472</v>
      </c>
      <c r="F107" s="26">
        <v>80</v>
      </c>
      <c r="G107" s="25">
        <v>150</v>
      </c>
      <c r="H107" s="26">
        <v>80</v>
      </c>
    </row>
    <row r="108" spans="2:8" x14ac:dyDescent="0.2">
      <c r="B108" t="str" cm="1">
        <f t="array" ref="B108">[1]!encode_feed(C108,fw_,Rp_,,PVT_str_)</f>
        <v>{"gamma_gas":0.8,"gamma_oil":0.9,"gamma_wat":1,"rsb_m3m3":80,"pb_atma":120,"t_res_C":100,"bob_m3m3":1.2,"muob_cP":1,"PVT_corr_set":0,"q_liq_sm3day":36,"fw_perc":10,"rp_m3m3":80}</v>
      </c>
      <c r="C108" s="6">
        <f t="shared" si="1"/>
        <v>36</v>
      </c>
      <c r="D108" s="26">
        <f t="array" ref="D108:H108">[1]!ESP_p_atma($C$41,Tintake_,Tintake_,B80,PumpID_,NumStage_,Freq_,0,,,,gas_degr_type_,,$L$40)</f>
        <v>41.543491269586262</v>
      </c>
      <c r="E108" s="26">
        <v>41.543491269586262</v>
      </c>
      <c r="F108" s="26">
        <v>80</v>
      </c>
      <c r="G108" s="25">
        <v>150</v>
      </c>
      <c r="H108" s="26">
        <v>80</v>
      </c>
    </row>
    <row r="109" spans="2:8" x14ac:dyDescent="0.2">
      <c r="B109" t="str" cm="1">
        <f t="array" ref="B109">[1]!encode_feed(C109,fw_,Rp_,,PVT_str_)</f>
        <v>{"gamma_gas":0.8,"gamma_oil":0.9,"gamma_wat":1,"rsb_m3m3":80,"pb_atma":120,"t_res_C":100,"bob_m3m3":1.2,"muob_cP":1,"PVT_corr_set":0,"q_liq_sm3day":44.75,"fw_perc":10,"rp_m3m3":80}</v>
      </c>
      <c r="C109" s="6">
        <f t="shared" si="1"/>
        <v>44.75</v>
      </c>
      <c r="D109" s="26">
        <f t="array" ref="D109:H109">[1]!ESP_p_atma($C$41,Tintake_,Tintake_,B81,PumpID_,NumStage_,Freq_,0,,,,gas_degr_type_,,$L$40)</f>
        <v>44.031809798462199</v>
      </c>
      <c r="E109" s="26">
        <v>44.031809798462199</v>
      </c>
      <c r="F109" s="26">
        <v>80</v>
      </c>
      <c r="G109" s="25">
        <v>150</v>
      </c>
      <c r="H109" s="26">
        <v>80</v>
      </c>
    </row>
    <row r="110" spans="2:8" x14ac:dyDescent="0.2">
      <c r="B110" t="str" cm="1">
        <f t="array" ref="B110">[1]!encode_feed(C110,fw_,Rp_,,PVT_str_)</f>
        <v>{"gamma_gas":0.8,"gamma_oil":0.9,"gamma_wat":1,"rsb_m3m3":80,"pb_atma":120,"t_res_C":100,"bob_m3m3":1.2,"muob_cP":1,"PVT_corr_set":0,"q_liq_sm3day":53.5,"fw_perc":10,"rp_m3m3":80}</v>
      </c>
      <c r="C110" s="6">
        <f t="shared" si="1"/>
        <v>53.5</v>
      </c>
      <c r="D110" s="26">
        <f t="array" ref="D110:H110">[1]!ESP_p_atma($C$41,Tintake_,Tintake_,B82,PumpID_,NumStage_,Freq_,0,,,,gas_degr_type_,,$L$40)</f>
        <v>47.485214936203477</v>
      </c>
      <c r="E110" s="26">
        <v>47.485214936203477</v>
      </c>
      <c r="F110" s="26">
        <v>80</v>
      </c>
      <c r="G110" s="25">
        <v>150</v>
      </c>
      <c r="H110" s="26">
        <v>80</v>
      </c>
    </row>
    <row r="111" spans="2:8" x14ac:dyDescent="0.2">
      <c r="B111" t="str" cm="1">
        <f t="array" ref="B111">[1]!encode_feed(C111,fw_,Rp_,,PVT_str_)</f>
        <v>{"gamma_gas":0.8,"gamma_oil":0.9,"gamma_wat":1,"rsb_m3m3":80,"pb_atma":120,"t_res_C":100,"bob_m3m3":1.2,"muob_cP":1,"PVT_corr_set":0,"q_liq_sm3day":62.25,"fw_perc":10,"rp_m3m3":80}</v>
      </c>
      <c r="C111" s="6">
        <f t="shared" si="1"/>
        <v>62.25</v>
      </c>
      <c r="D111" s="26">
        <f t="array" ref="D111:H111">[1]!ESP_p_atma($C$41,Tintake_,Tintake_,B83,PumpID_,NumStage_,Freq_,0,,,,gas_degr_type_,,$L$40)</f>
        <v>51.837166461183287</v>
      </c>
      <c r="E111" s="26">
        <v>51.837166461183287</v>
      </c>
      <c r="F111" s="26">
        <v>80</v>
      </c>
      <c r="G111" s="25">
        <v>150</v>
      </c>
      <c r="H111" s="26">
        <v>80</v>
      </c>
    </row>
    <row r="112" spans="2:8" x14ac:dyDescent="0.2">
      <c r="B112" t="str" cm="1">
        <f t="array" ref="B112">[1]!encode_feed(C112,fw_,Rp_,,PVT_str_)</f>
        <v>{"gamma_gas":0.8,"gamma_oil":0.9,"gamma_wat":1,"rsb_m3m3":80,"pb_atma":120,"t_res_C":100,"bob_m3m3":1.2,"muob_cP":1,"PVT_corr_set":0,"q_liq_sm3day":71,"fw_perc":10,"rp_m3m3":80}</v>
      </c>
      <c r="C112" s="6">
        <f t="shared" si="1"/>
        <v>71</v>
      </c>
      <c r="D112" s="26">
        <f t="array" ref="D112:H112">[1]!ESP_p_atma($C$41,Tintake_,Tintake_,B84,PumpID_,NumStage_,Freq_,0,,,,gas_degr_type_,,$L$40)</f>
        <v>57.0014261540042</v>
      </c>
      <c r="E112" s="26">
        <v>57.0014261540042</v>
      </c>
      <c r="F112" s="26">
        <v>80</v>
      </c>
      <c r="G112" s="25">
        <v>150</v>
      </c>
      <c r="H112" s="26">
        <v>80</v>
      </c>
    </row>
    <row r="113" spans="2:8" x14ac:dyDescent="0.2">
      <c r="B113" t="str" cm="1">
        <f t="array" ref="B113">[1]!encode_feed(C113,fw_,Rp_,,PVT_str_)</f>
        <v>{"gamma_gas":0.8,"gamma_oil":0.9,"gamma_wat":1,"rsb_m3m3":80,"pb_atma":120,"t_res_C":100,"bob_m3m3":1.2,"muob_cP":1,"PVT_corr_set":0,"q_liq_sm3day":79.75,"fw_perc":10,"rp_m3m3":80}</v>
      </c>
      <c r="C113" s="6">
        <f t="shared" si="1"/>
        <v>79.75</v>
      </c>
      <c r="D113" s="26">
        <f t="array" ref="D113:H113">[1]!ESP_p_atma($C$41,Tintake_,Tintake_,B85,PumpID_,NumStage_,Freq_,0,,,,gas_degr_type_,,$L$40)</f>
        <v>62.786981655352392</v>
      </c>
      <c r="E113" s="26">
        <v>62.786981655352392</v>
      </c>
      <c r="F113" s="26">
        <v>80</v>
      </c>
      <c r="G113" s="25">
        <v>150</v>
      </c>
      <c r="H113" s="26">
        <v>80</v>
      </c>
    </row>
    <row r="114" spans="2:8" x14ac:dyDescent="0.2">
      <c r="B114" t="str" cm="1">
        <f t="array" ref="B114">[1]!encode_feed(C114,fw_,Rp_,,PVT_str_)</f>
        <v>{"gamma_gas":0.8,"gamma_oil":0.9,"gamma_wat":1,"rsb_m3m3":80,"pb_atma":120,"t_res_C":100,"bob_m3m3":1.2,"muob_cP":1,"PVT_corr_set":0,"q_liq_sm3day":88.5,"fw_perc":10,"rp_m3m3":80}</v>
      </c>
      <c r="C114" s="6">
        <f t="shared" si="1"/>
        <v>88.5</v>
      </c>
      <c r="D114" s="26">
        <f t="array" ref="D114:H114">[1]!ESP_p_atma($C$41,Tintake_,Tintake_,B86,PumpID_,NumStage_,Freq_,0,,,,gas_degr_type_,,$L$40)</f>
        <v>69.158797363278453</v>
      </c>
      <c r="E114" s="26">
        <v>69.158797363278453</v>
      </c>
      <c r="F114" s="26">
        <v>80</v>
      </c>
      <c r="G114" s="25">
        <v>150</v>
      </c>
      <c r="H114" s="26">
        <v>80</v>
      </c>
    </row>
    <row r="115" spans="2:8" x14ac:dyDescent="0.2">
      <c r="B115" t="str" cm="1">
        <f t="array" ref="B115">[1]!encode_feed(C115,fw_,Rp_,,PVT_str_)</f>
        <v>{"gamma_gas":0.8,"gamma_oil":0.9,"gamma_wat":1,"rsb_m3m3":80,"pb_atma":120,"t_res_C":100,"bob_m3m3":1.2,"muob_cP":1,"PVT_corr_set":0,"q_liq_sm3day":97.25,"fw_perc":10,"rp_m3m3":80}</v>
      </c>
      <c r="C115" s="6">
        <f t="shared" si="1"/>
        <v>97.25</v>
      </c>
      <c r="D115" s="26">
        <f t="array" ref="D115:H115">[1]!ESP_p_atma($C$41,Tintake_,Tintake_,B87,PumpID_,NumStage_,Freq_,0,,,,gas_degr_type_,,$L$40)</f>
        <v>76.147465664672424</v>
      </c>
      <c r="E115" s="26">
        <v>76.147465664672424</v>
      </c>
      <c r="F115" s="26">
        <v>80</v>
      </c>
      <c r="G115" s="25">
        <v>150</v>
      </c>
      <c r="H115" s="26">
        <v>80</v>
      </c>
    </row>
    <row r="116" spans="2:8" x14ac:dyDescent="0.2">
      <c r="B116" t="str" cm="1">
        <f t="array" ref="B116">[1]!encode_feed(C116,fw_,Rp_,,PVT_str_)</f>
        <v>{"gamma_gas":0.8,"gamma_oil":0.9,"gamma_wat":1,"rsb_m3m3":80,"pb_atma":120,"t_res_C":100,"bob_m3m3":1.2,"muob_cP":1,"PVT_corr_set":0,"q_liq_sm3day":106,"fw_perc":10,"rp_m3m3":80}</v>
      </c>
      <c r="C116" s="6">
        <f t="shared" si="1"/>
        <v>106</v>
      </c>
      <c r="D116" s="26">
        <f t="array" ref="D116:H116">[1]!ESP_p_atma($C$41,Tintake_,Tintake_,B88,PumpID_,NumStage_,Freq_,0,,,,gas_degr_type_,,$L$40)</f>
        <v>83.832547212951454</v>
      </c>
      <c r="E116" s="26">
        <v>83.832547212951454</v>
      </c>
      <c r="F116" s="26">
        <v>80</v>
      </c>
      <c r="G116" s="25">
        <v>150</v>
      </c>
      <c r="H116" s="26">
        <v>80</v>
      </c>
    </row>
    <row r="117" spans="2:8" x14ac:dyDescent="0.2">
      <c r="B117" t="str" cm="1">
        <f t="array" ref="B117">[1]!encode_feed(C117,fw_,Rp_,,PVT_str_)</f>
        <v>{"gamma_gas":0.8,"gamma_oil":0.9,"gamma_wat":1,"rsb_m3m3":80,"pb_atma":120,"t_res_C":100,"bob_m3m3":1.2,"muob_cP":1,"PVT_corr_set":0,"q_liq_sm3day":114.75,"fw_perc":10,"rp_m3m3":80}</v>
      </c>
      <c r="C117" s="6">
        <f t="shared" si="1"/>
        <v>114.75</v>
      </c>
      <c r="D117" s="26">
        <f t="array" ref="D117:H117">[1]!ESP_p_atma($C$41,Tintake_,Tintake_,B89,PumpID_,NumStage_,Freq_,0,,,,gas_degr_type_,,$L$40)</f>
        <v>92.499175974647798</v>
      </c>
      <c r="E117" s="26">
        <v>92.499175974647798</v>
      </c>
      <c r="F117" s="26">
        <v>80</v>
      </c>
      <c r="G117" s="25">
        <v>150</v>
      </c>
      <c r="H117" s="26">
        <v>80</v>
      </c>
    </row>
    <row r="118" spans="2:8" x14ac:dyDescent="0.2">
      <c r="B118" t="str" cm="1">
        <f t="array" ref="B118">[1]!encode_feed(C118,fw_,Rp_,,PVT_str_)</f>
        <v>{"gamma_gas":0.8,"gamma_oil":0.9,"gamma_wat":1,"rsb_m3m3":80,"pb_atma":120,"t_res_C":100,"bob_m3m3":1.2,"muob_cP":1,"PVT_corr_set":0,"q_liq_sm3day":123.5,"fw_perc":10,"rp_m3m3":80}</v>
      </c>
      <c r="C118" s="6">
        <f t="shared" si="1"/>
        <v>123.5</v>
      </c>
      <c r="D118" s="26">
        <f t="array" ref="D118:H118">[1]!ESP_p_atma($C$41,Tintake_,Tintake_,B90,PumpID_,NumStage_,Freq_,0,,,,gas_degr_type_,,$L$40)</f>
        <v>102.70929511429782</v>
      </c>
      <c r="E118" s="26">
        <v>102.70929511429782</v>
      </c>
      <c r="F118" s="26">
        <v>80</v>
      </c>
      <c r="G118" s="25">
        <v>150</v>
      </c>
      <c r="H118" s="26">
        <v>80</v>
      </c>
    </row>
    <row r="119" spans="2:8" x14ac:dyDescent="0.2">
      <c r="B119" t="str" cm="1">
        <f t="array" ref="B119">[1]!encode_feed(C119,fw_,Rp_,,PVT_str_)</f>
        <v>{"gamma_gas":0.8,"gamma_oil":0.9,"gamma_wat":1,"rsb_m3m3":80,"pb_atma":120,"t_res_C":100,"bob_m3m3":1.2,"muob_cP":1,"PVT_corr_set":0,"q_liq_sm3day":132.25,"fw_perc":10,"rp_m3m3":80}</v>
      </c>
      <c r="C119" s="6">
        <f t="shared" si="1"/>
        <v>132.25</v>
      </c>
      <c r="D119" s="26">
        <f t="array" ref="D119:H119">[1]!ESP_p_atma($C$41,Tintake_,Tintake_,B91,PumpID_,NumStage_,Freq_,0,,,,gas_degr_type_,,$L$40)</f>
        <v>116.11311951934081</v>
      </c>
      <c r="E119" s="26">
        <v>116.11311951934081</v>
      </c>
      <c r="F119" s="26">
        <v>80</v>
      </c>
      <c r="G119" s="25">
        <v>150</v>
      </c>
      <c r="H119" s="26">
        <v>80</v>
      </c>
    </row>
    <row r="120" spans="2:8" x14ac:dyDescent="0.2">
      <c r="B120" t="str" cm="1">
        <f t="array" ref="B120">[1]!encode_feed(C120,fw_,Rp_,,PVT_str_)</f>
        <v>{"gamma_gas":0.8,"gamma_oil":0.9,"gamma_wat":1,"rsb_m3m3":80,"pb_atma":120,"t_res_C":100,"bob_m3m3":1.2,"muob_cP":1,"PVT_corr_set":0,"q_liq_sm3day":141,"fw_perc":10,"rp_m3m3":80}</v>
      </c>
      <c r="C120" s="6">
        <f t="shared" si="1"/>
        <v>141</v>
      </c>
      <c r="D120" s="26">
        <f t="array" ref="D120:H120">[1]!ESP_p_atma($C$41,Tintake_,Tintake_,B92,PumpID_,NumStage_,Freq_,0,,,,gas_degr_type_,,$L$40)</f>
        <v>131.46560851683739</v>
      </c>
      <c r="E120" s="26">
        <v>131.46560851683739</v>
      </c>
      <c r="F120" s="26">
        <v>80</v>
      </c>
      <c r="G120" s="25">
        <v>150</v>
      </c>
      <c r="H120" s="26">
        <v>80</v>
      </c>
    </row>
    <row r="121" spans="2:8" x14ac:dyDescent="0.2">
      <c r="B121" t="str" cm="1">
        <f t="array" ref="B121">[1]!encode_feed(C121,fw_,Rp_,,PVT_str_)</f>
        <v>{"gamma_gas":0.8,"gamma_oil":0.9,"gamma_wat":1,"rsb_m3m3":80,"pb_atma":120,"t_res_C":100,"bob_m3m3":1.2,"muob_cP":1,"PVT_corr_set":0,"q_liq_sm3day":149.75,"fw_perc":10,"rp_m3m3":80}</v>
      </c>
      <c r="C121" s="6">
        <f t="shared" si="1"/>
        <v>149.75</v>
      </c>
      <c r="D121" s="26">
        <f t="array" ref="D121:H121">[1]!ESP_p_atma($C$41,Tintake_,Tintake_,B93,PumpID_,NumStage_,Freq_,0,,,,gas_degr_type_,,$L$40)</f>
        <v>147.626659425204</v>
      </c>
      <c r="E121" s="26">
        <v>147.626659425204</v>
      </c>
      <c r="F121" s="26">
        <v>80</v>
      </c>
      <c r="G121" s="25">
        <v>150</v>
      </c>
      <c r="H121" s="26">
        <v>80</v>
      </c>
    </row>
    <row r="122" spans="2:8" x14ac:dyDescent="0.2">
      <c r="B122" t="str" cm="1">
        <f t="array" ref="B122">[1]!encode_feed(C122,fw_,Rp_,,PVT_str_)</f>
        <v>{"gamma_gas":0.8,"gamma_oil":0.9,"gamma_wat":1,"rsb_m3m3":80,"pb_atma":120,"t_res_C":100,"bob_m3m3":1.2,"muob_cP":1,"PVT_corr_set":0,"q_liq_sm3day":158.5,"fw_perc":10,"rp_m3m3":80}</v>
      </c>
      <c r="C122" s="6">
        <f t="shared" si="1"/>
        <v>158.5</v>
      </c>
      <c r="D122" s="26">
        <f t="array" ref="D122:H122">[1]!ESP_p_atma($C$41,Tintake_,Tintake_,B94,PumpID_,NumStage_,Freq_,0,,,,gas_degr_type_,,$L$40)</f>
        <v>164.02865419466713</v>
      </c>
      <c r="E122" s="26">
        <v>164.02865419466713</v>
      </c>
      <c r="F122" s="26">
        <v>80</v>
      </c>
      <c r="G122" s="25">
        <v>150</v>
      </c>
      <c r="H122" s="26">
        <v>80</v>
      </c>
    </row>
    <row r="123" spans="2:8" x14ac:dyDescent="0.2">
      <c r="B123" t="str" cm="1">
        <f t="array" ref="B123">[1]!encode_feed(C123,fw_,Rp_,,PVT_str_)</f>
        <v>{"gamma_gas":0.8,"gamma_oil":0.9,"gamma_wat":1,"rsb_m3m3":80,"pb_atma":120,"t_res_C":100,"bob_m3m3":1.2,"muob_cP":1,"PVT_corr_set":0,"q_liq_sm3day":167.25,"fw_perc":10,"rp_m3m3":80}</v>
      </c>
      <c r="C123" s="6">
        <f t="shared" si="1"/>
        <v>167.25</v>
      </c>
      <c r="D123" s="26">
        <f t="array" ref="D123:H123">[1]!ESP_p_atma($C$41,Tintake_,Tintake_,B95,PumpID_,NumStage_,Freq_,0,,,,gas_degr_type_,,$L$40)</f>
        <v>180.42999496051479</v>
      </c>
      <c r="E123" s="26">
        <v>180.42999496051479</v>
      </c>
      <c r="F123" s="26">
        <v>80</v>
      </c>
      <c r="G123" s="25">
        <v>150</v>
      </c>
      <c r="H123" s="26">
        <v>80</v>
      </c>
    </row>
    <row r="124" spans="2:8" x14ac:dyDescent="0.2">
      <c r="B124" t="str" cm="1">
        <f t="array" ref="B124">[1]!encode_feed(C124,fw_,Rp_,,PVT_str_)</f>
        <v>{"gamma_gas":0.8,"gamma_oil":0.9,"gamma_wat":1,"rsb_m3m3":80,"pb_atma":120,"t_res_C":100,"bob_m3m3":1.2,"muob_cP":1,"PVT_corr_set":0,"q_liq_sm3day":176,"fw_perc":10,"rp_m3m3":80}</v>
      </c>
      <c r="C124" s="6">
        <f t="shared" si="1"/>
        <v>176</v>
      </c>
      <c r="D124" s="26">
        <f t="array" ref="D124:H124">[1]!ESP_p_atma($C$41,Tintake_,Tintake_,B96,PumpID_,NumStage_,Freq_,0,,,,gas_degr_type_,,$L$40)</f>
        <v>196.86294949470852</v>
      </c>
      <c r="E124" s="26">
        <v>196.86294949470852</v>
      </c>
      <c r="F124" s="26">
        <v>80</v>
      </c>
      <c r="G124" s="25">
        <v>150</v>
      </c>
      <c r="H124" s="26">
        <v>80</v>
      </c>
    </row>
    <row r="125" spans="2:8" x14ac:dyDescent="0.2">
      <c r="D125" s="26"/>
      <c r="E125" s="26"/>
      <c r="F125" s="26"/>
      <c r="G125" s="25"/>
      <c r="H125" s="26"/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D250-773C-46E0-BC3C-3F63B1150B50}">
  <sheetPr codeName="Worksheet_ESPcalc1">
    <outlinePr summaryBelow="0"/>
  </sheetPr>
  <dimension ref="A1:AJ186"/>
  <sheetViews>
    <sheetView zoomScale="85" zoomScaleNormal="85" workbookViewId="0">
      <selection activeCell="Q24" sqref="Q24"/>
    </sheetView>
  </sheetViews>
  <sheetFormatPr defaultRowHeight="12.75" x14ac:dyDescent="0.2"/>
  <cols>
    <col min="2" max="2" width="13.140625" customWidth="1"/>
    <col min="3" max="3" width="9.85546875" customWidth="1"/>
    <col min="4" max="4" width="11.5703125" bestFit="1" customWidth="1"/>
    <col min="5" max="5" width="11.140625" customWidth="1"/>
    <col min="6" max="6" width="13.5703125" customWidth="1"/>
    <col min="7" max="12" width="11.85546875" customWidth="1"/>
    <col min="13" max="13" width="13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29" width="12.42578125" customWidth="1"/>
    <col min="30" max="30" width="17.42578125" customWidth="1"/>
    <col min="31" max="37" width="12.42578125" customWidth="1"/>
  </cols>
  <sheetData>
    <row r="1" spans="1:12" x14ac:dyDescent="0.2">
      <c r="A1" s="1" t="s">
        <v>13</v>
      </c>
      <c r="F1" t="s">
        <v>14</v>
      </c>
      <c r="G1" t="str">
        <f>[1]!unf_version()</f>
        <v>7.46</v>
      </c>
      <c r="H1" t="s">
        <v>52</v>
      </c>
      <c r="I1" s="27">
        <v>44312</v>
      </c>
      <c r="J1" s="20"/>
      <c r="K1" s="20"/>
      <c r="L1" s="20"/>
    </row>
    <row r="2" spans="1:12" x14ac:dyDescent="0.2">
      <c r="A2" t="s">
        <v>69</v>
      </c>
      <c r="H2" t="s">
        <v>53</v>
      </c>
      <c r="I2" s="28" t="s">
        <v>81</v>
      </c>
      <c r="J2" s="20"/>
      <c r="K2" s="20"/>
      <c r="L2" s="20"/>
    </row>
    <row r="3" spans="1:12" ht="15" x14ac:dyDescent="0.25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5" x14ac:dyDescent="0.25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5" x14ac:dyDescent="0.25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2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2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2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8.75" x14ac:dyDescent="0.35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8.75" x14ac:dyDescent="0.35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8.75" x14ac:dyDescent="0.35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8.75" x14ac:dyDescent="0.35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8" x14ac:dyDescent="0.35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8" x14ac:dyDescent="0.35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8.75" x14ac:dyDescent="0.35">
      <c r="B18" s="13" t="s">
        <v>28</v>
      </c>
      <c r="C18" s="2">
        <v>1.2</v>
      </c>
      <c r="D18" s="12" t="s">
        <v>20</v>
      </c>
    </row>
    <row r="19" spans="1:30" ht="18" x14ac:dyDescent="0.35">
      <c r="B19" s="22" t="s">
        <v>48</v>
      </c>
      <c r="C19" s="2">
        <v>1</v>
      </c>
      <c r="D19" s="12" t="s">
        <v>47</v>
      </c>
    </row>
    <row r="20" spans="1:30" x14ac:dyDescent="0.2">
      <c r="B20" s="3"/>
      <c r="C20" s="4"/>
    </row>
    <row r="21" spans="1:30" ht="15.75" x14ac:dyDescent="0.3">
      <c r="B21" s="15" t="s">
        <v>32</v>
      </c>
      <c r="C21" s="2">
        <v>135</v>
      </c>
      <c r="D21" s="23" t="s">
        <v>3</v>
      </c>
    </row>
    <row r="22" spans="1:30" ht="15.75" x14ac:dyDescent="0.3">
      <c r="B22" s="15" t="s">
        <v>35</v>
      </c>
      <c r="C22" s="2">
        <v>10</v>
      </c>
      <c r="D22" s="23" t="s">
        <v>34</v>
      </c>
    </row>
    <row r="23" spans="1:30" x14ac:dyDescent="0.2">
      <c r="A23" s="1" t="s">
        <v>46</v>
      </c>
    </row>
    <row r="24" spans="1:30" ht="15.75" x14ac:dyDescent="0.3">
      <c r="B24" s="23" t="s">
        <v>39</v>
      </c>
      <c r="C24" s="2">
        <v>80</v>
      </c>
      <c r="D24" s="23" t="s">
        <v>3</v>
      </c>
      <c r="Q24" t="e" cm="1">
        <f t="array" aca="1" ref="Q24" ca="1">[1]!ESP_calc(Pintake_,Tintake_,J31,PumpID_,NumStage_,Freq_,Tdis_,,L40)</f>
        <v>#NAME?</v>
      </c>
    </row>
    <row r="25" spans="1:30" ht="15.75" x14ac:dyDescent="0.3">
      <c r="B25" s="23" t="s">
        <v>40</v>
      </c>
      <c r="C25" s="2">
        <v>1500</v>
      </c>
      <c r="D25" s="23" t="s">
        <v>4</v>
      </c>
      <c r="W25" t="e">
        <f ca="1">Q24</f>
        <v>#NAME?</v>
      </c>
    </row>
    <row r="26" spans="1:30" x14ac:dyDescent="0.2">
      <c r="B26" s="23" t="s">
        <v>36</v>
      </c>
      <c r="C26" s="2">
        <v>55</v>
      </c>
      <c r="D26" s="23" t="s">
        <v>5</v>
      </c>
    </row>
    <row r="27" spans="1:30" x14ac:dyDescent="0.2">
      <c r="B27" s="23" t="s">
        <v>37</v>
      </c>
      <c r="C27" s="11" cm="1">
        <f t="array" ref="C27">[1]!ESP_id_by_rate(Q_ESP_)</f>
        <v>1006</v>
      </c>
      <c r="D27" s="23"/>
      <c r="AD27" t="str" cm="1">
        <f t="array" aca="1" ref="AD27" ca="1">[1]!decode_json(W25)</f>
        <v>error</v>
      </c>
    </row>
    <row r="28" spans="1:30" x14ac:dyDescent="0.2">
      <c r="B28" s="23" t="s">
        <v>38</v>
      </c>
      <c r="C28" s="11" t="str" cm="1">
        <f t="array" ref="C28">[1]!ESP_name(PumpID_)</f>
        <v>ЭЦН5-80</v>
      </c>
      <c r="D28" s="23"/>
    </row>
    <row r="29" spans="1:30" ht="15.75" x14ac:dyDescent="0.3">
      <c r="B29" s="23" t="s">
        <v>41</v>
      </c>
      <c r="C29" s="11" cm="1">
        <f t="array" ref="C29">[1]!ESP_rate_max_sm3day(Freq_,PumpID_)</f>
        <v>192.5</v>
      </c>
      <c r="D29" s="23"/>
      <c r="J29" s="17" t="s">
        <v>12</v>
      </c>
    </row>
    <row r="30" spans="1:30" x14ac:dyDescent="0.2">
      <c r="B30" s="23" t="s">
        <v>9</v>
      </c>
      <c r="C30" s="47" cm="1">
        <f t="array" ref="C30">INT(Head_ESP_/[1]!ESP_head_m(Q_ESP_,1,,PumpID_))</f>
        <v>250</v>
      </c>
      <c r="D30" s="23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{"gamma_gas":0.8,"gamma_oil":0.9,"gamma_wat":1,"rsb_m3m3":80,"pb_atma":120,"t_res_C":100,"bob_m3m3":1.2,"muob_cP":1,"PVT_corr_set":0}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.75" x14ac:dyDescent="0.3">
      <c r="B31" s="23" t="s">
        <v>42</v>
      </c>
      <c r="C31" s="5">
        <v>0.8</v>
      </c>
      <c r="D31" s="23"/>
      <c r="J31" t="str" cm="1">
        <f t="array" ref="J31">[1]!encode_feed(Q_,fw_,Rp_,,PVT_str_)</f>
        <v>{"gamma_gas":0.8,"gamma_oil":0.9,"gamma_wat":1,"rsb_m3m3":80,"pb_atma":120,"t_res_C":100,"bob_m3m3":1.2,"muob_cP":1,"PVT_corr_set":0,"q_liq_sm3day":135,"fw_perc":10,"rp_m3m3":80}</v>
      </c>
    </row>
    <row r="32" spans="1:30" ht="15.75" x14ac:dyDescent="0.3">
      <c r="B32" s="23" t="s">
        <v>43</v>
      </c>
      <c r="C32" s="7">
        <v>80</v>
      </c>
      <c r="D32" s="23" t="s">
        <v>1</v>
      </c>
    </row>
    <row r="33" spans="1:19" ht="15.75" x14ac:dyDescent="0.3">
      <c r="B33" s="23" t="s">
        <v>44</v>
      </c>
      <c r="C33" s="7">
        <v>80</v>
      </c>
      <c r="D33" s="23" t="s">
        <v>2</v>
      </c>
    </row>
    <row r="34" spans="1:19" ht="15" x14ac:dyDescent="0.25">
      <c r="B34" s="23" t="s">
        <v>45</v>
      </c>
      <c r="C34" s="2">
        <v>1</v>
      </c>
      <c r="D34" s="23" t="s">
        <v>29</v>
      </c>
      <c r="L34" s="54" t="s">
        <v>71</v>
      </c>
      <c r="S34" t="str" cm="1">
        <f t="array" ref="S34">[1]!decode_json(P43)</f>
        <v>error</v>
      </c>
    </row>
    <row r="35" spans="1:19" x14ac:dyDescent="0.2">
      <c r="A35" t="s">
        <v>51</v>
      </c>
      <c r="L35" s="12" t="s">
        <v>72</v>
      </c>
      <c r="M35" s="55">
        <v>1</v>
      </c>
    </row>
    <row r="36" spans="1:19" x14ac:dyDescent="0.2">
      <c r="B36" s="23" t="s">
        <v>7</v>
      </c>
      <c r="C36" s="2">
        <v>20</v>
      </c>
      <c r="D36" s="23"/>
      <c r="J36" s="36"/>
      <c r="L36" s="12" t="s">
        <v>73</v>
      </c>
      <c r="M36" s="55">
        <v>0</v>
      </c>
    </row>
    <row r="37" spans="1:19" x14ac:dyDescent="0.2">
      <c r="A37" s="1"/>
      <c r="L37" s="12" t="s">
        <v>74</v>
      </c>
      <c r="M37" s="55">
        <v>1</v>
      </c>
    </row>
    <row r="38" spans="1:19" x14ac:dyDescent="0.2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3">
      <c r="B39" s="15" t="s">
        <v>30</v>
      </c>
      <c r="C39" s="2">
        <v>80</v>
      </c>
      <c r="D39" s="23" t="s">
        <v>1</v>
      </c>
      <c r="F39" s="46" t="s">
        <v>67</v>
      </c>
      <c r="G39" s="2">
        <v>1</v>
      </c>
    </row>
    <row r="40" spans="1:19" ht="15.75" x14ac:dyDescent="0.3">
      <c r="B40" s="15" t="s">
        <v>31</v>
      </c>
      <c r="C40" s="2">
        <v>80</v>
      </c>
      <c r="D40" s="23" t="s">
        <v>2</v>
      </c>
      <c r="L40" s="20" t="str" cm="1">
        <f t="array" ref="L40">[1]!encode_json(L35:M38)</f>
        <v>{"show_log":1,"num_value":0,"show_array":1,"esp_gas_correct":20}</v>
      </c>
    </row>
    <row r="41" spans="1:19" ht="15.75" x14ac:dyDescent="0.3">
      <c r="B41" s="15" t="s">
        <v>33</v>
      </c>
      <c r="C41" s="2">
        <v>150</v>
      </c>
      <c r="D41" s="23" t="s">
        <v>1</v>
      </c>
      <c r="F41" t="s">
        <v>66</v>
      </c>
    </row>
    <row r="42" spans="1:19" ht="15.75" x14ac:dyDescent="0.3">
      <c r="B42" s="15" t="s">
        <v>49</v>
      </c>
      <c r="C42" s="2">
        <v>90</v>
      </c>
      <c r="D42" s="23" t="s">
        <v>2</v>
      </c>
    </row>
    <row r="43" spans="1:19" ht="25.5" x14ac:dyDescent="0.2">
      <c r="B43" s="15" t="s">
        <v>50</v>
      </c>
      <c r="C43" s="2">
        <v>0</v>
      </c>
      <c r="D43" s="23"/>
      <c r="F43" s="53" t="str" cm="1">
        <f t="array" ref="F43">[1]!ESP_p_atma(Pintake_,Tintake_,Tdis_,,PumpID_,NumStage_,Freq_,calc_along_flow,,,,0,dN)</f>
        <v>error:ESP_p_atma: Error parsing JSON:_x000D_
_x000D_
^_x000D_
Expecting '{' or '['</v>
      </c>
      <c r="G43" s="41"/>
      <c r="H43" s="41"/>
      <c r="I43" s="41"/>
      <c r="J43" s="41"/>
      <c r="K43" s="41"/>
      <c r="L43" s="41"/>
      <c r="M43" s="41"/>
      <c r="N43" s="41"/>
      <c r="O43" s="58"/>
      <c r="P43" s="59"/>
    </row>
    <row r="44" spans="1:19" x14ac:dyDescent="0.2">
      <c r="B44" s="15" t="s">
        <v>68</v>
      </c>
      <c r="C44" s="2">
        <v>10</v>
      </c>
      <c r="F44" s="60"/>
      <c r="G44" s="57"/>
      <c r="H44" s="57"/>
      <c r="I44" s="57"/>
      <c r="J44" s="57"/>
      <c r="K44" s="57"/>
      <c r="L44" s="57"/>
      <c r="M44" s="57"/>
      <c r="N44" s="57"/>
      <c r="O44" s="57"/>
      <c r="P44" s="61"/>
    </row>
    <row r="45" spans="1:19" x14ac:dyDescent="0.2">
      <c r="F45" s="42"/>
      <c r="G45" s="43"/>
      <c r="H45" s="43"/>
      <c r="I45" s="43"/>
      <c r="J45" s="43"/>
      <c r="K45" s="43"/>
      <c r="L45" s="43"/>
      <c r="M45" s="43"/>
      <c r="N45" s="43"/>
      <c r="O45" s="43"/>
      <c r="P45" s="61"/>
    </row>
    <row r="46" spans="1:19" x14ac:dyDescent="0.2">
      <c r="F46" s="51"/>
      <c r="G46" s="45"/>
      <c r="H46" s="45"/>
      <c r="I46" s="45"/>
      <c r="J46" s="45"/>
      <c r="K46" s="45"/>
      <c r="L46" s="45"/>
      <c r="M46" s="45"/>
      <c r="N46" s="45"/>
      <c r="O46" s="44"/>
      <c r="P46" s="62"/>
    </row>
    <row r="47" spans="1:19" x14ac:dyDescent="0.2">
      <c r="F47" s="51"/>
      <c r="G47" s="45"/>
      <c r="H47" s="45"/>
      <c r="I47" s="45"/>
      <c r="J47" s="45"/>
      <c r="K47" s="45"/>
      <c r="L47" s="45"/>
      <c r="M47" s="45"/>
      <c r="N47" s="45"/>
      <c r="O47" s="44"/>
      <c r="P47" s="62"/>
    </row>
    <row r="48" spans="1:19" x14ac:dyDescent="0.2">
      <c r="F48" s="51"/>
      <c r="G48" s="45"/>
      <c r="H48" s="45"/>
      <c r="I48" s="45"/>
      <c r="J48" s="45"/>
      <c r="K48" s="45"/>
      <c r="L48" s="45"/>
      <c r="M48" s="45"/>
      <c r="N48" s="45"/>
      <c r="O48" s="44"/>
      <c r="P48" s="62"/>
    </row>
    <row r="49" spans="6:16" x14ac:dyDescent="0.2">
      <c r="F49" s="51"/>
      <c r="G49" s="45"/>
      <c r="H49" s="45"/>
      <c r="I49" s="45"/>
      <c r="J49" s="45"/>
      <c r="K49" s="45"/>
      <c r="L49" s="45"/>
      <c r="M49" s="45"/>
      <c r="N49" s="45"/>
      <c r="O49" s="44"/>
      <c r="P49" s="62"/>
    </row>
    <row r="50" spans="6:16" x14ac:dyDescent="0.2">
      <c r="F50" s="51"/>
      <c r="G50" s="45"/>
      <c r="H50" s="45"/>
      <c r="I50" s="45"/>
      <c r="J50" s="45"/>
      <c r="K50" s="45"/>
      <c r="L50" s="45"/>
      <c r="M50" s="45"/>
      <c r="N50" s="45"/>
      <c r="O50" s="44"/>
      <c r="P50" s="62"/>
    </row>
    <row r="51" spans="6:16" x14ac:dyDescent="0.2">
      <c r="F51" s="51"/>
      <c r="G51" s="45"/>
      <c r="H51" s="45"/>
      <c r="I51" s="45"/>
      <c r="J51" s="45"/>
      <c r="K51" s="45"/>
      <c r="L51" s="45"/>
      <c r="M51" s="45"/>
      <c r="N51" s="45"/>
      <c r="O51" s="44"/>
      <c r="P51" s="62"/>
    </row>
    <row r="52" spans="6:16" x14ac:dyDescent="0.2">
      <c r="F52" s="51"/>
      <c r="G52" s="45"/>
      <c r="H52" s="45"/>
      <c r="I52" s="45"/>
      <c r="J52" s="45"/>
      <c r="K52" s="45"/>
      <c r="L52" s="45"/>
      <c r="M52" s="45"/>
      <c r="N52" s="45"/>
      <c r="O52" s="44"/>
      <c r="P52" s="62"/>
    </row>
    <row r="53" spans="6:16" x14ac:dyDescent="0.2">
      <c r="F53" s="51"/>
      <c r="G53" s="45"/>
      <c r="H53" s="45"/>
      <c r="I53" s="45"/>
      <c r="J53" s="45"/>
      <c r="K53" s="45"/>
      <c r="L53" s="45"/>
      <c r="M53" s="45"/>
      <c r="N53" s="45"/>
      <c r="O53" s="44"/>
      <c r="P53" s="62"/>
    </row>
    <row r="54" spans="6:16" x14ac:dyDescent="0.2">
      <c r="F54" s="51"/>
      <c r="G54" s="45"/>
      <c r="H54" s="45"/>
      <c r="I54" s="45"/>
      <c r="J54" s="45"/>
      <c r="K54" s="45"/>
      <c r="L54" s="45"/>
      <c r="M54" s="45"/>
      <c r="N54" s="45"/>
      <c r="O54" s="44"/>
      <c r="P54" s="62"/>
    </row>
    <row r="55" spans="6:16" x14ac:dyDescent="0.2">
      <c r="F55" s="51"/>
      <c r="G55" s="45"/>
      <c r="H55" s="45"/>
      <c r="I55" s="45"/>
      <c r="J55" s="45"/>
      <c r="K55" s="45"/>
      <c r="L55" s="45"/>
      <c r="M55" s="45"/>
      <c r="N55" s="45"/>
      <c r="O55" s="44"/>
      <c r="P55" s="62"/>
    </row>
    <row r="56" spans="6:16" x14ac:dyDescent="0.2">
      <c r="F56" s="51"/>
      <c r="G56" s="45"/>
      <c r="H56" s="45"/>
      <c r="I56" s="45"/>
      <c r="J56" s="45"/>
      <c r="K56" s="45"/>
      <c r="L56" s="45"/>
      <c r="M56" s="45"/>
      <c r="N56" s="45"/>
      <c r="O56" s="44"/>
      <c r="P56" s="62"/>
    </row>
    <row r="57" spans="6:16" x14ac:dyDescent="0.2">
      <c r="F57" s="51"/>
      <c r="G57" s="45"/>
      <c r="H57" s="45"/>
      <c r="I57" s="45"/>
      <c r="J57" s="45"/>
      <c r="K57" s="45"/>
      <c r="L57" s="45"/>
      <c r="M57" s="45"/>
      <c r="N57" s="45"/>
      <c r="O57" s="44"/>
      <c r="P57" s="62"/>
    </row>
    <row r="58" spans="6:16" x14ac:dyDescent="0.2">
      <c r="F58" s="51"/>
      <c r="G58" s="45"/>
      <c r="H58" s="45"/>
      <c r="I58" s="45"/>
      <c r="J58" s="45"/>
      <c r="K58" s="45"/>
      <c r="L58" s="45"/>
      <c r="M58" s="45"/>
      <c r="N58" s="45"/>
      <c r="O58" s="44"/>
      <c r="P58" s="62"/>
    </row>
    <row r="59" spans="6:16" x14ac:dyDescent="0.2">
      <c r="F59" s="51"/>
      <c r="G59" s="45"/>
      <c r="H59" s="45"/>
      <c r="I59" s="45"/>
      <c r="J59" s="45"/>
      <c r="K59" s="45"/>
      <c r="L59" s="45"/>
      <c r="M59" s="45"/>
      <c r="N59" s="45"/>
      <c r="O59" s="44"/>
      <c r="P59" s="62"/>
    </row>
    <row r="60" spans="6:16" x14ac:dyDescent="0.2">
      <c r="F60" s="51"/>
      <c r="G60" s="45"/>
      <c r="H60" s="45"/>
      <c r="I60" s="45"/>
      <c r="J60" s="45"/>
      <c r="K60" s="45"/>
      <c r="L60" s="45"/>
      <c r="M60" s="45"/>
      <c r="N60" s="45"/>
      <c r="O60" s="44"/>
      <c r="P60" s="62"/>
    </row>
    <row r="61" spans="6:16" x14ac:dyDescent="0.2">
      <c r="F61" s="51"/>
      <c r="G61" s="45"/>
      <c r="H61" s="45"/>
      <c r="I61" s="45"/>
      <c r="J61" s="45"/>
      <c r="K61" s="45"/>
      <c r="L61" s="45"/>
      <c r="M61" s="45"/>
      <c r="N61" s="45"/>
      <c r="O61" s="44"/>
      <c r="P61" s="62"/>
    </row>
    <row r="62" spans="6:16" x14ac:dyDescent="0.2">
      <c r="F62" s="51"/>
      <c r="G62" s="45"/>
      <c r="H62" s="45"/>
      <c r="I62" s="45"/>
      <c r="J62" s="45"/>
      <c r="K62" s="45"/>
      <c r="L62" s="45"/>
      <c r="M62" s="45"/>
      <c r="N62" s="45"/>
      <c r="O62" s="44"/>
      <c r="P62" s="62"/>
    </row>
    <row r="63" spans="6:16" x14ac:dyDescent="0.2">
      <c r="F63" s="51"/>
      <c r="G63" s="45"/>
      <c r="H63" s="45"/>
      <c r="I63" s="45"/>
      <c r="J63" s="45"/>
      <c r="K63" s="45"/>
      <c r="L63" s="45"/>
      <c r="M63" s="45"/>
      <c r="N63" s="45"/>
      <c r="O63" s="44"/>
      <c r="P63" s="62"/>
    </row>
    <row r="64" spans="6:16" x14ac:dyDescent="0.2">
      <c r="F64" s="51"/>
      <c r="G64" s="45"/>
      <c r="H64" s="45"/>
      <c r="I64" s="45"/>
      <c r="J64" s="45"/>
      <c r="K64" s="45"/>
      <c r="L64" s="45"/>
      <c r="M64" s="45"/>
      <c r="N64" s="45"/>
      <c r="O64" s="44"/>
      <c r="P64" s="62"/>
    </row>
    <row r="65" spans="2:35" x14ac:dyDescent="0.2">
      <c r="F65" s="52"/>
      <c r="G65" s="48"/>
      <c r="H65" s="48"/>
      <c r="I65" s="48"/>
      <c r="J65" s="48"/>
      <c r="K65" s="48"/>
      <c r="L65" s="48"/>
      <c r="M65" s="48"/>
      <c r="N65" s="48"/>
      <c r="O65" s="49"/>
      <c r="P65" s="63"/>
    </row>
    <row r="68" spans="2:35" x14ac:dyDescent="0.2">
      <c r="G68" s="36"/>
    </row>
    <row r="69" spans="2:35" x14ac:dyDescent="0.2">
      <c r="G69" s="36"/>
    </row>
    <row r="70" spans="2:35" x14ac:dyDescent="0.2">
      <c r="G70" s="36"/>
    </row>
    <row r="71" spans="2:35" x14ac:dyDescent="0.2">
      <c r="G71" s="36"/>
    </row>
    <row r="72" spans="2:35" x14ac:dyDescent="0.2">
      <c r="G72" s="36"/>
    </row>
    <row r="73" spans="2:35" x14ac:dyDescent="0.2">
      <c r="C73" s="4"/>
      <c r="K73" t="s">
        <v>79</v>
      </c>
    </row>
    <row r="74" spans="2:35" x14ac:dyDescent="0.2">
      <c r="C74" s="4"/>
      <c r="D74" s="66" t="s">
        <v>10</v>
      </c>
      <c r="E74" s="67"/>
      <c r="F74" s="67"/>
      <c r="G74" s="67"/>
      <c r="H74" s="68"/>
      <c r="AI74" t="s">
        <v>70</v>
      </c>
    </row>
    <row r="75" spans="2:35" x14ac:dyDescent="0.2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2">
      <c r="B76" t="str" cm="1">
        <f t="array" ref="B76">[1]!encode_feed(C76,fw_,Rp_,,PVT_str_)</f>
        <v>{"gamma_gas":0.8,"gamma_oil":0.9,"gamma_wat":1,"rsb_m3m3":80,"pb_atma":120,"t_res_C":100,"bob_m3m3":1.2,"muob_cP":1,"PVT_corr_set":0,"q_liq_sm3day":1,"fw_perc":10,"rp_m3m3":80}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2">
      <c r="B77" t="str" cm="1">
        <f t="array" ref="B77">[1]!encode_feed(C77,fw_,Rp_,,PVT_str_)</f>
        <v>{"gamma_gas":0.8,"gamma_oil":0.9,"gamma_wat":1,"rsb_m3m3":80,"pb_atma":120,"t_res_C":100,"bob_m3m3":1.2,"muob_cP":1,"PVT_corr_set":0,"q_liq_sm3day":10.625,"fw_perc":10,"rp_m3m3":80}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2">
      <c r="B78" t="str" cm="1">
        <f t="array" ref="B78">[1]!encode_feed(C78,fw_,Rp_,,PVT_str_)</f>
        <v>{"gamma_gas":0.8,"gamma_oil":0.9,"gamma_wat":1,"rsb_m3m3":80,"pb_atma":120,"t_res_C":100,"bob_m3m3":1.2,"muob_cP":1,"PVT_corr_set":0,"q_liq_sm3day":20.25,"fw_perc":10,"rp_m3m3":80}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2">
      <c r="B79" t="str" cm="1">
        <f t="array" ref="B79">[1]!encode_feed(C79,fw_,Rp_,,PVT_str_)</f>
        <v>{"gamma_gas":0.8,"gamma_oil":0.9,"gamma_wat":1,"rsb_m3m3":80,"pb_atma":120,"t_res_C":100,"bob_m3m3":1.2,"muob_cP":1,"PVT_corr_set":0,"q_liq_sm3day":29.875,"fw_perc":10,"rp_m3m3":80}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2">
      <c r="B80" t="str" cm="1">
        <f t="array" ref="B80">[1]!encode_feed(C80,fw_,Rp_,,PVT_str_)</f>
        <v>{"gamma_gas":0.8,"gamma_oil":0.9,"gamma_wat":1,"rsb_m3m3":80,"pb_atma":120,"t_res_C":100,"bob_m3m3":1.2,"muob_cP":1,"PVT_corr_set":0,"q_liq_sm3day":39.5,"fw_perc":10,"rp_m3m3":80}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2">
      <c r="B81" t="str" cm="1">
        <f t="array" ref="B81">[1]!encode_feed(C81,fw_,Rp_,,PVT_str_)</f>
        <v>{"gamma_gas":0.8,"gamma_oil":0.9,"gamma_wat":1,"rsb_m3m3":80,"pb_atma":120,"t_res_C":100,"bob_m3m3":1.2,"muob_cP":1,"PVT_corr_set":0,"q_liq_sm3day":49.125,"fw_perc":10,"rp_m3m3":80}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2">
      <c r="B82" t="str" cm="1">
        <f t="array" ref="B82">[1]!encode_feed(C82,fw_,Rp_,,PVT_str_)</f>
        <v>{"gamma_gas":0.8,"gamma_oil":0.9,"gamma_wat":1,"rsb_m3m3":80,"pb_atma":120,"t_res_C":100,"bob_m3m3":1.2,"muob_cP":1,"PVT_corr_set":0,"q_liq_sm3day":58.75,"fw_perc":10,"rp_m3m3":80}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2">
      <c r="B83" t="str" cm="1">
        <f t="array" ref="B83">[1]!encode_feed(C83,fw_,Rp_,,PVT_str_)</f>
        <v>{"gamma_gas":0.8,"gamma_oil":0.9,"gamma_wat":1,"rsb_m3m3":80,"pb_atma":120,"t_res_C":100,"bob_m3m3":1.2,"muob_cP":1,"PVT_corr_set":0,"q_liq_sm3day":68.375,"fw_perc":10,"rp_m3m3":80}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2">
      <c r="B84" t="str" cm="1">
        <f t="array" ref="B84">[1]!encode_feed(C84,fw_,Rp_,,PVT_str_)</f>
        <v>{"gamma_gas":0.8,"gamma_oil":0.9,"gamma_wat":1,"rsb_m3m3":80,"pb_atma":120,"t_res_C":100,"bob_m3m3":1.2,"muob_cP":1,"PVT_corr_set":0,"q_liq_sm3day":78,"fw_perc":10,"rp_m3m3":80}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2">
      <c r="B85" t="str" cm="1">
        <f t="array" ref="B85">[1]!encode_feed(C85,fw_,Rp_,,PVT_str_)</f>
        <v>{"gamma_gas":0.8,"gamma_oil":0.9,"gamma_wat":1,"rsb_m3m3":80,"pb_atma":120,"t_res_C":100,"bob_m3m3":1.2,"muob_cP":1,"PVT_corr_set":0,"q_liq_sm3day":87.625,"fw_perc":10,"rp_m3m3":80}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2">
      <c r="B86" t="str" cm="1">
        <f t="array" ref="B86">[1]!encode_feed(C86,fw_,Rp_,,PVT_str_)</f>
        <v>{"gamma_gas":0.8,"gamma_oil":0.9,"gamma_wat":1,"rsb_m3m3":80,"pb_atma":120,"t_res_C":100,"bob_m3m3":1.2,"muob_cP":1,"PVT_corr_set":0,"q_liq_sm3day":97.25,"fw_perc":10,"rp_m3m3":80}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2">
      <c r="B87" t="str" cm="1">
        <f t="array" ref="B87">[1]!encode_feed(C87,fw_,Rp_,,PVT_str_)</f>
        <v>{"gamma_gas":0.8,"gamma_oil":0.9,"gamma_wat":1,"rsb_m3m3":80,"pb_atma":120,"t_res_C":100,"bob_m3m3":1.2,"muob_cP":1,"PVT_corr_set":0,"q_liq_sm3day":106.875,"fw_perc":10,"rp_m3m3":80}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2">
      <c r="B88" t="str" cm="1">
        <f t="array" ref="B88">[1]!encode_feed(C88,fw_,Rp_,,PVT_str_)</f>
        <v>{"gamma_gas":0.8,"gamma_oil":0.9,"gamma_wat":1,"rsb_m3m3":80,"pb_atma":120,"t_res_C":100,"bob_m3m3":1.2,"muob_cP":1,"PVT_corr_set":0,"q_liq_sm3day":116.5,"fw_perc":10,"rp_m3m3":80}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156.46425566759805</v>
      </c>
      <c r="E88" s="26">
        <v>80</v>
      </c>
      <c r="F88" s="26">
        <v>80</v>
      </c>
      <c r="G88" s="26">
        <v>156.46425566759805</v>
      </c>
      <c r="H88" s="50">
        <v>85.109140937547949</v>
      </c>
      <c r="AJ88" s="35"/>
    </row>
    <row r="89" spans="2:36" x14ac:dyDescent="0.2">
      <c r="B89" t="str" cm="1">
        <f t="array" ref="B89">[1]!encode_feed(C89,fw_,Rp_,,PVT_str_)</f>
        <v>{"gamma_gas":0.8,"gamma_oil":0.9,"gamma_wat":1,"rsb_m3m3":80,"pb_atma":120,"t_res_C":100,"bob_m3m3":1.2,"muob_cP":1,"PVT_corr_set":0,"q_liq_sm3day":126.125,"fw_perc":10,"rp_m3m3":80}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2">
      <c r="B90" t="str" cm="1">
        <f t="array" ref="B90">[1]!encode_feed(C90,fw_,Rp_,,PVT_str_)</f>
        <v>{"gamma_gas":0.8,"gamma_oil":0.9,"gamma_wat":1,"rsb_m3m3":80,"pb_atma":120,"t_res_C":100,"bob_m3m3":1.2,"muob_cP":1,"PVT_corr_set":0,"q_liq_sm3day":135.75,"fw_perc":10,"rp_m3m3":80}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2">
      <c r="B91" t="str" cm="1">
        <f t="array" ref="B91">[1]!encode_feed(C91,fw_,Rp_,,PVT_str_)</f>
        <v>{"gamma_gas":0.8,"gamma_oil":0.9,"gamma_wat":1,"rsb_m3m3":80,"pb_atma":120,"t_res_C":100,"bob_m3m3":1.2,"muob_cP":1,"PVT_corr_set":0,"q_liq_sm3day":145.375,"fw_perc":10,"rp_m3m3":80}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2">
      <c r="B92" t="str" cm="1">
        <f t="array" ref="B92">[1]!encode_feed(C92,fw_,Rp_,,PVT_str_)</f>
        <v>{"gamma_gas":0.8,"gamma_oil":0.9,"gamma_wat":1,"rsb_m3m3":80,"pb_atma":120,"t_res_C":100,"bob_m3m3":1.2,"muob_cP":1,"PVT_corr_set":0,"q_liq_sm3day":155,"fw_perc":10,"rp_m3m3":80}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2">
      <c r="B93" t="str" cm="1">
        <f t="array" ref="B93">[1]!encode_feed(C93,fw_,Rp_,,PVT_str_)</f>
        <v>{"gamma_gas":0.8,"gamma_oil":0.9,"gamma_wat":1,"rsb_m3m3":80,"pb_atma":120,"t_res_C":100,"bob_m3m3":1.2,"muob_cP":1,"PVT_corr_set":0,"q_liq_sm3day":164.625,"fw_perc":10,"rp_m3m3":80}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2">
      <c r="B94" t="str" cm="1">
        <f t="array" ref="B94">[1]!encode_feed(C94,fw_,Rp_,,PVT_str_)</f>
        <v>{"gamma_gas":0.8,"gamma_oil":0.9,"gamma_wat":1,"rsb_m3m3":80,"pb_atma":120,"t_res_C":100,"bob_m3m3":1.2,"muob_cP":1,"PVT_corr_set":0,"q_liq_sm3day":174.25,"fw_perc":10,"rp_m3m3":80}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2">
      <c r="B95" t="str" cm="1">
        <f t="array" ref="B95">[1]!encode_feed(C95,fw_,Rp_,,PVT_str_)</f>
        <v>{"gamma_gas":0.8,"gamma_oil":0.9,"gamma_wat":1,"rsb_m3m3":80,"pb_atma":120,"t_res_C":100,"bob_m3m3":1.2,"muob_cP":1,"PVT_corr_set":0,"q_liq_sm3day":183.875,"fw_perc":10,"rp_m3m3":80}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2">
      <c r="B96" t="str" cm="1">
        <f t="array" ref="B96">[1]!encode_feed(C96,fw_,Rp_,,PVT_str_)</f>
        <v>{"gamma_gas":0.8,"gamma_oil":0.9,"gamma_wat":1,"rsb_m3m3":80,"pb_atma":120,"t_res_C":100,"bob_m3m3":1.2,"muob_cP":1,"PVT_corr_set":0,"q_liq_sm3day":193.5,"fw_perc":10,"rp_m3m3":80}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2">
      <c r="D97" s="24"/>
      <c r="E97" s="24"/>
      <c r="F97" s="24"/>
      <c r="G97" s="25"/>
      <c r="H97" s="26"/>
    </row>
    <row r="102" spans="2:8" x14ac:dyDescent="0.2">
      <c r="C102" s="4"/>
      <c r="D102" s="66" t="s">
        <v>11</v>
      </c>
      <c r="E102" s="67"/>
      <c r="F102" s="67"/>
      <c r="G102" s="67"/>
      <c r="H102" s="68"/>
    </row>
    <row r="103" spans="2:8" x14ac:dyDescent="0.2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2">
      <c r="B104" t="str" cm="1">
        <f t="array" ref="B104">[1]!encode_feed(C104,fw_,Rp_,,PVT_str_)</f>
        <v>{"gamma_gas":0.8,"gamma_oil":0.9,"gamma_wat":1,"rsb_m3m3":80,"pb_atma":120,"t_res_C":100,"bob_m3m3":1.2,"muob_cP":1,"PVT_corr_set":0,"q_liq_sm3day":1,"fw_perc":10,"rp_m3m3":80}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28.906627181664422</v>
      </c>
      <c r="E104" s="26">
        <v>28.906627181664422</v>
      </c>
      <c r="F104" s="26">
        <v>80</v>
      </c>
      <c r="G104" s="25">
        <v>150</v>
      </c>
      <c r="H104" s="26">
        <v>80</v>
      </c>
    </row>
    <row r="105" spans="2:8" x14ac:dyDescent="0.2">
      <c r="B105" t="str" cm="1">
        <f t="array" ref="B105">[1]!encode_feed(C105,fw_,Rp_,,PVT_str_)</f>
        <v>{"gamma_gas":0.8,"gamma_oil":0.9,"gamma_wat":1,"rsb_m3m3":80,"pb_atma":120,"t_res_C":100,"bob_m3m3":1.2,"muob_cP":1,"PVT_corr_set":0,"q_liq_sm3day":10.625,"fw_perc":10,"rp_m3m3":80}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2">
      <c r="B106" t="str" cm="1">
        <f t="array" ref="B106">[1]!encode_feed(C106,fw_,Rp_,,PVT_str_)</f>
        <v>{"gamma_gas":0.8,"gamma_oil":0.9,"gamma_wat":1,"rsb_m3m3":80,"pb_atma":120,"t_res_C":100,"bob_m3m3":1.2,"muob_cP":1,"PVT_corr_set":0,"q_liq_sm3day":20.25,"fw_perc":10,"rp_m3m3":80}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2">
      <c r="B107" t="str" cm="1">
        <f t="array" ref="B107">[1]!encode_feed(C107,fw_,Rp_,,PVT_str_)</f>
        <v>{"gamma_gas":0.8,"gamma_oil":0.9,"gamma_wat":1,"rsb_m3m3":80,"pb_atma":120,"t_res_C":100,"bob_m3m3":1.2,"muob_cP":1,"PVT_corr_set":0,"q_liq_sm3day":29.875,"fw_perc":10,"rp_m3m3":80}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2">
      <c r="B108" t="str" cm="1">
        <f t="array" ref="B108">[1]!encode_feed(C108,fw_,Rp_,,PVT_str_)</f>
        <v>{"gamma_gas":0.8,"gamma_oil":0.9,"gamma_wat":1,"rsb_m3m3":80,"pb_atma":120,"t_res_C":100,"bob_m3m3":1.2,"muob_cP":1,"PVT_corr_set":0,"q_liq_sm3day":39.5,"fw_perc":10,"rp_m3m3":80}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2">
      <c r="B109" t="str" cm="1">
        <f t="array" ref="B109">[1]!encode_feed(C109,fw_,Rp_,,PVT_str_)</f>
        <v>{"gamma_gas":0.8,"gamma_oil":0.9,"gamma_wat":1,"rsb_m3m3":80,"pb_atma":120,"t_res_C":100,"bob_m3m3":1.2,"muob_cP":1,"PVT_corr_set":0,"q_liq_sm3day":49.125,"fw_perc":10,"rp_m3m3":80}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35.479867146179252</v>
      </c>
      <c r="E109" s="26">
        <v>35.479867146179252</v>
      </c>
      <c r="F109" s="26">
        <v>80</v>
      </c>
      <c r="G109" s="25">
        <v>150</v>
      </c>
      <c r="H109" s="26">
        <v>80</v>
      </c>
    </row>
    <row r="110" spans="2:8" x14ac:dyDescent="0.2">
      <c r="B110" t="str" cm="1">
        <f t="array" ref="B110">[1]!encode_feed(C110,fw_,Rp_,,PVT_str_)</f>
        <v>{"gamma_gas":0.8,"gamma_oil":0.9,"gamma_wat":1,"rsb_m3m3":80,"pb_atma":120,"t_res_C":100,"bob_m3m3":1.2,"muob_cP":1,"PVT_corr_set":0,"q_liq_sm3day":58.75,"fw_perc":10,"rp_m3m3":80}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2">
      <c r="B111" t="str" cm="1">
        <f t="array" ref="B111">[1]!encode_feed(C111,fw_,Rp_,,PVT_str_)</f>
        <v>{"gamma_gas":0.8,"gamma_oil":0.9,"gamma_wat":1,"rsb_m3m3":80,"pb_atma":120,"t_res_C":100,"bob_m3m3":1.2,"muob_cP":1,"PVT_corr_set":0,"q_liq_sm3day":68.375,"fw_perc":10,"rp_m3m3":80}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2">
      <c r="B112" t="str" cm="1">
        <f t="array" ref="B112">[1]!encode_feed(C112,fw_,Rp_,,PVT_str_)</f>
        <v>{"gamma_gas":0.8,"gamma_oil":0.9,"gamma_wat":1,"rsb_m3m3":80,"pb_atma":120,"t_res_C":100,"bob_m3m3":1.2,"muob_cP":1,"PVT_corr_set":0,"q_liq_sm3day":78,"fw_perc":10,"rp_m3m3":80}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2">
      <c r="B113" t="str" cm="1">
        <f t="array" ref="B113">[1]!encode_feed(C113,fw_,Rp_,,PVT_str_)</f>
        <v>{"gamma_gas":0.8,"gamma_oil":0.9,"gamma_wat":1,"rsb_m3m3":80,"pb_atma":120,"t_res_C":100,"bob_m3m3":1.2,"muob_cP":1,"PVT_corr_set":0,"q_liq_sm3day":87.625,"fw_perc":10,"rp_m3m3":80}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2">
      <c r="B114" t="str" cm="1">
        <f t="array" ref="B114">[1]!encode_feed(C114,fw_,Rp_,,PVT_str_)</f>
        <v>{"gamma_gas":0.8,"gamma_oil":0.9,"gamma_wat":1,"rsb_m3m3":80,"pb_atma":120,"t_res_C":100,"bob_m3m3":1.2,"muob_cP":1,"PVT_corr_set":0,"q_liq_sm3day":97.25,"fw_perc":10,"rp_m3m3":80}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2">
      <c r="B115" t="str" cm="1">
        <f t="array" ref="B115">[1]!encode_feed(C115,fw_,Rp_,,PVT_str_)</f>
        <v>{"gamma_gas":0.8,"gamma_oil":0.9,"gamma_wat":1,"rsb_m3m3":80,"pb_atma":120,"t_res_C":100,"bob_m3m3":1.2,"muob_cP":1,"PVT_corr_set":0,"q_liq_sm3day":106.875,"fw_perc":10,"rp_m3m3":80}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2">
      <c r="B116" t="str" cm="1">
        <f t="array" ref="B116">[1]!encode_feed(C116,fw_,Rp_,,PVT_str_)</f>
        <v>{"gamma_gas":0.8,"gamma_oil":0.9,"gamma_wat":1,"rsb_m3m3":80,"pb_atma":120,"t_res_C":100,"bob_m3m3":1.2,"muob_cP":1,"PVT_corr_set":0,"q_liq_sm3day":116.5,"fw_perc":10,"rp_m3m3":80}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2">
      <c r="B117" t="str" cm="1">
        <f t="array" ref="B117">[1]!encode_feed(C117,fw_,Rp_,,PVT_str_)</f>
        <v>{"gamma_gas":0.8,"gamma_oil":0.9,"gamma_wat":1,"rsb_m3m3":80,"pb_atma":120,"t_res_C":100,"bob_m3m3":1.2,"muob_cP":1,"PVT_corr_set":0,"q_liq_sm3day":126.125,"fw_perc":10,"rp_m3m3":80}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2">
      <c r="B118" t="str" cm="1">
        <f t="array" ref="B118">[1]!encode_feed(C118,fw_,Rp_,,PVT_str_)</f>
        <v>{"gamma_gas":0.8,"gamma_oil":0.9,"gamma_wat":1,"rsb_m3m3":80,"pb_atma":120,"t_res_C":100,"bob_m3m3":1.2,"muob_cP":1,"PVT_corr_set":0,"q_liq_sm3day":135.75,"fw_perc":10,"rp_m3m3":80}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2">
      <c r="B119" t="str" cm="1">
        <f t="array" ref="B119">[1]!encode_feed(C119,fw_,Rp_,,PVT_str_)</f>
        <v>{"gamma_gas":0.8,"gamma_oil":0.9,"gamma_wat":1,"rsb_m3m3":80,"pb_atma":120,"t_res_C":100,"bob_m3m3":1.2,"muob_cP":1,"PVT_corr_set":0,"q_liq_sm3day":145.375,"fw_perc":10,"rp_m3m3":80}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2">
      <c r="B120" t="str" cm="1">
        <f t="array" ref="B120">[1]!encode_feed(C120,fw_,Rp_,,PVT_str_)</f>
        <v>{"gamma_gas":0.8,"gamma_oil":0.9,"gamma_wat":1,"rsb_m3m3":80,"pb_atma":120,"t_res_C":100,"bob_m3m3":1.2,"muob_cP":1,"PVT_corr_set":0,"q_liq_sm3day":155,"fw_perc":10,"rp_m3m3":80}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2">
      <c r="B121" t="str" cm="1">
        <f t="array" ref="B121">[1]!encode_feed(C121,fw_,Rp_,,PVT_str_)</f>
        <v>{"gamma_gas":0.8,"gamma_oil":0.9,"gamma_wat":1,"rsb_m3m3":80,"pb_atma":120,"t_res_C":100,"bob_m3m3":1.2,"muob_cP":1,"PVT_corr_set":0,"q_liq_sm3day":164.625,"fw_perc":10,"rp_m3m3":80}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2">
      <c r="B122" t="str" cm="1">
        <f t="array" ref="B122">[1]!encode_feed(C122,fw_,Rp_,,PVT_str_)</f>
        <v>{"gamma_gas":0.8,"gamma_oil":0.9,"gamma_wat":1,"rsb_m3m3":80,"pb_atma":120,"t_res_C":100,"bob_m3m3":1.2,"muob_cP":1,"PVT_corr_set":0,"q_liq_sm3day":174.25,"fw_perc":10,"rp_m3m3":80}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2">
      <c r="B123" t="str" cm="1">
        <f t="array" ref="B123">[1]!encode_feed(C123,fw_,Rp_,,PVT_str_)</f>
        <v>{"gamma_gas":0.8,"gamma_oil":0.9,"gamma_wat":1,"rsb_m3m3":80,"pb_atma":120,"t_res_C":100,"bob_m3m3":1.2,"muob_cP":1,"PVT_corr_set":0,"q_liq_sm3day":183.875,"fw_perc":10,"rp_m3m3":80}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2">
      <c r="B124" t="str" cm="1">
        <f t="array" ref="B124">[1]!encode_feed(C124,fw_,Rp_,,PVT_str_)</f>
        <v>{"gamma_gas":0.8,"gamma_oil":0.9,"gamma_wat":1,"rsb_m3m3":80,"pb_atma":120,"t_res_C":100,"bob_m3m3":1.2,"muob_cP":1,"PVT_corr_set":0,"q_liq_sm3day":193.5,"fw_perc":10,"rp_m3m3":80}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2">
      <c r="D125" s="26"/>
      <c r="E125" s="26"/>
      <c r="F125" s="26"/>
      <c r="G125" s="25"/>
      <c r="H125" s="26"/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74</vt:i4>
      </vt:variant>
    </vt:vector>
  </HeadingPairs>
  <TitlesOfParts>
    <vt:vector size="76" baseType="lpstr">
      <vt:lpstr>Exercise_ESP</vt:lpstr>
      <vt:lpstr>Exercise_ESP (2)</vt:lpstr>
      <vt:lpstr>Exercise_ESP!Bob_</vt:lpstr>
      <vt:lpstr>'Exercise_ESP (2)'!Bob_</vt:lpstr>
      <vt:lpstr>'Exercise_ESP (2)'!calc_along_flow</vt:lpstr>
      <vt:lpstr>calc_along_flow</vt:lpstr>
      <vt:lpstr>'Exercise_ESP (2)'!dN</vt:lpstr>
      <vt:lpstr>dN</vt:lpstr>
      <vt:lpstr>'Exercise_ESP (2)'!ESPstr</vt:lpstr>
      <vt:lpstr>ESPstr</vt:lpstr>
      <vt:lpstr>Exercise_ESP!Freq_</vt:lpstr>
      <vt:lpstr>'Exercise_ESP (2)'!Freq_</vt:lpstr>
      <vt:lpstr>Exercise_ESP!fw_</vt:lpstr>
      <vt:lpstr>'Exercise_ESP (2)'!fw_</vt:lpstr>
      <vt:lpstr>Exercise_ESP!gamma_gas_</vt:lpstr>
      <vt:lpstr>'Exercise_ESP (2)'!gamma_gas_</vt:lpstr>
      <vt:lpstr>Exercise_ESP!gamma_oil_</vt:lpstr>
      <vt:lpstr>'Exercise_ESP (2)'!gamma_oil_</vt:lpstr>
      <vt:lpstr>Exercise_ESP!gamma_wat_</vt:lpstr>
      <vt:lpstr>'Exercise_ESP (2)'!gamma_wat_</vt:lpstr>
      <vt:lpstr>'Exercise_ESP (2)'!gas_degr_type_</vt:lpstr>
      <vt:lpstr>gas_degr_type_</vt:lpstr>
      <vt:lpstr>Exercise_ESP!Head_ESP_</vt:lpstr>
      <vt:lpstr>'Exercise_ESP (2)'!Head_ESP_</vt:lpstr>
      <vt:lpstr>'Exercise_ESP (2)'!input_Course</vt:lpstr>
      <vt:lpstr>input_Course</vt:lpstr>
      <vt:lpstr>'Exercise_ESP (2)'!input_Date</vt:lpstr>
      <vt:lpstr>input_Date</vt:lpstr>
      <vt:lpstr>'Exercise_ESP (2)'!input_Group</vt:lpstr>
      <vt:lpstr>input_Group</vt:lpstr>
      <vt:lpstr>'Exercise_ESP (2)'!input_Notes</vt:lpstr>
      <vt:lpstr>input_Notes</vt:lpstr>
      <vt:lpstr>'Exercise_ESP (2)'!input_Student_Name</vt:lpstr>
      <vt:lpstr>input_Student_Name</vt:lpstr>
      <vt:lpstr>'Exercise_ESP (2)'!input_Version</vt:lpstr>
      <vt:lpstr>input_Version</vt:lpstr>
      <vt:lpstr>Exercise_ESP!KsepGasSep_</vt:lpstr>
      <vt:lpstr>'Exercise_ESP (2)'!KsepGasSep_</vt:lpstr>
      <vt:lpstr>'Exercise_ESP (2)'!mu</vt:lpstr>
      <vt:lpstr>mu</vt:lpstr>
      <vt:lpstr>Exercise_ESP!muob_</vt:lpstr>
      <vt:lpstr>'Exercise_ESP (2)'!muob_</vt:lpstr>
      <vt:lpstr>Exercise_ESP!N_</vt:lpstr>
      <vt:lpstr>'Exercise_ESP (2)'!N_</vt:lpstr>
      <vt:lpstr>Exercise_ESP!NumStage_</vt:lpstr>
      <vt:lpstr>'Exercise_ESP (2)'!NumStage_</vt:lpstr>
      <vt:lpstr>Exercise_ESP!Pb_</vt:lpstr>
      <vt:lpstr>'Exercise_ESP (2)'!Pb_</vt:lpstr>
      <vt:lpstr>Exercise_ESP!Pdis_</vt:lpstr>
      <vt:lpstr>'Exercise_ESP (2)'!Pdis_</vt:lpstr>
      <vt:lpstr>Exercise_ESP!Pintake_</vt:lpstr>
      <vt:lpstr>'Exercise_ESP (2)'!Pintake_</vt:lpstr>
      <vt:lpstr>'Exercise_ESP (2)'!PKsep</vt:lpstr>
      <vt:lpstr>PKsep</vt:lpstr>
      <vt:lpstr>Exercise_ESP!PumpID_</vt:lpstr>
      <vt:lpstr>'Exercise_ESP (2)'!PumpID_</vt:lpstr>
      <vt:lpstr>'Exercise_ESP (2)'!PVT_str_</vt:lpstr>
      <vt:lpstr>PVT_str_</vt:lpstr>
      <vt:lpstr>Exercise_ESP!Q_</vt:lpstr>
      <vt:lpstr>'Exercise_ESP (2)'!Q_</vt:lpstr>
      <vt:lpstr>Exercise_ESP!Q_ESP_</vt:lpstr>
      <vt:lpstr>'Exercise_ESP (2)'!Q_ESP_</vt:lpstr>
      <vt:lpstr>Exercise_ESP!Qmax_</vt:lpstr>
      <vt:lpstr>'Exercise_ESP (2)'!Qmax_</vt:lpstr>
      <vt:lpstr>Exercise_ESP!Rp_</vt:lpstr>
      <vt:lpstr>'Exercise_ESP (2)'!Rp_</vt:lpstr>
      <vt:lpstr>Exercise_ESP!Rsb_</vt:lpstr>
      <vt:lpstr>'Exercise_ESP (2)'!Rsb_</vt:lpstr>
      <vt:lpstr>'Exercise_ESP (2)'!Tdis_</vt:lpstr>
      <vt:lpstr>Tdis_</vt:lpstr>
      <vt:lpstr>Exercise_ESP!Tintake_</vt:lpstr>
      <vt:lpstr>'Exercise_ESP (2)'!Tintake_</vt:lpstr>
      <vt:lpstr>'Exercise_ESP (2)'!TKsep_</vt:lpstr>
      <vt:lpstr>TKsep_</vt:lpstr>
      <vt:lpstr>Exercise_ESP!Tres_</vt:lpstr>
      <vt:lpstr>'Exercise_ESP (2)'!Tres_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2023-05-09T19:16:20Z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