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418E5D6-5FF4-490B-9BB8-51F9A6E7CCC6}" xr6:coauthVersionLast="46" xr6:coauthVersionMax="46" xr10:uidLastSave="{00000000-0000-0000-0000-000000000000}"/>
  <bookViews>
    <workbookView xWindow="-96" yWindow="-96" windowWidth="23232" windowHeight="13992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4" i="110" l="1" a="1"/>
  <c r="Q24" i="110" s="1"/>
  <c r="D117" i="110" a="1"/>
  <c r="D106" i="110" a="1"/>
  <c r="D116" i="110" a="1"/>
  <c r="D124" i="110" a="1"/>
  <c r="D119" i="110" a="1"/>
  <c r="D123" i="110" a="1"/>
  <c r="D110" i="110" a="1"/>
  <c r="D118" i="110" a="1"/>
  <c r="D107" i="110" a="1"/>
  <c r="D121" i="110" a="1"/>
  <c r="D112" i="110" a="1"/>
  <c r="D109" i="110" a="1"/>
  <c r="D114" i="110" a="1"/>
  <c r="D120" i="110" a="1"/>
  <c r="D111" i="110" a="1"/>
  <c r="D108" i="110" a="1"/>
  <c r="D122" i="110" a="1"/>
  <c r="D115" i="110" a="1"/>
  <c r="D113" i="110" a="1"/>
  <c r="D105" i="110" a="1"/>
  <c r="D104" i="110" a="1"/>
  <c r="D77" i="110" a="1"/>
  <c r="D79" i="110" a="1"/>
  <c r="D81" i="110" a="1"/>
  <c r="D83" i="110" a="1"/>
  <c r="D85" i="110" a="1"/>
  <c r="D89" i="110" a="1"/>
  <c r="D91" i="110" a="1"/>
  <c r="D93" i="110" a="1"/>
  <c r="D78" i="110" a="1"/>
  <c r="D88" i="110" a="1"/>
  <c r="D92" i="110" a="1"/>
  <c r="D96" i="110" a="1"/>
  <c r="D80" i="110" a="1"/>
  <c r="D82" i="110" a="1"/>
  <c r="D84" i="110" a="1"/>
  <c r="D90" i="110" a="1"/>
  <c r="D94" i="110" a="1"/>
  <c r="D86" i="110" a="1"/>
  <c r="D87" i="110" a="1"/>
  <c r="D95" i="110" a="1"/>
  <c r="D76" i="110" a="1"/>
  <c r="L40" i="110" a="1"/>
  <c r="E105" i="110" l="1"/>
  <c r="F105" i="110"/>
  <c r="G105" i="110"/>
  <c r="H105" i="110"/>
  <c r="D105" i="110"/>
  <c r="E113" i="110"/>
  <c r="F113" i="110"/>
  <c r="G113" i="110"/>
  <c r="H113" i="110"/>
  <c r="D113" i="110"/>
  <c r="E115" i="110"/>
  <c r="F115" i="110"/>
  <c r="G115" i="110"/>
  <c r="H115" i="110"/>
  <c r="D115" i="110"/>
  <c r="D122" i="110"/>
  <c r="E122" i="110"/>
  <c r="F122" i="110"/>
  <c r="G122" i="110"/>
  <c r="H122" i="110"/>
  <c r="E108" i="110"/>
  <c r="D108" i="110"/>
  <c r="F108" i="110"/>
  <c r="G108" i="110"/>
  <c r="H108" i="110"/>
  <c r="E111" i="110"/>
  <c r="F111" i="110"/>
  <c r="G111" i="110"/>
  <c r="H111" i="110"/>
  <c r="D111" i="110"/>
  <c r="D120" i="110"/>
  <c r="E120" i="110"/>
  <c r="F120" i="110"/>
  <c r="G120" i="110"/>
  <c r="H120" i="110"/>
  <c r="E114" i="110"/>
  <c r="D114" i="110"/>
  <c r="F114" i="110"/>
  <c r="G114" i="110"/>
  <c r="H114" i="110"/>
  <c r="E109" i="110"/>
  <c r="F109" i="110"/>
  <c r="G109" i="110"/>
  <c r="H109" i="110"/>
  <c r="D109" i="110"/>
  <c r="D112" i="110"/>
  <c r="E112" i="110"/>
  <c r="F112" i="110"/>
  <c r="G112" i="110"/>
  <c r="H112" i="110"/>
  <c r="E121" i="110"/>
  <c r="F121" i="110"/>
  <c r="G121" i="110"/>
  <c r="H121" i="110"/>
  <c r="D121" i="110"/>
  <c r="E107" i="110"/>
  <c r="F107" i="110"/>
  <c r="G107" i="110"/>
  <c r="H107" i="110"/>
  <c r="D107" i="110"/>
  <c r="D118" i="110"/>
  <c r="E118" i="110"/>
  <c r="F118" i="110"/>
  <c r="G118" i="110"/>
  <c r="H118" i="110"/>
  <c r="D110" i="110"/>
  <c r="E110" i="110"/>
  <c r="F110" i="110"/>
  <c r="G110" i="110"/>
  <c r="H110" i="110"/>
  <c r="E123" i="110"/>
  <c r="F123" i="110"/>
  <c r="G123" i="110"/>
  <c r="H123" i="110"/>
  <c r="D123" i="110"/>
  <c r="E119" i="110"/>
  <c r="F119" i="110"/>
  <c r="G119" i="110"/>
  <c r="H119" i="110"/>
  <c r="D119" i="110"/>
  <c r="D124" i="110"/>
  <c r="E124" i="110"/>
  <c r="F124" i="110"/>
  <c r="G124" i="110"/>
  <c r="H124" i="110"/>
  <c r="D116" i="110"/>
  <c r="E116" i="110"/>
  <c r="F116" i="110"/>
  <c r="G116" i="110"/>
  <c r="H116" i="110"/>
  <c r="D106" i="110"/>
  <c r="E106" i="110"/>
  <c r="F106" i="110"/>
  <c r="G106" i="110"/>
  <c r="H106" i="110"/>
  <c r="E117" i="110"/>
  <c r="F117" i="110"/>
  <c r="G117" i="110"/>
  <c r="H117" i="110"/>
  <c r="D117" i="110"/>
  <c r="D104" i="110"/>
  <c r="E104" i="110"/>
  <c r="F104" i="110"/>
  <c r="G104" i="110"/>
  <c r="H104" i="110"/>
  <c r="D95" i="110"/>
  <c r="E95" i="110"/>
  <c r="F95" i="110"/>
  <c r="G95" i="110"/>
  <c r="H95" i="110"/>
  <c r="D87" i="110"/>
  <c r="E87" i="110"/>
  <c r="F87" i="110"/>
  <c r="G87" i="110"/>
  <c r="H87" i="110"/>
  <c r="G86" i="110"/>
  <c r="D86" i="110"/>
  <c r="F86" i="110"/>
  <c r="E86" i="110"/>
  <c r="H86" i="110"/>
  <c r="D94" i="110"/>
  <c r="E94" i="110"/>
  <c r="F94" i="110"/>
  <c r="G94" i="110"/>
  <c r="H94" i="110"/>
  <c r="G90" i="110"/>
  <c r="D90" i="110"/>
  <c r="F90" i="110"/>
  <c r="E90" i="110"/>
  <c r="H90" i="110"/>
  <c r="D84" i="110"/>
  <c r="E84" i="110"/>
  <c r="F84" i="110"/>
  <c r="G84" i="110"/>
  <c r="H84" i="110"/>
  <c r="F82" i="110"/>
  <c r="D82" i="110"/>
  <c r="G82" i="110"/>
  <c r="E82" i="110"/>
  <c r="H82" i="110"/>
  <c r="D80" i="110"/>
  <c r="F80" i="110"/>
  <c r="G80" i="110"/>
  <c r="E80" i="110"/>
  <c r="H80" i="110"/>
  <c r="D96" i="110"/>
  <c r="F96" i="110"/>
  <c r="G96" i="110"/>
  <c r="E96" i="110"/>
  <c r="H96" i="110"/>
  <c r="D92" i="110"/>
  <c r="F92" i="110"/>
  <c r="G92" i="110"/>
  <c r="E92" i="110"/>
  <c r="H92" i="110"/>
  <c r="D88" i="110"/>
  <c r="F88" i="110"/>
  <c r="G88" i="110"/>
  <c r="E88" i="110"/>
  <c r="H88" i="110"/>
  <c r="G78" i="110"/>
  <c r="D78" i="110"/>
  <c r="F78" i="110"/>
  <c r="E78" i="110"/>
  <c r="H78" i="110"/>
  <c r="D93" i="110"/>
  <c r="E93" i="110"/>
  <c r="F93" i="110"/>
  <c r="G93" i="110"/>
  <c r="H93" i="110"/>
  <c r="D91" i="110"/>
  <c r="E91" i="110"/>
  <c r="F91" i="110"/>
  <c r="G91" i="110"/>
  <c r="H91" i="110"/>
  <c r="D89" i="110"/>
  <c r="E89" i="110"/>
  <c r="F89" i="110"/>
  <c r="G89" i="110"/>
  <c r="H89" i="110"/>
  <c r="D85" i="110"/>
  <c r="E85" i="110"/>
  <c r="F85" i="110"/>
  <c r="G85" i="110"/>
  <c r="H85" i="110"/>
  <c r="D83" i="110"/>
  <c r="E83" i="110"/>
  <c r="F83" i="110"/>
  <c r="G83" i="110"/>
  <c r="H83" i="110"/>
  <c r="D81" i="110"/>
  <c r="E81" i="110"/>
  <c r="F81" i="110"/>
  <c r="G81" i="110"/>
  <c r="H81" i="110"/>
  <c r="D79" i="110"/>
  <c r="E79" i="110"/>
  <c r="F79" i="110"/>
  <c r="G79" i="110"/>
  <c r="H79" i="110"/>
  <c r="D77" i="110"/>
  <c r="E77" i="110"/>
  <c r="F77" i="110"/>
  <c r="G77" i="110"/>
  <c r="H77" i="110"/>
  <c r="F76" i="110"/>
  <c r="G76" i="110"/>
  <c r="H76" i="110"/>
  <c r="D76" i="110"/>
  <c r="E76" i="110"/>
  <c r="L40" i="110"/>
  <c r="C104" i="110"/>
  <c r="G1" i="110"/>
  <c r="J30" i="110" a="1"/>
  <c r="C27" i="110" a="1"/>
  <c r="J30" i="110" l="1"/>
  <c r="C27" i="110"/>
  <c r="E17" i="110"/>
  <c r="E16" i="110"/>
  <c r="E15" i="110"/>
  <c r="E14" i="110"/>
  <c r="E13" i="110"/>
  <c r="E12" i="110"/>
  <c r="E11" i="110"/>
  <c r="B76" i="110" a="1"/>
  <c r="B104" i="110" a="1"/>
  <c r="C30" i="110" a="1"/>
  <c r="C29" i="110" a="1"/>
  <c r="C28" i="110" a="1"/>
  <c r="J31" i="110" a="1"/>
  <c r="B104" i="110" l="1"/>
  <c r="B76" i="110"/>
  <c r="J31" i="110"/>
  <c r="C30" i="110"/>
  <c r="C29" i="110"/>
  <c r="C77" i="110" s="1"/>
  <c r="C28" i="110"/>
  <c r="F43" i="110" a="1"/>
  <c r="B77" i="110" a="1"/>
  <c r="F43" i="110" l="1"/>
  <c r="B77" i="110"/>
  <c r="C78" i="110"/>
  <c r="C106" i="110" s="1"/>
  <c r="C105" i="110"/>
  <c r="B78" i="110" a="1"/>
  <c r="B106" i="110" a="1"/>
  <c r="S34" i="110" a="1"/>
  <c r="B105" i="110" a="1"/>
  <c r="S34" i="110" l="1"/>
  <c r="W25" i="110"/>
  <c r="B78" i="110"/>
  <c r="B105" i="110"/>
  <c r="B106" i="110"/>
  <c r="C79" i="110"/>
  <c r="B79" i="110" a="1"/>
  <c r="AD27" i="110" a="1"/>
  <c r="AD27" i="110" l="1"/>
  <c r="B79" i="110"/>
  <c r="C80" i="110"/>
  <c r="C107" i="110"/>
  <c r="B107" i="110" a="1"/>
  <c r="B80" i="110" a="1"/>
  <c r="B107" i="110" l="1"/>
  <c r="B80" i="110"/>
  <c r="C81" i="110"/>
  <c r="C108" i="110"/>
  <c r="B81" i="110" a="1"/>
  <c r="B108" i="110" a="1"/>
  <c r="B108" i="110" l="1"/>
  <c r="B81" i="110"/>
  <c r="C82" i="110"/>
  <c r="C109" i="110"/>
  <c r="B109" i="110" a="1"/>
  <c r="B82" i="110" a="1"/>
  <c r="B82" i="110" l="1"/>
  <c r="B109" i="110"/>
  <c r="C83" i="110"/>
  <c r="C110" i="110"/>
  <c r="B110" i="110" a="1"/>
  <c r="B83" i="110" a="1"/>
  <c r="B83" i="110" l="1"/>
  <c r="B110" i="110"/>
  <c r="C84" i="110"/>
  <c r="C111" i="110"/>
  <c r="B84" i="110" a="1"/>
  <c r="B111" i="110" a="1"/>
  <c r="B111" i="110" l="1"/>
  <c r="B84" i="110"/>
  <c r="C112" i="110"/>
  <c r="C85" i="110"/>
  <c r="B112" i="110" a="1"/>
  <c r="B85" i="110" a="1"/>
  <c r="B85" i="110" l="1"/>
  <c r="B112" i="110"/>
  <c r="C113" i="110"/>
  <c r="C86" i="110"/>
  <c r="B113" i="110" a="1"/>
  <c r="B86" i="110" a="1"/>
  <c r="B86" i="110" l="1"/>
  <c r="B113" i="110"/>
  <c r="C87" i="110"/>
  <c r="C114" i="110"/>
  <c r="B87" i="110" a="1"/>
  <c r="B114" i="110" a="1"/>
  <c r="B114" i="110" l="1"/>
  <c r="B87" i="110"/>
  <c r="C115" i="110"/>
  <c r="C88" i="110"/>
  <c r="B88" i="110" a="1"/>
  <c r="B115" i="110" a="1"/>
  <c r="B88" i="110" l="1"/>
  <c r="B115" i="110"/>
  <c r="C116" i="110"/>
  <c r="C89" i="110"/>
  <c r="B89" i="110" a="1"/>
  <c r="B116" i="110" a="1"/>
  <c r="B89" i="110" l="1"/>
  <c r="B116" i="110"/>
  <c r="C90" i="110"/>
  <c r="C117" i="110"/>
  <c r="B117" i="110" a="1"/>
  <c r="B90" i="110" a="1"/>
  <c r="B117" i="110" l="1"/>
  <c r="B90" i="110"/>
  <c r="C118" i="110"/>
  <c r="C91" i="110"/>
  <c r="B118" i="110" a="1"/>
  <c r="B91" i="110" a="1"/>
  <c r="B91" i="110" l="1"/>
  <c r="B118" i="110"/>
  <c r="C92" i="110"/>
  <c r="C119" i="110"/>
  <c r="B119" i="110" a="1"/>
  <c r="B92" i="110" a="1"/>
  <c r="B119" i="110" l="1"/>
  <c r="B92" i="110"/>
  <c r="C120" i="110"/>
  <c r="C93" i="110"/>
  <c r="B93" i="110" a="1"/>
  <c r="B120" i="110" a="1"/>
  <c r="B93" i="110" l="1"/>
  <c r="B120" i="110"/>
  <c r="C121" i="110"/>
  <c r="C94" i="110"/>
  <c r="B94" i="110" a="1"/>
  <c r="B121" i="110" a="1"/>
  <c r="B94" i="110" l="1"/>
  <c r="B121" i="110"/>
  <c r="C95" i="110"/>
  <c r="C122" i="110"/>
  <c r="B95" i="110" a="1"/>
  <c r="B122" i="110" a="1"/>
  <c r="B95" i="110" l="1"/>
  <c r="B122" i="110"/>
  <c r="C96" i="110"/>
  <c r="C123" i="110"/>
  <c r="B123" i="110" a="1"/>
  <c r="B96" i="110" a="1"/>
  <c r="B96" i="110" l="1"/>
  <c r="B123" i="110"/>
  <c r="C124" i="110"/>
  <c r="B124" i="110" a="1"/>
  <c r="B124" i="1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<sst xmlns="http://schemas.openxmlformats.org/spreadsheetml/2006/main" count="105" uniqueCount="82">
  <si>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</si>
  <si>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</si>
  <si>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</si>
  <si>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</si>
  <si>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</si>
  <si>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</si>
  <si>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</si>
  <si>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</si>
  <si>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</si>
  <si>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</si>
  <si>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</si>
  <si>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</si>
  <si>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</si>
  <si>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</si>
  <si>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</si>
  <si>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</si>
  <si>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</si>
  <si>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</si>
  <si>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</si>
  <si>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</si>
  <si>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</si>
  <si>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</si>
  <si>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</si>
  <si>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</si>
  <si>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</si>
  <si>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</si>
  <si>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</si>
  <si>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</si>
  <si>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</si>
  <si>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</si>
  <si>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</si>
  <si>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</si>
  <si>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</si>
  <si>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</si>
  <si>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</si>
  <si>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</si>
  <si>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</si>
  <si>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</si>
  <si>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</si>
  <si>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</si>
  <si>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</si>
  <si>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</si>
  <si>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</si>
  <si>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</si>
  <si>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</si>
  <si>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</si>
  <si>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</si>
  <si>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</si>
  <si>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</si>
  <si>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</si>
  <si>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</si>
  <si>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</si>
  <si>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</si>
  <si>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</si>
  <si>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</si>
  <si>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</si>
  <si>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</si>
  <si>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</si>
  <si>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</si>
  <si>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</si>
  <si>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</si>
  <si>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</si>
  <si>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</si>
  <si>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</si>
  <si>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</si>
  <si>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</si>
  <si>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</si>
  <si>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</si>
  <si>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</si>
  <si>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</si>
  <si>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</si>
  <si>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</si>
  <si>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</si>
  <si>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</si>
  <si>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</si>
  <si>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7.27a</t>
  </si>
  <si>
    <t>p_dis_atma</t>
  </si>
  <si>
    <t>p_int_atma</t>
  </si>
  <si>
    <t>t_int_C</t>
  </si>
  <si>
    <t>t_dis_C</t>
  </si>
  <si>
    <t xml:space="preserve"> </t>
  </si>
  <si>
    <t>esp_gas_correct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</si>
</sst>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9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206.59665704622219</c:v>
                </c:pt>
                <c:pt idx="1">
                  <c:v>261.55014150474955</c:v>
                </c:pt>
                <c:pt idx="2">
                  <c:v>265.59999425804273</c:v>
                </c:pt>
                <c:pt idx="3">
                  <c:v>266.44419476792245</c:v>
                </c:pt>
                <c:pt idx="4">
                  <c:v>265.64829139391463</c:v>
                </c:pt>
                <c:pt idx="5">
                  <c:v>263.36970988525701</c:v>
                </c:pt>
                <c:pt idx="6">
                  <c:v>259.05456762249503</c:v>
                </c:pt>
                <c:pt idx="7">
                  <c:v>250.8337260233358</c:v>
                </c:pt>
                <c:pt idx="8">
                  <c:v>237.83655598161752</c:v>
                </c:pt>
                <c:pt idx="9">
                  <c:v>220.94970077804632</c:v>
                </c:pt>
                <c:pt idx="10">
                  <c:v>200.46389650805557</c:v>
                </c:pt>
                <c:pt idx="11">
                  <c:v>174.93248555388936</c:v>
                </c:pt>
                <c:pt idx="12">
                  <c:v>134.82052309749687</c:v>
                </c:pt>
                <c:pt idx="13">
                  <c:v>23.742088136393622</c:v>
                </c:pt>
                <c:pt idx="14">
                  <c:v>10.494968338236662</c:v>
                </c:pt>
                <c:pt idx="15">
                  <c:v>8.1209793050550143</c:v>
                </c:pt>
                <c:pt idx="16">
                  <c:v>7.1595072288854755</c:v>
                </c:pt>
                <c:pt idx="17">
                  <c:v>6.6772937994479982</c:v>
                </c:pt>
                <c:pt idx="18">
                  <c:v>6.4220118906183785</c:v>
                </c:pt>
                <c:pt idx="19">
                  <c:v>6.2863301828262825</c:v>
                </c:pt>
                <c:pt idx="20">
                  <c:v>6.2207461965605448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155.81017749322837</c:v>
                </c:pt>
                <c:pt idx="2">
                  <c:v>118.47170479234285</c:v>
                </c:pt>
                <c:pt idx="3">
                  <c:v>104.2740325748217</c:v>
                </c:pt>
                <c:pt idx="4">
                  <c:v>96.723440054774656</c:v>
                </c:pt>
                <c:pt idx="5">
                  <c:v>92.09578566027966</c:v>
                </c:pt>
                <c:pt idx="6">
                  <c:v>89.106926207855395</c:v>
                </c:pt>
                <c:pt idx="7">
                  <c:v>87.212206563428808</c:v>
                </c:pt>
                <c:pt idx="8">
                  <c:v>86.157626669190762</c:v>
                </c:pt>
                <c:pt idx="9">
                  <c:v>85.722486737541146</c:v>
                </c:pt>
                <c:pt idx="10">
                  <c:v>85.711157868285113</c:v>
                </c:pt>
                <c:pt idx="11">
                  <c:v>86.060208438684541</c:v>
                </c:pt>
                <c:pt idx="12">
                  <c:v>87.046293479592151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18.333622288018326</c:v>
                </c:pt>
                <c:pt idx="1">
                  <c:v>17.88709615029228</c:v>
                </c:pt>
                <c:pt idx="2">
                  <c:v>18.735203893930162</c:v>
                </c:pt>
                <c:pt idx="3">
                  <c:v>21.328960089038596</c:v>
                </c:pt>
                <c:pt idx="4">
                  <c:v>24.990821669790893</c:v>
                </c:pt>
                <c:pt idx="5">
                  <c:v>29.299163662716548</c:v>
                </c:pt>
                <c:pt idx="6">
                  <c:v>34.072158586697206</c:v>
                </c:pt>
                <c:pt idx="7">
                  <c:v>39.26079675160873</c:v>
                </c:pt>
                <c:pt idx="8">
                  <c:v>44.844687458284902</c:v>
                </c:pt>
                <c:pt idx="9">
                  <c:v>50.816604276713811</c:v>
                </c:pt>
                <c:pt idx="10">
                  <c:v>57.209197102947662</c:v>
                </c:pt>
                <c:pt idx="11">
                  <c:v>64.10838413569401</c:v>
                </c:pt>
                <c:pt idx="12">
                  <c:v>71.646191468622305</c:v>
                </c:pt>
                <c:pt idx="13">
                  <c:v>80.0645584154516</c:v>
                </c:pt>
                <c:pt idx="14">
                  <c:v>89.829573853456679</c:v>
                </c:pt>
                <c:pt idx="15">
                  <c:v>102.26328309858354</c:v>
                </c:pt>
                <c:pt idx="16">
                  <c:v>122.55135803557239</c:v>
                </c:pt>
                <c:pt idx="17">
                  <c:v>146.25742256908748</c:v>
                </c:pt>
                <c:pt idx="18">
                  <c:v>170.43126151502906</c:v>
                </c:pt>
                <c:pt idx="19">
                  <c:v>193.64167396006371</c:v>
                </c:pt>
                <c:pt idx="20">
                  <c:v>215.81051705581183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29.189531802331746</c:v>
                </c:pt>
                <c:pt idx="1">
                  <c:v>26.194328870510969</c:v>
                </c:pt>
                <c:pt idx="2">
                  <c:v>18.292427086002242</c:v>
                </c:pt>
                <c:pt idx="3">
                  <c:v>11.787809623470341</c:v>
                </c:pt>
                <c:pt idx="4">
                  <c:v>5.5024316491018288</c:v>
                </c:pt>
                <c:pt idx="5">
                  <c:v>0.53668689405079484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46.971374298639951</c:v>
                </c:pt>
                <c:pt idx="1">
                  <c:v>45.266176689145553</c:v>
                </c:pt>
                <c:pt idx="2">
                  <c:v>41.434896000014334</c:v>
                </c:pt>
                <c:pt idx="3">
                  <c:v>38.815052088362627</c:v>
                </c:pt>
                <c:pt idx="4">
                  <c:v>36.693532856253043</c:v>
                </c:pt>
                <c:pt idx="5">
                  <c:v>35.220809911044711</c:v>
                </c:pt>
                <c:pt idx="6">
                  <c:v>35.00390880505789</c:v>
                </c:pt>
                <c:pt idx="7">
                  <c:v>34.942689804607568</c:v>
                </c:pt>
                <c:pt idx="8">
                  <c:v>34.890831982016749</c:v>
                </c:pt>
                <c:pt idx="9">
                  <c:v>34.847036062427563</c:v>
                </c:pt>
                <c:pt idx="10">
                  <c:v>34.809836725743068</c:v>
                </c:pt>
                <c:pt idx="11">
                  <c:v>34.777624341937873</c:v>
                </c:pt>
                <c:pt idx="12">
                  <c:v>34.750061104459583</c:v>
                </c:pt>
                <c:pt idx="13">
                  <c:v>34.726024690122898</c:v>
                </c:pt>
                <c:pt idx="14">
                  <c:v>34.705016663007527</c:v>
                </c:pt>
                <c:pt idx="15">
                  <c:v>34.686795423580513</c:v>
                </c:pt>
                <c:pt idx="16">
                  <c:v>34.670703409600492</c:v>
                </c:pt>
                <c:pt idx="17">
                  <c:v>34.656636817535677</c:v>
                </c:pt>
                <c:pt idx="18">
                  <c:v>34.644266712016432</c:v>
                </c:pt>
                <c:pt idx="19">
                  <c:v>34.633308554485225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29.189531802331746</c:v>
                </c:pt>
                <c:pt idx="1">
                  <c:v>26.194328870510969</c:v>
                </c:pt>
                <c:pt idx="2">
                  <c:v>18.292427086002242</c:v>
                </c:pt>
                <c:pt idx="3">
                  <c:v>11.787809623470341</c:v>
                </c:pt>
                <c:pt idx="4">
                  <c:v>5.5024316491018288</c:v>
                </c:pt>
                <c:pt idx="5">
                  <c:v>0.53668689405079484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A4" zoomScale="55" zoomScaleNormal="55" workbookViewId="0">
      <selection activeCell="C44" sqref="C44"/>
    </sheetView>
  </sheetViews>
  <sheetFormatPr defaultRowHeight="13.2" x14ac:dyDescent="0.25"/>
  <cols>
    <col min="2" max="2" width="13.21875" customWidth="1"/>
    <col min="3" max="3" width="9.88671875" customWidth="1"/>
    <col min="4" max="4" width="11.5546875" bestFit="1" customWidth="1"/>
    <col min="5" max="5" width="11.33203125" customWidth="1"/>
    <col min="6" max="6" width="13.5546875" customWidth="1"/>
    <col min="7" max="12" width="11.88671875" customWidth="1"/>
    <col min="13" max="13" width="13" customWidth="1"/>
    <col min="14" max="14" width="13.109375" customWidth="1"/>
    <col min="15" max="16" width="11.88671875" customWidth="1"/>
    <col min="17" max="17" width="12.109375" customWidth="1"/>
    <col min="18" max="21" width="11.88671875" customWidth="1"/>
    <col min="22" max="29" width="12.44140625" customWidth="1"/>
    <col min="30" max="30" width="17.44140625" customWidth="1"/>
    <col min="31" max="37" width="12.44140625" customWidth="1"/>
  </cols>
  <sheetData>
    <row r="1" spans="1:12" x14ac:dyDescent="0.25">
      <c r="A1" s="1" t="s">
        <v>13</v>
      </c>
      <c r="F1" t="s">
        <v>14</v>
      </c>
      <c r="G1" t="str">
        <f>[1]!unf_Version()</f>
        <v>7.27a</v>
      </c>
      <c r="H1" t="s">
        <v>52</v>
      </c>
      <c r="I1" s="27">
        <v>44311</v>
      </c>
      <c r="J1" s="20"/>
      <c r="K1" s="20"/>
      <c r="L1" s="20"/>
    </row>
    <row r="2" spans="1:12" x14ac:dyDescent="0.25">
      <c r="A2" t="s">
        <v>69</v>
      </c>
      <c r="H2" t="s">
        <v>53</v>
      </c>
      <c r="I2" s="28" t="s">
        <v>75</v>
      </c>
      <c r="J2" s="20"/>
      <c r="K2" s="20"/>
      <c r="L2" s="20"/>
    </row>
    <row r="3" spans="1:12" ht="14.4" x14ac:dyDescent="0.3">
      <c r="A3" s="29" t="s">
        <v>54</v>
      </c>
      <c r="B3" s="59" t="s">
        <v>55</v>
      </c>
      <c r="C3" s="60"/>
      <c r="D3" s="60"/>
      <c r="E3" s="61"/>
      <c r="H3" t="s">
        <v>56</v>
      </c>
      <c r="I3" s="20" t="s">
        <v>55</v>
      </c>
      <c r="J3" s="20"/>
      <c r="K3" s="20"/>
      <c r="L3" s="20"/>
    </row>
    <row r="4" spans="1:12" ht="14.4" x14ac:dyDescent="0.3">
      <c r="A4" s="29" t="s">
        <v>57</v>
      </c>
      <c r="B4" s="59" t="s">
        <v>58</v>
      </c>
      <c r="C4" s="60"/>
      <c r="D4" s="60"/>
      <c r="E4" s="61"/>
      <c r="H4" t="s">
        <v>59</v>
      </c>
      <c r="I4" s="20" t="s">
        <v>58</v>
      </c>
      <c r="J4" s="20"/>
      <c r="K4" s="20"/>
      <c r="L4" s="20"/>
    </row>
    <row r="5" spans="1:12" ht="14.4" x14ac:dyDescent="0.3">
      <c r="A5" s="29" t="s">
        <v>60</v>
      </c>
      <c r="B5" s="59" t="s">
        <v>61</v>
      </c>
      <c r="C5" s="60"/>
      <c r="D5" s="60"/>
      <c r="E5" s="61"/>
      <c r="H5" t="s">
        <v>62</v>
      </c>
      <c r="I5" s="20" t="s">
        <v>61</v>
      </c>
      <c r="J5" s="20"/>
      <c r="K5" s="20"/>
      <c r="L5" s="20"/>
    </row>
    <row r="6" spans="1:12" x14ac:dyDescent="0.25">
      <c r="A6" s="30" t="s">
        <v>63</v>
      </c>
      <c r="B6" s="62" t="s">
        <v>64</v>
      </c>
      <c r="C6" s="63"/>
      <c r="D6" s="63"/>
      <c r="E6" s="64"/>
      <c r="H6" s="31" t="s">
        <v>65</v>
      </c>
      <c r="I6" s="32" t="s">
        <v>64</v>
      </c>
      <c r="J6" s="32"/>
      <c r="K6" s="32"/>
      <c r="L6" s="32"/>
    </row>
    <row r="7" spans="1:12" x14ac:dyDescent="0.25">
      <c r="A7" s="33"/>
      <c r="B7" s="65"/>
      <c r="C7" s="66"/>
      <c r="D7" s="66"/>
      <c r="E7" s="67"/>
      <c r="H7" s="31"/>
      <c r="I7" s="32"/>
      <c r="J7" s="32"/>
      <c r="K7" s="32"/>
      <c r="L7" s="32"/>
    </row>
    <row r="8" spans="1:12" x14ac:dyDescent="0.25">
      <c r="A8" s="34"/>
      <c r="B8" s="68"/>
      <c r="C8" s="69"/>
      <c r="D8" s="69"/>
      <c r="E8" s="70"/>
      <c r="H8" s="31"/>
      <c r="I8" s="32"/>
      <c r="J8" s="32"/>
      <c r="K8" s="32"/>
      <c r="L8" s="32"/>
    </row>
    <row r="10" spans="1:12" x14ac:dyDescent="0.25">
      <c r="A10" s="1" t="s">
        <v>8</v>
      </c>
    </row>
    <row r="11" spans="1:12" ht="16.8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8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8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8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8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6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6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8" x14ac:dyDescent="0.35">
      <c r="B18" s="13" t="s">
        <v>28</v>
      </c>
      <c r="C18" s="2">
        <v>1.2</v>
      </c>
      <c r="D18" s="12" t="s">
        <v>20</v>
      </c>
    </row>
    <row r="19" spans="1:30" ht="15.6" x14ac:dyDescent="0.35">
      <c r="B19" s="22" t="s">
        <v>48</v>
      </c>
      <c r="C19" s="2">
        <v>1</v>
      </c>
      <c r="D19" s="12" t="s">
        <v>47</v>
      </c>
    </row>
    <row r="20" spans="1:30" x14ac:dyDescent="0.25">
      <c r="B20" s="3"/>
      <c r="C20" s="4"/>
    </row>
    <row r="21" spans="1:30" ht="15.6" x14ac:dyDescent="0.35">
      <c r="B21" s="15" t="s">
        <v>32</v>
      </c>
      <c r="C21" s="2">
        <v>30</v>
      </c>
      <c r="D21" s="23" t="s">
        <v>3</v>
      </c>
    </row>
    <row r="22" spans="1:30" ht="15.6" x14ac:dyDescent="0.35">
      <c r="B22" s="15" t="s">
        <v>35</v>
      </c>
      <c r="C22" s="2">
        <v>10</v>
      </c>
      <c r="D22" s="23" t="s">
        <v>34</v>
      </c>
    </row>
    <row r="23" spans="1:30" x14ac:dyDescent="0.25">
      <c r="A23" s="1" t="s">
        <v>46</v>
      </c>
    </row>
    <row r="24" spans="1:30" ht="15.6" x14ac:dyDescent="0.35">
      <c r="B24" s="16" t="s">
        <v>39</v>
      </c>
      <c r="C24" s="2">
        <v>60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.6" x14ac:dyDescent="0.35">
      <c r="B25" s="16" t="s">
        <v>40</v>
      </c>
      <c r="C25" s="2">
        <v>2000</v>
      </c>
      <c r="D25" s="16" t="s">
        <v>4</v>
      </c>
      <c r="W25" t="e">
        <f ca="1">Q24</f>
        <v>#NAME?</v>
      </c>
    </row>
    <row r="26" spans="1:30" x14ac:dyDescent="0.25">
      <c r="B26" s="16" t="s">
        <v>36</v>
      </c>
      <c r="C26" s="2">
        <v>55</v>
      </c>
      <c r="D26" s="16" t="s">
        <v>5</v>
      </c>
    </row>
    <row r="27" spans="1:30" x14ac:dyDescent="0.25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25">
      <c r="B28" s="16" t="s">
        <v>38</v>
      </c>
      <c r="C28" s="11" t="str" cm="1">
        <f t="array" ref="C28">[1]!ESP_name(PumpID_)</f>
        <v>ЭЦН5-80</v>
      </c>
      <c r="D28" s="16"/>
    </row>
    <row r="29" spans="1:30" ht="15.6" x14ac:dyDescent="0.35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25">
      <c r="B30" s="16" t="s">
        <v>9</v>
      </c>
      <c r="C30" s="47" cm="1">
        <f t="array" ref="C30">INT(Head_ESP_/[1]!ESP_head_m(Q_ESP_,1,,PumpID_))</f>
        <v>307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6" x14ac:dyDescent="0.35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{"gamma_gas":0.8,"gamma_oil":0.9,"gamma_wat":1,"rsb_m3m3":80,"pb_atma":120,"t_res_C":100,"bob_m3m3":1.2,"muob_cP":1,"q_liq_sm3day":30,"fw_perc":10,"rp_m3m3":80}</v>
      </c>
    </row>
    <row r="32" spans="1:30" ht="15.6" x14ac:dyDescent="0.35">
      <c r="B32" s="16" t="s">
        <v>43</v>
      </c>
      <c r="C32" s="7">
        <v>80</v>
      </c>
      <c r="D32" s="16" t="s">
        <v>1</v>
      </c>
    </row>
    <row r="33" spans="1:19" ht="15.6" x14ac:dyDescent="0.35">
      <c r="B33" s="16" t="s">
        <v>44</v>
      </c>
      <c r="C33" s="7">
        <v>80</v>
      </c>
      <c r="D33" s="16" t="s">
        <v>2</v>
      </c>
    </row>
    <row r="34" spans="1:19" ht="14.4" x14ac:dyDescent="0.3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">[1]!decode_json(O43)</f>
        <v>error</v>
      </c>
    </row>
    <row r="35" spans="1:19" x14ac:dyDescent="0.25">
      <c r="A35" t="s">
        <v>51</v>
      </c>
      <c r="L35" s="12" t="s">
        <v>72</v>
      </c>
      <c r="M35" s="55">
        <v>1</v>
      </c>
    </row>
    <row r="36" spans="1:19" x14ac:dyDescent="0.25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</row>
    <row r="37" spans="1:19" x14ac:dyDescent="0.25">
      <c r="A37" s="1"/>
      <c r="L37" s="12" t="s">
        <v>74</v>
      </c>
      <c r="M37" s="55">
        <v>1</v>
      </c>
    </row>
    <row r="38" spans="1:19" x14ac:dyDescent="0.25">
      <c r="A38" s="1" t="s">
        <v>46</v>
      </c>
      <c r="B38" s="3"/>
      <c r="C38" s="4"/>
      <c r="L38" s="71" t="s">
        <v>81</v>
      </c>
      <c r="M38" s="20">
        <v>20</v>
      </c>
    </row>
    <row r="39" spans="1:19" ht="12.75" customHeight="1" x14ac:dyDescent="0.35">
      <c r="B39" s="15" t="s">
        <v>30</v>
      </c>
      <c r="C39" s="2">
        <v>70</v>
      </c>
      <c r="D39" s="16" t="s">
        <v>1</v>
      </c>
      <c r="F39" s="46" t="s">
        <v>67</v>
      </c>
      <c r="G39" s="2">
        <v>1</v>
      </c>
    </row>
    <row r="40" spans="1:19" ht="15.6" x14ac:dyDescent="0.35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.6" x14ac:dyDescent="0.35">
      <c r="B41" s="15" t="s">
        <v>33</v>
      </c>
      <c r="C41" s="2">
        <v>150</v>
      </c>
      <c r="D41" s="16" t="s">
        <v>1</v>
      </c>
      <c r="F41" t="s">
        <v>66</v>
      </c>
    </row>
    <row r="42" spans="1:19" ht="15.6" x14ac:dyDescent="0.35">
      <c r="B42" s="15" t="s">
        <v>49</v>
      </c>
      <c r="C42" s="2">
        <v>90</v>
      </c>
      <c r="D42" s="23" t="s">
        <v>2</v>
      </c>
    </row>
    <row r="43" spans="1:19" x14ac:dyDescent="0.25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[1]!ESP_p_atma(Pintake_,Tintake_,Tdis_,J31,PumpID_,NumStage_,Freq_,,,,,gas_degr_type_,1,L40)</f>
        <v>267.48844961301631</v>
      </c>
      <c r="G43" s="41">
        <v>70</v>
      </c>
      <c r="H43" s="41">
        <v>80</v>
      </c>
      <c r="I43" s="41">
        <v>267.48844961301631</v>
      </c>
      <c r="J43" s="41">
        <v>89.999999999999801</v>
      </c>
      <c r="K43" s="41">
        <v>2486.2276317113574</v>
      </c>
      <c r="L43" s="41">
        <v>26.577128342533008</v>
      </c>
      <c r="M43" s="41">
        <v>8316.9224669698579</v>
      </c>
      <c r="N43" s="41">
        <v>31293.533145414276</v>
      </c>
      <c r="O43" s="73">
        <v>1</v>
      </c>
      <c r="P43" s="74" t="str">
        <v>["CESPpump start:","{\"gas_correct_model\" :0, \"gas_correct_stage_by_stage\" : 1, \"dnum_stages_integrate\" : 10, \"calc_from_dis\": 0}","{\"gas_correct_intake\" :1,000, \"gas_frac_intake\" :0,292}","calc_integration calc done in 15,625 ms"]</v>
      </c>
    </row>
    <row r="44" spans="1:19" ht="26.4" x14ac:dyDescent="0.25">
      <c r="B44" s="15" t="s">
        <v>68</v>
      </c>
      <c r="C44" s="2">
        <v>10</v>
      </c>
      <c r="F44" s="75" t="str">
        <v>p_dis_atma</v>
      </c>
      <c r="G44" s="72" t="str">
        <v>p_int_atma</v>
      </c>
      <c r="H44" s="72" t="str">
        <v>t_int_C</v>
      </c>
      <c r="I44" s="72" t="str">
        <v>p_dis_atma</v>
      </c>
      <c r="J44" s="72" t="str">
        <v>t_dis_C</v>
      </c>
      <c r="K44" s="72" t="str">
        <v>head_m</v>
      </c>
      <c r="L44" s="72" t="str">
        <v>eff_ESP_d, %</v>
      </c>
      <c r="M44" s="72" t="str">
        <v>power_fluid_W</v>
      </c>
      <c r="N44" s="72" t="str">
        <v>power_ESP_W</v>
      </c>
      <c r="O44" s="72" t="str">
        <v>gas_correction</v>
      </c>
      <c r="P44" s="76" t="str">
        <v>log</v>
      </c>
    </row>
    <row r="45" spans="1:19" x14ac:dyDescent="0.25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76" t="str">
        <v>gas correction, %</v>
      </c>
    </row>
    <row r="46" spans="1:19" x14ac:dyDescent="0.25">
      <c r="F46" s="51">
        <v>0</v>
      </c>
      <c r="G46" s="45">
        <v>1015.35</v>
      </c>
      <c r="H46" s="45">
        <v>70</v>
      </c>
      <c r="I46" s="45">
        <v>80</v>
      </c>
      <c r="J46" s="45">
        <v>29.189531802331746</v>
      </c>
      <c r="K46" s="45">
        <v>46.971374298639951</v>
      </c>
      <c r="L46" s="45">
        <v>0</v>
      </c>
      <c r="M46" s="45">
        <v>0</v>
      </c>
      <c r="N46" s="45">
        <v>0</v>
      </c>
      <c r="O46" s="44">
        <v>0.95777688526496951</v>
      </c>
      <c r="P46" s="77">
        <v>100</v>
      </c>
    </row>
    <row r="47" spans="1:19" x14ac:dyDescent="0.25">
      <c r="F47" s="51">
        <v>16.157894736842106</v>
      </c>
      <c r="G47" s="45">
        <v>1014.542105263158</v>
      </c>
      <c r="H47" s="45">
        <v>78.13279778744085</v>
      </c>
      <c r="I47" s="45">
        <v>80.526315789473642</v>
      </c>
      <c r="J47" s="45">
        <v>26.194328870510969</v>
      </c>
      <c r="K47" s="45">
        <v>45.266176689145553</v>
      </c>
      <c r="L47" s="45">
        <v>435.30916402555442</v>
      </c>
      <c r="M47" s="45">
        <v>1308.5118263114416</v>
      </c>
      <c r="N47" s="45">
        <v>33.285224689618822</v>
      </c>
      <c r="O47" s="44">
        <v>0.96124642461464216</v>
      </c>
      <c r="P47" s="77">
        <v>100</v>
      </c>
    </row>
    <row r="48" spans="1:19" x14ac:dyDescent="0.25">
      <c r="F48" s="51">
        <v>32.315789473684212</v>
      </c>
      <c r="G48" s="45">
        <v>1013.7342105263158</v>
      </c>
      <c r="H48" s="45">
        <v>87.011291994718363</v>
      </c>
      <c r="I48" s="45">
        <v>81.052631578947313</v>
      </c>
      <c r="J48" s="45">
        <v>18.292427086002242</v>
      </c>
      <c r="K48" s="45">
        <v>41.434896000014334</v>
      </c>
      <c r="L48" s="45">
        <v>871.74831545656616</v>
      </c>
      <c r="M48" s="45">
        <v>2728.7146069196947</v>
      </c>
      <c r="N48" s="45">
        <v>32.008554968393874</v>
      </c>
      <c r="O48" s="44">
        <v>0.96442452133424039</v>
      </c>
      <c r="P48" s="77">
        <v>100</v>
      </c>
    </row>
    <row r="49" spans="6:16" x14ac:dyDescent="0.25">
      <c r="F49" s="51">
        <v>48.473684210526315</v>
      </c>
      <c r="G49" s="45">
        <v>1012.9263157894737</v>
      </c>
      <c r="H49" s="45">
        <v>96.48860798516688</v>
      </c>
      <c r="I49" s="45">
        <v>81.578947368420984</v>
      </c>
      <c r="J49" s="45">
        <v>11.787809623470341</v>
      </c>
      <c r="K49" s="45">
        <v>38.815052088362627</v>
      </c>
      <c r="L49" s="45">
        <v>1308.8727263973074</v>
      </c>
      <c r="M49" s="45">
        <v>4238.6367514437861</v>
      </c>
      <c r="N49" s="45">
        <v>30.897448369350034</v>
      </c>
      <c r="O49" s="44">
        <v>0.96145816497579506</v>
      </c>
      <c r="P49" s="77">
        <v>100</v>
      </c>
    </row>
    <row r="50" spans="6:16" x14ac:dyDescent="0.25">
      <c r="F50" s="51">
        <v>64.631578947368425</v>
      </c>
      <c r="G50" s="45">
        <v>1012.1184210526316</v>
      </c>
      <c r="H50" s="45">
        <v>106.56426820667539</v>
      </c>
      <c r="I50" s="45">
        <v>82.105263157894669</v>
      </c>
      <c r="J50" s="45">
        <v>5.5024316491018288</v>
      </c>
      <c r="K50" s="45">
        <v>36.693532856253043</v>
      </c>
      <c r="L50" s="45">
        <v>1746.5393444371352</v>
      </c>
      <c r="M50" s="45">
        <v>5838.1365390476149</v>
      </c>
      <c r="N50" s="45">
        <v>29.933851312776376</v>
      </c>
      <c r="O50" s="44">
        <v>0.95347493185838639</v>
      </c>
      <c r="P50" s="77">
        <v>100</v>
      </c>
    </row>
    <row r="51" spans="6:16" x14ac:dyDescent="0.25">
      <c r="F51" s="51">
        <v>80.789473684210535</v>
      </c>
      <c r="G51" s="45">
        <v>1011.3105263157895</v>
      </c>
      <c r="H51" s="45">
        <v>117.11110025463974</v>
      </c>
      <c r="I51" s="45">
        <v>82.63157894736834</v>
      </c>
      <c r="J51" s="45">
        <v>0.53668689405079484</v>
      </c>
      <c r="K51" s="45">
        <v>35.220809911044711</v>
      </c>
      <c r="L51" s="45">
        <v>2184.5626325239464</v>
      </c>
      <c r="M51" s="45">
        <v>7508.0849280462153</v>
      </c>
      <c r="N51" s="45">
        <v>29.109935762026801</v>
      </c>
      <c r="O51" s="44">
        <v>0.94783604723806092</v>
      </c>
      <c r="P51" s="77">
        <v>100</v>
      </c>
    </row>
    <row r="52" spans="6:16" x14ac:dyDescent="0.25">
      <c r="F52" s="51">
        <v>96.94736842105263</v>
      </c>
      <c r="G52" s="45">
        <v>1010.5026315789474</v>
      </c>
      <c r="H52" s="45">
        <v>127.7777257544231</v>
      </c>
      <c r="I52" s="45">
        <v>83.15789473684201</v>
      </c>
      <c r="J52" s="45">
        <v>0</v>
      </c>
      <c r="K52" s="45">
        <v>35.00390880505789</v>
      </c>
      <c r="L52" s="45">
        <v>2622.6448571386541</v>
      </c>
      <c r="M52" s="45">
        <v>9195.9265624976852</v>
      </c>
      <c r="N52" s="45">
        <v>28.519833104607233</v>
      </c>
      <c r="O52" s="44">
        <v>0.96512557385399289</v>
      </c>
      <c r="P52" s="77">
        <v>100</v>
      </c>
    </row>
    <row r="53" spans="6:16" x14ac:dyDescent="0.25">
      <c r="F53" s="51">
        <v>113.10526315789474</v>
      </c>
      <c r="G53" s="45">
        <v>1009.6947368421053</v>
      </c>
      <c r="H53" s="45">
        <v>138.4652199860881</v>
      </c>
      <c r="I53" s="45">
        <v>83.684210526315695</v>
      </c>
      <c r="J53" s="45">
        <v>0</v>
      </c>
      <c r="K53" s="45">
        <v>34.942689804607568</v>
      </c>
      <c r="L53" s="45">
        <v>3060.7098752879397</v>
      </c>
      <c r="M53" s="45">
        <v>10886.878091763292</v>
      </c>
      <c r="N53" s="45">
        <v>28.118758697531899</v>
      </c>
      <c r="O53" s="44">
        <v>0.98660340697200877</v>
      </c>
      <c r="P53" s="77">
        <v>100</v>
      </c>
    </row>
    <row r="54" spans="6:16" x14ac:dyDescent="0.25">
      <c r="F54" s="51">
        <v>129.26315789473685</v>
      </c>
      <c r="G54" s="45">
        <v>1008.8868421052632</v>
      </c>
      <c r="H54" s="45">
        <v>149.16776055165553</v>
      </c>
      <c r="I54" s="45">
        <v>84.210526315789366</v>
      </c>
      <c r="J54" s="45">
        <v>0</v>
      </c>
      <c r="K54" s="45">
        <v>34.890831982016749</v>
      </c>
      <c r="L54" s="45">
        <v>3498.7627877627219</v>
      </c>
      <c r="M54" s="45">
        <v>12580.0717902534</v>
      </c>
      <c r="N54" s="45">
        <v>27.814233549729835</v>
      </c>
      <c r="O54" s="44">
        <v>1.009706156257473</v>
      </c>
      <c r="P54" s="77">
        <v>100</v>
      </c>
    </row>
    <row r="55" spans="6:16" x14ac:dyDescent="0.25">
      <c r="F55" s="51">
        <v>145.42105263157896</v>
      </c>
      <c r="G55" s="45">
        <v>1008.078947368421</v>
      </c>
      <c r="H55" s="45">
        <v>159.88404048574017</v>
      </c>
      <c r="I55" s="45">
        <v>84.736842105263037</v>
      </c>
      <c r="J55" s="45">
        <v>0</v>
      </c>
      <c r="K55" s="45">
        <v>34.847036062427563</v>
      </c>
      <c r="L55" s="45">
        <v>3936.8049006078368</v>
      </c>
      <c r="M55" s="45">
        <v>14275.312866204553</v>
      </c>
      <c r="N55" s="45">
        <v>27.579036542698226</v>
      </c>
      <c r="O55" s="44">
        <v>1.0344301073725264</v>
      </c>
      <c r="P55" s="77">
        <v>100</v>
      </c>
    </row>
    <row r="56" spans="6:16" x14ac:dyDescent="0.25">
      <c r="F56" s="51">
        <v>161.57894736842107</v>
      </c>
      <c r="G56" s="45">
        <v>1007.271052631579</v>
      </c>
      <c r="H56" s="45">
        <v>170.61224980675431</v>
      </c>
      <c r="I56" s="45">
        <v>85.263157894736722</v>
      </c>
      <c r="J56" s="45">
        <v>0</v>
      </c>
      <c r="K56" s="45">
        <v>34.809836725743068</v>
      </c>
      <c r="L56" s="45">
        <v>4374.8379138146365</v>
      </c>
      <c r="M56" s="45">
        <v>15972.331591372777</v>
      </c>
      <c r="N56" s="45">
        <v>27.391802987502018</v>
      </c>
      <c r="O56" s="44">
        <v>1.0607037317249859</v>
      </c>
      <c r="P56" s="77">
        <v>100</v>
      </c>
    </row>
    <row r="57" spans="6:16" x14ac:dyDescent="0.25">
      <c r="F57" s="51">
        <v>177.73684210526318</v>
      </c>
      <c r="G57" s="45">
        <v>1006.4631578947368</v>
      </c>
      <c r="H57" s="45">
        <v>181.34991298732592</v>
      </c>
      <c r="I57" s="45">
        <v>85.789473684210392</v>
      </c>
      <c r="J57" s="45">
        <v>0</v>
      </c>
      <c r="K57" s="45">
        <v>34.777624341937873</v>
      </c>
      <c r="L57" s="45">
        <v>4812.8639406120865</v>
      </c>
      <c r="M57" s="45">
        <v>17670.759080716336</v>
      </c>
      <c r="N57" s="45">
        <v>27.236653566458045</v>
      </c>
      <c r="O57" s="44">
        <v>1.0883106438072097</v>
      </c>
      <c r="P57" s="77">
        <v>100</v>
      </c>
    </row>
    <row r="58" spans="6:16" x14ac:dyDescent="0.25">
      <c r="F58" s="51">
        <v>193.89473684210526</v>
      </c>
      <c r="G58" s="45">
        <v>1005.6552631578948</v>
      </c>
      <c r="H58" s="45">
        <v>192.09677887531834</v>
      </c>
      <c r="I58" s="45">
        <v>86.315789473684063</v>
      </c>
      <c r="J58" s="45">
        <v>0</v>
      </c>
      <c r="K58" s="45">
        <v>34.750061104459583</v>
      </c>
      <c r="L58" s="45">
        <v>5250.8834304362381</v>
      </c>
      <c r="M58" s="45">
        <v>19370.557926827747</v>
      </c>
      <c r="N58" s="45">
        <v>27.108417002784684</v>
      </c>
      <c r="O58" s="44">
        <v>1.1173247805150557</v>
      </c>
      <c r="P58" s="77">
        <v>100</v>
      </c>
    </row>
    <row r="59" spans="6:16" x14ac:dyDescent="0.25">
      <c r="F59" s="51">
        <v>210.05263157894737</v>
      </c>
      <c r="G59" s="45">
        <v>1004.8473684210527</v>
      </c>
      <c r="H59" s="45">
        <v>202.85090571389915</v>
      </c>
      <c r="I59" s="45">
        <v>86.842105263157748</v>
      </c>
      <c r="J59" s="45">
        <v>0</v>
      </c>
      <c r="K59" s="45">
        <v>34.726024690122898</v>
      </c>
      <c r="L59" s="45">
        <v>5688.8980198017798</v>
      </c>
      <c r="M59" s="45">
        <v>21071.438803486992</v>
      </c>
      <c r="N59" s="45">
        <v>26.998799708589644</v>
      </c>
      <c r="O59" s="44">
        <v>1.1475408433164991</v>
      </c>
      <c r="P59" s="77">
        <v>100</v>
      </c>
    </row>
    <row r="60" spans="6:16" x14ac:dyDescent="0.25">
      <c r="F60" s="51">
        <v>226.21052631578948</v>
      </c>
      <c r="G60" s="45">
        <v>1004.0394736842105</v>
      </c>
      <c r="H60" s="45">
        <v>213.61145320394183</v>
      </c>
      <c r="I60" s="45">
        <v>87.368421052631419</v>
      </c>
      <c r="J60" s="45">
        <v>0</v>
      </c>
      <c r="K60" s="45">
        <v>34.705016663007527</v>
      </c>
      <c r="L60" s="45">
        <v>6126.9085093870908</v>
      </c>
      <c r="M60" s="45">
        <v>22773.276521088803</v>
      </c>
      <c r="N60" s="45">
        <v>26.904128851411063</v>
      </c>
      <c r="O60" s="44">
        <v>1.1788900817535903</v>
      </c>
      <c r="P60" s="77">
        <v>100</v>
      </c>
    </row>
    <row r="61" spans="6:16" x14ac:dyDescent="0.25">
      <c r="F61" s="51">
        <v>242.36842105263159</v>
      </c>
      <c r="G61" s="45">
        <v>1003.2315789473685</v>
      </c>
      <c r="H61" s="45">
        <v>224.37808008437909</v>
      </c>
      <c r="I61" s="45">
        <v>87.894736842105104</v>
      </c>
      <c r="J61" s="45">
        <v>0</v>
      </c>
      <c r="K61" s="45">
        <v>34.686795423580513</v>
      </c>
      <c r="L61" s="45">
        <v>6564.9154173470497</v>
      </c>
      <c r="M61" s="45">
        <v>24476.020270914614</v>
      </c>
      <c r="N61" s="45">
        <v>26.822336107271376</v>
      </c>
      <c r="O61" s="44">
        <v>1.2113871259994442</v>
      </c>
      <c r="P61" s="77">
        <v>100</v>
      </c>
    </row>
    <row r="62" spans="6:16" x14ac:dyDescent="0.25">
      <c r="F62" s="51">
        <v>258.5263157894737</v>
      </c>
      <c r="G62" s="45">
        <v>1002.4236842105263</v>
      </c>
      <c r="H62" s="45">
        <v>235.14945623394138</v>
      </c>
      <c r="I62" s="45">
        <v>88.421052631578775</v>
      </c>
      <c r="J62" s="45">
        <v>0</v>
      </c>
      <c r="K62" s="45">
        <v>34.670703409600492</v>
      </c>
      <c r="L62" s="45">
        <v>7002.9197934223439</v>
      </c>
      <c r="M62" s="45">
        <v>26179.471867321496</v>
      </c>
      <c r="N62" s="45">
        <v>26.749873601006165</v>
      </c>
      <c r="O62" s="44">
        <v>1.2448341203502844</v>
      </c>
      <c r="P62" s="77">
        <v>100</v>
      </c>
    </row>
    <row r="63" spans="6:16" x14ac:dyDescent="0.25">
      <c r="F63" s="51">
        <v>274.68421052631578</v>
      </c>
      <c r="G63" s="45">
        <v>1001.6157894736842</v>
      </c>
      <c r="H63" s="45">
        <v>245.92542741749247</v>
      </c>
      <c r="I63" s="45">
        <v>88.947368421052445</v>
      </c>
      <c r="J63" s="45">
        <v>0</v>
      </c>
      <c r="K63" s="45">
        <v>34.656636817535677</v>
      </c>
      <c r="L63" s="45">
        <v>7440.9220131908141</v>
      </c>
      <c r="M63" s="45">
        <v>27883.608377681918</v>
      </c>
      <c r="N63" s="45">
        <v>26.685906011100478</v>
      </c>
      <c r="O63" s="44">
        <v>1.2792464000966632</v>
      </c>
      <c r="P63" s="77">
        <v>100</v>
      </c>
    </row>
    <row r="64" spans="6:16" x14ac:dyDescent="0.25">
      <c r="F64" s="51">
        <v>290.84210526315792</v>
      </c>
      <c r="G64" s="45">
        <v>1000.8078947368422</v>
      </c>
      <c r="H64" s="45">
        <v>256.70530129679815</v>
      </c>
      <c r="I64" s="45">
        <v>89.47368421052613</v>
      </c>
      <c r="J64" s="45">
        <v>0</v>
      </c>
      <c r="K64" s="45">
        <v>34.644266712016432</v>
      </c>
      <c r="L64" s="45">
        <v>7878.9227288469856</v>
      </c>
      <c r="M64" s="45">
        <v>29588.326669682217</v>
      </c>
      <c r="N64" s="45">
        <v>26.628764162691908</v>
      </c>
      <c r="O64" s="44">
        <v>1.3145171855178326</v>
      </c>
      <c r="P64" s="77">
        <v>100</v>
      </c>
    </row>
    <row r="65" spans="2:35" x14ac:dyDescent="0.25">
      <c r="F65" s="52">
        <v>307</v>
      </c>
      <c r="G65" s="48">
        <v>1000</v>
      </c>
      <c r="H65" s="48">
        <v>267.48844961301631</v>
      </c>
      <c r="I65" s="48">
        <v>89.999999999999801</v>
      </c>
      <c r="J65" s="48">
        <v>0</v>
      </c>
      <c r="K65" s="48">
        <v>34.633308554485225</v>
      </c>
      <c r="L65" s="48">
        <v>8316.9224669698579</v>
      </c>
      <c r="M65" s="48">
        <v>31293.533145414276</v>
      </c>
      <c r="N65" s="48">
        <v>26.577128342533008</v>
      </c>
      <c r="O65" s="49">
        <v>1.3505321428945745</v>
      </c>
      <c r="P65" s="78">
        <v>100</v>
      </c>
    </row>
    <row r="68" spans="2:35" x14ac:dyDescent="0.25">
      <c r="G68" s="36"/>
    </row>
    <row r="69" spans="2:35" x14ac:dyDescent="0.25">
      <c r="G69" s="36"/>
    </row>
    <row r="70" spans="2:35" x14ac:dyDescent="0.25">
      <c r="G70" s="36"/>
    </row>
    <row r="71" spans="2:35" x14ac:dyDescent="0.25">
      <c r="G71" s="36"/>
    </row>
    <row r="72" spans="2:35" x14ac:dyDescent="0.25">
      <c r="G72" s="36"/>
    </row>
    <row r="73" spans="2:35" x14ac:dyDescent="0.25">
      <c r="C73" s="4"/>
      <c r="K73" t="s">
        <v>80</v>
      </c>
    </row>
    <row r="74" spans="2:35" x14ac:dyDescent="0.25">
      <c r="C74" s="4"/>
      <c r="D74" s="56" t="s">
        <v>10</v>
      </c>
      <c r="E74" s="57"/>
      <c r="F74" s="57"/>
      <c r="G74" s="57"/>
      <c r="H74" s="58"/>
      <c r="AI74" t="s">
        <v>70</v>
      </c>
    </row>
    <row r="75" spans="2:35" x14ac:dyDescent="0.25">
      <c r="C75" s="18" t="s">
        <v>0</v>
      </c>
      <c r="D75" s="19" t="s">
        <v>76</v>
      </c>
      <c r="E75" s="19" t="s">
        <v>77</v>
      </c>
      <c r="F75" s="19" t="s">
        <v>78</v>
      </c>
      <c r="G75" s="19" t="s">
        <v>76</v>
      </c>
      <c r="H75" s="19" t="s">
        <v>79</v>
      </c>
    </row>
    <row r="76" spans="2:35" x14ac:dyDescent="0.2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206.59665704622219</v>
      </c>
      <c r="E76" s="26">
        <v>70</v>
      </c>
      <c r="F76" s="26">
        <v>80</v>
      </c>
      <c r="G76" s="26">
        <v>206.59665704622219</v>
      </c>
      <c r="H76" s="50">
        <v>299</v>
      </c>
    </row>
    <row r="77" spans="2:35" x14ac:dyDescent="0.2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261.55014150474955</v>
      </c>
      <c r="E77" s="26">
        <v>70</v>
      </c>
      <c r="F77" s="26">
        <v>80</v>
      </c>
      <c r="G77" s="26">
        <v>261.55014150474955</v>
      </c>
      <c r="H77" s="50">
        <v>155.81017749322837</v>
      </c>
    </row>
    <row r="78" spans="2:35" x14ac:dyDescent="0.2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265.59999425804273</v>
      </c>
      <c r="E78" s="26">
        <v>70</v>
      </c>
      <c r="F78" s="26">
        <v>80</v>
      </c>
      <c r="G78" s="26">
        <v>265.59999425804273</v>
      </c>
      <c r="H78" s="50">
        <v>118.47170479234285</v>
      </c>
    </row>
    <row r="79" spans="2:35" x14ac:dyDescent="0.2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266.44419476792245</v>
      </c>
      <c r="E79" s="26">
        <v>70</v>
      </c>
      <c r="F79" s="26">
        <v>80</v>
      </c>
      <c r="G79" s="26">
        <v>266.44419476792245</v>
      </c>
      <c r="H79" s="50">
        <v>104.2740325748217</v>
      </c>
    </row>
    <row r="80" spans="2:35" x14ac:dyDescent="0.2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265.64829139391463</v>
      </c>
      <c r="E80" s="26">
        <v>70</v>
      </c>
      <c r="F80" s="26">
        <v>80</v>
      </c>
      <c r="G80" s="26">
        <v>265.64829139391463</v>
      </c>
      <c r="H80" s="50">
        <v>96.723440054774656</v>
      </c>
    </row>
    <row r="81" spans="2:36" x14ac:dyDescent="0.2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263.36970988525701</v>
      </c>
      <c r="E81" s="26">
        <v>70</v>
      </c>
      <c r="F81" s="26">
        <v>80</v>
      </c>
      <c r="G81" s="26">
        <v>263.36970988525701</v>
      </c>
      <c r="H81" s="50">
        <v>92.09578566027966</v>
      </c>
    </row>
    <row r="82" spans="2:36" x14ac:dyDescent="0.2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259.05456762249503</v>
      </c>
      <c r="E82" s="26">
        <v>70</v>
      </c>
      <c r="F82" s="26">
        <v>80</v>
      </c>
      <c r="G82" s="26">
        <v>259.05456762249503</v>
      </c>
      <c r="H82" s="50">
        <v>89.106926207855395</v>
      </c>
    </row>
    <row r="83" spans="2:36" x14ac:dyDescent="0.2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250.8337260233358</v>
      </c>
      <c r="E83" s="26">
        <v>70</v>
      </c>
      <c r="F83" s="26">
        <v>80</v>
      </c>
      <c r="G83" s="26">
        <v>250.8337260233358</v>
      </c>
      <c r="H83" s="50">
        <v>87.212206563428808</v>
      </c>
    </row>
    <row r="84" spans="2:36" x14ac:dyDescent="0.2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237.83655598161752</v>
      </c>
      <c r="E84" s="26">
        <v>70</v>
      </c>
      <c r="F84" s="26">
        <v>80</v>
      </c>
      <c r="G84" s="26">
        <v>237.83655598161752</v>
      </c>
      <c r="H84" s="50">
        <v>86.157626669190762</v>
      </c>
    </row>
    <row r="85" spans="2:36" x14ac:dyDescent="0.2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220.94970077804632</v>
      </c>
      <c r="E85" s="26">
        <v>70</v>
      </c>
      <c r="F85" s="26">
        <v>80</v>
      </c>
      <c r="G85" s="26">
        <v>220.94970077804632</v>
      </c>
      <c r="H85" s="50">
        <v>85.722486737541146</v>
      </c>
      <c r="AJ85" s="35"/>
    </row>
    <row r="86" spans="2:36" x14ac:dyDescent="0.2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200.46389650805557</v>
      </c>
      <c r="E86" s="26">
        <v>70</v>
      </c>
      <c r="F86" s="26">
        <v>80</v>
      </c>
      <c r="G86" s="26">
        <v>200.46389650805557</v>
      </c>
      <c r="H86" s="50">
        <v>85.711157868285113</v>
      </c>
      <c r="AJ86" s="35"/>
    </row>
    <row r="87" spans="2:36" x14ac:dyDescent="0.2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174.93248555388936</v>
      </c>
      <c r="E87" s="26">
        <v>70</v>
      </c>
      <c r="F87" s="26">
        <v>80</v>
      </c>
      <c r="G87" s="26">
        <v>174.93248555388936</v>
      </c>
      <c r="H87" s="50">
        <v>86.060208438684541</v>
      </c>
      <c r="AJ87" s="35"/>
    </row>
    <row r="88" spans="2:36" x14ac:dyDescent="0.2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134.82052309749687</v>
      </c>
      <c r="E88" s="26">
        <v>70</v>
      </c>
      <c r="F88" s="26">
        <v>80</v>
      </c>
      <c r="G88" s="26">
        <v>134.82052309749687</v>
      </c>
      <c r="H88" s="50">
        <v>87.046293479592151</v>
      </c>
      <c r="AJ88" s="35"/>
    </row>
    <row r="89" spans="2:36" x14ac:dyDescent="0.2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23.742088136393622</v>
      </c>
      <c r="E89" s="26">
        <v>70</v>
      </c>
      <c r="F89" s="26">
        <v>80</v>
      </c>
      <c r="G89" s="26">
        <v>23.742088136393622</v>
      </c>
      <c r="H89" s="50">
        <v>80</v>
      </c>
      <c r="AJ89" s="35"/>
    </row>
    <row r="90" spans="2:36" x14ac:dyDescent="0.2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10.494968338236662</v>
      </c>
      <c r="E90" s="26">
        <v>70</v>
      </c>
      <c r="F90" s="26">
        <v>80</v>
      </c>
      <c r="G90" s="26">
        <v>10.494968338236662</v>
      </c>
      <c r="H90" s="50">
        <v>80</v>
      </c>
      <c r="AJ90" s="35"/>
    </row>
    <row r="91" spans="2:36" x14ac:dyDescent="0.2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8.1209793050550143</v>
      </c>
      <c r="E91" s="26">
        <v>70</v>
      </c>
      <c r="F91" s="26">
        <v>80</v>
      </c>
      <c r="G91" s="26">
        <v>8.1209793050550143</v>
      </c>
      <c r="H91" s="50">
        <v>80</v>
      </c>
      <c r="AJ91" s="35"/>
    </row>
    <row r="92" spans="2:36" x14ac:dyDescent="0.2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7.1595072288854755</v>
      </c>
      <c r="E92" s="26">
        <v>70</v>
      </c>
      <c r="F92" s="26">
        <v>80</v>
      </c>
      <c r="G92" s="26">
        <v>7.1595072288854755</v>
      </c>
      <c r="H92" s="50">
        <v>80</v>
      </c>
      <c r="AJ92" s="35"/>
    </row>
    <row r="93" spans="2:36" x14ac:dyDescent="0.2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6.6772937994479982</v>
      </c>
      <c r="E93" s="26">
        <v>70</v>
      </c>
      <c r="F93" s="26">
        <v>80</v>
      </c>
      <c r="G93" s="26">
        <v>6.6772937994479982</v>
      </c>
      <c r="H93" s="50">
        <v>80</v>
      </c>
      <c r="AJ93" s="35"/>
    </row>
    <row r="94" spans="2:36" x14ac:dyDescent="0.2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6.4220118906183785</v>
      </c>
      <c r="E94" s="26">
        <v>70</v>
      </c>
      <c r="F94" s="26">
        <v>80</v>
      </c>
      <c r="G94" s="26">
        <v>6.4220118906183785</v>
      </c>
      <c r="H94" s="50">
        <v>80</v>
      </c>
      <c r="AJ94" s="35"/>
    </row>
    <row r="95" spans="2:36" x14ac:dyDescent="0.2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6.2863301828262825</v>
      </c>
      <c r="E95" s="26">
        <v>70</v>
      </c>
      <c r="F95" s="26">
        <v>80</v>
      </c>
      <c r="G95" s="26">
        <v>6.2863301828262825</v>
      </c>
      <c r="H95" s="50">
        <v>80</v>
      </c>
    </row>
    <row r="96" spans="2:36" x14ac:dyDescent="0.2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6.2207461965605448</v>
      </c>
      <c r="E96" s="26">
        <v>70</v>
      </c>
      <c r="F96" s="26">
        <v>80</v>
      </c>
      <c r="G96" s="26">
        <v>6.2207461965605448</v>
      </c>
      <c r="H96" s="50">
        <v>80</v>
      </c>
    </row>
    <row r="97" spans="2:8" x14ac:dyDescent="0.25">
      <c r="D97" s="24"/>
      <c r="E97" s="24"/>
      <c r="F97" s="24"/>
      <c r="G97" s="25"/>
      <c r="H97" s="26"/>
    </row>
    <row r="102" spans="2:8" x14ac:dyDescent="0.25">
      <c r="C102" s="4"/>
      <c r="D102" s="56" t="s">
        <v>11</v>
      </c>
      <c r="E102" s="57"/>
      <c r="F102" s="57"/>
      <c r="G102" s="57"/>
      <c r="H102" s="58"/>
    </row>
    <row r="103" spans="2:8" x14ac:dyDescent="0.25">
      <c r="C103" s="18" t="s">
        <v>0</v>
      </c>
      <c r="D103" s="19" t="s">
        <v>76</v>
      </c>
      <c r="E103" s="19" t="s">
        <v>77</v>
      </c>
      <c r="F103" s="19" t="s">
        <v>78</v>
      </c>
      <c r="G103" s="19" t="s">
        <v>76</v>
      </c>
      <c r="H103" s="19" t="s">
        <v>79</v>
      </c>
    </row>
    <row r="104" spans="2:8" x14ac:dyDescent="0.2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>C76</f>
        <v>1</v>
      </c>
      <c r="D104" s="26">
        <f t="array" ref="D104:H104">[1]!ESP_p_atma($C$41,Tintake_,Tintake_,B76,PumpID_,NumStage_,Freq_,0,,,,gas_degr_type_,,$L$40)</f>
        <v>18.333622288018326</v>
      </c>
      <c r="E104" s="26">
        <v>18.333622288018326</v>
      </c>
      <c r="F104" s="26">
        <v>80</v>
      </c>
      <c r="G104" s="25">
        <v>150</v>
      </c>
      <c r="H104" s="26">
        <v>80</v>
      </c>
    </row>
    <row r="105" spans="2:8" x14ac:dyDescent="0.2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ref="C105:C124" si="1">C77</f>
        <v>10.625</v>
      </c>
      <c r="D105" s="26">
        <f t="array" ref="D105:H105">[1]!ESP_p_atma($C$41,Tintake_,Tintake_,B77,PumpID_,NumStage_,Freq_,0,,,,gas_degr_type_,,$L$40)</f>
        <v>17.88709615029228</v>
      </c>
      <c r="E105" s="26">
        <v>17.88709615029228</v>
      </c>
      <c r="F105" s="26">
        <v>80</v>
      </c>
      <c r="G105" s="25">
        <v>150</v>
      </c>
      <c r="H105" s="26">
        <v>80</v>
      </c>
    </row>
    <row r="106" spans="2:8" x14ac:dyDescent="0.2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18.735203893930162</v>
      </c>
      <c r="E106" s="26">
        <v>18.735203893930162</v>
      </c>
      <c r="F106" s="26">
        <v>80</v>
      </c>
      <c r="G106" s="25">
        <v>150</v>
      </c>
      <c r="H106" s="26">
        <v>80</v>
      </c>
    </row>
    <row r="107" spans="2:8" x14ac:dyDescent="0.2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21.328960089038596</v>
      </c>
      <c r="E107" s="26">
        <v>21.328960089038596</v>
      </c>
      <c r="F107" s="26">
        <v>80</v>
      </c>
      <c r="G107" s="25">
        <v>150</v>
      </c>
      <c r="H107" s="26">
        <v>80</v>
      </c>
    </row>
    <row r="108" spans="2:8" x14ac:dyDescent="0.2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24.990821669790893</v>
      </c>
      <c r="E108" s="26">
        <v>24.990821669790893</v>
      </c>
      <c r="F108" s="26">
        <v>80</v>
      </c>
      <c r="G108" s="25">
        <v>150</v>
      </c>
      <c r="H108" s="26">
        <v>80</v>
      </c>
    </row>
    <row r="109" spans="2:8" x14ac:dyDescent="0.2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29.299163662716548</v>
      </c>
      <c r="E109" s="26">
        <v>29.299163662716548</v>
      </c>
      <c r="F109" s="26">
        <v>80</v>
      </c>
      <c r="G109" s="25">
        <v>150</v>
      </c>
      <c r="H109" s="26">
        <v>80</v>
      </c>
    </row>
    <row r="110" spans="2:8" x14ac:dyDescent="0.2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34.072158586697206</v>
      </c>
      <c r="E110" s="26">
        <v>34.072158586697206</v>
      </c>
      <c r="F110" s="26">
        <v>80</v>
      </c>
      <c r="G110" s="25">
        <v>150</v>
      </c>
      <c r="H110" s="26">
        <v>80</v>
      </c>
    </row>
    <row r="111" spans="2:8" x14ac:dyDescent="0.2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39.26079675160873</v>
      </c>
      <c r="E111" s="26">
        <v>39.26079675160873</v>
      </c>
      <c r="F111" s="26">
        <v>80</v>
      </c>
      <c r="G111" s="25">
        <v>150</v>
      </c>
      <c r="H111" s="26">
        <v>80</v>
      </c>
    </row>
    <row r="112" spans="2:8" x14ac:dyDescent="0.2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44.844687458284902</v>
      </c>
      <c r="E112" s="26">
        <v>44.844687458284902</v>
      </c>
      <c r="F112" s="26">
        <v>80</v>
      </c>
      <c r="G112" s="25">
        <v>150</v>
      </c>
      <c r="H112" s="26">
        <v>80</v>
      </c>
    </row>
    <row r="113" spans="2:8" x14ac:dyDescent="0.2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50.816604276713811</v>
      </c>
      <c r="E113" s="26">
        <v>50.816604276713811</v>
      </c>
      <c r="F113" s="26">
        <v>80</v>
      </c>
      <c r="G113" s="25">
        <v>150</v>
      </c>
      <c r="H113" s="26">
        <v>80</v>
      </c>
    </row>
    <row r="114" spans="2:8" x14ac:dyDescent="0.2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57.209197102947662</v>
      </c>
      <c r="E114" s="26">
        <v>57.209197102947662</v>
      </c>
      <c r="F114" s="26">
        <v>80</v>
      </c>
      <c r="G114" s="25">
        <v>150</v>
      </c>
      <c r="H114" s="26">
        <v>80</v>
      </c>
    </row>
    <row r="115" spans="2:8" x14ac:dyDescent="0.2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64.10838413569401</v>
      </c>
      <c r="E115" s="26">
        <v>64.10838413569401</v>
      </c>
      <c r="F115" s="26">
        <v>80</v>
      </c>
      <c r="G115" s="25">
        <v>150</v>
      </c>
      <c r="H115" s="26">
        <v>80</v>
      </c>
    </row>
    <row r="116" spans="2:8" x14ac:dyDescent="0.2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71.646191468622305</v>
      </c>
      <c r="E116" s="26">
        <v>71.646191468622305</v>
      </c>
      <c r="F116" s="26">
        <v>80</v>
      </c>
      <c r="G116" s="25">
        <v>150</v>
      </c>
      <c r="H116" s="26">
        <v>80</v>
      </c>
    </row>
    <row r="117" spans="2:8" x14ac:dyDescent="0.2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80.0645584154516</v>
      </c>
      <c r="E117" s="26">
        <v>80.0645584154516</v>
      </c>
      <c r="F117" s="26">
        <v>80</v>
      </c>
      <c r="G117" s="25">
        <v>150</v>
      </c>
      <c r="H117" s="26">
        <v>80</v>
      </c>
    </row>
    <row r="118" spans="2:8" x14ac:dyDescent="0.2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89.829573853456679</v>
      </c>
      <c r="E118" s="26">
        <v>89.829573853456679</v>
      </c>
      <c r="F118" s="26">
        <v>80</v>
      </c>
      <c r="G118" s="25">
        <v>150</v>
      </c>
      <c r="H118" s="26">
        <v>80</v>
      </c>
    </row>
    <row r="119" spans="2:8" x14ac:dyDescent="0.2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102.26328309858354</v>
      </c>
      <c r="E119" s="26">
        <v>102.26328309858354</v>
      </c>
      <c r="F119" s="26">
        <v>80</v>
      </c>
      <c r="G119" s="25">
        <v>150</v>
      </c>
      <c r="H119" s="26">
        <v>80</v>
      </c>
    </row>
    <row r="120" spans="2:8" x14ac:dyDescent="0.2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122.55135803557239</v>
      </c>
      <c r="E120" s="26">
        <v>122.55135803557239</v>
      </c>
      <c r="F120" s="26">
        <v>80</v>
      </c>
      <c r="G120" s="25">
        <v>150</v>
      </c>
      <c r="H120" s="26">
        <v>80</v>
      </c>
    </row>
    <row r="121" spans="2:8" x14ac:dyDescent="0.2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146.25742256908748</v>
      </c>
      <c r="E121" s="26">
        <v>146.25742256908748</v>
      </c>
      <c r="F121" s="26">
        <v>80</v>
      </c>
      <c r="G121" s="25">
        <v>150</v>
      </c>
      <c r="H121" s="26">
        <v>80</v>
      </c>
    </row>
    <row r="122" spans="2:8" x14ac:dyDescent="0.2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170.43126151502906</v>
      </c>
      <c r="E122" s="26">
        <v>170.43126151502906</v>
      </c>
      <c r="F122" s="26">
        <v>80</v>
      </c>
      <c r="G122" s="25">
        <v>150</v>
      </c>
      <c r="H122" s="26">
        <v>80</v>
      </c>
    </row>
    <row r="123" spans="2:8" x14ac:dyDescent="0.2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193.64167396006371</v>
      </c>
      <c r="E123" s="26">
        <v>193.64167396006371</v>
      </c>
      <c r="F123" s="26">
        <v>80</v>
      </c>
      <c r="G123" s="25">
        <v>150</v>
      </c>
      <c r="H123" s="26">
        <v>80</v>
      </c>
    </row>
    <row r="124" spans="2:8" x14ac:dyDescent="0.2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215.81051705581183</v>
      </c>
      <c r="E124" s="26">
        <v>215.81051705581183</v>
      </c>
      <c r="F124" s="26">
        <v>80</v>
      </c>
      <c r="G124" s="25">
        <v>150</v>
      </c>
      <c r="H124" s="26">
        <v>80</v>
      </c>
    </row>
    <row r="125" spans="2:8" x14ac:dyDescent="0.25">
      <c r="D125" s="26"/>
      <c r="E125" s="26"/>
      <c r="F125" s="26"/>
      <c r="G125" s="25"/>
      <c r="H125" s="26"/>
    </row>
    <row r="138" spans="4:11" x14ac:dyDescent="0.25">
      <c r="D138" s="37"/>
      <c r="F138" s="36"/>
      <c r="H138" s="36"/>
      <c r="I138" s="36"/>
      <c r="J138" s="35"/>
      <c r="K138" s="36"/>
    </row>
    <row r="139" spans="4:11" x14ac:dyDescent="0.25">
      <c r="D139" s="37"/>
      <c r="F139" s="36"/>
      <c r="H139" s="36"/>
      <c r="I139" s="36"/>
      <c r="J139" s="35"/>
      <c r="K139" s="36"/>
    </row>
    <row r="140" spans="4:11" x14ac:dyDescent="0.25">
      <c r="D140" s="37"/>
      <c r="F140" s="36"/>
      <c r="H140" s="36"/>
      <c r="I140" s="36"/>
      <c r="J140" s="35"/>
      <c r="K140" s="36"/>
    </row>
    <row r="141" spans="4:11" x14ac:dyDescent="0.25">
      <c r="D141" s="37"/>
      <c r="F141" s="36"/>
      <c r="H141" s="36"/>
      <c r="I141" s="36"/>
      <c r="J141" s="35"/>
      <c r="K141" s="36"/>
    </row>
    <row r="142" spans="4:11" x14ac:dyDescent="0.25">
      <c r="D142" s="37"/>
      <c r="F142" s="36"/>
      <c r="H142" s="36"/>
      <c r="I142" s="36"/>
      <c r="J142" s="35"/>
      <c r="K142" s="36"/>
    </row>
    <row r="143" spans="4:11" x14ac:dyDescent="0.25">
      <c r="D143" s="37"/>
      <c r="E143" s="36"/>
      <c r="F143" s="36"/>
      <c r="H143" s="36"/>
      <c r="I143" s="36"/>
      <c r="J143" s="35"/>
      <c r="K143" s="36"/>
    </row>
    <row r="144" spans="4:11" x14ac:dyDescent="0.25">
      <c r="D144" s="37"/>
      <c r="E144" s="36"/>
      <c r="F144" s="36"/>
      <c r="H144" s="36"/>
      <c r="I144" s="36"/>
      <c r="J144" s="35"/>
      <c r="K144" s="36"/>
    </row>
    <row r="145" spans="4:30" x14ac:dyDescent="0.25">
      <c r="D145" s="37"/>
      <c r="E145" s="36"/>
      <c r="F145" s="36"/>
      <c r="H145" s="36"/>
      <c r="I145" s="36"/>
      <c r="J145" s="35"/>
      <c r="K145" s="36"/>
    </row>
    <row r="146" spans="4:30" x14ac:dyDescent="0.25">
      <c r="D146" s="37"/>
      <c r="E146" s="36"/>
      <c r="F146" s="36"/>
      <c r="H146" s="36"/>
      <c r="I146" s="36"/>
      <c r="J146" s="35"/>
      <c r="K146" s="36"/>
    </row>
    <row r="147" spans="4:30" x14ac:dyDescent="0.25">
      <c r="D147" s="37"/>
      <c r="E147" s="36"/>
      <c r="F147" s="36"/>
      <c r="H147" s="36"/>
      <c r="I147" s="36"/>
      <c r="J147" s="35"/>
      <c r="K147" s="36"/>
    </row>
    <row r="148" spans="4:30" x14ac:dyDescent="0.25">
      <c r="D148" s="37"/>
      <c r="E148" s="36"/>
      <c r="F148" s="36"/>
      <c r="H148" s="36"/>
      <c r="I148" s="36"/>
      <c r="J148" s="35"/>
      <c r="K148" s="36"/>
    </row>
    <row r="149" spans="4:30" x14ac:dyDescent="0.2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5">
      <c r="F162" s="37"/>
      <c r="K162" s="37"/>
      <c r="M162" s="36"/>
      <c r="N162" s="35"/>
    </row>
    <row r="165" spans="6:14" x14ac:dyDescent="0.25">
      <c r="J165" s="38"/>
      <c r="K165" s="38"/>
      <c r="L165" s="38"/>
    </row>
    <row r="166" spans="6:14" x14ac:dyDescent="0.25">
      <c r="J166" s="38"/>
      <c r="K166" s="38"/>
      <c r="L166" s="38"/>
    </row>
    <row r="167" spans="6:14" x14ac:dyDescent="0.25">
      <c r="J167" s="38"/>
      <c r="K167" s="38"/>
      <c r="L167" s="38"/>
    </row>
    <row r="168" spans="6:14" x14ac:dyDescent="0.25">
      <c r="J168" s="38"/>
      <c r="K168" s="38"/>
      <c r="L168" s="38"/>
    </row>
    <row r="169" spans="6:14" x14ac:dyDescent="0.25">
      <c r="J169" s="38"/>
      <c r="K169" s="39"/>
      <c r="L169" s="38"/>
    </row>
    <row r="170" spans="6:14" x14ac:dyDescent="0.25">
      <c r="J170" s="38"/>
      <c r="K170" s="38"/>
      <c r="L170" s="38"/>
    </row>
    <row r="171" spans="6:14" x14ac:dyDescent="0.25">
      <c r="J171" s="38"/>
      <c r="K171" s="38"/>
      <c r="L171" s="38"/>
    </row>
    <row r="172" spans="6:14" x14ac:dyDescent="0.25">
      <c r="J172" s="38"/>
      <c r="K172" s="38"/>
      <c r="L172" s="38"/>
    </row>
    <row r="173" spans="6:14" x14ac:dyDescent="0.25">
      <c r="J173" s="38"/>
      <c r="K173" s="38"/>
      <c r="L173" s="38"/>
    </row>
    <row r="174" spans="6:14" x14ac:dyDescent="0.25">
      <c r="J174" s="38"/>
      <c r="K174" s="38"/>
      <c r="L174" s="38"/>
    </row>
    <row r="175" spans="6:14" x14ac:dyDescent="0.25">
      <c r="J175" s="38"/>
      <c r="K175" s="38"/>
      <c r="L175" s="38"/>
    </row>
    <row r="176" spans="6:14" x14ac:dyDescent="0.25">
      <c r="J176" s="38"/>
      <c r="K176" s="38"/>
      <c r="L176" s="38"/>
    </row>
    <row r="177" spans="10:13" x14ac:dyDescent="0.25">
      <c r="J177" s="38"/>
      <c r="K177" s="38"/>
      <c r="L177" s="38"/>
    </row>
    <row r="178" spans="10:13" x14ac:dyDescent="0.25">
      <c r="J178" s="38"/>
      <c r="K178" s="38"/>
      <c r="L178" s="38"/>
    </row>
    <row r="179" spans="10:13" x14ac:dyDescent="0.25">
      <c r="J179" s="38"/>
      <c r="K179" s="38"/>
      <c r="L179" s="38"/>
    </row>
    <row r="180" spans="10:13" x14ac:dyDescent="0.25">
      <c r="J180" s="38"/>
      <c r="K180" s="38"/>
      <c r="L180" s="38"/>
    </row>
    <row r="181" spans="10:13" x14ac:dyDescent="0.25">
      <c r="J181" s="38"/>
      <c r="K181" s="38"/>
      <c r="L181" s="38"/>
    </row>
    <row r="182" spans="10:13" x14ac:dyDescent="0.25">
      <c r="J182" s="38"/>
      <c r="K182" s="38"/>
      <c r="L182" s="38"/>
    </row>
    <row r="183" spans="10:13" x14ac:dyDescent="0.25">
      <c r="J183" s="38"/>
      <c r="K183" s="38"/>
      <c r="L183" s="38"/>
    </row>
    <row r="184" spans="10:13" x14ac:dyDescent="0.25">
      <c r="J184" s="38"/>
      <c r="K184" s="38"/>
      <c r="L184" s="38"/>
    </row>
    <row r="185" spans="10:13" x14ac:dyDescent="0.25">
      <c r="M185" s="40"/>
    </row>
    <row r="186" spans="10:13" x14ac:dyDescent="0.2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2021-04-25T06:55:56Z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