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E07E8E1-11CF-4B9E-853C-9ADE1DB25758}" xr6:coauthVersionLast="45" xr6:coauthVersionMax="45" xr10:uidLastSave="{00000000-0000-0000-0000-000000000000}"/>
  <bookViews>
    <workbookView xWindow="-120" yWindow="-120" windowWidth="38640" windowHeight="212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Exercise_ESP!$C$44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75" i="110" l="1" a="1"/>
  <c r="AI75" i="110" l="1"/>
  <c r="C104" i="110" l="1"/>
  <c r="C27" i="110" a="1"/>
  <c r="J30" i="110"/>
  <c r="G1" i="110"/>
  <c r="C27" i="110" l="1"/>
  <c r="E17" i="110"/>
  <c r="E16" i="110"/>
  <c r="E15" i="110"/>
  <c r="E14" i="110"/>
  <c r="E13" i="110"/>
  <c r="E12" i="110"/>
  <c r="E11" i="110"/>
  <c r="C30" i="110" a="1"/>
  <c r="C28" i="110" a="1"/>
  <c r="C29" i="110" a="1"/>
  <c r="C30" i="110" l="1"/>
  <c r="C29" i="110"/>
  <c r="C77" i="110" s="1"/>
  <c r="C78" i="110" s="1"/>
  <c r="C79" i="110" s="1"/>
  <c r="C28" i="110"/>
  <c r="D79" i="110" a="1"/>
  <c r="F43" i="110" a="1"/>
  <c r="D104" i="110" a="1"/>
  <c r="D78" i="110" a="1"/>
  <c r="D76" i="110" a="1"/>
  <c r="D77" i="110" a="1"/>
  <c r="F43" i="110" l="1"/>
  <c r="G68" i="110"/>
  <c r="G71" i="110"/>
  <c r="G70" i="110"/>
  <c r="G69" i="110"/>
  <c r="F76" i="110"/>
  <c r="H76" i="110"/>
  <c r="D76" i="110"/>
  <c r="E76" i="110"/>
  <c r="G76" i="110"/>
  <c r="F79" i="110"/>
  <c r="D79" i="110"/>
  <c r="G79" i="110"/>
  <c r="H79" i="110"/>
  <c r="E79" i="110"/>
  <c r="D78" i="110"/>
  <c r="F78" i="110"/>
  <c r="E78" i="110"/>
  <c r="G78" i="110"/>
  <c r="H78" i="110"/>
  <c r="E77" i="110"/>
  <c r="D77" i="110"/>
  <c r="F77" i="110"/>
  <c r="G77" i="110"/>
  <c r="H77" i="110"/>
  <c r="G104" i="110"/>
  <c r="D104" i="110"/>
  <c r="H104" i="110"/>
  <c r="E104" i="110"/>
  <c r="F104" i="110"/>
  <c r="C105" i="110"/>
  <c r="C80" i="110"/>
  <c r="C106" i="110"/>
  <c r="D105" i="110" a="1"/>
  <c r="D106" i="110" a="1"/>
  <c r="D80" i="110" a="1"/>
  <c r="G106" i="110" l="1"/>
  <c r="H106" i="110"/>
  <c r="D106" i="110"/>
  <c r="E106" i="110"/>
  <c r="F106" i="110"/>
  <c r="H80" i="110"/>
  <c r="G80" i="110"/>
  <c r="D80" i="110"/>
  <c r="E80" i="110"/>
  <c r="F80" i="110"/>
  <c r="D105" i="110"/>
  <c r="H105" i="110"/>
  <c r="E105" i="110"/>
  <c r="F105" i="110"/>
  <c r="G105" i="110"/>
  <c r="C81" i="110"/>
  <c r="C107" i="110"/>
  <c r="D107" i="110" a="1"/>
  <c r="AI100" i="110" a="1"/>
  <c r="AJ105" i="110" s="1" a="1"/>
  <c r="D81" i="110" a="1"/>
  <c r="AJ105" i="110" l="1"/>
  <c r="AI100" i="110"/>
  <c r="G81" i="110"/>
  <c r="H81" i="110"/>
  <c r="F81" i="110"/>
  <c r="D81" i="110"/>
  <c r="E81" i="110"/>
  <c r="D107" i="110"/>
  <c r="E107" i="110"/>
  <c r="F107" i="110"/>
  <c r="G107" i="110"/>
  <c r="H107" i="110"/>
  <c r="C82" i="110"/>
  <c r="C109" i="110"/>
  <c r="C108" i="110"/>
  <c r="D108" i="110" a="1"/>
  <c r="AI105" i="110" a="1"/>
  <c r="D82" i="110" a="1"/>
  <c r="D109" i="110" a="1"/>
  <c r="AI105" i="110" l="1"/>
  <c r="D82" i="110"/>
  <c r="F82" i="110"/>
  <c r="H82" i="110"/>
  <c r="G82" i="110"/>
  <c r="E82" i="110"/>
  <c r="F108" i="110"/>
  <c r="G108" i="110"/>
  <c r="H108" i="110"/>
  <c r="E108" i="110"/>
  <c r="D108" i="110"/>
  <c r="H109" i="110"/>
  <c r="D109" i="110"/>
  <c r="G109" i="110"/>
  <c r="E109" i="110"/>
  <c r="F109" i="110"/>
  <c r="C83" i="110"/>
  <c r="C110" i="110"/>
  <c r="D83" i="110" a="1"/>
  <c r="D110" i="110" a="1"/>
  <c r="H110" i="110" l="1"/>
  <c r="E110" i="110"/>
  <c r="D110" i="110"/>
  <c r="F110" i="110"/>
  <c r="G110" i="110"/>
  <c r="F83" i="110"/>
  <c r="E83" i="110"/>
  <c r="H83" i="110"/>
  <c r="D83" i="110"/>
  <c r="G83" i="110"/>
  <c r="C84" i="110"/>
  <c r="C111" i="110"/>
  <c r="D111" i="110" a="1"/>
  <c r="D84" i="110" a="1"/>
  <c r="E84" i="110" l="1"/>
  <c r="G84" i="110"/>
  <c r="H84" i="110"/>
  <c r="F84" i="110"/>
  <c r="D84" i="110"/>
  <c r="E111" i="110"/>
  <c r="F111" i="110"/>
  <c r="G111" i="110"/>
  <c r="H111" i="110"/>
  <c r="D111" i="110"/>
  <c r="C85" i="110"/>
  <c r="C112" i="110"/>
  <c r="D85" i="110" a="1"/>
  <c r="D112" i="110" a="1"/>
  <c r="D85" i="110" l="1"/>
  <c r="G85" i="110"/>
  <c r="H85" i="110"/>
  <c r="E85" i="110"/>
  <c r="F85" i="110"/>
  <c r="D112" i="110"/>
  <c r="F112" i="110"/>
  <c r="G112" i="110"/>
  <c r="H112" i="110"/>
  <c r="E112" i="110"/>
  <c r="C86" i="110"/>
  <c r="C113" i="110"/>
  <c r="D113" i="110" a="1"/>
  <c r="D86" i="110" a="1"/>
  <c r="H113" i="110" l="1"/>
  <c r="E113" i="110"/>
  <c r="G113" i="110"/>
  <c r="F113" i="110"/>
  <c r="D113" i="110"/>
  <c r="F86" i="110"/>
  <c r="H86" i="110"/>
  <c r="D86" i="110"/>
  <c r="G86" i="110"/>
  <c r="E86" i="110"/>
  <c r="C87" i="110"/>
  <c r="C114" i="110"/>
  <c r="D87" i="110" a="1"/>
  <c r="D114" i="110" a="1"/>
  <c r="G114" i="110" l="1"/>
  <c r="F114" i="110"/>
  <c r="H114" i="110"/>
  <c r="E114" i="110"/>
  <c r="D114" i="110"/>
  <c r="E87" i="110"/>
  <c r="D87" i="110"/>
  <c r="H87" i="110"/>
  <c r="G87" i="110"/>
  <c r="F87" i="110"/>
  <c r="C88" i="110"/>
  <c r="C115" i="110"/>
  <c r="D115" i="110" a="1"/>
  <c r="D88" i="110" a="1"/>
  <c r="H88" i="110" l="1"/>
  <c r="G88" i="110"/>
  <c r="D88" i="110"/>
  <c r="F88" i="110"/>
  <c r="E88" i="110"/>
  <c r="D115" i="110"/>
  <c r="E115" i="110"/>
  <c r="F115" i="110"/>
  <c r="G115" i="110"/>
  <c r="H115" i="110"/>
  <c r="C89" i="110"/>
  <c r="C116" i="110"/>
  <c r="D116" i="110" a="1"/>
  <c r="D89" i="110" a="1"/>
  <c r="D89" i="110" l="1"/>
  <c r="E89" i="110"/>
  <c r="F89" i="110"/>
  <c r="G89" i="110"/>
  <c r="H89" i="110"/>
  <c r="D116" i="110"/>
  <c r="G116" i="110"/>
  <c r="F116" i="110"/>
  <c r="H116" i="110"/>
  <c r="E116" i="110"/>
  <c r="C90" i="110"/>
  <c r="C117" i="110"/>
  <c r="D117" i="110" a="1"/>
  <c r="D90" i="110" a="1"/>
  <c r="F117" i="110" l="1"/>
  <c r="G117" i="110"/>
  <c r="H117" i="110"/>
  <c r="E117" i="110"/>
  <c r="D117" i="110"/>
  <c r="G90" i="110"/>
  <c r="H90" i="110"/>
  <c r="D90" i="110"/>
  <c r="F90" i="110"/>
  <c r="E90" i="110"/>
  <c r="C91" i="110"/>
  <c r="C118" i="110"/>
  <c r="D91" i="110" a="1"/>
  <c r="D118" i="110" a="1"/>
  <c r="D91" i="110" l="1"/>
  <c r="F91" i="110"/>
  <c r="G91" i="110"/>
  <c r="E91" i="110"/>
  <c r="H91" i="110"/>
  <c r="D118" i="110"/>
  <c r="E118" i="110"/>
  <c r="F118" i="110"/>
  <c r="G118" i="110"/>
  <c r="H118" i="110"/>
  <c r="C92" i="110"/>
  <c r="C119" i="110"/>
  <c r="D92" i="110" a="1"/>
  <c r="D119" i="110" a="1"/>
  <c r="G119" i="110" l="1"/>
  <c r="E119" i="110"/>
  <c r="H119" i="110"/>
  <c r="D119" i="110"/>
  <c r="F119" i="110"/>
  <c r="E92" i="110"/>
  <c r="D92" i="110"/>
  <c r="F92" i="110"/>
  <c r="G92" i="110"/>
  <c r="H92" i="110"/>
  <c r="C93" i="110"/>
  <c r="C120" i="110"/>
  <c r="D120" i="110" a="1"/>
  <c r="D93" i="110" a="1"/>
  <c r="E120" i="110" l="1"/>
  <c r="D120" i="110"/>
  <c r="F120" i="110"/>
  <c r="G120" i="110"/>
  <c r="H120" i="110"/>
  <c r="E93" i="110"/>
  <c r="F93" i="110"/>
  <c r="D93" i="110"/>
  <c r="G93" i="110"/>
  <c r="H93" i="110"/>
  <c r="C94" i="110"/>
  <c r="C121" i="110"/>
  <c r="D94" i="110" a="1"/>
  <c r="D121" i="110" a="1"/>
  <c r="H121" i="110" l="1"/>
  <c r="D121" i="110"/>
  <c r="E121" i="110"/>
  <c r="F121" i="110"/>
  <c r="G121" i="110"/>
  <c r="D94" i="110"/>
  <c r="E94" i="110"/>
  <c r="F94" i="110"/>
  <c r="G94" i="110"/>
  <c r="H94" i="110"/>
  <c r="C95" i="110"/>
  <c r="C122" i="110"/>
  <c r="D122" i="110" a="1"/>
  <c r="D95" i="110" a="1"/>
  <c r="H122" i="110" l="1"/>
  <c r="D122" i="110"/>
  <c r="F122" i="110"/>
  <c r="E122" i="110"/>
  <c r="G122" i="110"/>
  <c r="D95" i="110"/>
  <c r="G95" i="110"/>
  <c r="H95" i="110"/>
  <c r="E95" i="110"/>
  <c r="F95" i="110"/>
  <c r="C96" i="110"/>
  <c r="C123" i="110"/>
  <c r="D123" i="110" a="1"/>
  <c r="D96" i="110" a="1"/>
  <c r="E96" i="110" l="1"/>
  <c r="F96" i="110"/>
  <c r="D96" i="110"/>
  <c r="G96" i="110"/>
  <c r="H96" i="110"/>
  <c r="G123" i="110"/>
  <c r="H123" i="110"/>
  <c r="E123" i="110"/>
  <c r="F123" i="110"/>
  <c r="D123" i="110"/>
  <c r="C124" i="110"/>
  <c r="D124" i="110" a="1"/>
  <c r="E124" i="110" l="1"/>
  <c r="F124" i="110"/>
  <c r="G125" i="110"/>
  <c r="G124" i="110"/>
  <c r="H125" i="110"/>
  <c r="H124" i="110"/>
  <c r="D125" i="110"/>
  <c r="E125" i="110"/>
  <c r="F125" i="110"/>
  <c r="D124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<sst xmlns="http://schemas.openxmlformats.org/spreadsheetml/2006/main" count="99" uniqueCount="76">
  <si>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</si>
  <si>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</si>
  <si>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</si>
  <si>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</si>
  <si>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</si>
  <si>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</si>
  <si>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</si>
  <si>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</si>
  <si>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</si>
  <si>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</si>
  <si>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</si>
  <si>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</si>
  <si>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</si>
  <si>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</si>
  <si>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</si>
  <si>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</si>
  <si>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</si>
  <si>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</si>
  <si>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</si>
  <si>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</si>
  <si>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</si>
  <si>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</si>
  <si>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</si>
  <si>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</si>
  <si>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</si>
  <si>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</si>
  <si>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</si>
  <si>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</si>
  <si>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</si>
  <si>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</si>
  <si>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</si>
  <si>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</si>
  <si>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</si>
  <si>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</si>
  <si>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</si>
  <si>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</si>
  <si>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</si>
  <si>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</si>
  <si>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</si>
  <si>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</si>
  <si>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</si>
  <si>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</si>
  <si>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</si>
  <si>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</si>
  <si>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</si>
  <si>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</si>
  <si>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</si>
  <si>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</si>
  <si>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</si>
  <si>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</si>
  <si>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</si>
  <si>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</si>
  <si>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</si>
  <si>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</si>
  <si>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</si>
  <si>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</si>
  <si>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</si>
  <si>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</si>
  <si>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</si>
  <si>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</si>
  <si>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</si>
  <si>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</si>
  <si>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</si>
  <si>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</si>
  <si>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</si>
  <si>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</si>
  <si>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</si>
  <si>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</si>
  <si>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</si>
  <si>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</si>
  <si>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</si>
  <si>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</si>
  <si>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</si>
  <si>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</si>
  <si>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Расшифровка результатов расчета</t>
  </si>
  <si>
    <t>Продолжение расшифровки результатов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</si>
</sst>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7" borderId="12" xfId="0" applyNumberForma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7" xfId="0" applyNumberFormat="1" applyFill="1" applyBorder="1" applyAlignment="1"/>
    <xf numFmtId="2" fontId="0" fillId="7" borderId="9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/>
    </xf>
    <xf numFmtId="1" fontId="0" fillId="7" borderId="15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2" fontId="0" fillId="7" borderId="16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242.74352697801498</c:v>
                </c:pt>
                <c:pt idx="1">
                  <c:v>244.74146883383307</c:v>
                </c:pt>
                <c:pt idx="2">
                  <c:v>245.63415038135415</c:v>
                </c:pt>
                <c:pt idx="3">
                  <c:v>245.38925755941278</c:v>
                </c:pt>
                <c:pt idx="4">
                  <c:v>244.06461990854916</c:v>
                </c:pt>
                <c:pt idx="5">
                  <c:v>241.45325539071436</c:v>
                </c:pt>
                <c:pt idx="6">
                  <c:v>236.86823753728305</c:v>
                </c:pt>
                <c:pt idx="7">
                  <c:v>228.80645888181493</c:v>
                </c:pt>
                <c:pt idx="8">
                  <c:v>215.9786244841695</c:v>
                </c:pt>
                <c:pt idx="9">
                  <c:v>198.64263424584192</c:v>
                </c:pt>
                <c:pt idx="10">
                  <c:v>176.54789764122543</c:v>
                </c:pt>
                <c:pt idx="11">
                  <c:v>145.23623762783362</c:v>
                </c:pt>
                <c:pt idx="12">
                  <c:v>50.319268453084703</c:v>
                </c:pt>
                <c:pt idx="13">
                  <c:v>22.801105722972043</c:v>
                </c:pt>
                <c:pt idx="14">
                  <c:v>21.58489726579775</c:v>
                </c:pt>
                <c:pt idx="15">
                  <c:v>21.200290747387729</c:v>
                </c:pt>
                <c:pt idx="16">
                  <c:v>21.029093604746915</c:v>
                </c:pt>
                <c:pt idx="17">
                  <c:v>20.944358260937872</c:v>
                </c:pt>
                <c:pt idx="18">
                  <c:v>20.90261676540711</c:v>
                </c:pt>
                <c:pt idx="19">
                  <c:v>20.882672400424852</c:v>
                </c:pt>
                <c:pt idx="20">
                  <c:v>20.876596451309425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2409.977262201528</c:v>
                </c:pt>
                <c:pt idx="1">
                  <c:v>2433.83442410419</c:v>
                </c:pt>
                <c:pt idx="2">
                  <c:v>2444.3451647722204</c:v>
                </c:pt>
                <c:pt idx="3">
                  <c:v>2441.6053841171806</c:v>
                </c:pt>
                <c:pt idx="4">
                  <c:v>2425.8264352368119</c:v>
                </c:pt>
                <c:pt idx="5">
                  <c:v>2394.6584852539777</c:v>
                </c:pt>
                <c:pt idx="6">
                  <c:v>2339.7285584603578</c:v>
                </c:pt>
                <c:pt idx="7">
                  <c:v>2243.1150960999785</c:v>
                </c:pt>
                <c:pt idx="8">
                  <c:v>2089.40922060814</c:v>
                </c:pt>
                <c:pt idx="9">
                  <c:v>1881.6498242180421</c:v>
                </c:pt>
                <c:pt idx="10">
                  <c:v>1616.8488786563141</c:v>
                </c:pt>
                <c:pt idx="11">
                  <c:v>1241.37752184499</c:v>
                </c:pt>
                <c:pt idx="12">
                  <c:v>5.6242283277923457</c:v>
                </c:pt>
                <c:pt idx="13">
                  <c:v>-647.89380284430979</c:v>
                </c:pt>
                <c:pt idx="14">
                  <c:v>-690.75991231824537</c:v>
                </c:pt>
                <c:pt idx="15">
                  <c:v>-704.7321816261898</c:v>
                </c:pt>
                <c:pt idx="16">
                  <c:v>-710.97047141858116</c:v>
                </c:pt>
                <c:pt idx="17">
                  <c:v>-714.00873423848611</c:v>
                </c:pt>
                <c:pt idx="18">
                  <c:v>-715.44428787920572</c:v>
                </c:pt>
                <c:pt idx="19">
                  <c:v>-716.09834642174576</c:v>
                </c:pt>
                <c:pt idx="20">
                  <c:v>-716.28387448433227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84.891742203896683</c:v>
                </c:pt>
                <c:pt idx="1">
                  <c:v>87.220936540932399</c:v>
                </c:pt>
                <c:pt idx="2">
                  <c:v>89.179672553549736</c:v>
                </c:pt>
                <c:pt idx="3">
                  <c:v>90.732879007763316</c:v>
                </c:pt>
                <c:pt idx="4">
                  <c:v>91.778419788045383</c:v>
                </c:pt>
                <c:pt idx="5">
                  <c:v>92.547516225232144</c:v>
                </c:pt>
                <c:pt idx="6">
                  <c:v>93.406295135471922</c:v>
                </c:pt>
                <c:pt idx="7">
                  <c:v>94.531633320700806</c:v>
                </c:pt>
                <c:pt idx="8">
                  <c:v>96.089184315325369</c:v>
                </c:pt>
                <c:pt idx="9">
                  <c:v>98.308347464132012</c:v>
                </c:pt>
                <c:pt idx="10">
                  <c:v>100.76646181392711</c:v>
                </c:pt>
                <c:pt idx="11">
                  <c:v>102.43481092158608</c:v>
                </c:pt>
                <c:pt idx="12">
                  <c:v>36.788073516099466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</c:formatCode>
                <c:ptCount val="21"/>
                <c:pt idx="0">
                  <c:v>0.33962189635029844</c:v>
                </c:pt>
                <c:pt idx="1">
                  <c:v>0.33962189635029855</c:v>
                </c:pt>
                <c:pt idx="2">
                  <c:v>0.33962189635029844</c:v>
                </c:pt>
                <c:pt idx="3">
                  <c:v>0.33962189635029849</c:v>
                </c:pt>
                <c:pt idx="4">
                  <c:v>0.33962189635029855</c:v>
                </c:pt>
                <c:pt idx="5">
                  <c:v>0.33962189635029855</c:v>
                </c:pt>
                <c:pt idx="6">
                  <c:v>0.33962189635029849</c:v>
                </c:pt>
                <c:pt idx="7">
                  <c:v>0.33962189635029849</c:v>
                </c:pt>
                <c:pt idx="8">
                  <c:v>0.33962189635029855</c:v>
                </c:pt>
                <c:pt idx="9">
                  <c:v>0.33962189635029855</c:v>
                </c:pt>
                <c:pt idx="10">
                  <c:v>0.33962189635029849</c:v>
                </c:pt>
                <c:pt idx="11">
                  <c:v>0.33962189635029849</c:v>
                </c:pt>
                <c:pt idx="12">
                  <c:v>0.33962189635029849</c:v>
                </c:pt>
                <c:pt idx="13">
                  <c:v>0.33962189635029849</c:v>
                </c:pt>
                <c:pt idx="14">
                  <c:v>0.33962189635029849</c:v>
                </c:pt>
                <c:pt idx="15">
                  <c:v>0.33962189635029844</c:v>
                </c:pt>
                <c:pt idx="16">
                  <c:v>0.33962189635029849</c:v>
                </c:pt>
                <c:pt idx="17">
                  <c:v>0.33962189635029844</c:v>
                </c:pt>
                <c:pt idx="18">
                  <c:v>0.33962189635029849</c:v>
                </c:pt>
                <c:pt idx="19">
                  <c:v>0.33962189635029844</c:v>
                </c:pt>
                <c:pt idx="20">
                  <c:v>0.33962189635029849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1833.2908181536011</c:v>
                </c:pt>
                <c:pt idx="1">
                  <c:v>1840.4285739115417</c:v>
                </c:pt>
                <c:pt idx="2">
                  <c:v>1839.7011403158679</c:v>
                </c:pt>
                <c:pt idx="3">
                  <c:v>1830.0360785161204</c:v>
                </c:pt>
                <c:pt idx="4">
                  <c:v>1803.4453180914136</c:v>
                </c:pt>
                <c:pt idx="5">
                  <c:v>1759.7195580818868</c:v>
                </c:pt>
                <c:pt idx="6">
                  <c:v>1702.5343001629019</c:v>
                </c:pt>
                <c:pt idx="7">
                  <c:v>1633.9584627406066</c:v>
                </c:pt>
                <c:pt idx="8">
                  <c:v>1555.8295008581417</c:v>
                </c:pt>
                <c:pt idx="9">
                  <c:v>1470.9307200683645</c:v>
                </c:pt>
                <c:pt idx="10">
                  <c:v>1381.3317901746727</c:v>
                </c:pt>
                <c:pt idx="11">
                  <c:v>1287.1630738415079</c:v>
                </c:pt>
                <c:pt idx="12">
                  <c:v>1187.2742040485871</c:v>
                </c:pt>
                <c:pt idx="13">
                  <c:v>1076.6547286947828</c:v>
                </c:pt>
                <c:pt idx="14">
                  <c:v>942.21974266289487</c:v>
                </c:pt>
                <c:pt idx="15">
                  <c:v>741.64192310606541</c:v>
                </c:pt>
                <c:pt idx="16">
                  <c:v>478.77296954495063</c:v>
                </c:pt>
                <c:pt idx="17">
                  <c:v>202.2711570418696</c:v>
                </c:pt>
                <c:pt idx="18">
                  <c:v>-103.13711005935302</c:v>
                </c:pt>
                <c:pt idx="19">
                  <c:v>-385.57855828587714</c:v>
                </c:pt>
                <c:pt idx="20">
                  <c:v>-655.36110707226806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64.91732476476173</c:v>
                </c:pt>
                <c:pt idx="1">
                  <c:v>66.80411975714371</c:v>
                </c:pt>
                <c:pt idx="2">
                  <c:v>68.36717543816188</c:v>
                </c:pt>
                <c:pt idx="3">
                  <c:v>69.773572817016557</c:v>
                </c:pt>
                <c:pt idx="4">
                  <c:v>71.500885539405274</c:v>
                </c:pt>
                <c:pt idx="5">
                  <c:v>73.939494193787937</c:v>
                </c:pt>
                <c:pt idx="6">
                  <c:v>77.125791193957753</c:v>
                </c:pt>
                <c:pt idx="7">
                  <c:v>81.064508161440159</c:v>
                </c:pt>
                <c:pt idx="8">
                  <c:v>85.760495303777844</c:v>
                </c:pt>
                <c:pt idx="9">
                  <c:v>91.167276812403799</c:v>
                </c:pt>
                <c:pt idx="10">
                  <c:v>97.031200541408694</c:v>
                </c:pt>
                <c:pt idx="11">
                  <c:v>103.08602814157641</c:v>
                </c:pt>
                <c:pt idx="12">
                  <c:v>109.22416064515808</c:v>
                </c:pt>
                <c:pt idx="13">
                  <c:v>115.42044642772515</c:v>
                </c:pt>
                <c:pt idx="14">
                  <c:v>121.55539963712077</c:v>
                </c:pt>
                <c:pt idx="15">
                  <c:v>127.15741581213902</c:v>
                </c:pt>
                <c:pt idx="16">
                  <c:v>132.37680643904031</c:v>
                </c:pt>
                <c:pt idx="17">
                  <c:v>137.87696751054162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50</c:v>
                </c:pt>
                <c:pt idx="1">
                  <c:v>56.21185207472606</c:v>
                </c:pt>
                <c:pt idx="2">
                  <c:v>63.793705588278733</c:v>
                </c:pt>
                <c:pt idx="3">
                  <c:v>72.574129267833356</c:v>
                </c:pt>
                <c:pt idx="4">
                  <c:v>82.508189255286752</c:v>
                </c:pt>
                <c:pt idx="5">
                  <c:v>93.194993889051503</c:v>
                </c:pt>
                <c:pt idx="6">
                  <c:v>103.99827349136335</c:v>
                </c:pt>
                <c:pt idx="7">
                  <c:v>114.82218543525295</c:v>
                </c:pt>
                <c:pt idx="8">
                  <c:v>125.6603146597831</c:v>
                </c:pt>
                <c:pt idx="9">
                  <c:v>136.51096709789698</c:v>
                </c:pt>
                <c:pt idx="10">
                  <c:v>147.3720885572202</c:v>
                </c:pt>
                <c:pt idx="11">
                  <c:v>158.24124483131297</c:v>
                </c:pt>
                <c:pt idx="12">
                  <c:v>169.1179757379247</c:v>
                </c:pt>
                <c:pt idx="13">
                  <c:v>180.00048988055451</c:v>
                </c:pt>
                <c:pt idx="14">
                  <c:v>190.88797446192399</c:v>
                </c:pt>
                <c:pt idx="15">
                  <c:v>201.78001200317871</c:v>
                </c:pt>
                <c:pt idx="16">
                  <c:v>212.67549250930122</c:v>
                </c:pt>
                <c:pt idx="17">
                  <c:v>223.57419670657254</c:v>
                </c:pt>
                <c:pt idx="18">
                  <c:v>234.47553507680016</c:v>
                </c:pt>
                <c:pt idx="19">
                  <c:v>245.37900419402283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80</c:v>
                </c:pt>
                <c:pt idx="1">
                  <c:v>80.526315789473642</c:v>
                </c:pt>
                <c:pt idx="2">
                  <c:v>81.052631578947313</c:v>
                </c:pt>
                <c:pt idx="3">
                  <c:v>81.578947368420984</c:v>
                </c:pt>
                <c:pt idx="4">
                  <c:v>82.105263157894669</c:v>
                </c:pt>
                <c:pt idx="5">
                  <c:v>82.63157894736834</c:v>
                </c:pt>
                <c:pt idx="6">
                  <c:v>83.15789473684201</c:v>
                </c:pt>
                <c:pt idx="7">
                  <c:v>83.684210526315695</c:v>
                </c:pt>
                <c:pt idx="8">
                  <c:v>84.210526315789366</c:v>
                </c:pt>
                <c:pt idx="9">
                  <c:v>84.736842105263037</c:v>
                </c:pt>
                <c:pt idx="10">
                  <c:v>85.263157894736722</c:v>
                </c:pt>
                <c:pt idx="11">
                  <c:v>85.789473684210392</c:v>
                </c:pt>
                <c:pt idx="12">
                  <c:v>86.315789473684063</c:v>
                </c:pt>
                <c:pt idx="13">
                  <c:v>86.842105263157748</c:v>
                </c:pt>
                <c:pt idx="14">
                  <c:v>87.368421052631419</c:v>
                </c:pt>
                <c:pt idx="15">
                  <c:v>87.894736842105104</c:v>
                </c:pt>
                <c:pt idx="16">
                  <c:v>88.421052631578775</c:v>
                </c:pt>
                <c:pt idx="17">
                  <c:v>88.947368421052445</c:v>
                </c:pt>
                <c:pt idx="18">
                  <c:v>89.47368421052613</c:v>
                </c:pt>
                <c:pt idx="19">
                  <c:v>89.999999999999801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Exercise_ESP!$L$45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Exercise_ESP!$L$46:$L$65</c:f>
              <c:numCache>
                <c:formatCode>0</c:formatCode>
                <c:ptCount val="20"/>
                <c:pt idx="0">
                  <c:v>49.22813528287034</c:v>
                </c:pt>
                <c:pt idx="1">
                  <c:v>47.255586577421013</c:v>
                </c:pt>
                <c:pt idx="2">
                  <c:v>42.554351660906924</c:v>
                </c:pt>
                <c:pt idx="3">
                  <c:v>38.97701956069541</c:v>
                </c:pt>
                <c:pt idx="4">
                  <c:v>35.994631850652809</c:v>
                </c:pt>
                <c:pt idx="5">
                  <c:v>34.030794383970623</c:v>
                </c:pt>
                <c:pt idx="6">
                  <c:v>33.891990055540631</c:v>
                </c:pt>
                <c:pt idx="7">
                  <c:v>33.834928129470157</c:v>
                </c:pt>
                <c:pt idx="8">
                  <c:v>33.788461539198188</c:v>
                </c:pt>
                <c:pt idx="9">
                  <c:v>33.750704388576054</c:v>
                </c:pt>
                <c:pt idx="10">
                  <c:v>33.719753701578426</c:v>
                </c:pt>
                <c:pt idx="11">
                  <c:v>33.693767869020917</c:v>
                </c:pt>
                <c:pt idx="12">
                  <c:v>33.672261764582466</c:v>
                </c:pt>
                <c:pt idx="13">
                  <c:v>33.654052966695964</c:v>
                </c:pt>
                <c:pt idx="14">
                  <c:v>33.638610197100164</c:v>
                </c:pt>
                <c:pt idx="15">
                  <c:v>33.625652330004122</c:v>
                </c:pt>
                <c:pt idx="16">
                  <c:v>33.614554363393587</c:v>
                </c:pt>
                <c:pt idx="17">
                  <c:v>33.605194070520746</c:v>
                </c:pt>
                <c:pt idx="18">
                  <c:v>33.597263029027467</c:v>
                </c:pt>
                <c:pt idx="19">
                  <c:v>33.590504235550995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Exercise_ESP!$K$45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Exercise_ESP!$K$46:$K$65</c:f>
              <c:numCache>
                <c:formatCode>0.00</c:formatCode>
                <c:ptCount val="20"/>
                <c:pt idx="0">
                  <c:v>0.33962189635029855</c:v>
                </c:pt>
                <c:pt idx="1">
                  <c:v>0.30989712798665031</c:v>
                </c:pt>
                <c:pt idx="2">
                  <c:v>0.22564360239505768</c:v>
                </c:pt>
                <c:pt idx="3">
                  <c:v>0.14661397617828589</c:v>
                </c:pt>
                <c:pt idx="4">
                  <c:v>6.5100260294938039E-2</c:v>
                </c:pt>
                <c:pt idx="5">
                  <c:v>2.2677886979037493E-3</c:v>
                </c:pt>
                <c:pt idx="6">
                  <c:v>2.877465459892264E-17</c:v>
                </c:pt>
                <c:pt idx="7">
                  <c:v>2.5762695503452028E-17</c:v>
                </c:pt>
                <c:pt idx="8">
                  <c:v>2.3331367120476845E-17</c:v>
                </c:pt>
                <c:pt idx="9">
                  <c:v>2.1376346349557158E-17</c:v>
                </c:pt>
                <c:pt idx="10">
                  <c:v>1.9789312215371433E-17</c:v>
                </c:pt>
                <c:pt idx="11">
                  <c:v>1.8465982980724736E-17</c:v>
                </c:pt>
                <c:pt idx="12">
                  <c:v>1.7374850115500504E-17</c:v>
                </c:pt>
                <c:pt idx="13">
                  <c:v>1.644949692850571E-17</c:v>
                </c:pt>
                <c:pt idx="14">
                  <c:v>1.5659208756992157E-17</c:v>
                </c:pt>
                <c:pt idx="15">
                  <c:v>1.4986063618604158E-17</c:v>
                </c:pt>
                <c:pt idx="16">
                  <c:v>1.4397668918182514E-17</c:v>
                </c:pt>
                <c:pt idx="17">
                  <c:v>1.3885946556058013E-17</c:v>
                </c:pt>
                <c:pt idx="18">
                  <c:v>1.3435164241557601E-17</c:v>
                </c:pt>
                <c:pt idx="19">
                  <c:v>1.3032969022444761E-17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Exercise_ESP!$AI$102</c:f>
              <c:strCache>
                <c:ptCount val="1"/>
                <c:pt idx="0">
                  <c:v>stable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Exercise_ESP!$AI$106:$AI$142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17</c:v>
                </c:pt>
                <c:pt idx="8">
                  <c:v>27</c:v>
                </c:pt>
                <c:pt idx="9">
                  <c:v>37</c:v>
                </c:pt>
                <c:pt idx="10">
                  <c:v>47</c:v>
                </c:pt>
                <c:pt idx="11">
                  <c:v>57</c:v>
                </c:pt>
                <c:pt idx="12">
                  <c:v>67</c:v>
                </c:pt>
                <c:pt idx="13">
                  <c:v>77</c:v>
                </c:pt>
                <c:pt idx="14">
                  <c:v>87</c:v>
                </c:pt>
                <c:pt idx="15">
                  <c:v>97</c:v>
                </c:pt>
                <c:pt idx="16">
                  <c:v>107</c:v>
                </c:pt>
                <c:pt idx="17">
                  <c:v>117</c:v>
                </c:pt>
                <c:pt idx="18">
                  <c:v>127</c:v>
                </c:pt>
                <c:pt idx="19">
                  <c:v>137</c:v>
                </c:pt>
                <c:pt idx="20">
                  <c:v>147</c:v>
                </c:pt>
                <c:pt idx="21">
                  <c:v>157</c:v>
                </c:pt>
                <c:pt idx="22">
                  <c:v>167</c:v>
                </c:pt>
                <c:pt idx="23">
                  <c:v>177</c:v>
                </c:pt>
                <c:pt idx="24">
                  <c:v>187</c:v>
                </c:pt>
                <c:pt idx="25">
                  <c:v>197</c:v>
                </c:pt>
                <c:pt idx="26">
                  <c:v>207</c:v>
                </c:pt>
                <c:pt idx="27">
                  <c:v>217</c:v>
                </c:pt>
                <c:pt idx="28">
                  <c:v>227</c:v>
                </c:pt>
                <c:pt idx="29">
                  <c:v>237</c:v>
                </c:pt>
                <c:pt idx="30">
                  <c:v>247</c:v>
                </c:pt>
                <c:pt idx="31">
                  <c:v>257</c:v>
                </c:pt>
                <c:pt idx="32">
                  <c:v>267</c:v>
                </c:pt>
                <c:pt idx="33">
                  <c:v>277</c:v>
                </c:pt>
                <c:pt idx="34">
                  <c:v>287</c:v>
                </c:pt>
                <c:pt idx="35">
                  <c:v>297</c:v>
                </c:pt>
                <c:pt idx="36">
                  <c:v>307</c:v>
                </c:pt>
              </c:numCache>
            </c:numRef>
          </c:xVal>
          <c:yVal>
            <c:numRef>
              <c:f>Exercise_ESP!$AJ$106:$AJ$142</c:f>
              <c:numCache>
                <c:formatCode>General</c:formatCode>
                <c:ptCount val="37"/>
                <c:pt idx="0">
                  <c:v>0.78629502985636901</c:v>
                </c:pt>
                <c:pt idx="1">
                  <c:v>0.79383198100432195</c:v>
                </c:pt>
                <c:pt idx="2">
                  <c:v>0.79889729703065404</c:v>
                </c:pt>
                <c:pt idx="3">
                  <c:v>0.80392946774113105</c:v>
                </c:pt>
                <c:pt idx="4">
                  <c:v>0.80894125393663197</c:v>
                </c:pt>
                <c:pt idx="5">
                  <c:v>0.81393084701375895</c:v>
                </c:pt>
                <c:pt idx="6">
                  <c:v>0.81889632027625803</c:v>
                </c:pt>
                <c:pt idx="7">
                  <c:v>0.82383571698902303</c:v>
                </c:pt>
                <c:pt idx="8">
                  <c:v>0.88651840914065305</c:v>
                </c:pt>
                <c:pt idx="9">
                  <c:v>0.92752419468819403</c:v>
                </c:pt>
                <c:pt idx="10">
                  <c:v>0.96024433557085298</c:v>
                </c:pt>
                <c:pt idx="11">
                  <c:v>0.98369997911135398</c:v>
                </c:pt>
                <c:pt idx="12">
                  <c:v>0.99700927127338401</c:v>
                </c:pt>
                <c:pt idx="13">
                  <c:v>1.00015590895113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F-43C8-BFCE-6C8BB1D7A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184831"/>
        <c:axId val="1728382463"/>
      </c:scatterChart>
      <c:valAx>
        <c:axId val="1897184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82463"/>
        <c:crosses val="autoZero"/>
        <c:crossBetween val="midCat"/>
      </c:valAx>
      <c:valAx>
        <c:axId val="172838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971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152400</xdr:colOff>
      <xdr:row>42</xdr:row>
      <xdr:rowOff>59270</xdr:rowOff>
    </xdr:from>
    <xdr:to>
      <xdr:col>21</xdr:col>
      <xdr:colOff>725741</xdr:colOff>
      <xdr:row>64</xdr:row>
      <xdr:rowOff>154802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802020</xdr:colOff>
      <xdr:row>42</xdr:row>
      <xdr:rowOff>95091</xdr:rowOff>
    </xdr:from>
    <xdr:to>
      <xdr:col>27</xdr:col>
      <xdr:colOff>444154</xdr:colOff>
      <xdr:row>64</xdr:row>
      <xdr:rowOff>142875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36</xdr:col>
      <xdr:colOff>409575</xdr:colOff>
      <xdr:row>104</xdr:row>
      <xdr:rowOff>93208</xdr:rowOff>
    </xdr:from>
    <xdr:to>
      <xdr:col>45</xdr:col>
      <xdr:colOff>1361</xdr:colOff>
      <xdr:row>132</xdr:row>
      <xdr:rowOff>107496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40E3F49-EAD1-475B-A739-A6ED3D9E8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SP_head_m"/>
      <definedName name="ESP_id_by_rate"/>
      <definedName name="ESP_name"/>
      <definedName name="ESP_p_atma"/>
      <definedName name="ESP_rate_max_sm3day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zoomScale="70" zoomScaleNormal="70" workbookViewId="0">
      <selection activeCell="J25" sqref="J25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3" width="11.85546875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37" width="12.42578125" customWidth="1"/>
  </cols>
  <sheetData>
    <row r="1" spans="1:12" x14ac:dyDescent="0.2">
      <c r="A1" s="1" t="s">
        <v>14</v>
      </c>
      <c r="F1" t="s">
        <v>15</v>
      </c>
      <c r="G1" t="str">
        <f>[1]!unf_Version()</f>
        <v>7.25</v>
      </c>
      <c r="H1" t="s">
        <v>56</v>
      </c>
      <c r="I1" s="27">
        <v>44027</v>
      </c>
      <c r="J1" s="20"/>
      <c r="K1" s="20"/>
      <c r="L1" s="20"/>
    </row>
    <row r="2" spans="1:12" x14ac:dyDescent="0.2">
      <c r="A2" t="s">
        <v>73</v>
      </c>
      <c r="H2" t="s">
        <v>57</v>
      </c>
      <c r="I2" s="28">
        <v>7.25</v>
      </c>
      <c r="J2" s="20"/>
      <c r="K2" s="20"/>
      <c r="L2" s="20"/>
    </row>
    <row r="3" spans="1:12" ht="15" x14ac:dyDescent="0.25">
      <c r="A3" s="29" t="s">
        <v>58</v>
      </c>
      <c r="B3" s="64" t="s">
        <v>59</v>
      </c>
      <c r="C3" s="65"/>
      <c r="D3" s="65"/>
      <c r="E3" s="66"/>
      <c r="H3" t="s">
        <v>60</v>
      </c>
      <c r="I3" s="20" t="s">
        <v>59</v>
      </c>
      <c r="J3" s="20"/>
      <c r="K3" s="20"/>
      <c r="L3" s="20"/>
    </row>
    <row r="4" spans="1:12" ht="15" x14ac:dyDescent="0.25">
      <c r="A4" s="29" t="s">
        <v>61</v>
      </c>
      <c r="B4" s="64" t="s">
        <v>62</v>
      </c>
      <c r="C4" s="65"/>
      <c r="D4" s="65"/>
      <c r="E4" s="66"/>
      <c r="H4" t="s">
        <v>63</v>
      </c>
      <c r="I4" s="20" t="s">
        <v>62</v>
      </c>
      <c r="J4" s="20"/>
      <c r="K4" s="20"/>
      <c r="L4" s="20"/>
    </row>
    <row r="5" spans="1:12" ht="15" x14ac:dyDescent="0.25">
      <c r="A5" s="29" t="s">
        <v>64</v>
      </c>
      <c r="B5" s="64" t="s">
        <v>65</v>
      </c>
      <c r="C5" s="65"/>
      <c r="D5" s="65"/>
      <c r="E5" s="66"/>
      <c r="H5" t="s">
        <v>66</v>
      </c>
      <c r="I5" s="20" t="s">
        <v>65</v>
      </c>
      <c r="J5" s="20"/>
      <c r="K5" s="20"/>
      <c r="L5" s="20"/>
    </row>
    <row r="6" spans="1:12" x14ac:dyDescent="0.2">
      <c r="A6" s="30" t="s">
        <v>67</v>
      </c>
      <c r="B6" s="67" t="s">
        <v>68</v>
      </c>
      <c r="C6" s="68"/>
      <c r="D6" s="68"/>
      <c r="E6" s="69"/>
      <c r="H6" s="31" t="s">
        <v>69</v>
      </c>
      <c r="I6" s="32" t="s">
        <v>68</v>
      </c>
      <c r="J6" s="32"/>
      <c r="K6" s="32"/>
      <c r="L6" s="32"/>
    </row>
    <row r="7" spans="1:12" x14ac:dyDescent="0.2">
      <c r="A7" s="33"/>
      <c r="B7" s="70"/>
      <c r="C7" s="71"/>
      <c r="D7" s="71"/>
      <c r="E7" s="72"/>
      <c r="H7" s="31"/>
      <c r="I7" s="32"/>
      <c r="J7" s="32"/>
      <c r="K7" s="32"/>
      <c r="L7" s="32"/>
    </row>
    <row r="8" spans="1:12" x14ac:dyDescent="0.2">
      <c r="A8" s="34"/>
      <c r="B8" s="73"/>
      <c r="C8" s="74"/>
      <c r="D8" s="74"/>
      <c r="E8" s="75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16</v>
      </c>
      <c r="C11" s="2">
        <v>0.9</v>
      </c>
      <c r="D11" s="10"/>
      <c r="E11" s="11">
        <f>gamma_oil_*1000</f>
        <v>900</v>
      </c>
      <c r="F11" s="12" t="s">
        <v>17</v>
      </c>
    </row>
    <row r="12" spans="1:12" ht="18.75" x14ac:dyDescent="0.35">
      <c r="B12" s="12" t="s">
        <v>18</v>
      </c>
      <c r="C12" s="2">
        <v>1</v>
      </c>
      <c r="D12" s="10"/>
      <c r="E12" s="11">
        <f>gamma_wat_*1000</f>
        <v>1000</v>
      </c>
      <c r="F12" s="12" t="s">
        <v>17</v>
      </c>
    </row>
    <row r="13" spans="1:12" ht="18.75" x14ac:dyDescent="0.35">
      <c r="B13" s="12" t="s">
        <v>19</v>
      </c>
      <c r="C13" s="2">
        <v>0.8</v>
      </c>
      <c r="D13" s="10"/>
      <c r="E13" s="11">
        <f>gamma_gas_*1.22</f>
        <v>0.97599999999999998</v>
      </c>
      <c r="F13" s="12" t="s">
        <v>17</v>
      </c>
    </row>
    <row r="14" spans="1:12" ht="18.75" x14ac:dyDescent="0.35">
      <c r="B14" s="13" t="s">
        <v>20</v>
      </c>
      <c r="C14" s="2">
        <v>80</v>
      </c>
      <c r="D14" s="12" t="s">
        <v>21</v>
      </c>
      <c r="E14" s="14">
        <f>Rsb_/gamma_oil_</f>
        <v>88.888888888888886</v>
      </c>
      <c r="F14" s="12" t="s">
        <v>22</v>
      </c>
    </row>
    <row r="15" spans="1:12" ht="18.75" x14ac:dyDescent="0.35">
      <c r="B15" s="13" t="s">
        <v>23</v>
      </c>
      <c r="C15" s="2">
        <v>80</v>
      </c>
      <c r="D15" s="12" t="s">
        <v>21</v>
      </c>
      <c r="E15" s="14">
        <f>Rsb_/gamma_oil_</f>
        <v>88.888888888888886</v>
      </c>
      <c r="F15" s="12" t="s">
        <v>22</v>
      </c>
    </row>
    <row r="16" spans="1:12" ht="18" x14ac:dyDescent="0.35">
      <c r="B16" s="12" t="s">
        <v>24</v>
      </c>
      <c r="C16" s="2">
        <v>120</v>
      </c>
      <c r="D16" s="10" t="s">
        <v>25</v>
      </c>
      <c r="E16" s="14">
        <f>Pb_*1.01325</f>
        <v>121.59</v>
      </c>
      <c r="F16" s="10" t="s">
        <v>26</v>
      </c>
    </row>
    <row r="17" spans="1:26" ht="18" x14ac:dyDescent="0.35">
      <c r="B17" s="12" t="s">
        <v>27</v>
      </c>
      <c r="C17" s="2">
        <v>100</v>
      </c>
      <c r="D17" s="10" t="s">
        <v>2</v>
      </c>
      <c r="E17" s="14">
        <f>Tres_*9/5+32</f>
        <v>212</v>
      </c>
      <c r="F17" s="10" t="s">
        <v>28</v>
      </c>
    </row>
    <row r="18" spans="1:26" ht="18.75" x14ac:dyDescent="0.35">
      <c r="B18" s="13" t="s">
        <v>29</v>
      </c>
      <c r="C18" s="2">
        <v>1.2</v>
      </c>
      <c r="D18" s="12" t="s">
        <v>21</v>
      </c>
    </row>
    <row r="19" spans="1:26" ht="18" x14ac:dyDescent="0.35">
      <c r="B19" s="22" t="s">
        <v>49</v>
      </c>
      <c r="C19" s="2">
        <v>1</v>
      </c>
      <c r="D19" s="12" t="s">
        <v>48</v>
      </c>
    </row>
    <row r="20" spans="1:26" x14ac:dyDescent="0.2">
      <c r="B20" s="3"/>
      <c r="C20" s="4"/>
    </row>
    <row r="21" spans="1:26" ht="15.75" x14ac:dyDescent="0.3">
      <c r="B21" s="15" t="s">
        <v>33</v>
      </c>
      <c r="C21" s="2">
        <v>30</v>
      </c>
      <c r="D21" s="23" t="s">
        <v>3</v>
      </c>
    </row>
    <row r="22" spans="1:26" ht="15.75" x14ac:dyDescent="0.3">
      <c r="B22" s="15" t="s">
        <v>36</v>
      </c>
      <c r="C22" s="2">
        <v>10</v>
      </c>
      <c r="D22" s="23" t="s">
        <v>35</v>
      </c>
    </row>
    <row r="23" spans="1:26" x14ac:dyDescent="0.2">
      <c r="A23" s="1" t="s">
        <v>47</v>
      </c>
    </row>
    <row r="24" spans="1:26" ht="15.75" x14ac:dyDescent="0.3">
      <c r="B24" s="16" t="s">
        <v>40</v>
      </c>
      <c r="C24" s="2">
        <v>60</v>
      </c>
      <c r="D24" s="16" t="s">
        <v>3</v>
      </c>
    </row>
    <row r="25" spans="1:26" ht="15.75" x14ac:dyDescent="0.3">
      <c r="B25" s="16" t="s">
        <v>41</v>
      </c>
      <c r="C25" s="2">
        <v>2000</v>
      </c>
      <c r="D25" s="16" t="s">
        <v>4</v>
      </c>
    </row>
    <row r="26" spans="1:26" x14ac:dyDescent="0.2">
      <c r="B26" s="16" t="s">
        <v>37</v>
      </c>
      <c r="C26" s="2">
        <v>55</v>
      </c>
      <c r="D26" s="16" t="s">
        <v>5</v>
      </c>
    </row>
    <row r="27" spans="1:26" x14ac:dyDescent="0.2">
      <c r="B27" s="16" t="s">
        <v>38</v>
      </c>
      <c r="C27" s="11" cm="1">
        <f t="array" ref="C27">[1]!ESP_id_by_rate(Q_ESP_)</f>
        <v>1006</v>
      </c>
      <c r="D27" s="16"/>
    </row>
    <row r="28" spans="1:26" x14ac:dyDescent="0.2">
      <c r="B28" s="16" t="s">
        <v>39</v>
      </c>
      <c r="C28" s="11" t="str" cm="1">
        <f t="array" ref="C28">[1]!ESP_name(PumpID_)</f>
        <v>ЭЦН5-80</v>
      </c>
      <c r="D28" s="16"/>
    </row>
    <row r="29" spans="1:26" ht="15.75" x14ac:dyDescent="0.3">
      <c r="B29" s="16" t="s">
        <v>42</v>
      </c>
      <c r="C29" s="11" cm="1">
        <f t="array" ref="C29">[1]!ESP_rate_max_sm3day(Freq_,PumpID_)</f>
        <v>192.5</v>
      </c>
      <c r="D29" s="16"/>
      <c r="J29" s="17" t="s">
        <v>13</v>
      </c>
    </row>
    <row r="30" spans="1:26" x14ac:dyDescent="0.2">
      <c r="B30" s="16" t="s">
        <v>9</v>
      </c>
      <c r="C30" s="53" cm="1">
        <f t="array" ref="C30">INT(Head_ESP_/[1]!ESP_head_m(Q_ESP_,1,,PumpID_))</f>
        <v>307</v>
      </c>
      <c r="D30" s="16" t="s">
        <v>6</v>
      </c>
      <c r="J30" s="8" t="str">
        <f>[1]!PVT_encode_string(gamma_gas_,gamma_oil_,,Rsb_,Rp_,Pb_,Tres_,Bob_,muob_,,KsepGasSep_,PKsep,TKsep_)</f>
        <v>{"gamma_gas":0.8,"gamma_oil":0.9,"gamma_wat":1,"rsb_m3m3":80,"rp_m3m3":80,"pb_atma":120,"t_res_C":100,"bob_m3m3":1.2,"muob_cP":1,"ksep_fr":0.8,"p_ksep_atma":80,"t_ksep_C":80}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x14ac:dyDescent="0.3">
      <c r="B31" s="16" t="s">
        <v>43</v>
      </c>
      <c r="C31" s="5">
        <v>0.8</v>
      </c>
      <c r="D31" s="16"/>
    </row>
    <row r="32" spans="1:26" ht="15.75" x14ac:dyDescent="0.3">
      <c r="B32" s="16" t="s">
        <v>44</v>
      </c>
      <c r="C32" s="7">
        <v>80</v>
      </c>
      <c r="D32" s="16" t="s">
        <v>1</v>
      </c>
    </row>
    <row r="33" spans="1:16" ht="15.75" x14ac:dyDescent="0.3">
      <c r="B33" s="16" t="s">
        <v>45</v>
      </c>
      <c r="C33" s="7">
        <v>80</v>
      </c>
      <c r="D33" s="16" t="s">
        <v>2</v>
      </c>
    </row>
    <row r="34" spans="1:16" x14ac:dyDescent="0.2">
      <c r="B34" s="21" t="s">
        <v>46</v>
      </c>
      <c r="C34" s="2">
        <v>1</v>
      </c>
      <c r="D34" s="21" t="s">
        <v>30</v>
      </c>
    </row>
    <row r="35" spans="1:16" x14ac:dyDescent="0.2">
      <c r="A35" t="s">
        <v>55</v>
      </c>
    </row>
    <row r="36" spans="1:16" x14ac:dyDescent="0.2">
      <c r="B36" s="16" t="s">
        <v>7</v>
      </c>
      <c r="C36" s="2">
        <v>20</v>
      </c>
      <c r="D36" s="16"/>
      <c r="J36" s="36"/>
    </row>
    <row r="37" spans="1:16" x14ac:dyDescent="0.2">
      <c r="A37" s="1"/>
    </row>
    <row r="38" spans="1:16" x14ac:dyDescent="0.2">
      <c r="A38" s="1" t="s">
        <v>47</v>
      </c>
      <c r="B38" s="3"/>
      <c r="C38" s="4"/>
    </row>
    <row r="39" spans="1:16" ht="12.75" customHeight="1" x14ac:dyDescent="0.3">
      <c r="B39" s="15" t="s">
        <v>31</v>
      </c>
      <c r="C39" s="2">
        <v>50</v>
      </c>
      <c r="D39" s="16" t="s">
        <v>1</v>
      </c>
      <c r="F39" s="52" t="s">
        <v>71</v>
      </c>
      <c r="G39" s="2">
        <v>1</v>
      </c>
    </row>
    <row r="40" spans="1:16" ht="15.75" x14ac:dyDescent="0.3">
      <c r="B40" s="15" t="s">
        <v>32</v>
      </c>
      <c r="C40" s="2">
        <v>80</v>
      </c>
      <c r="D40" s="16" t="s">
        <v>2</v>
      </c>
    </row>
    <row r="41" spans="1:16" ht="15.75" x14ac:dyDescent="0.3">
      <c r="B41" s="15" t="s">
        <v>34</v>
      </c>
      <c r="C41" s="2">
        <v>150</v>
      </c>
      <c r="D41" s="16" t="s">
        <v>1</v>
      </c>
      <c r="F41" t="s">
        <v>70</v>
      </c>
    </row>
    <row r="42" spans="1:16" ht="15.75" x14ac:dyDescent="0.3">
      <c r="B42" s="15" t="s">
        <v>53</v>
      </c>
      <c r="C42" s="2">
        <v>90</v>
      </c>
      <c r="D42" s="23" t="s">
        <v>2</v>
      </c>
    </row>
    <row r="43" spans="1:16" x14ac:dyDescent="0.2">
      <c r="B43" s="15" t="s">
        <v>54</v>
      </c>
      <c r="C43" s="2">
        <v>120</v>
      </c>
      <c r="D43" s="23"/>
      <c r="F43" s="54" cm="1">
        <f t="array" ref="F43:P65">[1]!ESP_p_atma(Q_,fw_,Pintake_,NumStage_,Freq_,PumpID_,PVT_str_,Tintake_,Tdis_,calc_along_flow,gas_degr_type_,,dN)</f>
        <v>245.37900419402283</v>
      </c>
      <c r="G43" s="41">
        <v>2441.4834218955584</v>
      </c>
      <c r="H43" s="41">
        <v>90.750110691075051</v>
      </c>
      <c r="I43" s="41" t="str">
        <v>{"length_pump_m":15.35,"angle":0,"d_od_m":0.092,"d_cas_min_m":0.1217,"d_motor_od_m":0.103}</v>
      </c>
      <c r="J43" s="41">
        <v>0.33962189635029855</v>
      </c>
      <c r="K43" s="41">
        <v>0.25532528950525823</v>
      </c>
      <c r="L43" s="41" t="str">
        <v>{"p_int_atma":50,"t_int_C":80,"p_dis_atma":245.379004194023,"t_dis_C":89.9999999999998}</v>
      </c>
      <c r="M43" s="41" t="str">
        <v>{"power_fluid_W":8007.25306363864,"power_ESP_W":31360.9869165496,"p_dis_atma":245.379004194023,"eff_ESP_d":0.255325289505258}</v>
      </c>
      <c r="N43" s="41" t="str">
        <v>{"ID":1006,"source":"legacy","manufacturer":"Generic","name":"\u042D\u0426\u041D5-80","stages_max":489,"rate_nom_sm3day":80,"rate_opt_min_sm3day":60,"rate_opt_max_sm3day":105,"rate_max_sm3day":175,"slip_nom_rpm":2910,"freq_Hz":50,"eff_max":0.55,"Series":5,"d_od_mm":92,"d_cas_min_mm":121.7,"d_shaft_mm":17,"area_shaft_mm2":227,"power_limit_shaft_kW":72,"power_limit_shaft_high_kW":120,"power_limit_shaft_max_kW":150,"pressure_limit_housing_atma":390,"d_motor_od_mm":103,"rate_points":[0,30,60,80,105,130,175],"head_points":[6.6,6.7,6.5,6,4.8,3.3,0],"power_points":[0.087,0.093,0.096,0.099,0.107,0.117,0.14],"eff_points":[0,0.24,0.47,0.55,0.53,0.41,0]}</v>
      </c>
      <c r="O43" s="41" t="str">
        <v>{"gas_corr_":"{\"x\":[0,1,2,3,4,5,6,7,17,27,37,47,57,67,77,87,97,107,117,127,137,147,157,167,177,187,197,207,217,227,237,247,257,267,277,287,297,307],\"y\":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eff_":"{\"x\":[0,1,2,3,4,5,6,7,17,27,37,47,57,67,77,87,97,107,117,127,137,147,157,167,177,187,197,207,217,227,237,247,257,267,277,287,297,307],\"y\":[0,1,1,1,1,1,1,1,1,1,1,1,1,1,1,1,1,1,1,1,1,1,1,1,1,1,1,1,1,1,1,1,1,1,1,1,1,1]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pow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q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h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mu_stage_cP":"{\"x\":[0,1,2,3,4,5,6,7,17,27,37,47,57,67,77,87,97,107,117,127,137,147,157,167,177,187,197,207,217,227,237,247,257,267,277,287,297,307],\"y\":[0.927596996170067,0.927596996170067,0.929341419668464,0.930504399637686,0.931651150864475,0.932784749215866,0.933904700997667,0.935010487900007,0.936101588532546,0.94898466080536,0.95622480795975,0.960672440421512,0.962150964709018,0.960564865697574,0.956061731938109,0.967988370364961,0.981377072288052,0.995722160319036,1.01099334499982,1.02714631125597,1.04414106889729,1.06194123388018,1.08051343150247,1.09982680402868,1.11985259829908,1.14056381577435,1.16193491245357,1.18394153964708,1.2065603190567,1.22976864730654,1.25354452620547,1.2778664157804,1.30271310762717,1.32806361647333,1.3538970880961,1.38019272193022,1.40692970685747,1.43408716880728],\"stable\":[false,false,false,false,false,false,false,false,false,false,false,false,false,false,false,false,false,false,false,false,false,false,false,false,false,false,false,false,false,false,false,false,false,false,false,false,false,false]}","EffESPInPump":"{\"x\":[0,1,2,3,4,5,6,7,17,27,37,47,57,67,77,87,97,107,117,127,137,147,157,167,177,187,197,207,217,227,237,247,257,267,277,287,297,307],\"y\":[0,0.280496397556112,0.280785613965385,0.281003270532188,0.281197577621573,0.281378301882389,0.281548639453919,0.281709910953086,0.282421895825546,0.283040704468327,0.282726119146213,0.28151429813785,0.279440330298046,0.276572068203411,0.27301072094384,0.270228812554824,0.268058696943878,0.266313757563968,0.264876957399243,0.263671082482565,0.262643053183617,0.261755126494684,0.260979695266382,0.260296075861636,0.259688448998869,0.259144497164258,0.258654477762273,0.258210577265052,0.257806451479716,0.257436892040553,0.257097580331517,0.256784903124865,0.256495812535049,0.25622771828999,0.255978403905194,0.25574596076689,0.255528735793519,0.255325289505258],\"stable\":[false,false,false,false,false,false,false,false,false,false,false,false,false,false,false,false,false,false,false,false,false,false,false,false,false,false,false,false,false,false,false,false,false,false,false,false,false,false]}","PowerESPInPump":"{\"x\":[0,1,2,3,4,5,6,7,17,27,37,47,57,67,77,87,97,107,117,127,137,147,157,167,177,187,197,207,217,227,237,247,257,267,277,287,297,307],\"y\":[0,73.8413223157446,148.264264983575,223.083461984416,298.300752769223,373.919082971527,449.941366885552,526.370478120207,1294.75816744987,2120.51207211164,2992.07321991474,3909.78000244801,4873.49543204214,5881.92246011254,6932.67009864426,7987.94615296137,9044.46449447482,10102.0563996476,11160.5841982819,12219.9327444845,13280.004791343,14340.7174929809,15401.999719361,16463.7899677068,17526.0347185192,18588.6871274533,19651.7059740859,20715.0548094225,21778.7012587681,22842.6164472338,23906.7745229072,24971.1522584477,26035.7287161438,27100.4849646923,28165.4038384156,29230.4697315185,30295.6684214467,31360.9869165496],\"stable\":[false,false,false,false,false,false,false,false,false,false,false,false,false,false,false,false,false,false,false,false,false,false,false,false,false,false,false,false,false,false,false,false,false,false,false,false,false,false]}","PowerfluidInPump":"{\"x\":[0,1,2,3,4,5,6,7,17,27,37,47,57,67,77,87,97,107,117,127,137,147,157,167,177,187,197,207,217,227,237,247,257,267,277,287,297,307],\"y\":[0,20.7122249003461,41.6304726725396,62.6871824192638,83.8814490813972,105.212716607948,126.680379680664,148.283780519577,365.668056286804,600.191230724071,845.937249667808,1100.65897326255,1361.85117323588,1626.77545980542,1892.69326169667,2158.57320366663,2424.44736694409,2690.31659891328,2956.18158523898,3222.04289460236,3487.90100469138,3753.75632139974,4019.60919325174,4285.45992240426,4551.30877315258,4817.1559785876,5083.00174586493,5348.84626041818,5614.68968935983,5880.53218425029,6146.37388337061,6412.21491360175,6678.0553919894,6943.89542705529,7209.73511990285,7475.57456515472,7741.41385175191,8007.25306363864],\"stable\":[false,false,false,false,false,false,false,false,false,false,false,false,false,false,false,false,false,false,false,false,false,false,false,false,false,false,false,false,false,false,false,false,false,false,false,false,false,false]}","q_mix_InPump":"{\"x\":[0,1,2,3,4,5,6,7,17,27,37,47,57,67,77,87,97,107,117,127,137,147,157,167,177,187,197,207,217,227,237,247,257,267,277,287,297,307],\"y\":[49.2281352828703,49.2281352828703,48.8282020373625,48.559386413757,48.2922477173155,48.0260458718804,47.7608153348402,47.4965952609056,47.2334248593994,43.8270233306522,41.4328885063789,39.2648587723972,37.3116641215636,35.5858976976115,34.0893508108984,33.9348269065056,33.8917634055355,33.8546419797861,33.8223520525445,33.7940900011935,33.769220052842,33.7472327015262,33.7277149110809,33.7103283615927,33.6947933186616,33.68087650211,33.6683818446273,33.6571433688273,33.6470196377074,33.6378893879053,33.6296480620673,33.6222050317535,33.615481355776,33.6094079574086,33.6039241320066,33.5989763172802,33.5945170738827,33.590504235551],\"stable\":[false,false,false,false,false,false,false,false,false,false,false,false,false,false,false,false,false,false,false,false,false,false,false,false,false,false,false,false,false,false,false,false,false,false,false,false,false,false]}","gas_fractionInPump":"{\"x\":[0,1,2,3,4,5,6,7,17,27,37,47,57,67,77,87,97,107,117,127,137,147,157,167,177,187,197,207,217,227,237,247,257,267,277,287,297,307],\"y\":[0.339621896350299,0.339621896350299,0.333810223145544,0.329844609982071,0.32585525546803,0.321830928023183,0.317771725669313,0.313677837600762,0.309549476527881,0.251031015655561,0.203272515462535,0.154041803770382,0.103638687966873,5.31400586036481E-02,3.65152417459077E-03,3.1048477693118E-17,2.87626237889004E-17,2.67996339877162E-17,2.51012002634904E-17,2.36237138876982E-17,2.23319491023015E-17,2.11971708334176E-17,2.01957501040568E-17,1.93081271287669E-17,1.85180196159111E-17,1.78118081383814E-17,1.71780522273328E-17,1.66071049301064E-17,1.60908028558972E-17,1.5622214977086E-17,1.51954377472912E-17,1.48054271154232E-17,1.44478601842939E-17,1.41190208545984E-17,1.38157049866349E-17,1.35351415192937E-17,1.327492668683E-17,1.30329690224448E-17],\"stable\":[false,false,false,false,false,false,false,false,false,false,false,false,false,false,false,false,false,false,false,false,false,false,false,false,false,false,false,false,false,false,false,false,false,false,false,false,false,false]}","TempInPump":"{\"x\":[0,1,2,3,4,5,6,7,17,27,37,47,57,67,77,87,97,107,117,127,137,147,157,167,177,187,197,207,217,227,237,247,257,267,277,287,297,307],\"y\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,\"stable\":[false,false,false,false,false,false,false,false,false,false,false,false,false,false,false,false,false,false,false,false,false,false,false,false,false,false,false,false,false,false,false,false,false,false,false,false,false,false]}","PressureInPump":"{\"x\":[0,1,2,3,4,5,6,7,17,27,37,47,57,67,77,87,97,107,117,127,137,147,157,167,177,187,197,207,217,227,237,247,257,267,277,287,297,307],\"y\":[50,50.358765355064,50.7240670607016,51.0938223968973,51.4680519703604,51.8467882957217,52.2300630099667,52.6179067400846,56.5423298066471,61.1052294723665,66.1627587993301,71.6944646082671,77.6636176553239,84.0116769932063,90.663272197829,97.344204438555,104.033480205928,110.729966521235,117.432738880402,124.141024000664,130.854168773517,137.571616783718,144.292890283127,151.017576169078,157.745314947044,164.475791947839,171.208730269338,177.943885052394,184.681038799815,191.419997518676,198.160587518362,204.902652735177,211.646052483054,218.390659551568,225.136358588903,231.883044720113,238.630622360805,245.379004194023],\"stable\":[false,false,false,false,false,false,false,false,false,false,false,false,false,false,false,false,false,false,false,false,false,false,false,false,false,false,false,false,false,false,false,false,false,false,false,false,false,false]}"}</v>
      </c>
      <c r="P43" s="55">
        <v>0</v>
      </c>
    </row>
    <row r="44" spans="1:16" ht="25.5" x14ac:dyDescent="0.2">
      <c r="B44" s="15" t="s">
        <v>72</v>
      </c>
      <c r="C44" s="2">
        <v>10</v>
      </c>
      <c r="F44" s="49" t="str">
        <v>p_dis_atma</v>
      </c>
      <c r="G44" s="50" t="str">
        <v>head_m</v>
      </c>
      <c r="H44" s="50" t="str">
        <v>m_Nm</v>
      </c>
      <c r="I44" s="50" t="str">
        <v>geometry</v>
      </c>
      <c r="J44" s="50" t="str">
        <v>gas_frac_intake</v>
      </c>
      <c r="K44" s="50" t="str">
        <v>eff_ESP_d</v>
      </c>
      <c r="L44" s="50" t="str">
        <v>dict_pressure</v>
      </c>
      <c r="M44" s="50" t="str">
        <v>dict_power</v>
      </c>
      <c r="N44" s="50" t="str">
        <v>db_json_string</v>
      </c>
      <c r="O44" s="50" t="str">
        <v>dict_curves</v>
      </c>
      <c r="P44" s="51">
        <v>0</v>
      </c>
    </row>
    <row r="45" spans="1:16" x14ac:dyDescent="0.2">
      <c r="F45" s="42" t="str">
        <v>i</v>
      </c>
      <c r="G45" s="43" t="str">
        <v>n_stage</v>
      </c>
      <c r="H45" s="43" t="str">
        <v>length_m</v>
      </c>
      <c r="I45" s="43" t="str">
        <v>p_atma</v>
      </c>
      <c r="J45" s="43" t="str">
        <v>t_C</v>
      </c>
      <c r="K45" s="43" t="str">
        <v>gas_fraction</v>
      </c>
      <c r="L45" s="43" t="str">
        <v>qmix_rm3day</v>
      </c>
      <c r="M45" s="43" t="str">
        <v>Power_fluid_W</v>
      </c>
      <c r="N45" s="43" t="str">
        <v>Power_ESP_W</v>
      </c>
      <c r="O45" s="43" t="str">
        <v>eff fluid</v>
      </c>
      <c r="P45" s="44" t="str">
        <v>mu_stage_cP</v>
      </c>
    </row>
    <row r="46" spans="1:16" x14ac:dyDescent="0.2">
      <c r="F46" s="42">
        <v>1</v>
      </c>
      <c r="G46" s="47">
        <v>0</v>
      </c>
      <c r="H46" s="46">
        <v>1015.35</v>
      </c>
      <c r="I46" s="47">
        <v>50</v>
      </c>
      <c r="J46" s="47">
        <v>80</v>
      </c>
      <c r="K46" s="45">
        <v>0.33962189635029855</v>
      </c>
      <c r="L46" s="47">
        <v>49.22813528287034</v>
      </c>
      <c r="M46" s="47">
        <v>0</v>
      </c>
      <c r="N46" s="47">
        <v>0</v>
      </c>
      <c r="O46" s="45">
        <v>0</v>
      </c>
      <c r="P46" s="48">
        <v>0.92759699617006686</v>
      </c>
    </row>
    <row r="47" spans="1:16" x14ac:dyDescent="0.2">
      <c r="F47" s="42">
        <v>2</v>
      </c>
      <c r="G47" s="47">
        <v>16.157894736842106</v>
      </c>
      <c r="H47" s="46">
        <v>1014.542105263158</v>
      </c>
      <c r="I47" s="47">
        <v>56.21185207472606</v>
      </c>
      <c r="J47" s="47">
        <v>80.526315789473642</v>
      </c>
      <c r="K47" s="45">
        <v>0.30989712798665031</v>
      </c>
      <c r="L47" s="47">
        <v>47.255586577421013</v>
      </c>
      <c r="M47" s="47">
        <v>347.36201201166887</v>
      </c>
      <c r="N47" s="47">
        <v>1230.0518357168494</v>
      </c>
      <c r="O47" s="45">
        <v>0.2823619392047077</v>
      </c>
      <c r="P47" s="48">
        <v>0.93600970637401681</v>
      </c>
    </row>
    <row r="48" spans="1:16" x14ac:dyDescent="0.2">
      <c r="F48" s="42">
        <v>3</v>
      </c>
      <c r="G48" s="47">
        <v>32.315789473684212</v>
      </c>
      <c r="H48" s="46">
        <v>1013.7342105263158</v>
      </c>
      <c r="I48" s="47">
        <v>63.793705588278733</v>
      </c>
      <c r="J48" s="47">
        <v>81.052631578947313</v>
      </c>
      <c r="K48" s="45">
        <v>0.22564360239505768</v>
      </c>
      <c r="L48" s="47">
        <v>42.554351660906924</v>
      </c>
      <c r="M48" s="47">
        <v>730.82464079416263</v>
      </c>
      <c r="N48" s="47">
        <v>2583.8156296280249</v>
      </c>
      <c r="O48" s="45">
        <v>0.28287347753394004</v>
      </c>
      <c r="P48" s="48">
        <v>0.95283337060848283</v>
      </c>
    </row>
    <row r="49" spans="6:16" x14ac:dyDescent="0.2">
      <c r="F49" s="42">
        <v>4</v>
      </c>
      <c r="G49" s="47">
        <v>48.473684210526315</v>
      </c>
      <c r="H49" s="46">
        <v>1012.9263157894737</v>
      </c>
      <c r="I49" s="47">
        <v>72.574129267833356</v>
      </c>
      <c r="J49" s="47">
        <v>81.578947368420984</v>
      </c>
      <c r="K49" s="45">
        <v>0.14661397617828589</v>
      </c>
      <c r="L49" s="47">
        <v>38.97701956069541</v>
      </c>
      <c r="M49" s="47">
        <v>1139.1504553638829</v>
      </c>
      <c r="N49" s="47">
        <v>4051.8012236513537</v>
      </c>
      <c r="O49" s="45">
        <v>0.28120866077198386</v>
      </c>
      <c r="P49" s="48">
        <v>0.96089032821124931</v>
      </c>
    </row>
    <row r="50" spans="6:16" x14ac:dyDescent="0.2">
      <c r="F50" s="42">
        <v>5</v>
      </c>
      <c r="G50" s="47">
        <v>64.631578947368425</v>
      </c>
      <c r="H50" s="46">
        <v>1012.1184210526316</v>
      </c>
      <c r="I50" s="47">
        <v>82.508189255286752</v>
      </c>
      <c r="J50" s="47">
        <v>82.105263157894669</v>
      </c>
      <c r="K50" s="45">
        <v>6.5100260294938039E-2</v>
      </c>
      <c r="L50" s="47">
        <v>35.994631850652809</v>
      </c>
      <c r="M50" s="47">
        <v>1564.030234038948</v>
      </c>
      <c r="N50" s="47">
        <v>5643.0844797800755</v>
      </c>
      <c r="O50" s="45">
        <v>0.2772513934363508</v>
      </c>
      <c r="P50" s="48">
        <v>0.96094052072660008</v>
      </c>
    </row>
    <row r="51" spans="6:16" x14ac:dyDescent="0.2">
      <c r="F51" s="42">
        <v>6</v>
      </c>
      <c r="G51" s="47">
        <v>80.789473684210535</v>
      </c>
      <c r="H51" s="46">
        <v>1011.3105263157895</v>
      </c>
      <c r="I51" s="47">
        <v>93.194993889051503</v>
      </c>
      <c r="J51" s="47">
        <v>82.63157894736834</v>
      </c>
      <c r="K51" s="45">
        <v>2.2677886979037493E-3</v>
      </c>
      <c r="L51" s="47">
        <v>34.030794383970623</v>
      </c>
      <c r="M51" s="47">
        <v>1993.4477660221282</v>
      </c>
      <c r="N51" s="47">
        <v>7332.564182385483</v>
      </c>
      <c r="O51" s="45">
        <v>0.27195652408063387</v>
      </c>
      <c r="P51" s="48">
        <v>0.96058130018407384</v>
      </c>
    </row>
    <row r="52" spans="6:16" x14ac:dyDescent="0.2">
      <c r="F52" s="42">
        <v>7</v>
      </c>
      <c r="G52" s="47">
        <v>96.94736842105263</v>
      </c>
      <c r="H52" s="46">
        <v>1010.5026315789474</v>
      </c>
      <c r="I52" s="47">
        <v>103.99827349136335</v>
      </c>
      <c r="J52" s="47">
        <v>83.15789473684201</v>
      </c>
      <c r="K52" s="45">
        <v>2.877465459892264E-17</v>
      </c>
      <c r="L52" s="47">
        <v>33.891990055540631</v>
      </c>
      <c r="M52" s="47">
        <v>2423.0480292426291</v>
      </c>
      <c r="N52" s="47">
        <v>9038.9038716247451</v>
      </c>
      <c r="O52" s="45">
        <v>0.26807011860498825</v>
      </c>
      <c r="P52" s="48">
        <v>0.98130660543582493</v>
      </c>
    </row>
    <row r="53" spans="6:16" x14ac:dyDescent="0.2">
      <c r="F53" s="42">
        <v>8</v>
      </c>
      <c r="G53" s="47">
        <v>113.10526315789474</v>
      </c>
      <c r="H53" s="46">
        <v>1009.6947368421053</v>
      </c>
      <c r="I53" s="47">
        <v>114.82218543525295</v>
      </c>
      <c r="J53" s="47">
        <v>83.684210526315695</v>
      </c>
      <c r="K53" s="45">
        <v>2.5762695503452028E-17</v>
      </c>
      <c r="L53" s="47">
        <v>33.834928129470157</v>
      </c>
      <c r="M53" s="47">
        <v>2852.6341695121291</v>
      </c>
      <c r="N53" s="47">
        <v>10748.315476708545</v>
      </c>
      <c r="O53" s="45">
        <v>0.26543655325287263</v>
      </c>
      <c r="P53" s="48">
        <v>1.005045620439933</v>
      </c>
    </row>
    <row r="54" spans="6:16" x14ac:dyDescent="0.2">
      <c r="F54" s="42">
        <v>9</v>
      </c>
      <c r="G54" s="47">
        <v>129.26315789473685</v>
      </c>
      <c r="H54" s="46">
        <v>1008.8868421052632</v>
      </c>
      <c r="I54" s="47">
        <v>125.6603146597831</v>
      </c>
      <c r="J54" s="47">
        <v>84.210526315789366</v>
      </c>
      <c r="K54" s="45">
        <v>2.3331367120476845E-17</v>
      </c>
      <c r="L54" s="47">
        <v>33.788461539198188</v>
      </c>
      <c r="M54" s="47">
        <v>3282.2107826751344</v>
      </c>
      <c r="N54" s="47">
        <v>12459.843786668227</v>
      </c>
      <c r="O54" s="45">
        <v>0.2634384232201713</v>
      </c>
      <c r="P54" s="48">
        <v>1.0309924932484831</v>
      </c>
    </row>
    <row r="55" spans="6:16" x14ac:dyDescent="0.2">
      <c r="F55" s="42">
        <v>10</v>
      </c>
      <c r="G55" s="47">
        <v>145.42105263157896</v>
      </c>
      <c r="H55" s="46">
        <v>1008.078947368421</v>
      </c>
      <c r="I55" s="47">
        <v>136.51096709789698</v>
      </c>
      <c r="J55" s="47">
        <v>84.736842105263037</v>
      </c>
      <c r="K55" s="45">
        <v>2.1376346349557158E-17</v>
      </c>
      <c r="L55" s="47">
        <v>33.750704388576054</v>
      </c>
      <c r="M55" s="47">
        <v>3711.779166129998</v>
      </c>
      <c r="N55" s="47">
        <v>14173.236540090684</v>
      </c>
      <c r="O55" s="45">
        <v>0.26189532544556821</v>
      </c>
      <c r="P55" s="48">
        <v>1.0591306815144594</v>
      </c>
    </row>
    <row r="56" spans="6:16" x14ac:dyDescent="0.2">
      <c r="F56" s="42">
        <v>11</v>
      </c>
      <c r="G56" s="47">
        <v>161.57894736842107</v>
      </c>
      <c r="H56" s="46">
        <v>1007.271052631579</v>
      </c>
      <c r="I56" s="47">
        <v>147.3720885572202</v>
      </c>
      <c r="J56" s="47">
        <v>85.263157894736722</v>
      </c>
      <c r="K56" s="45">
        <v>1.9789312215371433E-17</v>
      </c>
      <c r="L56" s="47">
        <v>33.719753701578426</v>
      </c>
      <c r="M56" s="47">
        <v>4141.3408429163137</v>
      </c>
      <c r="N56" s="47">
        <v>15888.187885708849</v>
      </c>
      <c r="O56" s="45">
        <v>0.26066666953894546</v>
      </c>
      <c r="P56" s="48">
        <v>1.0893569231328915</v>
      </c>
    </row>
    <row r="57" spans="6:16" x14ac:dyDescent="0.2">
      <c r="F57" s="42">
        <v>12</v>
      </c>
      <c r="G57" s="47">
        <v>177.73684210526318</v>
      </c>
      <c r="H57" s="46">
        <v>1006.4631578947368</v>
      </c>
      <c r="I57" s="47">
        <v>158.24124483131297</v>
      </c>
      <c r="J57" s="47">
        <v>85.789473684210392</v>
      </c>
      <c r="K57" s="45">
        <v>1.8465982980724736E-17</v>
      </c>
      <c r="L57" s="47">
        <v>33.693767869020917</v>
      </c>
      <c r="M57" s="47">
        <v>4570.8975146056891</v>
      </c>
      <c r="N57" s="47">
        <v>17604.335422335422</v>
      </c>
      <c r="O57" s="45">
        <v>0.25964836833737109</v>
      </c>
      <c r="P57" s="48">
        <v>1.1213786880077854</v>
      </c>
    </row>
    <row r="58" spans="6:16" x14ac:dyDescent="0.2">
      <c r="F58" s="42">
        <v>13</v>
      </c>
      <c r="G58" s="47">
        <v>193.89473684210526</v>
      </c>
      <c r="H58" s="46">
        <v>1005.6552631578948</v>
      </c>
      <c r="I58" s="47">
        <v>169.1179757379247</v>
      </c>
      <c r="J58" s="47">
        <v>86.315789473684063</v>
      </c>
      <c r="K58" s="45">
        <v>1.7374850115500504E-17</v>
      </c>
      <c r="L58" s="47">
        <v>33.672261764582466</v>
      </c>
      <c r="M58" s="47">
        <v>5000.4496391840785</v>
      </c>
      <c r="N58" s="47">
        <v>19321.610648026326</v>
      </c>
      <c r="O58" s="45">
        <v>0.2588066416818367</v>
      </c>
      <c r="P58" s="48">
        <v>1.1552986245373882</v>
      </c>
    </row>
    <row r="59" spans="6:16" x14ac:dyDescent="0.2">
      <c r="F59" s="42">
        <v>14</v>
      </c>
      <c r="G59" s="47">
        <v>210.05263157894737</v>
      </c>
      <c r="H59" s="46">
        <v>1004.8473684210527</v>
      </c>
      <c r="I59" s="47">
        <v>180.00048988055451</v>
      </c>
      <c r="J59" s="47">
        <v>86.842105263157748</v>
      </c>
      <c r="K59" s="45">
        <v>1.644949692850571E-17</v>
      </c>
      <c r="L59" s="47">
        <v>33.654052966695964</v>
      </c>
      <c r="M59" s="47">
        <v>5429.9984650424713</v>
      </c>
      <c r="N59" s="47">
        <v>21039.746883433236</v>
      </c>
      <c r="O59" s="45">
        <v>0.25808721255163403</v>
      </c>
      <c r="P59" s="48">
        <v>1.1908462196773881</v>
      </c>
    </row>
    <row r="60" spans="6:16" x14ac:dyDescent="0.2">
      <c r="F60" s="42">
        <v>15</v>
      </c>
      <c r="G60" s="47">
        <v>226.21052631578948</v>
      </c>
      <c r="H60" s="46">
        <v>1004.0394736842105</v>
      </c>
      <c r="I60" s="47">
        <v>190.88797446192399</v>
      </c>
      <c r="J60" s="47">
        <v>87.368421052631419</v>
      </c>
      <c r="K60" s="45">
        <v>1.5659208756992157E-17</v>
      </c>
      <c r="L60" s="47">
        <v>33.638610197100164</v>
      </c>
      <c r="M60" s="47">
        <v>5859.5446188642009</v>
      </c>
      <c r="N60" s="47">
        <v>22758.623142881279</v>
      </c>
      <c r="O60" s="45">
        <v>0.25746606778574976</v>
      </c>
      <c r="P60" s="48">
        <v>1.2279364108657651</v>
      </c>
    </row>
    <row r="61" spans="6:16" x14ac:dyDescent="0.2">
      <c r="F61" s="42">
        <v>16</v>
      </c>
      <c r="G61" s="47">
        <v>242.36842105263159</v>
      </c>
      <c r="H61" s="46">
        <v>1003.2315789473685</v>
      </c>
      <c r="I61" s="47">
        <v>201.78001200317871</v>
      </c>
      <c r="J61" s="47">
        <v>87.894736842105104</v>
      </c>
      <c r="K61" s="45">
        <v>1.4986063618604158E-17</v>
      </c>
      <c r="L61" s="47">
        <v>33.625652330004122</v>
      </c>
      <c r="M61" s="47">
        <v>6289.0885417052214</v>
      </c>
      <c r="N61" s="47">
        <v>24478.177307249985</v>
      </c>
      <c r="O61" s="45">
        <v>0.2569297220416305</v>
      </c>
      <c r="P61" s="48">
        <v>1.2666015406088551</v>
      </c>
    </row>
    <row r="62" spans="6:16" x14ac:dyDescent="0.2">
      <c r="F62" s="42">
        <v>17</v>
      </c>
      <c r="G62" s="47">
        <v>258.5263157894737</v>
      </c>
      <c r="H62" s="46">
        <v>1002.4236842105263</v>
      </c>
      <c r="I62" s="47">
        <v>212.67549250930122</v>
      </c>
      <c r="J62" s="47">
        <v>88.421052631578775</v>
      </c>
      <c r="K62" s="45">
        <v>1.4397668918182514E-17</v>
      </c>
      <c r="L62" s="47">
        <v>33.614554363393587</v>
      </c>
      <c r="M62" s="47">
        <v>6718.6309762889314</v>
      </c>
      <c r="N62" s="47">
        <v>26198.244143553809</v>
      </c>
      <c r="O62" s="45">
        <v>0.25645489288711881</v>
      </c>
      <c r="P62" s="48">
        <v>1.3065823958194827</v>
      </c>
    </row>
    <row r="63" spans="6:16" x14ac:dyDescent="0.2">
      <c r="F63" s="42">
        <v>18</v>
      </c>
      <c r="G63" s="47">
        <v>274.68421052631578</v>
      </c>
      <c r="H63" s="46">
        <v>1001.6157894736842</v>
      </c>
      <c r="I63" s="47">
        <v>223.57419670657254</v>
      </c>
      <c r="J63" s="47">
        <v>88.947368421052445</v>
      </c>
      <c r="K63" s="45">
        <v>1.3885946556058013E-17</v>
      </c>
      <c r="L63" s="47">
        <v>33.605194070520746</v>
      </c>
      <c r="M63" s="47">
        <v>7148.1722436644704</v>
      </c>
      <c r="N63" s="47">
        <v>27918.791046606013</v>
      </c>
      <c r="O63" s="45">
        <v>0.25603613986798879</v>
      </c>
      <c r="P63" s="48">
        <v>1.3479145999308271</v>
      </c>
    </row>
    <row r="64" spans="6:16" x14ac:dyDescent="0.2">
      <c r="F64" s="42">
        <v>19</v>
      </c>
      <c r="G64" s="47">
        <v>290.84210526315792</v>
      </c>
      <c r="H64" s="46">
        <v>1000.8078947368422</v>
      </c>
      <c r="I64" s="47">
        <v>234.47553507680016</v>
      </c>
      <c r="J64" s="47">
        <v>89.47368421052613</v>
      </c>
      <c r="K64" s="45">
        <v>1.3435164241557601E-17</v>
      </c>
      <c r="L64" s="47">
        <v>33.597263029027467</v>
      </c>
      <c r="M64" s="47">
        <v>7577.712817373641</v>
      </c>
      <c r="N64" s="47">
        <v>29639.730280806729</v>
      </c>
      <c r="O64" s="45">
        <v>0.25566250064554247</v>
      </c>
      <c r="P64" s="48">
        <v>1.3904653529812141</v>
      </c>
    </row>
    <row r="65" spans="3:36" x14ac:dyDescent="0.2">
      <c r="F65" s="56">
        <v>20</v>
      </c>
      <c r="G65" s="57">
        <v>307</v>
      </c>
      <c r="H65" s="58">
        <v>1000</v>
      </c>
      <c r="I65" s="57">
        <v>245.37900419402283</v>
      </c>
      <c r="J65" s="57">
        <v>89.999999999999801</v>
      </c>
      <c r="K65" s="59">
        <v>1.3032969022444761E-17</v>
      </c>
      <c r="L65" s="57">
        <v>33.590504235550995</v>
      </c>
      <c r="M65" s="57">
        <v>8007.2530636386391</v>
      </c>
      <c r="N65" s="57">
        <v>31360.986916549584</v>
      </c>
      <c r="O65" s="59">
        <v>0.25532528950525823</v>
      </c>
      <c r="P65" s="60">
        <v>1.4340871688072783</v>
      </c>
    </row>
    <row r="67" spans="3:36" x14ac:dyDescent="0.2">
      <c r="F67" t="s">
        <v>74</v>
      </c>
    </row>
    <row r="68" spans="3:36" x14ac:dyDescent="0.2">
      <c r="G68" s="36" t="str">
        <f>O43</f>
        <v>{"gas_corr_":"{\"x\":[0,1,2,3,4,5,6,7,17,27,37,47,57,67,77,87,97,107,117,127,137,147,157,167,177,187,197,207,217,227,237,247,257,267,277,287,297,307],\"y\":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eff_":"{\"x\":[0,1,2,3,4,5,6,7,17,27,37,47,57,67,77,87,97,107,117,127,137,147,157,167,177,187,197,207,217,227,237,247,257,267,277,287,297,307],\"y\":[0,1,1,1,1,1,1,1,1,1,1,1,1,1,1,1,1,1,1,1,1,1,1,1,1,1,1,1,1,1,1,1,1,1,1,1,1,1]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pow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q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h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mu_stage_cP":"{\"x\":[0,1,2,3,4,5,6,7,17,27,37,47,57,67,77,87,97,107,117,127,137,147,157,167,177,187,197,207,217,227,237,247,257,267,277,287,297,307],\"y\":[0.927596996170067,0.927596996170067,0.929341419668464,0.930504399637686,0.931651150864475,0.932784749215866,0.933904700997667,0.935010487900007,0.936101588532546,0.94898466080536,0.95622480795975,0.960672440421512,0.962150964709018,0.960564865697574,0.956061731938109,0.967988370364961,0.981377072288052,0.995722160319036,1.01099334499982,1.02714631125597,1.04414106889729,1.06194123388018,1.08051343150247,1.09982680402868,1.11985259829908,1.14056381577435,1.16193491245357,1.18394153964708,1.2065603190567,1.22976864730654,1.25354452620547,1.2778664157804,1.30271310762717,1.32806361647333,1.3538970880961,1.38019272193022,1.40692970685747,1.43408716880728],\"stable\":[false,false,false,false,false,false,false,false,false,false,false,false,false,false,false,false,false,false,false,false,false,false,false,false,false,false,false,false,false,false,false,false,false,false,false,false,false,false]}","EffESPInPump":"{\"x\":[0,1,2,3,4,5,6,7,17,27,37,47,57,67,77,87,97,107,117,127,137,147,157,167,177,187,197,207,217,227,237,247,257,267,277,287,297,307],\"y\":[0,0.280496397556112,0.280785613965385,0.281003270532188,0.281197577621573,0.281378301882389,0.281548639453919,0.281709910953086,0.282421895825546,0.283040704468327,0.282726119146213,0.28151429813785,0.279440330298046,0.276572068203411,0.27301072094384,0.270228812554824,0.268058696943878,0.266313757563968,0.264876957399243,0.263671082482565,0.262643053183617,0.261755126494684,0.260979695266382,0.260296075861636,0.259688448998869,0.259144497164258,0.258654477762273,0.258210577265052,0.257806451479716,0.257436892040553,0.257097580331517,0.256784903124865,0.256495812535049,0.25622771828999,0.255978403905194,0.25574596076689,0.255528735793519,0.255325289505258],\"stable\":[false,false,false,false,false,false,false,false,false,false,false,false,false,false,false,false,false,false,false,false,false,false,false,false,false,false,false,false,false,false,false,false,false,false,false,false,false,false]}","PowerESPInPump":"{\"x\":[0,1,2,3,4,5,6,7,17,27,37,47,57,67,77,87,97,107,117,127,137,147,157,167,177,187,197,207,217,227,237,247,257,267,277,287,297,307],\"y\":[0,73.8413223157446,148.264264983575,223.083461984416,298.300752769223,373.919082971527,449.941366885552,526.370478120207,1294.75816744987,2120.51207211164,2992.07321991474,3909.78000244801,4873.49543204214,5881.92246011254,6932.67009864426,7987.94615296137,9044.46449447482,10102.0563996476,11160.5841982819,12219.9327444845,13280.004791343,14340.7174929809,15401.999719361,16463.7899677068,17526.0347185192,18588.6871274533,19651.7059740859,20715.0548094225,21778.7012587681,22842.6164472338,23906.7745229072,24971.1522584477,26035.7287161438,27100.4849646923,28165.4038384156,29230.4697315185,30295.6684214467,31360.9869165496],\"stable\":[false,false,false,false,false,false,false,false,false,false,false,false,false,false,false,false,false,false,false,false,false,false,false,false,false,false,false,false,false,false,false,false,false,false,false,false,false,false]}","PowerfluidInPump":"{\"x\":[0,1,2,3,4,5,6,7,17,27,37,47,57,67,77,87,97,107,117,127,137,147,157,167,177,187,197,207,217,227,237,247,257,267,277,287,297,307],\"y\":[0,20.7122249003461,41.6304726725396,62.6871824192638,83.8814490813972,105.212716607948,126.680379680664,148.283780519577,365.668056286804,600.191230724071,845.937249667808,1100.65897326255,1361.85117323588,1626.77545980542,1892.69326169667,2158.57320366663,2424.44736694409,2690.31659891328,2956.18158523898,3222.04289460236,3487.90100469138,3753.75632139974,4019.60919325174,4285.45992240426,4551.30877315258,4817.1559785876,5083.00174586493,5348.84626041818,5614.68968935983,5880.53218425029,6146.37388337061,6412.21491360175,6678.0553919894,6943.89542705529,7209.73511990285,7475.57456515472,7741.41385175191,8007.25306363864],\"stable\":[false,false,false,false,false,false,false,false,false,false,false,false,false,false,false,false,false,false,false,false,false,false,false,false,false,false,false,false,false,false,false,false,false,false,false,false,false,false]}","q_mix_InPump":"{\"x\":[0,1,2,3,4,5,6,7,17,27,37,47,57,67,77,87,97,107,117,127,137,147,157,167,177,187,197,207,217,227,237,247,257,267,277,287,297,307],\"y\":[49.2281352828703,49.2281352828703,48.8282020373625,48.559386413757,48.2922477173155,48.0260458718804,47.7608153348402,47.4965952609056,47.2334248593994,43.8270233306522,41.4328885063789,39.2648587723972,37.3116641215636,35.5858976976115,34.0893508108984,33.9348269065056,33.8917634055355,33.8546419797861,33.8223520525445,33.7940900011935,33.769220052842,33.7472327015262,33.7277149110809,33.7103283615927,33.6947933186616,33.68087650211,33.6683818446273,33.6571433688273,33.6470196377074,33.6378893879053,33.6296480620673,33.6222050317535,33.615481355776,33.6094079574086,33.6039241320066,33.5989763172802,33.5945170738827,33.590504235551],\"stable\":[false,false,false,false,false,false,false,false,false,false,false,false,false,false,false,false,false,false,false,false,false,false,false,false,false,false,false,false,false,false,false,false,false,false,false,false,false,false]}","gas_fractionInPump":"{\"x\":[0,1,2,3,4,5,6,7,17,27,37,47,57,67,77,87,97,107,117,127,137,147,157,167,177,187,197,207,217,227,237,247,257,267,277,287,297,307],\"y\":[0.339621896350299,0.339621896350299,0.333810223145544,0.329844609982071,0.32585525546803,0.321830928023183,0.317771725669313,0.313677837600762,0.309549476527881,0.251031015655561,0.203272515462535,0.154041803770382,0.103638687966873,5.31400586036481E-02,3.65152417459077E-03,3.1048477693118E-17,2.87626237889004E-17,2.67996339877162E-17,2.51012002634904E-17,2.36237138876982E-17,2.23319491023015E-17,2.11971708334176E-17,2.01957501040568E-17,1.93081271287669E-17,1.85180196159111E-17,1.78118081383814E-17,1.71780522273328E-17,1.66071049301064E-17,1.60908028558972E-17,1.5622214977086E-17,1.51954377472912E-17,1.48054271154232E-17,1.44478601842939E-17,1.41190208545984E-17,1.38157049866349E-17,1.35351415192937E-17,1.327492668683E-17,1.30329690224448E-17],\"stable\":[false,false,false,false,false,false,false,false,false,false,false,false,false,false,false,false,false,false,false,false,false,false,false,false,false,false,false,false,false,false,false,false,false,false,false,false,false,false]}","TempInPump":"{\"x\":[0,1,2,3,4,5,6,7,17,27,37,47,57,67,77,87,97,107,117,127,137,147,157,167,177,187,197,207,217,227,237,247,257,267,277,287,297,307],\"y\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,\"stable\":[false,false,false,false,false,false,false,false,false,false,false,false,false,false,false,false,false,false,false,false,false,false,false,false,false,false,false,false,false,false,false,false,false,false,false,false,false,false]}","PressureInPump":"{\"x\":[0,1,2,3,4,5,6,7,17,27,37,47,57,67,77,87,97,107,117,127,137,147,157,167,177,187,197,207,217,227,237,247,257,267,277,287,297,307],\"y\":[50,50.358765355064,50.7240670607016,51.0938223968973,51.4680519703604,51.8467882957217,52.2300630099667,52.6179067400846,56.5423298066471,61.1052294723665,66.1627587993301,71.6944646082671,77.6636176553239,84.0116769932063,90.663272197829,97.344204438555,104.033480205928,110.729966521235,117.432738880402,124.141024000664,130.854168773517,137.571616783718,144.292890283127,151.017576169078,157.745314947044,164.475791947839,171.208730269338,177.943885052394,184.681038799815,191.419997518676,198.160587518362,204.902652735177,211.646052483054,218.390659551568,225.136358588903,231.883044720113,238.630622360805,245.379004194023],\"stable\":[false,false,false,false,false,false,false,false,false,false,false,false,false,false,false,false,false,false,false,false,false,false,false,false,false,false,false,false,false,false,false,false,false,false,false,false,false,false]}"}</v>
      </c>
    </row>
    <row r="69" spans="3:36" x14ac:dyDescent="0.2">
      <c r="G69" s="36" t="str">
        <f>L43</f>
        <v>{"p_int_atma":50,"t_int_C":80,"p_dis_atma":245.379004194023,"t_dis_C":89.9999999999998}</v>
      </c>
    </row>
    <row r="70" spans="3:36" x14ac:dyDescent="0.2">
      <c r="G70" s="36" t="str">
        <f>M43</f>
        <v>{"power_fluid_W":8007.25306363864,"power_ESP_W":31360.9869165496,"p_dis_atma":245.379004194023,"eff_ESP_d":0.255325289505258}</v>
      </c>
    </row>
    <row r="71" spans="3:36" x14ac:dyDescent="0.2">
      <c r="G71" s="36" t="str">
        <f>N43</f>
        <v>{"ID":1006,"source":"legacy","manufacturer":"Generic","name":"\u042D\u0426\u041D5-80","stages_max":489,"rate_nom_sm3day":80,"rate_opt_min_sm3day":60,"rate_opt_max_sm3day":105,"rate_max_sm3day":175,"slip_nom_rpm":2910,"freq_Hz":50,"eff_max":0.55,"Series":5,"d_od_mm":92,"d_cas_min_mm":121.7,"d_shaft_mm":17,"area_shaft_mm2":227,"power_limit_shaft_kW":72,"power_limit_shaft_high_kW":120,"power_limit_shaft_max_kW":150,"pressure_limit_housing_atma":390,"d_motor_od_mm":103,"rate_points":[0,30,60,80,105,130,175],"head_points":[6.6,6.7,6.5,6,4.8,3.3,0],"power_points":[0.087,0.093,0.096,0.099,0.107,0.117,0.14],"eff_points":[0,0.24,0.47,0.55,0.53,0.41,0]}</v>
      </c>
    </row>
    <row r="72" spans="3:36" x14ac:dyDescent="0.2">
      <c r="G72" s="36"/>
    </row>
    <row r="73" spans="3:36" x14ac:dyDescent="0.2">
      <c r="C73" s="4"/>
    </row>
    <row r="74" spans="3:36" x14ac:dyDescent="0.2">
      <c r="C74" s="4"/>
      <c r="D74" s="61" t="s">
        <v>10</v>
      </c>
      <c r="E74" s="62"/>
      <c r="F74" s="62"/>
      <c r="G74" s="62"/>
      <c r="H74" s="63"/>
      <c r="AI74" t="s">
        <v>75</v>
      </c>
    </row>
    <row r="75" spans="3:36" ht="25.5" x14ac:dyDescent="0.2">
      <c r="C75" s="18" t="s">
        <v>0</v>
      </c>
      <c r="D75" s="19" t="s">
        <v>50</v>
      </c>
      <c r="E75" s="19" t="s">
        <v>12</v>
      </c>
      <c r="F75" s="19" t="s">
        <v>52</v>
      </c>
      <c r="G75" s="19" t="s">
        <v>50</v>
      </c>
      <c r="H75" s="19" t="s">
        <v>51</v>
      </c>
      <c r="AI75" t="str" cm="1">
        <f t="array" ref="AI75:AJ87">[1]!decode_json_string(G68,0)</f>
        <v>gas_corr_</v>
      </c>
      <c r="AJ75" t="str">
        <v>{"x":[0,1,2,3,4,5,6,7,17,27,37,47,57,67,77,87,97,107,117,127,137,147,157,167,177,187,197,207,217,227,237,247,257,267,277,287,297,307],"y":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76" spans="3:36" x14ac:dyDescent="0.2">
      <c r="C76" s="6">
        <v>1</v>
      </c>
      <c r="D76" s="26">
        <f t="array" ref="D76:H76">[1]!ESP_p_atma(C76,fw_,Pintake_,NumStage_,Freq_,PumpID_,PVT_str_,Tintake_,Tdis_,1,gas_degr_type_,,dN)</f>
        <v>242.74352697801498</v>
      </c>
      <c r="E76" s="26">
        <v>2409.977262201528</v>
      </c>
      <c r="F76" s="26">
        <v>84.891742203896683</v>
      </c>
      <c r="G76" s="26" t="str">
        <v>{"length_pump_m":15.35,"angle":0,"d_od_m":0.092,"d_cas_min_m":0.1217,"d_motor_od_m":0.103}</v>
      </c>
      <c r="H76" s="26">
        <v>0.33962189635029844</v>
      </c>
      <c r="AI76" t="str">
        <v>corr_visc_eff_</v>
      </c>
      <c r="AJ76" t="str">
        <v>{"x":[0,1,2,3,4,5,6,7,17,27,37,47,57,67,77,87,97,107,117,127,137,147,157,167,177,187,197,207,217,227,237,247,257,267,277,287,297,307],"y":[0,1,1,1,1,1,1,1,1,1,1,1,1,1,1,1,1,1,1,1,1,1,1,1,1,1,1,1,1,1,1,1,1,1,1,1,1,1]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77" spans="3:36" x14ac:dyDescent="0.2">
      <c r="C77" s="6">
        <f t="shared" ref="C77:C96" si="0">C76+Qmax_/20</f>
        <v>10.625</v>
      </c>
      <c r="D77" s="26">
        <f t="array" ref="D77:H77">[1]!ESP_p_atma(C77,fw_,Pintake_,NumStage_,Freq_,PumpID_,PVT_str_,Tintake_,Tdis_,1,gas_degr_type_,,dN)</f>
        <v>244.74146883383307</v>
      </c>
      <c r="E77" s="26">
        <v>2433.83442410419</v>
      </c>
      <c r="F77" s="26">
        <v>87.220936540932399</v>
      </c>
      <c r="G77" s="26" t="str">
        <v>{"length_pump_m":15.35,"angle":0,"d_od_m":0.092,"d_cas_min_m":0.1217,"d_motor_od_m":0.103}</v>
      </c>
      <c r="H77" s="26">
        <v>0.33962189635029855</v>
      </c>
      <c r="AI77" t="str">
        <v>corr_visc_pow_</v>
      </c>
      <c r="AJ77" t="str">
        <v>{"x":[0,1,2,3,4,5,6,7,17,27,37,47,57,67,77,87,97,107,117,127,137,147,157,167,177,187,197,207,217,227,237,247,257,267,277,287,297,307],"y":[1,1,1,1,1,1,1,1,1,1,1,1,1,1,1,1,1,1,1,1,1,1,1,1,1,1,1,1,1,1,1,1,1,1,1,1,1,1]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78" spans="3:36" x14ac:dyDescent="0.2">
      <c r="C78" s="6">
        <f t="shared" si="0"/>
        <v>20.25</v>
      </c>
      <c r="D78" s="26">
        <f t="array" ref="D78:H78">[1]!ESP_p_atma(C78,fw_,Pintake_,NumStage_,Freq_,PumpID_,PVT_str_,Tintake_,Tdis_,1,gas_degr_type_,,dN)</f>
        <v>245.63415038135415</v>
      </c>
      <c r="E78" s="26">
        <v>2444.3451647722204</v>
      </c>
      <c r="F78" s="26">
        <v>89.179672553549736</v>
      </c>
      <c r="G78" s="26" t="str">
        <v>{"length_pump_m":15.35,"angle":0,"d_od_m":0.092,"d_cas_min_m":0.1217,"d_motor_od_m":0.103}</v>
      </c>
      <c r="H78" s="26">
        <v>0.33962189635029844</v>
      </c>
      <c r="AI78" t="str">
        <v>corr_visc_q_</v>
      </c>
      <c r="AJ78" t="str">
        <v>{"x":[0,1,2,3,4,5,6,7,17,27,37,47,57,67,77,87,97,107,117,127,137,147,157,167,177,187,197,207,217,227,237,247,257,267,277,287,297,307],"y":[1,1,1,1,1,1,1,1,1,1,1,1,1,1,1,1,1,1,1,1,1,1,1,1,1,1,1,1,1,1,1,1,1,1,1,1,1,1]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79" spans="3:36" x14ac:dyDescent="0.2">
      <c r="C79" s="6">
        <f t="shared" si="0"/>
        <v>29.875</v>
      </c>
      <c r="D79" s="26">
        <f t="array" ref="D79:H79">[1]!ESP_p_atma(C79,fw_,Pintake_,NumStage_,Freq_,PumpID_,PVT_str_,Tintake_,Tdis_,1,gas_degr_type_,,dN)</f>
        <v>245.38925755941278</v>
      </c>
      <c r="E79" s="26">
        <v>2441.6053841171806</v>
      </c>
      <c r="F79" s="26">
        <v>90.732879007763316</v>
      </c>
      <c r="G79" s="26" t="str">
        <v>{"length_pump_m":15.35,"angle":0,"d_od_m":0.092,"d_cas_min_m":0.1217,"d_motor_od_m":0.103}</v>
      </c>
      <c r="H79" s="26">
        <v>0.33962189635029849</v>
      </c>
      <c r="AI79" t="str">
        <v>corr_visc_h_</v>
      </c>
      <c r="AJ79" t="str">
        <v>{"x":[0,1,2,3,4,5,6,7,17,27,37,47,57,67,77,87,97,107,117,127,137,147,157,167,177,187,197,207,217,227,237,247,257,267,277,287,297,307],"y":[1,1,1,1,1,1,1,1,1,1,1,1,1,1,1,1,1,1,1,1,1,1,1,1,1,1,1,1,1,1,1,1,1,1,1,1,1,1]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0" spans="3:36" x14ac:dyDescent="0.2">
      <c r="C80" s="6">
        <f t="shared" si="0"/>
        <v>39.5</v>
      </c>
      <c r="D80" s="26">
        <f t="array" ref="D80:H80">[1]!ESP_p_atma(C80,fw_,Pintake_,NumStage_,Freq_,PumpID_,PVT_str_,Tintake_,Tdis_,1,gas_degr_type_,,dN)</f>
        <v>244.06461990854916</v>
      </c>
      <c r="E80" s="26">
        <v>2425.8264352368119</v>
      </c>
      <c r="F80" s="26">
        <v>91.778419788045383</v>
      </c>
      <c r="G80" s="26" t="str">
        <v>{"length_pump_m":15.35,"angle":0,"d_od_m":0.092,"d_cas_min_m":0.1217,"d_motor_od_m":0.103}</v>
      </c>
      <c r="H80" s="26">
        <v>0.33962189635029855</v>
      </c>
      <c r="AI80" t="str">
        <v>mu_stage_cP</v>
      </c>
      <c r="AJ80" t="str">
        <v>{"x":[0,1,2,3,4,5,6,7,17,27,37,47,57,67,77,87,97,107,117,127,137,147,157,167,177,187,197,207,217,227,237,247,257,267,277,287,297,307],"y":[0.927596996170067,0.927596996170067,0.929341419668464,0.930504399637686,0.931651150864475,0.932784749215866,0.933904700997667,0.935010487900007,0.936101588532546,0.94898466080536,0.95622480795975,0.960672440421512,0.962150964709018,0.960564865697574,0.956061731938109,0.967988370364961,0.981377072288052,0.995722160319036,1.01099334499982,1.02714631125597,1.04414106889729,1.06194123388018,1.08051343150247,1.09982680402868,1.11985259829908,1.14056381577435,1.16193491245357,1.18394153964708,1.2065603190567,1.22976864730654,1.25354452620547,1.2778664157804,1.30271310762717,1.32806361647333,1.3538970880961,1.38019272193022,1.40692970685747,1.43408716880728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1" spans="3:36" x14ac:dyDescent="0.2">
      <c r="C81" s="6">
        <f t="shared" si="0"/>
        <v>49.125</v>
      </c>
      <c r="D81" s="26">
        <f t="array" ref="D81:H81">[1]!ESP_p_atma(C81,fw_,Pintake_,NumStage_,Freq_,PumpID_,PVT_str_,Tintake_,Tdis_,1,gas_degr_type_,,dN)</f>
        <v>241.45325539071436</v>
      </c>
      <c r="E81" s="26">
        <v>2394.6584852539777</v>
      </c>
      <c r="F81" s="26">
        <v>92.547516225232144</v>
      </c>
      <c r="G81" s="26" t="str">
        <v>{"length_pump_m":15.35,"angle":0,"d_od_m":0.092,"d_cas_min_m":0.1217,"d_motor_od_m":0.103}</v>
      </c>
      <c r="H81" s="26">
        <v>0.33962189635029855</v>
      </c>
      <c r="AI81" t="str">
        <v>EffESPInPump</v>
      </c>
      <c r="AJ81" t="str">
        <v>{"x":[0,1,2,3,4,5,6,7,17,27,37,47,57,67,77,87,97,107,117,127,137,147,157,167,177,187,197,207,217,227,237,247,257,267,277,287,297,307],"y":[0,0.280496397556112,0.280785613965385,0.281003270532188,0.281197577621573,0.281378301882389,0.281548639453919,0.281709910953086,0.282421895825546,0.283040704468327,0.282726119146213,0.28151429813785,0.279440330298046,0.276572068203411,0.27301072094384,0.270228812554824,0.268058696943878,0.266313757563968,0.264876957399243,0.263671082482565,0.262643053183617,0.261755126494684,0.260979695266382,0.260296075861636,0.259688448998869,0.259144497164258,0.258654477762273,0.258210577265052,0.257806451479716,0.257436892040553,0.257097580331517,0.256784903124865,0.256495812535049,0.25622771828999,0.255978403905194,0.25574596076689,0.255528735793519,0.255325289505258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2" spans="3:36" x14ac:dyDescent="0.2">
      <c r="C82" s="6">
        <f t="shared" si="0"/>
        <v>58.75</v>
      </c>
      <c r="D82" s="26">
        <f t="array" ref="D82:H82">[1]!ESP_p_atma(C82,fw_,Pintake_,NumStage_,Freq_,PumpID_,PVT_str_,Tintake_,Tdis_,1,gas_degr_type_,,dN)</f>
        <v>236.86823753728305</v>
      </c>
      <c r="E82" s="26">
        <v>2339.7285584603578</v>
      </c>
      <c r="F82" s="26">
        <v>93.406295135471922</v>
      </c>
      <c r="G82" s="26" t="str">
        <v>{"length_pump_m":15.35,"angle":0,"d_od_m":0.092,"d_cas_min_m":0.1217,"d_motor_od_m":0.103}</v>
      </c>
      <c r="H82" s="26">
        <v>0.33962189635029849</v>
      </c>
      <c r="AI82" t="str">
        <v>PowerESPInPump</v>
      </c>
      <c r="AJ82" t="str">
        <v>{"x":[0,1,2,3,4,5,6,7,17,27,37,47,57,67,77,87,97,107,117,127,137,147,157,167,177,187,197,207,217,227,237,247,257,267,277,287,297,307],"y":[0,73.8413223157446,148.264264983575,223.083461984416,298.300752769223,373.919082971527,449.941366885552,526.370478120207,1294.75816744987,2120.51207211164,2992.07321991474,3909.78000244801,4873.49543204214,5881.92246011254,6932.67009864426,7987.94615296137,9044.46449447482,10102.0563996476,11160.5841982819,12219.9327444845,13280.004791343,14340.7174929809,15401.999719361,16463.7899677068,17526.0347185192,18588.6871274533,19651.7059740859,20715.0548094225,21778.7012587681,22842.6164472338,23906.7745229072,24971.1522584477,26035.7287161438,27100.4849646923,28165.4038384156,29230.4697315185,30295.6684214467,31360.9869165496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3" spans="3:36" x14ac:dyDescent="0.2">
      <c r="C83" s="6">
        <f t="shared" si="0"/>
        <v>68.375</v>
      </c>
      <c r="D83" s="26">
        <f t="array" ref="D83:H83">[1]!ESP_p_atma(C83,fw_,Pintake_,NumStage_,Freq_,PumpID_,PVT_str_,Tintake_,Tdis_,1,gas_degr_type_,,dN)</f>
        <v>228.80645888181493</v>
      </c>
      <c r="E83" s="26">
        <v>2243.1150960999785</v>
      </c>
      <c r="F83" s="26">
        <v>94.531633320700806</v>
      </c>
      <c r="G83" s="26" t="str">
        <v>{"length_pump_m":15.35,"angle":0,"d_od_m":0.092,"d_cas_min_m":0.1217,"d_motor_od_m":0.103}</v>
      </c>
      <c r="H83" s="26">
        <v>0.33962189635029849</v>
      </c>
      <c r="AI83" t="str">
        <v>PowerfluidInPump</v>
      </c>
      <c r="AJ83" t="str">
        <v>{"x":[0,1,2,3,4,5,6,7,17,27,37,47,57,67,77,87,97,107,117,127,137,147,157,167,177,187,197,207,217,227,237,247,257,267,277,287,297,307],"y":[0,20.7122249003461,41.6304726725396,62.6871824192638,83.8814490813972,105.212716607948,126.680379680664,148.283780519577,365.668056286804,600.191230724071,845.937249667808,1100.65897326255,1361.85117323588,1626.77545980542,1892.69326169667,2158.57320366663,2424.44736694409,2690.31659891328,2956.18158523898,3222.04289460236,3487.90100469138,3753.75632139974,4019.60919325174,4285.45992240426,4551.30877315258,4817.1559785876,5083.00174586493,5348.84626041818,5614.68968935983,5880.53218425029,6146.37388337061,6412.21491360175,6678.0553919894,6943.89542705529,7209.73511990285,7475.57456515472,7741.41385175191,8007.25306363864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4" spans="3:36" x14ac:dyDescent="0.2">
      <c r="C84" s="6">
        <f t="shared" si="0"/>
        <v>78</v>
      </c>
      <c r="D84" s="26">
        <f t="array" ref="D84:H84">[1]!ESP_p_atma(C84,fw_,Pintake_,NumStage_,Freq_,PumpID_,PVT_str_,Tintake_,Tdis_,1,gas_degr_type_,,dN)</f>
        <v>215.9786244841695</v>
      </c>
      <c r="E84" s="26">
        <v>2089.40922060814</v>
      </c>
      <c r="F84" s="26">
        <v>96.089184315325369</v>
      </c>
      <c r="G84" s="26" t="str">
        <v>{"length_pump_m":15.35,"angle":0,"d_od_m":0.092,"d_cas_min_m":0.1217,"d_motor_od_m":0.103}</v>
      </c>
      <c r="H84" s="26">
        <v>0.33962189635029855</v>
      </c>
      <c r="AI84" t="str">
        <v>q_mix_InPump</v>
      </c>
      <c r="AJ84" t="str">
        <v>{"x":[0,1,2,3,4,5,6,7,17,27,37,47,57,67,77,87,97,107,117,127,137,147,157,167,177,187,197,207,217,227,237,247,257,267,277,287,297,307],"y":[49.2281352828703,49.2281352828703,48.8282020373625,48.559386413757,48.2922477173155,48.0260458718804,47.7608153348402,47.4965952609056,47.2334248593994,43.8270233306522,41.4328885063789,39.2648587723972,37.3116641215636,35.5858976976115,34.0893508108984,33.9348269065056,33.8917634055355,33.8546419797861,33.8223520525445,33.7940900011935,33.769220052842,33.7472327015262,33.7277149110809,33.7103283615927,33.6947933186616,33.68087650211,33.6683818446273,33.6571433688273,33.6470196377074,33.6378893879053,33.6296480620673,33.6222050317535,33.615481355776,33.6094079574086,33.6039241320066,33.5989763172802,33.5945170738827,33.590504235551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5" spans="3:36" x14ac:dyDescent="0.2">
      <c r="C85" s="6">
        <f t="shared" si="0"/>
        <v>87.625</v>
      </c>
      <c r="D85" s="26">
        <f t="array" ref="D85:H85">[1]!ESP_p_atma(C85,fw_,Pintake_,NumStage_,Freq_,PumpID_,PVT_str_,Tintake_,Tdis_,1,gas_degr_type_,,dN)</f>
        <v>198.64263424584192</v>
      </c>
      <c r="E85" s="26">
        <v>1881.6498242180421</v>
      </c>
      <c r="F85" s="26">
        <v>98.308347464132012</v>
      </c>
      <c r="G85" s="26" t="str">
        <v>{"length_pump_m":15.35,"angle":0,"d_od_m":0.092,"d_cas_min_m":0.1217,"d_motor_od_m":0.103}</v>
      </c>
      <c r="H85" s="26">
        <v>0.33962189635029855</v>
      </c>
      <c r="AI85" t="str">
        <v>gas_fractionInPump</v>
      </c>
      <c r="AJ85" s="35" t="str">
        <v>{"x":[0,1,2,3,4,5,6,7,17,27,37,47,57,67,77,87,97,107,117,127,137,147,157,167,177,187,197,207,217,227,237,247,257,267,277,287,297,307],"y":[0.339621896350299,0.339621896350299,0.333810223145544,0.329844609982071,0.32585525546803,0.321830928023183,0.317771725669313,0.313677837600762,0.309549476527881,0.251031015655561,0.203272515462535,0.154041803770382,0.103638687966873,5.31400586036481E-02,3.65152417459077E-03,3.1048477693118E-17,2.87626237889004E-17,2.67996339877162E-17,2.51012002634904E-17,2.36237138876982E-17,2.23319491023015E-17,2.11971708334176E-17,2.01957501040568E-17,1.93081271287669E-17,1.85180196159111E-17,1.78118081383814E-17,1.71780522273328E-17,1.66071049301064E-17,1.60908028558972E-17,1.5622214977086E-17,1.51954377472912E-17,1.48054271154232E-17,1.44478601842939E-17,1.41190208545984E-17,1.38157049866349E-17,1.35351415192937E-17,1.327492668683E-17,1.30329690224448E-17]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6" spans="3:36" x14ac:dyDescent="0.2">
      <c r="C86" s="6">
        <f t="shared" si="0"/>
        <v>97.25</v>
      </c>
      <c r="D86" s="26">
        <f t="array" ref="D86:H86">[1]!ESP_p_atma(C86,fw_,Pintake_,NumStage_,Freq_,PumpID_,PVT_str_,Tintake_,Tdis_,1,gas_degr_type_,,dN)</f>
        <v>176.54789764122543</v>
      </c>
      <c r="E86" s="26">
        <v>1616.8488786563141</v>
      </c>
      <c r="F86" s="26">
        <v>100.76646181392711</v>
      </c>
      <c r="G86" s="26" t="str">
        <v>{"length_pump_m":15.35,"angle":0,"d_od_m":0.092,"d_cas_min_m":0.1217,"d_motor_od_m":0.103}</v>
      </c>
      <c r="H86" s="26">
        <v>0.33962189635029849</v>
      </c>
      <c r="AI86" t="str">
        <v>TempInPump</v>
      </c>
      <c r="AJ86" s="35" t="str">
        <v>{"x":[0,1,2,3,4,5,6,7,17,27,37,47,57,67,77,87,97,107,117,127,137,147,157,167,177,187,197,207,217,227,237,247,257,267,277,287,297,307],"y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7" spans="3:36" x14ac:dyDescent="0.2">
      <c r="C87" s="6">
        <f t="shared" si="0"/>
        <v>106.875</v>
      </c>
      <c r="D87" s="26">
        <f t="array" ref="D87:H87">[1]!ESP_p_atma(C87,fw_,Pintake_,NumStage_,Freq_,PumpID_,PVT_str_,Tintake_,Tdis_,1,gas_degr_type_,,dN)</f>
        <v>145.23623762783362</v>
      </c>
      <c r="E87" s="26">
        <v>1241.37752184499</v>
      </c>
      <c r="F87" s="26">
        <v>102.43481092158608</v>
      </c>
      <c r="G87" s="26" t="str">
        <v>{"length_pump_m":15.35,"angle":0,"d_od_m":0.092,"d_cas_min_m":0.1217,"d_motor_od_m":0.103}</v>
      </c>
      <c r="H87" s="26">
        <v>0.33962189635029849</v>
      </c>
      <c r="AI87" t="str">
        <v>PressureInPump</v>
      </c>
      <c r="AJ87" s="35" t="str">
        <v>{"x":[0,1,2,3,4,5,6,7,17,27,37,47,57,67,77,87,97,107,117,127,137,147,157,167,177,187,197,207,217,227,237,247,257,267,277,287,297,307],"y":[50,50.358765355064,50.7240670607016,51.0938223968973,51.4680519703604,51.8467882957217,52.2300630099667,52.6179067400846,56.5423298066471,61.1052294723665,66.1627587993301,71.6944646082671,77.6636176553239,84.0116769932063,90.663272197829,97.344204438555,104.033480205928,110.729966521235,117.432738880402,124.141024000664,130.854168773517,137.571616783718,144.292890283127,151.017576169078,157.745314947044,164.475791947839,171.208730269338,177.943885052394,184.681038799815,191.419997518676,198.160587518362,204.902652735177,211.646052483054,218.390659551568,225.136358588903,231.883044720113,238.630622360805,245.379004194023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88" spans="3:36" x14ac:dyDescent="0.2">
      <c r="C88" s="6">
        <f t="shared" si="0"/>
        <v>116.5</v>
      </c>
      <c r="D88" s="26">
        <f t="array" ref="D88:H88">[1]!ESP_p_atma(C88,fw_,Pintake_,NumStage_,Freq_,PumpID_,PVT_str_,Tintake_,Tdis_,1,gas_degr_type_,,dN)</f>
        <v>50.319268453084703</v>
      </c>
      <c r="E88" s="26">
        <v>5.6242283277923457</v>
      </c>
      <c r="F88" s="26">
        <v>36.788073516099466</v>
      </c>
      <c r="G88" s="26" t="str">
        <v>{"length_pump_m":15.35,"angle":0,"d_od_m":0.092,"d_cas_min_m":0.1217,"d_motor_od_m":0.103}</v>
      </c>
      <c r="H88" s="26">
        <v>0.33962189635029849</v>
      </c>
      <c r="AJ88" s="35"/>
    </row>
    <row r="89" spans="3:36" x14ac:dyDescent="0.2">
      <c r="C89" s="6">
        <f t="shared" si="0"/>
        <v>126.125</v>
      </c>
      <c r="D89" s="26">
        <f t="array" ref="D89:H89">[1]!ESP_p_atma(C89,fw_,Pintake_,NumStage_,Freq_,PumpID_,PVT_str_,Tintake_,Tdis_,1,gas_degr_type_,,dN)</f>
        <v>22.801105722972043</v>
      </c>
      <c r="E89" s="26">
        <v>-647.89380284430979</v>
      </c>
      <c r="F89" s="26">
        <v>0</v>
      </c>
      <c r="G89" s="26" t="str">
        <v>{"length_pump_m":15.35,"angle":0,"d_od_m":0.092,"d_cas_min_m":0.1217,"d_motor_od_m":0.103}</v>
      </c>
      <c r="H89" s="26">
        <v>0.33962189635029849</v>
      </c>
      <c r="AJ89" s="35"/>
    </row>
    <row r="90" spans="3:36" x14ac:dyDescent="0.2">
      <c r="C90" s="6">
        <f t="shared" si="0"/>
        <v>135.75</v>
      </c>
      <c r="D90" s="26">
        <f t="array" ref="D90:H90">[1]!ESP_p_atma(C90,fw_,Pintake_,NumStage_,Freq_,PumpID_,PVT_str_,Tintake_,Tdis_,1,gas_degr_type_,,dN)</f>
        <v>21.58489726579775</v>
      </c>
      <c r="E90" s="26">
        <v>-690.75991231824537</v>
      </c>
      <c r="F90" s="26">
        <v>0</v>
      </c>
      <c r="G90" s="26" t="str">
        <v>{"length_pump_m":15.35,"angle":0,"d_od_m":0.092,"d_cas_min_m":0.1217,"d_motor_od_m":0.103}</v>
      </c>
      <c r="H90" s="26">
        <v>0.33962189635029849</v>
      </c>
      <c r="AJ90" s="35"/>
    </row>
    <row r="91" spans="3:36" x14ac:dyDescent="0.2">
      <c r="C91" s="6">
        <f t="shared" si="0"/>
        <v>145.375</v>
      </c>
      <c r="D91" s="26">
        <f t="array" ref="D91:H91">[1]!ESP_p_atma(C91,fw_,Pintake_,NumStage_,Freq_,PumpID_,PVT_str_,Tintake_,Tdis_,1,gas_degr_type_,,dN)</f>
        <v>21.200290747387729</v>
      </c>
      <c r="E91" s="26">
        <v>-704.7321816261898</v>
      </c>
      <c r="F91" s="26">
        <v>0</v>
      </c>
      <c r="G91" s="26" t="str">
        <v>{"length_pump_m":15.35,"angle":0,"d_od_m":0.092,"d_cas_min_m":0.1217,"d_motor_od_m":0.103}</v>
      </c>
      <c r="H91" s="26">
        <v>0.33962189635029844</v>
      </c>
      <c r="AJ91" s="35"/>
    </row>
    <row r="92" spans="3:36" x14ac:dyDescent="0.2">
      <c r="C92" s="6">
        <f t="shared" si="0"/>
        <v>155</v>
      </c>
      <c r="D92" s="26">
        <f t="array" ref="D92:H92">[1]!ESP_p_atma(C92,fw_,Pintake_,NumStage_,Freq_,PumpID_,PVT_str_,Tintake_,Tdis_,1,gas_degr_type_,,dN)</f>
        <v>21.029093604746915</v>
      </c>
      <c r="E92" s="26">
        <v>-710.97047141858116</v>
      </c>
      <c r="F92" s="26">
        <v>0</v>
      </c>
      <c r="G92" s="26" t="str">
        <v>{"length_pump_m":15.35,"angle":0,"d_od_m":0.092,"d_cas_min_m":0.1217,"d_motor_od_m":0.103}</v>
      </c>
      <c r="H92" s="26">
        <v>0.33962189635029849</v>
      </c>
      <c r="AJ92" s="35"/>
    </row>
    <row r="93" spans="3:36" x14ac:dyDescent="0.2">
      <c r="C93" s="6">
        <f t="shared" si="0"/>
        <v>164.625</v>
      </c>
      <c r="D93" s="26">
        <f t="array" ref="D93:H93">[1]!ESP_p_atma(C93,fw_,Pintake_,NumStage_,Freq_,PumpID_,PVT_str_,Tintake_,Tdis_,1,gas_degr_type_,,dN)</f>
        <v>20.944358260937872</v>
      </c>
      <c r="E93" s="26">
        <v>-714.00873423848611</v>
      </c>
      <c r="F93" s="26">
        <v>0</v>
      </c>
      <c r="G93" s="26" t="str">
        <v>{"length_pump_m":15.35,"angle":0,"d_od_m":0.092,"d_cas_min_m":0.1217,"d_motor_od_m":0.103}</v>
      </c>
      <c r="H93" s="26">
        <v>0.33962189635029844</v>
      </c>
      <c r="AJ93" s="35"/>
    </row>
    <row r="94" spans="3:36" x14ac:dyDescent="0.2">
      <c r="C94" s="6">
        <f t="shared" si="0"/>
        <v>174.25</v>
      </c>
      <c r="D94" s="26">
        <f t="array" ref="D94:H94">[1]!ESP_p_atma(C94,fw_,Pintake_,NumStage_,Freq_,PumpID_,PVT_str_,Tintake_,Tdis_,1,gas_degr_type_,,dN)</f>
        <v>20.90261676540711</v>
      </c>
      <c r="E94" s="26">
        <v>-715.44428787920572</v>
      </c>
      <c r="F94" s="26">
        <v>0</v>
      </c>
      <c r="G94" s="26" t="str">
        <v>{"length_pump_m":15.35,"angle":0,"d_od_m":0.092,"d_cas_min_m":0.1217,"d_motor_od_m":0.103}</v>
      </c>
      <c r="H94" s="26">
        <v>0.33962189635029849</v>
      </c>
      <c r="AJ94" s="35"/>
    </row>
    <row r="95" spans="3:36" x14ac:dyDescent="0.2">
      <c r="C95" s="6">
        <f t="shared" si="0"/>
        <v>183.875</v>
      </c>
      <c r="D95" s="26">
        <f t="array" ref="D95:H95">[1]!ESP_p_atma(C95,fw_,Pintake_,NumStage_,Freq_,PumpID_,PVT_str_,Tintake_,Tdis_,1,gas_degr_type_,,dN)</f>
        <v>20.882672400424852</v>
      </c>
      <c r="E95" s="26">
        <v>-716.09834642174576</v>
      </c>
      <c r="F95" s="26">
        <v>0</v>
      </c>
      <c r="G95" s="26" t="str">
        <v>{"length_pump_m":15.35,"angle":0,"d_od_m":0.092,"d_cas_min_m":0.1217,"d_motor_od_m":0.103}</v>
      </c>
      <c r="H95" s="26">
        <v>0.33962189635029844</v>
      </c>
    </row>
    <row r="96" spans="3:36" x14ac:dyDescent="0.2">
      <c r="C96" s="6">
        <f t="shared" si="0"/>
        <v>193.5</v>
      </c>
      <c r="D96" s="26">
        <f t="array" ref="D96:H96">[1]!ESP_p_atma(C96,fw_,Pintake_,NumStage_,Freq_,PumpID_,PVT_str_,Tintake_,Tdis_,1,gas_degr_type_,,dN)</f>
        <v>20.876596451309425</v>
      </c>
      <c r="E96" s="26">
        <v>-716.28387448433227</v>
      </c>
      <c r="F96" s="26">
        <v>0</v>
      </c>
      <c r="G96" s="26" t="str">
        <v>{"length_pump_m":15.35,"angle":0,"d_od_m":0.092,"d_cas_min_m":0.1217,"d_motor_od_m":0.103}</v>
      </c>
      <c r="H96" s="26">
        <v>0.33962189635029849</v>
      </c>
    </row>
    <row r="97" spans="3:36" x14ac:dyDescent="0.2">
      <c r="D97" s="24"/>
      <c r="E97" s="24"/>
      <c r="F97" s="24"/>
      <c r="G97" s="25"/>
      <c r="H97" s="26"/>
    </row>
    <row r="100" spans="3:36" x14ac:dyDescent="0.2">
      <c r="AI100" t="str" cm="1">
        <f t="array" ref="AI100:AJ102">[1]!decode_json_string(AJ75,0)</f>
        <v>x</v>
      </c>
      <c r="AJ100" t="str">
        <v>[0,1,2,3,4,5,6,7,17,27,37,47,57,67,77,87,97,107,117,127,137,147,157,167,177,187,197,207,217,227,237,247,257,267,277,287,297,307]</v>
      </c>
    </row>
    <row r="101" spans="3:36" x14ac:dyDescent="0.2">
      <c r="AI101" t="str">
        <v>y</v>
      </c>
      <c r="AJ101" t="str">
        <v>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</v>
      </c>
    </row>
    <row r="102" spans="3:36" x14ac:dyDescent="0.2">
      <c r="C102" s="4"/>
      <c r="D102" s="61" t="s">
        <v>11</v>
      </c>
      <c r="E102" s="62"/>
      <c r="F102" s="62"/>
      <c r="G102" s="62"/>
      <c r="H102" s="63"/>
      <c r="AI102" t="str">
        <v>stable</v>
      </c>
      <c r="AJ102" t="str">
        <v>[false,false,false,false,false,false,false,false,false,false,false,false,false,false,false,false,false,false,false,false,false,false,false,false,false,false,false,false,false,false,false,false,false,false,false,false,false,false]</v>
      </c>
    </row>
    <row r="103" spans="3:36" ht="25.5" x14ac:dyDescent="0.2">
      <c r="C103" s="18" t="s">
        <v>0</v>
      </c>
      <c r="D103" s="19" t="s">
        <v>12</v>
      </c>
      <c r="E103" s="19" t="s">
        <v>12</v>
      </c>
      <c r="F103" s="19" t="s">
        <v>52</v>
      </c>
      <c r="G103" s="19" t="s">
        <v>50</v>
      </c>
      <c r="H103" s="19" t="s">
        <v>51</v>
      </c>
    </row>
    <row r="104" spans="3:36" x14ac:dyDescent="0.2">
      <c r="C104" s="6">
        <f>C76</f>
        <v>1</v>
      </c>
      <c r="D104" s="26">
        <f t="array" ref="D104:H104">[1]!ESP_p_atma(C104,fw_,Pdis_,NumStage_,Freq_,PumpID_,PVT_str_,Tintake_,Tdis_,0,gas_degr_type_,,dN)</f>
        <v>26.665494711306604</v>
      </c>
      <c r="E104" s="26">
        <v>1833.2908181536011</v>
      </c>
      <c r="F104" s="26">
        <v>64.91732476476173</v>
      </c>
      <c r="G104" s="25" t="str">
        <v>{"length_pump_m":15.35,"angle":0,"d_od_m":0.092,"d_cas_min_m":0.1217,"d_motor_od_m":0.103}</v>
      </c>
      <c r="H104" s="26">
        <v>0</v>
      </c>
    </row>
    <row r="105" spans="3:36" x14ac:dyDescent="0.2">
      <c r="C105" s="6">
        <f t="shared" ref="C105:C124" si="1">C77</f>
        <v>10.625</v>
      </c>
      <c r="D105" s="26">
        <f t="array" ref="D105:H105">[1]!ESP_p_atma(C105,fw_,Pdis_,NumStage_,Freq_,PumpID_,PVT_str_,Tintake_,Tdis_,0,gas_degr_type_,,dN)</f>
        <v>26.437931874675456</v>
      </c>
      <c r="E105" s="26">
        <v>1840.4285739115417</v>
      </c>
      <c r="F105" s="26">
        <v>66.80411975714371</v>
      </c>
      <c r="G105" s="25" t="str">
        <v>{"length_pump_m":15.35,"angle":0,"d_od_m":0.092,"d_cas_min_m":0.1217,"d_motor_od_m":0.103}</v>
      </c>
      <c r="H105" s="26">
        <v>0</v>
      </c>
      <c r="AI105" cm="1">
        <f t="array" ref="AI105:AI142">[1]!decode_json_string(AJ100,0)</f>
        <v>0</v>
      </c>
      <c r="AJ105" cm="1">
        <f t="array" ref="AJ105:AJ142">[1]!decode_json_string(AJ101,0)</f>
        <v>1</v>
      </c>
    </row>
    <row r="106" spans="3:36" x14ac:dyDescent="0.2">
      <c r="C106" s="6">
        <f t="shared" si="1"/>
        <v>20.25</v>
      </c>
      <c r="D106" s="26">
        <f t="array" ref="D106:H106">[1]!ESP_p_atma(C106,fw_,Pdis_,NumStage_,Freq_,PumpID_,PVT_str_,Tintake_,Tdis_,0,gas_degr_type_,,dN)</f>
        <v>26.464996026083725</v>
      </c>
      <c r="E106" s="26">
        <v>1839.7011403158679</v>
      </c>
      <c r="F106" s="26">
        <v>68.36717543816188</v>
      </c>
      <c r="G106" s="25" t="str">
        <v>{"length_pump_m":15.35,"angle":0,"d_od_m":0.092,"d_cas_min_m":0.1217,"d_motor_od_m":0.103}</v>
      </c>
      <c r="H106" s="26">
        <v>0</v>
      </c>
      <c r="AI106">
        <v>1</v>
      </c>
      <c r="AJ106">
        <v>0.78629502985636901</v>
      </c>
    </row>
    <row r="107" spans="3:36" x14ac:dyDescent="0.2">
      <c r="C107" s="6">
        <f t="shared" si="1"/>
        <v>29.875</v>
      </c>
      <c r="D107" s="26">
        <f t="array" ref="D107:H107">[1]!ESP_p_atma(C107,fw_,Pdis_,NumStage_,Freq_,PumpID_,PVT_str_,Tintake_,Tdis_,0,gas_degr_type_,,dN)</f>
        <v>26.783948142655294</v>
      </c>
      <c r="E107" s="26">
        <v>1830.0360785161204</v>
      </c>
      <c r="F107" s="26">
        <v>69.773572817016557</v>
      </c>
      <c r="G107" s="25" t="str">
        <v>{"length_pump_m":15.35,"angle":0,"d_od_m":0.092,"d_cas_min_m":0.1217,"d_motor_od_m":0.103}</v>
      </c>
      <c r="H107" s="26">
        <v>0</v>
      </c>
      <c r="AI107">
        <v>2</v>
      </c>
      <c r="AJ107">
        <v>0.79383198100432195</v>
      </c>
    </row>
    <row r="108" spans="3:36" x14ac:dyDescent="0.2">
      <c r="C108" s="6">
        <f t="shared" si="1"/>
        <v>39.5</v>
      </c>
      <c r="D108" s="26">
        <f t="array" ref="D108:H108">[1]!ESP_p_atma(C108,fw_,Pdis_,NumStage_,Freq_,PumpID_,PVT_str_,Tintake_,Tdis_,0,gas_degr_type_,,dN)</f>
        <v>27.677204539804169</v>
      </c>
      <c r="E108" s="26">
        <v>1803.4453180914136</v>
      </c>
      <c r="F108" s="26">
        <v>71.500885539405274</v>
      </c>
      <c r="G108" s="25" t="str">
        <v>{"length_pump_m":15.35,"angle":0,"d_od_m":0.092,"d_cas_min_m":0.1217,"d_motor_od_m":0.103}</v>
      </c>
      <c r="H108" s="26">
        <v>0</v>
      </c>
      <c r="AI108">
        <v>3</v>
      </c>
      <c r="AJ108">
        <v>0.79889729703065404</v>
      </c>
    </row>
    <row r="109" spans="3:36" x14ac:dyDescent="0.2">
      <c r="C109" s="6">
        <f t="shared" si="1"/>
        <v>49.125</v>
      </c>
      <c r="D109" s="26">
        <f t="array" ref="D109:H109">[1]!ESP_p_atma(C109,fw_,Pdis_,NumStage_,Freq_,PumpID_,PVT_str_,Tintake_,Tdis_,0,gas_degr_type_,,dN)</f>
        <v>29.19929707391632</v>
      </c>
      <c r="E109" s="26">
        <v>1759.7195580818868</v>
      </c>
      <c r="F109" s="26">
        <v>73.939494193787937</v>
      </c>
      <c r="G109" s="25" t="str">
        <v>{"length_pump_m":15.35,"angle":0,"d_od_m":0.092,"d_cas_min_m":0.1217,"d_motor_od_m":0.103}</v>
      </c>
      <c r="H109" s="26">
        <v>0</v>
      </c>
      <c r="AI109">
        <v>4</v>
      </c>
      <c r="AJ109">
        <v>0.80392946774113105</v>
      </c>
    </row>
    <row r="110" spans="3:36" x14ac:dyDescent="0.2">
      <c r="C110" s="6">
        <f t="shared" si="1"/>
        <v>58.75</v>
      </c>
      <c r="D110" s="26">
        <f t="array" ref="D110:H110">[1]!ESP_p_atma(C110,fw_,Pdis_,NumStage_,Freq_,PumpID_,PVT_str_,Tintake_,Tdis_,0,gas_degr_type_,,dN)</f>
        <v>31.293832439212249</v>
      </c>
      <c r="E110" s="26">
        <v>1702.5343001629019</v>
      </c>
      <c r="F110" s="26">
        <v>77.125791193957753</v>
      </c>
      <c r="G110" s="25" t="str">
        <v>{"length_pump_m":15.35,"angle":0,"d_od_m":0.092,"d_cas_min_m":0.1217,"d_motor_od_m":0.103}</v>
      </c>
      <c r="H110" s="26">
        <v>0</v>
      </c>
      <c r="AI110">
        <v>5</v>
      </c>
      <c r="AJ110">
        <v>0.80894125393663197</v>
      </c>
    </row>
    <row r="111" spans="3:36" x14ac:dyDescent="0.2">
      <c r="C111" s="6">
        <f t="shared" si="1"/>
        <v>68.375</v>
      </c>
      <c r="D111" s="26">
        <f t="array" ref="D111:H111">[1]!ESP_p_atma(C111,fw_,Pdis_,NumStage_,Freq_,PumpID_,PVT_str_,Tintake_,Tdis_,0,gas_degr_type_,,dN)</f>
        <v>33.977944455669466</v>
      </c>
      <c r="E111" s="26">
        <v>1633.9584627406066</v>
      </c>
      <c r="F111" s="26">
        <v>81.064508161440159</v>
      </c>
      <c r="G111" s="25" t="str">
        <v>{"length_pump_m":15.35,"angle":0,"d_od_m":0.092,"d_cas_min_m":0.1217,"d_motor_od_m":0.103}</v>
      </c>
      <c r="H111" s="26">
        <v>0</v>
      </c>
      <c r="AI111">
        <v>6</v>
      </c>
      <c r="AJ111">
        <v>0.81393084701375895</v>
      </c>
    </row>
    <row r="112" spans="3:36" x14ac:dyDescent="0.2">
      <c r="C112" s="6">
        <f t="shared" si="1"/>
        <v>78</v>
      </c>
      <c r="D112" s="26">
        <f t="array" ref="D112:H112">[1]!ESP_p_atma(C112,fw_,Pdis_,NumStage_,Freq_,PumpID_,PVT_str_,Tintake_,Tdis_,0,gas_degr_type_,,dN)</f>
        <v>37.269633719185883</v>
      </c>
      <c r="E112" s="26">
        <v>1555.8295008581417</v>
      </c>
      <c r="F112" s="26">
        <v>85.760495303777844</v>
      </c>
      <c r="G112" s="25" t="str">
        <v>{"length_pump_m":15.35,"angle":0,"d_od_m":0.092,"d_cas_min_m":0.1217,"d_motor_od_m":0.103}</v>
      </c>
      <c r="H112" s="26">
        <v>0</v>
      </c>
      <c r="AI112">
        <v>7</v>
      </c>
      <c r="AJ112">
        <v>0.81889632027625803</v>
      </c>
    </row>
    <row r="113" spans="3:36" x14ac:dyDescent="0.2">
      <c r="C113" s="6">
        <f t="shared" si="1"/>
        <v>87.625</v>
      </c>
      <c r="D113" s="26">
        <f t="array" ref="D113:H113">[1]!ESP_p_atma(C113,fw_,Pdis_,NumStage_,Freq_,PumpID_,PVT_str_,Tintake_,Tdis_,0,gas_degr_type_,,dN)</f>
        <v>41.138622570991551</v>
      </c>
      <c r="E113" s="26">
        <v>1470.9307200683645</v>
      </c>
      <c r="F113" s="26">
        <v>91.167276812403799</v>
      </c>
      <c r="G113" s="25" t="str">
        <v>{"length_pump_m":15.35,"angle":0,"d_od_m":0.092,"d_cas_min_m":0.1217,"d_motor_od_m":0.103}</v>
      </c>
      <c r="H113" s="26">
        <v>0</v>
      </c>
      <c r="AI113">
        <v>17</v>
      </c>
      <c r="AJ113">
        <v>0.82383571698902303</v>
      </c>
    </row>
    <row r="114" spans="3:36" x14ac:dyDescent="0.2">
      <c r="C114" s="6">
        <f t="shared" si="1"/>
        <v>97.25</v>
      </c>
      <c r="D114" s="26">
        <f t="array" ref="D114:H114">[1]!ESP_p_atma(C114,fw_,Pdis_,NumStage_,Freq_,PumpID_,PVT_str_,Tintake_,Tdis_,0,gas_degr_type_,,dN)</f>
        <v>45.572527451247879</v>
      </c>
      <c r="E114" s="26">
        <v>1381.3317901746727</v>
      </c>
      <c r="F114" s="26">
        <v>97.031200541408694</v>
      </c>
      <c r="G114" s="25" t="str">
        <v>{"length_pump_m":15.35,"angle":0,"d_od_m":0.092,"d_cas_min_m":0.1217,"d_motor_od_m":0.103}</v>
      </c>
      <c r="H114" s="26">
        <v>0</v>
      </c>
      <c r="AI114">
        <v>27</v>
      </c>
      <c r="AJ114">
        <v>0.88651840914065305</v>
      </c>
    </row>
    <row r="115" spans="3:36" x14ac:dyDescent="0.2">
      <c r="C115" s="6">
        <f t="shared" si="1"/>
        <v>106.875</v>
      </c>
      <c r="D115" s="26">
        <f t="array" ref="D115:H115">[1]!ESP_p_atma(C115,fw_,Pdis_,NumStage_,Freq_,PumpID_,PVT_str_,Tintake_,Tdis_,0,gas_degr_type_,,dN)</f>
        <v>50.632639518358431</v>
      </c>
      <c r="E115" s="26">
        <v>1287.1630738415079</v>
      </c>
      <c r="F115" s="26">
        <v>103.08602814157641</v>
      </c>
      <c r="G115" s="25" t="str">
        <v>{"length_pump_m":15.35,"angle":0,"d_od_m":0.092,"d_cas_min_m":0.1217,"d_motor_od_m":0.103}</v>
      </c>
      <c r="H115" s="26">
        <v>0</v>
      </c>
      <c r="AI115">
        <v>37</v>
      </c>
      <c r="AJ115">
        <v>0.92752419468819403</v>
      </c>
    </row>
    <row r="116" spans="3:36" x14ac:dyDescent="0.2">
      <c r="C116" s="6">
        <f t="shared" si="1"/>
        <v>116.5</v>
      </c>
      <c r="D116" s="26">
        <f t="array" ref="D116:H116">[1]!ESP_p_atma(C116,fw_,Pdis_,NumStage_,Freq_,PumpID_,PVT_str_,Tintake_,Tdis_,0,gas_degr_type_,,dN)</f>
        <v>56.485826747120122</v>
      </c>
      <c r="E116" s="26">
        <v>1187.2742040485871</v>
      </c>
      <c r="F116" s="26">
        <v>109.22416064515808</v>
      </c>
      <c r="G116" s="25" t="str">
        <v>{"length_pump_m":15.35,"angle":0,"d_od_m":0.092,"d_cas_min_m":0.1217,"d_motor_od_m":0.103}</v>
      </c>
      <c r="H116" s="26">
        <v>0</v>
      </c>
      <c r="AI116">
        <v>47</v>
      </c>
      <c r="AJ116">
        <v>0.96024433557085298</v>
      </c>
    </row>
    <row r="117" spans="3:36" x14ac:dyDescent="0.2">
      <c r="C117" s="6">
        <f t="shared" si="1"/>
        <v>126.125</v>
      </c>
      <c r="D117" s="26">
        <f t="array" ref="D117:H117">[1]!ESP_p_atma(C117,fw_,Pdis_,NumStage_,Freq_,PumpID_,PVT_str_,Tintake_,Tdis_,0,gas_degr_type_,,dN)</f>
        <v>63.550794645336673</v>
      </c>
      <c r="E117" s="26">
        <v>1076.6547286947828</v>
      </c>
      <c r="F117" s="26">
        <v>115.42044642772515</v>
      </c>
      <c r="G117" s="25" t="str">
        <v>{"length_pump_m":15.35,"angle":0,"d_od_m":0.092,"d_cas_min_m":0.1217,"d_motor_od_m":0.103}</v>
      </c>
      <c r="H117" s="26">
        <v>0</v>
      </c>
      <c r="AI117">
        <v>57</v>
      </c>
      <c r="AJ117">
        <v>0.98369997911135398</v>
      </c>
    </row>
    <row r="118" spans="3:36" x14ac:dyDescent="0.2">
      <c r="C118" s="6">
        <f t="shared" si="1"/>
        <v>135.75</v>
      </c>
      <c r="D118" s="26">
        <f t="array" ref="D118:H118">[1]!ESP_p_atma(C118,fw_,Pdis_,NumStage_,Freq_,PumpID_,PVT_str_,Tintake_,Tdis_,0,gas_degr_type_,,dN)</f>
        <v>72.978230071204294</v>
      </c>
      <c r="E118" s="26">
        <v>942.21974266289487</v>
      </c>
      <c r="F118" s="26">
        <v>121.55539963712077</v>
      </c>
      <c r="G118" s="25" t="str">
        <v>{"length_pump_m":15.35,"angle":0,"d_od_m":0.092,"d_cas_min_m":0.1217,"d_motor_od_m":0.103}</v>
      </c>
      <c r="H118" s="26">
        <v>0</v>
      </c>
      <c r="AI118">
        <v>67</v>
      </c>
      <c r="AJ118">
        <v>0.99700927127338401</v>
      </c>
    </row>
    <row r="119" spans="3:36" x14ac:dyDescent="0.2">
      <c r="C119" s="6">
        <f t="shared" si="1"/>
        <v>145.375</v>
      </c>
      <c r="D119" s="26">
        <f t="array" ref="D119:H119">[1]!ESP_p_atma(C119,fw_,Pdis_,NumStage_,Freq_,PumpID_,PVT_str_,Tintake_,Tdis_,0,gas_degr_type_,,dN)</f>
        <v>88.695027746755414</v>
      </c>
      <c r="E119" s="26">
        <v>741.64192310606541</v>
      </c>
      <c r="F119" s="26">
        <v>127.15741581213902</v>
      </c>
      <c r="G119" s="25" t="str">
        <v>{"length_pump_m":15.35,"angle":0,"d_od_m":0.092,"d_cas_min_m":0.1217,"d_motor_od_m":0.103}</v>
      </c>
      <c r="H119" s="26">
        <v>0</v>
      </c>
      <c r="AI119">
        <v>77</v>
      </c>
      <c r="AJ119">
        <v>1.00015590895113</v>
      </c>
    </row>
    <row r="120" spans="3:36" x14ac:dyDescent="0.2">
      <c r="C120" s="6">
        <f t="shared" si="1"/>
        <v>155</v>
      </c>
      <c r="D120" s="26">
        <f t="array" ref="D120:H120">[1]!ESP_p_atma(C120,fw_,Pdis_,NumStage_,Freq_,PumpID_,PVT_str_,Tintake_,Tdis_,0,gas_degr_type_,,dN)</f>
        <v>110.35424747639773</v>
      </c>
      <c r="E120" s="26">
        <v>478.77296954495063</v>
      </c>
      <c r="F120" s="26">
        <v>132.37680643904031</v>
      </c>
      <c r="G120" s="25" t="str">
        <v>{"length_pump_m":15.35,"angle":0,"d_od_m":0.092,"d_cas_min_m":0.1217,"d_motor_od_m":0.103}</v>
      </c>
      <c r="H120" s="26">
        <v>0</v>
      </c>
      <c r="AI120">
        <v>87</v>
      </c>
      <c r="AJ120">
        <v>1</v>
      </c>
    </row>
    <row r="121" spans="3:36" x14ac:dyDescent="0.2">
      <c r="C121" s="6">
        <f t="shared" si="1"/>
        <v>164.625</v>
      </c>
      <c r="D121" s="26">
        <f t="array" ref="D121:H121">[1]!ESP_p_atma(C121,fw_,Pdis_,NumStage_,Freq_,PumpID_,PVT_str_,Tintake_,Tdis_,0,gas_degr_type_,,dN)</f>
        <v>133.22567793478004</v>
      </c>
      <c r="E121" s="26">
        <v>202.2711570418696</v>
      </c>
      <c r="F121" s="26">
        <v>137.87696751054162</v>
      </c>
      <c r="G121" s="25" t="str">
        <v>{"length_pump_m":15.35,"angle":0,"d_od_m":0.092,"d_cas_min_m":0.1217,"d_motor_od_m":0.103}</v>
      </c>
      <c r="H121" s="26">
        <v>0</v>
      </c>
      <c r="AI121">
        <v>97</v>
      </c>
      <c r="AJ121">
        <v>1</v>
      </c>
    </row>
    <row r="122" spans="3:36" x14ac:dyDescent="0.2">
      <c r="C122" s="6">
        <f t="shared" si="1"/>
        <v>174.25</v>
      </c>
      <c r="D122" s="26">
        <f t="array" ref="D122:H122">[1]!ESP_p_atma(C122,fw_,Pdis_,NumStage_,Freq_,PumpID_,PVT_str_,Tintake_,Tdis_,0,gas_degr_type_,,dN)</f>
        <v>158.53654734891873</v>
      </c>
      <c r="E122" s="26">
        <v>-103.13711005935302</v>
      </c>
      <c r="F122" s="26">
        <v>0</v>
      </c>
      <c r="G122" s="25" t="str">
        <v>{"length_pump_m":15.35,"angle":0,"d_od_m":0.092,"d_cas_min_m":0.1217,"d_motor_od_m":0.103}</v>
      </c>
      <c r="H122" s="26">
        <v>0</v>
      </c>
      <c r="AI122">
        <v>107</v>
      </c>
      <c r="AJ122">
        <v>1</v>
      </c>
    </row>
    <row r="123" spans="3:36" x14ac:dyDescent="0.2">
      <c r="C123" s="6">
        <f t="shared" si="1"/>
        <v>183.875</v>
      </c>
      <c r="D123" s="26">
        <f t="array" ref="D123:H123">[1]!ESP_p_atma(C123,fw_,Pdis_,NumStage_,Freq_,PumpID_,PVT_str_,Tintake_,Tdis_,0,gas_degr_type_,,dN)</f>
        <v>181.94744867762032</v>
      </c>
      <c r="E123" s="26">
        <v>-385.57855828587714</v>
      </c>
      <c r="F123" s="26">
        <v>0</v>
      </c>
      <c r="G123" s="25" t="str">
        <v>{"length_pump_m":15.35,"angle":0,"d_od_m":0.092,"d_cas_min_m":0.1217,"d_motor_od_m":0.103}</v>
      </c>
      <c r="H123" s="26">
        <v>0</v>
      </c>
      <c r="AI123">
        <v>117</v>
      </c>
      <c r="AJ123">
        <v>1</v>
      </c>
    </row>
    <row r="124" spans="3:36" x14ac:dyDescent="0.2">
      <c r="C124" s="6">
        <f t="shared" si="1"/>
        <v>193.5</v>
      </c>
      <c r="D124" s="26">
        <f t="array" ref="D124:H125">[1]!ESP_p_atma(C124,fw_,Pdis_,NumStage_,Freq_,PumpID_,PVT_str_,Tintake_,Tdis_,0,gas_degr_type_,,dN)</f>
        <v>204.34690359580688</v>
      </c>
      <c r="E124" s="26">
        <v>-655.36110707226806</v>
      </c>
      <c r="F124" s="26">
        <v>0</v>
      </c>
      <c r="G124" s="25" t="str">
        <v>{"length_pump_m":15.35,"angle":0,"d_od_m":0.092,"d_cas_min_m":0.1217,"d_motor_od_m":0.103}</v>
      </c>
      <c r="H124" s="26">
        <v>0</v>
      </c>
      <c r="AI124">
        <v>127</v>
      </c>
      <c r="AJ124">
        <v>1</v>
      </c>
    </row>
    <row r="125" spans="3:36" x14ac:dyDescent="0.2">
      <c r="D125" s="26" t="str">
        <v>p_intake_atma</v>
      </c>
      <c r="E125" s="26" t="str">
        <v>head_m</v>
      </c>
      <c r="F125" s="26" t="str">
        <v>m_Nm</v>
      </c>
      <c r="G125" s="25" t="str">
        <v>geometry</v>
      </c>
      <c r="H125" s="26" t="str">
        <v>gas_frac_intake</v>
      </c>
      <c r="AI125">
        <v>137</v>
      </c>
      <c r="AJ125">
        <v>1</v>
      </c>
    </row>
    <row r="126" spans="3:36" x14ac:dyDescent="0.2">
      <c r="AI126">
        <v>147</v>
      </c>
      <c r="AJ126">
        <v>1</v>
      </c>
    </row>
    <row r="127" spans="3:36" x14ac:dyDescent="0.2">
      <c r="AI127">
        <v>157</v>
      </c>
      <c r="AJ127">
        <v>1</v>
      </c>
    </row>
    <row r="128" spans="3:36" x14ac:dyDescent="0.2">
      <c r="AI128">
        <v>167</v>
      </c>
      <c r="AJ128">
        <v>1</v>
      </c>
    </row>
    <row r="129" spans="4:36" x14ac:dyDescent="0.2">
      <c r="AI129">
        <v>177</v>
      </c>
      <c r="AJ129">
        <v>1</v>
      </c>
    </row>
    <row r="130" spans="4:36" x14ac:dyDescent="0.2">
      <c r="AI130">
        <v>187</v>
      </c>
      <c r="AJ130">
        <v>1</v>
      </c>
    </row>
    <row r="131" spans="4:36" x14ac:dyDescent="0.2">
      <c r="AI131">
        <v>197</v>
      </c>
      <c r="AJ131">
        <v>1</v>
      </c>
    </row>
    <row r="132" spans="4:36" x14ac:dyDescent="0.2">
      <c r="AI132">
        <v>207</v>
      </c>
      <c r="AJ132">
        <v>1</v>
      </c>
    </row>
    <row r="133" spans="4:36" x14ac:dyDescent="0.2">
      <c r="AI133">
        <v>217</v>
      </c>
      <c r="AJ133">
        <v>1</v>
      </c>
    </row>
    <row r="134" spans="4:36" x14ac:dyDescent="0.2">
      <c r="AI134">
        <v>227</v>
      </c>
      <c r="AJ134">
        <v>1</v>
      </c>
    </row>
    <row r="135" spans="4:36" x14ac:dyDescent="0.2">
      <c r="AI135">
        <v>237</v>
      </c>
      <c r="AJ135">
        <v>1</v>
      </c>
    </row>
    <row r="136" spans="4:36" x14ac:dyDescent="0.2">
      <c r="AI136">
        <v>247</v>
      </c>
      <c r="AJ136">
        <v>1</v>
      </c>
    </row>
    <row r="137" spans="4:36" x14ac:dyDescent="0.2">
      <c r="AI137">
        <v>257</v>
      </c>
      <c r="AJ137">
        <v>1</v>
      </c>
    </row>
    <row r="138" spans="4:36" x14ac:dyDescent="0.2">
      <c r="D138" s="37"/>
      <c r="F138" s="36"/>
      <c r="H138" s="36"/>
      <c r="I138" s="36"/>
      <c r="J138" s="35"/>
      <c r="K138" s="36"/>
      <c r="AI138">
        <v>267</v>
      </c>
      <c r="AJ138">
        <v>1</v>
      </c>
    </row>
    <row r="139" spans="4:36" x14ac:dyDescent="0.2">
      <c r="D139" s="37"/>
      <c r="F139" s="36"/>
      <c r="H139" s="36"/>
      <c r="I139" s="36"/>
      <c r="J139" s="35"/>
      <c r="K139" s="36"/>
      <c r="AI139">
        <v>277</v>
      </c>
      <c r="AJ139">
        <v>1</v>
      </c>
    </row>
    <row r="140" spans="4:36" x14ac:dyDescent="0.2">
      <c r="D140" s="37"/>
      <c r="F140" s="36"/>
      <c r="H140" s="36"/>
      <c r="I140" s="36"/>
      <c r="J140" s="35"/>
      <c r="K140" s="36"/>
      <c r="AI140">
        <v>287</v>
      </c>
      <c r="AJ140">
        <v>1</v>
      </c>
    </row>
    <row r="141" spans="4:36" x14ac:dyDescent="0.2">
      <c r="D141" s="37"/>
      <c r="F141" s="36"/>
      <c r="H141" s="36"/>
      <c r="I141" s="36"/>
      <c r="J141" s="35"/>
      <c r="K141" s="36"/>
      <c r="AI141">
        <v>297</v>
      </c>
      <c r="AJ141">
        <v>1</v>
      </c>
    </row>
    <row r="142" spans="4:36" x14ac:dyDescent="0.2">
      <c r="D142" s="37"/>
      <c r="F142" s="36"/>
      <c r="H142" s="36"/>
      <c r="I142" s="36"/>
      <c r="J142" s="35"/>
      <c r="K142" s="36"/>
      <c r="AI142">
        <v>307</v>
      </c>
      <c r="AJ142">
        <v>1</v>
      </c>
    </row>
    <row r="143" spans="4:36" x14ac:dyDescent="0.2">
      <c r="D143" s="37"/>
      <c r="E143" s="36"/>
      <c r="F143" s="36"/>
      <c r="H143" s="36"/>
      <c r="I143" s="36"/>
      <c r="J143" s="35"/>
      <c r="K143" s="36"/>
    </row>
    <row r="144" spans="4:36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2020-07-15T17:05:39Z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