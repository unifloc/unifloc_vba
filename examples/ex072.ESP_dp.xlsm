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11AB129-769A-4849-9515-F8B493C24443}" xr6:coauthVersionLast="46" xr6:coauthVersionMax="46" xr10:uidLastSave="{00000000-0000-0000-0000-000000000000}"/>
  <bookViews>
    <workbookView xWindow="6810" yWindow="2445" windowWidth="25560" windowHeight="15375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lc_along_flow">Exercise_ESP!$G$39</definedName>
    <definedName name="dN">Exercise_ESP!$C$44</definedName>
    <definedName name="ESPstr">Exercise_ESP!$J$33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Exercise_ESP!$C$43</definedName>
    <definedName name="Head_ESP_" localSheetId="0">Exercise_ESP!$C$25</definedName>
    <definedName name="input_">#REF!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output_">#REF!</definedName>
    <definedName name="Pb_" localSheetId="0">Exercise_ESP!$C$16</definedName>
    <definedName name="Pdis_" localSheetId="0">Exercise_ESP!$C$41</definedName>
    <definedName name="Pintake_" localSheetId="0">Exercise_ESP!$C$39</definedName>
    <definedName name="PKsep">Exercise_ESP!$C$32</definedName>
    <definedName name="PumpID_" localSheetId="0">Exercise_ESP!$C$27</definedName>
    <definedName name="PVT_str_">Exercise_ESP!$J$30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dis_">Exercise_ESP!$C$42</definedName>
    <definedName name="Tintake_" localSheetId="0">Exercise_ESP!$C$40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8" i="110" l="1" a="1"/>
  <c r="J30" i="110" a="1"/>
  <c r="L38" i="110" l="1"/>
  <c r="J30" i="110"/>
  <c r="B104" i="110" a="1"/>
  <c r="B125" i="110" a="1"/>
  <c r="B76" i="110" a="1"/>
  <c r="J31" i="110" a="1"/>
  <c r="B76" i="110" l="1"/>
  <c r="B125" i="110"/>
  <c r="B104" i="110"/>
  <c r="J31" i="110"/>
  <c r="C104" i="110"/>
  <c r="G1" i="110"/>
  <c r="C27" i="110" a="1"/>
  <c r="C27" i="110" l="1"/>
  <c r="E17" i="110"/>
  <c r="E16" i="110"/>
  <c r="E15" i="110"/>
  <c r="E14" i="110"/>
  <c r="E13" i="110"/>
  <c r="E12" i="110"/>
  <c r="E11" i="110"/>
  <c r="C30" i="110" a="1"/>
  <c r="C29" i="110" a="1"/>
  <c r="C28" i="110" a="1"/>
  <c r="C30" i="110" l="1"/>
  <c r="C29" i="110"/>
  <c r="C77" i="110" s="1"/>
  <c r="C28" i="110"/>
  <c r="Q24" i="110" a="1"/>
  <c r="F43" i="110" a="1"/>
  <c r="S34" i="110" s="1" a="1"/>
  <c r="D125" i="110" a="1"/>
  <c r="D104" i="110" a="1"/>
  <c r="D76" i="110" a="1"/>
  <c r="B77" i="110" a="1"/>
  <c r="Q24" i="110" l="1"/>
  <c r="S34" i="110"/>
  <c r="F43" i="110"/>
  <c r="B77" i="110"/>
  <c r="H76" i="110"/>
  <c r="D76" i="110"/>
  <c r="E76" i="110"/>
  <c r="G76" i="110"/>
  <c r="F76" i="110"/>
  <c r="G104" i="110"/>
  <c r="H104" i="110"/>
  <c r="E104" i="110"/>
  <c r="F104" i="110"/>
  <c r="D104" i="110"/>
  <c r="F125" i="110"/>
  <c r="H125" i="110"/>
  <c r="D125" i="110"/>
  <c r="E125" i="110"/>
  <c r="G125" i="110"/>
  <c r="C78" i="110"/>
  <c r="C106" i="110" s="1"/>
  <c r="C105" i="110"/>
  <c r="D105" i="110" a="1"/>
  <c r="D77" i="110" a="1"/>
  <c r="B106" i="110" a="1"/>
  <c r="B105" i="110" a="1"/>
  <c r="B78" i="110" a="1"/>
  <c r="W25" i="110" l="1"/>
  <c r="B78" i="110"/>
  <c r="B105" i="110"/>
  <c r="B106" i="110"/>
  <c r="D77" i="110"/>
  <c r="F77" i="110"/>
  <c r="G77" i="110"/>
  <c r="H77" i="110"/>
  <c r="E77" i="110"/>
  <c r="G105" i="110"/>
  <c r="D105" i="110"/>
  <c r="E105" i="110"/>
  <c r="H105" i="110"/>
  <c r="F105" i="110"/>
  <c r="C79" i="110"/>
  <c r="AD27" i="110" a="1"/>
  <c r="D106" i="110" a="1"/>
  <c r="D78" i="110" a="1"/>
  <c r="B79" i="110" a="1"/>
  <c r="AD27" i="110" l="1"/>
  <c r="B79" i="110"/>
  <c r="D78" i="110"/>
  <c r="F78" i="110"/>
  <c r="G78" i="110"/>
  <c r="H78" i="110"/>
  <c r="E78" i="110"/>
  <c r="F106" i="110"/>
  <c r="E106" i="110"/>
  <c r="H106" i="110"/>
  <c r="D106" i="110"/>
  <c r="G106" i="110"/>
  <c r="C80" i="110"/>
  <c r="C107" i="110"/>
  <c r="B80" i="110" a="1"/>
  <c r="D107" i="110" a="1"/>
  <c r="D79" i="110" a="1"/>
  <c r="B107" i="110" a="1"/>
  <c r="B107" i="110" l="1"/>
  <c r="H79" i="110"/>
  <c r="D79" i="110"/>
  <c r="G79" i="110"/>
  <c r="E79" i="110"/>
  <c r="F79" i="110"/>
  <c r="G107" i="110"/>
  <c r="H107" i="110"/>
  <c r="F107" i="110"/>
  <c r="E107" i="110"/>
  <c r="D107" i="110"/>
  <c r="B80" i="110"/>
  <c r="C81" i="110"/>
  <c r="C108" i="110"/>
  <c r="D80" i="110" a="1"/>
  <c r="D108" i="110" a="1"/>
  <c r="B81" i="110" a="1"/>
  <c r="B108" i="110" a="1"/>
  <c r="B108" i="110" l="1"/>
  <c r="B81" i="110"/>
  <c r="D108" i="110"/>
  <c r="G108" i="110"/>
  <c r="H108" i="110"/>
  <c r="E108" i="110"/>
  <c r="F108" i="110"/>
  <c r="H80" i="110"/>
  <c r="G80" i="110"/>
  <c r="E80" i="110"/>
  <c r="F80" i="110"/>
  <c r="D80" i="110"/>
  <c r="C82" i="110"/>
  <c r="C109" i="110"/>
  <c r="D109" i="110" a="1"/>
  <c r="D81" i="110" a="1"/>
  <c r="B109" i="110" a="1"/>
  <c r="B82" i="110" a="1"/>
  <c r="B82" i="110" l="1"/>
  <c r="B109" i="110"/>
  <c r="F81" i="110"/>
  <c r="H81" i="110"/>
  <c r="D81" i="110"/>
  <c r="G81" i="110"/>
  <c r="E81" i="110"/>
  <c r="E109" i="110"/>
  <c r="H109" i="110"/>
  <c r="F109" i="110"/>
  <c r="G109" i="110"/>
  <c r="D109" i="110"/>
  <c r="C83" i="110"/>
  <c r="C110" i="110"/>
  <c r="B110" i="110" a="1"/>
  <c r="B83" i="110" a="1"/>
  <c r="D110" i="110" a="1"/>
  <c r="D82" i="110" a="1"/>
  <c r="G82" i="110" l="1"/>
  <c r="D82" i="110"/>
  <c r="H82" i="110"/>
  <c r="F82" i="110"/>
  <c r="E82" i="110"/>
  <c r="G110" i="110"/>
  <c r="F110" i="110"/>
  <c r="E110" i="110"/>
  <c r="H110" i="110"/>
  <c r="D110" i="110"/>
  <c r="B83" i="110"/>
  <c r="B110" i="110"/>
  <c r="C84" i="110"/>
  <c r="C111" i="110"/>
  <c r="B84" i="110" a="1"/>
  <c r="D83" i="110" a="1"/>
  <c r="D111" i="110" a="1"/>
  <c r="B111" i="110" a="1"/>
  <c r="B111" i="110" l="1"/>
  <c r="E111" i="110"/>
  <c r="F111" i="110"/>
  <c r="G111" i="110"/>
  <c r="D111" i="110"/>
  <c r="H111" i="110"/>
  <c r="F83" i="110"/>
  <c r="G83" i="110"/>
  <c r="D83" i="110"/>
  <c r="E83" i="110"/>
  <c r="H83" i="110"/>
  <c r="B84" i="110"/>
  <c r="C112" i="110"/>
  <c r="C85" i="110"/>
  <c r="B112" i="110" a="1"/>
  <c r="B85" i="110" a="1"/>
  <c r="D84" i="110" a="1"/>
  <c r="D112" i="110" a="1"/>
  <c r="F112" i="110" l="1"/>
  <c r="G112" i="110"/>
  <c r="H112" i="110"/>
  <c r="D112" i="110"/>
  <c r="E112" i="110"/>
  <c r="D84" i="110"/>
  <c r="G84" i="110"/>
  <c r="F84" i="110"/>
  <c r="E84" i="110"/>
  <c r="H84" i="110"/>
  <c r="B85" i="110"/>
  <c r="B112" i="110"/>
  <c r="C113" i="110"/>
  <c r="C86" i="110"/>
  <c r="D113" i="110" a="1"/>
  <c r="D85" i="110" a="1"/>
  <c r="B113" i="110" a="1"/>
  <c r="B86" i="110" a="1"/>
  <c r="B86" i="110" l="1"/>
  <c r="B113" i="110"/>
  <c r="H85" i="110"/>
  <c r="D85" i="110"/>
  <c r="F85" i="110"/>
  <c r="E85" i="110"/>
  <c r="G85" i="110"/>
  <c r="G113" i="110"/>
  <c r="F113" i="110"/>
  <c r="H113" i="110"/>
  <c r="E113" i="110"/>
  <c r="D113" i="110"/>
  <c r="C87" i="110"/>
  <c r="C114" i="110"/>
  <c r="D114" i="110" a="1"/>
  <c r="D86" i="110" a="1"/>
  <c r="B87" i="110" a="1"/>
  <c r="B114" i="110" a="1"/>
  <c r="B114" i="110" l="1"/>
  <c r="B87" i="110"/>
  <c r="F86" i="110"/>
  <c r="D86" i="110"/>
  <c r="G86" i="110"/>
  <c r="H86" i="110"/>
  <c r="E86" i="110"/>
  <c r="G114" i="110"/>
  <c r="D114" i="110"/>
  <c r="E114" i="110"/>
  <c r="H114" i="110"/>
  <c r="F114" i="110"/>
  <c r="C115" i="110"/>
  <c r="C88" i="110"/>
  <c r="B115" i="110" a="1"/>
  <c r="D87" i="110" a="1"/>
  <c r="D115" i="110" a="1"/>
  <c r="B88" i="110" a="1"/>
  <c r="B88" i="110" l="1"/>
  <c r="E115" i="110"/>
  <c r="H115" i="110"/>
  <c r="G115" i="110"/>
  <c r="F115" i="110"/>
  <c r="D115" i="110"/>
  <c r="F87" i="110"/>
  <c r="H87" i="110"/>
  <c r="G87" i="110"/>
  <c r="E87" i="110"/>
  <c r="D87" i="110"/>
  <c r="B115" i="110"/>
  <c r="C116" i="110"/>
  <c r="C89" i="110"/>
  <c r="D88" i="110" a="1"/>
  <c r="D116" i="110" a="1"/>
  <c r="B116" i="110" a="1"/>
  <c r="B89" i="110" a="1"/>
  <c r="B89" i="110" l="1"/>
  <c r="B116" i="110"/>
  <c r="D116" i="110"/>
  <c r="G116" i="110"/>
  <c r="E116" i="110"/>
  <c r="F116" i="110"/>
  <c r="H116" i="110"/>
  <c r="E88" i="110"/>
  <c r="D88" i="110"/>
  <c r="F88" i="110"/>
  <c r="G88" i="110"/>
  <c r="H88" i="110"/>
  <c r="C90" i="110"/>
  <c r="C117" i="110"/>
  <c r="D89" i="110" a="1"/>
  <c r="D117" i="110" a="1"/>
  <c r="B90" i="110" a="1"/>
  <c r="B117" i="110" a="1"/>
  <c r="B117" i="110" l="1"/>
  <c r="B90" i="110"/>
  <c r="D117" i="110"/>
  <c r="F117" i="110"/>
  <c r="E117" i="110"/>
  <c r="H117" i="110"/>
  <c r="G117" i="110"/>
  <c r="G89" i="110"/>
  <c r="H89" i="110"/>
  <c r="D89" i="110"/>
  <c r="E89" i="110"/>
  <c r="F89" i="110"/>
  <c r="C118" i="110"/>
  <c r="C91" i="110"/>
  <c r="B118" i="110" a="1"/>
  <c r="D118" i="110" a="1"/>
  <c r="D90" i="110" a="1"/>
  <c r="B91" i="110" a="1"/>
  <c r="B91" i="110" l="1"/>
  <c r="D90" i="110"/>
  <c r="E90" i="110"/>
  <c r="G90" i="110"/>
  <c r="F90" i="110"/>
  <c r="H90" i="110"/>
  <c r="E118" i="110"/>
  <c r="G118" i="110"/>
  <c r="F118" i="110"/>
  <c r="D118" i="110"/>
  <c r="H118" i="110"/>
  <c r="B118" i="110"/>
  <c r="C92" i="110"/>
  <c r="C119" i="110"/>
  <c r="D91" i="110" a="1"/>
  <c r="D119" i="110" a="1"/>
  <c r="B92" i="110" a="1"/>
  <c r="B119" i="110" a="1"/>
  <c r="B119" i="110" l="1"/>
  <c r="B92" i="110"/>
  <c r="H119" i="110"/>
  <c r="D119" i="110"/>
  <c r="E119" i="110"/>
  <c r="F119" i="110"/>
  <c r="G119" i="110"/>
  <c r="G91" i="110"/>
  <c r="E91" i="110"/>
  <c r="H91" i="110"/>
  <c r="F91" i="110"/>
  <c r="D91" i="110"/>
  <c r="C120" i="110"/>
  <c r="C93" i="110"/>
  <c r="B120" i="110" a="1"/>
  <c r="D120" i="110" a="1"/>
  <c r="D92" i="110" a="1"/>
  <c r="B93" i="110" a="1"/>
  <c r="B93" i="110" l="1"/>
  <c r="E92" i="110"/>
  <c r="F92" i="110"/>
  <c r="D92" i="110"/>
  <c r="G92" i="110"/>
  <c r="H92" i="110"/>
  <c r="G120" i="110"/>
  <c r="H120" i="110"/>
  <c r="D120" i="110"/>
  <c r="F120" i="110"/>
  <c r="E120" i="110"/>
  <c r="B120" i="110"/>
  <c r="C121" i="110"/>
  <c r="C94" i="110"/>
  <c r="D93" i="110" a="1"/>
  <c r="D121" i="110" a="1"/>
  <c r="B121" i="110" a="1"/>
  <c r="B94" i="110" a="1"/>
  <c r="B94" i="110" l="1"/>
  <c r="B121" i="110"/>
  <c r="E121" i="110"/>
  <c r="G121" i="110"/>
  <c r="H121" i="110"/>
  <c r="F121" i="110"/>
  <c r="D121" i="110"/>
  <c r="G93" i="110"/>
  <c r="E93" i="110"/>
  <c r="F93" i="110"/>
  <c r="D93" i="110"/>
  <c r="H93" i="110"/>
  <c r="C95" i="110"/>
  <c r="C122" i="110"/>
  <c r="B122" i="110" a="1"/>
  <c r="B95" i="110" a="1"/>
  <c r="D122" i="110" a="1"/>
  <c r="D94" i="110" a="1"/>
  <c r="E94" i="110" l="1"/>
  <c r="F94" i="110"/>
  <c r="G94" i="110"/>
  <c r="D94" i="110"/>
  <c r="H94" i="110"/>
  <c r="H122" i="110"/>
  <c r="D122" i="110"/>
  <c r="E122" i="110"/>
  <c r="G122" i="110"/>
  <c r="F122" i="110"/>
  <c r="B95" i="110"/>
  <c r="B122" i="110"/>
  <c r="C96" i="110"/>
  <c r="C123" i="110"/>
  <c r="B123" i="110" a="1"/>
  <c r="D95" i="110" a="1"/>
  <c r="D123" i="110" a="1"/>
  <c r="B96" i="110" a="1"/>
  <c r="B96" i="110" l="1"/>
  <c r="H123" i="110"/>
  <c r="D123" i="110"/>
  <c r="G123" i="110"/>
  <c r="E123" i="110"/>
  <c r="F123" i="110"/>
  <c r="D95" i="110"/>
  <c r="H95" i="110"/>
  <c r="E95" i="110"/>
  <c r="G95" i="110"/>
  <c r="F95" i="110"/>
  <c r="B123" i="110"/>
  <c r="C124" i="110"/>
  <c r="D96" i="110" a="1"/>
  <c r="D124" i="110" a="1"/>
  <c r="B124" i="110" a="1"/>
  <c r="B124" i="110" l="1"/>
  <c r="D124" i="110"/>
  <c r="E124" i="110"/>
  <c r="F124" i="110"/>
  <c r="G124" i="110"/>
  <c r="H124" i="110"/>
  <c r="G96" i="110"/>
  <c r="H96" i="110"/>
  <c r="F96" i="110"/>
  <c r="D96" i="110"/>
  <c r="E96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<sst xmlns="http://schemas.openxmlformats.org/spreadsheetml/2006/main" count="100" uniqueCount="80">
  <si>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</si>
  <si>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</si>
  <si>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</si>
  <si>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</si>
  <si>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</si>
  <si>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</si>
  <si>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</si>
  <si>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</si>
  <si>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</si>
  <si>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</si>
  <si>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</si>
  <si>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</si>
  <si>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</si>
  <si>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</si>
  <si>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</si>
  <si>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</si>
  <si>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</si>
  <si>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</si>
  <si>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</si>
  <si>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</si>
  <si>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</si>
  <si>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</si>
  <si>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</si>
  <si>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</si>
  <si>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</si>
  <si>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</si>
  <si>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</si>
  <si>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</si>
  <si>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</si>
  <si>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</si>
  <si>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</si>
  <si>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</si>
  <si>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</si>
  <si>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</si>
  <si>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</si>
  <si>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</si>
  <si>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</si>
  <si>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</si>
  <si>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</si>
  <si>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</si>
  <si>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</si>
  <si>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</si>
  <si>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</si>
  <si>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</si>
  <si>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</si>
  <si>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</si>
  <si>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</si>
  <si>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</si>
  <si>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</si>
  <si>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</si>
  <si>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</si>
  <si>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</si>
  <si>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</si>
  <si>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</si>
  <si>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</si>
  <si>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</si>
  <si>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</si>
  <si>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</si>
  <si>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</si>
  <si>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</si>
  <si>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</si>
  <si>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</si>
  <si>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</si>
  <si>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</si>
  <si>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</si>
  <si>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</si>
  <si>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</si>
  <si>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</si>
  <si>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</si>
  <si>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</si>
  <si>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</si>
  <si>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</si>
  <si>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</si>
  <si>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Напор</t>
  </si>
  <si>
    <t>Момент</t>
  </si>
  <si>
    <t>Доля газа</t>
  </si>
  <si>
    <t>Параметры расчета</t>
  </si>
  <si>
    <t>show_log</t>
  </si>
  <si>
    <t>num_value</t>
  </si>
  <si>
    <t>show_array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</si>
</sst>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2" fontId="0" fillId="7" borderId="12" xfId="0" applyNumberForma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2" fontId="0" fillId="7" borderId="16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" fontId="0" fillId="7" borderId="9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233.59083563228151</c:v>
                </c:pt>
                <c:pt idx="1">
                  <c:v>235.68814120591387</c:v>
                </c:pt>
                <c:pt idx="2">
                  <c:v>236.39467900775728</c:v>
                </c:pt>
                <c:pt idx="3">
                  <c:v>235.74352039165322</c:v>
                </c:pt>
                <c:pt idx="4">
                  <c:v>233.52537589810572</c:v>
                </c:pt>
                <c:pt idx="5">
                  <c:v>228.71715280269541</c:v>
                </c:pt>
                <c:pt idx="6">
                  <c:v>219.92788508595368</c:v>
                </c:pt>
                <c:pt idx="7">
                  <c:v>204.85412202761503</c:v>
                </c:pt>
                <c:pt idx="8">
                  <c:v>180.52067045118807</c:v>
                </c:pt>
                <c:pt idx="9">
                  <c:v>134.9941443730562</c:v>
                </c:pt>
                <c:pt idx="10">
                  <c:v>11.105326164595871</c:v>
                </c:pt>
                <c:pt idx="11">
                  <c:v>5.835522957573847</c:v>
                </c:pt>
                <c:pt idx="12">
                  <c:v>4.8225228460956417</c:v>
                </c:pt>
                <c:pt idx="13">
                  <c:v>4.4335889801287021</c:v>
                </c:pt>
                <c:pt idx="14">
                  <c:v>4.2627335157036406</c:v>
                </c:pt>
                <c:pt idx="15">
                  <c:v>4.1880258216566872</c:v>
                </c:pt>
                <c:pt idx="16">
                  <c:v>4.1670116904780352</c:v>
                </c:pt>
                <c:pt idx="17">
                  <c:v>4.1628303885687945</c:v>
                </c:pt>
                <c:pt idx="18">
                  <c:v>4.1647433673407672</c:v>
                </c:pt>
                <c:pt idx="19">
                  <c:v>4.1710515666892976</c:v>
                </c:pt>
                <c:pt idx="20">
                  <c:v>4.1715435979616142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Напор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233.59083563228151</c:v>
                </c:pt>
                <c:pt idx="1">
                  <c:v>235.68814120591387</c:v>
                </c:pt>
                <c:pt idx="2">
                  <c:v>236.39467900775728</c:v>
                </c:pt>
                <c:pt idx="3">
                  <c:v>235.74352039165322</c:v>
                </c:pt>
                <c:pt idx="4">
                  <c:v>233.52537589810572</c:v>
                </c:pt>
                <c:pt idx="5">
                  <c:v>228.71715280269541</c:v>
                </c:pt>
                <c:pt idx="6">
                  <c:v>219.92788508595368</c:v>
                </c:pt>
                <c:pt idx="7">
                  <c:v>204.85412202761503</c:v>
                </c:pt>
                <c:pt idx="8">
                  <c:v>180.52067045118807</c:v>
                </c:pt>
                <c:pt idx="9">
                  <c:v>134.9941443730562</c:v>
                </c:pt>
                <c:pt idx="10">
                  <c:v>11.105326164595871</c:v>
                </c:pt>
                <c:pt idx="11">
                  <c:v>5.835522957573847</c:v>
                </c:pt>
                <c:pt idx="12">
                  <c:v>4.8225228460956417</c:v>
                </c:pt>
                <c:pt idx="13">
                  <c:v>4.4335889801287021</c:v>
                </c:pt>
                <c:pt idx="14">
                  <c:v>4.2627335157036406</c:v>
                </c:pt>
                <c:pt idx="15">
                  <c:v>4.1880258216566872</c:v>
                </c:pt>
                <c:pt idx="16">
                  <c:v>4.1670116904780352</c:v>
                </c:pt>
                <c:pt idx="17">
                  <c:v>4.1628303885687945</c:v>
                </c:pt>
                <c:pt idx="18">
                  <c:v>4.1647433673407672</c:v>
                </c:pt>
                <c:pt idx="19">
                  <c:v>4.1710515666892976</c:v>
                </c:pt>
                <c:pt idx="20">
                  <c:v>4.1715435979616142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233.59083563228151</c:v>
                </c:pt>
                <c:pt idx="1">
                  <c:v>235.68814120591387</c:v>
                </c:pt>
                <c:pt idx="2">
                  <c:v>236.39467900775728</c:v>
                </c:pt>
                <c:pt idx="3">
                  <c:v>235.74352039165322</c:v>
                </c:pt>
                <c:pt idx="4">
                  <c:v>233.52537589810572</c:v>
                </c:pt>
                <c:pt idx="5">
                  <c:v>228.71715280269541</c:v>
                </c:pt>
                <c:pt idx="6">
                  <c:v>219.92788508595368</c:v>
                </c:pt>
                <c:pt idx="7">
                  <c:v>204.85412202761503</c:v>
                </c:pt>
                <c:pt idx="8">
                  <c:v>180.52067045118807</c:v>
                </c:pt>
                <c:pt idx="9">
                  <c:v>134.9941443730562</c:v>
                </c:pt>
                <c:pt idx="10">
                  <c:v>11.105326164595871</c:v>
                </c:pt>
                <c:pt idx="11">
                  <c:v>5.835522957573847</c:v>
                </c:pt>
                <c:pt idx="12">
                  <c:v>4.8225228460956417</c:v>
                </c:pt>
                <c:pt idx="13">
                  <c:v>4.4335889801287021</c:v>
                </c:pt>
                <c:pt idx="14">
                  <c:v>4.2627335157036406</c:v>
                </c:pt>
                <c:pt idx="15">
                  <c:v>4.1880258216566872</c:v>
                </c:pt>
                <c:pt idx="16">
                  <c:v>4.1670116904780352</c:v>
                </c:pt>
                <c:pt idx="17">
                  <c:v>4.1628303885687945</c:v>
                </c:pt>
                <c:pt idx="18">
                  <c:v>4.1647433673407672</c:v>
                </c:pt>
                <c:pt idx="19">
                  <c:v>4.1710515666892976</c:v>
                </c:pt>
                <c:pt idx="20">
                  <c:v>4.1715435979616142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Доля газа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233.59083563228151</c:v>
                </c:pt>
                <c:pt idx="1">
                  <c:v>235.68814120591387</c:v>
                </c:pt>
                <c:pt idx="2">
                  <c:v>236.39467900775728</c:v>
                </c:pt>
                <c:pt idx="3">
                  <c:v>235.74352039165322</c:v>
                </c:pt>
                <c:pt idx="4">
                  <c:v>233.52537589810572</c:v>
                </c:pt>
                <c:pt idx="5">
                  <c:v>228.71715280269541</c:v>
                </c:pt>
                <c:pt idx="6">
                  <c:v>219.92788508595368</c:v>
                </c:pt>
                <c:pt idx="7">
                  <c:v>204.85412202761503</c:v>
                </c:pt>
                <c:pt idx="8">
                  <c:v>180.52067045118807</c:v>
                </c:pt>
                <c:pt idx="9">
                  <c:v>134.9941443730562</c:v>
                </c:pt>
                <c:pt idx="10">
                  <c:v>11.105326164595871</c:v>
                </c:pt>
                <c:pt idx="11">
                  <c:v>5.835522957573847</c:v>
                </c:pt>
                <c:pt idx="12">
                  <c:v>4.8225228460956417</c:v>
                </c:pt>
                <c:pt idx="13">
                  <c:v>4.4335889801287021</c:v>
                </c:pt>
                <c:pt idx="14">
                  <c:v>4.2627335157036406</c:v>
                </c:pt>
                <c:pt idx="15">
                  <c:v>4.1880258216566872</c:v>
                </c:pt>
                <c:pt idx="16">
                  <c:v>4.1670116904780352</c:v>
                </c:pt>
                <c:pt idx="17">
                  <c:v>4.1628303885687945</c:v>
                </c:pt>
                <c:pt idx="18">
                  <c:v>4.1647433673407672</c:v>
                </c:pt>
                <c:pt idx="19">
                  <c:v>4.1710515666892976</c:v>
                </c:pt>
                <c:pt idx="20">
                  <c:v>4.1715435979616142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18.880433586909074</c:v>
                </c:pt>
                <c:pt idx="1">
                  <c:v>18.419891100563895</c:v>
                </c:pt>
                <c:pt idx="2">
                  <c:v>19.213765575330811</c:v>
                </c:pt>
                <c:pt idx="3">
                  <c:v>21.751734274894091</c:v>
                </c:pt>
                <c:pt idx="4">
                  <c:v>25.397216627393398</c:v>
                </c:pt>
                <c:pt idx="5">
                  <c:v>29.716747721809355</c:v>
                </c:pt>
                <c:pt idx="6">
                  <c:v>34.522129659433652</c:v>
                </c:pt>
                <c:pt idx="7">
                  <c:v>39.764386986841217</c:v>
                </c:pt>
                <c:pt idx="8">
                  <c:v>45.413512680721119</c:v>
                </c:pt>
                <c:pt idx="9">
                  <c:v>51.44964938126575</c:v>
                </c:pt>
                <c:pt idx="10">
                  <c:v>57.920497799270727</c:v>
                </c:pt>
                <c:pt idx="11">
                  <c:v>64.899975262187624</c:v>
                </c:pt>
                <c:pt idx="12">
                  <c:v>72.521104216092994</c:v>
                </c:pt>
                <c:pt idx="13">
                  <c:v>81.014855099435053</c:v>
                </c:pt>
                <c:pt idx="14">
                  <c:v>90.820227711550388</c:v>
                </c:pt>
                <c:pt idx="15">
                  <c:v>103.33446446452582</c:v>
                </c:pt>
                <c:pt idx="16">
                  <c:v>123.98023117110506</c:v>
                </c:pt>
                <c:pt idx="17">
                  <c:v>147.73117895563487</c:v>
                </c:pt>
                <c:pt idx="18">
                  <c:v>173.24102010692701</c:v>
                </c:pt>
                <c:pt idx="19">
                  <c:v>196.25477588521363</c:v>
                </c:pt>
                <c:pt idx="20">
                  <c:v>218.23242048913011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18.880433586909074</c:v>
                </c:pt>
                <c:pt idx="1">
                  <c:v>18.419891100563895</c:v>
                </c:pt>
                <c:pt idx="2">
                  <c:v>19.213765575330811</c:v>
                </c:pt>
                <c:pt idx="3">
                  <c:v>21.751734274894091</c:v>
                </c:pt>
                <c:pt idx="4">
                  <c:v>25.397216627393398</c:v>
                </c:pt>
                <c:pt idx="5">
                  <c:v>29.716747721809355</c:v>
                </c:pt>
                <c:pt idx="6">
                  <c:v>34.522129659433652</c:v>
                </c:pt>
                <c:pt idx="7">
                  <c:v>39.764386986841217</c:v>
                </c:pt>
                <c:pt idx="8">
                  <c:v>45.413512680721119</c:v>
                </c:pt>
                <c:pt idx="9">
                  <c:v>51.44964938126575</c:v>
                </c:pt>
                <c:pt idx="10">
                  <c:v>57.920497799270727</c:v>
                </c:pt>
                <c:pt idx="11">
                  <c:v>64.899975262187624</c:v>
                </c:pt>
                <c:pt idx="12">
                  <c:v>72.521104216092994</c:v>
                </c:pt>
                <c:pt idx="13">
                  <c:v>81.014855099435053</c:v>
                </c:pt>
                <c:pt idx="14">
                  <c:v>90.820227711550388</c:v>
                </c:pt>
                <c:pt idx="15">
                  <c:v>103.33446446452582</c:v>
                </c:pt>
                <c:pt idx="16">
                  <c:v>123.98023117110506</c:v>
                </c:pt>
                <c:pt idx="17">
                  <c:v>147.73117895563487</c:v>
                </c:pt>
                <c:pt idx="18">
                  <c:v>173.24102010692701</c:v>
                </c:pt>
                <c:pt idx="19">
                  <c:v>196.25477588521363</c:v>
                </c:pt>
                <c:pt idx="20">
                  <c:v>218.23242048913011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18.880433586909074</c:v>
                </c:pt>
                <c:pt idx="1">
                  <c:v>18.419891100563895</c:v>
                </c:pt>
                <c:pt idx="2">
                  <c:v>19.213765575330811</c:v>
                </c:pt>
                <c:pt idx="3">
                  <c:v>21.751734274894091</c:v>
                </c:pt>
                <c:pt idx="4">
                  <c:v>25.397216627393398</c:v>
                </c:pt>
                <c:pt idx="5">
                  <c:v>29.716747721809355</c:v>
                </c:pt>
                <c:pt idx="6">
                  <c:v>34.522129659433652</c:v>
                </c:pt>
                <c:pt idx="7">
                  <c:v>39.764386986841217</c:v>
                </c:pt>
                <c:pt idx="8">
                  <c:v>45.413512680721119</c:v>
                </c:pt>
                <c:pt idx="9">
                  <c:v>51.44964938126575</c:v>
                </c:pt>
                <c:pt idx="10">
                  <c:v>57.920497799270727</c:v>
                </c:pt>
                <c:pt idx="11">
                  <c:v>64.899975262187624</c:v>
                </c:pt>
                <c:pt idx="12">
                  <c:v>72.521104216092994</c:v>
                </c:pt>
                <c:pt idx="13">
                  <c:v>81.014855099435053</c:v>
                </c:pt>
                <c:pt idx="14">
                  <c:v>90.820227711550388</c:v>
                </c:pt>
                <c:pt idx="15">
                  <c:v>103.33446446452582</c:v>
                </c:pt>
                <c:pt idx="16">
                  <c:v>123.98023117110506</c:v>
                </c:pt>
                <c:pt idx="17">
                  <c:v>147.73117895563487</c:v>
                </c:pt>
                <c:pt idx="18">
                  <c:v>173.24102010692701</c:v>
                </c:pt>
                <c:pt idx="19">
                  <c:v>196.25477588521363</c:v>
                </c:pt>
                <c:pt idx="20">
                  <c:v>218.23242048913011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Доля газа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18.880433586909074</c:v>
                </c:pt>
                <c:pt idx="1">
                  <c:v>18.419891100563895</c:v>
                </c:pt>
                <c:pt idx="2">
                  <c:v>19.213765575330811</c:v>
                </c:pt>
                <c:pt idx="3">
                  <c:v>21.751734274894091</c:v>
                </c:pt>
                <c:pt idx="4">
                  <c:v>25.397216627393398</c:v>
                </c:pt>
                <c:pt idx="5">
                  <c:v>29.716747721809355</c:v>
                </c:pt>
                <c:pt idx="6">
                  <c:v>34.522129659433652</c:v>
                </c:pt>
                <c:pt idx="7">
                  <c:v>39.764386986841217</c:v>
                </c:pt>
                <c:pt idx="8">
                  <c:v>45.413512680721119</c:v>
                </c:pt>
                <c:pt idx="9">
                  <c:v>51.44964938126575</c:v>
                </c:pt>
                <c:pt idx="10">
                  <c:v>57.920497799270727</c:v>
                </c:pt>
                <c:pt idx="11">
                  <c:v>64.899975262187624</c:v>
                </c:pt>
                <c:pt idx="12">
                  <c:v>72.521104216092994</c:v>
                </c:pt>
                <c:pt idx="13">
                  <c:v>81.014855099435053</c:v>
                </c:pt>
                <c:pt idx="14">
                  <c:v>90.820227711550388</c:v>
                </c:pt>
                <c:pt idx="15">
                  <c:v>103.33446446452582</c:v>
                </c:pt>
                <c:pt idx="16">
                  <c:v>123.98023117110506</c:v>
                </c:pt>
                <c:pt idx="17">
                  <c:v>147.73117895563487</c:v>
                </c:pt>
                <c:pt idx="18">
                  <c:v>173.24102010692701</c:v>
                </c:pt>
                <c:pt idx="19">
                  <c:v>196.25477588521363</c:v>
                </c:pt>
                <c:pt idx="20">
                  <c:v>218.23242048913011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80.526315789473642</c:v>
                </c:pt>
                <c:pt idx="2">
                  <c:v>81.052631578947313</c:v>
                </c:pt>
                <c:pt idx="3">
                  <c:v>81.578947368420984</c:v>
                </c:pt>
                <c:pt idx="4">
                  <c:v>82.105263157894669</c:v>
                </c:pt>
                <c:pt idx="5">
                  <c:v>82.63157894736834</c:v>
                </c:pt>
                <c:pt idx="6">
                  <c:v>83.15789473684201</c:v>
                </c:pt>
                <c:pt idx="7">
                  <c:v>83.684210526315695</c:v>
                </c:pt>
                <c:pt idx="8">
                  <c:v>84.210526315789366</c:v>
                </c:pt>
                <c:pt idx="9">
                  <c:v>84.736842105263037</c:v>
                </c:pt>
                <c:pt idx="10">
                  <c:v>85.263157894736722</c:v>
                </c:pt>
                <c:pt idx="11">
                  <c:v>85.789473684210392</c:v>
                </c:pt>
                <c:pt idx="12">
                  <c:v>86.315789473684063</c:v>
                </c:pt>
                <c:pt idx="13">
                  <c:v>86.842105263157748</c:v>
                </c:pt>
                <c:pt idx="14">
                  <c:v>87.368421052631419</c:v>
                </c:pt>
                <c:pt idx="15">
                  <c:v>87.894736842105104</c:v>
                </c:pt>
                <c:pt idx="16">
                  <c:v>88.421052631578775</c:v>
                </c:pt>
                <c:pt idx="17">
                  <c:v>88.947368421052445</c:v>
                </c:pt>
                <c:pt idx="18">
                  <c:v>89.47368421052613</c:v>
                </c:pt>
                <c:pt idx="19">
                  <c:v>89.999999999999801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47.174529229966296</c:v>
                </c:pt>
                <c:pt idx="1">
                  <c:v>44.576138404725469</c:v>
                </c:pt>
                <c:pt idx="2">
                  <c:v>37.420539431442315</c:v>
                </c:pt>
                <c:pt idx="3">
                  <c:v>31.117065658017985</c:v>
                </c:pt>
                <c:pt idx="4">
                  <c:v>24.649499066268952</c:v>
                </c:pt>
                <c:pt idx="5">
                  <c:v>18.138966106634381</c:v>
                </c:pt>
                <c:pt idx="6">
                  <c:v>11.700148009263813</c:v>
                </c:pt>
                <c:pt idx="7">
                  <c:v>5.470299726773133</c:v>
                </c:pt>
                <c:pt idx="8">
                  <c:v>0.23623326132202571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Exercise_ESP!$L$45</c:f>
              <c:strCache>
                <c:ptCount val="1"/>
                <c:pt idx="0">
                  <c:v>Power_fluid_W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Exercise_ESP!$L$46:$L$65</c:f>
              <c:numCache>
                <c:formatCode>0</c:formatCode>
                <c:ptCount val="20"/>
                <c:pt idx="0">
                  <c:v>0</c:v>
                </c:pt>
                <c:pt idx="1">
                  <c:v>428.94515539657698</c:v>
                </c:pt>
                <c:pt idx="2">
                  <c:v>861.052364010529</c:v>
                </c:pt>
                <c:pt idx="3">
                  <c:v>1295.0719334793191</c:v>
                </c:pt>
                <c:pt idx="4">
                  <c:v>1730.5447918111752</c:v>
                </c:pt>
                <c:pt idx="5">
                  <c:v>2166.9889891965472</c:v>
                </c:pt>
                <c:pt idx="6">
                  <c:v>2604.1071762464903</c:v>
                </c:pt>
                <c:pt idx="7">
                  <c:v>3041.7881584147108</c:v>
                </c:pt>
                <c:pt idx="8">
                  <c:v>3479.8125649281546</c:v>
                </c:pt>
                <c:pt idx="9">
                  <c:v>3917.8915445499179</c:v>
                </c:pt>
                <c:pt idx="10">
                  <c:v>4355.9541686093871</c:v>
                </c:pt>
                <c:pt idx="11">
                  <c:v>4794.0044079375702</c:v>
                </c:pt>
                <c:pt idx="12">
                  <c:v>5232.0431220792516</c:v>
                </c:pt>
                <c:pt idx="13">
                  <c:v>5670.0731609528193</c:v>
                </c:pt>
                <c:pt idx="14">
                  <c:v>6108.0958481629486</c:v>
                </c:pt>
                <c:pt idx="15">
                  <c:v>6546.1119330362562</c:v>
                </c:pt>
                <c:pt idx="16">
                  <c:v>6984.123145006175</c:v>
                </c:pt>
                <c:pt idx="17">
                  <c:v>7422.1299327272991</c:v>
                </c:pt>
                <c:pt idx="18">
                  <c:v>7860.1332685406733</c:v>
                </c:pt>
                <c:pt idx="19">
                  <c:v>8298.1339632740528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1015.35</c:v>
                </c:pt>
                <c:pt idx="1">
                  <c:v>1014.542105263158</c:v>
                </c:pt>
                <c:pt idx="2">
                  <c:v>1013.7342105263158</c:v>
                </c:pt>
                <c:pt idx="3">
                  <c:v>1012.9263157894737</c:v>
                </c:pt>
                <c:pt idx="4">
                  <c:v>1012.1184210526316</c:v>
                </c:pt>
                <c:pt idx="5">
                  <c:v>1011.3105263157895</c:v>
                </c:pt>
                <c:pt idx="6">
                  <c:v>1010.5026315789474</c:v>
                </c:pt>
                <c:pt idx="7">
                  <c:v>1009.6947368421053</c:v>
                </c:pt>
                <c:pt idx="8">
                  <c:v>1008.8868421052632</c:v>
                </c:pt>
                <c:pt idx="9">
                  <c:v>1008.078947368421</c:v>
                </c:pt>
                <c:pt idx="10">
                  <c:v>1007.271052631579</c:v>
                </c:pt>
                <c:pt idx="11">
                  <c:v>1006.4631578947368</c:v>
                </c:pt>
                <c:pt idx="12">
                  <c:v>1005.6552631578948</c:v>
                </c:pt>
                <c:pt idx="13">
                  <c:v>1004.8473684210527</c:v>
                </c:pt>
                <c:pt idx="14">
                  <c:v>1004.0394736842105</c:v>
                </c:pt>
                <c:pt idx="15">
                  <c:v>1003.2315789473685</c:v>
                </c:pt>
                <c:pt idx="16">
                  <c:v>1002.4236842105263</c:v>
                </c:pt>
                <c:pt idx="17">
                  <c:v>1001.6157894736842</c:v>
                </c:pt>
                <c:pt idx="18">
                  <c:v>1000.8078947368422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0.00</c:formatCode>
                <c:ptCount val="20"/>
                <c:pt idx="0">
                  <c:v>61.554249082553675</c:v>
                </c:pt>
                <c:pt idx="1">
                  <c:v>58.853877235033949</c:v>
                </c:pt>
                <c:pt idx="2">
                  <c:v>52.649494597716597</c:v>
                </c:pt>
                <c:pt idx="3">
                  <c:v>48.221964974885395</c:v>
                </c:pt>
                <c:pt idx="4">
                  <c:v>44.51358312095126</c:v>
                </c:pt>
                <c:pt idx="5">
                  <c:v>41.410358932342788</c:v>
                </c:pt>
                <c:pt idx="6">
                  <c:v>38.816732626386489</c:v>
                </c:pt>
                <c:pt idx="7">
                  <c:v>36.726910572482012</c:v>
                </c:pt>
                <c:pt idx="8">
                  <c:v>35.18195183963487</c:v>
                </c:pt>
                <c:pt idx="9">
                  <c:v>35.041601930346054</c:v>
                </c:pt>
                <c:pt idx="10">
                  <c:v>34.979331044854902</c:v>
                </c:pt>
                <c:pt idx="11">
                  <c:v>34.92661828107078</c:v>
                </c:pt>
                <c:pt idx="12">
                  <c:v>34.88245434307985</c:v>
                </c:pt>
                <c:pt idx="13">
                  <c:v>34.844539936985491</c:v>
                </c:pt>
                <c:pt idx="14">
                  <c:v>34.811841712698353</c:v>
                </c:pt>
                <c:pt idx="15">
                  <c:v>34.783806558812678</c:v>
                </c:pt>
                <c:pt idx="16">
                  <c:v>34.759248069866075</c:v>
                </c:pt>
                <c:pt idx="17">
                  <c:v>34.737927766074499</c:v>
                </c:pt>
                <c:pt idx="18">
                  <c:v>34.719263626148489</c:v>
                </c:pt>
                <c:pt idx="19">
                  <c:v>34.702774002991731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74</xdr:row>
      <xdr:rowOff>26194</xdr:rowOff>
    </xdr:from>
    <xdr:to>
      <xdr:col>21</xdr:col>
      <xdr:colOff>577183</xdr:colOff>
      <xdr:row>97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zoomScale="80" zoomScaleNormal="80" workbookViewId="0">
      <selection activeCell="G21" sqref="G21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13.5703125" customWidth="1"/>
    <col min="7" max="13" width="11.85546875" customWidth="1"/>
    <col min="14" max="14" width="13.140625" customWidth="1"/>
    <col min="15" max="16" width="11.85546875" customWidth="1"/>
    <col min="17" max="17" width="12.140625" customWidth="1"/>
    <col min="18" max="21" width="11.85546875" customWidth="1"/>
    <col min="22" max="29" width="12.42578125" customWidth="1"/>
    <col min="30" max="30" width="17.42578125" customWidth="1"/>
    <col min="31" max="37" width="12.42578125" customWidth="1"/>
  </cols>
  <sheetData>
    <row r="1" spans="1:12" x14ac:dyDescent="0.2">
      <c r="A1" s="1" t="s">
        <v>14</v>
      </c>
      <c r="F1" t="s">
        <v>15</v>
      </c>
      <c r="G1" t="str">
        <f>[1]!unf_Version()</f>
        <v>7.27</v>
      </c>
      <c r="H1" t="s">
        <v>54</v>
      </c>
      <c r="I1" s="27">
        <v>44308</v>
      </c>
      <c r="J1" s="20"/>
      <c r="K1" s="20"/>
      <c r="L1" s="20"/>
    </row>
    <row r="2" spans="1:12" x14ac:dyDescent="0.2">
      <c r="A2" t="s">
        <v>71</v>
      </c>
      <c r="H2" t="s">
        <v>55</v>
      </c>
      <c r="I2" s="28">
        <v>7.27</v>
      </c>
      <c r="J2" s="20"/>
      <c r="K2" s="20"/>
      <c r="L2" s="20"/>
    </row>
    <row r="3" spans="1:12" ht="15" x14ac:dyDescent="0.25">
      <c r="A3" s="29" t="s">
        <v>56</v>
      </c>
      <c r="B3" s="60" t="s">
        <v>57</v>
      </c>
      <c r="C3" s="61"/>
      <c r="D3" s="61"/>
      <c r="E3" s="62"/>
      <c r="H3" t="s">
        <v>58</v>
      </c>
      <c r="I3" s="20" t="s">
        <v>57</v>
      </c>
      <c r="J3" s="20"/>
      <c r="K3" s="20"/>
      <c r="L3" s="20"/>
    </row>
    <row r="4" spans="1:12" ht="15" x14ac:dyDescent="0.25">
      <c r="A4" s="29" t="s">
        <v>59</v>
      </c>
      <c r="B4" s="60" t="s">
        <v>60</v>
      </c>
      <c r="C4" s="61"/>
      <c r="D4" s="61"/>
      <c r="E4" s="62"/>
      <c r="H4" t="s">
        <v>61</v>
      </c>
      <c r="I4" s="20" t="s">
        <v>60</v>
      </c>
      <c r="J4" s="20"/>
      <c r="K4" s="20"/>
      <c r="L4" s="20"/>
    </row>
    <row r="5" spans="1:12" ht="15" x14ac:dyDescent="0.25">
      <c r="A5" s="29" t="s">
        <v>62</v>
      </c>
      <c r="B5" s="60" t="s">
        <v>63</v>
      </c>
      <c r="C5" s="61"/>
      <c r="D5" s="61"/>
      <c r="E5" s="62"/>
      <c r="H5" t="s">
        <v>64</v>
      </c>
      <c r="I5" s="20" t="s">
        <v>63</v>
      </c>
      <c r="J5" s="20"/>
      <c r="K5" s="20"/>
      <c r="L5" s="20"/>
    </row>
    <row r="6" spans="1:12" x14ac:dyDescent="0.2">
      <c r="A6" s="30" t="s">
        <v>65</v>
      </c>
      <c r="B6" s="63" t="s">
        <v>66</v>
      </c>
      <c r="C6" s="64"/>
      <c r="D6" s="64"/>
      <c r="E6" s="65"/>
      <c r="H6" s="31" t="s">
        <v>67</v>
      </c>
      <c r="I6" s="32" t="s">
        <v>66</v>
      </c>
      <c r="J6" s="32"/>
      <c r="K6" s="32"/>
      <c r="L6" s="32"/>
    </row>
    <row r="7" spans="1:12" x14ac:dyDescent="0.2">
      <c r="A7" s="33"/>
      <c r="B7" s="66"/>
      <c r="C7" s="67"/>
      <c r="D7" s="67"/>
      <c r="E7" s="68"/>
      <c r="H7" s="31"/>
      <c r="I7" s="32"/>
      <c r="J7" s="32"/>
      <c r="K7" s="32"/>
      <c r="L7" s="32"/>
    </row>
    <row r="8" spans="1:12" x14ac:dyDescent="0.2">
      <c r="A8" s="34"/>
      <c r="B8" s="69"/>
      <c r="C8" s="70"/>
      <c r="D8" s="70"/>
      <c r="E8" s="71"/>
      <c r="H8" s="31"/>
      <c r="I8" s="32"/>
      <c r="J8" s="32"/>
      <c r="K8" s="32"/>
      <c r="L8" s="32"/>
    </row>
    <row r="10" spans="1:12" x14ac:dyDescent="0.2">
      <c r="A10" s="1" t="s">
        <v>8</v>
      </c>
    </row>
    <row r="11" spans="1:12" ht="18.75" x14ac:dyDescent="0.35">
      <c r="B11" s="9" t="s">
        <v>16</v>
      </c>
      <c r="C11" s="2">
        <v>0.9</v>
      </c>
      <c r="D11" s="10"/>
      <c r="E11" s="11">
        <f>gamma_oil_*1000</f>
        <v>900</v>
      </c>
      <c r="F11" s="12" t="s">
        <v>17</v>
      </c>
    </row>
    <row r="12" spans="1:12" ht="18.75" x14ac:dyDescent="0.35">
      <c r="B12" s="12" t="s">
        <v>18</v>
      </c>
      <c r="C12" s="2">
        <v>1</v>
      </c>
      <c r="D12" s="10"/>
      <c r="E12" s="11">
        <f>gamma_wat_*1000</f>
        <v>1000</v>
      </c>
      <c r="F12" s="12" t="s">
        <v>17</v>
      </c>
    </row>
    <row r="13" spans="1:12" ht="18.75" x14ac:dyDescent="0.35">
      <c r="B13" s="12" t="s">
        <v>19</v>
      </c>
      <c r="C13" s="2">
        <v>0.8</v>
      </c>
      <c r="D13" s="10"/>
      <c r="E13" s="11">
        <f>gamma_gas_*1.22</f>
        <v>0.97599999999999998</v>
      </c>
      <c r="F13" s="12" t="s">
        <v>17</v>
      </c>
    </row>
    <row r="14" spans="1:12" ht="18.75" x14ac:dyDescent="0.35">
      <c r="B14" s="13" t="s">
        <v>20</v>
      </c>
      <c r="C14" s="2">
        <v>80</v>
      </c>
      <c r="D14" s="12" t="s">
        <v>21</v>
      </c>
      <c r="E14" s="14">
        <f>Rsb_/gamma_oil_</f>
        <v>88.888888888888886</v>
      </c>
      <c r="F14" s="12" t="s">
        <v>22</v>
      </c>
    </row>
    <row r="15" spans="1:12" ht="18.75" x14ac:dyDescent="0.35">
      <c r="B15" s="13" t="s">
        <v>23</v>
      </c>
      <c r="C15" s="2">
        <v>80</v>
      </c>
      <c r="D15" s="12" t="s">
        <v>21</v>
      </c>
      <c r="E15" s="14">
        <f>Rsb_/gamma_oil_</f>
        <v>88.888888888888886</v>
      </c>
      <c r="F15" s="12" t="s">
        <v>22</v>
      </c>
    </row>
    <row r="16" spans="1:12" ht="18" x14ac:dyDescent="0.35">
      <c r="B16" s="12" t="s">
        <v>24</v>
      </c>
      <c r="C16" s="2">
        <v>120</v>
      </c>
      <c r="D16" s="10" t="s">
        <v>25</v>
      </c>
      <c r="E16" s="14">
        <f>Pb_*1.01325</f>
        <v>121.59</v>
      </c>
      <c r="F16" s="10" t="s">
        <v>26</v>
      </c>
    </row>
    <row r="17" spans="1:31" ht="18" x14ac:dyDescent="0.35">
      <c r="B17" s="12" t="s">
        <v>27</v>
      </c>
      <c r="C17" s="2">
        <v>100</v>
      </c>
      <c r="D17" s="10" t="s">
        <v>2</v>
      </c>
      <c r="E17" s="14">
        <f>Tres_*9/5+32</f>
        <v>212</v>
      </c>
      <c r="F17" s="10" t="s">
        <v>28</v>
      </c>
    </row>
    <row r="18" spans="1:31" ht="18.75" x14ac:dyDescent="0.35">
      <c r="B18" s="13" t="s">
        <v>29</v>
      </c>
      <c r="C18" s="2">
        <v>1.2</v>
      </c>
      <c r="D18" s="12" t="s">
        <v>21</v>
      </c>
    </row>
    <row r="19" spans="1:31" ht="18" x14ac:dyDescent="0.35">
      <c r="B19" s="22" t="s">
        <v>49</v>
      </c>
      <c r="C19" s="2">
        <v>1</v>
      </c>
      <c r="D19" s="12" t="s">
        <v>48</v>
      </c>
    </row>
    <row r="20" spans="1:31" x14ac:dyDescent="0.2">
      <c r="B20" s="3"/>
      <c r="C20" s="4"/>
    </row>
    <row r="21" spans="1:31" ht="15.75" x14ac:dyDescent="0.3">
      <c r="B21" s="15" t="s">
        <v>33</v>
      </c>
      <c r="C21" s="2">
        <v>30</v>
      </c>
      <c r="D21" s="23" t="s">
        <v>3</v>
      </c>
    </row>
    <row r="22" spans="1:31" ht="15.75" x14ac:dyDescent="0.3">
      <c r="B22" s="15" t="s">
        <v>36</v>
      </c>
      <c r="C22" s="2">
        <v>10</v>
      </c>
      <c r="D22" s="23" t="s">
        <v>35</v>
      </c>
    </row>
    <row r="23" spans="1:31" x14ac:dyDescent="0.2">
      <c r="A23" s="1" t="s">
        <v>47</v>
      </c>
    </row>
    <row r="24" spans="1:31" ht="15.75" x14ac:dyDescent="0.3">
      <c r="B24" s="16" t="s">
        <v>40</v>
      </c>
      <c r="C24" s="2">
        <v>60</v>
      </c>
      <c r="D24" s="16" t="s">
        <v>3</v>
      </c>
      <c r="Q24" t="str" cm="1">
        <f t="array" ref="Q24:T25">[1]!ESP_calc(Pintake_,Tintake_,J31,PumpID_,NumStage_,Freq_,Tdis_,,L38)</f>
        <v>{"p_int_atma":50,"t_int_C":80,"p_dis_atma":235.710002691713,"t_dis_C":89.9999999999998,"head_m":2480.94631943387,"m_Nm":85.4670410996766,"gas_frac_intake":0.471745292299663,"eff_ESP_d":0.280956584752317,"power_fluid_W":8298.13396327405,"power_ESP_W":29535.2891287081,"length_pump_m":15.35,"angle":0,"d_od_m":0.092,"d_cas_min_m":0.1217,"d_motor_od_m":0.103,"calc_from_dis":false,"stage_num":307,"freq_Hz":55,"w_obmin":3300,"rate_nom_sm3day":88,"rate_max_sm3day":192.5,"c_calibr_head":1,"c_calibr_rate":1,"c_calibr_power":1,"gas_correct":1,"gas_corr_":1,"turb_head_factor":1,"turb_rate_factor":1,"corr_visc_eff_":{"curve_x":"x","curve_y":"y","x":[0,1,2,3,4,5,6,7,17,27,37,47,57,67,77,87,97,107,117,127,137,147,157,167,177,187,197,207,217,227,237,247,257,267,277,287,297,307],"y":[0,1,1,1,1,1,1,1,1,1,1,1,1,1,1,1,1,1,1,1,1,1,1,1,1,1,1,1,1,1,1,1,1,1,1,1,1,1]},"corr_visc_pow_":{"curve_x":"x","curve_y":"y","x":[0,1,2,3,4,5,6,7,17,27,37,47,57,67,77,87,97,107,117,127,137,147,157,167,177,187,197,207,217,227,237,247,257,267,277,287,297,307],"y":[1,1,1,1,1,1,1,1,1,1,1,1,1,1,1,1,1,1,1,1,1,1,1,1,1,1,1,1,1,1,1,1,1,1,1,1,1,1]},"corr_visc_q_":{"curve_x":"x","curve_y":"y","x":[0,1,2,3,4,5,6,7,17,27,37,47,57,67,77,87,97,107,117,127,137,147,157,167,177,187,197,207,217,227,237,247,257,267,277,287,297,307],"y":[1,1,1,1,1,1,1,1,1,1,1,1,1,1,1,1,1,1,1,1,1,1,1,1,1,1,1,1,1,1,1,1,1,1,1,1,1,1]},"corr_visc_h_":{"curve_x":"x","curve_y":"y","x":[0,1,2,3,4,5,6,7,17,27,37,47,57,67,77,87,97,107,117,127,137,147,157,167,177,187,197,207,217,227,237,247,257,267,277,287,297,307],"y":[1,1,1,1,1,1,1,1,1,1,1,1,1,1,1,1,1,1,1,1,1,1,1,1,1,1,1,1,1,1,1,1,1,1,1,1,1,1]},"mu_stage_cP":{"curve_x":"x","curve_y":"y","x":[0,1,2,3,4,5,6,7,17,27,37,47,57,67,77,87,97,107,117,127,137,147,157,167,177,187,197,207,217,227,237,247,257,267,277,287,297,307],"y":[0.903815286784743,0.903815286784743,0.906014535765397,0.907471160581564,0.908908956013283,0.910330332162585,0.911735149648948,0.913123261957132,0.914494523851621,0.931636130507137,0.941927222412802,0.950100581612209,0.956202120451356,0.960188975288048,0.9620588316665,0.961858557098621,0.959686544374397,0.955690442333694,0.950060195043758,0.943017213833691,0.954169067240008,0.966594976869165,0.979706496146683,0.99348705545841,1.00790769566993,1.02294158488213,1.03856368237812,1.05475044484838,1.07147957766687,1.08872982365375,1.10648078324906,1.12471276118546,1.14340663565933,1.16254374671914,1.18210580116238,1.20207479169018,1.22243292843768,1.24316258129693]},"EffESPInPump":{"curve_x":"x","curve_y":"y","x":[0,1,2,3,4,5,6,7,17,27,37,47,57,67,77,87,97,107,117,127,137,147,157,167,177,187,197,207,217,227,237,247,257,267,277,287,297,307],"y":[0,0.435223704802138,0.433531015770831,0.432213025315088,0.430990550796492,0.429807213036027,0.4286442978038,0.427493841751944,0.422177714480821,0.409416742219777,0.397931505842422,0.38722028075143,0.377117176998265,0.367568585172111,0.35855474377763,0.350065395660196,0.342091043490265,0.334619648334476,0.327635576177848,0.321119598582132,0.315661947014503,0.311068367048346,0.307146583901794,0.303757666200277,0.300798715060684,0.298191867439929,0.295877099504543,0.293807380575148,0.291945327583894,0.290260844188375,0.288729421964214,0.287330896532398,0.286048522416152,0.284868275143278,0.283778317957114,0.282768589497113,0.281830481559409,0.280956584752317]},"PowerESPInPump":{"curve_x":"x","curve_y":"y","x":[0,1,2,3,4,5,6,7,17,27,37,47,57,67,77,87,97,107,117,127,137,147,157,167,177,187,197,207,217,227,237,247,257,267,277,287,297,307],"y":[0,60.814399316038,122.153961141222,183.84786523384,245.896995430917,308.302779210125,371.066611629541,434.189853212552,1069.0296186109,1755.04968228711,2479.38810306166,3242.04370989591,4043.01062727306,4881.89475558759,5757.9147853556,6669.93010789279,7616.48555377063,8595.87021173869,9606.18563307511,10645.4174206966,11688.388591574,12732.5709471297,13777.8339822703,14824.0668630239,15871.1734633946,16919.0698973053,17967.6825464218,19016.9464684901,20066.8041016066,21117.2042009367,22168.1009597055,23219.4532775174,24271.2241474058,25323.3801392749,26375.890962139,27428.7290911954,28481.8694485644,29535.2891287081]},"PowerfluidInPump":{"curve_x":"x","curve_y":"y","x":[0,1,2,3,4,5,6,7,17,27,37,47,57,67,77,87,97,107,117,127,137,147,157,167,177,187,197,207,217,227,237,247,257,267,277,287,297,307],"y":[0,26.4678681756427,52.9575308539844,79.4614420304387,105.979281499973,132.510758303565,159.05558718038,185.613488399546,451.320481097453,718.546723355843,986.626641419114,1255.3850755543,1524.6887543312,1794.43114827048,2064.5276605566,2334.91172224535,2605.53149081792,2876.3470673808,3147.32816476393,3418.45216887333,3689.57950027836,3960.70005285083,4231.81464122038,4502.92395390901,4774.02858429432,5045.12904802417,5316.22579665368,5587.31922844489,5858.40969700536,6129.49751826217,6400.58297614009,6671.66632722118,6942.74780459666,7213.82762107279,7484.90597185606,7755.98303681578,8027.05898240112,8298.13396327405]},"q_mix_InPump":{"curve_x":"x","curve_y":"y","x":[0,1,2,3,4,5,6,7,17,27,37,47,57,67,77,87,97,107,117,127,137,147,157,167,177,187,197,207,217,227,237,247,257,267,277,287,297,307],"y":[61.5542490825537,61.5542490825537,60.9961054903772,60.6255615907528,60.2588586448175,59.8953740480392,59.5350913303335,59.1779959332708,58.8240732168053,54.2364056088668,51.2511274690793,48.5772813119782,46.1662061674198,44.00070010653,42.0640117840554,40.3390945364805,38.8086778014654,37.4554269951975,36.2621673373015,35.2121484236168,35.0787216571849,35.0346419815638,34.9954135122259,34.9602908823352,34.9287172419571,34.9002313442146,34.8744479074543,34.8510426422246,34.8297406767862,34.8103075157765,34.7925419092457,34.7762701780469,34.7613416606371,34.7476250314475,34.7350053025374,34.7233813652757,34.7126639620679,34.7027740029917]},"gas_fractionInPump":{"curve_x":"x","curve_y":"y","x":[0,1,2,3,4,5,6,7,17,27,37,47,57,67,77,87,97,107,117,127,137,147,157,167,177,187,197,207,217,227,237,247,257,267,277,287,297,307],"y":[0.471745292299663,0.471745292299663,0.466580579394624,0.463094634813437,0.459598748054691,0.456087393536952,0.452560694427999,0.449018797002379,0.445461851821496,0.394685075043192,0.356158942979171,0.317040127703371,0.277211573653146,0.236962258010479,0.196605616254621,0.156452401174446,0.116792745060459,7.78799077233602E-02,3.99177268046577E-02,3.0533550783119E-03,0,0,0,0,0,0,0,0,0,0,0,0,0,0,0,0,0,0]},"TempInPump":{"curve_x":"x","curve_y":"y","x":[0,1,2,3,4,5,6,7,17,27,37,47,57,67,77,87,97,107,117,127,137,147,157,167,177,187,197,207,217,227,237,247,257,267,277,287,297,307],"y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},"PressureInPump":{"curve_x":"x","curve_y":"y","x":[0,1,2,3,4,5,6,7,17,27,37,47,57,67,77,87,97,107,117,127,137,147,157,167,177,187,197,207,217,227,237,247,257,267,277,287,297,307],"y":[50,50.3666553745645,50.7369705001181,51.1097494004458,51.4849939266333,51.8627098320486,52.2429027614373,52.6255782344024,56.477212312671,60.6785281844187,65.1387657208738,69.8564190794693,74.8305272947808,80.0579395399518,85.5332079720869,91.2486795850366,97.1947192454693,103.360044852697,109.732141724874,116.297713842084,122.888339901014,129.487093125534,136.09309796611,142.705610809773,149.323986694243,155.947662757461,162.57614501176,169.208997669354,175.845834452108,182.486311460028,189.130121275445,195.776988055213,202.426663419167,209.078922985046,215.733563431908,222.390399998392,229.04926434094,235.710002691713]}}</v>
      </c>
      <c r="R24" t="str">
        <v/>
      </c>
      <c r="S24" t="str">
        <v/>
      </c>
      <c r="T24" t="str">
        <v/>
      </c>
    </row>
    <row r="25" spans="1:31" ht="15.75" x14ac:dyDescent="0.3">
      <c r="B25" s="16" t="s">
        <v>41</v>
      </c>
      <c r="C25" s="2">
        <v>2000</v>
      </c>
      <c r="D25" s="16" t="s">
        <v>4</v>
      </c>
      <c r="Q25" t="str">
        <v>results</v>
      </c>
      <c r="R25" t="str">
        <v/>
      </c>
      <c r="S25" t="str">
        <v/>
      </c>
      <c r="T25" t="str">
        <v/>
      </c>
      <c r="W25" t="str">
        <f>Q24</f>
        <v>{"p_int_atma":50,"t_int_C":80,"p_dis_atma":235.710002691713,"t_dis_C":89.9999999999998,"head_m":2480.94631943387,"m_Nm":85.4670410996766,"gas_frac_intake":0.471745292299663,"eff_ESP_d":0.280956584752317,"power_fluid_W":8298.13396327405,"power_ESP_W":29535.2891287081,"length_pump_m":15.35,"angle":0,"d_od_m":0.092,"d_cas_min_m":0.1217,"d_motor_od_m":0.103,"calc_from_dis":false,"stage_num":307,"freq_Hz":55,"w_obmin":3300,"rate_nom_sm3day":88,"rate_max_sm3day":192.5,"c_calibr_head":1,"c_calibr_rate":1,"c_calibr_power":1,"gas_correct":1,"gas_corr_":1,"turb_head_factor":1,"turb_rate_factor":1,"corr_visc_eff_":{"curve_x":"x","curve_y":"y","x":[0,1,2,3,4,5,6,7,17,27,37,47,57,67,77,87,97,107,117,127,137,147,157,167,177,187,197,207,217,227,237,247,257,267,277,287,297,307],"y":[0,1,1,1,1,1,1,1,1,1,1,1,1,1,1,1,1,1,1,1,1,1,1,1,1,1,1,1,1,1,1,1,1,1,1,1,1,1]},"corr_visc_pow_":{"curve_x":"x","curve_y":"y","x":[0,1,2,3,4,5,6,7,17,27,37,47,57,67,77,87,97,107,117,127,137,147,157,167,177,187,197,207,217,227,237,247,257,267,277,287,297,307],"y":[1,1,1,1,1,1,1,1,1,1,1,1,1,1,1,1,1,1,1,1,1,1,1,1,1,1,1,1,1,1,1,1,1,1,1,1,1,1]},"corr_visc_q_":{"curve_x":"x","curve_y":"y","x":[0,1,2,3,4,5,6,7,17,27,37,47,57,67,77,87,97,107,117,127,137,147,157,167,177,187,197,207,217,227,237,247,257,267,277,287,297,307],"y":[1,1,1,1,1,1,1,1,1,1,1,1,1,1,1,1,1,1,1,1,1,1,1,1,1,1,1,1,1,1,1,1,1,1,1,1,1,1]},"corr_visc_h_":{"curve_x":"x","curve_y":"y","x":[0,1,2,3,4,5,6,7,17,27,37,47,57,67,77,87,97,107,117,127,137,147,157,167,177,187,197,207,217,227,237,247,257,267,277,287,297,307],"y":[1,1,1,1,1,1,1,1,1,1,1,1,1,1,1,1,1,1,1,1,1,1,1,1,1,1,1,1,1,1,1,1,1,1,1,1,1,1]},"mu_stage_cP":{"curve_x":"x","curve_y":"y","x":[0,1,2,3,4,5,6,7,17,27,37,47,57,67,77,87,97,107,117,127,137,147,157,167,177,187,197,207,217,227,237,247,257,267,277,287,297,307],"y":[0.903815286784743,0.903815286784743,0.906014535765397,0.907471160581564,0.908908956013283,0.910330332162585,0.911735149648948,0.913123261957132,0.914494523851621,0.931636130507137,0.941927222412802,0.950100581612209,0.956202120451356,0.960188975288048,0.9620588316665,0.961858557098621,0.959686544374397,0.955690442333694,0.950060195043758,0.943017213833691,0.954169067240008,0.966594976869165,0.979706496146683,0.99348705545841,1.00790769566993,1.02294158488213,1.03856368237812,1.05475044484838,1.07147957766687,1.08872982365375,1.10648078324906,1.12471276118546,1.14340663565933,1.16254374671914,1.18210580116238,1.20207479169018,1.22243292843768,1.24316258129693]},"EffESPInPump":{"curve_x":"x","curve_y":"y","x":[0,1,2,3,4,5,6,7,17,27,37,47,57,67,77,87,97,107,117,127,137,147,157,167,177,187,197,207,217,227,237,247,257,267,277,287,297,307],"y":[0,0.435223704802138,0.433531015770831,0.432213025315088,0.430990550796492,0.429807213036027,0.4286442978038,0.427493841751944,0.422177714480821,0.409416742219777,0.397931505842422,0.38722028075143,0.377117176998265,0.367568585172111,0.35855474377763,0.350065395660196,0.342091043490265,0.334619648334476,0.327635576177848,0.321119598582132,0.315661947014503,0.311068367048346,0.307146583901794,0.303757666200277,0.300798715060684,0.298191867439929,0.295877099504543,0.293807380575148,0.291945327583894,0.290260844188375,0.288729421964214,0.287330896532398,0.286048522416152,0.284868275143278,0.283778317957114,0.282768589497113,0.281830481559409,0.280956584752317]},"PowerESPInPump":{"curve_x":"x","curve_y":"y","x":[0,1,2,3,4,5,6,7,17,27,37,47,57,67,77,87,97,107,117,127,137,147,157,167,177,187,197,207,217,227,237,247,257,267,277,287,297,307],"y":[0,60.814399316038,122.153961141222,183.84786523384,245.896995430917,308.302779210125,371.066611629541,434.189853212552,1069.0296186109,1755.04968228711,2479.38810306166,3242.04370989591,4043.01062727306,4881.89475558759,5757.9147853556,6669.93010789279,7616.48555377063,8595.87021173869,9606.18563307511,10645.4174206966,11688.388591574,12732.5709471297,13777.8339822703,14824.0668630239,15871.1734633946,16919.0698973053,17967.6825464218,19016.9464684901,20066.8041016066,21117.2042009367,22168.1009597055,23219.4532775174,24271.2241474058,25323.3801392749,26375.890962139,27428.7290911954,28481.8694485644,29535.2891287081]},"PowerfluidInPump":{"curve_x":"x","curve_y":"y","x":[0,1,2,3,4,5,6,7,17,27,37,47,57,67,77,87,97,107,117,127,137,147,157,167,177,187,197,207,217,227,237,247,257,267,277,287,297,307],"y":[0,26.4678681756427,52.9575308539844,79.4614420304387,105.979281499973,132.510758303565,159.05558718038,185.613488399546,451.320481097453,718.546723355843,986.626641419114,1255.3850755543,1524.6887543312,1794.43114827048,2064.5276605566,2334.91172224535,2605.53149081792,2876.3470673808,3147.32816476393,3418.45216887333,3689.57950027836,3960.70005285083,4231.81464122038,4502.92395390901,4774.02858429432,5045.12904802417,5316.22579665368,5587.31922844489,5858.40969700536,6129.49751826217,6400.58297614009,6671.66632722118,6942.74780459666,7213.82762107279,7484.90597185606,7755.98303681578,8027.05898240112,8298.13396327405]},"q_mix_InPump":{"curve_x":"x","curve_y":"y","x":[0,1,2,3,4,5,6,7,17,27,37,47,57,67,77,87,97,107,117,127,137,147,157,167,177,187,197,207,217,227,237,247,257,267,277,287,297,307],"y":[61.5542490825537,61.5542490825537,60.9961054903772,60.6255615907528,60.2588586448175,59.8953740480392,59.5350913303335,59.1779959332708,58.8240732168053,54.2364056088668,51.2511274690793,48.5772813119782,46.1662061674198,44.00070010653,42.0640117840554,40.3390945364805,38.8086778014654,37.4554269951975,36.2621673373015,35.2121484236168,35.0787216571849,35.0346419815638,34.9954135122259,34.9602908823352,34.9287172419571,34.9002313442146,34.8744479074543,34.8510426422246,34.8297406767862,34.8103075157765,34.7925419092457,34.7762701780469,34.7613416606371,34.7476250314475,34.7350053025374,34.7233813652757,34.7126639620679,34.7027740029917]},"gas_fractionInPump":{"curve_x":"x","curve_y":"y","x":[0,1,2,3,4,5,6,7,17,27,37,47,57,67,77,87,97,107,117,127,137,147,157,167,177,187,197,207,217,227,237,247,257,267,277,287,297,307],"y":[0.471745292299663,0.471745292299663,0.466580579394624,0.463094634813437,0.459598748054691,0.456087393536952,0.452560694427999,0.449018797002379,0.445461851821496,0.394685075043192,0.356158942979171,0.317040127703371,0.277211573653146,0.236962258010479,0.196605616254621,0.156452401174446,0.116792745060459,7.78799077233602E-02,3.99177268046577E-02,3.0533550783119E-03,0,0,0,0,0,0,0,0,0,0,0,0,0,0,0,0,0,0]},"TempInPump":{"curve_x":"x","curve_y":"y","x":[0,1,2,3,4,5,6,7,17,27,37,47,57,67,77,87,97,107,117,127,137,147,157,167,177,187,197,207,217,227,237,247,257,267,277,287,297,307],"y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},"PressureInPump":{"curve_x":"x","curve_y":"y","x":[0,1,2,3,4,5,6,7,17,27,37,47,57,67,77,87,97,107,117,127,137,147,157,167,177,187,197,207,217,227,237,247,257,267,277,287,297,307],"y":[50,50.3666553745645,50.7369705001181,51.1097494004458,51.4849939266333,51.8627098320486,52.2429027614373,52.6255782344024,56.477212312671,60.6785281844187,65.1387657208738,69.8564190794693,74.8305272947808,80.0579395399518,85.5332079720869,91.2486795850366,97.1947192454693,103.360044852697,109.732141724874,116.297713842084,122.888339901014,129.487093125534,136.09309796611,142.705610809773,149.323986694243,155.947662757461,162.57614501176,169.208997669354,175.845834452108,182.486311460028,189.130121275445,195.776988055213,202.426663419167,209.078922985046,215.733563431908,222.390399998392,229.04926434094,235.710002691713]}}</v>
      </c>
    </row>
    <row r="26" spans="1:31" x14ac:dyDescent="0.2">
      <c r="B26" s="16" t="s">
        <v>37</v>
      </c>
      <c r="C26" s="2">
        <v>55</v>
      </c>
      <c r="D26" s="16" t="s">
        <v>5</v>
      </c>
    </row>
    <row r="27" spans="1:31" x14ac:dyDescent="0.2">
      <c r="B27" s="16" t="s">
        <v>38</v>
      </c>
      <c r="C27" s="11" cm="1">
        <f t="array" ref="C27">[1]!ESP_id_by_rate(Q_ESP_)</f>
        <v>1006</v>
      </c>
      <c r="D27" s="16"/>
      <c r="AD27" t="str" cm="1">
        <f t="array" ref="AD27:AE66">[1]!decode_json(W25)</f>
        <v>p_int_atma</v>
      </c>
      <c r="AE27" t="str">
        <v>50</v>
      </c>
    </row>
    <row r="28" spans="1:31" x14ac:dyDescent="0.2">
      <c r="B28" s="16" t="s">
        <v>39</v>
      </c>
      <c r="C28" s="11" t="str" cm="1">
        <f t="array" ref="C28">[1]!ESP_name(PumpID_)</f>
        <v>ЭЦН5-80</v>
      </c>
      <c r="D28" s="16"/>
      <c r="AD28" t="str">
        <v>t_int_C</v>
      </c>
      <c r="AE28" t="str">
        <v>80</v>
      </c>
    </row>
    <row r="29" spans="1:31" ht="15.75" x14ac:dyDescent="0.3">
      <c r="B29" s="16" t="s">
        <v>42</v>
      </c>
      <c r="C29" s="11" cm="1">
        <f t="array" ref="C29">[1]!ESP_rate_max_sm3day(Freq_,PumpID_)</f>
        <v>192.5</v>
      </c>
      <c r="D29" s="16"/>
      <c r="J29" s="17" t="s">
        <v>13</v>
      </c>
      <c r="AD29" t="str">
        <v>p_dis_atma</v>
      </c>
      <c r="AE29" t="str">
        <v>235,710002691713</v>
      </c>
    </row>
    <row r="30" spans="1:31" x14ac:dyDescent="0.2">
      <c r="B30" s="16" t="s">
        <v>9</v>
      </c>
      <c r="C30" s="52" cm="1">
        <f t="array" ref="C30">INT(Head_ESP_/[1]!ESP_head_m(Q_ESP_,1,,PumpID_))</f>
        <v>307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D30" t="str">
        <v>t_dis_C</v>
      </c>
      <c r="AE30" t="str">
        <v>89,9999999999998</v>
      </c>
    </row>
    <row r="31" spans="1:31" ht="15.75" x14ac:dyDescent="0.3">
      <c r="B31" s="16" t="s">
        <v>43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{"gamma_gas":0.8,"gamma_oil":0.9,"gamma_wat":1,"rsb_m3m3":80,"pb_atma":120,"t_res_C":100,"bob_m3m3":1.2,"muob_cP":1,"q_liq_sm3day":30,"fw_perc":10,"rp_m3m3":80}</v>
      </c>
      <c r="AD31" t="str">
        <v>head_m</v>
      </c>
      <c r="AE31" t="str">
        <v>2480,94631943387</v>
      </c>
    </row>
    <row r="32" spans="1:31" ht="15.75" x14ac:dyDescent="0.3">
      <c r="B32" s="16" t="s">
        <v>44</v>
      </c>
      <c r="C32" s="7">
        <v>80</v>
      </c>
      <c r="D32" s="16" t="s">
        <v>1</v>
      </c>
      <c r="AD32" t="str">
        <v>m_Nm</v>
      </c>
      <c r="AE32" t="str">
        <v>85,4670410996766</v>
      </c>
    </row>
    <row r="33" spans="1:31" ht="15.75" x14ac:dyDescent="0.3">
      <c r="B33" s="16" t="s">
        <v>45</v>
      </c>
      <c r="C33" s="7">
        <v>80</v>
      </c>
      <c r="D33" s="16" t="s">
        <v>2</v>
      </c>
      <c r="AD33" t="str">
        <v>gas_frac_intake</v>
      </c>
      <c r="AE33" t="str">
        <v>0,471745292299663</v>
      </c>
    </row>
    <row r="34" spans="1:31" ht="15" x14ac:dyDescent="0.25">
      <c r="B34" s="21" t="s">
        <v>46</v>
      </c>
      <c r="C34" s="2">
        <v>1</v>
      </c>
      <c r="D34" s="21" t="s">
        <v>30</v>
      </c>
      <c r="L34" s="76" t="s">
        <v>76</v>
      </c>
      <c r="S34" t="str" cm="1">
        <f t="array" ref="S34:S36">[1]!decode_json(O43)</f>
        <v>CESPpump start:</v>
      </c>
      <c r="AD34" t="str">
        <v>eff_ESP_d</v>
      </c>
      <c r="AE34" t="str">
        <v>0,280956584752317</v>
      </c>
    </row>
    <row r="35" spans="1:31" x14ac:dyDescent="0.2">
      <c r="A35" t="s">
        <v>53</v>
      </c>
      <c r="L35" s="12" t="s">
        <v>77</v>
      </c>
      <c r="M35" s="77">
        <v>1</v>
      </c>
      <c r="S35" t="str">
        <v>{"gas_correct" :1, "dnum_stages_integrate" : 10, "calc_from_dis": 0}</v>
      </c>
      <c r="AD35" t="str">
        <v>power_fluid_W</v>
      </c>
      <c r="AE35" t="str">
        <v>8298,13396327405</v>
      </c>
    </row>
    <row r="36" spans="1:31" x14ac:dyDescent="0.2">
      <c r="B36" s="16" t="s">
        <v>7</v>
      </c>
      <c r="C36" s="2">
        <v>20</v>
      </c>
      <c r="D36" s="16"/>
      <c r="J36" s="36"/>
      <c r="L36" s="12" t="s">
        <v>78</v>
      </c>
      <c r="M36" s="77">
        <v>0</v>
      </c>
      <c r="S36" t="str">
        <v>ESP_dPIntegration calc done in 0 ms</v>
      </c>
      <c r="AD36" t="str">
        <v>power_ESP_W</v>
      </c>
      <c r="AE36" t="str">
        <v>29535,2891287081</v>
      </c>
    </row>
    <row r="37" spans="1:31" x14ac:dyDescent="0.2">
      <c r="A37" s="1"/>
      <c r="L37" s="12" t="s">
        <v>79</v>
      </c>
      <c r="M37" s="77">
        <v>1</v>
      </c>
      <c r="AD37" t="str">
        <v>length_pump_m</v>
      </c>
      <c r="AE37" t="str">
        <v>15,35</v>
      </c>
    </row>
    <row r="38" spans="1:31" x14ac:dyDescent="0.2">
      <c r="A38" s="1" t="s">
        <v>47</v>
      </c>
      <c r="B38" s="3"/>
      <c r="C38" s="4"/>
      <c r="L38" s="20" t="str" cm="1">
        <f t="array" ref="L38">[1]!encode_json(L35:M37)</f>
        <v>{"show_log":1,"num_value":0,"show_array":1}</v>
      </c>
      <c r="M38" s="20"/>
      <c r="AD38" t="str">
        <v>angle</v>
      </c>
      <c r="AE38" t="str">
        <v>0</v>
      </c>
    </row>
    <row r="39" spans="1:31" ht="12.75" customHeight="1" x14ac:dyDescent="0.3">
      <c r="B39" s="15" t="s">
        <v>31</v>
      </c>
      <c r="C39" s="2">
        <v>50</v>
      </c>
      <c r="D39" s="16" t="s">
        <v>1</v>
      </c>
      <c r="F39" s="51" t="s">
        <v>69</v>
      </c>
      <c r="G39" s="2">
        <v>1</v>
      </c>
      <c r="AD39" t="str">
        <v>d_od_m</v>
      </c>
      <c r="AE39" t="str">
        <v>0,092</v>
      </c>
    </row>
    <row r="40" spans="1:31" ht="15.75" x14ac:dyDescent="0.3">
      <c r="B40" s="15" t="s">
        <v>32</v>
      </c>
      <c r="C40" s="2">
        <v>80</v>
      </c>
      <c r="D40" s="16" t="s">
        <v>2</v>
      </c>
      <c r="AD40" t="str">
        <v>d_cas_min_m</v>
      </c>
      <c r="AE40" t="str">
        <v>0,1217</v>
      </c>
    </row>
    <row r="41" spans="1:31" ht="15.75" x14ac:dyDescent="0.3">
      <c r="B41" s="15" t="s">
        <v>34</v>
      </c>
      <c r="C41" s="2">
        <v>150</v>
      </c>
      <c r="D41" s="16" t="s">
        <v>1</v>
      </c>
      <c r="F41" t="s">
        <v>68</v>
      </c>
      <c r="AD41" t="str">
        <v>d_motor_od_m</v>
      </c>
      <c r="AE41" t="str">
        <v>0,103</v>
      </c>
    </row>
    <row r="42" spans="1:31" ht="15.75" x14ac:dyDescent="0.3">
      <c r="B42" s="15" t="s">
        <v>51</v>
      </c>
      <c r="C42" s="2">
        <v>90</v>
      </c>
      <c r="D42" s="23" t="s">
        <v>2</v>
      </c>
      <c r="AD42" t="str">
        <v>calc_from_dis</v>
      </c>
      <c r="AE42" t="str">
        <v>False</v>
      </c>
    </row>
    <row r="43" spans="1:31" x14ac:dyDescent="0.2">
      <c r="B43" s="15" t="s">
        <v>52</v>
      </c>
      <c r="C43" s="2">
        <v>120</v>
      </c>
      <c r="D43" s="23"/>
      <c r="F43" s="75" cm="1">
        <f t="array" ref="F43:O65">[1]!ESP_p_atma(Pintake_,Tintake_,J31,PumpID_,NumStage_,Freq_,Tdis_,,L38)</f>
        <v>235.7100026917133</v>
      </c>
      <c r="G43" s="41">
        <v>50</v>
      </c>
      <c r="H43" s="41">
        <v>80</v>
      </c>
      <c r="I43" s="41">
        <v>235.7100026917133</v>
      </c>
      <c r="J43" s="41">
        <v>89.999999999999801</v>
      </c>
      <c r="K43" s="41">
        <v>2480.9463194338678</v>
      </c>
      <c r="L43" s="41">
        <v>28.095658475231673</v>
      </c>
      <c r="M43" s="41">
        <v>8298.1339632740528</v>
      </c>
      <c r="N43" s="41">
        <v>29535.289128708089</v>
      </c>
      <c r="O43" s="72" t="str">
        <v>["CESPpump start:","{\"gas_correct\" :1, \"dnum_stages_integrate\" : 10, \"calc_from_dis\": 0}","ESP_dPIntegration calc done in 0 ms"]</v>
      </c>
      <c r="AD43" t="str">
        <v>stage_num</v>
      </c>
      <c r="AE43" t="str">
        <v>307</v>
      </c>
    </row>
    <row r="44" spans="1:31" ht="25.5" x14ac:dyDescent="0.2">
      <c r="B44" s="15" t="s">
        <v>70</v>
      </c>
      <c r="C44" s="2">
        <v>10</v>
      </c>
      <c r="F44" s="48" t="str">
        <v>p_dis_atma</v>
      </c>
      <c r="G44" s="49" t="str">
        <v>p_int_atma</v>
      </c>
      <c r="H44" s="49" t="str">
        <v>t_int_C</v>
      </c>
      <c r="I44" s="49" t="str">
        <v>p_dis_atma</v>
      </c>
      <c r="J44" s="49" t="str">
        <v>t_dis_C</v>
      </c>
      <c r="K44" s="49" t="str">
        <v>head_m</v>
      </c>
      <c r="L44" s="49" t="str">
        <v>eff_ESP_d, %</v>
      </c>
      <c r="M44" s="49" t="str">
        <v>power_fluid_W</v>
      </c>
      <c r="N44" s="49" t="str">
        <v>power_ESP_W</v>
      </c>
      <c r="O44" s="50" t="str">
        <v>log</v>
      </c>
      <c r="AD44" t="str">
        <v>freq_Hz</v>
      </c>
      <c r="AE44" t="str">
        <v>55</v>
      </c>
    </row>
    <row r="45" spans="1:31" x14ac:dyDescent="0.2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4" t="str">
        <v>mu_stage_cP</v>
      </c>
      <c r="AD45" t="str">
        <v>w_obmin</v>
      </c>
      <c r="AE45" t="str">
        <v>3300</v>
      </c>
    </row>
    <row r="46" spans="1:31" x14ac:dyDescent="0.2">
      <c r="F46" s="73">
        <v>0</v>
      </c>
      <c r="G46" s="46">
        <v>1015.35</v>
      </c>
      <c r="H46" s="46">
        <v>50</v>
      </c>
      <c r="I46" s="46">
        <v>80</v>
      </c>
      <c r="J46" s="46">
        <v>47.174529229966296</v>
      </c>
      <c r="K46" s="45">
        <v>61.554249082553675</v>
      </c>
      <c r="L46" s="46">
        <v>0</v>
      </c>
      <c r="M46" s="46">
        <v>0</v>
      </c>
      <c r="N46" s="46">
        <v>0</v>
      </c>
      <c r="O46" s="47">
        <v>0.90381528678474299</v>
      </c>
      <c r="AD46" t="str">
        <v>rate_nom_sm3day</v>
      </c>
      <c r="AE46" t="str">
        <v>88</v>
      </c>
    </row>
    <row r="47" spans="1:31" x14ac:dyDescent="0.2">
      <c r="F47" s="73">
        <v>16.157894736842106</v>
      </c>
      <c r="G47" s="46">
        <v>1014.542105263158</v>
      </c>
      <c r="H47" s="46">
        <v>56.152864179764194</v>
      </c>
      <c r="I47" s="46">
        <v>80.526315789473642</v>
      </c>
      <c r="J47" s="46">
        <v>44.576138404725469</v>
      </c>
      <c r="K47" s="45">
        <v>58.853877235033949</v>
      </c>
      <c r="L47" s="46">
        <v>428.94515539657698</v>
      </c>
      <c r="M47" s="46">
        <v>1015.5694278405117</v>
      </c>
      <c r="N47" s="46">
        <v>42.262538835628426</v>
      </c>
      <c r="O47" s="47">
        <v>0.91437904916576895</v>
      </c>
      <c r="AD47" t="str">
        <v>rate_max_sm3day</v>
      </c>
      <c r="AE47" t="str">
        <v>192,5</v>
      </c>
    </row>
    <row r="48" spans="1:31" x14ac:dyDescent="0.2">
      <c r="F48" s="73">
        <v>32.315789473684212</v>
      </c>
      <c r="G48" s="46">
        <v>1013.7342105263158</v>
      </c>
      <c r="H48" s="46">
        <v>63.049496559060636</v>
      </c>
      <c r="I48" s="46">
        <v>81.052631578947313</v>
      </c>
      <c r="J48" s="46">
        <v>37.420539431442315</v>
      </c>
      <c r="K48" s="45">
        <v>52.649494597716597</v>
      </c>
      <c r="L48" s="46">
        <v>861.052364010529</v>
      </c>
      <c r="M48" s="46">
        <v>2140.0927375409501</v>
      </c>
      <c r="N48" s="46">
        <v>40.331143235602525</v>
      </c>
      <c r="O48" s="47">
        <v>0.93710665830962225</v>
      </c>
      <c r="AD48" t="str">
        <v>c_calibr_head</v>
      </c>
      <c r="AE48" t="str">
        <v>1</v>
      </c>
    </row>
    <row r="49" spans="6:31" x14ac:dyDescent="0.2">
      <c r="F49" s="73">
        <v>48.473684210526315</v>
      </c>
      <c r="G49" s="46">
        <v>1012.9263157894737</v>
      </c>
      <c r="H49" s="46">
        <v>70.589445553304685</v>
      </c>
      <c r="I49" s="46">
        <v>81.578947368420984</v>
      </c>
      <c r="J49" s="46">
        <v>31.117065658017985</v>
      </c>
      <c r="K49" s="45">
        <v>48.221964974885395</v>
      </c>
      <c r="L49" s="46">
        <v>1295.0719334793191</v>
      </c>
      <c r="M49" s="46">
        <v>3360.0809398251786</v>
      </c>
      <c r="N49" s="46">
        <v>38.573140230359478</v>
      </c>
      <c r="O49" s="47">
        <v>0.95099975575692575</v>
      </c>
      <c r="AD49" t="str">
        <v>c_calibr_rate</v>
      </c>
      <c r="AE49" t="str">
        <v>1</v>
      </c>
    </row>
    <row r="50" spans="6:31" x14ac:dyDescent="0.2">
      <c r="F50" s="73">
        <v>64.631578947368425</v>
      </c>
      <c r="G50" s="46">
        <v>1012.1184210526316</v>
      </c>
      <c r="H50" s="46">
        <v>78.819868218727109</v>
      </c>
      <c r="I50" s="46">
        <v>82.105263157894669</v>
      </c>
      <c r="J50" s="46">
        <v>24.649499066268952</v>
      </c>
      <c r="K50" s="45">
        <v>44.51358312095126</v>
      </c>
      <c r="L50" s="46">
        <v>1730.5447918111752</v>
      </c>
      <c r="M50" s="46">
        <v>4683.2116725657279</v>
      </c>
      <c r="N50" s="46">
        <v>36.983009376251566</v>
      </c>
      <c r="O50" s="47">
        <v>0.95924472019514762</v>
      </c>
      <c r="AD50" t="str">
        <v>c_calibr_power</v>
      </c>
      <c r="AE50" t="str">
        <v>1</v>
      </c>
    </row>
    <row r="51" spans="6:31" x14ac:dyDescent="0.2">
      <c r="F51" s="73">
        <v>80.789473684210535</v>
      </c>
      <c r="G51" s="46">
        <v>1011.3105263157895</v>
      </c>
      <c r="H51" s="46">
        <v>87.699070899099411</v>
      </c>
      <c r="I51" s="46">
        <v>82.63157894736834</v>
      </c>
      <c r="J51" s="46">
        <v>18.138966106634381</v>
      </c>
      <c r="K51" s="45">
        <v>41.410358932342788</v>
      </c>
      <c r="L51" s="46">
        <v>2166.9889891965472</v>
      </c>
      <c r="M51" s="46">
        <v>6103.520591790746</v>
      </c>
      <c r="N51" s="46">
        <v>35.5337727648918</v>
      </c>
      <c r="O51" s="47">
        <v>0.9619829381460403</v>
      </c>
      <c r="AD51" t="str">
        <v>gas_correct</v>
      </c>
      <c r="AE51" t="str">
        <v>1</v>
      </c>
    </row>
    <row r="52" spans="6:31" x14ac:dyDescent="0.2">
      <c r="F52" s="73">
        <v>96.94736842105263</v>
      </c>
      <c r="G52" s="46">
        <v>1010.5026315789474</v>
      </c>
      <c r="H52" s="46">
        <v>97.163424299888092</v>
      </c>
      <c r="I52" s="46">
        <v>83.15789473684201</v>
      </c>
      <c r="J52" s="46">
        <v>11.700148009263813</v>
      </c>
      <c r="K52" s="45">
        <v>38.816732626386489</v>
      </c>
      <c r="L52" s="46">
        <v>2604.1071762464903</v>
      </c>
      <c r="M52" s="46">
        <v>7611.5036830028494</v>
      </c>
      <c r="N52" s="46">
        <v>34.213301376484381</v>
      </c>
      <c r="O52" s="47">
        <v>0.95969797602031415</v>
      </c>
      <c r="AD52" t="str">
        <v>gas_corr_</v>
      </c>
      <c r="AE52" t="str">
        <v>1</v>
      </c>
    </row>
    <row r="53" spans="6:31" x14ac:dyDescent="0.2">
      <c r="F53" s="73">
        <v>113.10526315789474</v>
      </c>
      <c r="G53" s="46">
        <v>1009.6947368421053</v>
      </c>
      <c r="H53" s="46">
        <v>107.25037767992094</v>
      </c>
      <c r="I53" s="46">
        <v>83.684210526315695</v>
      </c>
      <c r="J53" s="46">
        <v>5.470299726773133</v>
      </c>
      <c r="K53" s="45">
        <v>36.726910572482012</v>
      </c>
      <c r="L53" s="46">
        <v>3041.7881584147108</v>
      </c>
      <c r="M53" s="46">
        <v>9212.6943637125059</v>
      </c>
      <c r="N53" s="46">
        <v>33.035568849148213</v>
      </c>
      <c r="O53" s="47">
        <v>0.95225302819878588</v>
      </c>
      <c r="AD53" t="str">
        <v>turb_head_factor</v>
      </c>
      <c r="AE53" t="str">
        <v>1</v>
      </c>
    </row>
    <row r="54" spans="6:31" x14ac:dyDescent="0.2">
      <c r="F54" s="73">
        <v>129.26315789473685</v>
      </c>
      <c r="G54" s="46">
        <v>1008.8868421052632</v>
      </c>
      <c r="H54" s="46">
        <v>117.78927658173639</v>
      </c>
      <c r="I54" s="46">
        <v>84.210526315789366</v>
      </c>
      <c r="J54" s="46">
        <v>0.23623326132202571</v>
      </c>
      <c r="K54" s="45">
        <v>35.18195183963487</v>
      </c>
      <c r="L54" s="46">
        <v>3479.8125649281546</v>
      </c>
      <c r="M54" s="46">
        <v>10881.458264632021</v>
      </c>
      <c r="N54" s="46">
        <v>31.988444585893195</v>
      </c>
      <c r="O54" s="47">
        <v>0.94554105434143654</v>
      </c>
      <c r="AD54" t="str">
        <v>turb_rate_factor</v>
      </c>
      <c r="AE54" t="str">
        <v>1</v>
      </c>
    </row>
    <row r="55" spans="6:31" x14ac:dyDescent="0.2">
      <c r="F55" s="73">
        <v>145.42105263157896</v>
      </c>
      <c r="G55" s="46">
        <v>1008.078947368421</v>
      </c>
      <c r="H55" s="46">
        <v>128.445184721662</v>
      </c>
      <c r="I55" s="46">
        <v>84.736842105263037</v>
      </c>
      <c r="J55" s="46">
        <v>0</v>
      </c>
      <c r="K55" s="45">
        <v>35.041601930346054</v>
      </c>
      <c r="L55" s="46">
        <v>3917.8915445499179</v>
      </c>
      <c r="M55" s="46">
        <v>12567.700048884039</v>
      </c>
      <c r="N55" s="46">
        <v>31.179366914826534</v>
      </c>
      <c r="O55" s="47">
        <v>0.96463299113824508</v>
      </c>
      <c r="AD55" t="str">
        <v>corr_visc_eff_</v>
      </c>
      <c r="AE55" t="str">
        <v>{"curve_x":"x","curve_y":"y","x":[0,1,2,3,4,5,6,7,17,27,37,47,57,67,77,87,97,107,117,127,137,147,157,167,177,187,197,207,217,227,237,247,257,267,277,287,297,307],"y":[0,1,1,1,1,1,1,1,1,1,1,1,1,1,1,1,1,1,1,1,1,1,1,1,1,1,1,1,1,1,1,1,1,1,1,1,1,1]}</v>
      </c>
    </row>
    <row r="56" spans="6:31" x14ac:dyDescent="0.2">
      <c r="F56" s="73">
        <v>161.57894736842107</v>
      </c>
      <c r="G56" s="46">
        <v>1007.271052631579</v>
      </c>
      <c r="H56" s="46">
        <v>139.12093279452449</v>
      </c>
      <c r="I56" s="46">
        <v>85.263157894736722</v>
      </c>
      <c r="J56" s="46">
        <v>0</v>
      </c>
      <c r="K56" s="45">
        <v>34.979331044854902</v>
      </c>
      <c r="L56" s="46">
        <v>4355.9541686093871</v>
      </c>
      <c r="M56" s="46">
        <v>14256.898511878559</v>
      </c>
      <c r="N56" s="46">
        <v>30.559481632267836</v>
      </c>
      <c r="O56" s="47">
        <v>0.9860165417262633</v>
      </c>
      <c r="AD56" t="str">
        <v>corr_visc_pow_</v>
      </c>
      <c r="AE56" t="str">
        <v>{"curve_x":"x","curve_y":"y","x":[0,1,2,3,4,5,6,7,17,27,37,47,57,67,77,87,97,107,117,127,137,147,157,167,177,187,197,207,217,227,237,247,257,267,277,287,297,307],"y":[1,1,1,1,1,1,1,1,1,1,1,1,1,1,1,1,1,1,1,1,1,1,1,1,1,1,1,1,1,1,1,1,1,1,1,1,1,1]}</v>
      </c>
    </row>
    <row r="57" spans="6:31" x14ac:dyDescent="0.2">
      <c r="F57" s="73">
        <v>177.73684210526318</v>
      </c>
      <c r="G57" s="46">
        <v>1006.4631578947368</v>
      </c>
      <c r="H57" s="46">
        <v>149.81204703574352</v>
      </c>
      <c r="I57" s="46">
        <v>85.789473684210392</v>
      </c>
      <c r="J57" s="46">
        <v>0</v>
      </c>
      <c r="K57" s="45">
        <v>34.92661828107078</v>
      </c>
      <c r="L57" s="46">
        <v>4794.0044079375702</v>
      </c>
      <c r="M57" s="46">
        <v>15948.386884840629</v>
      </c>
      <c r="N57" s="46">
        <v>30.060663155178652</v>
      </c>
      <c r="O57" s="47">
        <v>1.0090154559276703</v>
      </c>
      <c r="AD57" t="str">
        <v>corr_visc_q_</v>
      </c>
      <c r="AE57" t="str">
        <v>{"curve_x":"x","curve_y":"y","x":[0,1,2,3,4,5,6,7,17,27,37,47,57,67,77,87,97,107,117,127,137,147,157,167,177,187,197,207,217,227,237,247,257,267,277,287,297,307],"y":[1,1,1,1,1,1,1,1,1,1,1,1,1,1,1,1,1,1,1,1,1,1,1,1,1,1,1,1,1,1,1,1,1,1,1,1,1,1]}</v>
      </c>
    </row>
    <row r="58" spans="6:31" x14ac:dyDescent="0.2">
      <c r="F58" s="73">
        <v>193.89473684210526</v>
      </c>
      <c r="G58" s="46">
        <v>1005.6552631578948</v>
      </c>
      <c r="H58" s="46">
        <v>160.51782683805672</v>
      </c>
      <c r="I58" s="46">
        <v>86.315789473684063</v>
      </c>
      <c r="J58" s="46">
        <v>0</v>
      </c>
      <c r="K58" s="45">
        <v>34.88245434307985</v>
      </c>
      <c r="L58" s="46">
        <v>5232.0431220792516</v>
      </c>
      <c r="M58" s="46">
        <v>17642.060723801424</v>
      </c>
      <c r="N58" s="46">
        <v>29.659589586342587</v>
      </c>
      <c r="O58" s="47">
        <v>1.0337126099977862</v>
      </c>
      <c r="AD58" t="str">
        <v>corr_visc_h_</v>
      </c>
      <c r="AE58" t="str">
        <v>{"curve_x":"x","curve_y":"y","x":[0,1,2,3,4,5,6,7,17,27,37,47,57,67,77,87,97,107,117,127,137,147,157,167,177,187,197,207,217,227,237,247,257,267,277,287,297,307],"y":[1,1,1,1,1,1,1,1,1,1,1,1,1,1,1,1,1,1,1,1,1,1,1,1,1,1,1,1,1,1,1,1,1,1,1,1,1,1]}</v>
      </c>
    </row>
    <row r="59" spans="6:31" x14ac:dyDescent="0.2">
      <c r="F59" s="73">
        <v>210.05263157894737</v>
      </c>
      <c r="G59" s="46">
        <v>1004.8473684210527</v>
      </c>
      <c r="H59" s="46">
        <v>171.23497942408906</v>
      </c>
      <c r="I59" s="46">
        <v>86.842105263157748</v>
      </c>
      <c r="J59" s="46">
        <v>0</v>
      </c>
      <c r="K59" s="45">
        <v>34.844539936985491</v>
      </c>
      <c r="L59" s="46">
        <v>5670.0731609528193</v>
      </c>
      <c r="M59" s="46">
        <v>19337.429324915127</v>
      </c>
      <c r="N59" s="46">
        <v>29.323896439887044</v>
      </c>
      <c r="O59" s="47">
        <v>1.0598572327613909</v>
      </c>
      <c r="AD59" t="str">
        <v>mu_stage_cP</v>
      </c>
      <c r="AE59" t="str">
        <v>{"curve_x":"x","curve_y":"y","x":[0,1,2,3,4,5,6,7,17,27,37,47,57,67,77,87,97,107,117,127,137,147,157,167,177,187,197,207,217,227,237,247,257,267,277,287,297,307],"y":[0.903815286784743,0.903815286784743,0.906014535765397,0.907471160581564,0.908908956013283,0.910330332162585,0.911735149648948,0.913123261957132,0.914494523851621,0.931636130507137,0.941927222412802,0.950100581612209,0.956202120451356,0.960188975288048,0.9620588316665,0.961858557098621,0.959686544374397,0.955690442333694,0.950060195043758,0.943017213833691,0.954169067240008,0.966594976869165,0.979706496146683,0.99348705545841,1.00790769566993,1.02294158488213,1.03856368237812,1.05475044484838,1.07147957766687,1.08872982365375,1.10648078324906,1.12471276118546,1.14340663565933,1.16254374671914,1.18210580116238,1.20207479169018,1.22243292843768,1.24316258129693]}</v>
      </c>
    </row>
    <row r="60" spans="6:31" x14ac:dyDescent="0.2">
      <c r="F60" s="73">
        <v>226.21052631578948</v>
      </c>
      <c r="G60" s="46">
        <v>1004.0394736842105</v>
      </c>
      <c r="H60" s="46">
        <v>181.96206327519229</v>
      </c>
      <c r="I60" s="46">
        <v>87.368421052631419</v>
      </c>
      <c r="J60" s="46">
        <v>0</v>
      </c>
      <c r="K60" s="45">
        <v>34.811841712698353</v>
      </c>
      <c r="L60" s="46">
        <v>6108.0958481629486</v>
      </c>
      <c r="M60" s="46">
        <v>21034.277877305358</v>
      </c>
      <c r="N60" s="46">
        <v>29.039382971959977</v>
      </c>
      <c r="O60" s="47">
        <v>1.0873679621284691</v>
      </c>
      <c r="AD60" t="str">
        <v>EffESPInPump</v>
      </c>
      <c r="AE60" t="str">
        <v>{"curve_x":"x","curve_y":"y","x":[0,1,2,3,4,5,6,7,17,27,37,47,57,67,77,87,97,107,117,127,137,147,157,167,177,187,197,207,217,227,237,247,257,267,277,287,297,307],"y":[0,0.435223704802138,0.433531015770831,0.432213025315088,0.430990550796492,0.429807213036027,0.4286442978038,0.427493841751944,0.422177714480821,0.409416742219777,0.397931505842422,0.38722028075143,0.377117176998265,0.367568585172111,0.35855474377763,0.350065395660196,0.342091043490265,0.334619648334476,0.327635576177848,0.321119598582132,0.315661947014503,0.311068367048346,0.307146583901794,0.303757666200277,0.300798715060684,0.298191867439929,0.295877099504543,0.293807380575148,0.291945327583894,0.290260844188375,0.288729421964214,0.287330896532398,0.286048522416152,0.284868275143278,0.283778317957114,0.282768589497113,0.281830481559409,0.280956584752317]}</v>
      </c>
    </row>
    <row r="61" spans="6:31" x14ac:dyDescent="0.2">
      <c r="F61" s="73">
        <v>242.36842105263159</v>
      </c>
      <c r="G61" s="46">
        <v>1003.2315789473685</v>
      </c>
      <c r="H61" s="46">
        <v>192.69843923089925</v>
      </c>
      <c r="I61" s="46">
        <v>87.894736842105104</v>
      </c>
      <c r="J61" s="46">
        <v>0</v>
      </c>
      <c r="K61" s="45">
        <v>34.783806558812678</v>
      </c>
      <c r="L61" s="46">
        <v>6546.1119330362562</v>
      </c>
      <c r="M61" s="46">
        <v>22732.511151372921</v>
      </c>
      <c r="N61" s="46">
        <v>28.797863462713337</v>
      </c>
      <c r="O61" s="47">
        <v>1.1162684766675455</v>
      </c>
      <c r="AD61" t="str">
        <v>PowerESPInPump</v>
      </c>
      <c r="AE61" t="str">
        <v>{"curve_x":"x","curve_y":"y","x":[0,1,2,3,4,5,6,7,17,27,37,47,57,67,77,87,97,107,117,127,137,147,157,167,177,187,197,207,217,227,237,247,257,267,277,287,297,307],"y":[0,60.814399316038,122.153961141222,183.84786523384,245.896995430917,308.302779210125,371.066611629541,434.189853212552,1069.0296186109,1755.04968228711,2479.38810306166,3242.04370989591,4043.01062727306,4881.89475558759,5757.9147853556,6669.93010789279,7616.48555377063,8595.87021173869,9606.18563307511,10645.4174206966,11688.388591574,12732.5709471297,13777.8339822703,14824.0668630239,15871.1734633946,16919.0698973053,17967.6825464218,19016.9464684901,20066.8041016066,21117.2042009367,22168.1009597055,23219.4532775174,24271.2241474058,25323.3801392749,26375.890962139,27428.7290911954,28481.8694485644,29535.2891287081]}</v>
      </c>
    </row>
    <row r="62" spans="6:31" x14ac:dyDescent="0.2">
      <c r="F62" s="73">
        <v>258.5263157894737</v>
      </c>
      <c r="G62" s="46">
        <v>1002.4236842105263</v>
      </c>
      <c r="H62" s="46">
        <v>203.44200830027506</v>
      </c>
      <c r="I62" s="46">
        <v>88.421052631578775</v>
      </c>
      <c r="J62" s="46">
        <v>0</v>
      </c>
      <c r="K62" s="45">
        <v>34.759248069866075</v>
      </c>
      <c r="L62" s="46">
        <v>6984.123145006175</v>
      </c>
      <c r="M62" s="46">
        <v>24431.816377743729</v>
      </c>
      <c r="N62" s="46">
        <v>28.58683794113449</v>
      </c>
      <c r="O62" s="47">
        <v>1.1463275631368786</v>
      </c>
      <c r="AD62" t="str">
        <v>PowerfluidInPump</v>
      </c>
      <c r="AE62" t="str">
        <v>{"curve_x":"x","curve_y":"y","x":[0,1,2,3,4,5,6,7,17,27,37,47,57,67,77,87,97,107,117,127,137,147,157,167,177,187,197,207,217,227,237,247,257,267,277,287,297,307],"y":[0,26.4678681756427,52.9575308539844,79.4614420304387,105.979281499973,132.510758303565,159.05558718038,185.613488399546,451.320481097453,718.546723355843,986.626641419114,1255.3850755543,1524.6887543312,1794.43114827048,2064.5276605566,2334.91172224535,2605.53149081792,2876.3470673808,3147.32816476393,3418.45216887333,3689.57950027836,3960.70005285083,4231.81464122038,4502.92395390901,4774.02858429432,5045.12904802417,5316.22579665368,5587.31922844489,5858.40969700536,6129.49751826217,6400.58297614009,6671.66632722118,6942.74780459666,7213.82762107279,7484.90597185606,7755.98303681578,8027.05898240112,8298.13396327405]}</v>
      </c>
    </row>
    <row r="63" spans="6:31" x14ac:dyDescent="0.2">
      <c r="F63" s="73">
        <v>274.68421052631578</v>
      </c>
      <c r="G63" s="46">
        <v>1001.6157894736842</v>
      </c>
      <c r="H63" s="46">
        <v>214.19248880210881</v>
      </c>
      <c r="I63" s="46">
        <v>88.947368421052445</v>
      </c>
      <c r="J63" s="46">
        <v>0</v>
      </c>
      <c r="K63" s="45">
        <v>34.737927766074499</v>
      </c>
      <c r="L63" s="46">
        <v>7422.1299327272991</v>
      </c>
      <c r="M63" s="46">
        <v>26132.151613686299</v>
      </c>
      <c r="N63" s="46">
        <v>28.403072909496224</v>
      </c>
      <c r="O63" s="47">
        <v>1.1775756411860545</v>
      </c>
      <c r="AD63" t="str">
        <v>q_mix_InPump</v>
      </c>
      <c r="AE63" t="str">
        <v>{"curve_x":"x","curve_y":"y","x":[0,1,2,3,4,5,6,7,17,27,37,47,57,67,77,87,97,107,117,127,137,147,157,167,177,187,197,207,217,227,237,247,257,267,277,287,297,307],"y":[61.5542490825537,61.5542490825537,60.9961054903772,60.6255615907528,60.2588586448175,59.8953740480392,59.5350913303335,59.1779959332708,58.8240732168053,54.2364056088668,51.2511274690793,48.5772813119782,46.1662061674198,44.00070010653,42.0640117840554,40.3390945364805,38.8086778014654,37.4554269951975,36.2621673373015,35.2121484236168,35.0787216571849,35.0346419815638,34.9954135122259,34.9602908823352,34.9287172419571,34.9002313442146,34.8744479074543,34.8510426422246,34.8297406767862,34.8103075157765,34.7925419092457,34.7762701780469,34.7613416606371,34.7476250314475,34.7350053025374,34.7233813652757,34.7126639620679,34.7027740029917]}</v>
      </c>
    </row>
    <row r="64" spans="6:31" x14ac:dyDescent="0.2">
      <c r="F64" s="73">
        <v>290.84210526315792</v>
      </c>
      <c r="G64" s="46">
        <v>1000.8078947368422</v>
      </c>
      <c r="H64" s="46">
        <v>224.94880577210751</v>
      </c>
      <c r="I64" s="46">
        <v>89.47368421052613</v>
      </c>
      <c r="J64" s="46">
        <v>0</v>
      </c>
      <c r="K64" s="45">
        <v>34.719263626148489</v>
      </c>
      <c r="L64" s="46">
        <v>7860.1332685406733</v>
      </c>
      <c r="M64" s="46">
        <v>27833.356702184567</v>
      </c>
      <c r="N64" s="46">
        <v>28.240815855262696</v>
      </c>
      <c r="O64" s="47">
        <v>1.2098966021247457</v>
      </c>
      <c r="AD64" t="str">
        <v>gas_fractionInPump</v>
      </c>
      <c r="AE64" t="str">
        <v>{"curve_x":"x","curve_y":"y","x":[0,1,2,3,4,5,6,7,17,27,37,47,57,67,77,87,97,107,117,127,137,147,157,167,177,187,197,207,217,227,237,247,257,267,277,287,297,307],"y":[0.471745292299663,0.471745292299663,0.466580579394624,0.463094634813437,0.459598748054691,0.456087393536952,0.452560694427999,0.449018797002379,0.445461851821496,0.394685075043192,0.356158942979171,0.317040127703371,0.277211573653146,0.236962258010479,0.196605616254621,0.156452401174446,0.116792745060459,7.78799077233602E-02,3.99177268046577E-02,3.0533550783119E-03,0,0,0,0,0,0,0,0,0,0,0,0,0,0,0,0,0,0]}</v>
      </c>
    </row>
    <row r="65" spans="2:35" x14ac:dyDescent="0.2">
      <c r="F65" s="74">
        <v>307</v>
      </c>
      <c r="G65" s="53">
        <v>1000</v>
      </c>
      <c r="H65" s="53">
        <v>235.7100026917133</v>
      </c>
      <c r="I65" s="53">
        <v>89.999999999999801</v>
      </c>
      <c r="J65" s="53">
        <v>0</v>
      </c>
      <c r="K65" s="54">
        <v>34.702774002991731</v>
      </c>
      <c r="L65" s="53">
        <v>8298.1339632740528</v>
      </c>
      <c r="M65" s="53">
        <v>29535.289128708089</v>
      </c>
      <c r="N65" s="53">
        <v>28.095658475231673</v>
      </c>
      <c r="O65" s="55">
        <v>1.243162581296928</v>
      </c>
      <c r="AD65" t="str">
        <v>TempInPump</v>
      </c>
      <c r="AE65" t="str">
        <v>{"curve_x":"x","curve_y":"y","x":[0,1,2,3,4,5,6,7,17,27,37,47,57,67,77,87,97,107,117,127,137,147,157,167,177,187,197,207,217,227,237,247,257,267,277,287,297,307],"y":[80,80.0325732899023,80.0651465798045,80.0977198697068,80.1302931596091,80.1628664495114,80.1954397394136,80.2280130293159,80.5537459283387,80.8794788273615,81.2052117263843,81.5309446254071,81.8566775244299,82.1824104234527,82.5081433224755,82.8338762214983,83.1596091205211,83.4853420195439,83.8110749185667,84.1368078175895,84.4625407166123,84.7882736156351,85.1140065146579,85.4397394136807,85.7654723127035,86.0912052117262,86.416938110749,86.7426710097718,87.0684039087946,87.3941368078174,87.7198697068402,88.045602605863,88.3713355048858,88.6970684039086,89.0228013029314,89.3485342019542,89.674267100977,89.9999999999998]}</v>
      </c>
    </row>
    <row r="66" spans="2:35" x14ac:dyDescent="0.2">
      <c r="AD66" t="str">
        <v>PressureInPump</v>
      </c>
      <c r="AE66" t="str">
        <v>{"curve_x":"x","curve_y":"y","x":[0,1,2,3,4,5,6,7,17,27,37,47,57,67,77,87,97,107,117,127,137,147,157,167,177,187,197,207,217,227,237,247,257,267,277,287,297,307],"y":[50,50.3666553745645,50.7369705001181,51.1097494004458,51.4849939266333,51.8627098320486,52.2429027614373,52.6255782344024,56.477212312671,60.6785281844187,65.1387657208738,69.8564190794693,74.8305272947808,80.0579395399518,85.5332079720869,91.2486795850366,97.1947192454693,103.360044852697,109.732141724874,116.297713842084,122.888339901014,129.487093125534,136.09309796611,142.705610809773,149.323986694243,155.947662757461,162.57614501176,169.208997669354,175.845834452108,182.486311460028,189.130121275445,195.776988055213,202.426663419167,209.078922985046,215.733563431908,222.390399998392,229.04926434094,235.710002691713]}</v>
      </c>
    </row>
    <row r="68" spans="2:35" x14ac:dyDescent="0.2">
      <c r="G68" s="36"/>
    </row>
    <row r="69" spans="2:35" x14ac:dyDescent="0.2">
      <c r="G69" s="36"/>
    </row>
    <row r="70" spans="2:35" x14ac:dyDescent="0.2">
      <c r="G70" s="36"/>
    </row>
    <row r="71" spans="2:35" x14ac:dyDescent="0.2">
      <c r="G71" s="36"/>
    </row>
    <row r="72" spans="2:35" x14ac:dyDescent="0.2">
      <c r="G72" s="36"/>
    </row>
    <row r="73" spans="2:35" x14ac:dyDescent="0.2">
      <c r="C73" s="4"/>
    </row>
    <row r="74" spans="2:35" x14ac:dyDescent="0.2">
      <c r="C74" s="4"/>
      <c r="D74" s="57" t="s">
        <v>10</v>
      </c>
      <c r="E74" s="58"/>
      <c r="F74" s="58"/>
      <c r="G74" s="58"/>
      <c r="H74" s="59"/>
      <c r="AI74" t="s">
        <v>72</v>
      </c>
    </row>
    <row r="75" spans="2:35" ht="25.5" x14ac:dyDescent="0.2">
      <c r="C75" s="18" t="s">
        <v>0</v>
      </c>
      <c r="D75" s="19" t="s">
        <v>50</v>
      </c>
      <c r="E75" s="19" t="s">
        <v>73</v>
      </c>
      <c r="F75" s="19" t="s">
        <v>74</v>
      </c>
      <c r="G75" s="19"/>
      <c r="H75" s="19" t="s">
        <v>75</v>
      </c>
    </row>
    <row r="76" spans="2:35" x14ac:dyDescent="0.2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[1]!ESP_p_atma(Pintake_,Tintake_,B76,PumpID_,NumStage_,Freq_,Tdis_)</f>
        <v>233.59083563228151</v>
      </c>
      <c r="E76" s="26">
        <v>233.59083563228151</v>
      </c>
      <c r="F76" s="26">
        <v>233.59083563228151</v>
      </c>
      <c r="G76" s="26">
        <v>233.59083563228151</v>
      </c>
      <c r="H76" s="56">
        <v>233.59083563228151</v>
      </c>
    </row>
    <row r="77" spans="2:35" x14ac:dyDescent="0.2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[1]!ESP_p_atma(Pintake_,Tintake_,B77,PumpID_,NumStage_,Freq_,Tdis_)</f>
        <v>235.68814120591387</v>
      </c>
      <c r="E77" s="26">
        <v>235.68814120591387</v>
      </c>
      <c r="F77" s="26">
        <v>235.68814120591387</v>
      </c>
      <c r="G77" s="26">
        <v>235.68814120591387</v>
      </c>
      <c r="H77" s="56">
        <v>235.68814120591387</v>
      </c>
    </row>
    <row r="78" spans="2:35" x14ac:dyDescent="0.2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[1]!ESP_p_atma(Pintake_,Tintake_,B78,PumpID_,NumStage_,Freq_,Tdis_)</f>
        <v>236.39467900775728</v>
      </c>
      <c r="E78" s="26">
        <v>236.39467900775728</v>
      </c>
      <c r="F78" s="26">
        <v>236.39467900775728</v>
      </c>
      <c r="G78" s="26">
        <v>236.39467900775728</v>
      </c>
      <c r="H78" s="56">
        <v>236.39467900775728</v>
      </c>
    </row>
    <row r="79" spans="2:35" x14ac:dyDescent="0.2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[1]!ESP_p_atma(Pintake_,Tintake_,B79,PumpID_,NumStage_,Freq_,Tdis_)</f>
        <v>235.74352039165322</v>
      </c>
      <c r="E79" s="26">
        <v>235.74352039165322</v>
      </c>
      <c r="F79" s="26">
        <v>235.74352039165322</v>
      </c>
      <c r="G79" s="26">
        <v>235.74352039165322</v>
      </c>
      <c r="H79" s="56">
        <v>235.74352039165322</v>
      </c>
    </row>
    <row r="80" spans="2:35" x14ac:dyDescent="0.2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[1]!ESP_p_atma(Pintake_,Tintake_,B80,PumpID_,NumStage_,Freq_,Tdis_)</f>
        <v>233.52537589810572</v>
      </c>
      <c r="E80" s="26">
        <v>233.52537589810572</v>
      </c>
      <c r="F80" s="26">
        <v>233.52537589810572</v>
      </c>
      <c r="G80" s="26">
        <v>233.52537589810572</v>
      </c>
      <c r="H80" s="56">
        <v>233.52537589810572</v>
      </c>
    </row>
    <row r="81" spans="2:36" x14ac:dyDescent="0.2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[1]!ESP_p_atma(Pintake_,Tintake_,B81,PumpID_,NumStage_,Freq_,Tdis_)</f>
        <v>228.71715280269541</v>
      </c>
      <c r="E81" s="26">
        <v>228.71715280269541</v>
      </c>
      <c r="F81" s="26">
        <v>228.71715280269541</v>
      </c>
      <c r="G81" s="26">
        <v>228.71715280269541</v>
      </c>
      <c r="H81" s="56">
        <v>228.71715280269541</v>
      </c>
    </row>
    <row r="82" spans="2:36" x14ac:dyDescent="0.2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[1]!ESP_p_atma(Pintake_,Tintake_,B82,PumpID_,NumStage_,Freq_,Tdis_)</f>
        <v>219.92788508595368</v>
      </c>
      <c r="E82" s="26">
        <v>219.92788508595368</v>
      </c>
      <c r="F82" s="26">
        <v>219.92788508595368</v>
      </c>
      <c r="G82" s="26">
        <v>219.92788508595368</v>
      </c>
      <c r="H82" s="56">
        <v>219.92788508595368</v>
      </c>
    </row>
    <row r="83" spans="2:36" x14ac:dyDescent="0.2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[1]!ESP_p_atma(Pintake_,Tintake_,B83,PumpID_,NumStage_,Freq_,Tdis_)</f>
        <v>204.85412202761503</v>
      </c>
      <c r="E83" s="26">
        <v>204.85412202761503</v>
      </c>
      <c r="F83" s="26">
        <v>204.85412202761503</v>
      </c>
      <c r="G83" s="26">
        <v>204.85412202761503</v>
      </c>
      <c r="H83" s="56">
        <v>204.85412202761503</v>
      </c>
    </row>
    <row r="84" spans="2:36" x14ac:dyDescent="0.2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[1]!ESP_p_atma(Pintake_,Tintake_,B84,PumpID_,NumStage_,Freq_,Tdis_)</f>
        <v>180.52067045118807</v>
      </c>
      <c r="E84" s="26">
        <v>180.52067045118807</v>
      </c>
      <c r="F84" s="26">
        <v>180.52067045118807</v>
      </c>
      <c r="G84" s="26">
        <v>180.52067045118807</v>
      </c>
      <c r="H84" s="56">
        <v>180.52067045118807</v>
      </c>
    </row>
    <row r="85" spans="2:36" x14ac:dyDescent="0.2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[1]!ESP_p_atma(Pintake_,Tintake_,B85,PumpID_,NumStage_,Freq_,Tdis_)</f>
        <v>134.9941443730562</v>
      </c>
      <c r="E85" s="26">
        <v>134.9941443730562</v>
      </c>
      <c r="F85" s="26">
        <v>134.9941443730562</v>
      </c>
      <c r="G85" s="26">
        <v>134.9941443730562</v>
      </c>
      <c r="H85" s="56">
        <v>134.9941443730562</v>
      </c>
      <c r="AJ85" s="35"/>
    </row>
    <row r="86" spans="2:36" x14ac:dyDescent="0.2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[1]!ESP_p_atma(Pintake_,Tintake_,B86,PumpID_,NumStage_,Freq_,Tdis_)</f>
        <v>11.105326164595871</v>
      </c>
      <c r="E86" s="26">
        <v>11.105326164595871</v>
      </c>
      <c r="F86" s="26">
        <v>11.105326164595871</v>
      </c>
      <c r="G86" s="26">
        <v>11.105326164595871</v>
      </c>
      <c r="H86" s="56">
        <v>11.105326164595871</v>
      </c>
      <c r="AJ86" s="35"/>
    </row>
    <row r="87" spans="2:36" x14ac:dyDescent="0.2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[1]!ESP_p_atma(Pintake_,Tintake_,B87,PumpID_,NumStage_,Freq_,Tdis_)</f>
        <v>5.835522957573847</v>
      </c>
      <c r="E87" s="26">
        <v>5.835522957573847</v>
      </c>
      <c r="F87" s="26">
        <v>5.835522957573847</v>
      </c>
      <c r="G87" s="26">
        <v>5.835522957573847</v>
      </c>
      <c r="H87" s="56">
        <v>5.835522957573847</v>
      </c>
      <c r="AJ87" s="35"/>
    </row>
    <row r="88" spans="2:36" x14ac:dyDescent="0.2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[1]!ESP_p_atma(Pintake_,Tintake_,B88,PumpID_,NumStage_,Freq_,Tdis_)</f>
        <v>4.8225228460956417</v>
      </c>
      <c r="E88" s="26">
        <v>4.8225228460956417</v>
      </c>
      <c r="F88" s="26">
        <v>4.8225228460956417</v>
      </c>
      <c r="G88" s="26">
        <v>4.8225228460956417</v>
      </c>
      <c r="H88" s="56">
        <v>4.8225228460956417</v>
      </c>
      <c r="AJ88" s="35"/>
    </row>
    <row r="89" spans="2:36" x14ac:dyDescent="0.2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[1]!ESP_p_atma(Pintake_,Tintake_,B89,PumpID_,NumStage_,Freq_,Tdis_)</f>
        <v>4.4335889801287021</v>
      </c>
      <c r="E89" s="26">
        <v>4.4335889801287021</v>
      </c>
      <c r="F89" s="26">
        <v>4.4335889801287021</v>
      </c>
      <c r="G89" s="26">
        <v>4.4335889801287021</v>
      </c>
      <c r="H89" s="56">
        <v>4.4335889801287021</v>
      </c>
      <c r="AJ89" s="35"/>
    </row>
    <row r="90" spans="2:36" x14ac:dyDescent="0.2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[1]!ESP_p_atma(Pintake_,Tintake_,B90,PumpID_,NumStage_,Freq_,Tdis_)</f>
        <v>4.2627335157036406</v>
      </c>
      <c r="E90" s="26">
        <v>4.2627335157036406</v>
      </c>
      <c r="F90" s="26">
        <v>4.2627335157036406</v>
      </c>
      <c r="G90" s="26">
        <v>4.2627335157036406</v>
      </c>
      <c r="H90" s="56">
        <v>4.2627335157036406</v>
      </c>
      <c r="AJ90" s="35"/>
    </row>
    <row r="91" spans="2:36" x14ac:dyDescent="0.2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[1]!ESP_p_atma(Pintake_,Tintake_,B91,PumpID_,NumStage_,Freq_,Tdis_)</f>
        <v>4.1880258216566872</v>
      </c>
      <c r="E91" s="26">
        <v>4.1880258216566872</v>
      </c>
      <c r="F91" s="26">
        <v>4.1880258216566872</v>
      </c>
      <c r="G91" s="26">
        <v>4.1880258216566872</v>
      </c>
      <c r="H91" s="56">
        <v>4.1880258216566872</v>
      </c>
      <c r="AJ91" s="35"/>
    </row>
    <row r="92" spans="2:36" x14ac:dyDescent="0.2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[1]!ESP_p_atma(Pintake_,Tintake_,B92,PumpID_,NumStage_,Freq_,Tdis_)</f>
        <v>4.1670116904780352</v>
      </c>
      <c r="E92" s="26">
        <v>4.1670116904780352</v>
      </c>
      <c r="F92" s="26">
        <v>4.1670116904780352</v>
      </c>
      <c r="G92" s="26">
        <v>4.1670116904780352</v>
      </c>
      <c r="H92" s="56">
        <v>4.1670116904780352</v>
      </c>
      <c r="AJ92" s="35"/>
    </row>
    <row r="93" spans="2:36" x14ac:dyDescent="0.2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[1]!ESP_p_atma(Pintake_,Tintake_,B93,PumpID_,NumStage_,Freq_,Tdis_)</f>
        <v>4.1628303885687945</v>
      </c>
      <c r="E93" s="26">
        <v>4.1628303885687945</v>
      </c>
      <c r="F93" s="26">
        <v>4.1628303885687945</v>
      </c>
      <c r="G93" s="26">
        <v>4.1628303885687945</v>
      </c>
      <c r="H93" s="56">
        <v>4.1628303885687945</v>
      </c>
      <c r="AJ93" s="35"/>
    </row>
    <row r="94" spans="2:36" x14ac:dyDescent="0.2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[1]!ESP_p_atma(Pintake_,Tintake_,B94,PumpID_,NumStage_,Freq_,Tdis_)</f>
        <v>4.1647433673407672</v>
      </c>
      <c r="E94" s="26">
        <v>4.1647433673407672</v>
      </c>
      <c r="F94" s="26">
        <v>4.1647433673407672</v>
      </c>
      <c r="G94" s="26">
        <v>4.1647433673407672</v>
      </c>
      <c r="H94" s="56">
        <v>4.1647433673407672</v>
      </c>
      <c r="AJ94" s="35"/>
    </row>
    <row r="95" spans="2:36" x14ac:dyDescent="0.2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[1]!ESP_p_atma(Pintake_,Tintake_,B95,PumpID_,NumStage_,Freq_,Tdis_)</f>
        <v>4.1710515666892976</v>
      </c>
      <c r="E95" s="26">
        <v>4.1710515666892976</v>
      </c>
      <c r="F95" s="26">
        <v>4.1710515666892976</v>
      </c>
      <c r="G95" s="26">
        <v>4.1710515666892976</v>
      </c>
      <c r="H95" s="56">
        <v>4.1710515666892976</v>
      </c>
    </row>
    <row r="96" spans="2:36" x14ac:dyDescent="0.2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[1]!ESP_p_atma(Pintake_,Tintake_,B96,PumpID_,NumStage_,Freq_,Tdis_)</f>
        <v>4.1715435979616142</v>
      </c>
      <c r="E96" s="26">
        <v>4.1715435979616142</v>
      </c>
      <c r="F96" s="26">
        <v>4.1715435979616142</v>
      </c>
      <c r="G96" s="26">
        <v>4.1715435979616142</v>
      </c>
      <c r="H96" s="56">
        <v>4.1715435979616142</v>
      </c>
    </row>
    <row r="97" spans="2:8" x14ac:dyDescent="0.2">
      <c r="D97" s="24"/>
      <c r="E97" s="24"/>
      <c r="F97" s="24"/>
      <c r="G97" s="25"/>
      <c r="H97" s="26"/>
    </row>
    <row r="102" spans="2:8" x14ac:dyDescent="0.2">
      <c r="C102" s="4"/>
      <c r="D102" s="57" t="s">
        <v>11</v>
      </c>
      <c r="E102" s="58"/>
      <c r="F102" s="58"/>
      <c r="G102" s="58"/>
      <c r="H102" s="59"/>
    </row>
    <row r="103" spans="2:8" ht="25.5" x14ac:dyDescent="0.2">
      <c r="C103" s="18" t="s">
        <v>0</v>
      </c>
      <c r="D103" s="19" t="s">
        <v>12</v>
      </c>
      <c r="E103" s="19" t="s">
        <v>73</v>
      </c>
      <c r="F103" s="19" t="s">
        <v>74</v>
      </c>
      <c r="G103" s="19"/>
      <c r="H103" s="19" t="s">
        <v>75</v>
      </c>
    </row>
    <row r="104" spans="2:8" x14ac:dyDescent="0.2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>C76</f>
        <v>1</v>
      </c>
      <c r="D104" s="26">
        <f t="array" ref="D104:H104">[1]!ESP_p_atma(Pdis_,Tintake_,B76,PumpID_,NumStage_,Freq_,Tdis_,0)</f>
        <v>18.880433586909074</v>
      </c>
      <c r="E104" s="26">
        <v>18.880433586909074</v>
      </c>
      <c r="F104" s="26">
        <v>18.880433586909074</v>
      </c>
      <c r="G104" s="25">
        <v>18.880433586909074</v>
      </c>
      <c r="H104" s="26">
        <v>18.880433586909074</v>
      </c>
    </row>
    <row r="105" spans="2:8" x14ac:dyDescent="0.2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ref="C105:C124" si="1">C77</f>
        <v>10.625</v>
      </c>
      <c r="D105" s="26">
        <f t="array" ref="D105:H105">[1]!ESP_p_atma(Pdis_,Tintake_,B77,PumpID_,NumStage_,Freq_,Tdis_,0)</f>
        <v>18.419891100563895</v>
      </c>
      <c r="E105" s="26">
        <v>18.419891100563895</v>
      </c>
      <c r="F105" s="26">
        <v>18.419891100563895</v>
      </c>
      <c r="G105" s="25">
        <v>18.419891100563895</v>
      </c>
      <c r="H105" s="26">
        <v>18.419891100563895</v>
      </c>
    </row>
    <row r="106" spans="2:8" x14ac:dyDescent="0.2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[1]!ESP_p_atma(Pdis_,Tintake_,B78,PumpID_,NumStage_,Freq_,Tdis_,0)</f>
        <v>19.213765575330811</v>
      </c>
      <c r="E106" s="26">
        <v>19.213765575330811</v>
      </c>
      <c r="F106" s="26">
        <v>19.213765575330811</v>
      </c>
      <c r="G106" s="25">
        <v>19.213765575330811</v>
      </c>
      <c r="H106" s="26">
        <v>19.213765575330811</v>
      </c>
    </row>
    <row r="107" spans="2:8" x14ac:dyDescent="0.2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[1]!ESP_p_atma(Pdis_,Tintake_,B79,PumpID_,NumStage_,Freq_,Tdis_,0)</f>
        <v>21.751734274894091</v>
      </c>
      <c r="E107" s="26">
        <v>21.751734274894091</v>
      </c>
      <c r="F107" s="26">
        <v>21.751734274894091</v>
      </c>
      <c r="G107" s="25">
        <v>21.751734274894091</v>
      </c>
      <c r="H107" s="26">
        <v>21.751734274894091</v>
      </c>
    </row>
    <row r="108" spans="2:8" x14ac:dyDescent="0.2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[1]!ESP_p_atma(Pdis_,Tintake_,B80,PumpID_,NumStage_,Freq_,Tdis_,0)</f>
        <v>25.397216627393398</v>
      </c>
      <c r="E108" s="26">
        <v>25.397216627393398</v>
      </c>
      <c r="F108" s="26">
        <v>25.397216627393398</v>
      </c>
      <c r="G108" s="25">
        <v>25.397216627393398</v>
      </c>
      <c r="H108" s="26">
        <v>25.397216627393398</v>
      </c>
    </row>
    <row r="109" spans="2:8" x14ac:dyDescent="0.2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[1]!ESP_p_atma(Pdis_,Tintake_,B81,PumpID_,NumStage_,Freq_,Tdis_,0)</f>
        <v>29.716747721809355</v>
      </c>
      <c r="E109" s="26">
        <v>29.716747721809355</v>
      </c>
      <c r="F109" s="26">
        <v>29.716747721809355</v>
      </c>
      <c r="G109" s="25">
        <v>29.716747721809355</v>
      </c>
      <c r="H109" s="26">
        <v>29.716747721809355</v>
      </c>
    </row>
    <row r="110" spans="2:8" x14ac:dyDescent="0.2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[1]!ESP_p_atma(Pdis_,Tintake_,B82,PumpID_,NumStage_,Freq_,Tdis_,0)</f>
        <v>34.522129659433652</v>
      </c>
      <c r="E110" s="26">
        <v>34.522129659433652</v>
      </c>
      <c r="F110" s="26">
        <v>34.522129659433652</v>
      </c>
      <c r="G110" s="25">
        <v>34.522129659433652</v>
      </c>
      <c r="H110" s="26">
        <v>34.522129659433652</v>
      </c>
    </row>
    <row r="111" spans="2:8" x14ac:dyDescent="0.2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[1]!ESP_p_atma(Pdis_,Tintake_,B83,PumpID_,NumStage_,Freq_,Tdis_,0)</f>
        <v>39.764386986841217</v>
      </c>
      <c r="E111" s="26">
        <v>39.764386986841217</v>
      </c>
      <c r="F111" s="26">
        <v>39.764386986841217</v>
      </c>
      <c r="G111" s="25">
        <v>39.764386986841217</v>
      </c>
      <c r="H111" s="26">
        <v>39.764386986841217</v>
      </c>
    </row>
    <row r="112" spans="2:8" x14ac:dyDescent="0.2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[1]!ESP_p_atma(Pdis_,Tintake_,B84,PumpID_,NumStage_,Freq_,Tdis_,0)</f>
        <v>45.413512680721119</v>
      </c>
      <c r="E112" s="26">
        <v>45.413512680721119</v>
      </c>
      <c r="F112" s="26">
        <v>45.413512680721119</v>
      </c>
      <c r="G112" s="25">
        <v>45.413512680721119</v>
      </c>
      <c r="H112" s="26">
        <v>45.413512680721119</v>
      </c>
    </row>
    <row r="113" spans="2:8" x14ac:dyDescent="0.2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[1]!ESP_p_atma(Pdis_,Tintake_,B85,PumpID_,NumStage_,Freq_,Tdis_,0)</f>
        <v>51.44964938126575</v>
      </c>
      <c r="E113" s="26">
        <v>51.44964938126575</v>
      </c>
      <c r="F113" s="26">
        <v>51.44964938126575</v>
      </c>
      <c r="G113" s="25">
        <v>51.44964938126575</v>
      </c>
      <c r="H113" s="26">
        <v>51.44964938126575</v>
      </c>
    </row>
    <row r="114" spans="2:8" x14ac:dyDescent="0.2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[1]!ESP_p_atma(Pdis_,Tintake_,B86,PumpID_,NumStage_,Freq_,Tdis_,0)</f>
        <v>57.920497799270727</v>
      </c>
      <c r="E114" s="26">
        <v>57.920497799270727</v>
      </c>
      <c r="F114" s="26">
        <v>57.920497799270727</v>
      </c>
      <c r="G114" s="25">
        <v>57.920497799270727</v>
      </c>
      <c r="H114" s="26">
        <v>57.920497799270727</v>
      </c>
    </row>
    <row r="115" spans="2:8" x14ac:dyDescent="0.2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[1]!ESP_p_atma(Pdis_,Tintake_,B87,PumpID_,NumStage_,Freq_,Tdis_,0)</f>
        <v>64.899975262187624</v>
      </c>
      <c r="E115" s="26">
        <v>64.899975262187624</v>
      </c>
      <c r="F115" s="26">
        <v>64.899975262187624</v>
      </c>
      <c r="G115" s="25">
        <v>64.899975262187624</v>
      </c>
      <c r="H115" s="26">
        <v>64.899975262187624</v>
      </c>
    </row>
    <row r="116" spans="2:8" x14ac:dyDescent="0.2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[1]!ESP_p_atma(Pdis_,Tintake_,B88,PumpID_,NumStage_,Freq_,Tdis_,0)</f>
        <v>72.521104216092994</v>
      </c>
      <c r="E116" s="26">
        <v>72.521104216092994</v>
      </c>
      <c r="F116" s="26">
        <v>72.521104216092994</v>
      </c>
      <c r="G116" s="25">
        <v>72.521104216092994</v>
      </c>
      <c r="H116" s="26">
        <v>72.521104216092994</v>
      </c>
    </row>
    <row r="117" spans="2:8" x14ac:dyDescent="0.2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[1]!ESP_p_atma(Pdis_,Tintake_,B89,PumpID_,NumStage_,Freq_,Tdis_,0)</f>
        <v>81.014855099435053</v>
      </c>
      <c r="E117" s="26">
        <v>81.014855099435053</v>
      </c>
      <c r="F117" s="26">
        <v>81.014855099435053</v>
      </c>
      <c r="G117" s="25">
        <v>81.014855099435053</v>
      </c>
      <c r="H117" s="26">
        <v>81.014855099435053</v>
      </c>
    </row>
    <row r="118" spans="2:8" x14ac:dyDescent="0.2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[1]!ESP_p_atma(Pdis_,Tintake_,B90,PumpID_,NumStage_,Freq_,Tdis_,0)</f>
        <v>90.820227711550388</v>
      </c>
      <c r="E118" s="26">
        <v>90.820227711550388</v>
      </c>
      <c r="F118" s="26">
        <v>90.820227711550388</v>
      </c>
      <c r="G118" s="25">
        <v>90.820227711550388</v>
      </c>
      <c r="H118" s="26">
        <v>90.820227711550388</v>
      </c>
    </row>
    <row r="119" spans="2:8" x14ac:dyDescent="0.2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[1]!ESP_p_atma(Pdis_,Tintake_,B91,PumpID_,NumStage_,Freq_,Tdis_,0)</f>
        <v>103.33446446452582</v>
      </c>
      <c r="E119" s="26">
        <v>103.33446446452582</v>
      </c>
      <c r="F119" s="26">
        <v>103.33446446452582</v>
      </c>
      <c r="G119" s="25">
        <v>103.33446446452582</v>
      </c>
      <c r="H119" s="26">
        <v>103.33446446452582</v>
      </c>
    </row>
    <row r="120" spans="2:8" x14ac:dyDescent="0.2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[1]!ESP_p_atma(Pdis_,Tintake_,B92,PumpID_,NumStage_,Freq_,Tdis_,0)</f>
        <v>123.98023117110506</v>
      </c>
      <c r="E120" s="26">
        <v>123.98023117110506</v>
      </c>
      <c r="F120" s="26">
        <v>123.98023117110506</v>
      </c>
      <c r="G120" s="25">
        <v>123.98023117110506</v>
      </c>
      <c r="H120" s="26">
        <v>123.98023117110506</v>
      </c>
    </row>
    <row r="121" spans="2:8" x14ac:dyDescent="0.2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[1]!ESP_p_atma(Pdis_,Tintake_,B93,PumpID_,NumStage_,Freq_,Tdis_,0)</f>
        <v>147.73117895563487</v>
      </c>
      <c r="E121" s="26">
        <v>147.73117895563487</v>
      </c>
      <c r="F121" s="26">
        <v>147.73117895563487</v>
      </c>
      <c r="G121" s="25">
        <v>147.73117895563487</v>
      </c>
      <c r="H121" s="26">
        <v>147.73117895563487</v>
      </c>
    </row>
    <row r="122" spans="2:8" x14ac:dyDescent="0.2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[1]!ESP_p_atma(Pdis_,Tintake_,B94,PumpID_,NumStage_,Freq_,Tdis_,0)</f>
        <v>173.24102010692701</v>
      </c>
      <c r="E122" s="26">
        <v>173.24102010692701</v>
      </c>
      <c r="F122" s="26">
        <v>173.24102010692701</v>
      </c>
      <c r="G122" s="25">
        <v>173.24102010692701</v>
      </c>
      <c r="H122" s="26">
        <v>173.24102010692701</v>
      </c>
    </row>
    <row r="123" spans="2:8" x14ac:dyDescent="0.2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[1]!ESP_p_atma(Pdis_,Tintake_,B95,PumpID_,NumStage_,Freq_,Tdis_,0)</f>
        <v>196.25477588521363</v>
      </c>
      <c r="E123" s="26">
        <v>196.25477588521363</v>
      </c>
      <c r="F123" s="26">
        <v>196.25477588521363</v>
      </c>
      <c r="G123" s="25">
        <v>196.25477588521363</v>
      </c>
      <c r="H123" s="26">
        <v>196.25477588521363</v>
      </c>
    </row>
    <row r="124" spans="2:8" x14ac:dyDescent="0.2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[1]!ESP_p_atma(Pdis_,Tintake_,B96,PumpID_,NumStage_,Freq_,Tdis_,0)</f>
        <v>218.23242048913011</v>
      </c>
      <c r="E124" s="26">
        <v>218.23242048913011</v>
      </c>
      <c r="F124" s="26">
        <v>218.23242048913011</v>
      </c>
      <c r="G124" s="25">
        <v>218.23242048913011</v>
      </c>
      <c r="H124" s="26">
        <v>218.23242048913011</v>
      </c>
    </row>
    <row r="125" spans="2:8" x14ac:dyDescent="0.2">
      <c r="B125" t="str" cm="1">
        <f t="array" ref="B125">[1]!encode_feed(C125,fw_,Rp_,,PVT_str_)</f>
        <v>{"gamma_gas":0.8,"gamma_oil":0.9,"gamma_wat":1,"rsb_m3m3":80,"pb_atma":120,"t_res_C":100,"bob_m3m3":1.2,"muob_cP":1,"q_liq_sm3day":0,"fw_perc":10,"rp_m3m3":80}</v>
      </c>
      <c r="D125" s="26">
        <f t="array" ref="D125:H125">[1]!ESP_p_atma(Pdis_,Tintake_,B97,PumpID_,NumStage_,Freq_,Tdis_,0)</f>
        <v>40.153356194576226</v>
      </c>
      <c r="E125" s="26">
        <v>40.153356194576226</v>
      </c>
      <c r="F125" s="26">
        <v>40.153356194576226</v>
      </c>
      <c r="G125" s="25">
        <v>40.153356194576226</v>
      </c>
      <c r="H125" s="26">
        <v>40.153356194576226</v>
      </c>
    </row>
    <row r="138" spans="4:11" x14ac:dyDescent="0.2">
      <c r="D138" s="37"/>
      <c r="F138" s="36"/>
      <c r="H138" s="36"/>
      <c r="I138" s="36"/>
      <c r="J138" s="35"/>
      <c r="K138" s="36"/>
    </row>
    <row r="139" spans="4:11" x14ac:dyDescent="0.2">
      <c r="D139" s="37"/>
      <c r="F139" s="36"/>
      <c r="H139" s="36"/>
      <c r="I139" s="36"/>
      <c r="J139" s="35"/>
      <c r="K139" s="36"/>
    </row>
    <row r="140" spans="4:11" x14ac:dyDescent="0.2">
      <c r="D140" s="37"/>
      <c r="F140" s="36"/>
      <c r="H140" s="36"/>
      <c r="I140" s="36"/>
      <c r="J140" s="35"/>
      <c r="K140" s="36"/>
    </row>
    <row r="141" spans="4:11" x14ac:dyDescent="0.2">
      <c r="D141" s="37"/>
      <c r="F141" s="36"/>
      <c r="H141" s="36"/>
      <c r="I141" s="36"/>
      <c r="J141" s="35"/>
      <c r="K141" s="36"/>
    </row>
    <row r="142" spans="4:11" x14ac:dyDescent="0.2">
      <c r="D142" s="37"/>
      <c r="F142" s="36"/>
      <c r="H142" s="36"/>
      <c r="I142" s="36"/>
      <c r="J142" s="35"/>
      <c r="K142" s="36"/>
    </row>
    <row r="143" spans="4:11" x14ac:dyDescent="0.2">
      <c r="D143" s="37"/>
      <c r="E143" s="36"/>
      <c r="F143" s="36"/>
      <c r="H143" s="36"/>
      <c r="I143" s="36"/>
      <c r="J143" s="35"/>
      <c r="K143" s="36"/>
    </row>
    <row r="144" spans="4:11" x14ac:dyDescent="0.2">
      <c r="D144" s="37"/>
      <c r="E144" s="36"/>
      <c r="F144" s="36"/>
      <c r="H144" s="36"/>
      <c r="I144" s="36"/>
      <c r="J144" s="35"/>
      <c r="K144" s="36"/>
    </row>
    <row r="145" spans="4:30" x14ac:dyDescent="0.2">
      <c r="D145" s="37"/>
      <c r="E145" s="36"/>
      <c r="F145" s="36"/>
      <c r="H145" s="36"/>
      <c r="I145" s="36"/>
      <c r="J145" s="35"/>
      <c r="K145" s="36"/>
    </row>
    <row r="146" spans="4:30" x14ac:dyDescent="0.2">
      <c r="D146" s="37"/>
      <c r="E146" s="36"/>
      <c r="F146" s="36"/>
      <c r="H146" s="36"/>
      <c r="I146" s="36"/>
      <c r="J146" s="35"/>
      <c r="K146" s="36"/>
    </row>
    <row r="147" spans="4:30" x14ac:dyDescent="0.2">
      <c r="D147" s="37"/>
      <c r="E147" s="36"/>
      <c r="F147" s="36"/>
      <c r="H147" s="36"/>
      <c r="I147" s="36"/>
      <c r="J147" s="35"/>
      <c r="K147" s="36"/>
    </row>
    <row r="148" spans="4:30" x14ac:dyDescent="0.2">
      <c r="D148" s="37"/>
      <c r="E148" s="36"/>
      <c r="F148" s="36"/>
      <c r="H148" s="36"/>
      <c r="I148" s="36"/>
      <c r="J148" s="35"/>
      <c r="K148" s="36"/>
    </row>
    <row r="149" spans="4:30" x14ac:dyDescent="0.2">
      <c r="D149" s="37"/>
      <c r="E149" s="36"/>
      <c r="F149" s="36"/>
      <c r="G149" s="35"/>
      <c r="H149" s="36"/>
      <c r="I149" s="36"/>
      <c r="J149" s="35"/>
      <c r="K149" s="36"/>
    </row>
    <row r="150" spans="4:30" x14ac:dyDescent="0.2">
      <c r="D150" s="37"/>
      <c r="E150" s="36"/>
      <c r="F150" s="36"/>
      <c r="G150" s="35"/>
      <c r="H150" s="36"/>
      <c r="I150" s="36"/>
      <c r="J150" s="35"/>
      <c r="K150" s="36"/>
    </row>
    <row r="151" spans="4:30" x14ac:dyDescent="0.2">
      <c r="D151" s="37"/>
      <c r="E151" s="36"/>
      <c r="F151" s="36"/>
      <c r="G151" s="35"/>
      <c r="H151" s="36"/>
      <c r="I151" s="36"/>
      <c r="J151" s="35"/>
      <c r="K151" s="36"/>
    </row>
    <row r="152" spans="4:30" x14ac:dyDescent="0.2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2">
      <c r="D153" s="37"/>
      <c r="E153" s="36"/>
      <c r="F153" s="36"/>
      <c r="G153" s="35"/>
      <c r="H153" s="36"/>
      <c r="I153" s="36"/>
      <c r="J153" s="35"/>
      <c r="K153" s="36"/>
    </row>
    <row r="154" spans="4:30" x14ac:dyDescent="0.2">
      <c r="D154" s="37"/>
      <c r="E154" s="36"/>
      <c r="F154" s="36"/>
      <c r="G154" s="35"/>
      <c r="H154" s="36"/>
      <c r="I154" s="36"/>
      <c r="J154" s="35"/>
      <c r="K154" s="36"/>
    </row>
    <row r="155" spans="4:30" x14ac:dyDescent="0.2">
      <c r="D155" s="37"/>
      <c r="E155" s="36"/>
      <c r="F155" s="36"/>
      <c r="G155" s="35"/>
      <c r="H155" s="36"/>
      <c r="I155" s="36"/>
      <c r="J155" s="35"/>
      <c r="K155" s="36"/>
    </row>
    <row r="156" spans="4:30" x14ac:dyDescent="0.2">
      <c r="D156" s="37"/>
      <c r="E156" s="36"/>
      <c r="F156" s="36"/>
      <c r="G156" s="35"/>
      <c r="H156" s="36"/>
      <c r="I156" s="36"/>
      <c r="J156" s="35"/>
      <c r="K156" s="36"/>
    </row>
    <row r="157" spans="4:30" x14ac:dyDescent="0.2">
      <c r="D157" s="36"/>
      <c r="E157" s="36"/>
      <c r="F157" s="36"/>
      <c r="G157" s="35"/>
      <c r="H157" s="36"/>
      <c r="I157" s="36"/>
      <c r="J157" s="35"/>
      <c r="K157" s="36"/>
    </row>
    <row r="162" spans="6:14" x14ac:dyDescent="0.2">
      <c r="F162" s="37"/>
      <c r="K162" s="37"/>
      <c r="M162" s="36"/>
      <c r="N162" s="35"/>
    </row>
    <row r="165" spans="6:14" x14ac:dyDescent="0.2">
      <c r="J165" s="38"/>
      <c r="K165" s="38"/>
      <c r="L165" s="38"/>
    </row>
    <row r="166" spans="6:14" x14ac:dyDescent="0.2">
      <c r="J166" s="38"/>
      <c r="K166" s="38"/>
      <c r="L166" s="38"/>
    </row>
    <row r="167" spans="6:14" x14ac:dyDescent="0.2">
      <c r="J167" s="38"/>
      <c r="K167" s="38"/>
      <c r="L167" s="38"/>
    </row>
    <row r="168" spans="6:14" x14ac:dyDescent="0.2">
      <c r="J168" s="38"/>
      <c r="K168" s="38"/>
      <c r="L168" s="38"/>
    </row>
    <row r="169" spans="6:14" x14ac:dyDescent="0.2">
      <c r="J169" s="38"/>
      <c r="K169" s="39"/>
      <c r="L169" s="38"/>
    </row>
    <row r="170" spans="6:14" x14ac:dyDescent="0.2">
      <c r="J170" s="38"/>
      <c r="K170" s="38"/>
      <c r="L170" s="38"/>
    </row>
    <row r="171" spans="6:14" x14ac:dyDescent="0.2">
      <c r="J171" s="38"/>
      <c r="K171" s="38"/>
      <c r="L171" s="38"/>
    </row>
    <row r="172" spans="6:14" x14ac:dyDescent="0.2">
      <c r="J172" s="38"/>
      <c r="K172" s="38"/>
      <c r="L172" s="38"/>
    </row>
    <row r="173" spans="6:14" x14ac:dyDescent="0.2">
      <c r="J173" s="38"/>
      <c r="K173" s="38"/>
      <c r="L173" s="38"/>
    </row>
    <row r="174" spans="6:14" x14ac:dyDescent="0.2">
      <c r="J174" s="38"/>
      <c r="K174" s="38"/>
      <c r="L174" s="38"/>
    </row>
    <row r="175" spans="6:14" x14ac:dyDescent="0.2">
      <c r="J175" s="38"/>
      <c r="K175" s="38"/>
      <c r="L175" s="38"/>
    </row>
    <row r="176" spans="6:14" x14ac:dyDescent="0.2">
      <c r="J176" s="38"/>
      <c r="K176" s="38"/>
      <c r="L176" s="38"/>
    </row>
    <row r="177" spans="10:13" x14ac:dyDescent="0.2">
      <c r="J177" s="38"/>
      <c r="K177" s="38"/>
      <c r="L177" s="38"/>
    </row>
    <row r="178" spans="10:13" x14ac:dyDescent="0.2">
      <c r="J178" s="38"/>
      <c r="K178" s="38"/>
      <c r="L178" s="38"/>
    </row>
    <row r="179" spans="10:13" x14ac:dyDescent="0.2">
      <c r="J179" s="38"/>
      <c r="K179" s="38"/>
      <c r="L179" s="38"/>
    </row>
    <row r="180" spans="10:13" x14ac:dyDescent="0.2">
      <c r="J180" s="38"/>
      <c r="K180" s="38"/>
      <c r="L180" s="38"/>
    </row>
    <row r="181" spans="10:13" x14ac:dyDescent="0.2">
      <c r="J181" s="38"/>
      <c r="K181" s="38"/>
      <c r="L181" s="38"/>
    </row>
    <row r="182" spans="10:13" x14ac:dyDescent="0.2">
      <c r="J182" s="38"/>
      <c r="K182" s="38"/>
      <c r="L182" s="38"/>
    </row>
    <row r="183" spans="10:13" x14ac:dyDescent="0.2">
      <c r="J183" s="38"/>
      <c r="K183" s="38"/>
      <c r="L183" s="38"/>
    </row>
    <row r="184" spans="10:13" x14ac:dyDescent="0.2">
      <c r="J184" s="38"/>
      <c r="K184" s="38"/>
      <c r="L184" s="38"/>
    </row>
    <row r="185" spans="10:13" x14ac:dyDescent="0.2">
      <c r="M185" s="40"/>
    </row>
    <row r="186" spans="10:13" x14ac:dyDescent="0.2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Exercise_ESP</vt:lpstr>
      <vt:lpstr>Exercise_ESP!Bob_</vt:lpstr>
      <vt:lpstr>calc_along_flow</vt:lpstr>
      <vt:lpstr>dN</vt:lpstr>
      <vt:lpstr>ESPstr</vt:lpstr>
      <vt:lpstr>Exercise_ESP!Freq_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Exercise_ESP!Pdis_</vt:lpstr>
      <vt:lpstr>Exercise_ESP!Pintake_</vt:lpstr>
      <vt:lpstr>PKsep</vt:lpstr>
      <vt:lpstr>Exercise_ESP!PumpID_</vt:lpstr>
      <vt:lpstr>PVT_str_</vt:lpstr>
      <vt:lpstr>Exercise_ESP!Q_</vt:lpstr>
      <vt:lpstr>Exercise_ESP!Q_ESP_</vt:lpstr>
      <vt:lpstr>Exercise_ESP!Qmax_</vt:lpstr>
      <vt:lpstr>Exercise_ESP!Rp_</vt:lpstr>
      <vt:lpstr>Exercise_ESP!Rsb_</vt:lpstr>
      <vt:lpstr>Tdis_</vt:lpstr>
      <vt:lpstr>Exercise_ESP!Tintake_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2021-04-22T18:04:45Z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