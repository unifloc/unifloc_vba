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8197354D-835B-4755-B22E-EE0E40E71E21}" xr6:coauthVersionLast="45" xr6:coauthVersionMax="45" xr10:uidLastSave="{00000000-0000-0000-0000-000000000000}"/>
  <bookViews>
    <workbookView xWindow="-120" yWindow="-120" windowWidth="29040" windowHeight="16440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calc_along_flow">Exercise_ESP!$G$39</definedName>
    <definedName name="dN">Exercise_ESP!$B$58</definedName>
    <definedName name="ESPstr">Exercise_ESP!$J$33</definedName>
    <definedName name="Freq_" localSheetId="0">Exercise_ESP!$C$26</definedName>
    <definedName name="fw_" localSheetId="0">Exercise_ESP!$C$22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gas_degr_type_">Exercise_ESP!$C$43</definedName>
    <definedName name="Head_ESP_" localSheetId="0">Exercise_ESP!$C$25</definedName>
    <definedName name="input_">#REF!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output_">#REF!</definedName>
    <definedName name="Pb_" localSheetId="0">Exercise_ESP!$C$16</definedName>
    <definedName name="Pdis_" localSheetId="0">Exercise_ESP!$C$41</definedName>
    <definedName name="Pintake_" localSheetId="0">Exercise_ESP!$C$39</definedName>
    <definedName name="PKsep">Exercise_ESP!$C$32</definedName>
    <definedName name="PumpID_" localSheetId="0">Exercise_ESP!$C$27</definedName>
    <definedName name="PVT_str_">Exercise_ESP!$J$30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dis_">Exercise_ESP!$C$42</definedName>
    <definedName name="Tintake_" localSheetId="0">Exercise_ESP!$C$40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110" l="1" a="1"/>
  <c r="J30" i="110"/>
  <c r="C27" i="110" l="1"/>
  <c r="J33" i="110"/>
  <c r="C30" i="110" a="1"/>
  <c r="C28" i="110" a="1"/>
  <c r="G1" i="110"/>
  <c r="C29" i="110" a="1"/>
  <c r="C30" i="110" l="1"/>
  <c r="C29" i="110"/>
  <c r="C77" i="110" s="1"/>
  <c r="C28" i="110"/>
  <c r="C104" i="110"/>
  <c r="F43" i="110" a="1"/>
  <c r="D104" i="110" a="1"/>
  <c r="D77" i="110" a="1"/>
  <c r="D76" i="110" a="1"/>
  <c r="F43" i="110" l="1"/>
  <c r="D76" i="110"/>
  <c r="G76" i="110"/>
  <c r="H76" i="110"/>
  <c r="E76" i="110"/>
  <c r="F76" i="110"/>
  <c r="F77" i="110"/>
  <c r="D77" i="110"/>
  <c r="G77" i="110"/>
  <c r="H77" i="110"/>
  <c r="E77" i="110"/>
  <c r="H104" i="110"/>
  <c r="F104" i="110"/>
  <c r="D104" i="110"/>
  <c r="E104" i="110"/>
  <c r="G104" i="110"/>
  <c r="C78" i="110"/>
  <c r="E17" i="110"/>
  <c r="E16" i="110"/>
  <c r="E15" i="110"/>
  <c r="E14" i="110"/>
  <c r="E13" i="110"/>
  <c r="E12" i="110"/>
  <c r="E11" i="110"/>
  <c r="D78" i="110" a="1"/>
  <c r="F78" i="110" l="1"/>
  <c r="G78" i="110"/>
  <c r="D78" i="110"/>
  <c r="E78" i="110"/>
  <c r="H78" i="110"/>
  <c r="C79" i="110"/>
  <c r="C105" i="110"/>
  <c r="D79" i="110" a="1"/>
  <c r="D105" i="110" a="1"/>
  <c r="F105" i="110" l="1"/>
  <c r="H105" i="110"/>
  <c r="G105" i="110"/>
  <c r="E105" i="110"/>
  <c r="D105" i="110"/>
  <c r="D79" i="110"/>
  <c r="E79" i="110"/>
  <c r="G79" i="110"/>
  <c r="F79" i="110"/>
  <c r="H79" i="110"/>
  <c r="C80" i="110"/>
  <c r="C106" i="110"/>
  <c r="D80" i="110" a="1"/>
  <c r="D106" i="110" a="1"/>
  <c r="G106" i="110" l="1"/>
  <c r="D106" i="110"/>
  <c r="E106" i="110"/>
  <c r="H106" i="110"/>
  <c r="F106" i="110"/>
  <c r="H80" i="110"/>
  <c r="D80" i="110"/>
  <c r="G80" i="110"/>
  <c r="E80" i="110"/>
  <c r="F80" i="110"/>
  <c r="C81" i="110"/>
  <c r="C107" i="110"/>
  <c r="D81" i="110" a="1"/>
  <c r="D107" i="110" a="1"/>
  <c r="D107" i="110" l="1"/>
  <c r="F107" i="110"/>
  <c r="G107" i="110"/>
  <c r="E107" i="110"/>
  <c r="H107" i="110"/>
  <c r="G81" i="110"/>
  <c r="H81" i="110"/>
  <c r="F81" i="110"/>
  <c r="D81" i="110"/>
  <c r="E81" i="110"/>
  <c r="C82" i="110"/>
  <c r="C109" i="110"/>
  <c r="C108" i="110"/>
  <c r="D108" i="110" a="1"/>
  <c r="D82" i="110" a="1"/>
  <c r="D109" i="110" a="1"/>
  <c r="D109" i="110" l="1"/>
  <c r="F109" i="110"/>
  <c r="H109" i="110"/>
  <c r="E109" i="110"/>
  <c r="G109" i="110"/>
  <c r="G82" i="110"/>
  <c r="F82" i="110"/>
  <c r="H82" i="110"/>
  <c r="E82" i="110"/>
  <c r="D82" i="110"/>
  <c r="D108" i="110"/>
  <c r="F108" i="110"/>
  <c r="G108" i="110"/>
  <c r="E108" i="110"/>
  <c r="H108" i="110"/>
  <c r="C83" i="110"/>
  <c r="C110" i="110"/>
  <c r="D83" i="110" a="1"/>
  <c r="D110" i="110" a="1"/>
  <c r="G110" i="110" l="1"/>
  <c r="D110" i="110"/>
  <c r="E110" i="110"/>
  <c r="H110" i="110"/>
  <c r="F110" i="110"/>
  <c r="E83" i="110"/>
  <c r="D83" i="110"/>
  <c r="H83" i="110"/>
  <c r="G83" i="110"/>
  <c r="F83" i="110"/>
  <c r="C84" i="110"/>
  <c r="C111" i="110"/>
  <c r="D84" i="110" a="1"/>
  <c r="D111" i="110" a="1"/>
  <c r="G111" i="110" l="1"/>
  <c r="E111" i="110"/>
  <c r="H111" i="110"/>
  <c r="D111" i="110"/>
  <c r="F111" i="110"/>
  <c r="E84" i="110"/>
  <c r="F84" i="110"/>
  <c r="G84" i="110"/>
  <c r="D84" i="110"/>
  <c r="H84" i="110"/>
  <c r="C85" i="110"/>
  <c r="C112" i="110"/>
  <c r="D85" i="110" a="1"/>
  <c r="D112" i="110" a="1"/>
  <c r="F112" i="110" l="1"/>
  <c r="G112" i="110"/>
  <c r="H112" i="110"/>
  <c r="D112" i="110"/>
  <c r="E112" i="110"/>
  <c r="E85" i="110"/>
  <c r="H85" i="110"/>
  <c r="F85" i="110"/>
  <c r="G85" i="110"/>
  <c r="D85" i="110"/>
  <c r="C86" i="110"/>
  <c r="C113" i="110"/>
  <c r="D113" i="110" a="1"/>
  <c r="D86" i="110" a="1"/>
  <c r="F86" i="110" l="1"/>
  <c r="E86" i="110"/>
  <c r="G86" i="110"/>
  <c r="D86" i="110"/>
  <c r="H86" i="110"/>
  <c r="D113" i="110"/>
  <c r="F113" i="110"/>
  <c r="G113" i="110"/>
  <c r="E113" i="110"/>
  <c r="H113" i="110"/>
  <c r="C87" i="110"/>
  <c r="C114" i="110"/>
  <c r="D87" i="110" a="1"/>
  <c r="D114" i="110" a="1"/>
  <c r="H114" i="110" l="1"/>
  <c r="D114" i="110"/>
  <c r="E114" i="110"/>
  <c r="F114" i="110"/>
  <c r="G114" i="110"/>
  <c r="E87" i="110"/>
  <c r="F87" i="110"/>
  <c r="D87" i="110"/>
  <c r="H87" i="110"/>
  <c r="G87" i="110"/>
  <c r="C88" i="110"/>
  <c r="C115" i="110"/>
  <c r="D88" i="110" a="1"/>
  <c r="D115" i="110" a="1"/>
  <c r="G115" i="110" l="1"/>
  <c r="H115" i="110"/>
  <c r="F115" i="110"/>
  <c r="D115" i="110"/>
  <c r="E115" i="110"/>
  <c r="F88" i="110"/>
  <c r="E88" i="110"/>
  <c r="D88" i="110"/>
  <c r="H88" i="110"/>
  <c r="G88" i="110"/>
  <c r="C89" i="110"/>
  <c r="C116" i="110"/>
  <c r="D89" i="110" a="1"/>
  <c r="D116" i="110" a="1"/>
  <c r="G116" i="110" l="1"/>
  <c r="E116" i="110"/>
  <c r="F116" i="110"/>
  <c r="D116" i="110"/>
  <c r="H116" i="110"/>
  <c r="G89" i="110"/>
  <c r="H89" i="110"/>
  <c r="D89" i="110"/>
  <c r="E89" i="110"/>
  <c r="F89" i="110"/>
  <c r="C90" i="110"/>
  <c r="C117" i="110"/>
  <c r="D90" i="110" a="1"/>
  <c r="D117" i="110" a="1"/>
  <c r="D117" i="110" l="1"/>
  <c r="G117" i="110"/>
  <c r="E117" i="110"/>
  <c r="F117" i="110"/>
  <c r="H117" i="110"/>
  <c r="G90" i="110"/>
  <c r="E90" i="110"/>
  <c r="D90" i="110"/>
  <c r="F90" i="110"/>
  <c r="H90" i="110"/>
  <c r="C91" i="110"/>
  <c r="C118" i="110"/>
  <c r="D118" i="110" a="1"/>
  <c r="D91" i="110" a="1"/>
  <c r="D91" i="110" l="1"/>
  <c r="E91" i="110"/>
  <c r="F91" i="110"/>
  <c r="G91" i="110"/>
  <c r="H91" i="110"/>
  <c r="F118" i="110"/>
  <c r="G118" i="110"/>
  <c r="D118" i="110"/>
  <c r="E118" i="110"/>
  <c r="H118" i="110"/>
  <c r="C92" i="110"/>
  <c r="C119" i="110"/>
  <c r="D92" i="110" a="1"/>
  <c r="D119" i="110" a="1"/>
  <c r="E119" i="110" l="1"/>
  <c r="G119" i="110"/>
  <c r="F119" i="110"/>
  <c r="D119" i="110"/>
  <c r="H119" i="110"/>
  <c r="E92" i="110"/>
  <c r="D92" i="110"/>
  <c r="H92" i="110"/>
  <c r="F92" i="110"/>
  <c r="G92" i="110"/>
  <c r="C93" i="110"/>
  <c r="C120" i="110"/>
  <c r="D93" i="110" a="1"/>
  <c r="D120" i="110" a="1"/>
  <c r="F120" i="110" l="1"/>
  <c r="D120" i="110"/>
  <c r="E120" i="110"/>
  <c r="H120" i="110"/>
  <c r="G120" i="110"/>
  <c r="G93" i="110"/>
  <c r="D93" i="110"/>
  <c r="H93" i="110"/>
  <c r="E93" i="110"/>
  <c r="F93" i="110"/>
  <c r="C94" i="110"/>
  <c r="C121" i="110"/>
  <c r="D94" i="110" a="1"/>
  <c r="D121" i="110" a="1"/>
  <c r="H121" i="110" l="1"/>
  <c r="E121" i="110"/>
  <c r="F121" i="110"/>
  <c r="D121" i="110"/>
  <c r="G121" i="110"/>
  <c r="H94" i="110"/>
  <c r="F94" i="110"/>
  <c r="D94" i="110"/>
  <c r="E94" i="110"/>
  <c r="G94" i="110"/>
  <c r="C95" i="110"/>
  <c r="C122" i="110"/>
  <c r="D95" i="110" a="1"/>
  <c r="D122" i="110" a="1"/>
  <c r="E122" i="110" l="1"/>
  <c r="G122" i="110"/>
  <c r="D122" i="110"/>
  <c r="F122" i="110"/>
  <c r="H122" i="110"/>
  <c r="D95" i="110"/>
  <c r="E95" i="110"/>
  <c r="F95" i="110"/>
  <c r="G95" i="110"/>
  <c r="H95" i="110"/>
  <c r="C96" i="110"/>
  <c r="C123" i="110"/>
  <c r="D123" i="110" a="1"/>
  <c r="D96" i="110" a="1"/>
  <c r="D96" i="110" l="1"/>
  <c r="E96" i="110"/>
  <c r="F96" i="110"/>
  <c r="G96" i="110"/>
  <c r="H96" i="110"/>
  <c r="E123" i="110"/>
  <c r="G123" i="110"/>
  <c r="H123" i="110"/>
  <c r="D123" i="110"/>
  <c r="F123" i="110"/>
  <c r="C124" i="110"/>
  <c r="D124" i="110" a="1"/>
  <c r="G124" i="110" l="1"/>
  <c r="H124" i="110"/>
  <c r="D124" i="110"/>
  <c r="E124" i="110"/>
  <c r="F124" i="1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<sst xmlns="http://schemas.openxmlformats.org/spreadsheetml/2006/main" count="97" uniqueCount="74">
  <si>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</si>
  <si>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</si>
  <si>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</si>
  <si>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</si>
  <si>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</si>
  <si>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</si>
  <si>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</si>
  <si>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</si>
  <si>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</si>
  <si>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</si>
  <si>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Снизу вверх</t>
  </si>
  <si>
    <t>Сверху вниз</t>
  </si>
  <si>
    <t>Давление на входе</t>
  </si>
  <si>
    <t>PVT строка</t>
  </si>
  <si>
    <t>ЭЦН строка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</si>
  <si>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</si>
  <si>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</si>
  <si>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</si>
  <si>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</si>
  <si>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</si>
  <si>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</si>
  <si>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</si>
  <si>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</si>
  <si>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</si>
  <si>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</si>
  <si>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</si>
  <si>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</si>
  <si>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</si>
  <si>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</si>
  <si>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</si>
  <si>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</si>
  <si>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</si>
  <si>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</si>
  <si>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</si>
  <si>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</si>
  <si>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</si>
  <si>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</si>
  <si>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</si>
  <si>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</si>
  <si>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</si>
  <si>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</si>
  <si>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</si>
  <si>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</si>
  <si>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</si>
  <si>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</si>
  <si>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</si>
  <si>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</si>
  <si>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</si>
  <si>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</si>
  <si>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</si>
  <si>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</si>
  <si>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Давление на выкиде</t>
  </si>
  <si>
    <t>Температура на выкиде</t>
  </si>
  <si>
    <t>Температура на входе</t>
  </si>
  <si>
    <r>
      <t>T</t>
    </r>
    <r>
      <rPr>
        <vertAlign val="subscript"/>
        <sz val="10"/>
        <rFont val="Arial Cyr"/>
        <charset val="204"/>
      </rPr>
      <t>dis</t>
    </r>
  </si>
  <si>
    <t>gas_degr_type</t>
  </si>
  <si>
    <t xml:space="preserve">Настройки </t>
  </si>
  <si>
    <t>input_Date</t>
  </si>
  <si>
    <t>Расчет параметров сепарации на приеме ЭЦН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</si>
  <si>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</si>
  <si>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</si>
  <si>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</si>
  <si>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</si>
  <si>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</si>
  <si>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</si>
  <si>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</si>
  <si>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</si>
  <si>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</si>
  <si>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</si>
  <si>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</si>
  <si>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</si>
  <si>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</si>
  <si>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</si>
  <si>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calc_along_flow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</si>
</sst>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80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5" borderId="2" xfId="0" applyFill="1" applyBorder="1"/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164" fontId="0" fillId="7" borderId="8" xfId="0" applyNumberFormat="1" applyFill="1" applyBorder="1" applyAlignment="1">
      <alignment horizontal="center"/>
    </xf>
    <xf numFmtId="164" fontId="0" fillId="7" borderId="9" xfId="0" applyNumberFormat="1" applyFill="1" applyBorder="1" applyAlignment="1">
      <alignment horizontal="center"/>
    </xf>
    <xf numFmtId="0" fontId="0" fillId="7" borderId="1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2" fontId="0" fillId="7" borderId="0" xfId="0" applyNumberFormat="1" applyFill="1" applyBorder="1" applyAlignment="1">
      <alignment horizontal="center" vertical="center"/>
    </xf>
    <xf numFmtId="164" fontId="0" fillId="7" borderId="0" xfId="0" applyNumberFormat="1" applyFill="1" applyBorder="1" applyAlignment="1">
      <alignment horizontal="center" vertical="center"/>
    </xf>
    <xf numFmtId="1" fontId="0" fillId="7" borderId="0" xfId="0" applyNumberFormat="1" applyFill="1" applyBorder="1" applyAlignment="1">
      <alignment horizontal="center" vertical="center"/>
    </xf>
    <xf numFmtId="2" fontId="0" fillId="7" borderId="12" xfId="0" applyNumberFormat="1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0" fillId="7" borderId="7" xfId="0" applyFill="1" applyBorder="1" applyAlignment="1">
      <alignment horizontal="center" vertical="center" wrapText="1"/>
    </xf>
    <xf numFmtId="2" fontId="0" fillId="7" borderId="8" xfId="0" applyNumberFormat="1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  <xf numFmtId="0" fontId="0" fillId="7" borderId="9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2" fontId="0" fillId="7" borderId="0" xfId="0" applyNumberForma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 vertical="center" wrapText="1"/>
    </xf>
    <xf numFmtId="0" fontId="0" fillId="7" borderId="12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right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2" fontId="0" fillId="7" borderId="8" xfId="0" applyNumberFormat="1" applyFill="1" applyBorder="1" applyAlignment="1">
      <alignment horizontal="center"/>
    </xf>
    <xf numFmtId="164" fontId="0" fillId="7" borderId="7" xfId="0" applyNumberFormat="1" applyFill="1" applyBorder="1" applyAlignment="1"/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Exercise_ESP!$D$75</c:f>
              <c:strCache>
                <c:ptCount val="1"/>
                <c:pt idx="0">
                  <c:v>Давление на выкиде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9.75</c:v>
                </c:pt>
                <c:pt idx="2">
                  <c:v>18.5</c:v>
                </c:pt>
                <c:pt idx="3">
                  <c:v>27.25</c:v>
                </c:pt>
                <c:pt idx="4">
                  <c:v>36</c:v>
                </c:pt>
                <c:pt idx="5">
                  <c:v>44.75</c:v>
                </c:pt>
                <c:pt idx="6">
                  <c:v>53.5</c:v>
                </c:pt>
                <c:pt idx="7">
                  <c:v>62.25</c:v>
                </c:pt>
                <c:pt idx="8">
                  <c:v>71</c:v>
                </c:pt>
                <c:pt idx="9">
                  <c:v>79.75</c:v>
                </c:pt>
                <c:pt idx="10">
                  <c:v>88.5</c:v>
                </c:pt>
                <c:pt idx="11">
                  <c:v>97.25</c:v>
                </c:pt>
                <c:pt idx="12">
                  <c:v>106</c:v>
                </c:pt>
                <c:pt idx="13">
                  <c:v>114.75</c:v>
                </c:pt>
                <c:pt idx="14">
                  <c:v>123.5</c:v>
                </c:pt>
                <c:pt idx="15">
                  <c:v>132.25</c:v>
                </c:pt>
                <c:pt idx="16">
                  <c:v>141</c:v>
                </c:pt>
                <c:pt idx="17">
                  <c:v>149.75</c:v>
                </c:pt>
                <c:pt idx="18">
                  <c:v>158.5</c:v>
                </c:pt>
                <c:pt idx="19">
                  <c:v>167.25</c:v>
                </c:pt>
                <c:pt idx="20">
                  <c:v>176</c:v>
                </c:pt>
              </c:numCache>
            </c:numRef>
          </c:xVal>
          <c:yVal>
            <c:numRef>
              <c:f>Exercise_ESP!$D$76:$D$96</c:f>
              <c:numCache>
                <c:formatCode>0</c:formatCode>
                <c:ptCount val="21"/>
                <c:pt idx="0">
                  <c:v>223.02889843833128</c:v>
                </c:pt>
                <c:pt idx="1">
                  <c:v>224.8063897706229</c:v>
                </c:pt>
                <c:pt idx="2">
                  <c:v>225.57771863407703</c:v>
                </c:pt>
                <c:pt idx="3">
                  <c:v>225.34732286181335</c:v>
                </c:pt>
                <c:pt idx="4">
                  <c:v>224.13066296952658</c:v>
                </c:pt>
                <c:pt idx="5">
                  <c:v>221.70894102005053</c:v>
                </c:pt>
                <c:pt idx="6">
                  <c:v>217.37357164694811</c:v>
                </c:pt>
                <c:pt idx="7">
                  <c:v>209.87084068495764</c:v>
                </c:pt>
                <c:pt idx="8">
                  <c:v>197.98678096764141</c:v>
                </c:pt>
                <c:pt idx="9">
                  <c:v>181.86470141577121</c:v>
                </c:pt>
                <c:pt idx="10">
                  <c:v>160.85846601733851</c:v>
                </c:pt>
                <c:pt idx="11">
                  <c:v>128.47501882271033</c:v>
                </c:pt>
                <c:pt idx="12">
                  <c:v>9.8481088205385063</c:v>
                </c:pt>
                <c:pt idx="13">
                  <c:v>4.2949452657915179</c:v>
                </c:pt>
                <c:pt idx="14">
                  <c:v>3.3443357101985893</c:v>
                </c:pt>
                <c:pt idx="15">
                  <c:v>2.9689360542253009</c:v>
                </c:pt>
                <c:pt idx="16">
                  <c:v>2.7868697785303542</c:v>
                </c:pt>
                <c:pt idx="17">
                  <c:v>2.6948966775598895</c:v>
                </c:pt>
                <c:pt idx="18">
                  <c:v>2.6498131467466735</c:v>
                </c:pt>
                <c:pt idx="19">
                  <c:v>2.6309181442005927</c:v>
                </c:pt>
                <c:pt idx="20">
                  <c:v>2.6263152100369025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ser>
          <c:idx val="1"/>
          <c:order val="1"/>
          <c:tx>
            <c:strRef>
              <c:f>Exercise_ESP!$E$75</c:f>
              <c:strCache>
                <c:ptCount val="1"/>
                <c:pt idx="0">
                  <c:v>Давление на входе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9.75</c:v>
                </c:pt>
                <c:pt idx="2">
                  <c:v>18.5</c:v>
                </c:pt>
                <c:pt idx="3">
                  <c:v>27.25</c:v>
                </c:pt>
                <c:pt idx="4">
                  <c:v>36</c:v>
                </c:pt>
                <c:pt idx="5">
                  <c:v>44.75</c:v>
                </c:pt>
                <c:pt idx="6">
                  <c:v>53.5</c:v>
                </c:pt>
                <c:pt idx="7">
                  <c:v>62.25</c:v>
                </c:pt>
                <c:pt idx="8">
                  <c:v>71</c:v>
                </c:pt>
                <c:pt idx="9">
                  <c:v>79.75</c:v>
                </c:pt>
                <c:pt idx="10">
                  <c:v>88.5</c:v>
                </c:pt>
                <c:pt idx="11">
                  <c:v>97.25</c:v>
                </c:pt>
                <c:pt idx="12">
                  <c:v>106</c:v>
                </c:pt>
                <c:pt idx="13">
                  <c:v>114.75</c:v>
                </c:pt>
                <c:pt idx="14">
                  <c:v>123.5</c:v>
                </c:pt>
                <c:pt idx="15">
                  <c:v>132.25</c:v>
                </c:pt>
                <c:pt idx="16">
                  <c:v>141</c:v>
                </c:pt>
                <c:pt idx="17">
                  <c:v>149.75</c:v>
                </c:pt>
                <c:pt idx="18">
                  <c:v>158.5</c:v>
                </c:pt>
                <c:pt idx="19">
                  <c:v>167.25</c:v>
                </c:pt>
                <c:pt idx="20">
                  <c:v>176</c:v>
                </c:pt>
              </c:numCache>
            </c:numRef>
          </c:xVal>
          <c:yVal>
            <c:numRef>
              <c:f>Exercise_ESP!$E$76:$E$96</c:f>
              <c:numCache>
                <c:formatCode>0</c:formatCode>
                <c:ptCount val="21"/>
                <c:pt idx="0">
                  <c:v>48</c:v>
                </c:pt>
                <c:pt idx="1">
                  <c:v>48</c:v>
                </c:pt>
                <c:pt idx="2">
                  <c:v>48</c:v>
                </c:pt>
                <c:pt idx="3">
                  <c:v>48</c:v>
                </c:pt>
                <c:pt idx="4">
                  <c:v>48</c:v>
                </c:pt>
                <c:pt idx="5">
                  <c:v>48</c:v>
                </c:pt>
                <c:pt idx="6">
                  <c:v>48</c:v>
                </c:pt>
                <c:pt idx="7">
                  <c:v>48</c:v>
                </c:pt>
                <c:pt idx="8">
                  <c:v>48</c:v>
                </c:pt>
                <c:pt idx="9">
                  <c:v>48</c:v>
                </c:pt>
                <c:pt idx="10">
                  <c:v>48</c:v>
                </c:pt>
                <c:pt idx="11">
                  <c:v>48</c:v>
                </c:pt>
                <c:pt idx="12">
                  <c:v>48</c:v>
                </c:pt>
                <c:pt idx="13">
                  <c:v>48</c:v>
                </c:pt>
                <c:pt idx="14">
                  <c:v>48</c:v>
                </c:pt>
                <c:pt idx="15">
                  <c:v>48</c:v>
                </c:pt>
                <c:pt idx="16">
                  <c:v>48</c:v>
                </c:pt>
                <c:pt idx="17">
                  <c:v>48</c:v>
                </c:pt>
                <c:pt idx="18">
                  <c:v>48</c:v>
                </c:pt>
                <c:pt idx="19">
                  <c:v>48</c:v>
                </c:pt>
                <c:pt idx="20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5-46F3-85BE-F8E14060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Exercise_ESP!$F$75</c:f>
              <c:strCache>
                <c:ptCount val="1"/>
                <c:pt idx="0">
                  <c:v>Температура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9.75</c:v>
                </c:pt>
                <c:pt idx="2">
                  <c:v>18.5</c:v>
                </c:pt>
                <c:pt idx="3">
                  <c:v>27.25</c:v>
                </c:pt>
                <c:pt idx="4">
                  <c:v>36</c:v>
                </c:pt>
                <c:pt idx="5">
                  <c:v>44.75</c:v>
                </c:pt>
                <c:pt idx="6">
                  <c:v>53.5</c:v>
                </c:pt>
                <c:pt idx="7">
                  <c:v>62.25</c:v>
                </c:pt>
                <c:pt idx="8">
                  <c:v>71</c:v>
                </c:pt>
                <c:pt idx="9">
                  <c:v>79.75</c:v>
                </c:pt>
                <c:pt idx="10">
                  <c:v>88.5</c:v>
                </c:pt>
                <c:pt idx="11">
                  <c:v>97.25</c:v>
                </c:pt>
                <c:pt idx="12">
                  <c:v>106</c:v>
                </c:pt>
                <c:pt idx="13">
                  <c:v>114.75</c:v>
                </c:pt>
                <c:pt idx="14">
                  <c:v>123.5</c:v>
                </c:pt>
                <c:pt idx="15">
                  <c:v>132.25</c:v>
                </c:pt>
                <c:pt idx="16">
                  <c:v>141</c:v>
                </c:pt>
                <c:pt idx="17">
                  <c:v>149.75</c:v>
                </c:pt>
                <c:pt idx="18">
                  <c:v>158.5</c:v>
                </c:pt>
                <c:pt idx="19">
                  <c:v>167.25</c:v>
                </c:pt>
                <c:pt idx="20">
                  <c:v>176</c:v>
                </c:pt>
              </c:numCache>
            </c:numRef>
          </c:xVal>
          <c:yVal>
            <c:numRef>
              <c:f>Exercise_ESP!$F$76:$F$96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A4-4F7D-9387-4011B79F1E3D}"/>
            </c:ext>
          </c:extLst>
        </c:ser>
        <c:ser>
          <c:idx val="1"/>
          <c:order val="1"/>
          <c:tx>
            <c:strRef>
              <c:f>Exercise_ESP!$H$75</c:f>
              <c:strCache>
                <c:ptCount val="1"/>
                <c:pt idx="0">
                  <c:v>Температура на выкиде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9.75</c:v>
                </c:pt>
                <c:pt idx="2">
                  <c:v>18.5</c:v>
                </c:pt>
                <c:pt idx="3">
                  <c:v>27.25</c:v>
                </c:pt>
                <c:pt idx="4">
                  <c:v>36</c:v>
                </c:pt>
                <c:pt idx="5">
                  <c:v>44.75</c:v>
                </c:pt>
                <c:pt idx="6">
                  <c:v>53.5</c:v>
                </c:pt>
                <c:pt idx="7">
                  <c:v>62.25</c:v>
                </c:pt>
                <c:pt idx="8">
                  <c:v>71</c:v>
                </c:pt>
                <c:pt idx="9">
                  <c:v>79.75</c:v>
                </c:pt>
                <c:pt idx="10">
                  <c:v>88.5</c:v>
                </c:pt>
                <c:pt idx="11">
                  <c:v>97.25</c:v>
                </c:pt>
                <c:pt idx="12">
                  <c:v>106</c:v>
                </c:pt>
                <c:pt idx="13">
                  <c:v>114.75</c:v>
                </c:pt>
                <c:pt idx="14">
                  <c:v>123.5</c:v>
                </c:pt>
                <c:pt idx="15">
                  <c:v>132.25</c:v>
                </c:pt>
                <c:pt idx="16">
                  <c:v>141</c:v>
                </c:pt>
                <c:pt idx="17">
                  <c:v>149.75</c:v>
                </c:pt>
                <c:pt idx="18">
                  <c:v>158.5</c:v>
                </c:pt>
                <c:pt idx="19">
                  <c:v>167.25</c:v>
                </c:pt>
                <c:pt idx="20">
                  <c:v>176</c:v>
                </c:pt>
              </c:numCache>
            </c:numRef>
          </c:xVal>
          <c:yVal>
            <c:numRef>
              <c:f>Exercise_ESP!$H$76:$H$96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A4-4F7D-9387-4011B79F1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Exercise_ESP!$E$103</c:f>
              <c:strCache>
                <c:ptCount val="1"/>
                <c:pt idx="0">
                  <c:v>Давление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9.75</c:v>
                </c:pt>
                <c:pt idx="2">
                  <c:v>18.5</c:v>
                </c:pt>
                <c:pt idx="3">
                  <c:v>27.25</c:v>
                </c:pt>
                <c:pt idx="4">
                  <c:v>36</c:v>
                </c:pt>
                <c:pt idx="5">
                  <c:v>44.75</c:v>
                </c:pt>
                <c:pt idx="6">
                  <c:v>53.5</c:v>
                </c:pt>
                <c:pt idx="7">
                  <c:v>62.25</c:v>
                </c:pt>
                <c:pt idx="8">
                  <c:v>71</c:v>
                </c:pt>
                <c:pt idx="9">
                  <c:v>79.75</c:v>
                </c:pt>
                <c:pt idx="10">
                  <c:v>88.5</c:v>
                </c:pt>
                <c:pt idx="11">
                  <c:v>97.25</c:v>
                </c:pt>
                <c:pt idx="12">
                  <c:v>106</c:v>
                </c:pt>
                <c:pt idx="13">
                  <c:v>114.75</c:v>
                </c:pt>
                <c:pt idx="14">
                  <c:v>123.5</c:v>
                </c:pt>
                <c:pt idx="15">
                  <c:v>132.25</c:v>
                </c:pt>
                <c:pt idx="16">
                  <c:v>141</c:v>
                </c:pt>
                <c:pt idx="17">
                  <c:v>149.75</c:v>
                </c:pt>
                <c:pt idx="18">
                  <c:v>158.5</c:v>
                </c:pt>
                <c:pt idx="19">
                  <c:v>167.25</c:v>
                </c:pt>
                <c:pt idx="20">
                  <c:v>176</c:v>
                </c:pt>
              </c:numCache>
            </c:numRef>
          </c:xVal>
          <c:yVal>
            <c:numRef>
              <c:f>Exercise_ESP!$E$104:$E$124</c:f>
              <c:numCache>
                <c:formatCode>0</c:formatCode>
                <c:ptCount val="21"/>
                <c:pt idx="0">
                  <c:v>5.0817339748125736</c:v>
                </c:pt>
                <c:pt idx="1">
                  <c:v>5.6797661484700015</c:v>
                </c:pt>
                <c:pt idx="2">
                  <c:v>8.3149739201638955</c:v>
                </c:pt>
                <c:pt idx="3">
                  <c:v>11.59523359845085</c:v>
                </c:pt>
                <c:pt idx="4">
                  <c:v>15.165611446490146</c:v>
                </c:pt>
                <c:pt idx="5">
                  <c:v>18.933756080444947</c:v>
                </c:pt>
                <c:pt idx="6">
                  <c:v>22.87091559137744</c:v>
                </c:pt>
                <c:pt idx="7">
                  <c:v>26.96963611671897</c:v>
                </c:pt>
                <c:pt idx="8">
                  <c:v>31.23154171926414</c:v>
                </c:pt>
                <c:pt idx="9">
                  <c:v>35.667025494608481</c:v>
                </c:pt>
                <c:pt idx="10">
                  <c:v>40.295400230288706</c:v>
                </c:pt>
                <c:pt idx="11">
                  <c:v>45.144181660689839</c:v>
                </c:pt>
                <c:pt idx="12">
                  <c:v>50.250369588303549</c:v>
                </c:pt>
                <c:pt idx="13">
                  <c:v>55.661505746901526</c:v>
                </c:pt>
                <c:pt idx="14">
                  <c:v>61.437643094217407</c:v>
                </c:pt>
                <c:pt idx="15">
                  <c:v>67.653925043264707</c:v>
                </c:pt>
                <c:pt idx="16">
                  <c:v>74.402854577324376</c:v>
                </c:pt>
                <c:pt idx="17">
                  <c:v>81.794362619155152</c:v>
                </c:pt>
                <c:pt idx="18">
                  <c:v>92.239612985124438</c:v>
                </c:pt>
                <c:pt idx="19">
                  <c:v>111.27677065612269</c:v>
                </c:pt>
                <c:pt idx="20">
                  <c:v>130.54150410802797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E-4D5F-8B44-D439F0AA2977}"/>
            </c:ext>
          </c:extLst>
        </c:ser>
        <c:ser>
          <c:idx val="1"/>
          <c:order val="1"/>
          <c:tx>
            <c:strRef>
              <c:f>Exercise_ESP!$G$103</c:f>
              <c:strCache>
                <c:ptCount val="1"/>
                <c:pt idx="0">
                  <c:v>Давление на выкиде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9.75</c:v>
                </c:pt>
                <c:pt idx="2">
                  <c:v>18.5</c:v>
                </c:pt>
                <c:pt idx="3">
                  <c:v>27.25</c:v>
                </c:pt>
                <c:pt idx="4">
                  <c:v>36</c:v>
                </c:pt>
                <c:pt idx="5">
                  <c:v>44.75</c:v>
                </c:pt>
                <c:pt idx="6">
                  <c:v>53.5</c:v>
                </c:pt>
                <c:pt idx="7">
                  <c:v>62.25</c:v>
                </c:pt>
                <c:pt idx="8">
                  <c:v>71</c:v>
                </c:pt>
                <c:pt idx="9">
                  <c:v>79.75</c:v>
                </c:pt>
                <c:pt idx="10">
                  <c:v>88.5</c:v>
                </c:pt>
                <c:pt idx="11">
                  <c:v>97.25</c:v>
                </c:pt>
                <c:pt idx="12">
                  <c:v>106</c:v>
                </c:pt>
                <c:pt idx="13">
                  <c:v>114.75</c:v>
                </c:pt>
                <c:pt idx="14">
                  <c:v>123.5</c:v>
                </c:pt>
                <c:pt idx="15">
                  <c:v>132.25</c:v>
                </c:pt>
                <c:pt idx="16">
                  <c:v>141</c:v>
                </c:pt>
                <c:pt idx="17">
                  <c:v>149.75</c:v>
                </c:pt>
                <c:pt idx="18">
                  <c:v>158.5</c:v>
                </c:pt>
                <c:pt idx="19">
                  <c:v>167.25</c:v>
                </c:pt>
                <c:pt idx="20">
                  <c:v>176</c:v>
                </c:pt>
              </c:numCache>
            </c:numRef>
          </c:xVal>
          <c:yVal>
            <c:numRef>
              <c:f>Exercise_ESP!$G$104:$G$124</c:f>
              <c:numCache>
                <c:formatCode>General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CE-4D5F-8B44-D439F0AA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Exercise_ESP!$F$103</c:f>
              <c:strCache>
                <c:ptCount val="1"/>
                <c:pt idx="0">
                  <c:v>Температура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9.75</c:v>
                </c:pt>
                <c:pt idx="2">
                  <c:v>18.5</c:v>
                </c:pt>
                <c:pt idx="3">
                  <c:v>27.25</c:v>
                </c:pt>
                <c:pt idx="4">
                  <c:v>36</c:v>
                </c:pt>
                <c:pt idx="5">
                  <c:v>44.75</c:v>
                </c:pt>
                <c:pt idx="6">
                  <c:v>53.5</c:v>
                </c:pt>
                <c:pt idx="7">
                  <c:v>62.25</c:v>
                </c:pt>
                <c:pt idx="8">
                  <c:v>71</c:v>
                </c:pt>
                <c:pt idx="9">
                  <c:v>79.75</c:v>
                </c:pt>
                <c:pt idx="10">
                  <c:v>88.5</c:v>
                </c:pt>
                <c:pt idx="11">
                  <c:v>97.25</c:v>
                </c:pt>
                <c:pt idx="12">
                  <c:v>106</c:v>
                </c:pt>
                <c:pt idx="13">
                  <c:v>114.75</c:v>
                </c:pt>
                <c:pt idx="14">
                  <c:v>123.5</c:v>
                </c:pt>
                <c:pt idx="15">
                  <c:v>132.25</c:v>
                </c:pt>
                <c:pt idx="16">
                  <c:v>141</c:v>
                </c:pt>
                <c:pt idx="17">
                  <c:v>149.75</c:v>
                </c:pt>
                <c:pt idx="18">
                  <c:v>158.5</c:v>
                </c:pt>
                <c:pt idx="19">
                  <c:v>167.25</c:v>
                </c:pt>
                <c:pt idx="20">
                  <c:v>176</c:v>
                </c:pt>
              </c:numCache>
            </c:numRef>
          </c:xVal>
          <c:yVal>
            <c:numRef>
              <c:f>Exercise_ESP!$F$104:$F$124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88-485E-BD72-7504E430BC9F}"/>
            </c:ext>
          </c:extLst>
        </c:ser>
        <c:ser>
          <c:idx val="1"/>
          <c:order val="1"/>
          <c:tx>
            <c:strRef>
              <c:f>Exercise_ESP!$H$103</c:f>
              <c:strCache>
                <c:ptCount val="1"/>
                <c:pt idx="0">
                  <c:v>Температура на выкиде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9.75</c:v>
                </c:pt>
                <c:pt idx="2">
                  <c:v>18.5</c:v>
                </c:pt>
                <c:pt idx="3">
                  <c:v>27.25</c:v>
                </c:pt>
                <c:pt idx="4">
                  <c:v>36</c:v>
                </c:pt>
                <c:pt idx="5">
                  <c:v>44.75</c:v>
                </c:pt>
                <c:pt idx="6">
                  <c:v>53.5</c:v>
                </c:pt>
                <c:pt idx="7">
                  <c:v>62.25</c:v>
                </c:pt>
                <c:pt idx="8">
                  <c:v>71</c:v>
                </c:pt>
                <c:pt idx="9">
                  <c:v>79.75</c:v>
                </c:pt>
                <c:pt idx="10">
                  <c:v>88.5</c:v>
                </c:pt>
                <c:pt idx="11">
                  <c:v>97.25</c:v>
                </c:pt>
                <c:pt idx="12">
                  <c:v>106</c:v>
                </c:pt>
                <c:pt idx="13">
                  <c:v>114.75</c:v>
                </c:pt>
                <c:pt idx="14">
                  <c:v>123.5</c:v>
                </c:pt>
                <c:pt idx="15">
                  <c:v>132.25</c:v>
                </c:pt>
                <c:pt idx="16">
                  <c:v>141</c:v>
                </c:pt>
                <c:pt idx="17">
                  <c:v>149.75</c:v>
                </c:pt>
                <c:pt idx="18">
                  <c:v>158.5</c:v>
                </c:pt>
                <c:pt idx="19">
                  <c:v>167.25</c:v>
                </c:pt>
                <c:pt idx="20">
                  <c:v>176</c:v>
                </c:pt>
              </c:numCache>
            </c:numRef>
          </c:xVal>
          <c:yVal>
            <c:numRef>
              <c:f>Exercise_ESP!$H$104:$H$124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8-485E-BD72-7504E430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Exercise_ESP!$I$45</c:f>
              <c:strCache>
                <c:ptCount val="1"/>
                <c:pt idx="0">
                  <c:v>p_atma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17.526315789473685</c:v>
                </c:pt>
                <c:pt idx="2">
                  <c:v>35.05263157894737</c:v>
                </c:pt>
                <c:pt idx="3">
                  <c:v>52.578947368421055</c:v>
                </c:pt>
                <c:pt idx="4">
                  <c:v>70.10526315789474</c:v>
                </c:pt>
                <c:pt idx="5">
                  <c:v>87.631578947368425</c:v>
                </c:pt>
                <c:pt idx="6">
                  <c:v>105.15789473684211</c:v>
                </c:pt>
                <c:pt idx="7">
                  <c:v>122.68421052631579</c:v>
                </c:pt>
                <c:pt idx="8">
                  <c:v>140.21052631578948</c:v>
                </c:pt>
                <c:pt idx="9">
                  <c:v>157.73684210526318</c:v>
                </c:pt>
                <c:pt idx="10">
                  <c:v>175.26315789473685</c:v>
                </c:pt>
                <c:pt idx="11">
                  <c:v>192.78947368421052</c:v>
                </c:pt>
                <c:pt idx="12">
                  <c:v>210.31578947368422</c:v>
                </c:pt>
                <c:pt idx="13">
                  <c:v>227.84210526315792</c:v>
                </c:pt>
                <c:pt idx="14">
                  <c:v>245.36842105263159</c:v>
                </c:pt>
                <c:pt idx="15">
                  <c:v>262.89473684210526</c:v>
                </c:pt>
                <c:pt idx="16">
                  <c:v>280.42105263157896</c:v>
                </c:pt>
                <c:pt idx="17">
                  <c:v>297.94736842105266</c:v>
                </c:pt>
                <c:pt idx="18">
                  <c:v>315.47368421052636</c:v>
                </c:pt>
                <c:pt idx="19">
                  <c:v>333</c:v>
                </c:pt>
              </c:numCache>
            </c:numRef>
          </c:xVal>
          <c:yVal>
            <c:numRef>
              <c:f>Exercise_ESP!$I$46:$I$65</c:f>
              <c:numCache>
                <c:formatCode>0</c:formatCode>
                <c:ptCount val="20"/>
                <c:pt idx="0">
                  <c:v>48</c:v>
                </c:pt>
                <c:pt idx="1">
                  <c:v>54.657083078483659</c:v>
                </c:pt>
                <c:pt idx="2">
                  <c:v>62.04734153370481</c:v>
                </c:pt>
                <c:pt idx="3">
                  <c:v>70.115878604045449</c:v>
                </c:pt>
                <c:pt idx="4">
                  <c:v>78.873182093393226</c:v>
                </c:pt>
                <c:pt idx="5">
                  <c:v>88.211487753653486</c:v>
                </c:pt>
                <c:pt idx="6">
                  <c:v>97.800737604666452</c:v>
                </c:pt>
                <c:pt idx="7">
                  <c:v>107.40932410295122</c:v>
                </c:pt>
                <c:pt idx="8">
                  <c:v>117.0348134749847</c:v>
                </c:pt>
                <c:pt idx="9">
                  <c:v>126.6735999446738</c:v>
                </c:pt>
                <c:pt idx="10">
                  <c:v>136.32389679243113</c:v>
                </c:pt>
                <c:pt idx="11">
                  <c:v>145.98431377876651</c:v>
                </c:pt>
                <c:pt idx="12">
                  <c:v>155.65415581450341</c:v>
                </c:pt>
                <c:pt idx="13">
                  <c:v>165.33173042051445</c:v>
                </c:pt>
                <c:pt idx="14">
                  <c:v>175.01625106491107</c:v>
                </c:pt>
                <c:pt idx="15">
                  <c:v>184.70706822850727</c:v>
                </c:pt>
                <c:pt idx="16">
                  <c:v>194.4039850114367</c:v>
                </c:pt>
                <c:pt idx="17">
                  <c:v>204.10603441105317</c:v>
                </c:pt>
                <c:pt idx="18">
                  <c:v>213.8128069937369</c:v>
                </c:pt>
                <c:pt idx="19">
                  <c:v>223.52394433849057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7-4337-9733-946AC55198BF}"/>
            </c:ext>
          </c:extLst>
        </c:ser>
        <c:ser>
          <c:idx val="1"/>
          <c:order val="1"/>
          <c:tx>
            <c:strRef>
              <c:f>Exercise_ESP!$J$45</c:f>
              <c:strCache>
                <c:ptCount val="1"/>
                <c:pt idx="0">
                  <c:v>t_C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17.526315789473685</c:v>
                </c:pt>
                <c:pt idx="2">
                  <c:v>35.05263157894737</c:v>
                </c:pt>
                <c:pt idx="3">
                  <c:v>52.578947368421055</c:v>
                </c:pt>
                <c:pt idx="4">
                  <c:v>70.10526315789474</c:v>
                </c:pt>
                <c:pt idx="5">
                  <c:v>87.631578947368425</c:v>
                </c:pt>
                <c:pt idx="6">
                  <c:v>105.15789473684211</c:v>
                </c:pt>
                <c:pt idx="7">
                  <c:v>122.68421052631579</c:v>
                </c:pt>
                <c:pt idx="8">
                  <c:v>140.21052631578948</c:v>
                </c:pt>
                <c:pt idx="9">
                  <c:v>157.73684210526318</c:v>
                </c:pt>
                <c:pt idx="10">
                  <c:v>175.26315789473685</c:v>
                </c:pt>
                <c:pt idx="11">
                  <c:v>192.78947368421052</c:v>
                </c:pt>
                <c:pt idx="12">
                  <c:v>210.31578947368422</c:v>
                </c:pt>
                <c:pt idx="13">
                  <c:v>227.84210526315792</c:v>
                </c:pt>
                <c:pt idx="14">
                  <c:v>245.36842105263159</c:v>
                </c:pt>
                <c:pt idx="15">
                  <c:v>262.89473684210526</c:v>
                </c:pt>
                <c:pt idx="16">
                  <c:v>280.42105263157896</c:v>
                </c:pt>
                <c:pt idx="17">
                  <c:v>297.94736842105266</c:v>
                </c:pt>
                <c:pt idx="18">
                  <c:v>315.47368421052636</c:v>
                </c:pt>
                <c:pt idx="19">
                  <c:v>333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7-4337-9733-946AC551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Exercise_ESP!$L$45</c:f>
              <c:strCache>
                <c:ptCount val="1"/>
                <c:pt idx="0">
                  <c:v>qmix_rm3day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17.526315789473685</c:v>
                </c:pt>
                <c:pt idx="2">
                  <c:v>35.05263157894737</c:v>
                </c:pt>
                <c:pt idx="3">
                  <c:v>52.578947368421055</c:v>
                </c:pt>
                <c:pt idx="4">
                  <c:v>70.10526315789474</c:v>
                </c:pt>
                <c:pt idx="5">
                  <c:v>87.631578947368425</c:v>
                </c:pt>
                <c:pt idx="6">
                  <c:v>105.15789473684211</c:v>
                </c:pt>
                <c:pt idx="7">
                  <c:v>122.68421052631579</c:v>
                </c:pt>
                <c:pt idx="8">
                  <c:v>140.21052631578948</c:v>
                </c:pt>
                <c:pt idx="9">
                  <c:v>157.73684210526318</c:v>
                </c:pt>
                <c:pt idx="10">
                  <c:v>175.26315789473685</c:v>
                </c:pt>
                <c:pt idx="11">
                  <c:v>192.78947368421052</c:v>
                </c:pt>
                <c:pt idx="12">
                  <c:v>210.31578947368422</c:v>
                </c:pt>
                <c:pt idx="13">
                  <c:v>227.84210526315792</c:v>
                </c:pt>
                <c:pt idx="14">
                  <c:v>245.36842105263159</c:v>
                </c:pt>
                <c:pt idx="15">
                  <c:v>262.89473684210526</c:v>
                </c:pt>
                <c:pt idx="16">
                  <c:v>280.42105263157896</c:v>
                </c:pt>
                <c:pt idx="17">
                  <c:v>297.94736842105266</c:v>
                </c:pt>
                <c:pt idx="18">
                  <c:v>315.47368421052636</c:v>
                </c:pt>
                <c:pt idx="19">
                  <c:v>333</c:v>
                </c:pt>
              </c:numCache>
            </c:numRef>
          </c:xVal>
          <c:yVal>
            <c:numRef>
              <c:f>Exercise_ESP!$L$46:$L$65</c:f>
              <c:numCache>
                <c:formatCode>0</c:formatCode>
                <c:ptCount val="20"/>
                <c:pt idx="0">
                  <c:v>5.0829734733301262</c:v>
                </c:pt>
                <c:pt idx="1">
                  <c:v>4.805169338026908</c:v>
                </c:pt>
                <c:pt idx="2">
                  <c:v>4.3073957272007739</c:v>
                </c:pt>
                <c:pt idx="3">
                  <c:v>3.9498403877355215</c:v>
                </c:pt>
                <c:pt idx="4">
                  <c:v>3.6609599866672</c:v>
                </c:pt>
                <c:pt idx="5">
                  <c:v>3.440006830705157</c:v>
                </c:pt>
                <c:pt idx="6">
                  <c:v>3.3858465289897173</c:v>
                </c:pt>
                <c:pt idx="7">
                  <c:v>3.3791219767528049</c:v>
                </c:pt>
                <c:pt idx="8">
                  <c:v>3.3735664873623263</c:v>
                </c:pt>
                <c:pt idx="9">
                  <c:v>3.3688409996761854</c:v>
                </c:pt>
                <c:pt idx="10">
                  <c:v>3.3647740487979902</c:v>
                </c:pt>
                <c:pt idx="11">
                  <c:v>3.3612397830919551</c:v>
                </c:pt>
                <c:pt idx="12">
                  <c:v>3.3581612460908929</c:v>
                </c:pt>
                <c:pt idx="13">
                  <c:v>3.3554281070532386</c:v>
                </c:pt>
                <c:pt idx="14">
                  <c:v>3.3529845227572883</c:v>
                </c:pt>
                <c:pt idx="15">
                  <c:v>3.3507863154929711</c:v>
                </c:pt>
                <c:pt idx="16">
                  <c:v>3.3488095941739342</c:v>
                </c:pt>
                <c:pt idx="17">
                  <c:v>3.3470070092903055</c:v>
                </c:pt>
                <c:pt idx="18">
                  <c:v>3.34535531586311</c:v>
                </c:pt>
                <c:pt idx="19">
                  <c:v>3.3438350278678719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Exercise_ESP!$K$45</c:f>
              <c:strCache>
                <c:ptCount val="1"/>
                <c:pt idx="0">
                  <c:v>gas_fraction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17.526315789473685</c:v>
                </c:pt>
                <c:pt idx="2">
                  <c:v>35.05263157894737</c:v>
                </c:pt>
                <c:pt idx="3">
                  <c:v>52.578947368421055</c:v>
                </c:pt>
                <c:pt idx="4">
                  <c:v>70.10526315789474</c:v>
                </c:pt>
                <c:pt idx="5">
                  <c:v>87.631578947368425</c:v>
                </c:pt>
                <c:pt idx="6">
                  <c:v>105.15789473684211</c:v>
                </c:pt>
                <c:pt idx="7">
                  <c:v>122.68421052631579</c:v>
                </c:pt>
                <c:pt idx="8">
                  <c:v>140.21052631578948</c:v>
                </c:pt>
                <c:pt idx="9">
                  <c:v>157.73684210526318</c:v>
                </c:pt>
                <c:pt idx="10">
                  <c:v>175.26315789473685</c:v>
                </c:pt>
                <c:pt idx="11">
                  <c:v>192.78947368421052</c:v>
                </c:pt>
                <c:pt idx="12">
                  <c:v>210.31578947368422</c:v>
                </c:pt>
                <c:pt idx="13">
                  <c:v>227.84210526315792</c:v>
                </c:pt>
                <c:pt idx="14">
                  <c:v>245.36842105263159</c:v>
                </c:pt>
                <c:pt idx="15">
                  <c:v>262.89473684210526</c:v>
                </c:pt>
                <c:pt idx="16">
                  <c:v>280.42105263157896</c:v>
                </c:pt>
                <c:pt idx="17">
                  <c:v>297.94736842105266</c:v>
                </c:pt>
                <c:pt idx="18">
                  <c:v>315.47368421052636</c:v>
                </c:pt>
                <c:pt idx="19">
                  <c:v>333</c:v>
                </c:pt>
              </c:numCache>
            </c:numRef>
          </c:xVal>
          <c:yVal>
            <c:numRef>
              <c:f>Exercise_ESP!$K$46:$K$65</c:f>
              <c:numCache>
                <c:formatCode>0.00</c:formatCode>
                <c:ptCount val="20"/>
                <c:pt idx="0">
                  <c:v>0.3618019353435078</c:v>
                </c:pt>
                <c:pt idx="1">
                  <c:v>0.32101385968505747</c:v>
                </c:pt>
                <c:pt idx="2">
                  <c:v>0.23672003133839464</c:v>
                </c:pt>
                <c:pt idx="3">
                  <c:v>0.16040904783976545</c:v>
                </c:pt>
                <c:pt idx="4">
                  <c:v>8.4694163878029027E-2</c:v>
                </c:pt>
                <c:pt idx="5">
                  <c:v>1.6255193793900783E-2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211124</xdr:colOff>
      <xdr:row>74</xdr:row>
      <xdr:rowOff>26194</xdr:rowOff>
    </xdr:from>
    <xdr:to>
      <xdr:col>21</xdr:col>
      <xdr:colOff>577183</xdr:colOff>
      <xdr:row>97</xdr:row>
      <xdr:rowOff>15768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характZZеристика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0" y="8858187"/>
          <a:ext cx="3798794" cy="1027891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17" name="Выноска со стрелкой влево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391276" y="14995524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22</xdr:col>
      <xdr:colOff>123825</xdr:colOff>
      <xdr:row>74</xdr:row>
      <xdr:rowOff>9525</xdr:rowOff>
    </xdr:from>
    <xdr:to>
      <xdr:col>30</xdr:col>
      <xdr:colOff>413684</xdr:colOff>
      <xdr:row>96</xdr:row>
      <xdr:rowOff>161024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3276FA4-C862-4214-B364-BE5996A7E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73E93F5B-7142-441B-80AD-611A9DB6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75E4157-3C47-453B-9EB7-97017E46C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22" name="Выноска со стрелкой влево 16">
          <a:extLst>
            <a:ext uri="{FF2B5EF4-FFF2-40B4-BE49-F238E27FC236}">
              <a16:creationId xmlns:a16="http://schemas.microsoft.com/office/drawing/2014/main" id="{BBB891D3-5B63-43F6-9A92-83F43F94E288}"/>
            </a:ext>
          </a:extLst>
        </xdr:cNvPr>
        <xdr:cNvSpPr/>
      </xdr:nvSpPr>
      <xdr:spPr>
        <a:xfrm>
          <a:off x="6486526" y="19786599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9</xdr:col>
      <xdr:colOff>509868</xdr:colOff>
      <xdr:row>46</xdr:row>
      <xdr:rowOff>150438</xdr:rowOff>
    </xdr:from>
    <xdr:to>
      <xdr:col>15</xdr:col>
      <xdr:colOff>326652</xdr:colOff>
      <xdr:row>70</xdr:row>
      <xdr:rowOff>84044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DDE3FF-EF3F-4837-8393-C62F109FC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600634</xdr:colOff>
      <xdr:row>47</xdr:row>
      <xdr:rowOff>32498</xdr:rowOff>
    </xdr:from>
    <xdr:to>
      <xdr:col>21</xdr:col>
      <xdr:colOff>486336</xdr:colOff>
      <xdr:row>68</xdr:row>
      <xdr:rowOff>122706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49AAE5C8-4B3D-4CAA-BBF0-36809C198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3133724" y="5193863"/>
          <a:ext cx="3895725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encode_string"/>
      <definedName name="ESP_head_m"/>
      <definedName name="ESP_id_by_rate"/>
      <definedName name="ESP_name"/>
      <definedName name="ESP_p_atma"/>
      <definedName name="ESP_rate_max_sm3day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K186"/>
  <sheetViews>
    <sheetView tabSelected="1" topLeftCell="A12" zoomScale="85" zoomScaleNormal="85" workbookViewId="0">
      <selection activeCell="Q22" sqref="Q22"/>
    </sheetView>
  </sheetViews>
  <sheetFormatPr defaultRowHeight="12.75" x14ac:dyDescent="0.2"/>
  <cols>
    <col min="2" max="2" width="15.140625" customWidth="1"/>
    <col min="3" max="3" width="9.85546875" customWidth="1"/>
    <col min="4" max="4" width="11.5703125" bestFit="1" customWidth="1"/>
    <col min="5" max="5" width="11.28515625" customWidth="1"/>
    <col min="6" max="21" width="11.85546875" customWidth="1"/>
    <col min="22" max="37" width="12.42578125" customWidth="1"/>
  </cols>
  <sheetData>
    <row r="1" spans="1:12" x14ac:dyDescent="0.2">
      <c r="A1" s="1" t="s">
        <v>15</v>
      </c>
      <c r="F1" t="s">
        <v>16</v>
      </c>
      <c r="G1" t="str">
        <f>[1]!unf_version()</f>
        <v>7.24</v>
      </c>
      <c r="H1" t="s">
        <v>57</v>
      </c>
      <c r="I1" s="27">
        <v>43963</v>
      </c>
      <c r="J1" s="20"/>
      <c r="K1" s="20"/>
      <c r="L1" s="20"/>
    </row>
    <row r="2" spans="1:12" x14ac:dyDescent="0.2">
      <c r="A2" t="s">
        <v>58</v>
      </c>
      <c r="H2" t="s">
        <v>59</v>
      </c>
      <c r="I2" s="28">
        <v>7.24</v>
      </c>
      <c r="J2" s="20"/>
      <c r="K2" s="20"/>
      <c r="L2" s="20"/>
    </row>
    <row r="3" spans="1:12" ht="15" x14ac:dyDescent="0.25">
      <c r="A3" s="29" t="s">
        <v>60</v>
      </c>
      <c r="B3" s="62" t="s">
        <v>61</v>
      </c>
      <c r="C3" s="63"/>
      <c r="D3" s="63"/>
      <c r="E3" s="64"/>
      <c r="H3" t="s">
        <v>62</v>
      </c>
      <c r="I3" s="20" t="s">
        <v>61</v>
      </c>
      <c r="J3" s="20"/>
      <c r="K3" s="20"/>
      <c r="L3" s="20"/>
    </row>
    <row r="4" spans="1:12" ht="15" x14ac:dyDescent="0.25">
      <c r="A4" s="29" t="s">
        <v>63</v>
      </c>
      <c r="B4" s="62" t="s">
        <v>64</v>
      </c>
      <c r="C4" s="63"/>
      <c r="D4" s="63"/>
      <c r="E4" s="64"/>
      <c r="H4" t="s">
        <v>65</v>
      </c>
      <c r="I4" s="20" t="s">
        <v>64</v>
      </c>
      <c r="J4" s="20"/>
      <c r="K4" s="20"/>
      <c r="L4" s="20"/>
    </row>
    <row r="5" spans="1:12" ht="15" x14ac:dyDescent="0.25">
      <c r="A5" s="29" t="s">
        <v>66</v>
      </c>
      <c r="B5" s="62" t="s">
        <v>67</v>
      </c>
      <c r="C5" s="63"/>
      <c r="D5" s="63"/>
      <c r="E5" s="64"/>
      <c r="H5" t="s">
        <v>68</v>
      </c>
      <c r="I5" s="20" t="s">
        <v>67</v>
      </c>
      <c r="J5" s="20"/>
      <c r="K5" s="20"/>
      <c r="L5" s="20"/>
    </row>
    <row r="6" spans="1:12" x14ac:dyDescent="0.2">
      <c r="A6" s="30" t="s">
        <v>69</v>
      </c>
      <c r="B6" s="65" t="s">
        <v>70</v>
      </c>
      <c r="C6" s="66"/>
      <c r="D6" s="66"/>
      <c r="E6" s="67"/>
      <c r="H6" s="31" t="s">
        <v>71</v>
      </c>
      <c r="I6" s="32" t="s">
        <v>70</v>
      </c>
      <c r="J6" s="32"/>
      <c r="K6" s="32"/>
      <c r="L6" s="32"/>
    </row>
    <row r="7" spans="1:12" x14ac:dyDescent="0.2">
      <c r="A7" s="33"/>
      <c r="B7" s="68"/>
      <c r="C7" s="69"/>
      <c r="D7" s="69"/>
      <c r="E7" s="70"/>
      <c r="H7" s="31"/>
      <c r="I7" s="32"/>
      <c r="J7" s="32"/>
      <c r="K7" s="32"/>
      <c r="L7" s="32"/>
    </row>
    <row r="8" spans="1:12" x14ac:dyDescent="0.2">
      <c r="A8" s="34"/>
      <c r="B8" s="71"/>
      <c r="C8" s="72"/>
      <c r="D8" s="72"/>
      <c r="E8" s="73"/>
      <c r="H8" s="31"/>
      <c r="I8" s="32"/>
      <c r="J8" s="32"/>
      <c r="K8" s="32"/>
      <c r="L8" s="32"/>
    </row>
    <row r="10" spans="1:12" x14ac:dyDescent="0.2">
      <c r="A10" s="1" t="s">
        <v>8</v>
      </c>
    </row>
    <row r="11" spans="1:12" ht="18.75" x14ac:dyDescent="0.35">
      <c r="B11" s="9" t="s">
        <v>17</v>
      </c>
      <c r="C11" s="2">
        <v>0.9</v>
      </c>
      <c r="D11" s="10"/>
      <c r="E11" s="11">
        <f>gamma_oil_*1000</f>
        <v>900</v>
      </c>
      <c r="F11" s="12" t="s">
        <v>18</v>
      </c>
    </row>
    <row r="12" spans="1:12" ht="18.75" x14ac:dyDescent="0.35">
      <c r="B12" s="12" t="s">
        <v>19</v>
      </c>
      <c r="C12" s="2">
        <v>1</v>
      </c>
      <c r="D12" s="10"/>
      <c r="E12" s="11">
        <f>gamma_wat_*1000</f>
        <v>1000</v>
      </c>
      <c r="F12" s="12" t="s">
        <v>18</v>
      </c>
    </row>
    <row r="13" spans="1:12" ht="18.75" x14ac:dyDescent="0.35">
      <c r="B13" s="12" t="s">
        <v>20</v>
      </c>
      <c r="C13" s="2">
        <v>0.8</v>
      </c>
      <c r="D13" s="10"/>
      <c r="E13" s="11">
        <f>gamma_gas_*1.22</f>
        <v>0.97599999999999998</v>
      </c>
      <c r="F13" s="12" t="s">
        <v>18</v>
      </c>
    </row>
    <row r="14" spans="1:12" ht="18.75" x14ac:dyDescent="0.35">
      <c r="B14" s="13" t="s">
        <v>21</v>
      </c>
      <c r="C14" s="2">
        <v>80</v>
      </c>
      <c r="D14" s="12" t="s">
        <v>22</v>
      </c>
      <c r="E14" s="14">
        <f>Rsb_/gamma_oil_</f>
        <v>88.888888888888886</v>
      </c>
      <c r="F14" s="12" t="s">
        <v>23</v>
      </c>
    </row>
    <row r="15" spans="1:12" ht="18.75" x14ac:dyDescent="0.35">
      <c r="B15" s="13" t="s">
        <v>24</v>
      </c>
      <c r="C15" s="2">
        <v>80</v>
      </c>
      <c r="D15" s="12" t="s">
        <v>22</v>
      </c>
      <c r="E15" s="14">
        <f>Rsb_/gamma_oil_</f>
        <v>88.888888888888886</v>
      </c>
      <c r="F15" s="12" t="s">
        <v>23</v>
      </c>
    </row>
    <row r="16" spans="1:12" ht="18" x14ac:dyDescent="0.35">
      <c r="B16" s="12" t="s">
        <v>25</v>
      </c>
      <c r="C16" s="2">
        <v>120</v>
      </c>
      <c r="D16" s="10" t="s">
        <v>26</v>
      </c>
      <c r="E16" s="14">
        <f>Pb_*1.01325</f>
        <v>121.59</v>
      </c>
      <c r="F16" s="10" t="s">
        <v>27</v>
      </c>
    </row>
    <row r="17" spans="1:26" ht="18" x14ac:dyDescent="0.35">
      <c r="B17" s="12" t="s">
        <v>28</v>
      </c>
      <c r="C17" s="2">
        <v>100</v>
      </c>
      <c r="D17" s="10" t="s">
        <v>2</v>
      </c>
      <c r="E17" s="14">
        <f>Tres_*9/5+32</f>
        <v>212</v>
      </c>
      <c r="F17" s="10" t="s">
        <v>29</v>
      </c>
    </row>
    <row r="18" spans="1:26" ht="18.75" x14ac:dyDescent="0.35">
      <c r="B18" s="13" t="s">
        <v>30</v>
      </c>
      <c r="C18" s="2">
        <v>1.2</v>
      </c>
      <c r="D18" s="12" t="s">
        <v>22</v>
      </c>
    </row>
    <row r="19" spans="1:26" ht="18" x14ac:dyDescent="0.35">
      <c r="B19" s="22" t="s">
        <v>50</v>
      </c>
      <c r="C19" s="2">
        <v>1</v>
      </c>
      <c r="D19" s="12" t="s">
        <v>49</v>
      </c>
    </row>
    <row r="20" spans="1:26" x14ac:dyDescent="0.2">
      <c r="B20" s="3"/>
      <c r="C20" s="4"/>
    </row>
    <row r="21" spans="1:26" ht="15.75" x14ac:dyDescent="0.3">
      <c r="B21" s="15" t="s">
        <v>34</v>
      </c>
      <c r="C21" s="2">
        <v>3</v>
      </c>
      <c r="D21" s="23" t="s">
        <v>3</v>
      </c>
    </row>
    <row r="22" spans="1:26" ht="15.75" x14ac:dyDescent="0.3">
      <c r="B22" s="15" t="s">
        <v>37</v>
      </c>
      <c r="C22" s="2">
        <v>10</v>
      </c>
      <c r="D22" s="23" t="s">
        <v>36</v>
      </c>
    </row>
    <row r="23" spans="1:26" x14ac:dyDescent="0.2">
      <c r="A23" s="1" t="s">
        <v>48</v>
      </c>
    </row>
    <row r="24" spans="1:26" ht="15.75" x14ac:dyDescent="0.3">
      <c r="B24" s="16" t="s">
        <v>41</v>
      </c>
      <c r="C24" s="2">
        <v>80</v>
      </c>
      <c r="D24" s="16" t="s">
        <v>3</v>
      </c>
    </row>
    <row r="25" spans="1:26" ht="15.75" x14ac:dyDescent="0.3">
      <c r="B25" s="16" t="s">
        <v>42</v>
      </c>
      <c r="C25" s="2">
        <v>2000</v>
      </c>
      <c r="D25" s="16" t="s">
        <v>4</v>
      </c>
    </row>
    <row r="26" spans="1:26" x14ac:dyDescent="0.2">
      <c r="B26" s="16" t="s">
        <v>38</v>
      </c>
      <c r="C26" s="2">
        <v>50</v>
      </c>
      <c r="D26" s="16" t="s">
        <v>5</v>
      </c>
    </row>
    <row r="27" spans="1:26" x14ac:dyDescent="0.2">
      <c r="B27" s="16" t="s">
        <v>39</v>
      </c>
      <c r="C27" s="11" cm="1">
        <f t="array" ref="C27">[1]!ESP_id_by_rate(Q_ESP_)</f>
        <v>1006</v>
      </c>
      <c r="D27" s="16"/>
    </row>
    <row r="28" spans="1:26" x14ac:dyDescent="0.2">
      <c r="B28" s="16" t="s">
        <v>40</v>
      </c>
      <c r="C28" s="11" t="str" cm="1">
        <f t="array" ref="C28">[1]!ESP_name(PumpID_)</f>
        <v>ЭЦН5-80</v>
      </c>
      <c r="D28" s="16"/>
    </row>
    <row r="29" spans="1:26" ht="15.75" x14ac:dyDescent="0.3">
      <c r="B29" s="16" t="s">
        <v>43</v>
      </c>
      <c r="C29" s="11" cm="1">
        <f t="array" ref="C29">[1]!ESP_rate_max_sm3day(Freq_,PumpID_)</f>
        <v>175</v>
      </c>
      <c r="D29" s="16"/>
      <c r="J29" s="17" t="s">
        <v>13</v>
      </c>
    </row>
    <row r="30" spans="1:26" x14ac:dyDescent="0.2">
      <c r="B30" s="16" t="s">
        <v>9</v>
      </c>
      <c r="C30" s="77" cm="1">
        <f t="array" ref="C30">INT(Head_ESP_/[1]!ESP_head_m(Q_ESP_,1,,PumpID_))</f>
        <v>333</v>
      </c>
      <c r="D30" s="16" t="s">
        <v>6</v>
      </c>
      <c r="J30" s="8" t="str">
        <f>[1]!PVT_encode_string(gamma_gas_,gamma_oil_,,Rsb_,Rp_,Pb_,Tres_,Bob_,muob_,,KsepGasSep_,PKsep,TKsep_)</f>
        <v>gamma_gas:0.800;gamma_oil:0.900;gamma_wat:1.000;rsb_m3m3:80.000;rp_m3m3:80.000;pb_atma:120.000;tres_C:100.000;bob_m3m3:1.200;muob_cP:1.000;PVTcorr:0;ksep_fr:0.800;p_ksep_atma:80.000;t_ksep_C:80.000;gas_only:False;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ht="15.75" x14ac:dyDescent="0.3">
      <c r="B31" s="16" t="s">
        <v>44</v>
      </c>
      <c r="C31" s="5">
        <v>0.8</v>
      </c>
      <c r="D31" s="16"/>
    </row>
    <row r="32" spans="1:26" ht="15.75" x14ac:dyDescent="0.3">
      <c r="B32" s="16" t="s">
        <v>45</v>
      </c>
      <c r="C32" s="7">
        <v>80</v>
      </c>
      <c r="D32" s="16" t="s">
        <v>1</v>
      </c>
      <c r="J32" s="17" t="s">
        <v>14</v>
      </c>
    </row>
    <row r="33" spans="1:37" ht="15.75" x14ac:dyDescent="0.3">
      <c r="B33" s="16" t="s">
        <v>46</v>
      </c>
      <c r="C33" s="7">
        <v>80</v>
      </c>
      <c r="D33" s="16" t="s">
        <v>2</v>
      </c>
      <c r="J33" s="8" t="str">
        <f>[1]!ESP_encode_string(PumpID_,Head_ESP_,Freq_,,,,,,,,,500,gas_degr_type_,,,,dN)</f>
        <v>ESP_ID:1006.00000;HeadNom_m:2000.00000;ESPfreq_Hz:50.00000;ESP_U_V:1000.00000;MotorPowerNom_kW:30.00000;t_intake_C:85.00000;t_dis_C:85.00000;KsepGS_fr:0.00000;Ksep_manual_fr:0.00000;ESP_energy_fact_Whday:0.00000;ESP_cable_type:0;ESP_h_mes_m:500.00000;ESP_gas_correct:1.00000;c_calibr_head:1.00000;c_calibr_rate:1.00000;c_calibr_power:1.00000;PKV_work_min:-1.00000;PKV_stop_min:-1.00000;d_st_int:10;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</row>
    <row r="34" spans="1:37" x14ac:dyDescent="0.2">
      <c r="B34" s="21" t="s">
        <v>47</v>
      </c>
      <c r="C34" s="2">
        <v>1</v>
      </c>
      <c r="D34" s="21" t="s">
        <v>31</v>
      </c>
    </row>
    <row r="35" spans="1:37" x14ac:dyDescent="0.2">
      <c r="A35" t="s">
        <v>56</v>
      </c>
    </row>
    <row r="36" spans="1:37" x14ac:dyDescent="0.2">
      <c r="B36" s="16" t="s">
        <v>7</v>
      </c>
      <c r="C36" s="2">
        <v>20</v>
      </c>
      <c r="D36" s="16"/>
    </row>
    <row r="37" spans="1:37" x14ac:dyDescent="0.2">
      <c r="A37" s="1"/>
    </row>
    <row r="38" spans="1:37" x14ac:dyDescent="0.2">
      <c r="A38" s="1" t="s">
        <v>48</v>
      </c>
      <c r="B38" s="3"/>
      <c r="C38" s="4"/>
    </row>
    <row r="39" spans="1:37" ht="12.75" customHeight="1" x14ac:dyDescent="0.3">
      <c r="B39" s="15" t="s">
        <v>32</v>
      </c>
      <c r="C39" s="2">
        <v>48</v>
      </c>
      <c r="D39" s="16" t="s">
        <v>1</v>
      </c>
      <c r="F39" s="61" t="s">
        <v>73</v>
      </c>
      <c r="G39" s="2">
        <v>1</v>
      </c>
    </row>
    <row r="40" spans="1:37" ht="15.75" x14ac:dyDescent="0.3">
      <c r="B40" s="15" t="s">
        <v>33</v>
      </c>
      <c r="C40" s="2">
        <v>80</v>
      </c>
      <c r="D40" s="16" t="s">
        <v>2</v>
      </c>
    </row>
    <row r="41" spans="1:37" ht="15.75" x14ac:dyDescent="0.3">
      <c r="B41" s="15" t="s">
        <v>35</v>
      </c>
      <c r="C41" s="2">
        <v>150</v>
      </c>
      <c r="D41" s="16" t="s">
        <v>1</v>
      </c>
      <c r="F41" t="s">
        <v>72</v>
      </c>
    </row>
    <row r="42" spans="1:37" ht="15.75" x14ac:dyDescent="0.3">
      <c r="B42" s="15" t="s">
        <v>54</v>
      </c>
      <c r="C42" s="2">
        <v>80</v>
      </c>
      <c r="D42" s="23" t="s">
        <v>2</v>
      </c>
    </row>
    <row r="43" spans="1:37" x14ac:dyDescent="0.2">
      <c r="B43" s="15" t="s">
        <v>55</v>
      </c>
      <c r="C43" s="2">
        <v>1</v>
      </c>
      <c r="D43" s="23"/>
      <c r="F43" s="79" cm="1">
        <f t="array" ref="F43:U69">[1]!ESP_p_atma(Q_,fw_,Pintake_,NumStage_,Freq_,PumpID_,PVT_str_,Tintake_,Tdis_,calc_along_flow,gas_degr_type_,,dN)</f>
        <v>223.52394433849057</v>
      </c>
      <c r="G43" s="41">
        <v>48</v>
      </c>
      <c r="H43" s="41">
        <v>80</v>
      </c>
      <c r="I43" s="41">
        <v>223.52394433849057</v>
      </c>
      <c r="J43" s="41">
        <v>80</v>
      </c>
      <c r="K43" s="41">
        <v>2206.9558911604622</v>
      </c>
      <c r="L43" s="41">
        <v>76.504176920778065</v>
      </c>
      <c r="M43" s="41">
        <v>16.650000000000002</v>
      </c>
      <c r="N43" s="41">
        <v>723.80078582930457</v>
      </c>
      <c r="O43" s="41">
        <v>24034.496018324993</v>
      </c>
      <c r="P43" s="78">
        <v>3.0115080643981298E-2</v>
      </c>
      <c r="Q43" s="41">
        <v>0.36180193534350774</v>
      </c>
      <c r="R43" s="41">
        <v>1</v>
      </c>
      <c r="S43" s="41">
        <v>0</v>
      </c>
      <c r="T43" s="41">
        <v>0</v>
      </c>
      <c r="U43" s="42">
        <v>0</v>
      </c>
    </row>
    <row r="44" spans="1:37" ht="25.5" x14ac:dyDescent="0.2">
      <c r="F44" s="50" t="str">
        <v>p_dis_atma</v>
      </c>
      <c r="G44" s="51" t="str">
        <v>p_int_atma</v>
      </c>
      <c r="H44" s="51" t="str">
        <v>t_int_C</v>
      </c>
      <c r="I44" s="51" t="str">
        <v>p_dis_atma</v>
      </c>
      <c r="J44" s="51" t="str">
        <v>t_dis_C</v>
      </c>
      <c r="K44" s="51" t="str">
        <v>head_m</v>
      </c>
      <c r="L44" s="51" t="str">
        <v>m_Nm</v>
      </c>
      <c r="M44" s="51" t="str">
        <v>length_m</v>
      </c>
      <c r="N44" s="51" t="str">
        <v>power_fluid_W</v>
      </c>
      <c r="O44" s="51" t="str">
        <v>power_ESP_W</v>
      </c>
      <c r="P44" s="51" t="str">
        <v>eff_ESP_d</v>
      </c>
      <c r="Q44" s="51" t="str">
        <v>gas_frac_intake_</v>
      </c>
      <c r="R44" s="51" t="str">
        <v>gas_corr_</v>
      </c>
      <c r="S44" s="51">
        <v>0</v>
      </c>
      <c r="T44" s="51">
        <v>0</v>
      </c>
      <c r="U44" s="52">
        <v>0</v>
      </c>
    </row>
    <row r="45" spans="1:37" x14ac:dyDescent="0.2">
      <c r="F45" s="43" t="str">
        <v>i</v>
      </c>
      <c r="G45" s="44" t="str">
        <v>n_stage</v>
      </c>
      <c r="H45" s="44" t="str">
        <v>length_m</v>
      </c>
      <c r="I45" s="44" t="str">
        <v>p_atma</v>
      </c>
      <c r="J45" s="44" t="str">
        <v>t_C</v>
      </c>
      <c r="K45" s="44" t="str">
        <v>gas_fraction</v>
      </c>
      <c r="L45" s="44" t="str">
        <v>qmix_rm3day</v>
      </c>
      <c r="M45" s="44" t="str">
        <v>Power_fluid_W</v>
      </c>
      <c r="N45" s="44" t="str">
        <v>Power_ESP_W</v>
      </c>
      <c r="O45" s="44" t="str">
        <v>eff fluid</v>
      </c>
      <c r="P45" s="44" t="str">
        <v>mu_stage_cP</v>
      </c>
      <c r="Q45" s="44" t="str">
        <v>corr_visc_h_</v>
      </c>
      <c r="R45" s="44" t="str">
        <v>corr_visc_q_</v>
      </c>
      <c r="S45" s="44" t="str">
        <v>corr_visc_pow_</v>
      </c>
      <c r="T45" s="44" t="str">
        <v>corr_visc_eff_</v>
      </c>
      <c r="U45" s="45" t="str">
        <v>gas_corr_</v>
      </c>
    </row>
    <row r="46" spans="1:37" x14ac:dyDescent="0.2">
      <c r="F46" s="43">
        <v>1</v>
      </c>
      <c r="G46" s="48">
        <v>0</v>
      </c>
      <c r="H46" s="47">
        <v>16.650000000000002</v>
      </c>
      <c r="I46" s="48">
        <v>48</v>
      </c>
      <c r="J46" s="48">
        <v>80</v>
      </c>
      <c r="K46" s="46">
        <v>0.3618019353435078</v>
      </c>
      <c r="L46" s="48">
        <v>5.0829734733301262</v>
      </c>
      <c r="M46" s="48">
        <v>0</v>
      </c>
      <c r="N46" s="48">
        <v>0</v>
      </c>
      <c r="O46" s="46">
        <v>0</v>
      </c>
      <c r="P46" s="46">
        <v>0.92000442413622374</v>
      </c>
      <c r="Q46" s="46">
        <v>1</v>
      </c>
      <c r="R46" s="46">
        <v>1</v>
      </c>
      <c r="S46" s="46">
        <v>1</v>
      </c>
      <c r="T46" s="46">
        <v>0</v>
      </c>
      <c r="U46" s="49">
        <v>1</v>
      </c>
    </row>
    <row r="47" spans="1:37" x14ac:dyDescent="0.2">
      <c r="F47" s="43">
        <v>2</v>
      </c>
      <c r="G47" s="48">
        <v>17.526315789473685</v>
      </c>
      <c r="H47" s="47">
        <v>15.773684210526318</v>
      </c>
      <c r="I47" s="48">
        <v>54.657083078483659</v>
      </c>
      <c r="J47" s="48">
        <v>80</v>
      </c>
      <c r="K47" s="46">
        <v>0.32101385968505747</v>
      </c>
      <c r="L47" s="48">
        <v>4.805169338026908</v>
      </c>
      <c r="M47" s="48">
        <v>38.1295249746303</v>
      </c>
      <c r="N47" s="48">
        <v>913.59575705899056</v>
      </c>
      <c r="O47" s="46">
        <v>4.1965558256147659E-2</v>
      </c>
      <c r="P47" s="46">
        <v>0.93269814068613699</v>
      </c>
      <c r="Q47" s="46">
        <v>1</v>
      </c>
      <c r="R47" s="46">
        <v>1</v>
      </c>
      <c r="S47" s="46">
        <v>1</v>
      </c>
      <c r="T47" s="46">
        <v>1</v>
      </c>
      <c r="U47" s="49">
        <v>1</v>
      </c>
    </row>
    <row r="48" spans="1:37" x14ac:dyDescent="0.2">
      <c r="F48" s="43">
        <v>3</v>
      </c>
      <c r="G48" s="48">
        <v>35.05263157894737</v>
      </c>
      <c r="H48" s="47">
        <v>14.897368421052633</v>
      </c>
      <c r="I48" s="48">
        <v>62.04734153370481</v>
      </c>
      <c r="J48" s="48">
        <v>80</v>
      </c>
      <c r="K48" s="46">
        <v>0.23672003133839464</v>
      </c>
      <c r="L48" s="48">
        <v>4.3073957272007739</v>
      </c>
      <c r="M48" s="48">
        <v>76.245088641063191</v>
      </c>
      <c r="N48" s="48">
        <v>1927.0024192363819</v>
      </c>
      <c r="O48" s="46">
        <v>3.9625974977389802E-2</v>
      </c>
      <c r="P48" s="46">
        <v>0.9526898589520113</v>
      </c>
      <c r="Q48" s="46">
        <v>1</v>
      </c>
      <c r="R48" s="46">
        <v>1</v>
      </c>
      <c r="S48" s="46">
        <v>1</v>
      </c>
      <c r="T48" s="46">
        <v>1</v>
      </c>
      <c r="U48" s="49">
        <v>1</v>
      </c>
    </row>
    <row r="49" spans="2:21" x14ac:dyDescent="0.2">
      <c r="F49" s="43">
        <v>4</v>
      </c>
      <c r="G49" s="48">
        <v>52.578947368421055</v>
      </c>
      <c r="H49" s="47">
        <v>14.02105263157895</v>
      </c>
      <c r="I49" s="48">
        <v>70.115878604045449</v>
      </c>
      <c r="J49" s="48">
        <v>80</v>
      </c>
      <c r="K49" s="46">
        <v>0.16040904783976545</v>
      </c>
      <c r="L49" s="48">
        <v>3.9498403877355215</v>
      </c>
      <c r="M49" s="48">
        <v>114.35137541802048</v>
      </c>
      <c r="N49" s="48">
        <v>3032.7488721211912</v>
      </c>
      <c r="O49" s="46">
        <v>3.7714519007493695E-2</v>
      </c>
      <c r="P49" s="46">
        <v>0.96196610698074103</v>
      </c>
      <c r="Q49" s="46">
        <v>1</v>
      </c>
      <c r="R49" s="46">
        <v>1</v>
      </c>
      <c r="S49" s="46">
        <v>1</v>
      </c>
      <c r="T49" s="46">
        <v>1</v>
      </c>
      <c r="U49" s="49">
        <v>1</v>
      </c>
    </row>
    <row r="50" spans="2:21" x14ac:dyDescent="0.2">
      <c r="F50" s="43">
        <v>5</v>
      </c>
      <c r="G50" s="48">
        <v>70.10526315789474</v>
      </c>
      <c r="H50" s="47">
        <v>13.144736842105264</v>
      </c>
      <c r="I50" s="48">
        <v>78.873182093393226</v>
      </c>
      <c r="J50" s="48">
        <v>80</v>
      </c>
      <c r="K50" s="46">
        <v>8.4694163878029027E-2</v>
      </c>
      <c r="L50" s="48">
        <v>3.6609599866672</v>
      </c>
      <c r="M50" s="48">
        <v>152.45178432885072</v>
      </c>
      <c r="N50" s="48">
        <v>4232.2648015534633</v>
      </c>
      <c r="O50" s="46">
        <v>3.6052227781376747E-2</v>
      </c>
      <c r="P50" s="46">
        <v>0.96323420753964439</v>
      </c>
      <c r="Q50" s="46">
        <v>1</v>
      </c>
      <c r="R50" s="46">
        <v>1</v>
      </c>
      <c r="S50" s="46">
        <v>1</v>
      </c>
      <c r="T50" s="46">
        <v>1</v>
      </c>
      <c r="U50" s="49">
        <v>1</v>
      </c>
    </row>
    <row r="51" spans="2:21" x14ac:dyDescent="0.2">
      <c r="F51" s="43">
        <v>6</v>
      </c>
      <c r="G51" s="48">
        <v>87.631578947368425</v>
      </c>
      <c r="H51" s="47">
        <v>12.268421052631581</v>
      </c>
      <c r="I51" s="48">
        <v>88.211487753653486</v>
      </c>
      <c r="J51" s="48">
        <v>80</v>
      </c>
      <c r="K51" s="46">
        <v>1.6255193793900783E-2</v>
      </c>
      <c r="L51" s="48">
        <v>3.440006830705157</v>
      </c>
      <c r="M51" s="48">
        <v>190.54993349526026</v>
      </c>
      <c r="N51" s="48">
        <v>5510.8802897843889</v>
      </c>
      <c r="O51" s="46">
        <v>3.4602232573226151E-2</v>
      </c>
      <c r="P51" s="46">
        <v>0.95984679211465906</v>
      </c>
      <c r="Q51" s="46">
        <v>1</v>
      </c>
      <c r="R51" s="46">
        <v>1</v>
      </c>
      <c r="S51" s="46">
        <v>1</v>
      </c>
      <c r="T51" s="46">
        <v>1</v>
      </c>
      <c r="U51" s="49">
        <v>1</v>
      </c>
    </row>
    <row r="52" spans="2:21" x14ac:dyDescent="0.2">
      <c r="F52" s="43">
        <v>7</v>
      </c>
      <c r="G52" s="48">
        <v>105.15789473684211</v>
      </c>
      <c r="H52" s="47">
        <v>11.392105263157896</v>
      </c>
      <c r="I52" s="48">
        <v>97.800737604666452</v>
      </c>
      <c r="J52" s="48">
        <v>80</v>
      </c>
      <c r="K52" s="46">
        <v>0</v>
      </c>
      <c r="L52" s="48">
        <v>3.3858465289897173</v>
      </c>
      <c r="M52" s="48">
        <v>228.64639431748944</v>
      </c>
      <c r="N52" s="48">
        <v>6823.6601599473788</v>
      </c>
      <c r="O52" s="46">
        <v>3.3516617867456487E-2</v>
      </c>
      <c r="P52" s="46">
        <v>0.9728131840758617</v>
      </c>
      <c r="Q52" s="46">
        <v>1</v>
      </c>
      <c r="R52" s="46">
        <v>1</v>
      </c>
      <c r="S52" s="46">
        <v>1</v>
      </c>
      <c r="T52" s="46">
        <v>1</v>
      </c>
      <c r="U52" s="49">
        <v>1</v>
      </c>
    </row>
    <row r="53" spans="2:21" x14ac:dyDescent="0.2">
      <c r="F53" s="43">
        <v>8</v>
      </c>
      <c r="G53" s="48">
        <v>122.68421052631579</v>
      </c>
      <c r="H53" s="47">
        <v>10.515789473684212</v>
      </c>
      <c r="I53" s="48">
        <v>107.40932410295122</v>
      </c>
      <c r="J53" s="48">
        <v>80</v>
      </c>
      <c r="K53" s="46">
        <v>0</v>
      </c>
      <c r="L53" s="48">
        <v>3.3791219767528049</v>
      </c>
      <c r="M53" s="48">
        <v>266.7407891004928</v>
      </c>
      <c r="N53" s="48">
        <v>8139.0722235334133</v>
      </c>
      <c r="O53" s="46">
        <v>3.2773964690466652E-2</v>
      </c>
      <c r="P53" s="46">
        <v>0.99323843605447737</v>
      </c>
      <c r="Q53" s="46">
        <v>1</v>
      </c>
      <c r="R53" s="46">
        <v>1</v>
      </c>
      <c r="S53" s="46">
        <v>1</v>
      </c>
      <c r="T53" s="46">
        <v>1</v>
      </c>
      <c r="U53" s="49">
        <v>1</v>
      </c>
    </row>
    <row r="54" spans="2:21" x14ac:dyDescent="0.2">
      <c r="F54" s="43">
        <v>9</v>
      </c>
      <c r="G54" s="48">
        <v>140.21052631578948</v>
      </c>
      <c r="H54" s="47">
        <v>9.6394736842105271</v>
      </c>
      <c r="I54" s="48">
        <v>117.0348134749847</v>
      </c>
      <c r="J54" s="48">
        <v>80</v>
      </c>
      <c r="K54" s="46">
        <v>0</v>
      </c>
      <c r="L54" s="48">
        <v>3.3735664873623263</v>
      </c>
      <c r="M54" s="48">
        <v>304.83345441009635</v>
      </c>
      <c r="N54" s="48">
        <v>9456.7851991371881</v>
      </c>
      <c r="O54" s="46">
        <v>3.223877744144682E-2</v>
      </c>
      <c r="P54" s="46">
        <v>1.0158171254618185</v>
      </c>
      <c r="Q54" s="46">
        <v>1</v>
      </c>
      <c r="R54" s="46">
        <v>1</v>
      </c>
      <c r="S54" s="46">
        <v>1</v>
      </c>
      <c r="T54" s="46">
        <v>1</v>
      </c>
      <c r="U54" s="49">
        <v>1</v>
      </c>
    </row>
    <row r="55" spans="2:21" x14ac:dyDescent="0.2">
      <c r="F55" s="43">
        <v>10</v>
      </c>
      <c r="G55" s="48">
        <v>157.73684210526318</v>
      </c>
      <c r="H55" s="47">
        <v>8.7631578947368425</v>
      </c>
      <c r="I55" s="48">
        <v>126.6735999446738</v>
      </c>
      <c r="J55" s="48">
        <v>80</v>
      </c>
      <c r="K55" s="46">
        <v>0</v>
      </c>
      <c r="L55" s="48">
        <v>3.3688409996761854</v>
      </c>
      <c r="M55" s="48">
        <v>342.92481852478477</v>
      </c>
      <c r="N55" s="48">
        <v>10776.308260313379</v>
      </c>
      <c r="O55" s="46">
        <v>3.1825719953767595E-2</v>
      </c>
      <c r="P55" s="46">
        <v>1.0402754105490437</v>
      </c>
      <c r="Q55" s="46">
        <v>1</v>
      </c>
      <c r="R55" s="46">
        <v>1</v>
      </c>
      <c r="S55" s="46">
        <v>1</v>
      </c>
      <c r="T55" s="46">
        <v>1</v>
      </c>
      <c r="U55" s="49">
        <v>1</v>
      </c>
    </row>
    <row r="56" spans="2:21" x14ac:dyDescent="0.2">
      <c r="F56" s="43">
        <v>11</v>
      </c>
      <c r="G56" s="48">
        <v>175.26315789473685</v>
      </c>
      <c r="H56" s="47">
        <v>7.8868421052631579</v>
      </c>
      <c r="I56" s="48">
        <v>136.32389679243113</v>
      </c>
      <c r="J56" s="48">
        <v>80</v>
      </c>
      <c r="K56" s="46">
        <v>0</v>
      </c>
      <c r="L56" s="48">
        <v>3.3647740487979902</v>
      </c>
      <c r="M56" s="48">
        <v>381.01510477270455</v>
      </c>
      <c r="N56" s="48">
        <v>12097.398196854578</v>
      </c>
      <c r="O56" s="46">
        <v>3.1497392465037903E-2</v>
      </c>
      <c r="P56" s="46">
        <v>1.0665105172363902</v>
      </c>
      <c r="Q56" s="46">
        <v>1</v>
      </c>
      <c r="R56" s="46">
        <v>1</v>
      </c>
      <c r="S56" s="46">
        <v>1</v>
      </c>
      <c r="T56" s="46">
        <v>1</v>
      </c>
      <c r="U56" s="49">
        <v>1</v>
      </c>
    </row>
    <row r="57" spans="2:21" x14ac:dyDescent="0.2">
      <c r="F57" s="43">
        <v>12</v>
      </c>
      <c r="G57" s="48">
        <v>192.78947368421052</v>
      </c>
      <c r="H57" s="47">
        <v>7.010526315789475</v>
      </c>
      <c r="I57" s="48">
        <v>145.98431377876651</v>
      </c>
      <c r="J57" s="48">
        <v>80</v>
      </c>
      <c r="K57" s="46">
        <v>0</v>
      </c>
      <c r="L57" s="48">
        <v>3.3612397830919551</v>
      </c>
      <c r="M57" s="48">
        <v>419.10448840693329</v>
      </c>
      <c r="N57" s="48">
        <v>13419.865768110747</v>
      </c>
      <c r="O57" s="46">
        <v>3.1230322864060293E-2</v>
      </c>
      <c r="P57" s="46">
        <v>1.0944427998532404</v>
      </c>
      <c r="Q57" s="46">
        <v>1</v>
      </c>
      <c r="R57" s="46">
        <v>1</v>
      </c>
      <c r="S57" s="46">
        <v>1</v>
      </c>
      <c r="T57" s="46">
        <v>1</v>
      </c>
      <c r="U57" s="49">
        <v>1</v>
      </c>
    </row>
    <row r="58" spans="2:21" x14ac:dyDescent="0.2">
      <c r="B58">
        <v>10</v>
      </c>
      <c r="F58" s="43">
        <v>13</v>
      </c>
      <c r="G58" s="48">
        <v>210.31578947368422</v>
      </c>
      <c r="H58" s="47">
        <v>6.1342105263157904</v>
      </c>
      <c r="I58" s="48">
        <v>155.65415581450341</v>
      </c>
      <c r="J58" s="48">
        <v>80</v>
      </c>
      <c r="K58" s="46">
        <v>0</v>
      </c>
      <c r="L58" s="48">
        <v>3.3581612460908929</v>
      </c>
      <c r="M58" s="48">
        <v>457.19307945897333</v>
      </c>
      <c r="N58" s="48">
        <v>14743.616362232047</v>
      </c>
      <c r="O58" s="46">
        <v>3.1010747899832995E-2</v>
      </c>
      <c r="P58" s="46">
        <v>1.1240921503436359</v>
      </c>
      <c r="Q58" s="46">
        <v>1</v>
      </c>
      <c r="R58" s="46">
        <v>1</v>
      </c>
      <c r="S58" s="46">
        <v>1</v>
      </c>
      <c r="T58" s="46">
        <v>1</v>
      </c>
      <c r="U58" s="49">
        <v>1</v>
      </c>
    </row>
    <row r="59" spans="2:21" x14ac:dyDescent="0.2">
      <c r="F59" s="43">
        <v>14</v>
      </c>
      <c r="G59" s="48">
        <v>227.84210526315792</v>
      </c>
      <c r="H59" s="47">
        <v>5.2578947368421041</v>
      </c>
      <c r="I59" s="48">
        <v>165.33173042051445</v>
      </c>
      <c r="J59" s="48">
        <v>80</v>
      </c>
      <c r="K59" s="46">
        <v>0</v>
      </c>
      <c r="L59" s="48">
        <v>3.3554281070532386</v>
      </c>
      <c r="M59" s="48">
        <v>495.28106168943305</v>
      </c>
      <c r="N59" s="48">
        <v>16068.419591656233</v>
      </c>
      <c r="O59" s="46">
        <v>3.0824411034573847E-2</v>
      </c>
      <c r="P59" s="46">
        <v>1.155259821416746</v>
      </c>
      <c r="Q59" s="46">
        <v>1</v>
      </c>
      <c r="R59" s="46">
        <v>1</v>
      </c>
      <c r="S59" s="46">
        <v>1</v>
      </c>
      <c r="T59" s="46">
        <v>1</v>
      </c>
      <c r="U59" s="49">
        <v>1</v>
      </c>
    </row>
    <row r="60" spans="2:21" x14ac:dyDescent="0.2">
      <c r="F60" s="43">
        <v>15</v>
      </c>
      <c r="G60" s="48">
        <v>245.36842105263159</v>
      </c>
      <c r="H60" s="47">
        <v>4.3815789473684212</v>
      </c>
      <c r="I60" s="48">
        <v>175.01625106491107</v>
      </c>
      <c r="J60" s="48">
        <v>80</v>
      </c>
      <c r="K60" s="46">
        <v>0</v>
      </c>
      <c r="L60" s="48">
        <v>3.3529845227572883</v>
      </c>
      <c r="M60" s="48">
        <v>533.36853327761617</v>
      </c>
      <c r="N60" s="48">
        <v>17394.168392717151</v>
      </c>
      <c r="O60" s="46">
        <v>3.0664292541202683E-2</v>
      </c>
      <c r="P60" s="46">
        <v>1.1878795190799871</v>
      </c>
      <c r="Q60" s="46">
        <v>1</v>
      </c>
      <c r="R60" s="46">
        <v>1</v>
      </c>
      <c r="S60" s="46">
        <v>1</v>
      </c>
      <c r="T60" s="46">
        <v>1</v>
      </c>
      <c r="U60" s="49">
        <v>1</v>
      </c>
    </row>
    <row r="61" spans="2:21" x14ac:dyDescent="0.2">
      <c r="F61" s="43">
        <v>16</v>
      </c>
      <c r="G61" s="48">
        <v>262.89473684210526</v>
      </c>
      <c r="H61" s="47">
        <v>3.5052631578947366</v>
      </c>
      <c r="I61" s="48">
        <v>184.70706822850727</v>
      </c>
      <c r="J61" s="48">
        <v>80</v>
      </c>
      <c r="K61" s="46">
        <v>0</v>
      </c>
      <c r="L61" s="48">
        <v>3.3507863154929711</v>
      </c>
      <c r="M61" s="48">
        <v>571.45557719763724</v>
      </c>
      <c r="N61" s="48">
        <v>18720.774352436685</v>
      </c>
      <c r="O61" s="46">
        <v>3.0525242735976107E-2</v>
      </c>
      <c r="P61" s="46">
        <v>1.2218936787213115</v>
      </c>
      <c r="Q61" s="46">
        <v>1</v>
      </c>
      <c r="R61" s="46">
        <v>1</v>
      </c>
      <c r="S61" s="46">
        <v>1</v>
      </c>
      <c r="T61" s="46">
        <v>1</v>
      </c>
      <c r="U61" s="49">
        <v>1</v>
      </c>
    </row>
    <row r="62" spans="2:21" x14ac:dyDescent="0.2">
      <c r="F62" s="43">
        <v>17</v>
      </c>
      <c r="G62" s="48">
        <v>280.42105263157896</v>
      </c>
      <c r="H62" s="47">
        <v>2.628947368421052</v>
      </c>
      <c r="I62" s="48">
        <v>194.4039850114367</v>
      </c>
      <c r="J62" s="48">
        <v>80</v>
      </c>
      <c r="K62" s="46">
        <v>0</v>
      </c>
      <c r="L62" s="48">
        <v>3.3488095941739342</v>
      </c>
      <c r="M62" s="48">
        <v>609.54224651572974</v>
      </c>
      <c r="N62" s="48">
        <v>20048.210674024594</v>
      </c>
      <c r="O62" s="46">
        <v>3.0404301034283442E-2</v>
      </c>
      <c r="P62" s="46">
        <v>1.2573370042211085</v>
      </c>
      <c r="Q62" s="46">
        <v>1</v>
      </c>
      <c r="R62" s="46">
        <v>1</v>
      </c>
      <c r="S62" s="46">
        <v>1</v>
      </c>
      <c r="T62" s="46">
        <v>1</v>
      </c>
      <c r="U62" s="49">
        <v>1</v>
      </c>
    </row>
    <row r="63" spans="2:21" x14ac:dyDescent="0.2">
      <c r="F63" s="43">
        <v>18</v>
      </c>
      <c r="G63" s="48">
        <v>297.94736842105266</v>
      </c>
      <c r="H63" s="47">
        <v>1.7526315789473674</v>
      </c>
      <c r="I63" s="48">
        <v>204.10603441105317</v>
      </c>
      <c r="J63" s="48">
        <v>80</v>
      </c>
      <c r="K63" s="46">
        <v>0</v>
      </c>
      <c r="L63" s="48">
        <v>3.3470070092903055</v>
      </c>
      <c r="M63" s="48">
        <v>647.62863606852136</v>
      </c>
      <c r="N63" s="48">
        <v>21376.345722919879</v>
      </c>
      <c r="O63" s="46">
        <v>3.0297019728922212E-2</v>
      </c>
      <c r="P63" s="46">
        <v>1.2940434324398815</v>
      </c>
      <c r="Q63" s="46">
        <v>1</v>
      </c>
      <c r="R63" s="46">
        <v>1</v>
      </c>
      <c r="S63" s="46">
        <v>1</v>
      </c>
      <c r="T63" s="46">
        <v>1</v>
      </c>
      <c r="U63" s="49">
        <v>1</v>
      </c>
    </row>
    <row r="64" spans="2:21" x14ac:dyDescent="0.2">
      <c r="F64" s="43">
        <v>19</v>
      </c>
      <c r="G64" s="48">
        <v>315.47368421052636</v>
      </c>
      <c r="H64" s="47">
        <v>0.87631578947368283</v>
      </c>
      <c r="I64" s="48">
        <v>213.8128069937369</v>
      </c>
      <c r="J64" s="48">
        <v>80</v>
      </c>
      <c r="K64" s="46">
        <v>0</v>
      </c>
      <c r="L64" s="48">
        <v>3.34535531586311</v>
      </c>
      <c r="M64" s="48">
        <v>685.71479978988293</v>
      </c>
      <c r="N64" s="48">
        <v>22705.123767043147</v>
      </c>
      <c r="O64" s="46">
        <v>3.0201199686518864E-2</v>
      </c>
      <c r="P64" s="46">
        <v>1.3319577962735256</v>
      </c>
      <c r="Q64" s="46">
        <v>1</v>
      </c>
      <c r="R64" s="46">
        <v>1</v>
      </c>
      <c r="S64" s="46">
        <v>1</v>
      </c>
      <c r="T64" s="46">
        <v>1</v>
      </c>
      <c r="U64" s="49">
        <v>1</v>
      </c>
    </row>
    <row r="65" spans="3:21" x14ac:dyDescent="0.2">
      <c r="F65" s="43">
        <v>20</v>
      </c>
      <c r="G65" s="48">
        <v>333</v>
      </c>
      <c r="H65" s="47">
        <v>0</v>
      </c>
      <c r="I65" s="48">
        <v>223.52394433849057</v>
      </c>
      <c r="J65" s="48">
        <v>80</v>
      </c>
      <c r="K65" s="46">
        <v>0</v>
      </c>
      <c r="L65" s="48">
        <v>3.3438350278678719</v>
      </c>
      <c r="M65" s="48">
        <v>723.80078582930457</v>
      </c>
      <c r="N65" s="48">
        <v>24034.496018324993</v>
      </c>
      <c r="O65" s="46">
        <v>3.0115080643981298E-2</v>
      </c>
      <c r="P65" s="46">
        <v>1.3710255394136699</v>
      </c>
      <c r="Q65" s="46">
        <v>1</v>
      </c>
      <c r="R65" s="46">
        <v>1</v>
      </c>
      <c r="S65" s="46">
        <v>1</v>
      </c>
      <c r="T65" s="46">
        <v>1</v>
      </c>
      <c r="U65" s="49">
        <v>1</v>
      </c>
    </row>
    <row r="66" spans="3:21" ht="25.5" x14ac:dyDescent="0.2">
      <c r="F66" s="53" t="str">
        <v>calc_from_dis</v>
      </c>
      <c r="G66" s="54" t="str">
        <v>name</v>
      </c>
      <c r="H66" s="55" t="str">
        <v>stage_num</v>
      </c>
      <c r="I66" s="55" t="str">
        <v>freq_Hz</v>
      </c>
      <c r="J66" s="55" t="str">
        <v>w_obmin</v>
      </c>
      <c r="K66" s="55" t="str">
        <v>rate_nom_sm3day</v>
      </c>
      <c r="L66" s="55" t="str">
        <v>rate_max_sm3day</v>
      </c>
      <c r="M66" s="55" t="str">
        <v>c_calibr_head</v>
      </c>
      <c r="N66" s="55" t="str">
        <v>c_calibr_rate</v>
      </c>
      <c r="O66" s="55" t="str">
        <v>c_calibr_power</v>
      </c>
      <c r="P66" s="55" t="str">
        <v>gas_degr</v>
      </c>
      <c r="Q66" s="55" t="str">
        <v>turb_head_factor</v>
      </c>
      <c r="R66" s="55" t="str">
        <v>turb_rate_factor</v>
      </c>
      <c r="S66" s="55" t="str">
        <v/>
      </c>
      <c r="T66" s="55" t="str">
        <v/>
      </c>
      <c r="U66" s="56" t="str">
        <v/>
      </c>
    </row>
    <row r="67" spans="3:21" x14ac:dyDescent="0.2">
      <c r="F67" s="57" t="b">
        <v>0</v>
      </c>
      <c r="G67" s="58" t="str">
        <v>ЭЦН5-80</v>
      </c>
      <c r="H67" s="59">
        <v>333</v>
      </c>
      <c r="I67" s="59">
        <v>50</v>
      </c>
      <c r="J67" s="59">
        <v>3000</v>
      </c>
      <c r="K67" s="59">
        <v>80</v>
      </c>
      <c r="L67" s="59">
        <v>175</v>
      </c>
      <c r="M67" s="59">
        <v>1</v>
      </c>
      <c r="N67" s="59">
        <v>1</v>
      </c>
      <c r="O67" s="59">
        <v>1</v>
      </c>
      <c r="P67" s="59">
        <v>1</v>
      </c>
      <c r="Q67" s="59">
        <v>1</v>
      </c>
      <c r="R67" s="59">
        <v>1</v>
      </c>
      <c r="S67" s="59">
        <v>0</v>
      </c>
      <c r="T67" s="59">
        <v>0</v>
      </c>
      <c r="U67" s="60">
        <v>0</v>
      </c>
    </row>
    <row r="68" spans="3:21" x14ac:dyDescent="0.2">
      <c r="F68" s="53" t="str">
        <v>ID</v>
      </c>
      <c r="G68" s="55" t="str">
        <v>source</v>
      </c>
      <c r="H68" s="55" t="str">
        <v>manufacturer</v>
      </c>
      <c r="I68" s="55" t="str">
        <v>name</v>
      </c>
      <c r="J68" s="55" t="str">
        <v>freq_Hz</v>
      </c>
      <c r="K68" s="55" t="str">
        <v>nom_slip_rpm</v>
      </c>
      <c r="L68" s="55" t="str">
        <v>rate_nom_sm3day</v>
      </c>
      <c r="M68" s="55" t="str">
        <v>rate_opt_min_sm3day</v>
      </c>
      <c r="N68" s="55" t="str">
        <v>rate_opt_max_sm3day</v>
      </c>
      <c r="O68" s="55" t="str">
        <v>stage_height_m</v>
      </c>
      <c r="P68" s="55" t="str">
        <v>stages_max</v>
      </c>
      <c r="Q68" s="55" t="str">
        <v>d_od_m</v>
      </c>
      <c r="R68" s="55" t="str">
        <v>d_cas_min_m</v>
      </c>
      <c r="S68" s="55" t="str">
        <v>d_shaft_m</v>
      </c>
      <c r="T68" s="55" t="str">
        <v>shaft_power_limit_W</v>
      </c>
      <c r="U68" s="56" t="str">
        <v>housing_pressure_limit_atma</v>
      </c>
    </row>
    <row r="69" spans="3:21" x14ac:dyDescent="0.2">
      <c r="F69" s="50" t="str">
        <v>1006</v>
      </c>
      <c r="G69" s="51" t="str">
        <v/>
      </c>
      <c r="H69" s="51" t="str">
        <v>Generic</v>
      </c>
      <c r="I69" s="51" t="str">
        <v>ЭЦН5-80</v>
      </c>
      <c r="J69" s="51">
        <v>50</v>
      </c>
      <c r="K69" s="51">
        <v>2910</v>
      </c>
      <c r="L69" s="51">
        <v>80</v>
      </c>
      <c r="M69" s="51">
        <v>60</v>
      </c>
      <c r="N69" s="51">
        <v>105</v>
      </c>
      <c r="O69" s="51">
        <v>0.05</v>
      </c>
      <c r="P69" s="51">
        <v>489</v>
      </c>
      <c r="Q69" s="51">
        <v>0</v>
      </c>
      <c r="R69" s="51">
        <v>0</v>
      </c>
      <c r="S69" s="51">
        <v>0</v>
      </c>
      <c r="T69" s="51">
        <v>0</v>
      </c>
      <c r="U69" s="52">
        <v>0</v>
      </c>
    </row>
    <row r="73" spans="3:21" x14ac:dyDescent="0.2">
      <c r="C73" s="4"/>
    </row>
    <row r="74" spans="3:21" x14ac:dyDescent="0.2">
      <c r="C74" s="4"/>
      <c r="D74" s="74" t="s">
        <v>10</v>
      </c>
      <c r="E74" s="75"/>
      <c r="F74" s="75"/>
      <c r="G74" s="75"/>
      <c r="H74" s="76"/>
    </row>
    <row r="75" spans="3:21" ht="25.5" x14ac:dyDescent="0.2">
      <c r="C75" s="18" t="s">
        <v>0</v>
      </c>
      <c r="D75" s="19" t="s">
        <v>51</v>
      </c>
      <c r="E75" s="19" t="s">
        <v>12</v>
      </c>
      <c r="F75" s="19" t="s">
        <v>53</v>
      </c>
      <c r="G75" s="19" t="s">
        <v>51</v>
      </c>
      <c r="H75" s="19" t="s">
        <v>52</v>
      </c>
    </row>
    <row r="76" spans="3:21" x14ac:dyDescent="0.2">
      <c r="C76" s="6">
        <v>1</v>
      </c>
      <c r="D76" s="26">
        <f t="array" ref="D76:H76">[1]!ESP_p_atma(C76,fw_,Pintake_,NumStage_,Freq_,PumpID_,PVT_str_,Tintake_,Tdis_,1,,,dN)</f>
        <v>223.02889843833128</v>
      </c>
      <c r="E76" s="26">
        <v>48</v>
      </c>
      <c r="F76" s="26">
        <v>80</v>
      </c>
      <c r="G76" s="25">
        <v>223.02889843833128</v>
      </c>
      <c r="H76" s="26">
        <v>80</v>
      </c>
    </row>
    <row r="77" spans="3:21" x14ac:dyDescent="0.2">
      <c r="C77" s="6">
        <f t="shared" ref="C77:C96" si="0">C76+Qmax_/20</f>
        <v>9.75</v>
      </c>
      <c r="D77" s="26">
        <f t="array" ref="D77:H77">[1]!ESP_p_atma(C77,fw_,Pintake_,NumStage_,Freq_,PumpID_,PVT_str_,Tintake_,Tdis_,1,,,dN)</f>
        <v>224.8063897706229</v>
      </c>
      <c r="E77" s="26">
        <v>48</v>
      </c>
      <c r="F77" s="26">
        <v>80</v>
      </c>
      <c r="G77" s="25">
        <v>224.8063897706229</v>
      </c>
      <c r="H77" s="26">
        <v>80</v>
      </c>
    </row>
    <row r="78" spans="3:21" x14ac:dyDescent="0.2">
      <c r="C78" s="6">
        <f t="shared" si="0"/>
        <v>18.5</v>
      </c>
      <c r="D78" s="26">
        <f t="array" ref="D78:H78">[1]!ESP_p_atma(C78,fw_,Pintake_,NumStage_,Freq_,PumpID_,PVT_str_,Tintake_,Tdis_,1,,,dN)</f>
        <v>225.57771863407703</v>
      </c>
      <c r="E78" s="26">
        <v>48</v>
      </c>
      <c r="F78" s="26">
        <v>80</v>
      </c>
      <c r="G78" s="25">
        <v>225.57771863407703</v>
      </c>
      <c r="H78" s="26">
        <v>80</v>
      </c>
    </row>
    <row r="79" spans="3:21" x14ac:dyDescent="0.2">
      <c r="C79" s="6">
        <f t="shared" si="0"/>
        <v>27.25</v>
      </c>
      <c r="D79" s="26">
        <f t="array" ref="D79:H79">[1]!ESP_p_atma(C79,fw_,Pintake_,NumStage_,Freq_,PumpID_,PVT_str_,Tintake_,Tdis_,1,,,dN)</f>
        <v>225.34732286181335</v>
      </c>
      <c r="E79" s="26">
        <v>48</v>
      </c>
      <c r="F79" s="26">
        <v>80</v>
      </c>
      <c r="G79" s="25">
        <v>225.34732286181335</v>
      </c>
      <c r="H79" s="26">
        <v>80</v>
      </c>
    </row>
    <row r="80" spans="3:21" x14ac:dyDescent="0.2">
      <c r="C80" s="6">
        <f t="shared" si="0"/>
        <v>36</v>
      </c>
      <c r="D80" s="26">
        <f t="array" ref="D80:H80">[1]!ESP_p_atma(C80,fw_,Pintake_,NumStage_,Freq_,PumpID_,PVT_str_,Tintake_,Tdis_,1,,,dN)</f>
        <v>224.13066296952658</v>
      </c>
      <c r="E80" s="26">
        <v>48</v>
      </c>
      <c r="F80" s="26">
        <v>80</v>
      </c>
      <c r="G80" s="25">
        <v>224.13066296952658</v>
      </c>
      <c r="H80" s="26">
        <v>80</v>
      </c>
    </row>
    <row r="81" spans="3:8" x14ac:dyDescent="0.2">
      <c r="C81" s="6">
        <f t="shared" si="0"/>
        <v>44.75</v>
      </c>
      <c r="D81" s="26">
        <f t="array" ref="D81:H81">[1]!ESP_p_atma(C81,fw_,Pintake_,NumStage_,Freq_,PumpID_,PVT_str_,Tintake_,Tdis_,1,,,dN)</f>
        <v>221.70894102005053</v>
      </c>
      <c r="E81" s="26">
        <v>48</v>
      </c>
      <c r="F81" s="26">
        <v>80</v>
      </c>
      <c r="G81" s="25">
        <v>221.70894102005053</v>
      </c>
      <c r="H81" s="26">
        <v>80</v>
      </c>
    </row>
    <row r="82" spans="3:8" x14ac:dyDescent="0.2">
      <c r="C82" s="6">
        <f t="shared" si="0"/>
        <v>53.5</v>
      </c>
      <c r="D82" s="26">
        <f t="array" ref="D82:H82">[1]!ESP_p_atma(C82,fw_,Pintake_,NumStage_,Freq_,PumpID_,PVT_str_,Tintake_,Tdis_,1,,,dN)</f>
        <v>217.37357164694811</v>
      </c>
      <c r="E82" s="26">
        <v>48</v>
      </c>
      <c r="F82" s="26">
        <v>80</v>
      </c>
      <c r="G82" s="25">
        <v>217.37357164694811</v>
      </c>
      <c r="H82" s="26">
        <v>80</v>
      </c>
    </row>
    <row r="83" spans="3:8" x14ac:dyDescent="0.2">
      <c r="C83" s="6">
        <f t="shared" si="0"/>
        <v>62.25</v>
      </c>
      <c r="D83" s="26">
        <f t="array" ref="D83:H83">[1]!ESP_p_atma(C83,fw_,Pintake_,NumStage_,Freq_,PumpID_,PVT_str_,Tintake_,Tdis_,1,,,dN)</f>
        <v>209.87084068495764</v>
      </c>
      <c r="E83" s="26">
        <v>48</v>
      </c>
      <c r="F83" s="26">
        <v>80</v>
      </c>
      <c r="G83" s="25">
        <v>209.87084068495764</v>
      </c>
      <c r="H83" s="26">
        <v>80</v>
      </c>
    </row>
    <row r="84" spans="3:8" x14ac:dyDescent="0.2">
      <c r="C84" s="6">
        <f t="shared" si="0"/>
        <v>71</v>
      </c>
      <c r="D84" s="26">
        <f t="array" ref="D84:H84">[1]!ESP_p_atma(C84,fw_,Pintake_,NumStage_,Freq_,PumpID_,PVT_str_,Tintake_,Tdis_,1,,,dN)</f>
        <v>197.98678096764141</v>
      </c>
      <c r="E84" s="26">
        <v>48</v>
      </c>
      <c r="F84" s="26">
        <v>80</v>
      </c>
      <c r="G84" s="25">
        <v>197.98678096764141</v>
      </c>
      <c r="H84" s="26">
        <v>80</v>
      </c>
    </row>
    <row r="85" spans="3:8" x14ac:dyDescent="0.2">
      <c r="C85" s="6">
        <f t="shared" si="0"/>
        <v>79.75</v>
      </c>
      <c r="D85" s="26">
        <f t="array" ref="D85:H85">[1]!ESP_p_atma(C85,fw_,Pintake_,NumStage_,Freq_,PumpID_,PVT_str_,Tintake_,Tdis_,1,,,dN)</f>
        <v>181.86470141577121</v>
      </c>
      <c r="E85" s="26">
        <v>48</v>
      </c>
      <c r="F85" s="26">
        <v>80</v>
      </c>
      <c r="G85" s="25">
        <v>181.86470141577121</v>
      </c>
      <c r="H85" s="26">
        <v>80</v>
      </c>
    </row>
    <row r="86" spans="3:8" x14ac:dyDescent="0.2">
      <c r="C86" s="6">
        <f t="shared" si="0"/>
        <v>88.5</v>
      </c>
      <c r="D86" s="26">
        <f t="array" ref="D86:H86">[1]!ESP_p_atma(C86,fw_,Pintake_,NumStage_,Freq_,PumpID_,PVT_str_,Tintake_,Tdis_,1,,,dN)</f>
        <v>160.85846601733851</v>
      </c>
      <c r="E86" s="26">
        <v>48</v>
      </c>
      <c r="F86" s="26">
        <v>80</v>
      </c>
      <c r="G86" s="25">
        <v>160.85846601733851</v>
      </c>
      <c r="H86" s="26">
        <v>80</v>
      </c>
    </row>
    <row r="87" spans="3:8" x14ac:dyDescent="0.2">
      <c r="C87" s="6">
        <f t="shared" si="0"/>
        <v>97.25</v>
      </c>
      <c r="D87" s="26">
        <f t="array" ref="D87:H87">[1]!ESP_p_atma(C87,fw_,Pintake_,NumStage_,Freq_,PumpID_,PVT_str_,Tintake_,Tdis_,1,,,dN)</f>
        <v>128.47501882271033</v>
      </c>
      <c r="E87" s="26">
        <v>48</v>
      </c>
      <c r="F87" s="26">
        <v>80</v>
      </c>
      <c r="G87" s="25">
        <v>128.47501882271033</v>
      </c>
      <c r="H87" s="26">
        <v>80</v>
      </c>
    </row>
    <row r="88" spans="3:8" x14ac:dyDescent="0.2">
      <c r="C88" s="6">
        <f t="shared" si="0"/>
        <v>106</v>
      </c>
      <c r="D88" s="26">
        <f t="array" ref="D88:H88">[1]!ESP_p_atma(C88,fw_,Pintake_,NumStage_,Freq_,PumpID_,PVT_str_,Tintake_,Tdis_,1,,,dN)</f>
        <v>9.8481088205385063</v>
      </c>
      <c r="E88" s="26">
        <v>48</v>
      </c>
      <c r="F88" s="26">
        <v>80</v>
      </c>
      <c r="G88" s="25">
        <v>9.8481088205385063</v>
      </c>
      <c r="H88" s="26">
        <v>80</v>
      </c>
    </row>
    <row r="89" spans="3:8" x14ac:dyDescent="0.2">
      <c r="C89" s="6">
        <f t="shared" si="0"/>
        <v>114.75</v>
      </c>
      <c r="D89" s="26">
        <f t="array" ref="D89:H89">[1]!ESP_p_atma(C89,fw_,Pintake_,NumStage_,Freq_,PumpID_,PVT_str_,Tintake_,Tdis_,1,,,dN)</f>
        <v>4.2949452657915179</v>
      </c>
      <c r="E89" s="26">
        <v>48</v>
      </c>
      <c r="F89" s="26">
        <v>80</v>
      </c>
      <c r="G89" s="25">
        <v>4.2949452657915179</v>
      </c>
      <c r="H89" s="26">
        <v>80</v>
      </c>
    </row>
    <row r="90" spans="3:8" x14ac:dyDescent="0.2">
      <c r="C90" s="6">
        <f t="shared" si="0"/>
        <v>123.5</v>
      </c>
      <c r="D90" s="26">
        <f t="array" ref="D90:H90">[1]!ESP_p_atma(C90,fw_,Pintake_,NumStage_,Freq_,PumpID_,PVT_str_,Tintake_,Tdis_,1,,,dN)</f>
        <v>3.3443357101985893</v>
      </c>
      <c r="E90" s="26">
        <v>48</v>
      </c>
      <c r="F90" s="26">
        <v>80</v>
      </c>
      <c r="G90" s="25">
        <v>3.3443357101985893</v>
      </c>
      <c r="H90" s="26">
        <v>80</v>
      </c>
    </row>
    <row r="91" spans="3:8" x14ac:dyDescent="0.2">
      <c r="C91" s="6">
        <f t="shared" si="0"/>
        <v>132.25</v>
      </c>
      <c r="D91" s="26">
        <f t="array" ref="D91:H91">[1]!ESP_p_atma(C91,fw_,Pintake_,NumStage_,Freq_,PumpID_,PVT_str_,Tintake_,Tdis_,1,,,dN)</f>
        <v>2.9689360542253009</v>
      </c>
      <c r="E91" s="26">
        <v>48</v>
      </c>
      <c r="F91" s="26">
        <v>80</v>
      </c>
      <c r="G91" s="25">
        <v>2.9689360542253009</v>
      </c>
      <c r="H91" s="26">
        <v>80</v>
      </c>
    </row>
    <row r="92" spans="3:8" x14ac:dyDescent="0.2">
      <c r="C92" s="6">
        <f t="shared" si="0"/>
        <v>141</v>
      </c>
      <c r="D92" s="26">
        <f t="array" ref="D92:H92">[1]!ESP_p_atma(C92,fw_,Pintake_,NumStage_,Freq_,PumpID_,PVT_str_,Tintake_,Tdis_,1,,,dN)</f>
        <v>2.7868697785303542</v>
      </c>
      <c r="E92" s="26">
        <v>48</v>
      </c>
      <c r="F92" s="26">
        <v>80</v>
      </c>
      <c r="G92" s="25">
        <v>2.7868697785303542</v>
      </c>
      <c r="H92" s="26">
        <v>80</v>
      </c>
    </row>
    <row r="93" spans="3:8" x14ac:dyDescent="0.2">
      <c r="C93" s="6">
        <f t="shared" si="0"/>
        <v>149.75</v>
      </c>
      <c r="D93" s="26">
        <f t="array" ref="D93:H93">[1]!ESP_p_atma(C93,fw_,Pintake_,NumStage_,Freq_,PumpID_,PVT_str_,Tintake_,Tdis_,1,,,dN)</f>
        <v>2.6948966775598895</v>
      </c>
      <c r="E93" s="26">
        <v>48</v>
      </c>
      <c r="F93" s="26">
        <v>80</v>
      </c>
      <c r="G93" s="25">
        <v>2.6948966775598895</v>
      </c>
      <c r="H93" s="26">
        <v>80</v>
      </c>
    </row>
    <row r="94" spans="3:8" x14ac:dyDescent="0.2">
      <c r="C94" s="6">
        <f t="shared" si="0"/>
        <v>158.5</v>
      </c>
      <c r="D94" s="26">
        <f t="array" ref="D94:H94">[1]!ESP_p_atma(C94,fw_,Pintake_,NumStage_,Freq_,PumpID_,PVT_str_,Tintake_,Tdis_,1,,,dN)</f>
        <v>2.6498131467466735</v>
      </c>
      <c r="E94" s="26">
        <v>48</v>
      </c>
      <c r="F94" s="26">
        <v>80</v>
      </c>
      <c r="G94" s="25">
        <v>2.6498131467466735</v>
      </c>
      <c r="H94" s="26">
        <v>80</v>
      </c>
    </row>
    <row r="95" spans="3:8" x14ac:dyDescent="0.2">
      <c r="C95" s="6">
        <f t="shared" si="0"/>
        <v>167.25</v>
      </c>
      <c r="D95" s="26">
        <f t="array" ref="D95:H95">[1]!ESP_p_atma(C95,fw_,Pintake_,NumStage_,Freq_,PumpID_,PVT_str_,Tintake_,Tdis_,1,,,dN)</f>
        <v>2.6309181442005927</v>
      </c>
      <c r="E95" s="26">
        <v>48</v>
      </c>
      <c r="F95" s="26">
        <v>80</v>
      </c>
      <c r="G95" s="25">
        <v>2.6309181442005927</v>
      </c>
      <c r="H95" s="26">
        <v>80</v>
      </c>
    </row>
    <row r="96" spans="3:8" x14ac:dyDescent="0.2">
      <c r="C96" s="6">
        <f t="shared" si="0"/>
        <v>176</v>
      </c>
      <c r="D96" s="26">
        <f t="array" ref="D96:H96">[1]!ESP_p_atma(C96,fw_,Pintake_,NumStage_,Freq_,PumpID_,PVT_str_,Tintake_,Tdis_,1,,,dN)</f>
        <v>2.6263152100369025</v>
      </c>
      <c r="E96" s="26">
        <v>48</v>
      </c>
      <c r="F96" s="26">
        <v>80</v>
      </c>
      <c r="G96" s="25">
        <v>2.6263152100369025</v>
      </c>
      <c r="H96" s="26">
        <v>80</v>
      </c>
    </row>
    <row r="97" spans="3:8" x14ac:dyDescent="0.2">
      <c r="D97" s="24"/>
      <c r="E97" s="24"/>
      <c r="F97" s="24"/>
      <c r="G97" s="25"/>
      <c r="H97" s="26"/>
    </row>
    <row r="102" spans="3:8" x14ac:dyDescent="0.2">
      <c r="C102" s="4"/>
      <c r="D102" s="74" t="s">
        <v>11</v>
      </c>
      <c r="E102" s="75"/>
      <c r="F102" s="75"/>
      <c r="G102" s="75"/>
      <c r="H102" s="76"/>
    </row>
    <row r="103" spans="3:8" ht="25.5" x14ac:dyDescent="0.2">
      <c r="C103" s="18" t="s">
        <v>0</v>
      </c>
      <c r="D103" s="19" t="s">
        <v>12</v>
      </c>
      <c r="E103" s="19" t="s">
        <v>12</v>
      </c>
      <c r="F103" s="19" t="s">
        <v>53</v>
      </c>
      <c r="G103" s="19" t="s">
        <v>51</v>
      </c>
      <c r="H103" s="19" t="s">
        <v>52</v>
      </c>
    </row>
    <row r="104" spans="3:8" x14ac:dyDescent="0.2">
      <c r="C104" s="6">
        <f>C76</f>
        <v>1</v>
      </c>
      <c r="D104" s="26">
        <f t="array" ref="D104:H104">[1]!ESP_p_atma(C104,fw_,Tdis_,NumStage_,Freq_,PumpID_,PVT_str_,Tintake_,Tdis_,0,gas_degr_type_,,dN)</f>
        <v>5.0817339748125736</v>
      </c>
      <c r="E104" s="26">
        <v>5.0817339748125736</v>
      </c>
      <c r="F104" s="26">
        <v>80</v>
      </c>
      <c r="G104" s="25">
        <v>80</v>
      </c>
      <c r="H104" s="26">
        <v>80</v>
      </c>
    </row>
    <row r="105" spans="3:8" x14ac:dyDescent="0.2">
      <c r="C105" s="6">
        <f t="shared" ref="C105:C124" si="1">C77</f>
        <v>9.75</v>
      </c>
      <c r="D105" s="26">
        <f t="array" ref="D105:H105">[1]!ESP_p_atma(C105,fw_,Tdis_,NumStage_,Freq_,PumpID_,PVT_str_,Tintake_,Tdis_,0,gas_degr_type_,,dN)</f>
        <v>5.6797661484700015</v>
      </c>
      <c r="E105" s="26">
        <v>5.6797661484700015</v>
      </c>
      <c r="F105" s="26">
        <v>80</v>
      </c>
      <c r="G105" s="25">
        <v>80</v>
      </c>
      <c r="H105" s="26">
        <v>80</v>
      </c>
    </row>
    <row r="106" spans="3:8" x14ac:dyDescent="0.2">
      <c r="C106" s="6">
        <f t="shared" si="1"/>
        <v>18.5</v>
      </c>
      <c r="D106" s="26">
        <f t="array" ref="D106:H106">[1]!ESP_p_atma(C106,fw_,Tdis_,NumStage_,Freq_,PumpID_,PVT_str_,Tintake_,Tdis_,0,gas_degr_type_,,dN)</f>
        <v>8.3149739201638955</v>
      </c>
      <c r="E106" s="26">
        <v>8.3149739201638955</v>
      </c>
      <c r="F106" s="26">
        <v>80</v>
      </c>
      <c r="G106" s="25">
        <v>80</v>
      </c>
      <c r="H106" s="26">
        <v>80</v>
      </c>
    </row>
    <row r="107" spans="3:8" x14ac:dyDescent="0.2">
      <c r="C107" s="6">
        <f t="shared" si="1"/>
        <v>27.25</v>
      </c>
      <c r="D107" s="26">
        <f t="array" ref="D107:H107">[1]!ESP_p_atma(C107,fw_,Tdis_,NumStage_,Freq_,PumpID_,PVT_str_,Tintake_,Tdis_,0,gas_degr_type_,,dN)</f>
        <v>11.59523359845085</v>
      </c>
      <c r="E107" s="26">
        <v>11.59523359845085</v>
      </c>
      <c r="F107" s="26">
        <v>80</v>
      </c>
      <c r="G107" s="25">
        <v>80</v>
      </c>
      <c r="H107" s="26">
        <v>80</v>
      </c>
    </row>
    <row r="108" spans="3:8" x14ac:dyDescent="0.2">
      <c r="C108" s="6">
        <f t="shared" si="1"/>
        <v>36</v>
      </c>
      <c r="D108" s="26">
        <f t="array" ref="D108:H108">[1]!ESP_p_atma(C108,fw_,Tdis_,NumStage_,Freq_,PumpID_,PVT_str_,Tintake_,Tdis_,0,gas_degr_type_,,dN)</f>
        <v>15.165611446490146</v>
      </c>
      <c r="E108" s="26">
        <v>15.165611446490146</v>
      </c>
      <c r="F108" s="26">
        <v>80</v>
      </c>
      <c r="G108" s="25">
        <v>80</v>
      </c>
      <c r="H108" s="26">
        <v>80</v>
      </c>
    </row>
    <row r="109" spans="3:8" x14ac:dyDescent="0.2">
      <c r="C109" s="6">
        <f t="shared" si="1"/>
        <v>44.75</v>
      </c>
      <c r="D109" s="26">
        <f t="array" ref="D109:H109">[1]!ESP_p_atma(C109,fw_,Tdis_,NumStage_,Freq_,PumpID_,PVT_str_,Tintake_,Tdis_,0,gas_degr_type_,,dN)</f>
        <v>18.933756080444947</v>
      </c>
      <c r="E109" s="26">
        <v>18.933756080444947</v>
      </c>
      <c r="F109" s="26">
        <v>80</v>
      </c>
      <c r="G109" s="25">
        <v>80</v>
      </c>
      <c r="H109" s="26">
        <v>80</v>
      </c>
    </row>
    <row r="110" spans="3:8" x14ac:dyDescent="0.2">
      <c r="C110" s="6">
        <f t="shared" si="1"/>
        <v>53.5</v>
      </c>
      <c r="D110" s="26">
        <f t="array" ref="D110:H110">[1]!ESP_p_atma(C110,fw_,Tdis_,NumStage_,Freq_,PumpID_,PVT_str_,Tintake_,Tdis_,0,gas_degr_type_,,dN)</f>
        <v>22.87091559137744</v>
      </c>
      <c r="E110" s="26">
        <v>22.87091559137744</v>
      </c>
      <c r="F110" s="26">
        <v>80</v>
      </c>
      <c r="G110" s="25">
        <v>80</v>
      </c>
      <c r="H110" s="26">
        <v>80</v>
      </c>
    </row>
    <row r="111" spans="3:8" x14ac:dyDescent="0.2">
      <c r="C111" s="6">
        <f t="shared" si="1"/>
        <v>62.25</v>
      </c>
      <c r="D111" s="26">
        <f t="array" ref="D111:H111">[1]!ESP_p_atma(C111,fw_,Tdis_,NumStage_,Freq_,PumpID_,PVT_str_,Tintake_,Tdis_,0,gas_degr_type_,,dN)</f>
        <v>26.96963611671897</v>
      </c>
      <c r="E111" s="26">
        <v>26.96963611671897</v>
      </c>
      <c r="F111" s="26">
        <v>80</v>
      </c>
      <c r="G111" s="25">
        <v>80</v>
      </c>
      <c r="H111" s="26">
        <v>80</v>
      </c>
    </row>
    <row r="112" spans="3:8" x14ac:dyDescent="0.2">
      <c r="C112" s="6">
        <f t="shared" si="1"/>
        <v>71</v>
      </c>
      <c r="D112" s="26">
        <f t="array" ref="D112:H112">[1]!ESP_p_atma(C112,fw_,Tdis_,NumStage_,Freq_,PumpID_,PVT_str_,Tintake_,Tdis_,0,gas_degr_type_,,dN)</f>
        <v>31.23154171926414</v>
      </c>
      <c r="E112" s="26">
        <v>31.23154171926414</v>
      </c>
      <c r="F112" s="26">
        <v>80</v>
      </c>
      <c r="G112" s="25">
        <v>80</v>
      </c>
      <c r="H112" s="26">
        <v>80</v>
      </c>
    </row>
    <row r="113" spans="3:8" x14ac:dyDescent="0.2">
      <c r="C113" s="6">
        <f t="shared" si="1"/>
        <v>79.75</v>
      </c>
      <c r="D113" s="26">
        <f t="array" ref="D113:H113">[1]!ESP_p_atma(C113,fw_,Tdis_,NumStage_,Freq_,PumpID_,PVT_str_,Tintake_,Tdis_,0,gas_degr_type_,,dN)</f>
        <v>35.667025494608481</v>
      </c>
      <c r="E113" s="26">
        <v>35.667025494608481</v>
      </c>
      <c r="F113" s="26">
        <v>80</v>
      </c>
      <c r="G113" s="25">
        <v>80</v>
      </c>
      <c r="H113" s="26">
        <v>80</v>
      </c>
    </row>
    <row r="114" spans="3:8" x14ac:dyDescent="0.2">
      <c r="C114" s="6">
        <f t="shared" si="1"/>
        <v>88.5</v>
      </c>
      <c r="D114" s="26">
        <f t="array" ref="D114:H114">[1]!ESP_p_atma(C114,fw_,Tdis_,NumStage_,Freq_,PumpID_,PVT_str_,Tintake_,Tdis_,0,gas_degr_type_,,dN)</f>
        <v>40.295400230288706</v>
      </c>
      <c r="E114" s="26">
        <v>40.295400230288706</v>
      </c>
      <c r="F114" s="26">
        <v>80</v>
      </c>
      <c r="G114" s="25">
        <v>80</v>
      </c>
      <c r="H114" s="26">
        <v>80</v>
      </c>
    </row>
    <row r="115" spans="3:8" x14ac:dyDescent="0.2">
      <c r="C115" s="6">
        <f t="shared" si="1"/>
        <v>97.25</v>
      </c>
      <c r="D115" s="26">
        <f t="array" ref="D115:H115">[1]!ESP_p_atma(C115,fw_,Tdis_,NumStage_,Freq_,PumpID_,PVT_str_,Tintake_,Tdis_,0,gas_degr_type_,,dN)</f>
        <v>45.144181660689839</v>
      </c>
      <c r="E115" s="26">
        <v>45.144181660689839</v>
      </c>
      <c r="F115" s="26">
        <v>80</v>
      </c>
      <c r="G115" s="25">
        <v>80</v>
      </c>
      <c r="H115" s="26">
        <v>80</v>
      </c>
    </row>
    <row r="116" spans="3:8" x14ac:dyDescent="0.2">
      <c r="C116" s="6">
        <f t="shared" si="1"/>
        <v>106</v>
      </c>
      <c r="D116" s="26">
        <f t="array" ref="D116:H116">[1]!ESP_p_atma(C116,fw_,Tdis_,NumStage_,Freq_,PumpID_,PVT_str_,Tintake_,Tdis_,0,gas_degr_type_,,dN)</f>
        <v>50.250369588303549</v>
      </c>
      <c r="E116" s="26">
        <v>50.250369588303549</v>
      </c>
      <c r="F116" s="26">
        <v>80</v>
      </c>
      <c r="G116" s="25">
        <v>80</v>
      </c>
      <c r="H116" s="26">
        <v>80</v>
      </c>
    </row>
    <row r="117" spans="3:8" x14ac:dyDescent="0.2">
      <c r="C117" s="6">
        <f t="shared" si="1"/>
        <v>114.75</v>
      </c>
      <c r="D117" s="26">
        <f t="array" ref="D117:H117">[1]!ESP_p_atma(C117,fw_,Tdis_,NumStage_,Freq_,PumpID_,PVT_str_,Tintake_,Tdis_,0,gas_degr_type_,,dN)</f>
        <v>55.661505746901526</v>
      </c>
      <c r="E117" s="26">
        <v>55.661505746901526</v>
      </c>
      <c r="F117" s="26">
        <v>80</v>
      </c>
      <c r="G117" s="25">
        <v>80</v>
      </c>
      <c r="H117" s="26">
        <v>80</v>
      </c>
    </row>
    <row r="118" spans="3:8" x14ac:dyDescent="0.2">
      <c r="C118" s="6">
        <f t="shared" si="1"/>
        <v>123.5</v>
      </c>
      <c r="D118" s="26">
        <f t="array" ref="D118:H118">[1]!ESP_p_atma(C118,fw_,Tdis_,NumStage_,Freq_,PumpID_,PVT_str_,Tintake_,Tdis_,0,gas_degr_type_,,dN)</f>
        <v>61.437643094217407</v>
      </c>
      <c r="E118" s="26">
        <v>61.437643094217407</v>
      </c>
      <c r="F118" s="26">
        <v>80</v>
      </c>
      <c r="G118" s="25">
        <v>80</v>
      </c>
      <c r="H118" s="26">
        <v>80</v>
      </c>
    </row>
    <row r="119" spans="3:8" x14ac:dyDescent="0.2">
      <c r="C119" s="6">
        <f t="shared" si="1"/>
        <v>132.25</v>
      </c>
      <c r="D119" s="26">
        <f t="array" ref="D119:H119">[1]!ESP_p_atma(C119,fw_,Tdis_,NumStage_,Freq_,PumpID_,PVT_str_,Tintake_,Tdis_,0,gas_degr_type_,,dN)</f>
        <v>67.653925043264707</v>
      </c>
      <c r="E119" s="26">
        <v>67.653925043264707</v>
      </c>
      <c r="F119" s="26">
        <v>80</v>
      </c>
      <c r="G119" s="25">
        <v>80</v>
      </c>
      <c r="H119" s="26">
        <v>80</v>
      </c>
    </row>
    <row r="120" spans="3:8" x14ac:dyDescent="0.2">
      <c r="C120" s="6">
        <f t="shared" si="1"/>
        <v>141</v>
      </c>
      <c r="D120" s="26">
        <f t="array" ref="D120:H120">[1]!ESP_p_atma(C120,fw_,Tdis_,NumStage_,Freq_,PumpID_,PVT_str_,Tintake_,Tdis_,0,gas_degr_type_,,dN)</f>
        <v>74.402854577324376</v>
      </c>
      <c r="E120" s="26">
        <v>74.402854577324376</v>
      </c>
      <c r="F120" s="26">
        <v>80</v>
      </c>
      <c r="G120" s="25">
        <v>80</v>
      </c>
      <c r="H120" s="26">
        <v>80</v>
      </c>
    </row>
    <row r="121" spans="3:8" x14ac:dyDescent="0.2">
      <c r="C121" s="6">
        <f t="shared" si="1"/>
        <v>149.75</v>
      </c>
      <c r="D121" s="26">
        <f t="array" ref="D121:H121">[1]!ESP_p_atma(C121,fw_,Tdis_,NumStage_,Freq_,PumpID_,PVT_str_,Tintake_,Tdis_,0,gas_degr_type_,,dN)</f>
        <v>81.794362619155152</v>
      </c>
      <c r="E121" s="26">
        <v>81.794362619155152</v>
      </c>
      <c r="F121" s="26">
        <v>80</v>
      </c>
      <c r="G121" s="25">
        <v>80</v>
      </c>
      <c r="H121" s="26">
        <v>80</v>
      </c>
    </row>
    <row r="122" spans="3:8" x14ac:dyDescent="0.2">
      <c r="C122" s="6">
        <f t="shared" si="1"/>
        <v>158.5</v>
      </c>
      <c r="D122" s="26">
        <f t="array" ref="D122:H122">[1]!ESP_p_atma(C122,fw_,Tdis_,NumStage_,Freq_,PumpID_,PVT_str_,Tintake_,Tdis_,0,gas_degr_type_,,dN)</f>
        <v>92.239612985124438</v>
      </c>
      <c r="E122" s="26">
        <v>92.239612985124438</v>
      </c>
      <c r="F122" s="26">
        <v>80</v>
      </c>
      <c r="G122" s="25">
        <v>80</v>
      </c>
      <c r="H122" s="26">
        <v>80</v>
      </c>
    </row>
    <row r="123" spans="3:8" x14ac:dyDescent="0.2">
      <c r="C123" s="6">
        <f t="shared" si="1"/>
        <v>167.25</v>
      </c>
      <c r="D123" s="26">
        <f t="array" ref="D123:H123">[1]!ESP_p_atma(C123,fw_,Tdis_,NumStage_,Freq_,PumpID_,PVT_str_,Tintake_,Tdis_,0,gas_degr_type_,,dN)</f>
        <v>111.27677065612269</v>
      </c>
      <c r="E123" s="26">
        <v>111.27677065612269</v>
      </c>
      <c r="F123" s="26">
        <v>80</v>
      </c>
      <c r="G123" s="25">
        <v>80</v>
      </c>
      <c r="H123" s="26">
        <v>80</v>
      </c>
    </row>
    <row r="124" spans="3:8" x14ac:dyDescent="0.2">
      <c r="C124" s="6">
        <f t="shared" si="1"/>
        <v>176</v>
      </c>
      <c r="D124" s="26">
        <f t="array" ref="D124:H124">[1]!ESP_p_atma(C124,fw_,Tdis_,NumStage_,Freq_,PumpID_,PVT_str_,Tintake_,Tdis_,0,gas_degr_type_,,dN)</f>
        <v>130.54150410802797</v>
      </c>
      <c r="E124" s="26">
        <v>130.54150410802797</v>
      </c>
      <c r="F124" s="26">
        <v>80</v>
      </c>
      <c r="G124" s="25">
        <v>80</v>
      </c>
      <c r="H124" s="26">
        <v>80</v>
      </c>
    </row>
    <row r="125" spans="3:8" x14ac:dyDescent="0.2">
      <c r="D125" s="26"/>
      <c r="E125" s="26"/>
      <c r="F125" s="26"/>
      <c r="G125" s="25"/>
      <c r="H125" s="26"/>
    </row>
    <row r="138" spans="4:11" x14ac:dyDescent="0.2">
      <c r="D138" s="37"/>
      <c r="F138" s="36"/>
      <c r="H138" s="36"/>
      <c r="I138" s="36"/>
      <c r="J138" s="35"/>
      <c r="K138" s="36"/>
    </row>
    <row r="139" spans="4:11" x14ac:dyDescent="0.2">
      <c r="D139" s="37"/>
      <c r="F139" s="36"/>
      <c r="H139" s="36"/>
      <c r="I139" s="36"/>
      <c r="J139" s="35"/>
      <c r="K139" s="36"/>
    </row>
    <row r="140" spans="4:11" x14ac:dyDescent="0.2">
      <c r="D140" s="37"/>
      <c r="F140" s="36"/>
      <c r="H140" s="36"/>
      <c r="I140" s="36"/>
      <c r="J140" s="35"/>
      <c r="K140" s="36"/>
    </row>
    <row r="141" spans="4:11" x14ac:dyDescent="0.2">
      <c r="D141" s="37"/>
      <c r="F141" s="36"/>
      <c r="H141" s="36"/>
      <c r="I141" s="36"/>
      <c r="J141" s="35"/>
      <c r="K141" s="36"/>
    </row>
    <row r="142" spans="4:11" x14ac:dyDescent="0.2">
      <c r="D142" s="37"/>
      <c r="F142" s="36"/>
      <c r="H142" s="36"/>
      <c r="I142" s="36"/>
      <c r="J142" s="35"/>
      <c r="K142" s="36"/>
    </row>
    <row r="143" spans="4:11" x14ac:dyDescent="0.2">
      <c r="D143" s="37"/>
      <c r="E143" s="36"/>
      <c r="F143" s="36"/>
      <c r="H143" s="36"/>
      <c r="I143" s="36"/>
      <c r="J143" s="35"/>
      <c r="K143" s="36"/>
    </row>
    <row r="144" spans="4:11" x14ac:dyDescent="0.2">
      <c r="D144" s="37"/>
      <c r="E144" s="36"/>
      <c r="F144" s="36"/>
      <c r="H144" s="36"/>
      <c r="I144" s="36"/>
      <c r="J144" s="35"/>
      <c r="K144" s="36"/>
    </row>
    <row r="145" spans="4:30" x14ac:dyDescent="0.2">
      <c r="D145" s="37"/>
      <c r="E145" s="36"/>
      <c r="F145" s="36"/>
      <c r="H145" s="36"/>
      <c r="I145" s="36"/>
      <c r="J145" s="35"/>
      <c r="K145" s="36"/>
    </row>
    <row r="146" spans="4:30" x14ac:dyDescent="0.2">
      <c r="D146" s="37"/>
      <c r="E146" s="36"/>
      <c r="F146" s="36"/>
      <c r="H146" s="36"/>
      <c r="I146" s="36"/>
      <c r="J146" s="35"/>
      <c r="K146" s="36"/>
    </row>
    <row r="147" spans="4:30" x14ac:dyDescent="0.2">
      <c r="D147" s="37"/>
      <c r="E147" s="36"/>
      <c r="F147" s="36"/>
      <c r="H147" s="36"/>
      <c r="I147" s="36"/>
      <c r="J147" s="35"/>
      <c r="K147" s="36"/>
    </row>
    <row r="148" spans="4:30" x14ac:dyDescent="0.2">
      <c r="D148" s="37"/>
      <c r="E148" s="36"/>
      <c r="F148" s="36"/>
      <c r="H148" s="36"/>
      <c r="I148" s="36"/>
      <c r="J148" s="35"/>
      <c r="K148" s="36"/>
    </row>
    <row r="149" spans="4:30" x14ac:dyDescent="0.2">
      <c r="D149" s="37"/>
      <c r="E149" s="36"/>
      <c r="F149" s="36"/>
      <c r="G149" s="35"/>
      <c r="H149" s="36"/>
      <c r="I149" s="36"/>
      <c r="J149" s="35"/>
      <c r="K149" s="36"/>
    </row>
    <row r="150" spans="4:30" x14ac:dyDescent="0.2">
      <c r="D150" s="37"/>
      <c r="E150" s="36"/>
      <c r="F150" s="36"/>
      <c r="G150" s="35"/>
      <c r="H150" s="36"/>
      <c r="I150" s="36"/>
      <c r="J150" s="35"/>
      <c r="K150" s="36"/>
    </row>
    <row r="151" spans="4:30" x14ac:dyDescent="0.2">
      <c r="D151" s="37"/>
      <c r="E151" s="36"/>
      <c r="F151" s="36"/>
      <c r="G151" s="35"/>
      <c r="H151" s="36"/>
      <c r="I151" s="36"/>
      <c r="J151" s="35"/>
      <c r="K151" s="36"/>
    </row>
    <row r="152" spans="4:30" x14ac:dyDescent="0.2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2">
      <c r="D153" s="37"/>
      <c r="E153" s="36"/>
      <c r="F153" s="36"/>
      <c r="G153" s="35"/>
      <c r="H153" s="36"/>
      <c r="I153" s="36"/>
      <c r="J153" s="35"/>
      <c r="K153" s="36"/>
    </row>
    <row r="154" spans="4:30" x14ac:dyDescent="0.2">
      <c r="D154" s="37"/>
      <c r="E154" s="36"/>
      <c r="F154" s="36"/>
      <c r="G154" s="35"/>
      <c r="H154" s="36"/>
      <c r="I154" s="36"/>
      <c r="J154" s="35"/>
      <c r="K154" s="36"/>
    </row>
    <row r="155" spans="4:30" x14ac:dyDescent="0.2">
      <c r="D155" s="37"/>
      <c r="E155" s="36"/>
      <c r="F155" s="36"/>
      <c r="G155" s="35"/>
      <c r="H155" s="36"/>
      <c r="I155" s="36"/>
      <c r="J155" s="35"/>
      <c r="K155" s="36"/>
    </row>
    <row r="156" spans="4:30" x14ac:dyDescent="0.2">
      <c r="D156" s="37"/>
      <c r="E156" s="36"/>
      <c r="F156" s="36"/>
      <c r="G156" s="35"/>
      <c r="H156" s="36"/>
      <c r="I156" s="36"/>
      <c r="J156" s="35"/>
      <c r="K156" s="36"/>
    </row>
    <row r="157" spans="4:30" x14ac:dyDescent="0.2">
      <c r="D157" s="36"/>
      <c r="E157" s="36"/>
      <c r="F157" s="36"/>
      <c r="G157" s="35"/>
      <c r="H157" s="36"/>
      <c r="I157" s="36"/>
      <c r="J157" s="35"/>
      <c r="K157" s="36"/>
    </row>
    <row r="162" spans="6:14" x14ac:dyDescent="0.2">
      <c r="F162" s="37"/>
      <c r="K162" s="37"/>
      <c r="M162" s="36"/>
      <c r="N162" s="35"/>
    </row>
    <row r="165" spans="6:14" x14ac:dyDescent="0.2">
      <c r="J165" s="38"/>
      <c r="K165" s="38"/>
      <c r="L165" s="38"/>
    </row>
    <row r="166" spans="6:14" x14ac:dyDescent="0.2">
      <c r="J166" s="38"/>
      <c r="K166" s="38"/>
      <c r="L166" s="38"/>
    </row>
    <row r="167" spans="6:14" x14ac:dyDescent="0.2">
      <c r="J167" s="38"/>
      <c r="K167" s="38"/>
      <c r="L167" s="38"/>
    </row>
    <row r="168" spans="6:14" x14ac:dyDescent="0.2">
      <c r="J168" s="38"/>
      <c r="K168" s="38"/>
      <c r="L168" s="38"/>
    </row>
    <row r="169" spans="6:14" x14ac:dyDescent="0.2">
      <c r="J169" s="38"/>
      <c r="K169" s="39"/>
      <c r="L169" s="38"/>
    </row>
    <row r="170" spans="6:14" x14ac:dyDescent="0.2">
      <c r="J170" s="38"/>
      <c r="K170" s="38"/>
      <c r="L170" s="38"/>
    </row>
    <row r="171" spans="6:14" x14ac:dyDescent="0.2">
      <c r="J171" s="38"/>
      <c r="K171" s="38"/>
      <c r="L171" s="38"/>
    </row>
    <row r="172" spans="6:14" x14ac:dyDescent="0.2">
      <c r="J172" s="38"/>
      <c r="K172" s="38"/>
      <c r="L172" s="38"/>
    </row>
    <row r="173" spans="6:14" x14ac:dyDescent="0.2">
      <c r="J173" s="38"/>
      <c r="K173" s="38"/>
      <c r="L173" s="38"/>
    </row>
    <row r="174" spans="6:14" x14ac:dyDescent="0.2">
      <c r="J174" s="38"/>
      <c r="K174" s="38"/>
      <c r="L174" s="38"/>
    </row>
    <row r="175" spans="6:14" x14ac:dyDescent="0.2">
      <c r="J175" s="38"/>
      <c r="K175" s="38"/>
      <c r="L175" s="38"/>
    </row>
    <row r="176" spans="6:14" x14ac:dyDescent="0.2">
      <c r="J176" s="38"/>
      <c r="K176" s="38"/>
      <c r="L176" s="38"/>
    </row>
    <row r="177" spans="10:13" x14ac:dyDescent="0.2">
      <c r="J177" s="38"/>
      <c r="K177" s="38"/>
      <c r="L177" s="38"/>
    </row>
    <row r="178" spans="10:13" x14ac:dyDescent="0.2">
      <c r="J178" s="38"/>
      <c r="K178" s="38"/>
      <c r="L178" s="38"/>
    </row>
    <row r="179" spans="10:13" x14ac:dyDescent="0.2">
      <c r="J179" s="38"/>
      <c r="K179" s="38"/>
      <c r="L179" s="38"/>
    </row>
    <row r="180" spans="10:13" x14ac:dyDescent="0.2">
      <c r="J180" s="38"/>
      <c r="K180" s="38"/>
      <c r="L180" s="38"/>
    </row>
    <row r="181" spans="10:13" x14ac:dyDescent="0.2">
      <c r="J181" s="38"/>
      <c r="K181" s="38"/>
      <c r="L181" s="38"/>
    </row>
    <row r="182" spans="10:13" x14ac:dyDescent="0.2">
      <c r="J182" s="38"/>
      <c r="K182" s="38"/>
      <c r="L182" s="38"/>
    </row>
    <row r="183" spans="10:13" x14ac:dyDescent="0.2">
      <c r="J183" s="38"/>
      <c r="K183" s="38"/>
      <c r="L183" s="38"/>
    </row>
    <row r="184" spans="10:13" x14ac:dyDescent="0.2">
      <c r="J184" s="38"/>
      <c r="K184" s="38"/>
      <c r="L184" s="38"/>
    </row>
    <row r="185" spans="10:13" x14ac:dyDescent="0.2">
      <c r="M185" s="40"/>
    </row>
    <row r="186" spans="10:13" x14ac:dyDescent="0.2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37</vt:i4>
      </vt:variant>
    </vt:vector>
  </HeadingPairs>
  <TitlesOfParts>
    <vt:vector size="38" baseType="lpstr">
      <vt:lpstr>Exercise_ESP</vt:lpstr>
      <vt:lpstr>Exercise_ESP!Bob_</vt:lpstr>
      <vt:lpstr>calc_along_flow</vt:lpstr>
      <vt:lpstr>dN</vt:lpstr>
      <vt:lpstr>ESPstr</vt:lpstr>
      <vt:lpstr>Exercise_ESP!Freq_</vt:lpstr>
      <vt:lpstr>Exercise_ESP!fw_</vt:lpstr>
      <vt:lpstr>Exercise_ESP!gamma_gas_</vt:lpstr>
      <vt:lpstr>Exercise_ESP!gamma_oil_</vt:lpstr>
      <vt:lpstr>Exercise_ESP!gamma_wat_</vt:lpstr>
      <vt:lpstr>gas_degr_type_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Exercise_ESP!Pdis_</vt:lpstr>
      <vt:lpstr>Exercise_ESP!Pintake_</vt:lpstr>
      <vt:lpstr>PKsep</vt:lpstr>
      <vt:lpstr>Exercise_ESP!PumpID_</vt:lpstr>
      <vt:lpstr>PVT_str_</vt:lpstr>
      <vt:lpstr>Exercise_ESP!Q_</vt:lpstr>
      <vt:lpstr>Exercise_ESP!Q_ESP_</vt:lpstr>
      <vt:lpstr>Exercise_ESP!Qmax_</vt:lpstr>
      <vt:lpstr>Exercise_ESP!Rp_</vt:lpstr>
      <vt:lpstr>Exercise_ESP!Rsb_</vt:lpstr>
      <vt:lpstr>Tdis_</vt:lpstr>
      <vt:lpstr>Exercise_ESP!Tintake_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2020-05-12T07:49:00Z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