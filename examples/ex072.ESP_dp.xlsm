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0B764EF1-14E4-4F6E-BA48-5D000072251B}" xr6:coauthVersionLast="46" xr6:coauthVersionMax="46" xr10:uidLastSave="{00000000-0000-0000-0000-000000000000}"/>
  <bookViews>
    <workbookView xWindow="-96" yWindow="-96" windowWidth="23232" windowHeight="13992" tabRatio="422" xr2:uid="{00000000-000D-0000-FFFF-FFFF00000000}"/>
  </bookViews>
  <sheets>
    <sheet name="Exercise_ESP" sheetId="110" r:id="rId1"/>
  </sheets>
  <externalReferences>
    <externalReference r:id="rId2"/>
  </externalReferences>
  <definedNames>
    <definedName name="Bob_" localSheetId="0">Exercise_ESP!$C$18</definedName>
    <definedName name="calc_along_flow">Exercise_ESP!$G$39</definedName>
    <definedName name="dN">Exercise_ESP!$C$44</definedName>
    <definedName name="ESPstr">Exercise_ESP!$J$33</definedName>
    <definedName name="Freq_" localSheetId="0">Exercise_ESP!$C$26</definedName>
    <definedName name="fw_" localSheetId="0">Exercise_ESP!$C$22</definedName>
    <definedName name="gamma_gas_" localSheetId="0">Exercise_ESP!$C$13</definedName>
    <definedName name="gamma_oil_" localSheetId="0">Exercise_ESP!$C$11</definedName>
    <definedName name="gamma_wat_" localSheetId="0">Exercise_ESP!$C$12</definedName>
    <definedName name="gas_degr_type_">Exercise_ESP!$C$43</definedName>
    <definedName name="Head_ESP_" localSheetId="0">Exercise_ESP!$C$25</definedName>
    <definedName name="input_">#REF!</definedName>
    <definedName name="input_Course">Exercise_ESP!$I$3</definedName>
    <definedName name="input_Date">Exercise_ESP!$I$1</definedName>
    <definedName name="input_Group">Exercise_ESP!$I$4</definedName>
    <definedName name="input_Notes">Exercise_ESP!$I$6</definedName>
    <definedName name="input_Student_Name">Exercise_ESP!$I$5</definedName>
    <definedName name="input_Version">Exercise_ESP!$I$2</definedName>
    <definedName name="KsepGasSep_" localSheetId="0">Exercise_ESP!$C$31</definedName>
    <definedName name="mu">Exercise_ESP!$C$34</definedName>
    <definedName name="muob_" localSheetId="0">Exercise_ESP!$C$19</definedName>
    <definedName name="N_" localSheetId="0">Exercise_ESP!$C$36</definedName>
    <definedName name="NumStage_" localSheetId="0">Exercise_ESP!$C$30</definedName>
    <definedName name="output_">#REF!</definedName>
    <definedName name="Pb_" localSheetId="0">Exercise_ESP!$C$16</definedName>
    <definedName name="Pdis_" localSheetId="0">Exercise_ESP!$C$41</definedName>
    <definedName name="Pintake_" localSheetId="0">Exercise_ESP!$C$39</definedName>
    <definedName name="PKsep">Exercise_ESP!$C$32</definedName>
    <definedName name="PumpID_" localSheetId="0">Exercise_ESP!$C$27</definedName>
    <definedName name="PVT_str_">Exercise_ESP!$J$30</definedName>
    <definedName name="Q_" localSheetId="0">Exercise_ESP!$C$21</definedName>
    <definedName name="Q_ESP_" localSheetId="0">Exercise_ESP!$C$24</definedName>
    <definedName name="Qmax_" localSheetId="0">Exercise_ESP!$C$29</definedName>
    <definedName name="Rp_" localSheetId="0">Exercise_ESP!$C$15</definedName>
    <definedName name="Rsb_" localSheetId="0">Exercise_ESP!$C$14</definedName>
    <definedName name="Tdis_">Exercise_ESP!$C$42</definedName>
    <definedName name="Tintake_" localSheetId="0">Exercise_ESP!$C$40</definedName>
    <definedName name="TKsep_">Exercise_ESP!$C$33</definedName>
    <definedName name="Tres_" localSheetId="0">Exercise_ESP!$C$17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24" i="110" l="1" a="1"/>
  <c r="Q24" i="110" s="1"/>
  <c r="L40" i="110" a="1"/>
  <c r="L40" i="110" l="1"/>
  <c r="C104" i="110"/>
  <c r="G1" i="110"/>
  <c r="J30" i="110" a="1"/>
  <c r="C27" i="110" a="1"/>
  <c r="J30" i="110" l="1"/>
  <c r="C27" i="110"/>
  <c r="E17" i="110"/>
  <c r="E16" i="110"/>
  <c r="E15" i="110"/>
  <c r="E14" i="110"/>
  <c r="E13" i="110"/>
  <c r="E12" i="110"/>
  <c r="E11" i="110"/>
  <c r="B76" i="110" a="1"/>
  <c r="B104" i="110" a="1"/>
  <c r="C30" i="110" a="1"/>
  <c r="C29" i="110" a="1"/>
  <c r="C28" i="110" a="1"/>
  <c r="J31" i="110" a="1"/>
  <c r="B104" i="110" l="1"/>
  <c r="B76" i="110"/>
  <c r="J31" i="110"/>
  <c r="C30" i="110"/>
  <c r="C29" i="110"/>
  <c r="C77" i="110" s="1"/>
  <c r="C28" i="110"/>
  <c r="D104" i="110" a="1"/>
  <c r="D76" i="110" a="1"/>
  <c r="F43" i="110" a="1"/>
  <c r="B77" i="110" a="1"/>
  <c r="F76" i="110" l="1"/>
  <c r="G76" i="110"/>
  <c r="H76" i="110"/>
  <c r="D76" i="110"/>
  <c r="E76" i="110"/>
  <c r="E104" i="110"/>
  <c r="G104" i="110"/>
  <c r="F104" i="110"/>
  <c r="D104" i="110"/>
  <c r="H104" i="110"/>
  <c r="F43" i="110"/>
  <c r="B77" i="110"/>
  <c r="C78" i="110"/>
  <c r="C106" i="110" s="1"/>
  <c r="C105" i="110"/>
  <c r="D77" i="110" a="1"/>
  <c r="D105" i="110" a="1"/>
  <c r="B78" i="110" a="1"/>
  <c r="B106" i="110" a="1"/>
  <c r="S34" i="110" a="1"/>
  <c r="B105" i="110" a="1"/>
  <c r="E105" i="110" l="1"/>
  <c r="F105" i="110"/>
  <c r="D105" i="110"/>
  <c r="G105" i="110"/>
  <c r="H105" i="110"/>
  <c r="H77" i="110"/>
  <c r="D77" i="110"/>
  <c r="G77" i="110"/>
  <c r="E77" i="110"/>
  <c r="F77" i="110"/>
  <c r="S34" i="110"/>
  <c r="W25" i="110"/>
  <c r="B78" i="110"/>
  <c r="B105" i="110"/>
  <c r="B106" i="110"/>
  <c r="C79" i="110"/>
  <c r="D78" i="110" a="1"/>
  <c r="D106" i="110" a="1"/>
  <c r="B79" i="110" a="1"/>
  <c r="AD27" i="110" a="1"/>
  <c r="G106" i="110" l="1"/>
  <c r="H106" i="110"/>
  <c r="F106" i="110"/>
  <c r="D106" i="110"/>
  <c r="E106" i="110"/>
  <c r="E78" i="110"/>
  <c r="D78" i="110"/>
  <c r="G78" i="110"/>
  <c r="F78" i="110"/>
  <c r="H78" i="110"/>
  <c r="AD27" i="110"/>
  <c r="B79" i="110"/>
  <c r="C80" i="110"/>
  <c r="C107" i="110"/>
  <c r="D79" i="110" a="1"/>
  <c r="D107" i="110" a="1"/>
  <c r="B107" i="110" a="1"/>
  <c r="B80" i="110" a="1"/>
  <c r="F107" i="110" l="1"/>
  <c r="E107" i="110"/>
  <c r="G107" i="110"/>
  <c r="H107" i="110"/>
  <c r="D107" i="110"/>
  <c r="D79" i="110"/>
  <c r="E79" i="110"/>
  <c r="G79" i="110"/>
  <c r="F79" i="110"/>
  <c r="H79" i="110"/>
  <c r="B107" i="110"/>
  <c r="B80" i="110"/>
  <c r="C81" i="110"/>
  <c r="C108" i="110"/>
  <c r="D80" i="110" a="1"/>
  <c r="D108" i="110" a="1"/>
  <c r="B81" i="110" a="1"/>
  <c r="B108" i="110" a="1"/>
  <c r="H108" i="110" l="1"/>
  <c r="G108" i="110"/>
  <c r="E108" i="110"/>
  <c r="F108" i="110"/>
  <c r="D108" i="110"/>
  <c r="H80" i="110"/>
  <c r="G80" i="110"/>
  <c r="E80" i="110"/>
  <c r="D80" i="110"/>
  <c r="F80" i="110"/>
  <c r="B108" i="110"/>
  <c r="B81" i="110"/>
  <c r="C82" i="110"/>
  <c r="C109" i="110"/>
  <c r="D81" i="110" a="1"/>
  <c r="D109" i="110" a="1"/>
  <c r="B109" i="110" a="1"/>
  <c r="B82" i="110" a="1"/>
  <c r="E109" i="110" l="1"/>
  <c r="F109" i="110"/>
  <c r="H109" i="110"/>
  <c r="G109" i="110"/>
  <c r="D109" i="110"/>
  <c r="F81" i="110"/>
  <c r="G81" i="110"/>
  <c r="H81" i="110"/>
  <c r="D81" i="110"/>
  <c r="E81" i="110"/>
  <c r="B82" i="110"/>
  <c r="B109" i="110"/>
  <c r="C83" i="110"/>
  <c r="C110" i="110"/>
  <c r="D82" i="110" a="1"/>
  <c r="D110" i="110" a="1"/>
  <c r="B110" i="110" a="1"/>
  <c r="B83" i="110" a="1"/>
  <c r="E110" i="110" l="1"/>
  <c r="F110" i="110"/>
  <c r="H110" i="110"/>
  <c r="D110" i="110"/>
  <c r="G110" i="110"/>
  <c r="D82" i="110"/>
  <c r="F82" i="110"/>
  <c r="E82" i="110"/>
  <c r="G82" i="110"/>
  <c r="H82" i="110"/>
  <c r="B83" i="110"/>
  <c r="B110" i="110"/>
  <c r="C84" i="110"/>
  <c r="C111" i="110"/>
  <c r="D83" i="110" a="1"/>
  <c r="D111" i="110" a="1"/>
  <c r="B84" i="110" a="1"/>
  <c r="B111" i="110" a="1"/>
  <c r="E111" i="110" l="1"/>
  <c r="F111" i="110"/>
  <c r="G111" i="110"/>
  <c r="H111" i="110"/>
  <c r="D111" i="110"/>
  <c r="D83" i="110"/>
  <c r="E83" i="110"/>
  <c r="F83" i="110"/>
  <c r="G83" i="110"/>
  <c r="H83" i="110"/>
  <c r="B111" i="110"/>
  <c r="B84" i="110"/>
  <c r="C112" i="110"/>
  <c r="C85" i="110"/>
  <c r="D84" i="110" a="1"/>
  <c r="D112" i="110" a="1"/>
  <c r="B112" i="110" a="1"/>
  <c r="B85" i="110" a="1"/>
  <c r="G112" i="110" l="1"/>
  <c r="H112" i="110"/>
  <c r="D112" i="110"/>
  <c r="F112" i="110"/>
  <c r="E112" i="110"/>
  <c r="F84" i="110"/>
  <c r="G84" i="110"/>
  <c r="D84" i="110"/>
  <c r="H84" i="110"/>
  <c r="E84" i="110"/>
  <c r="B85" i="110"/>
  <c r="B112" i="110"/>
  <c r="C113" i="110"/>
  <c r="C86" i="110"/>
  <c r="D85" i="110" a="1"/>
  <c r="D113" i="110" a="1"/>
  <c r="B113" i="110" a="1"/>
  <c r="B86" i="110" a="1"/>
  <c r="G113" i="110" l="1"/>
  <c r="H113" i="110"/>
  <c r="F113" i="110"/>
  <c r="D113" i="110"/>
  <c r="E113" i="110"/>
  <c r="D85" i="110"/>
  <c r="H85" i="110"/>
  <c r="E85" i="110"/>
  <c r="F85" i="110"/>
  <c r="G85" i="110"/>
  <c r="B86" i="110"/>
  <c r="B113" i="110"/>
  <c r="C87" i="110"/>
  <c r="C114" i="110"/>
  <c r="D86" i="110" a="1"/>
  <c r="D114" i="110" a="1"/>
  <c r="B87" i="110" a="1"/>
  <c r="B114" i="110" a="1"/>
  <c r="D114" i="110" l="1"/>
  <c r="E114" i="110"/>
  <c r="F114" i="110"/>
  <c r="G114" i="110"/>
  <c r="H114" i="110"/>
  <c r="G86" i="110"/>
  <c r="D86" i="110"/>
  <c r="F86" i="110"/>
  <c r="E86" i="110"/>
  <c r="H86" i="110"/>
  <c r="B114" i="110"/>
  <c r="B87" i="110"/>
  <c r="C115" i="110"/>
  <c r="C88" i="110"/>
  <c r="D87" i="110" a="1"/>
  <c r="D115" i="110" a="1"/>
  <c r="B88" i="110" a="1"/>
  <c r="B115" i="110" a="1"/>
  <c r="G115" i="110" l="1"/>
  <c r="E115" i="110"/>
  <c r="H115" i="110"/>
  <c r="F115" i="110"/>
  <c r="D115" i="110"/>
  <c r="E87" i="110"/>
  <c r="H87" i="110"/>
  <c r="D87" i="110"/>
  <c r="F87" i="110"/>
  <c r="G87" i="110"/>
  <c r="B88" i="110"/>
  <c r="B115" i="110"/>
  <c r="C116" i="110"/>
  <c r="C89" i="110"/>
  <c r="D88" i="110" a="1"/>
  <c r="D116" i="110" a="1"/>
  <c r="B89" i="110" a="1"/>
  <c r="B116" i="110" a="1"/>
  <c r="D116" i="110" l="1"/>
  <c r="G116" i="110"/>
  <c r="H116" i="110"/>
  <c r="E116" i="110"/>
  <c r="F116" i="110"/>
  <c r="F88" i="110"/>
  <c r="G88" i="110"/>
  <c r="H88" i="110"/>
  <c r="E88" i="110"/>
  <c r="D88" i="110"/>
  <c r="B89" i="110"/>
  <c r="B116" i="110"/>
  <c r="C90" i="110"/>
  <c r="C117" i="110"/>
  <c r="D89" i="110" a="1"/>
  <c r="D117" i="110" a="1"/>
  <c r="B117" i="110" a="1"/>
  <c r="B90" i="110" a="1"/>
  <c r="F117" i="110" l="1"/>
  <c r="G117" i="110"/>
  <c r="H117" i="110"/>
  <c r="D117" i="110"/>
  <c r="E117" i="110"/>
  <c r="F89" i="110"/>
  <c r="H89" i="110"/>
  <c r="D89" i="110"/>
  <c r="E89" i="110"/>
  <c r="G89" i="110"/>
  <c r="B117" i="110"/>
  <c r="B90" i="110"/>
  <c r="C118" i="110"/>
  <c r="C91" i="110"/>
  <c r="D90" i="110" a="1"/>
  <c r="D118" i="110" a="1"/>
  <c r="B118" i="110" a="1"/>
  <c r="B91" i="110" a="1"/>
  <c r="D118" i="110" l="1"/>
  <c r="E118" i="110"/>
  <c r="F118" i="110"/>
  <c r="G118" i="110"/>
  <c r="H118" i="110"/>
  <c r="D90" i="110"/>
  <c r="E90" i="110"/>
  <c r="H90" i="110"/>
  <c r="G90" i="110"/>
  <c r="F90" i="110"/>
  <c r="B91" i="110"/>
  <c r="B118" i="110"/>
  <c r="C92" i="110"/>
  <c r="C119" i="110"/>
  <c r="D91" i="110" a="1"/>
  <c r="D119" i="110" a="1"/>
  <c r="B119" i="110" a="1"/>
  <c r="B92" i="110" a="1"/>
  <c r="E119" i="110" l="1"/>
  <c r="F119" i="110"/>
  <c r="H119" i="110"/>
  <c r="D119" i="110"/>
  <c r="G119" i="110"/>
  <c r="G91" i="110"/>
  <c r="H91" i="110"/>
  <c r="D91" i="110"/>
  <c r="F91" i="110"/>
  <c r="E91" i="110"/>
  <c r="B119" i="110"/>
  <c r="B92" i="110"/>
  <c r="C120" i="110"/>
  <c r="C93" i="110"/>
  <c r="D92" i="110" a="1"/>
  <c r="D120" i="110" a="1"/>
  <c r="B93" i="110" a="1"/>
  <c r="B120" i="110" a="1"/>
  <c r="G120" i="110" l="1"/>
  <c r="D120" i="110"/>
  <c r="F120" i="110"/>
  <c r="H120" i="110"/>
  <c r="E120" i="110"/>
  <c r="H92" i="110"/>
  <c r="E92" i="110"/>
  <c r="D92" i="110"/>
  <c r="F92" i="110"/>
  <c r="G92" i="110"/>
  <c r="B93" i="110"/>
  <c r="B120" i="110"/>
  <c r="C121" i="110"/>
  <c r="C94" i="110"/>
  <c r="D93" i="110" a="1"/>
  <c r="D121" i="110" a="1"/>
  <c r="B94" i="110" a="1"/>
  <c r="B121" i="110" a="1"/>
  <c r="E121" i="110" l="1"/>
  <c r="G121" i="110"/>
  <c r="H121" i="110"/>
  <c r="F121" i="110"/>
  <c r="D121" i="110"/>
  <c r="G93" i="110"/>
  <c r="H93" i="110"/>
  <c r="D93" i="110"/>
  <c r="E93" i="110"/>
  <c r="F93" i="110"/>
  <c r="B94" i="110"/>
  <c r="B121" i="110"/>
  <c r="C95" i="110"/>
  <c r="C122" i="110"/>
  <c r="D94" i="110" a="1"/>
  <c r="D122" i="110" a="1"/>
  <c r="B95" i="110" a="1"/>
  <c r="B122" i="110" a="1"/>
  <c r="F122" i="110" l="1"/>
  <c r="G122" i="110"/>
  <c r="H122" i="110"/>
  <c r="E122" i="110"/>
  <c r="D122" i="110"/>
  <c r="D94" i="110"/>
  <c r="E94" i="110"/>
  <c r="F94" i="110"/>
  <c r="H94" i="110"/>
  <c r="G94" i="110"/>
  <c r="B95" i="110"/>
  <c r="B122" i="110"/>
  <c r="C96" i="110"/>
  <c r="C123" i="110"/>
  <c r="D95" i="110" a="1"/>
  <c r="D123" i="110" a="1"/>
  <c r="B123" i="110" a="1"/>
  <c r="B96" i="110" a="1"/>
  <c r="G123" i="110" l="1"/>
  <c r="E123" i="110"/>
  <c r="H123" i="110"/>
  <c r="D123" i="110"/>
  <c r="F123" i="110"/>
  <c r="G95" i="110"/>
  <c r="F95" i="110"/>
  <c r="H95" i="110"/>
  <c r="D95" i="110"/>
  <c r="E95" i="110"/>
  <c r="B96" i="110"/>
  <c r="B123" i="110"/>
  <c r="C124" i="110"/>
  <c r="D96" i="110" a="1"/>
  <c r="D124" i="110" a="1"/>
  <c r="B124" i="110" a="1"/>
  <c r="H124" i="110" l="1"/>
  <c r="D124" i="110"/>
  <c r="G124" i="110"/>
  <c r="E124" i="110"/>
  <c r="F124" i="110"/>
  <c r="D96" i="110"/>
  <c r="E96" i="110"/>
  <c r="H96" i="110"/>
  <c r="F96" i="110"/>
  <c r="G96" i="110"/>
  <c r="B124" i="1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<sst xmlns="http://schemas.openxmlformats.org/spreadsheetml/2006/main" count="105" uniqueCount="82">
  <si>
    <t>Дебит</t>
  </si>
  <si>
    <t>атм</t>
  </si>
  <si>
    <t>С</t>
  </si>
  <si>
    <t>м3/сут</t>
  </si>
  <si>
    <t xml:space="preserve">м </t>
  </si>
  <si>
    <t>Гц</t>
  </si>
  <si>
    <t>шт</t>
  </si>
  <si>
    <t>N</t>
  </si>
  <si>
    <t>Физико - химические свойства флюида</t>
  </si>
  <si>
    <t>Ступени</t>
  </si>
  <si>
    <t>Снизу вверх</t>
  </si>
  <si>
    <t>Сверху вниз</t>
  </si>
  <si>
    <t>PVT строка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</si>
  <si>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</si>
  <si>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</si>
  <si>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</si>
  <si>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</si>
  <si>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</si>
  <si>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</si>
  <si>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</si>
  <si>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</si>
  <si>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</si>
  <si>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</si>
  <si>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</si>
  <si>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</si>
  <si>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</si>
  <si>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</si>
  <si>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</si>
  <si>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</si>
  <si>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сП</t>
  </si>
  <si>
    <r>
      <t>P</t>
    </r>
    <r>
      <rPr>
        <vertAlign val="subscript"/>
        <sz val="10"/>
        <rFont val="Arial Cyr"/>
        <charset val="204"/>
      </rPr>
      <t>intake</t>
    </r>
  </si>
  <si>
    <r>
      <t>T</t>
    </r>
    <r>
      <rPr>
        <vertAlign val="subscript"/>
        <sz val="10"/>
        <rFont val="Arial Cyr"/>
        <charset val="204"/>
      </rPr>
      <t>intake</t>
    </r>
  </si>
  <si>
    <r>
      <t>Q</t>
    </r>
    <r>
      <rPr>
        <vertAlign val="subscript"/>
        <sz val="10"/>
        <rFont val="Arial Cyr"/>
        <charset val="204"/>
      </rPr>
      <t>liq</t>
    </r>
  </si>
  <si>
    <r>
      <t>P</t>
    </r>
    <r>
      <rPr>
        <vertAlign val="subscript"/>
        <sz val="10"/>
        <rFont val="Arial Cyr"/>
        <charset val="204"/>
      </rPr>
      <t>dis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</si>
  <si>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</si>
  <si>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</si>
  <si>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F</t>
  </si>
  <si>
    <t>ЭЦН ID</t>
  </si>
  <si>
    <t>ЭЦН имя</t>
  </si>
  <si>
    <r>
      <t>ЭЦН Q</t>
    </r>
    <r>
      <rPr>
        <vertAlign val="subscript"/>
        <sz val="10"/>
        <rFont val="Arial Cyr"/>
        <charset val="204"/>
      </rPr>
      <t>nom</t>
    </r>
  </si>
  <si>
    <r>
      <t>ЭЦН H</t>
    </r>
    <r>
      <rPr>
        <vertAlign val="subscript"/>
        <sz val="10"/>
        <rFont val="Arial Cyr"/>
        <charset val="204"/>
      </rPr>
      <t>nom</t>
    </r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</si>
  <si>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</si>
  <si>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</si>
  <si>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</si>
  <si>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</si>
  <si>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Вязкость</t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</si>
  <si>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</si>
  <si>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</si>
  <si>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</si>
  <si>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T</t>
    </r>
    <r>
      <rPr>
        <vertAlign val="subscript"/>
        <sz val="10"/>
        <rFont val="Arial Cyr"/>
        <charset val="204"/>
      </rPr>
      <t>dis</t>
    </r>
  </si>
  <si>
    <t>gas_degr_type</t>
  </si>
  <si>
    <t xml:space="preserve">Настройки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</si>
  <si>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</si>
  <si>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</si>
  <si>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</si>
  <si>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</si>
  <si>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</si>
  <si>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</si>
  <si>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</si>
  <si>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</si>
  <si>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</si>
  <si>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</si>
  <si>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</si>
  <si>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</si>
  <si>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</si>
  <si>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</si>
  <si>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Расчет перепада давления в ЭЦН</t>
  </si>
  <si>
    <t>calc_along_flow</t>
  </si>
  <si>
    <t>dN</t>
  </si>
  <si>
    <t>Расчет распределения давления в ЭЦН</t>
  </si>
  <si>
    <t>Продолжение расшифровки результатов расчета</t>
  </si>
  <si>
    <t>Параметры расчета</t>
  </si>
  <si>
    <t>show_log</t>
  </si>
  <si>
    <t>num_value</t>
  </si>
  <si>
    <t>show_array</t>
  </si>
  <si>
    <t>p_dis_atma</t>
  </si>
  <si>
    <t>p_int_atma</t>
  </si>
  <si>
    <t>t_int_C</t>
  </si>
  <si>
    <t>t_dis_C</t>
  </si>
  <si>
    <t xml:space="preserve"> </t>
  </si>
  <si>
    <t>esp_gas_correct</t>
  </si>
  <si>
    <t>7.27b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</si>
</sst>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79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5" borderId="2" xfId="0" applyFill="1" applyBorder="1"/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6" borderId="2" xfId="0" applyFill="1" applyBorder="1"/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5" borderId="0" xfId="0" applyFill="1"/>
    <xf numFmtId="0" fontId="0" fillId="6" borderId="2" xfId="0" applyFill="1" applyBorder="1" applyAlignment="1">
      <alignment horizontal="center"/>
    </xf>
    <xf numFmtId="0" fontId="10" fillId="3" borderId="2" xfId="0" applyFont="1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2" fontId="0" fillId="7" borderId="0" xfId="0" applyNumberForma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5" fontId="0" fillId="0" borderId="0" xfId="0" applyNumberFormat="1"/>
    <xf numFmtId="165" fontId="0" fillId="0" borderId="0" xfId="0" quotePrefix="1" applyNumberFormat="1"/>
    <xf numFmtId="0" fontId="0" fillId="8" borderId="0" xfId="0" applyFill="1"/>
    <xf numFmtId="164" fontId="0" fillId="7" borderId="8" xfId="0" applyNumberFormat="1" applyFill="1" applyBorder="1" applyAlignment="1">
      <alignment horizontal="center"/>
    </xf>
    <xf numFmtId="0" fontId="0" fillId="7" borderId="11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2" fontId="0" fillId="7" borderId="0" xfId="0" applyNumberFormat="1" applyFill="1" applyBorder="1" applyAlignment="1">
      <alignment horizontal="center" vertical="center"/>
    </xf>
    <xf numFmtId="1" fontId="0" fillId="7" borderId="0" xfId="0" applyNumberFormat="1" applyFill="1" applyBorder="1" applyAlignment="1">
      <alignment horizontal="center" vertical="center"/>
    </xf>
    <xf numFmtId="0" fontId="0" fillId="6" borderId="2" xfId="0" applyFill="1" applyBorder="1" applyAlignment="1">
      <alignment horizontal="right"/>
    </xf>
    <xf numFmtId="0" fontId="0" fillId="7" borderId="2" xfId="0" applyFill="1" applyBorder="1" applyAlignment="1">
      <alignment horizontal="center"/>
    </xf>
    <xf numFmtId="1" fontId="0" fillId="7" borderId="15" xfId="0" applyNumberFormat="1" applyFill="1" applyBorder="1" applyAlignment="1">
      <alignment horizontal="center" vertical="center"/>
    </xf>
    <xf numFmtId="2" fontId="0" fillId="7" borderId="15" xfId="0" applyNumberFormat="1" applyFill="1" applyBorder="1" applyAlignment="1">
      <alignment horizontal="center" vertical="center"/>
    </xf>
    <xf numFmtId="164" fontId="0" fillId="7" borderId="0" xfId="0" applyNumberFormat="1" applyFill="1" applyBorder="1" applyAlignment="1">
      <alignment horizont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4" xfId="0" applyNumberFormat="1" applyFill="1" applyBorder="1" applyAlignment="1">
      <alignment horizontal="center" vertical="center"/>
    </xf>
    <xf numFmtId="1" fontId="0" fillId="7" borderId="7" xfId="0" applyNumberFormat="1" applyFill="1" applyBorder="1" applyAlignment="1">
      <alignment horizontal="center"/>
    </xf>
    <xf numFmtId="0" fontId="13" fillId="0" borderId="0" xfId="0" applyFont="1"/>
    <xf numFmtId="0" fontId="0" fillId="8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  <xf numFmtId="0" fontId="0" fillId="3" borderId="0" xfId="0" applyFill="1" applyBorder="1" applyAlignment="1">
      <alignment horizontal="center"/>
    </xf>
    <xf numFmtId="0" fontId="0" fillId="7" borderId="0" xfId="0" applyFill="1" applyBorder="1" applyAlignment="1">
      <alignment horizontal="center" vertical="center" wrapText="1"/>
    </xf>
    <xf numFmtId="1" fontId="0" fillId="7" borderId="8" xfId="0" applyNumberFormat="1" applyFill="1" applyBorder="1" applyAlignment="1">
      <alignment horizontal="center"/>
    </xf>
    <xf numFmtId="0" fontId="0" fillId="7" borderId="9" xfId="0" applyFill="1" applyBorder="1"/>
    <xf numFmtId="0" fontId="0" fillId="7" borderId="11" xfId="0" applyFill="1" applyBorder="1" applyAlignment="1">
      <alignment horizontal="center" vertical="center" wrapText="1"/>
    </xf>
    <xf numFmtId="0" fontId="0" fillId="7" borderId="12" xfId="0" applyFill="1" applyBorder="1"/>
    <xf numFmtId="1" fontId="0" fillId="7" borderId="12" xfId="0" applyNumberFormat="1" applyFill="1" applyBorder="1" applyAlignment="1">
      <alignment horizontal="center"/>
    </xf>
    <xf numFmtId="1" fontId="0" fillId="7" borderId="16" xfId="0" applyNumberFormat="1" applyFill="1" applyBorder="1" applyAlignment="1">
      <alignment horizontal="center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708201760557451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Exercise_ESP!$D$75</c:f>
              <c:strCache>
                <c:ptCount val="1"/>
                <c:pt idx="0">
                  <c:v>p_dis_atma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Exercise_ESP!$D$76:$D$96</c:f>
              <c:numCache>
                <c:formatCode>0</c:formatCode>
                <c:ptCount val="21"/>
                <c:pt idx="0">
                  <c:v>206.59665704622219</c:v>
                </c:pt>
                <c:pt idx="1">
                  <c:v>261.55014150474955</c:v>
                </c:pt>
                <c:pt idx="2">
                  <c:v>265.59999425804273</c:v>
                </c:pt>
                <c:pt idx="3">
                  <c:v>266.44419476792245</c:v>
                </c:pt>
                <c:pt idx="4">
                  <c:v>265.64829139391463</c:v>
                </c:pt>
                <c:pt idx="5">
                  <c:v>263.36970988525701</c:v>
                </c:pt>
                <c:pt idx="6">
                  <c:v>259.05456762249503</c:v>
                </c:pt>
                <c:pt idx="7">
                  <c:v>250.8337260233358</c:v>
                </c:pt>
                <c:pt idx="8">
                  <c:v>237.83655598161752</c:v>
                </c:pt>
                <c:pt idx="9">
                  <c:v>220.94970077804632</c:v>
                </c:pt>
                <c:pt idx="10">
                  <c:v>200.46389650805557</c:v>
                </c:pt>
                <c:pt idx="11">
                  <c:v>174.93248555388936</c:v>
                </c:pt>
                <c:pt idx="12">
                  <c:v>134.82052309749687</c:v>
                </c:pt>
                <c:pt idx="13">
                  <c:v>23.742088136393622</c:v>
                </c:pt>
                <c:pt idx="14">
                  <c:v>10.494968338236662</c:v>
                </c:pt>
                <c:pt idx="15">
                  <c:v>8.1209793050550143</c:v>
                </c:pt>
                <c:pt idx="16">
                  <c:v>7.1595072288854755</c:v>
                </c:pt>
                <c:pt idx="17">
                  <c:v>6.6772937994479982</c:v>
                </c:pt>
                <c:pt idx="18">
                  <c:v>6.4220118906183785</c:v>
                </c:pt>
                <c:pt idx="19">
                  <c:v>6.2863301828262825</c:v>
                </c:pt>
                <c:pt idx="20">
                  <c:v>6.2207461965605448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CB-4A0D-85A4-391A51FA2C35}"/>
            </c:ext>
          </c:extLst>
        </c:ser>
        <c:ser>
          <c:idx val="1"/>
          <c:order val="1"/>
          <c:tx>
            <c:strRef>
              <c:f>Exercise_ESP!$E$75</c:f>
              <c:strCache>
                <c:ptCount val="1"/>
                <c:pt idx="0">
                  <c:v>p_int_atma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Exercise_ESP!$E$76:$E$96</c:f>
              <c:numCache>
                <c:formatCode>0</c:formatCode>
                <c:ptCount val="21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B5-46F3-85BE-F8E14060E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020146868605031"/>
          <c:y val="0.10522513444060705"/>
          <c:w val="0.829813811981785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Exercise_ESP!$F$75</c:f>
              <c:strCache>
                <c:ptCount val="1"/>
                <c:pt idx="0">
                  <c:v>t_int_C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Exercise_ESP!$F$76:$F$96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A4-4F7D-9387-4011B79F1E3D}"/>
            </c:ext>
          </c:extLst>
        </c:ser>
        <c:ser>
          <c:idx val="1"/>
          <c:order val="1"/>
          <c:tx>
            <c:strRef>
              <c:f>Exercise_ESP!$H$75</c:f>
              <c:strCache>
                <c:ptCount val="1"/>
                <c:pt idx="0">
                  <c:v>t_dis_C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Exercise_ESP!$H$76:$H$96</c:f>
              <c:numCache>
                <c:formatCode>0.0</c:formatCode>
                <c:ptCount val="21"/>
                <c:pt idx="0">
                  <c:v>299</c:v>
                </c:pt>
                <c:pt idx="1">
                  <c:v>155.81017749322837</c:v>
                </c:pt>
                <c:pt idx="2">
                  <c:v>118.47170479234285</c:v>
                </c:pt>
                <c:pt idx="3">
                  <c:v>104.2740325748217</c:v>
                </c:pt>
                <c:pt idx="4">
                  <c:v>96.723440054774656</c:v>
                </c:pt>
                <c:pt idx="5">
                  <c:v>92.09578566027966</c:v>
                </c:pt>
                <c:pt idx="6">
                  <c:v>89.106926207855395</c:v>
                </c:pt>
                <c:pt idx="7">
                  <c:v>87.212206563428808</c:v>
                </c:pt>
                <c:pt idx="8">
                  <c:v>86.157626669190762</c:v>
                </c:pt>
                <c:pt idx="9">
                  <c:v>85.722486737541146</c:v>
                </c:pt>
                <c:pt idx="10">
                  <c:v>85.711157868285113</c:v>
                </c:pt>
                <c:pt idx="11">
                  <c:v>86.060208438684541</c:v>
                </c:pt>
                <c:pt idx="12">
                  <c:v>87.046293479592151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A4-4F7D-9387-4011B79F1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8065244871008521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Exercise_ESP!$E$103</c:f>
              <c:strCache>
                <c:ptCount val="1"/>
                <c:pt idx="0">
                  <c:v>p_int_atma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Exercise_ESP!$E$104:$E$124</c:f>
              <c:numCache>
                <c:formatCode>0</c:formatCode>
                <c:ptCount val="21"/>
                <c:pt idx="0">
                  <c:v>18.333622288018326</c:v>
                </c:pt>
                <c:pt idx="1">
                  <c:v>17.88709615029228</c:v>
                </c:pt>
                <c:pt idx="2">
                  <c:v>18.735203893930162</c:v>
                </c:pt>
                <c:pt idx="3">
                  <c:v>21.328960089038596</c:v>
                </c:pt>
                <c:pt idx="4">
                  <c:v>24.990821669790893</c:v>
                </c:pt>
                <c:pt idx="5">
                  <c:v>29.299163662716548</c:v>
                </c:pt>
                <c:pt idx="6">
                  <c:v>34.072158586697206</c:v>
                </c:pt>
                <c:pt idx="7">
                  <c:v>39.26079675160873</c:v>
                </c:pt>
                <c:pt idx="8">
                  <c:v>44.844687458284902</c:v>
                </c:pt>
                <c:pt idx="9">
                  <c:v>50.816604276713811</c:v>
                </c:pt>
                <c:pt idx="10">
                  <c:v>57.209197102947662</c:v>
                </c:pt>
                <c:pt idx="11">
                  <c:v>64.10838413569401</c:v>
                </c:pt>
                <c:pt idx="12">
                  <c:v>71.646191468622305</c:v>
                </c:pt>
                <c:pt idx="13">
                  <c:v>80.0645584154516</c:v>
                </c:pt>
                <c:pt idx="14">
                  <c:v>89.829573853456679</c:v>
                </c:pt>
                <c:pt idx="15">
                  <c:v>102.26328309858354</c:v>
                </c:pt>
                <c:pt idx="16">
                  <c:v>122.55135803557239</c:v>
                </c:pt>
                <c:pt idx="17">
                  <c:v>146.25742256908748</c:v>
                </c:pt>
                <c:pt idx="18">
                  <c:v>170.43126151502906</c:v>
                </c:pt>
                <c:pt idx="19">
                  <c:v>193.64167396006371</c:v>
                </c:pt>
                <c:pt idx="20">
                  <c:v>215.81051705581183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CE-4D5F-8B44-D439F0AA2977}"/>
            </c:ext>
          </c:extLst>
        </c:ser>
        <c:ser>
          <c:idx val="1"/>
          <c:order val="1"/>
          <c:tx>
            <c:strRef>
              <c:f>Exercise_ESP!$G$103</c:f>
              <c:strCache>
                <c:ptCount val="1"/>
                <c:pt idx="0">
                  <c:v>p_dis_atma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Exercise_ESP!$G$104:$G$124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CE-4D5F-8B44-D439F0AA2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511760501322033"/>
          <c:y val="0.10522518309682886"/>
          <c:w val="0.79785892585518026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Exercise_ESP!$F$103</c:f>
              <c:strCache>
                <c:ptCount val="1"/>
                <c:pt idx="0">
                  <c:v>t_int_C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Exercise_ESP!$F$104:$F$124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88-485E-BD72-7504E430BC9F}"/>
            </c:ext>
          </c:extLst>
        </c:ser>
        <c:ser>
          <c:idx val="1"/>
          <c:order val="1"/>
          <c:tx>
            <c:strRef>
              <c:f>Exercise_ESP!$H$103</c:f>
              <c:strCache>
                <c:ptCount val="1"/>
                <c:pt idx="0">
                  <c:v>t_dis_C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Exercise_ESP!$H$104:$H$124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88-485E-BD72-7504E430B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и температура в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Exercise_ESP!$I$45</c:f>
              <c:strCache>
                <c:ptCount val="1"/>
                <c:pt idx="0">
                  <c:v>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1015.35</c:v>
                </c:pt>
                <c:pt idx="1">
                  <c:v>1014.542105263158</c:v>
                </c:pt>
                <c:pt idx="2">
                  <c:v>1013.7342105263158</c:v>
                </c:pt>
                <c:pt idx="3">
                  <c:v>1012.9263157894737</c:v>
                </c:pt>
                <c:pt idx="4">
                  <c:v>1012.1184210526316</c:v>
                </c:pt>
                <c:pt idx="5">
                  <c:v>1011.3105263157895</c:v>
                </c:pt>
                <c:pt idx="6">
                  <c:v>1010.5026315789474</c:v>
                </c:pt>
                <c:pt idx="7">
                  <c:v>1009.6947368421053</c:v>
                </c:pt>
                <c:pt idx="8">
                  <c:v>1008.8868421052632</c:v>
                </c:pt>
                <c:pt idx="9">
                  <c:v>1008.078947368421</c:v>
                </c:pt>
                <c:pt idx="10">
                  <c:v>1007.271052631579</c:v>
                </c:pt>
                <c:pt idx="11">
                  <c:v>1006.4631578947368</c:v>
                </c:pt>
                <c:pt idx="12">
                  <c:v>1005.6552631578948</c:v>
                </c:pt>
                <c:pt idx="13">
                  <c:v>1004.8473684210527</c:v>
                </c:pt>
                <c:pt idx="14">
                  <c:v>1004.0394736842105</c:v>
                </c:pt>
                <c:pt idx="15">
                  <c:v>1003.2315789473685</c:v>
                </c:pt>
                <c:pt idx="16">
                  <c:v>1002.4236842105263</c:v>
                </c:pt>
                <c:pt idx="17">
                  <c:v>1001.6157894736842</c:v>
                </c:pt>
                <c:pt idx="18">
                  <c:v>1000.8078947368422</c:v>
                </c:pt>
                <c:pt idx="19">
                  <c:v>1000</c:v>
                </c:pt>
              </c:numCache>
            </c:numRef>
          </c:xVal>
          <c:yVal>
            <c:numRef>
              <c:f>Exercise_ESP!$I$46:$I$65</c:f>
              <c:numCache>
                <c:formatCode>0</c:formatCode>
                <c:ptCount val="20"/>
                <c:pt idx="0">
                  <c:v>80</c:v>
                </c:pt>
                <c:pt idx="1">
                  <c:v>80.526315789473642</c:v>
                </c:pt>
                <c:pt idx="2">
                  <c:v>81.052631578947313</c:v>
                </c:pt>
                <c:pt idx="3">
                  <c:v>81.578947368420984</c:v>
                </c:pt>
                <c:pt idx="4">
                  <c:v>82.105263157894669</c:v>
                </c:pt>
                <c:pt idx="5">
                  <c:v>82.63157894736834</c:v>
                </c:pt>
                <c:pt idx="6">
                  <c:v>83.15789473684201</c:v>
                </c:pt>
                <c:pt idx="7">
                  <c:v>83.684210526315695</c:v>
                </c:pt>
                <c:pt idx="8">
                  <c:v>84.210526315789366</c:v>
                </c:pt>
                <c:pt idx="9">
                  <c:v>84.736842105263037</c:v>
                </c:pt>
                <c:pt idx="10">
                  <c:v>85.263157894736722</c:v>
                </c:pt>
                <c:pt idx="11">
                  <c:v>85.789473684210392</c:v>
                </c:pt>
                <c:pt idx="12">
                  <c:v>86.315789473684063</c:v>
                </c:pt>
                <c:pt idx="13">
                  <c:v>86.842105263157748</c:v>
                </c:pt>
                <c:pt idx="14">
                  <c:v>87.368421052631419</c:v>
                </c:pt>
                <c:pt idx="15">
                  <c:v>87.894736842105104</c:v>
                </c:pt>
                <c:pt idx="16">
                  <c:v>88.421052631578775</c:v>
                </c:pt>
                <c:pt idx="17">
                  <c:v>88.947368421052445</c:v>
                </c:pt>
                <c:pt idx="18">
                  <c:v>89.47368421052613</c:v>
                </c:pt>
                <c:pt idx="19">
                  <c:v>89.999999999999801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E7-4337-9733-946AC55198BF}"/>
            </c:ext>
          </c:extLst>
        </c:ser>
        <c:ser>
          <c:idx val="1"/>
          <c:order val="1"/>
          <c:tx>
            <c:strRef>
              <c:f>Exercise_ESP!$J$45</c:f>
              <c:strCache>
                <c:ptCount val="1"/>
                <c:pt idx="0">
                  <c:v>gas_fraction, 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1015.35</c:v>
                </c:pt>
                <c:pt idx="1">
                  <c:v>1014.542105263158</c:v>
                </c:pt>
                <c:pt idx="2">
                  <c:v>1013.7342105263158</c:v>
                </c:pt>
                <c:pt idx="3">
                  <c:v>1012.9263157894737</c:v>
                </c:pt>
                <c:pt idx="4">
                  <c:v>1012.1184210526316</c:v>
                </c:pt>
                <c:pt idx="5">
                  <c:v>1011.3105263157895</c:v>
                </c:pt>
                <c:pt idx="6">
                  <c:v>1010.5026315789474</c:v>
                </c:pt>
                <c:pt idx="7">
                  <c:v>1009.6947368421053</c:v>
                </c:pt>
                <c:pt idx="8">
                  <c:v>1008.8868421052632</c:v>
                </c:pt>
                <c:pt idx="9">
                  <c:v>1008.078947368421</c:v>
                </c:pt>
                <c:pt idx="10">
                  <c:v>1007.271052631579</c:v>
                </c:pt>
                <c:pt idx="11">
                  <c:v>1006.4631578947368</c:v>
                </c:pt>
                <c:pt idx="12">
                  <c:v>1005.6552631578948</c:v>
                </c:pt>
                <c:pt idx="13">
                  <c:v>1004.8473684210527</c:v>
                </c:pt>
                <c:pt idx="14">
                  <c:v>1004.0394736842105</c:v>
                </c:pt>
                <c:pt idx="15">
                  <c:v>1003.2315789473685</c:v>
                </c:pt>
                <c:pt idx="16">
                  <c:v>1002.4236842105263</c:v>
                </c:pt>
                <c:pt idx="17">
                  <c:v>1001.6157894736842</c:v>
                </c:pt>
                <c:pt idx="18">
                  <c:v>1000.8078947368422</c:v>
                </c:pt>
                <c:pt idx="19">
                  <c:v>1000</c:v>
                </c:pt>
              </c:numCache>
            </c:numRef>
          </c:xVal>
          <c:yVal>
            <c:numRef>
              <c:f>Exercise_ESP!$J$46:$J$65</c:f>
              <c:numCache>
                <c:formatCode>0</c:formatCode>
                <c:ptCount val="20"/>
                <c:pt idx="0">
                  <c:v>29.189531802331746</c:v>
                </c:pt>
                <c:pt idx="1">
                  <c:v>26.194328870510969</c:v>
                </c:pt>
                <c:pt idx="2">
                  <c:v>18.292427086002242</c:v>
                </c:pt>
                <c:pt idx="3">
                  <c:v>11.787809623470341</c:v>
                </c:pt>
                <c:pt idx="4">
                  <c:v>5.5024316491018288</c:v>
                </c:pt>
                <c:pt idx="5">
                  <c:v>0.53668689405079484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E7-4337-9733-946AC5519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Атм, 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 и доля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Exercise_ESP!$K$45</c:f>
              <c:strCache>
                <c:ptCount val="1"/>
                <c:pt idx="0">
                  <c:v>qmix_rm3day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1015.35</c:v>
                </c:pt>
                <c:pt idx="1">
                  <c:v>1014.542105263158</c:v>
                </c:pt>
                <c:pt idx="2">
                  <c:v>1013.7342105263158</c:v>
                </c:pt>
                <c:pt idx="3">
                  <c:v>1012.9263157894737</c:v>
                </c:pt>
                <c:pt idx="4">
                  <c:v>1012.1184210526316</c:v>
                </c:pt>
                <c:pt idx="5">
                  <c:v>1011.3105263157895</c:v>
                </c:pt>
                <c:pt idx="6">
                  <c:v>1010.5026315789474</c:v>
                </c:pt>
                <c:pt idx="7">
                  <c:v>1009.6947368421053</c:v>
                </c:pt>
                <c:pt idx="8">
                  <c:v>1008.8868421052632</c:v>
                </c:pt>
                <c:pt idx="9">
                  <c:v>1008.078947368421</c:v>
                </c:pt>
                <c:pt idx="10">
                  <c:v>1007.271052631579</c:v>
                </c:pt>
                <c:pt idx="11">
                  <c:v>1006.4631578947368</c:v>
                </c:pt>
                <c:pt idx="12">
                  <c:v>1005.6552631578948</c:v>
                </c:pt>
                <c:pt idx="13">
                  <c:v>1004.8473684210527</c:v>
                </c:pt>
                <c:pt idx="14">
                  <c:v>1004.0394736842105</c:v>
                </c:pt>
                <c:pt idx="15">
                  <c:v>1003.2315789473685</c:v>
                </c:pt>
                <c:pt idx="16">
                  <c:v>1002.4236842105263</c:v>
                </c:pt>
                <c:pt idx="17">
                  <c:v>1001.6157894736842</c:v>
                </c:pt>
                <c:pt idx="18">
                  <c:v>1000.8078947368422</c:v>
                </c:pt>
                <c:pt idx="19">
                  <c:v>1000</c:v>
                </c:pt>
              </c:numCache>
            </c:numRef>
          </c:xVal>
          <c:yVal>
            <c:numRef>
              <c:f>Exercise_ESP!$K$46:$K$65</c:f>
              <c:numCache>
                <c:formatCode>0</c:formatCode>
                <c:ptCount val="20"/>
                <c:pt idx="0">
                  <c:v>46.971374298639951</c:v>
                </c:pt>
                <c:pt idx="1">
                  <c:v>45.266176689145553</c:v>
                </c:pt>
                <c:pt idx="2">
                  <c:v>41.434896000014334</c:v>
                </c:pt>
                <c:pt idx="3">
                  <c:v>38.815052088362627</c:v>
                </c:pt>
                <c:pt idx="4">
                  <c:v>36.693532856253043</c:v>
                </c:pt>
                <c:pt idx="5">
                  <c:v>35.220809911044711</c:v>
                </c:pt>
                <c:pt idx="6">
                  <c:v>35.00390880505789</c:v>
                </c:pt>
                <c:pt idx="7">
                  <c:v>34.942689804607568</c:v>
                </c:pt>
                <c:pt idx="8">
                  <c:v>34.890831982016749</c:v>
                </c:pt>
                <c:pt idx="9">
                  <c:v>34.847036062427563</c:v>
                </c:pt>
                <c:pt idx="10">
                  <c:v>34.809836725743068</c:v>
                </c:pt>
                <c:pt idx="11">
                  <c:v>34.777624341937873</c:v>
                </c:pt>
                <c:pt idx="12">
                  <c:v>34.750061104459583</c:v>
                </c:pt>
                <c:pt idx="13">
                  <c:v>34.726024690122898</c:v>
                </c:pt>
                <c:pt idx="14">
                  <c:v>34.705016663007527</c:v>
                </c:pt>
                <c:pt idx="15">
                  <c:v>34.686795423580513</c:v>
                </c:pt>
                <c:pt idx="16">
                  <c:v>34.670703409600492</c:v>
                </c:pt>
                <c:pt idx="17">
                  <c:v>34.656636817535677</c:v>
                </c:pt>
                <c:pt idx="18">
                  <c:v>34.644266712016432</c:v>
                </c:pt>
                <c:pt idx="19">
                  <c:v>34.633308554485225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3-452A-AABD-A5955D861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scatterChart>
        <c:scatterStyle val="smoothMarker"/>
        <c:varyColors val="0"/>
        <c:ser>
          <c:idx val="0"/>
          <c:order val="0"/>
          <c:tx>
            <c:strRef>
              <c:f>Exercise_ESP!$J$45</c:f>
              <c:strCache>
                <c:ptCount val="1"/>
                <c:pt idx="0">
                  <c:v>gas_fraction,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1015.35</c:v>
                </c:pt>
                <c:pt idx="1">
                  <c:v>1014.542105263158</c:v>
                </c:pt>
                <c:pt idx="2">
                  <c:v>1013.7342105263158</c:v>
                </c:pt>
                <c:pt idx="3">
                  <c:v>1012.9263157894737</c:v>
                </c:pt>
                <c:pt idx="4">
                  <c:v>1012.1184210526316</c:v>
                </c:pt>
                <c:pt idx="5">
                  <c:v>1011.3105263157895</c:v>
                </c:pt>
                <c:pt idx="6">
                  <c:v>1010.5026315789474</c:v>
                </c:pt>
                <c:pt idx="7">
                  <c:v>1009.6947368421053</c:v>
                </c:pt>
                <c:pt idx="8">
                  <c:v>1008.8868421052632</c:v>
                </c:pt>
                <c:pt idx="9">
                  <c:v>1008.078947368421</c:v>
                </c:pt>
                <c:pt idx="10">
                  <c:v>1007.271052631579</c:v>
                </c:pt>
                <c:pt idx="11">
                  <c:v>1006.4631578947368</c:v>
                </c:pt>
                <c:pt idx="12">
                  <c:v>1005.6552631578948</c:v>
                </c:pt>
                <c:pt idx="13">
                  <c:v>1004.8473684210527</c:v>
                </c:pt>
                <c:pt idx="14">
                  <c:v>1004.0394736842105</c:v>
                </c:pt>
                <c:pt idx="15">
                  <c:v>1003.2315789473685</c:v>
                </c:pt>
                <c:pt idx="16">
                  <c:v>1002.4236842105263</c:v>
                </c:pt>
                <c:pt idx="17">
                  <c:v>1001.6157894736842</c:v>
                </c:pt>
                <c:pt idx="18">
                  <c:v>1000.8078947368422</c:v>
                </c:pt>
                <c:pt idx="19">
                  <c:v>1000</c:v>
                </c:pt>
              </c:numCache>
            </c:numRef>
          </c:xVal>
          <c:yVal>
            <c:numRef>
              <c:f>Exercise_ESP!$J$46:$J$65</c:f>
              <c:numCache>
                <c:formatCode>0</c:formatCode>
                <c:ptCount val="20"/>
                <c:pt idx="0">
                  <c:v>29.189531802331746</c:v>
                </c:pt>
                <c:pt idx="1">
                  <c:v>26.194328870510969</c:v>
                </c:pt>
                <c:pt idx="2">
                  <c:v>18.292427086002242</c:v>
                </c:pt>
                <c:pt idx="3">
                  <c:v>11.787809623470341</c:v>
                </c:pt>
                <c:pt idx="4">
                  <c:v>5.5024316491018288</c:v>
                </c:pt>
                <c:pt idx="5">
                  <c:v>0.53668689405079484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3-452A-AABD-A5955D861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56480"/>
        <c:axId val="253854400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valAx>
        <c:axId val="253854400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3856480"/>
        <c:crosses val="max"/>
        <c:crossBetween val="midCat"/>
      </c:valAx>
      <c:valAx>
        <c:axId val="2538564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5385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593879</xdr:colOff>
      <xdr:row>0</xdr:row>
      <xdr:rowOff>22597</xdr:rowOff>
    </xdr:from>
    <xdr:to>
      <xdr:col>13</xdr:col>
      <xdr:colOff>312208</xdr:colOff>
      <xdr:row>17</xdr:row>
      <xdr:rowOff>180975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51579" y="22597"/>
          <a:ext cx="5004704" cy="35111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унифлок. А также показывает работу базовых функций расчета производительности ЭЦН.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Рассчитайте</a:t>
          </a:r>
          <a:r>
            <a:rPr lang="ru-RU" sz="1100" baseline="0"/>
            <a:t> распределение давления в ЭЦН. Проанализируйте распределение других параметров в ЭЦН</a:t>
          </a:r>
          <a:endParaRPr lang="ru-RU" sz="1100"/>
        </a:p>
        <a:p>
          <a:pPr marL="171450" marR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Char char="•"/>
            <a:tabLst/>
            <a:defRPr/>
          </a:pPr>
          <a:r>
            <a:rPr lang="ru-RU" sz="1100"/>
            <a:t>Постройте зависимости давления на входе</a:t>
          </a:r>
          <a:r>
            <a:rPr lang="ru-RU" sz="1100" baseline="0"/>
            <a:t> и выходе</a:t>
          </a:r>
          <a:r>
            <a:rPr lang="ru-RU" sz="1100"/>
            <a:t> от дебита</a:t>
          </a:r>
          <a:r>
            <a:rPr lang="en-US" sz="1100"/>
            <a:t> </a:t>
          </a:r>
          <a:r>
            <a:rPr lang="ru-RU" sz="1100"/>
            <a:t>для</a:t>
          </a:r>
          <a:r>
            <a:rPr lang="ru-RU" sz="1100" baseline="0"/>
            <a:t> заданных параметров флюида и условий работы</a:t>
          </a:r>
          <a:r>
            <a:rPr lang="ru-RU" sz="1100"/>
            <a:t>.</a:t>
          </a:r>
          <a:r>
            <a:rPr lang="en-US" sz="1100"/>
            <a:t> </a:t>
          </a:r>
          <a:r>
            <a:rPr lang="ru-RU" sz="1100"/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Расчет провести двумя способами -"снизу вверх" и "сверху вниз".</a:t>
          </a:r>
          <a:endParaRPr lang="ru-RU" sz="1100">
            <a:effectLst/>
          </a:endParaRP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ESP_p_atma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12</xdr:col>
      <xdr:colOff>211124</xdr:colOff>
      <xdr:row>74</xdr:row>
      <xdr:rowOff>26194</xdr:rowOff>
    </xdr:from>
    <xdr:to>
      <xdr:col>21</xdr:col>
      <xdr:colOff>577183</xdr:colOff>
      <xdr:row>97</xdr:row>
      <xdr:rowOff>15768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17</xdr:row>
      <xdr:rowOff>171450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582274" y="11642"/>
          <a:ext cx="5558367" cy="35126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насосе?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Доля газа в потоке внутри ЭЦН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Вязкость смеси в насосе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Может ли давление на выкиде насоса быть меньше чем давление на входе насоса?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Чем характеристика давление от дебита отличается от характеристики напор от дебита для ЭЦН</a:t>
          </a:r>
        </a:p>
      </xdr:txBody>
    </xdr:sp>
    <xdr:clientData/>
  </xdr:twoCellAnchor>
  <xdr:twoCellAnchor>
    <xdr:from>
      <xdr:col>0</xdr:col>
      <xdr:colOff>0</xdr:colOff>
      <xdr:row>47</xdr:row>
      <xdr:rowOff>50363</xdr:rowOff>
    </xdr:from>
    <xdr:to>
      <xdr:col>5</xdr:col>
      <xdr:colOff>0</xdr:colOff>
      <xdr:row>53</xdr:row>
      <xdr:rowOff>136960</xdr:rowOff>
    </xdr:to>
    <xdr:sp macro="" textlink="">
      <xdr:nvSpPr>
        <xdr:cNvPr id="4" name="Выноска со стрелкой влево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flipH="1">
          <a:off x="0" y="8858187"/>
          <a:ext cx="3798794" cy="1027891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</a:t>
          </a:r>
          <a:r>
            <a:rPr lang="ru-RU" sz="1100"/>
            <a:t>. Рассчитайте</a:t>
          </a:r>
          <a:r>
            <a:rPr lang="ru-RU" sz="1100" baseline="0"/>
            <a:t> распределение давления в насосе и распределение параметров флюида внутри насоса</a:t>
          </a:r>
          <a:endParaRPr lang="ru-RU" sz="1100"/>
        </a:p>
      </xdr:txBody>
    </xdr:sp>
    <xdr:clientData/>
  </xdr:twoCellAnchor>
  <xdr:twoCellAnchor>
    <xdr:from>
      <xdr:col>7</xdr:col>
      <xdr:colOff>781051</xdr:colOff>
      <xdr:row>80</xdr:row>
      <xdr:rowOff>69849</xdr:rowOff>
    </xdr:from>
    <xdr:to>
      <xdr:col>12</xdr:col>
      <xdr:colOff>37043</xdr:colOff>
      <xdr:row>87</xdr:row>
      <xdr:rowOff>25399</xdr:rowOff>
    </xdr:to>
    <xdr:sp macro="" textlink="">
      <xdr:nvSpPr>
        <xdr:cNvPr id="17" name="Выноска со стрелкой влево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391276" y="14995524"/>
          <a:ext cx="311361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входа до выхода (снизу вверх)</a:t>
          </a:r>
        </a:p>
        <a:p>
          <a:pPr algn="l"/>
          <a:endParaRPr lang="ru-RU" sz="1100"/>
        </a:p>
      </xdr:txBody>
    </xdr:sp>
    <xdr:clientData/>
  </xdr:twoCellAnchor>
  <xdr:twoCellAnchor>
    <xdr:from>
      <xdr:col>22</xdr:col>
      <xdr:colOff>123825</xdr:colOff>
      <xdr:row>74</xdr:row>
      <xdr:rowOff>9525</xdr:rowOff>
    </xdr:from>
    <xdr:to>
      <xdr:col>30</xdr:col>
      <xdr:colOff>413684</xdr:colOff>
      <xdr:row>96</xdr:row>
      <xdr:rowOff>161024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3276FA4-C862-4214-B364-BE5996A7EE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313204</xdr:colOff>
      <xdr:row>101</xdr:row>
      <xdr:rowOff>70036</xdr:rowOff>
    </xdr:from>
    <xdr:to>
      <xdr:col>21</xdr:col>
      <xdr:colOff>679263</xdr:colOff>
      <xdr:row>124</xdr:row>
      <xdr:rowOff>59610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73E93F5B-7142-441B-80AD-611A9DB69A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133350</xdr:colOff>
      <xdr:row>101</xdr:row>
      <xdr:rowOff>28575</xdr:rowOff>
    </xdr:from>
    <xdr:to>
      <xdr:col>30</xdr:col>
      <xdr:colOff>423209</xdr:colOff>
      <xdr:row>124</xdr:row>
      <xdr:rowOff>18149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275E4157-3C47-453B-9EB7-97017E46C4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57151</xdr:colOff>
      <xdr:row>109</xdr:row>
      <xdr:rowOff>3174</xdr:rowOff>
    </xdr:from>
    <xdr:to>
      <xdr:col>12</xdr:col>
      <xdr:colOff>132293</xdr:colOff>
      <xdr:row>115</xdr:row>
      <xdr:rowOff>120649</xdr:rowOff>
    </xdr:to>
    <xdr:sp macro="" textlink="">
      <xdr:nvSpPr>
        <xdr:cNvPr id="22" name="Выноска со стрелкой влево 16">
          <a:extLst>
            <a:ext uri="{FF2B5EF4-FFF2-40B4-BE49-F238E27FC236}">
              <a16:creationId xmlns:a16="http://schemas.microsoft.com/office/drawing/2014/main" id="{BBB891D3-5B63-43F6-9A92-83F43F94E288}"/>
            </a:ext>
          </a:extLst>
        </xdr:cNvPr>
        <xdr:cNvSpPr/>
      </xdr:nvSpPr>
      <xdr:spPr>
        <a:xfrm>
          <a:off x="6486526" y="19786599"/>
          <a:ext cx="311361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4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выхода до входа (сверху вниз)</a:t>
          </a:r>
        </a:p>
        <a:p>
          <a:pPr algn="l"/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3" name="Стрелка: влево 22">
          <a:extLst>
            <a:ext uri="{FF2B5EF4-FFF2-40B4-BE49-F238E27FC236}">
              <a16:creationId xmlns:a16="http://schemas.microsoft.com/office/drawing/2014/main" id="{05E481D4-A83F-45BB-9A3C-F617D309B8E5}"/>
            </a:ext>
          </a:extLst>
        </xdr:cNvPr>
        <xdr:cNvSpPr/>
      </xdr:nvSpPr>
      <xdr:spPr>
        <a:xfrm>
          <a:off x="2976843" y="217955"/>
          <a:ext cx="23732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16</xdr:col>
      <xdr:colOff>414337</xdr:colOff>
      <xdr:row>43</xdr:row>
      <xdr:rowOff>23552</xdr:rowOff>
    </xdr:from>
    <xdr:to>
      <xdr:col>22</xdr:col>
      <xdr:colOff>154241</xdr:colOff>
      <xdr:row>65</xdr:row>
      <xdr:rowOff>119084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BDDE3FF-EF3F-4837-8393-C62F109FC6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242427</xdr:colOff>
      <xdr:row>43</xdr:row>
      <xdr:rowOff>23655</xdr:rowOff>
    </xdr:from>
    <xdr:to>
      <xdr:col>28</xdr:col>
      <xdr:colOff>23813</xdr:colOff>
      <xdr:row>65</xdr:row>
      <xdr:rowOff>107157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49AAE5C8-4B3D-4CAA-BBF0-36809C198F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85724</xdr:colOff>
      <xdr:row>26</xdr:row>
      <xdr:rowOff>88463</xdr:rowOff>
    </xdr:from>
    <xdr:to>
      <xdr:col>8</xdr:col>
      <xdr:colOff>600074</xdr:colOff>
      <xdr:row>32</xdr:row>
      <xdr:rowOff>60760</xdr:rowOff>
    </xdr:to>
    <xdr:sp macro="" textlink="">
      <xdr:nvSpPr>
        <xdr:cNvPr id="25" name="Выноска со стрелкой влево 3">
          <a:extLst>
            <a:ext uri="{FF2B5EF4-FFF2-40B4-BE49-F238E27FC236}">
              <a16:creationId xmlns:a16="http://schemas.microsoft.com/office/drawing/2014/main" id="{821E5614-4940-41F5-B980-D95768078D37}"/>
            </a:ext>
          </a:extLst>
        </xdr:cNvPr>
        <xdr:cNvSpPr/>
      </xdr:nvSpPr>
      <xdr:spPr>
        <a:xfrm>
          <a:off x="3133724" y="5193863"/>
          <a:ext cx="3895725" cy="1058147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количество ступеней необходимых для достижения заданного напора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json"/>
      <definedName name="encode_PVT"/>
      <definedName name="ESP_calc"/>
      <definedName name="ESP_head_m"/>
      <definedName name="ESP_id_by_rate"/>
      <definedName name="ESP_name"/>
      <definedName name="ESP_p_atma"/>
      <definedName name="ESP_rate_max_sm3day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ESPcalc">
    <outlinePr summaryBelow="0"/>
  </sheetPr>
  <dimension ref="A1:AJ186"/>
  <sheetViews>
    <sheetView tabSelected="1" topLeftCell="A4" zoomScale="55" zoomScaleNormal="55" workbookViewId="0">
      <selection activeCell="K19" sqref="K19"/>
    </sheetView>
  </sheetViews>
  <sheetFormatPr defaultRowHeight="13.2" x14ac:dyDescent="0.25"/>
  <cols>
    <col min="2" max="2" width="13.21875" customWidth="1"/>
    <col min="3" max="3" width="9.88671875" customWidth="1"/>
    <col min="4" max="4" width="11.5546875" bestFit="1" customWidth="1"/>
    <col min="5" max="5" width="11.33203125" customWidth="1"/>
    <col min="6" max="6" width="13.5546875" customWidth="1"/>
    <col min="7" max="12" width="11.88671875" customWidth="1"/>
    <col min="13" max="13" width="13" customWidth="1"/>
    <col min="14" max="14" width="13.109375" customWidth="1"/>
    <col min="15" max="16" width="11.88671875" customWidth="1"/>
    <col min="17" max="17" width="12.109375" customWidth="1"/>
    <col min="18" max="21" width="11.88671875" customWidth="1"/>
    <col min="22" max="29" width="12.44140625" customWidth="1"/>
    <col min="30" max="30" width="17.44140625" customWidth="1"/>
    <col min="31" max="37" width="12.44140625" customWidth="1"/>
  </cols>
  <sheetData>
    <row r="1" spans="1:12" x14ac:dyDescent="0.25">
      <c r="A1" s="1" t="s">
        <v>13</v>
      </c>
      <c r="F1" t="s">
        <v>14</v>
      </c>
      <c r="G1" t="str">
        <f>[1]!unf_version()</f>
        <v>7.27b</v>
      </c>
      <c r="H1" t="s">
        <v>52</v>
      </c>
      <c r="I1" s="27">
        <v>44311</v>
      </c>
      <c r="J1" s="20"/>
      <c r="K1" s="20"/>
      <c r="L1" s="20"/>
    </row>
    <row r="2" spans="1:12" x14ac:dyDescent="0.25">
      <c r="A2" t="s">
        <v>69</v>
      </c>
      <c r="H2" t="s">
        <v>53</v>
      </c>
      <c r="I2" s="28" t="s">
        <v>81</v>
      </c>
      <c r="J2" s="20"/>
      <c r="K2" s="20"/>
      <c r="L2" s="20"/>
    </row>
    <row r="3" spans="1:12" ht="14.4" x14ac:dyDescent="0.3">
      <c r="A3" s="29" t="s">
        <v>54</v>
      </c>
      <c r="B3" s="59" t="s">
        <v>55</v>
      </c>
      <c r="C3" s="60"/>
      <c r="D3" s="60"/>
      <c r="E3" s="61"/>
      <c r="H3" t="s">
        <v>56</v>
      </c>
      <c r="I3" s="20" t="s">
        <v>55</v>
      </c>
      <c r="J3" s="20"/>
      <c r="K3" s="20"/>
      <c r="L3" s="20"/>
    </row>
    <row r="4" spans="1:12" ht="14.4" x14ac:dyDescent="0.3">
      <c r="A4" s="29" t="s">
        <v>57</v>
      </c>
      <c r="B4" s="59" t="s">
        <v>58</v>
      </c>
      <c r="C4" s="60"/>
      <c r="D4" s="60"/>
      <c r="E4" s="61"/>
      <c r="H4" t="s">
        <v>59</v>
      </c>
      <c r="I4" s="20" t="s">
        <v>58</v>
      </c>
      <c r="J4" s="20"/>
      <c r="K4" s="20"/>
      <c r="L4" s="20"/>
    </row>
    <row r="5" spans="1:12" ht="14.4" x14ac:dyDescent="0.3">
      <c r="A5" s="29" t="s">
        <v>60</v>
      </c>
      <c r="B5" s="59" t="s">
        <v>61</v>
      </c>
      <c r="C5" s="60"/>
      <c r="D5" s="60"/>
      <c r="E5" s="61"/>
      <c r="H5" t="s">
        <v>62</v>
      </c>
      <c r="I5" s="20" t="s">
        <v>61</v>
      </c>
      <c r="J5" s="20"/>
      <c r="K5" s="20"/>
      <c r="L5" s="20"/>
    </row>
    <row r="6" spans="1:12" x14ac:dyDescent="0.25">
      <c r="A6" s="30" t="s">
        <v>63</v>
      </c>
      <c r="B6" s="62" t="s">
        <v>64</v>
      </c>
      <c r="C6" s="63"/>
      <c r="D6" s="63"/>
      <c r="E6" s="64"/>
      <c r="H6" s="31" t="s">
        <v>65</v>
      </c>
      <c r="I6" s="32" t="s">
        <v>64</v>
      </c>
      <c r="J6" s="32"/>
      <c r="K6" s="32"/>
      <c r="L6" s="32"/>
    </row>
    <row r="7" spans="1:12" x14ac:dyDescent="0.25">
      <c r="A7" s="33"/>
      <c r="B7" s="65"/>
      <c r="C7" s="66"/>
      <c r="D7" s="66"/>
      <c r="E7" s="67"/>
      <c r="H7" s="31"/>
      <c r="I7" s="32"/>
      <c r="J7" s="32"/>
      <c r="K7" s="32"/>
      <c r="L7" s="32"/>
    </row>
    <row r="8" spans="1:12" x14ac:dyDescent="0.25">
      <c r="A8" s="34"/>
      <c r="B8" s="68"/>
      <c r="C8" s="69"/>
      <c r="D8" s="69"/>
      <c r="E8" s="70"/>
      <c r="H8" s="31"/>
      <c r="I8" s="32"/>
      <c r="J8" s="32"/>
      <c r="K8" s="32"/>
      <c r="L8" s="32"/>
    </row>
    <row r="10" spans="1:12" x14ac:dyDescent="0.25">
      <c r="A10" s="1" t="s">
        <v>8</v>
      </c>
    </row>
    <row r="11" spans="1:12" ht="16.8" x14ac:dyDescent="0.35">
      <c r="B11" s="9" t="s">
        <v>15</v>
      </c>
      <c r="C11" s="2">
        <v>0.9</v>
      </c>
      <c r="D11" s="10"/>
      <c r="E11" s="11">
        <f>gamma_oil_*1000</f>
        <v>900</v>
      </c>
      <c r="F11" s="12" t="s">
        <v>16</v>
      </c>
    </row>
    <row r="12" spans="1:12" ht="16.8" x14ac:dyDescent="0.35">
      <c r="B12" s="12" t="s">
        <v>17</v>
      </c>
      <c r="C12" s="2">
        <v>1</v>
      </c>
      <c r="D12" s="10"/>
      <c r="E12" s="11">
        <f>gamma_wat_*1000</f>
        <v>1000</v>
      </c>
      <c r="F12" s="12" t="s">
        <v>16</v>
      </c>
    </row>
    <row r="13" spans="1:12" ht="16.8" x14ac:dyDescent="0.35">
      <c r="B13" s="12" t="s">
        <v>18</v>
      </c>
      <c r="C13" s="2">
        <v>0.8</v>
      </c>
      <c r="D13" s="10"/>
      <c r="E13" s="11">
        <f>gamma_gas_*1.22</f>
        <v>0.97599999999999998</v>
      </c>
      <c r="F13" s="12" t="s">
        <v>16</v>
      </c>
    </row>
    <row r="14" spans="1:12" ht="16.8" x14ac:dyDescent="0.35">
      <c r="B14" s="13" t="s">
        <v>19</v>
      </c>
      <c r="C14" s="2">
        <v>80</v>
      </c>
      <c r="D14" s="12" t="s">
        <v>20</v>
      </c>
      <c r="E14" s="14">
        <f>Rsb_/gamma_oil_</f>
        <v>88.888888888888886</v>
      </c>
      <c r="F14" s="12" t="s">
        <v>21</v>
      </c>
    </row>
    <row r="15" spans="1:12" ht="16.8" x14ac:dyDescent="0.35">
      <c r="B15" s="13" t="s">
        <v>22</v>
      </c>
      <c r="C15" s="2">
        <v>80</v>
      </c>
      <c r="D15" s="12" t="s">
        <v>20</v>
      </c>
      <c r="E15" s="14">
        <f>Rsb_/gamma_oil_</f>
        <v>88.888888888888886</v>
      </c>
      <c r="F15" s="12" t="s">
        <v>21</v>
      </c>
    </row>
    <row r="16" spans="1:12" ht="15.6" x14ac:dyDescent="0.35">
      <c r="B16" s="12" t="s">
        <v>23</v>
      </c>
      <c r="C16" s="2">
        <v>120</v>
      </c>
      <c r="D16" s="10" t="s">
        <v>24</v>
      </c>
      <c r="E16" s="14">
        <f>Pb_*1.01325</f>
        <v>121.59</v>
      </c>
      <c r="F16" s="10" t="s">
        <v>25</v>
      </c>
    </row>
    <row r="17" spans="1:30" ht="15.6" x14ac:dyDescent="0.35">
      <c r="B17" s="12" t="s">
        <v>26</v>
      </c>
      <c r="C17" s="2">
        <v>100</v>
      </c>
      <c r="D17" s="10" t="s">
        <v>2</v>
      </c>
      <c r="E17" s="14">
        <f>Tres_*9/5+32</f>
        <v>212</v>
      </c>
      <c r="F17" s="10" t="s">
        <v>27</v>
      </c>
    </row>
    <row r="18" spans="1:30" ht="16.8" x14ac:dyDescent="0.35">
      <c r="B18" s="13" t="s">
        <v>28</v>
      </c>
      <c r="C18" s="2">
        <v>1.2</v>
      </c>
      <c r="D18" s="12" t="s">
        <v>20</v>
      </c>
    </row>
    <row r="19" spans="1:30" ht="15.6" x14ac:dyDescent="0.35">
      <c r="B19" s="22" t="s">
        <v>48</v>
      </c>
      <c r="C19" s="2">
        <v>1</v>
      </c>
      <c r="D19" s="12" t="s">
        <v>47</v>
      </c>
    </row>
    <row r="20" spans="1:30" x14ac:dyDescent="0.25">
      <c r="B20" s="3"/>
      <c r="C20" s="4"/>
    </row>
    <row r="21" spans="1:30" ht="15.6" x14ac:dyDescent="0.35">
      <c r="B21" s="15" t="s">
        <v>32</v>
      </c>
      <c r="C21" s="2">
        <v>30</v>
      </c>
      <c r="D21" s="23" t="s">
        <v>3</v>
      </c>
    </row>
    <row r="22" spans="1:30" ht="15.6" x14ac:dyDescent="0.35">
      <c r="B22" s="15" t="s">
        <v>35</v>
      </c>
      <c r="C22" s="2">
        <v>10</v>
      </c>
      <c r="D22" s="23" t="s">
        <v>34</v>
      </c>
    </row>
    <row r="23" spans="1:30" x14ac:dyDescent="0.25">
      <c r="A23" s="1" t="s">
        <v>46</v>
      </c>
    </row>
    <row r="24" spans="1:30" ht="15.6" x14ac:dyDescent="0.35">
      <c r="B24" s="16" t="s">
        <v>39</v>
      </c>
      <c r="C24" s="2">
        <v>60</v>
      </c>
      <c r="D24" s="16" t="s">
        <v>3</v>
      </c>
      <c r="Q24" t="e" cm="1">
        <f t="array" aca="1" ref="Q24" ca="1">[1]!ESP_calc(Pintake_,Tintake_,J31,PumpID_,NumStage_,Freq_,Tdis_,,L40)</f>
        <v>#NAME?</v>
      </c>
    </row>
    <row r="25" spans="1:30" ht="15.6" x14ac:dyDescent="0.35">
      <c r="B25" s="16" t="s">
        <v>40</v>
      </c>
      <c r="C25" s="2">
        <v>2000</v>
      </c>
      <c r="D25" s="16" t="s">
        <v>4</v>
      </c>
      <c r="W25" t="e">
        <f ca="1">Q24</f>
        <v>#NAME?</v>
      </c>
    </row>
    <row r="26" spans="1:30" x14ac:dyDescent="0.25">
      <c r="B26" s="16" t="s">
        <v>36</v>
      </c>
      <c r="C26" s="2">
        <v>55</v>
      </c>
      <c r="D26" s="16" t="s">
        <v>5</v>
      </c>
    </row>
    <row r="27" spans="1:30" x14ac:dyDescent="0.25">
      <c r="B27" s="16" t="s">
        <v>37</v>
      </c>
      <c r="C27" s="11" cm="1">
        <f t="array" ref="C27">[1]!ESP_id_by_rate(Q_ESP_)</f>
        <v>1006</v>
      </c>
      <c r="D27" s="16"/>
      <c r="AD27" t="str" cm="1">
        <f t="array" aca="1" ref="AD27" ca="1">[1]!decode_json(W25)</f>
        <v>error</v>
      </c>
    </row>
    <row r="28" spans="1:30" x14ac:dyDescent="0.25">
      <c r="B28" s="16" t="s">
        <v>38</v>
      </c>
      <c r="C28" s="11" t="str" cm="1">
        <f t="array" ref="C28">[1]!ESP_name(PumpID_)</f>
        <v>ЭЦН5-80</v>
      </c>
      <c r="D28" s="16"/>
    </row>
    <row r="29" spans="1:30" ht="15.6" x14ac:dyDescent="0.35">
      <c r="B29" s="16" t="s">
        <v>41</v>
      </c>
      <c r="C29" s="11" cm="1">
        <f t="array" ref="C29">[1]!ESP_rate_max_sm3day(Freq_,PumpID_)</f>
        <v>192.5</v>
      </c>
      <c r="D29" s="16"/>
      <c r="J29" s="17" t="s">
        <v>12</v>
      </c>
    </row>
    <row r="30" spans="1:30" x14ac:dyDescent="0.25">
      <c r="B30" s="16" t="s">
        <v>9</v>
      </c>
      <c r="C30" s="47" cm="1">
        <f t="array" ref="C30">INT(Head_ESP_/[1]!ESP_head_m(Q_ESP_,1,,PumpID_))</f>
        <v>307</v>
      </c>
      <c r="D30" s="16" t="s">
        <v>6</v>
      </c>
      <c r="J30" s="8" t="str" cm="1">
        <f t="array" ref="J30">[1]!encode_PVT(gamma_gas_,gamma_oil_,,Rsb_,Pb_,Tres_,Bob_,muob_,)</f>
        <v>{"gamma_gas":0.8,"gamma_oil":0.9,"gamma_wat":1,"rsb_m3m3":80,"pb_atma":120,"t_res_C":100,"bob_m3m3":1.2,"muob_cP":1}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30" ht="15.6" x14ac:dyDescent="0.35">
      <c r="B31" s="16" t="s">
        <v>42</v>
      </c>
      <c r="C31" s="5">
        <v>0.8</v>
      </c>
      <c r="D31" s="16"/>
      <c r="J31" t="str" cm="1">
        <f t="array" ref="J31">[1]!encode_feed(Q_,fw_,Rp_,,PVT_str_)</f>
        <v>{"gamma_gas":0.8,"gamma_oil":0.9,"gamma_wat":1,"rsb_m3m3":80,"pb_atma":120,"t_res_C":100,"bob_m3m3":1.2,"muob_cP":1,"q_liq_sm3day":30,"fw_perc":10,"rp_m3m3":80}</v>
      </c>
    </row>
    <row r="32" spans="1:30" ht="15.6" x14ac:dyDescent="0.35">
      <c r="B32" s="16" t="s">
        <v>43</v>
      </c>
      <c r="C32" s="7">
        <v>80</v>
      </c>
      <c r="D32" s="16" t="s">
        <v>1</v>
      </c>
    </row>
    <row r="33" spans="1:19" ht="15.6" x14ac:dyDescent="0.35">
      <c r="B33" s="16" t="s">
        <v>44</v>
      </c>
      <c r="C33" s="7">
        <v>80</v>
      </c>
      <c r="D33" s="16" t="s">
        <v>2</v>
      </c>
    </row>
    <row r="34" spans="1:19" ht="14.4" x14ac:dyDescent="0.3">
      <c r="B34" s="21" t="s">
        <v>45</v>
      </c>
      <c r="C34" s="2">
        <v>1</v>
      </c>
      <c r="D34" s="21" t="s">
        <v>29</v>
      </c>
      <c r="L34" s="54" t="s">
        <v>71</v>
      </c>
      <c r="S34" t="str" cm="1">
        <f t="array" ref="S34">[1]!decode_json(O43)</f>
        <v>error</v>
      </c>
    </row>
    <row r="35" spans="1:19" x14ac:dyDescent="0.25">
      <c r="A35" t="s">
        <v>51</v>
      </c>
      <c r="L35" s="12" t="s">
        <v>72</v>
      </c>
      <c r="M35" s="55">
        <v>1</v>
      </c>
    </row>
    <row r="36" spans="1:19" x14ac:dyDescent="0.25">
      <c r="B36" s="16" t="s">
        <v>7</v>
      </c>
      <c r="C36" s="2">
        <v>20</v>
      </c>
      <c r="D36" s="16"/>
      <c r="J36" s="36"/>
      <c r="L36" s="12" t="s">
        <v>73</v>
      </c>
      <c r="M36" s="55">
        <v>0</v>
      </c>
    </row>
    <row r="37" spans="1:19" x14ac:dyDescent="0.25">
      <c r="A37" s="1"/>
      <c r="L37" s="12" t="s">
        <v>74</v>
      </c>
      <c r="M37" s="55">
        <v>1</v>
      </c>
    </row>
    <row r="38" spans="1:19" x14ac:dyDescent="0.25">
      <c r="A38" s="1" t="s">
        <v>46</v>
      </c>
      <c r="B38" s="3"/>
      <c r="C38" s="4"/>
      <c r="L38" s="71" t="s">
        <v>80</v>
      </c>
      <c r="M38" s="20">
        <v>20</v>
      </c>
    </row>
    <row r="39" spans="1:19" ht="12.75" customHeight="1" x14ac:dyDescent="0.35">
      <c r="B39" s="15" t="s">
        <v>30</v>
      </c>
      <c r="C39" s="2">
        <v>70</v>
      </c>
      <c r="D39" s="16" t="s">
        <v>1</v>
      </c>
      <c r="F39" s="46" t="s">
        <v>67</v>
      </c>
      <c r="G39" s="2">
        <v>1</v>
      </c>
    </row>
    <row r="40" spans="1:19" ht="15.6" x14ac:dyDescent="0.35">
      <c r="B40" s="15" t="s">
        <v>31</v>
      </c>
      <c r="C40" s="2">
        <v>80</v>
      </c>
      <c r="D40" s="16" t="s">
        <v>2</v>
      </c>
      <c r="L40" s="20" t="str" cm="1">
        <f t="array" ref="L40">[1]!encode_json(L35:M38)</f>
        <v>{"show_log":1,"num_value":0,"show_array":1,"esp_gas_correct":20}</v>
      </c>
    </row>
    <row r="41" spans="1:19" ht="15.6" x14ac:dyDescent="0.35">
      <c r="B41" s="15" t="s">
        <v>33</v>
      </c>
      <c r="C41" s="2">
        <v>150</v>
      </c>
      <c r="D41" s="16" t="s">
        <v>1</v>
      </c>
      <c r="F41" t="s">
        <v>66</v>
      </c>
    </row>
    <row r="42" spans="1:19" ht="15.6" x14ac:dyDescent="0.35">
      <c r="B42" s="15" t="s">
        <v>49</v>
      </c>
      <c r="C42" s="2">
        <v>90</v>
      </c>
      <c r="D42" s="23" t="s">
        <v>2</v>
      </c>
    </row>
    <row r="43" spans="1:19" x14ac:dyDescent="0.25">
      <c r="B43" s="15" t="s">
        <v>50</v>
      </c>
      <c r="C43" s="2">
        <v>0</v>
      </c>
      <c r="D43" s="23"/>
      <c r="F43" s="53" cm="1">
        <f t="array" ref="F43:P65">[1]!ESP_p_atma(Pintake_,Tintake_,Tdis_,J31,PumpID_,NumStage_,Freq_,,,,,gas_degr_type_,1,L40)</f>
        <v>267.48844961301631</v>
      </c>
      <c r="G43" s="41">
        <v>70</v>
      </c>
      <c r="H43" s="41">
        <v>80</v>
      </c>
      <c r="I43" s="41">
        <v>267.48844961301631</v>
      </c>
      <c r="J43" s="41">
        <v>89.999999999999801</v>
      </c>
      <c r="K43" s="41">
        <v>2486.2276317113574</v>
      </c>
      <c r="L43" s="41">
        <v>26.577128342533008</v>
      </c>
      <c r="M43" s="41">
        <v>8316.9224669698579</v>
      </c>
      <c r="N43" s="41">
        <v>31293.533145414276</v>
      </c>
      <c r="O43" s="73">
        <v>1</v>
      </c>
      <c r="P43" s="74" t="str">
        <v>["CESPpump start:","{\"gas_correct_model\" :0, \"gas_correct_stage_by_stage\" : 1, \"dnum_stages_integrate\" : 10, \"calc_from_dis\": 0}","{\"gas_correct_intake\" :1,000, \"gas_frac_intake\" :0,292}","calc_integration calc done in 0 ms"]</v>
      </c>
    </row>
    <row r="44" spans="1:19" ht="26.4" x14ac:dyDescent="0.25">
      <c r="B44" s="15" t="s">
        <v>68</v>
      </c>
      <c r="C44" s="2">
        <v>10</v>
      </c>
      <c r="F44" s="75" t="str">
        <v>p_dis_atma</v>
      </c>
      <c r="G44" s="72" t="str">
        <v>p_int_atma</v>
      </c>
      <c r="H44" s="72" t="str">
        <v>t_int_C</v>
      </c>
      <c r="I44" s="72" t="str">
        <v>p_dis_atma</v>
      </c>
      <c r="J44" s="72" t="str">
        <v>t_dis_C</v>
      </c>
      <c r="K44" s="72" t="str">
        <v>head_m</v>
      </c>
      <c r="L44" s="72" t="str">
        <v>eff_ESP_d, %</v>
      </c>
      <c r="M44" s="72" t="str">
        <v>power_fluid_W</v>
      </c>
      <c r="N44" s="72" t="str">
        <v>power_ESP_W</v>
      </c>
      <c r="O44" s="72" t="str">
        <v>gas_correction</v>
      </c>
      <c r="P44" s="76" t="str">
        <v>log</v>
      </c>
    </row>
    <row r="45" spans="1:19" x14ac:dyDescent="0.25">
      <c r="F45" s="42" t="str">
        <v>n_stage</v>
      </c>
      <c r="G45" s="43" t="str">
        <v>length_m</v>
      </c>
      <c r="H45" s="43" t="str">
        <v>p_atma</v>
      </c>
      <c r="I45" s="43" t="str">
        <v>t_C</v>
      </c>
      <c r="J45" s="43" t="str">
        <v>gas_fraction, %</v>
      </c>
      <c r="K45" s="43" t="str">
        <v>qmix_rm3day</v>
      </c>
      <c r="L45" s="43" t="str">
        <v>Power_fluid_W</v>
      </c>
      <c r="M45" s="43" t="str">
        <v>Power_ESP_W</v>
      </c>
      <c r="N45" s="43" t="str">
        <v>eff fluid, %</v>
      </c>
      <c r="O45" s="43" t="str">
        <v>mu_stage_cP</v>
      </c>
      <c r="P45" s="76" t="str">
        <v>gas correction, %</v>
      </c>
    </row>
    <row r="46" spans="1:19" x14ac:dyDescent="0.25">
      <c r="F46" s="51">
        <v>0</v>
      </c>
      <c r="G46" s="45">
        <v>1015.35</v>
      </c>
      <c r="H46" s="45">
        <v>70</v>
      </c>
      <c r="I46" s="45">
        <v>80</v>
      </c>
      <c r="J46" s="45">
        <v>29.189531802331746</v>
      </c>
      <c r="K46" s="45">
        <v>46.971374298639951</v>
      </c>
      <c r="L46" s="45">
        <v>0</v>
      </c>
      <c r="M46" s="45">
        <v>0</v>
      </c>
      <c r="N46" s="45">
        <v>0</v>
      </c>
      <c r="O46" s="44">
        <v>0.95777688526496951</v>
      </c>
      <c r="P46" s="77">
        <v>100</v>
      </c>
    </row>
    <row r="47" spans="1:19" x14ac:dyDescent="0.25">
      <c r="F47" s="51">
        <v>16.157894736842106</v>
      </c>
      <c r="G47" s="45">
        <v>1014.542105263158</v>
      </c>
      <c r="H47" s="45">
        <v>78.13279778744085</v>
      </c>
      <c r="I47" s="45">
        <v>80.526315789473642</v>
      </c>
      <c r="J47" s="45">
        <v>26.194328870510969</v>
      </c>
      <c r="K47" s="45">
        <v>45.266176689145553</v>
      </c>
      <c r="L47" s="45">
        <v>435.30916402555442</v>
      </c>
      <c r="M47" s="45">
        <v>1308.5118263114416</v>
      </c>
      <c r="N47" s="45">
        <v>33.285224689618822</v>
      </c>
      <c r="O47" s="44">
        <v>0.96124642461464216</v>
      </c>
      <c r="P47" s="77">
        <v>100</v>
      </c>
    </row>
    <row r="48" spans="1:19" x14ac:dyDescent="0.25">
      <c r="F48" s="51">
        <v>32.315789473684212</v>
      </c>
      <c r="G48" s="45">
        <v>1013.7342105263158</v>
      </c>
      <c r="H48" s="45">
        <v>87.011291994718363</v>
      </c>
      <c r="I48" s="45">
        <v>81.052631578947313</v>
      </c>
      <c r="J48" s="45">
        <v>18.292427086002242</v>
      </c>
      <c r="K48" s="45">
        <v>41.434896000014334</v>
      </c>
      <c r="L48" s="45">
        <v>871.74831545656616</v>
      </c>
      <c r="M48" s="45">
        <v>2728.7146069196947</v>
      </c>
      <c r="N48" s="45">
        <v>32.008554968393874</v>
      </c>
      <c r="O48" s="44">
        <v>0.96442452133424039</v>
      </c>
      <c r="P48" s="77">
        <v>100</v>
      </c>
    </row>
    <row r="49" spans="6:16" x14ac:dyDescent="0.25">
      <c r="F49" s="51">
        <v>48.473684210526315</v>
      </c>
      <c r="G49" s="45">
        <v>1012.9263157894737</v>
      </c>
      <c r="H49" s="45">
        <v>96.48860798516688</v>
      </c>
      <c r="I49" s="45">
        <v>81.578947368420984</v>
      </c>
      <c r="J49" s="45">
        <v>11.787809623470341</v>
      </c>
      <c r="K49" s="45">
        <v>38.815052088362627</v>
      </c>
      <c r="L49" s="45">
        <v>1308.8727263973074</v>
      </c>
      <c r="M49" s="45">
        <v>4238.6367514437861</v>
      </c>
      <c r="N49" s="45">
        <v>30.897448369350034</v>
      </c>
      <c r="O49" s="44">
        <v>0.96145816497579506</v>
      </c>
      <c r="P49" s="77">
        <v>100</v>
      </c>
    </row>
    <row r="50" spans="6:16" x14ac:dyDescent="0.25">
      <c r="F50" s="51">
        <v>64.631578947368425</v>
      </c>
      <c r="G50" s="45">
        <v>1012.1184210526316</v>
      </c>
      <c r="H50" s="45">
        <v>106.56426820667539</v>
      </c>
      <c r="I50" s="45">
        <v>82.105263157894669</v>
      </c>
      <c r="J50" s="45">
        <v>5.5024316491018288</v>
      </c>
      <c r="K50" s="45">
        <v>36.693532856253043</v>
      </c>
      <c r="L50" s="45">
        <v>1746.5393444371352</v>
      </c>
      <c r="M50" s="45">
        <v>5838.1365390476149</v>
      </c>
      <c r="N50" s="45">
        <v>29.933851312776376</v>
      </c>
      <c r="O50" s="44">
        <v>0.95347493185838639</v>
      </c>
      <c r="P50" s="77">
        <v>100</v>
      </c>
    </row>
    <row r="51" spans="6:16" x14ac:dyDescent="0.25">
      <c r="F51" s="51">
        <v>80.789473684210535</v>
      </c>
      <c r="G51" s="45">
        <v>1011.3105263157895</v>
      </c>
      <c r="H51" s="45">
        <v>117.11110025463974</v>
      </c>
      <c r="I51" s="45">
        <v>82.63157894736834</v>
      </c>
      <c r="J51" s="45">
        <v>0.53668689405079484</v>
      </c>
      <c r="K51" s="45">
        <v>35.220809911044711</v>
      </c>
      <c r="L51" s="45">
        <v>2184.5626325239464</v>
      </c>
      <c r="M51" s="45">
        <v>7508.0849280462153</v>
      </c>
      <c r="N51" s="45">
        <v>29.109935762026801</v>
      </c>
      <c r="O51" s="44">
        <v>0.94783604723806092</v>
      </c>
      <c r="P51" s="77">
        <v>100</v>
      </c>
    </row>
    <row r="52" spans="6:16" x14ac:dyDescent="0.25">
      <c r="F52" s="51">
        <v>96.94736842105263</v>
      </c>
      <c r="G52" s="45">
        <v>1010.5026315789474</v>
      </c>
      <c r="H52" s="45">
        <v>127.7777257544231</v>
      </c>
      <c r="I52" s="45">
        <v>83.15789473684201</v>
      </c>
      <c r="J52" s="45">
        <v>0</v>
      </c>
      <c r="K52" s="45">
        <v>35.00390880505789</v>
      </c>
      <c r="L52" s="45">
        <v>2622.6448571386541</v>
      </c>
      <c r="M52" s="45">
        <v>9195.9265624976852</v>
      </c>
      <c r="N52" s="45">
        <v>28.519833104607233</v>
      </c>
      <c r="O52" s="44">
        <v>0.96512557385399289</v>
      </c>
      <c r="P52" s="77">
        <v>100</v>
      </c>
    </row>
    <row r="53" spans="6:16" x14ac:dyDescent="0.25">
      <c r="F53" s="51">
        <v>113.10526315789474</v>
      </c>
      <c r="G53" s="45">
        <v>1009.6947368421053</v>
      </c>
      <c r="H53" s="45">
        <v>138.4652199860881</v>
      </c>
      <c r="I53" s="45">
        <v>83.684210526315695</v>
      </c>
      <c r="J53" s="45">
        <v>0</v>
      </c>
      <c r="K53" s="45">
        <v>34.942689804607568</v>
      </c>
      <c r="L53" s="45">
        <v>3060.7098752879397</v>
      </c>
      <c r="M53" s="45">
        <v>10886.878091763292</v>
      </c>
      <c r="N53" s="45">
        <v>28.118758697531899</v>
      </c>
      <c r="O53" s="44">
        <v>0.98660340697200877</v>
      </c>
      <c r="P53" s="77">
        <v>100</v>
      </c>
    </row>
    <row r="54" spans="6:16" x14ac:dyDescent="0.25">
      <c r="F54" s="51">
        <v>129.26315789473685</v>
      </c>
      <c r="G54" s="45">
        <v>1008.8868421052632</v>
      </c>
      <c r="H54" s="45">
        <v>149.16776055165553</v>
      </c>
      <c r="I54" s="45">
        <v>84.210526315789366</v>
      </c>
      <c r="J54" s="45">
        <v>0</v>
      </c>
      <c r="K54" s="45">
        <v>34.890831982016749</v>
      </c>
      <c r="L54" s="45">
        <v>3498.7627877627219</v>
      </c>
      <c r="M54" s="45">
        <v>12580.0717902534</v>
      </c>
      <c r="N54" s="45">
        <v>27.814233549729835</v>
      </c>
      <c r="O54" s="44">
        <v>1.009706156257473</v>
      </c>
      <c r="P54" s="77">
        <v>100</v>
      </c>
    </row>
    <row r="55" spans="6:16" x14ac:dyDescent="0.25">
      <c r="F55" s="51">
        <v>145.42105263157896</v>
      </c>
      <c r="G55" s="45">
        <v>1008.078947368421</v>
      </c>
      <c r="H55" s="45">
        <v>159.88404048574017</v>
      </c>
      <c r="I55" s="45">
        <v>84.736842105263037</v>
      </c>
      <c r="J55" s="45">
        <v>0</v>
      </c>
      <c r="K55" s="45">
        <v>34.847036062427563</v>
      </c>
      <c r="L55" s="45">
        <v>3936.8049006078368</v>
      </c>
      <c r="M55" s="45">
        <v>14275.312866204553</v>
      </c>
      <c r="N55" s="45">
        <v>27.579036542698226</v>
      </c>
      <c r="O55" s="44">
        <v>1.0344301073725264</v>
      </c>
      <c r="P55" s="77">
        <v>100</v>
      </c>
    </row>
    <row r="56" spans="6:16" x14ac:dyDescent="0.25">
      <c r="F56" s="51">
        <v>161.57894736842107</v>
      </c>
      <c r="G56" s="45">
        <v>1007.271052631579</v>
      </c>
      <c r="H56" s="45">
        <v>170.61224980675431</v>
      </c>
      <c r="I56" s="45">
        <v>85.263157894736722</v>
      </c>
      <c r="J56" s="45">
        <v>0</v>
      </c>
      <c r="K56" s="45">
        <v>34.809836725743068</v>
      </c>
      <c r="L56" s="45">
        <v>4374.8379138146365</v>
      </c>
      <c r="M56" s="45">
        <v>15972.331591372777</v>
      </c>
      <c r="N56" s="45">
        <v>27.391802987502018</v>
      </c>
      <c r="O56" s="44">
        <v>1.0607037317249859</v>
      </c>
      <c r="P56" s="77">
        <v>100</v>
      </c>
    </row>
    <row r="57" spans="6:16" x14ac:dyDescent="0.25">
      <c r="F57" s="51">
        <v>177.73684210526318</v>
      </c>
      <c r="G57" s="45">
        <v>1006.4631578947368</v>
      </c>
      <c r="H57" s="45">
        <v>181.34991298732592</v>
      </c>
      <c r="I57" s="45">
        <v>85.789473684210392</v>
      </c>
      <c r="J57" s="45">
        <v>0</v>
      </c>
      <c r="K57" s="45">
        <v>34.777624341937873</v>
      </c>
      <c r="L57" s="45">
        <v>4812.8639406120865</v>
      </c>
      <c r="M57" s="45">
        <v>17670.759080716336</v>
      </c>
      <c r="N57" s="45">
        <v>27.236653566458045</v>
      </c>
      <c r="O57" s="44">
        <v>1.0883106438072097</v>
      </c>
      <c r="P57" s="77">
        <v>100</v>
      </c>
    </row>
    <row r="58" spans="6:16" x14ac:dyDescent="0.25">
      <c r="F58" s="51">
        <v>193.89473684210526</v>
      </c>
      <c r="G58" s="45">
        <v>1005.6552631578948</v>
      </c>
      <c r="H58" s="45">
        <v>192.09677887531834</v>
      </c>
      <c r="I58" s="45">
        <v>86.315789473684063</v>
      </c>
      <c r="J58" s="45">
        <v>0</v>
      </c>
      <c r="K58" s="45">
        <v>34.750061104459583</v>
      </c>
      <c r="L58" s="45">
        <v>5250.8834304362381</v>
      </c>
      <c r="M58" s="45">
        <v>19370.557926827747</v>
      </c>
      <c r="N58" s="45">
        <v>27.108417002784684</v>
      </c>
      <c r="O58" s="44">
        <v>1.1173247805150557</v>
      </c>
      <c r="P58" s="77">
        <v>100</v>
      </c>
    </row>
    <row r="59" spans="6:16" x14ac:dyDescent="0.25">
      <c r="F59" s="51">
        <v>210.05263157894737</v>
      </c>
      <c r="G59" s="45">
        <v>1004.8473684210527</v>
      </c>
      <c r="H59" s="45">
        <v>202.85090571389915</v>
      </c>
      <c r="I59" s="45">
        <v>86.842105263157748</v>
      </c>
      <c r="J59" s="45">
        <v>0</v>
      </c>
      <c r="K59" s="45">
        <v>34.726024690122898</v>
      </c>
      <c r="L59" s="45">
        <v>5688.8980198017798</v>
      </c>
      <c r="M59" s="45">
        <v>21071.438803486992</v>
      </c>
      <c r="N59" s="45">
        <v>26.998799708589644</v>
      </c>
      <c r="O59" s="44">
        <v>1.1475408433164991</v>
      </c>
      <c r="P59" s="77">
        <v>100</v>
      </c>
    </row>
    <row r="60" spans="6:16" x14ac:dyDescent="0.25">
      <c r="F60" s="51">
        <v>226.21052631578948</v>
      </c>
      <c r="G60" s="45">
        <v>1004.0394736842105</v>
      </c>
      <c r="H60" s="45">
        <v>213.61145320394183</v>
      </c>
      <c r="I60" s="45">
        <v>87.368421052631419</v>
      </c>
      <c r="J60" s="45">
        <v>0</v>
      </c>
      <c r="K60" s="45">
        <v>34.705016663007527</v>
      </c>
      <c r="L60" s="45">
        <v>6126.9085093870908</v>
      </c>
      <c r="M60" s="45">
        <v>22773.276521088803</v>
      </c>
      <c r="N60" s="45">
        <v>26.904128851411063</v>
      </c>
      <c r="O60" s="44">
        <v>1.1788900817535903</v>
      </c>
      <c r="P60" s="77">
        <v>100</v>
      </c>
    </row>
    <row r="61" spans="6:16" x14ac:dyDescent="0.25">
      <c r="F61" s="51">
        <v>242.36842105263159</v>
      </c>
      <c r="G61" s="45">
        <v>1003.2315789473685</v>
      </c>
      <c r="H61" s="45">
        <v>224.37808008437909</v>
      </c>
      <c r="I61" s="45">
        <v>87.894736842105104</v>
      </c>
      <c r="J61" s="45">
        <v>0</v>
      </c>
      <c r="K61" s="45">
        <v>34.686795423580513</v>
      </c>
      <c r="L61" s="45">
        <v>6564.9154173470497</v>
      </c>
      <c r="M61" s="45">
        <v>24476.020270914614</v>
      </c>
      <c r="N61" s="45">
        <v>26.822336107271376</v>
      </c>
      <c r="O61" s="44">
        <v>1.2113871259994442</v>
      </c>
      <c r="P61" s="77">
        <v>100</v>
      </c>
    </row>
    <row r="62" spans="6:16" x14ac:dyDescent="0.25">
      <c r="F62" s="51">
        <v>258.5263157894737</v>
      </c>
      <c r="G62" s="45">
        <v>1002.4236842105263</v>
      </c>
      <c r="H62" s="45">
        <v>235.14945623394138</v>
      </c>
      <c r="I62" s="45">
        <v>88.421052631578775</v>
      </c>
      <c r="J62" s="45">
        <v>0</v>
      </c>
      <c r="K62" s="45">
        <v>34.670703409600492</v>
      </c>
      <c r="L62" s="45">
        <v>7002.9197934223439</v>
      </c>
      <c r="M62" s="45">
        <v>26179.471867321496</v>
      </c>
      <c r="N62" s="45">
        <v>26.749873601006165</v>
      </c>
      <c r="O62" s="44">
        <v>1.2448341203502844</v>
      </c>
      <c r="P62" s="77">
        <v>100</v>
      </c>
    </row>
    <row r="63" spans="6:16" x14ac:dyDescent="0.25">
      <c r="F63" s="51">
        <v>274.68421052631578</v>
      </c>
      <c r="G63" s="45">
        <v>1001.6157894736842</v>
      </c>
      <c r="H63" s="45">
        <v>245.92542741749247</v>
      </c>
      <c r="I63" s="45">
        <v>88.947368421052445</v>
      </c>
      <c r="J63" s="45">
        <v>0</v>
      </c>
      <c r="K63" s="45">
        <v>34.656636817535677</v>
      </c>
      <c r="L63" s="45">
        <v>7440.9220131908141</v>
      </c>
      <c r="M63" s="45">
        <v>27883.608377681918</v>
      </c>
      <c r="N63" s="45">
        <v>26.685906011100478</v>
      </c>
      <c r="O63" s="44">
        <v>1.2792464000966632</v>
      </c>
      <c r="P63" s="77">
        <v>100</v>
      </c>
    </row>
    <row r="64" spans="6:16" x14ac:dyDescent="0.25">
      <c r="F64" s="51">
        <v>290.84210526315792</v>
      </c>
      <c r="G64" s="45">
        <v>1000.8078947368422</v>
      </c>
      <c r="H64" s="45">
        <v>256.70530129679815</v>
      </c>
      <c r="I64" s="45">
        <v>89.47368421052613</v>
      </c>
      <c r="J64" s="45">
        <v>0</v>
      </c>
      <c r="K64" s="45">
        <v>34.644266712016432</v>
      </c>
      <c r="L64" s="45">
        <v>7878.9227288469856</v>
      </c>
      <c r="M64" s="45">
        <v>29588.326669682217</v>
      </c>
      <c r="N64" s="45">
        <v>26.628764162691908</v>
      </c>
      <c r="O64" s="44">
        <v>1.3145171855178326</v>
      </c>
      <c r="P64" s="77">
        <v>100</v>
      </c>
    </row>
    <row r="65" spans="2:35" x14ac:dyDescent="0.25">
      <c r="F65" s="52">
        <v>307</v>
      </c>
      <c r="G65" s="48">
        <v>1000</v>
      </c>
      <c r="H65" s="48">
        <v>267.48844961301631</v>
      </c>
      <c r="I65" s="48">
        <v>89.999999999999801</v>
      </c>
      <c r="J65" s="48">
        <v>0</v>
      </c>
      <c r="K65" s="48">
        <v>34.633308554485225</v>
      </c>
      <c r="L65" s="48">
        <v>8316.9224669698579</v>
      </c>
      <c r="M65" s="48">
        <v>31293.533145414276</v>
      </c>
      <c r="N65" s="48">
        <v>26.577128342533008</v>
      </c>
      <c r="O65" s="49">
        <v>1.3505321428945745</v>
      </c>
      <c r="P65" s="78">
        <v>100</v>
      </c>
    </row>
    <row r="68" spans="2:35" x14ac:dyDescent="0.25">
      <c r="G68" s="36"/>
    </row>
    <row r="69" spans="2:35" x14ac:dyDescent="0.25">
      <c r="G69" s="36"/>
    </row>
    <row r="70" spans="2:35" x14ac:dyDescent="0.25">
      <c r="G70" s="36"/>
    </row>
    <row r="71" spans="2:35" x14ac:dyDescent="0.25">
      <c r="G71" s="36"/>
    </row>
    <row r="72" spans="2:35" x14ac:dyDescent="0.25">
      <c r="G72" s="36"/>
    </row>
    <row r="73" spans="2:35" x14ac:dyDescent="0.25">
      <c r="C73" s="4"/>
      <c r="K73" t="s">
        <v>79</v>
      </c>
    </row>
    <row r="74" spans="2:35" x14ac:dyDescent="0.25">
      <c r="C74" s="4"/>
      <c r="D74" s="56" t="s">
        <v>10</v>
      </c>
      <c r="E74" s="57"/>
      <c r="F74" s="57"/>
      <c r="G74" s="57"/>
      <c r="H74" s="58"/>
      <c r="AI74" t="s">
        <v>70</v>
      </c>
    </row>
    <row r="75" spans="2:35" x14ac:dyDescent="0.25">
      <c r="C75" s="18" t="s">
        <v>0</v>
      </c>
      <c r="D75" s="19" t="s">
        <v>75</v>
      </c>
      <c r="E75" s="19" t="s">
        <v>76</v>
      </c>
      <c r="F75" s="19" t="s">
        <v>77</v>
      </c>
      <c r="G75" s="19" t="s">
        <v>75</v>
      </c>
      <c r="H75" s="19" t="s">
        <v>78</v>
      </c>
    </row>
    <row r="76" spans="2:35" x14ac:dyDescent="0.25">
      <c r="B76" t="str" cm="1">
        <f t="array" ref="B76">[1]!encode_feed(C76,fw_,Rp_,,PVT_str_)</f>
        <v>{"gamma_gas":0.8,"gamma_oil":0.9,"gamma_wat":1,"rsb_m3m3":80,"pb_atma":120,"t_res_C":100,"bob_m3m3":1.2,"muob_cP":1,"q_liq_sm3day":1,"fw_perc":10,"rp_m3m3":80}</v>
      </c>
      <c r="C76" s="6">
        <v>1</v>
      </c>
      <c r="D76" s="26">
        <f t="array" ref="D76:H76">[1]!ESP_p_atma(Pintake_,Tintake_,0,B76,PumpID_,NumStage_,Freq_,,,,,gas_degr_type_,,$L$40)</f>
        <v>206.59665704622219</v>
      </c>
      <c r="E76" s="26">
        <v>70</v>
      </c>
      <c r="F76" s="26">
        <v>80</v>
      </c>
      <c r="G76" s="26">
        <v>206.59665704622219</v>
      </c>
      <c r="H76" s="50">
        <v>299</v>
      </c>
    </row>
    <row r="77" spans="2:35" x14ac:dyDescent="0.25">
      <c r="B77" t="str" cm="1">
        <f t="array" ref="B77">[1]!encode_feed(C77,fw_,Rp_,,PVT_str_)</f>
        <v>{"gamma_gas":0.8,"gamma_oil":0.9,"gamma_wat":1,"rsb_m3m3":80,"pb_atma":120,"t_res_C":100,"bob_m3m3":1.2,"muob_cP":1,"q_liq_sm3day":10.625,"fw_perc":10,"rp_m3m3":80}</v>
      </c>
      <c r="C77" s="6">
        <f t="shared" ref="C77:C96" si="0">C76+Qmax_/20</f>
        <v>10.625</v>
      </c>
      <c r="D77" s="26">
        <f t="array" ref="D77:H77">[1]!ESP_p_atma(Pintake_,Tintake_,0,B77,PumpID_,NumStage_,Freq_,,,,,gas_degr_type_,,$L$40)</f>
        <v>261.55014150474955</v>
      </c>
      <c r="E77" s="26">
        <v>70</v>
      </c>
      <c r="F77" s="26">
        <v>80</v>
      </c>
      <c r="G77" s="26">
        <v>261.55014150474955</v>
      </c>
      <c r="H77" s="50">
        <v>155.81017749322837</v>
      </c>
    </row>
    <row r="78" spans="2:35" x14ac:dyDescent="0.25">
      <c r="B78" t="str" cm="1">
        <f t="array" ref="B78">[1]!encode_feed(C78,fw_,Rp_,,PVT_str_)</f>
        <v>{"gamma_gas":0.8,"gamma_oil":0.9,"gamma_wat":1,"rsb_m3m3":80,"pb_atma":120,"t_res_C":100,"bob_m3m3":1.2,"muob_cP":1,"q_liq_sm3day":20.25,"fw_perc":10,"rp_m3m3":80}</v>
      </c>
      <c r="C78" s="6">
        <f t="shared" si="0"/>
        <v>20.25</v>
      </c>
      <c r="D78" s="26">
        <f t="array" ref="D78:H78">[1]!ESP_p_atma(Pintake_,Tintake_,0,B78,PumpID_,NumStage_,Freq_,,,,,gas_degr_type_,,$L$40)</f>
        <v>265.59999425804273</v>
      </c>
      <c r="E78" s="26">
        <v>70</v>
      </c>
      <c r="F78" s="26">
        <v>80</v>
      </c>
      <c r="G78" s="26">
        <v>265.59999425804273</v>
      </c>
      <c r="H78" s="50">
        <v>118.47170479234285</v>
      </c>
    </row>
    <row r="79" spans="2:35" x14ac:dyDescent="0.25">
      <c r="B79" t="str" cm="1">
        <f t="array" ref="B79">[1]!encode_feed(C79,fw_,Rp_,,PVT_str_)</f>
        <v>{"gamma_gas":0.8,"gamma_oil":0.9,"gamma_wat":1,"rsb_m3m3":80,"pb_atma":120,"t_res_C":100,"bob_m3m3":1.2,"muob_cP":1,"q_liq_sm3day":29.875,"fw_perc":10,"rp_m3m3":80}</v>
      </c>
      <c r="C79" s="6">
        <f t="shared" si="0"/>
        <v>29.875</v>
      </c>
      <c r="D79" s="26">
        <f t="array" ref="D79:H79">[1]!ESP_p_atma(Pintake_,Tintake_,0,B79,PumpID_,NumStage_,Freq_,,,,,gas_degr_type_,,$L$40)</f>
        <v>266.44419476792245</v>
      </c>
      <c r="E79" s="26">
        <v>70</v>
      </c>
      <c r="F79" s="26">
        <v>80</v>
      </c>
      <c r="G79" s="26">
        <v>266.44419476792245</v>
      </c>
      <c r="H79" s="50">
        <v>104.2740325748217</v>
      </c>
    </row>
    <row r="80" spans="2:35" x14ac:dyDescent="0.25">
      <c r="B80" t="str" cm="1">
        <f t="array" ref="B80">[1]!encode_feed(C80,fw_,Rp_,,PVT_str_)</f>
        <v>{"gamma_gas":0.8,"gamma_oil":0.9,"gamma_wat":1,"rsb_m3m3":80,"pb_atma":120,"t_res_C":100,"bob_m3m3":1.2,"muob_cP":1,"q_liq_sm3day":39.5,"fw_perc":10,"rp_m3m3":80}</v>
      </c>
      <c r="C80" s="6">
        <f t="shared" si="0"/>
        <v>39.5</v>
      </c>
      <c r="D80" s="26">
        <f t="array" ref="D80:H80">[1]!ESP_p_atma(Pintake_,Tintake_,0,B80,PumpID_,NumStage_,Freq_,,,,,gas_degr_type_,,$L$40)</f>
        <v>265.64829139391463</v>
      </c>
      <c r="E80" s="26">
        <v>70</v>
      </c>
      <c r="F80" s="26">
        <v>80</v>
      </c>
      <c r="G80" s="26">
        <v>265.64829139391463</v>
      </c>
      <c r="H80" s="50">
        <v>96.723440054774656</v>
      </c>
    </row>
    <row r="81" spans="2:36" x14ac:dyDescent="0.25">
      <c r="B81" t="str" cm="1">
        <f t="array" ref="B81">[1]!encode_feed(C81,fw_,Rp_,,PVT_str_)</f>
        <v>{"gamma_gas":0.8,"gamma_oil":0.9,"gamma_wat":1,"rsb_m3m3":80,"pb_atma":120,"t_res_C":100,"bob_m3m3":1.2,"muob_cP":1,"q_liq_sm3day":49.125,"fw_perc":10,"rp_m3m3":80}</v>
      </c>
      <c r="C81" s="6">
        <f t="shared" si="0"/>
        <v>49.125</v>
      </c>
      <c r="D81" s="26">
        <f t="array" ref="D81:H81">[1]!ESP_p_atma(Pintake_,Tintake_,0,B81,PumpID_,NumStage_,Freq_,,,,,gas_degr_type_,,$L$40)</f>
        <v>263.36970988525701</v>
      </c>
      <c r="E81" s="26">
        <v>70</v>
      </c>
      <c r="F81" s="26">
        <v>80</v>
      </c>
      <c r="G81" s="26">
        <v>263.36970988525701</v>
      </c>
      <c r="H81" s="50">
        <v>92.09578566027966</v>
      </c>
    </row>
    <row r="82" spans="2:36" x14ac:dyDescent="0.25">
      <c r="B82" t="str" cm="1">
        <f t="array" ref="B82">[1]!encode_feed(C82,fw_,Rp_,,PVT_str_)</f>
        <v>{"gamma_gas":0.8,"gamma_oil":0.9,"gamma_wat":1,"rsb_m3m3":80,"pb_atma":120,"t_res_C":100,"bob_m3m3":1.2,"muob_cP":1,"q_liq_sm3day":58.75,"fw_perc":10,"rp_m3m3":80}</v>
      </c>
      <c r="C82" s="6">
        <f t="shared" si="0"/>
        <v>58.75</v>
      </c>
      <c r="D82" s="26">
        <f t="array" ref="D82:H82">[1]!ESP_p_atma(Pintake_,Tintake_,0,B82,PumpID_,NumStage_,Freq_,,,,,gas_degr_type_,,$L$40)</f>
        <v>259.05456762249503</v>
      </c>
      <c r="E82" s="26">
        <v>70</v>
      </c>
      <c r="F82" s="26">
        <v>80</v>
      </c>
      <c r="G82" s="26">
        <v>259.05456762249503</v>
      </c>
      <c r="H82" s="50">
        <v>89.106926207855395</v>
      </c>
    </row>
    <row r="83" spans="2:36" x14ac:dyDescent="0.25">
      <c r="B83" t="str" cm="1">
        <f t="array" ref="B83">[1]!encode_feed(C83,fw_,Rp_,,PVT_str_)</f>
        <v>{"gamma_gas":0.8,"gamma_oil":0.9,"gamma_wat":1,"rsb_m3m3":80,"pb_atma":120,"t_res_C":100,"bob_m3m3":1.2,"muob_cP":1,"q_liq_sm3day":68.375,"fw_perc":10,"rp_m3m3":80}</v>
      </c>
      <c r="C83" s="6">
        <f t="shared" si="0"/>
        <v>68.375</v>
      </c>
      <c r="D83" s="26">
        <f t="array" ref="D83:H83">[1]!ESP_p_atma(Pintake_,Tintake_,0,B83,PumpID_,NumStage_,Freq_,,,,,gas_degr_type_,,$L$40)</f>
        <v>250.8337260233358</v>
      </c>
      <c r="E83" s="26">
        <v>70</v>
      </c>
      <c r="F83" s="26">
        <v>80</v>
      </c>
      <c r="G83" s="26">
        <v>250.8337260233358</v>
      </c>
      <c r="H83" s="50">
        <v>87.212206563428808</v>
      </c>
    </row>
    <row r="84" spans="2:36" x14ac:dyDescent="0.25">
      <c r="B84" t="str" cm="1">
        <f t="array" ref="B84">[1]!encode_feed(C84,fw_,Rp_,,PVT_str_)</f>
        <v>{"gamma_gas":0.8,"gamma_oil":0.9,"gamma_wat":1,"rsb_m3m3":80,"pb_atma":120,"t_res_C":100,"bob_m3m3":1.2,"muob_cP":1,"q_liq_sm3day":78,"fw_perc":10,"rp_m3m3":80}</v>
      </c>
      <c r="C84" s="6">
        <f t="shared" si="0"/>
        <v>78</v>
      </c>
      <c r="D84" s="26">
        <f t="array" ref="D84:H84">[1]!ESP_p_atma(Pintake_,Tintake_,0,B84,PumpID_,NumStage_,Freq_,,,,,gas_degr_type_,,$L$40)</f>
        <v>237.83655598161752</v>
      </c>
      <c r="E84" s="26">
        <v>70</v>
      </c>
      <c r="F84" s="26">
        <v>80</v>
      </c>
      <c r="G84" s="26">
        <v>237.83655598161752</v>
      </c>
      <c r="H84" s="50">
        <v>86.157626669190762</v>
      </c>
    </row>
    <row r="85" spans="2:36" x14ac:dyDescent="0.25">
      <c r="B85" t="str" cm="1">
        <f t="array" ref="B85">[1]!encode_feed(C85,fw_,Rp_,,PVT_str_)</f>
        <v>{"gamma_gas":0.8,"gamma_oil":0.9,"gamma_wat":1,"rsb_m3m3":80,"pb_atma":120,"t_res_C":100,"bob_m3m3":1.2,"muob_cP":1,"q_liq_sm3day":87.625,"fw_perc":10,"rp_m3m3":80}</v>
      </c>
      <c r="C85" s="6">
        <f t="shared" si="0"/>
        <v>87.625</v>
      </c>
      <c r="D85" s="26">
        <f t="array" ref="D85:H85">[1]!ESP_p_atma(Pintake_,Tintake_,0,B85,PumpID_,NumStage_,Freq_,,,,,gas_degr_type_,,$L$40)</f>
        <v>220.94970077804632</v>
      </c>
      <c r="E85" s="26">
        <v>70</v>
      </c>
      <c r="F85" s="26">
        <v>80</v>
      </c>
      <c r="G85" s="26">
        <v>220.94970077804632</v>
      </c>
      <c r="H85" s="50">
        <v>85.722486737541146</v>
      </c>
      <c r="AJ85" s="35"/>
    </row>
    <row r="86" spans="2:36" x14ac:dyDescent="0.25">
      <c r="B86" t="str" cm="1">
        <f t="array" ref="B86">[1]!encode_feed(C86,fw_,Rp_,,PVT_str_)</f>
        <v>{"gamma_gas":0.8,"gamma_oil":0.9,"gamma_wat":1,"rsb_m3m3":80,"pb_atma":120,"t_res_C":100,"bob_m3m3":1.2,"muob_cP":1,"q_liq_sm3day":97.25,"fw_perc":10,"rp_m3m3":80}</v>
      </c>
      <c r="C86" s="6">
        <f t="shared" si="0"/>
        <v>97.25</v>
      </c>
      <c r="D86" s="26">
        <f t="array" ref="D86:H86">[1]!ESP_p_atma(Pintake_,Tintake_,0,B86,PumpID_,NumStage_,Freq_,,,,,gas_degr_type_,,$L$40)</f>
        <v>200.46389650805557</v>
      </c>
      <c r="E86" s="26">
        <v>70</v>
      </c>
      <c r="F86" s="26">
        <v>80</v>
      </c>
      <c r="G86" s="26">
        <v>200.46389650805557</v>
      </c>
      <c r="H86" s="50">
        <v>85.711157868285113</v>
      </c>
      <c r="AJ86" s="35"/>
    </row>
    <row r="87" spans="2:36" x14ac:dyDescent="0.25">
      <c r="B87" t="str" cm="1">
        <f t="array" ref="B87">[1]!encode_feed(C87,fw_,Rp_,,PVT_str_)</f>
        <v>{"gamma_gas":0.8,"gamma_oil":0.9,"gamma_wat":1,"rsb_m3m3":80,"pb_atma":120,"t_res_C":100,"bob_m3m3":1.2,"muob_cP":1,"q_liq_sm3day":106.875,"fw_perc":10,"rp_m3m3":80}</v>
      </c>
      <c r="C87" s="6">
        <f t="shared" si="0"/>
        <v>106.875</v>
      </c>
      <c r="D87" s="26">
        <f t="array" ref="D87:H87">[1]!ESP_p_atma(Pintake_,Tintake_,0,B87,PumpID_,NumStage_,Freq_,,,,,gas_degr_type_,,$L$40)</f>
        <v>174.93248555388936</v>
      </c>
      <c r="E87" s="26">
        <v>70</v>
      </c>
      <c r="F87" s="26">
        <v>80</v>
      </c>
      <c r="G87" s="26">
        <v>174.93248555388936</v>
      </c>
      <c r="H87" s="50">
        <v>86.060208438684541</v>
      </c>
      <c r="AJ87" s="35"/>
    </row>
    <row r="88" spans="2:36" x14ac:dyDescent="0.25">
      <c r="B88" t="str" cm="1">
        <f t="array" ref="B88">[1]!encode_feed(C88,fw_,Rp_,,PVT_str_)</f>
        <v>{"gamma_gas":0.8,"gamma_oil":0.9,"gamma_wat":1,"rsb_m3m3":80,"pb_atma":120,"t_res_C":100,"bob_m3m3":1.2,"muob_cP":1,"q_liq_sm3day":116.5,"fw_perc":10,"rp_m3m3":80}</v>
      </c>
      <c r="C88" s="6">
        <f t="shared" si="0"/>
        <v>116.5</v>
      </c>
      <c r="D88" s="26">
        <f t="array" ref="D88:H88">[1]!ESP_p_atma(Pintake_,Tintake_,0,B88,PumpID_,NumStage_,Freq_,,,,,gas_degr_type_,,$L$40)</f>
        <v>134.82052309749687</v>
      </c>
      <c r="E88" s="26">
        <v>70</v>
      </c>
      <c r="F88" s="26">
        <v>80</v>
      </c>
      <c r="G88" s="26">
        <v>134.82052309749687</v>
      </c>
      <c r="H88" s="50">
        <v>87.046293479592151</v>
      </c>
      <c r="AJ88" s="35"/>
    </row>
    <row r="89" spans="2:36" x14ac:dyDescent="0.25">
      <c r="B89" t="str" cm="1">
        <f t="array" ref="B89">[1]!encode_feed(C89,fw_,Rp_,,PVT_str_)</f>
        <v>{"gamma_gas":0.8,"gamma_oil":0.9,"gamma_wat":1,"rsb_m3m3":80,"pb_atma":120,"t_res_C":100,"bob_m3m3":1.2,"muob_cP":1,"q_liq_sm3day":126.125,"fw_perc":10,"rp_m3m3":80}</v>
      </c>
      <c r="C89" s="6">
        <f t="shared" si="0"/>
        <v>126.125</v>
      </c>
      <c r="D89" s="26">
        <f t="array" ref="D89:H89">[1]!ESP_p_atma(Pintake_,Tintake_,0,B89,PumpID_,NumStage_,Freq_,,,,,gas_degr_type_,,$L$40)</f>
        <v>23.742088136393622</v>
      </c>
      <c r="E89" s="26">
        <v>70</v>
      </c>
      <c r="F89" s="26">
        <v>80</v>
      </c>
      <c r="G89" s="26">
        <v>23.742088136393622</v>
      </c>
      <c r="H89" s="50">
        <v>80</v>
      </c>
      <c r="AJ89" s="35"/>
    </row>
    <row r="90" spans="2:36" x14ac:dyDescent="0.25">
      <c r="B90" t="str" cm="1">
        <f t="array" ref="B90">[1]!encode_feed(C90,fw_,Rp_,,PVT_str_)</f>
        <v>{"gamma_gas":0.8,"gamma_oil":0.9,"gamma_wat":1,"rsb_m3m3":80,"pb_atma":120,"t_res_C":100,"bob_m3m3":1.2,"muob_cP":1,"q_liq_sm3day":135.75,"fw_perc":10,"rp_m3m3":80}</v>
      </c>
      <c r="C90" s="6">
        <f t="shared" si="0"/>
        <v>135.75</v>
      </c>
      <c r="D90" s="26">
        <f t="array" ref="D90:H90">[1]!ESP_p_atma(Pintake_,Tintake_,0,B90,PumpID_,NumStage_,Freq_,,,,,gas_degr_type_,,$L$40)</f>
        <v>10.494968338236662</v>
      </c>
      <c r="E90" s="26">
        <v>70</v>
      </c>
      <c r="F90" s="26">
        <v>80</v>
      </c>
      <c r="G90" s="26">
        <v>10.494968338236662</v>
      </c>
      <c r="H90" s="50">
        <v>80</v>
      </c>
      <c r="AJ90" s="35"/>
    </row>
    <row r="91" spans="2:36" x14ac:dyDescent="0.25">
      <c r="B91" t="str" cm="1">
        <f t="array" ref="B91">[1]!encode_feed(C91,fw_,Rp_,,PVT_str_)</f>
        <v>{"gamma_gas":0.8,"gamma_oil":0.9,"gamma_wat":1,"rsb_m3m3":80,"pb_atma":120,"t_res_C":100,"bob_m3m3":1.2,"muob_cP":1,"q_liq_sm3day":145.375,"fw_perc":10,"rp_m3m3":80}</v>
      </c>
      <c r="C91" s="6">
        <f t="shared" si="0"/>
        <v>145.375</v>
      </c>
      <c r="D91" s="26">
        <f t="array" ref="D91:H91">[1]!ESP_p_atma(Pintake_,Tintake_,0,B91,PumpID_,NumStage_,Freq_,,,,,gas_degr_type_,,$L$40)</f>
        <v>8.1209793050550143</v>
      </c>
      <c r="E91" s="26">
        <v>70</v>
      </c>
      <c r="F91" s="26">
        <v>80</v>
      </c>
      <c r="G91" s="26">
        <v>8.1209793050550143</v>
      </c>
      <c r="H91" s="50">
        <v>80</v>
      </c>
      <c r="AJ91" s="35"/>
    </row>
    <row r="92" spans="2:36" x14ac:dyDescent="0.25">
      <c r="B92" t="str" cm="1">
        <f t="array" ref="B92">[1]!encode_feed(C92,fw_,Rp_,,PVT_str_)</f>
        <v>{"gamma_gas":0.8,"gamma_oil":0.9,"gamma_wat":1,"rsb_m3m3":80,"pb_atma":120,"t_res_C":100,"bob_m3m3":1.2,"muob_cP":1,"q_liq_sm3day":155,"fw_perc":10,"rp_m3m3":80}</v>
      </c>
      <c r="C92" s="6">
        <f t="shared" si="0"/>
        <v>155</v>
      </c>
      <c r="D92" s="26">
        <f t="array" ref="D92:H92">[1]!ESP_p_atma(Pintake_,Tintake_,0,B92,PumpID_,NumStage_,Freq_,,,,,gas_degr_type_,,$L$40)</f>
        <v>7.1595072288854755</v>
      </c>
      <c r="E92" s="26">
        <v>70</v>
      </c>
      <c r="F92" s="26">
        <v>80</v>
      </c>
      <c r="G92" s="26">
        <v>7.1595072288854755</v>
      </c>
      <c r="H92" s="50">
        <v>80</v>
      </c>
      <c r="AJ92" s="35"/>
    </row>
    <row r="93" spans="2:36" x14ac:dyDescent="0.25">
      <c r="B93" t="str" cm="1">
        <f t="array" ref="B93">[1]!encode_feed(C93,fw_,Rp_,,PVT_str_)</f>
        <v>{"gamma_gas":0.8,"gamma_oil":0.9,"gamma_wat":1,"rsb_m3m3":80,"pb_atma":120,"t_res_C":100,"bob_m3m3":1.2,"muob_cP":1,"q_liq_sm3day":164.625,"fw_perc":10,"rp_m3m3":80}</v>
      </c>
      <c r="C93" s="6">
        <f t="shared" si="0"/>
        <v>164.625</v>
      </c>
      <c r="D93" s="26">
        <f t="array" ref="D93:H93">[1]!ESP_p_atma(Pintake_,Tintake_,0,B93,PumpID_,NumStage_,Freq_,,,,,gas_degr_type_,,$L$40)</f>
        <v>6.6772937994479982</v>
      </c>
      <c r="E93" s="26">
        <v>70</v>
      </c>
      <c r="F93" s="26">
        <v>80</v>
      </c>
      <c r="G93" s="26">
        <v>6.6772937994479982</v>
      </c>
      <c r="H93" s="50">
        <v>80</v>
      </c>
      <c r="AJ93" s="35"/>
    </row>
    <row r="94" spans="2:36" x14ac:dyDescent="0.25">
      <c r="B94" t="str" cm="1">
        <f t="array" ref="B94">[1]!encode_feed(C94,fw_,Rp_,,PVT_str_)</f>
        <v>{"gamma_gas":0.8,"gamma_oil":0.9,"gamma_wat":1,"rsb_m3m3":80,"pb_atma":120,"t_res_C":100,"bob_m3m3":1.2,"muob_cP":1,"q_liq_sm3day":174.25,"fw_perc":10,"rp_m3m3":80}</v>
      </c>
      <c r="C94" s="6">
        <f t="shared" si="0"/>
        <v>174.25</v>
      </c>
      <c r="D94" s="26">
        <f t="array" ref="D94:H94">[1]!ESP_p_atma(Pintake_,Tintake_,0,B94,PumpID_,NumStage_,Freq_,,,,,gas_degr_type_,,$L$40)</f>
        <v>6.4220118906183785</v>
      </c>
      <c r="E94" s="26">
        <v>70</v>
      </c>
      <c r="F94" s="26">
        <v>80</v>
      </c>
      <c r="G94" s="26">
        <v>6.4220118906183785</v>
      </c>
      <c r="H94" s="50">
        <v>80</v>
      </c>
      <c r="AJ94" s="35"/>
    </row>
    <row r="95" spans="2:36" x14ac:dyDescent="0.25">
      <c r="B95" t="str" cm="1">
        <f t="array" ref="B95">[1]!encode_feed(C95,fw_,Rp_,,PVT_str_)</f>
        <v>{"gamma_gas":0.8,"gamma_oil":0.9,"gamma_wat":1,"rsb_m3m3":80,"pb_atma":120,"t_res_C":100,"bob_m3m3":1.2,"muob_cP":1,"q_liq_sm3day":183.875,"fw_perc":10,"rp_m3m3":80}</v>
      </c>
      <c r="C95" s="6">
        <f t="shared" si="0"/>
        <v>183.875</v>
      </c>
      <c r="D95" s="26">
        <f t="array" ref="D95:H95">[1]!ESP_p_atma(Pintake_,Tintake_,0,B95,PumpID_,NumStage_,Freq_,,,,,gas_degr_type_,,$L$40)</f>
        <v>6.2863301828262825</v>
      </c>
      <c r="E95" s="26">
        <v>70</v>
      </c>
      <c r="F95" s="26">
        <v>80</v>
      </c>
      <c r="G95" s="26">
        <v>6.2863301828262825</v>
      </c>
      <c r="H95" s="50">
        <v>80</v>
      </c>
    </row>
    <row r="96" spans="2:36" x14ac:dyDescent="0.25">
      <c r="B96" t="str" cm="1">
        <f t="array" ref="B96">[1]!encode_feed(C96,fw_,Rp_,,PVT_str_)</f>
        <v>{"gamma_gas":0.8,"gamma_oil":0.9,"gamma_wat":1,"rsb_m3m3":80,"pb_atma":120,"t_res_C":100,"bob_m3m3":1.2,"muob_cP":1,"q_liq_sm3day":193.5,"fw_perc":10,"rp_m3m3":80}</v>
      </c>
      <c r="C96" s="6">
        <f t="shared" si="0"/>
        <v>193.5</v>
      </c>
      <c r="D96" s="26">
        <f t="array" ref="D96:H96">[1]!ESP_p_atma(Pintake_,Tintake_,0,B96,PumpID_,NumStage_,Freq_,,,,,gas_degr_type_,,$L$40)</f>
        <v>6.2207461965605448</v>
      </c>
      <c r="E96" s="26">
        <v>70</v>
      </c>
      <c r="F96" s="26">
        <v>80</v>
      </c>
      <c r="G96" s="26">
        <v>6.2207461965605448</v>
      </c>
      <c r="H96" s="50">
        <v>80</v>
      </c>
    </row>
    <row r="97" spans="2:8" x14ac:dyDescent="0.25">
      <c r="D97" s="24"/>
      <c r="E97" s="24"/>
      <c r="F97" s="24"/>
      <c r="G97" s="25"/>
      <c r="H97" s="26"/>
    </row>
    <row r="102" spans="2:8" x14ac:dyDescent="0.25">
      <c r="C102" s="4"/>
      <c r="D102" s="56" t="s">
        <v>11</v>
      </c>
      <c r="E102" s="57"/>
      <c r="F102" s="57"/>
      <c r="G102" s="57"/>
      <c r="H102" s="58"/>
    </row>
    <row r="103" spans="2:8" x14ac:dyDescent="0.25">
      <c r="C103" s="18" t="s">
        <v>0</v>
      </c>
      <c r="D103" s="19" t="s">
        <v>75</v>
      </c>
      <c r="E103" s="19" t="s">
        <v>76</v>
      </c>
      <c r="F103" s="19" t="s">
        <v>77</v>
      </c>
      <c r="G103" s="19" t="s">
        <v>75</v>
      </c>
      <c r="H103" s="19" t="s">
        <v>78</v>
      </c>
    </row>
    <row r="104" spans="2:8" x14ac:dyDescent="0.25">
      <c r="B104" t="str" cm="1">
        <f t="array" ref="B104">[1]!encode_feed(C104,fw_,Rp_,,PVT_str_)</f>
        <v>{"gamma_gas":0.8,"gamma_oil":0.9,"gamma_wat":1,"rsb_m3m3":80,"pb_atma":120,"t_res_C":100,"bob_m3m3":1.2,"muob_cP":1,"q_liq_sm3day":1,"fw_perc":10,"rp_m3m3":80}</v>
      </c>
      <c r="C104" s="6">
        <f>C76</f>
        <v>1</v>
      </c>
      <c r="D104" s="26">
        <f t="array" ref="D104:H104">[1]!ESP_p_atma($C$41,Tintake_,Tintake_,B76,PumpID_,NumStage_,Freq_,0,,,,gas_degr_type_,,$L$40)</f>
        <v>18.333622288018326</v>
      </c>
      <c r="E104" s="26">
        <v>18.333622288018326</v>
      </c>
      <c r="F104" s="26">
        <v>80</v>
      </c>
      <c r="G104" s="25">
        <v>150</v>
      </c>
      <c r="H104" s="26">
        <v>80</v>
      </c>
    </row>
    <row r="105" spans="2:8" x14ac:dyDescent="0.25">
      <c r="B105" t="str" cm="1">
        <f t="array" ref="B105">[1]!encode_feed(C105,fw_,Rp_,,PVT_str_)</f>
        <v>{"gamma_gas":0.8,"gamma_oil":0.9,"gamma_wat":1,"rsb_m3m3":80,"pb_atma":120,"t_res_C":100,"bob_m3m3":1.2,"muob_cP":1,"q_liq_sm3day":10.625,"fw_perc":10,"rp_m3m3":80}</v>
      </c>
      <c r="C105" s="6">
        <f t="shared" ref="C105:C124" si="1">C77</f>
        <v>10.625</v>
      </c>
      <c r="D105" s="26">
        <f t="array" ref="D105:H105">[1]!ESP_p_atma($C$41,Tintake_,Tintake_,B77,PumpID_,NumStage_,Freq_,0,,,,gas_degr_type_,,$L$40)</f>
        <v>17.88709615029228</v>
      </c>
      <c r="E105" s="26">
        <v>17.88709615029228</v>
      </c>
      <c r="F105" s="26">
        <v>80</v>
      </c>
      <c r="G105" s="25">
        <v>150</v>
      </c>
      <c r="H105" s="26">
        <v>80</v>
      </c>
    </row>
    <row r="106" spans="2:8" x14ac:dyDescent="0.25">
      <c r="B106" t="str" cm="1">
        <f t="array" ref="B106">[1]!encode_feed(C106,fw_,Rp_,,PVT_str_)</f>
        <v>{"gamma_gas":0.8,"gamma_oil":0.9,"gamma_wat":1,"rsb_m3m3":80,"pb_atma":120,"t_res_C":100,"bob_m3m3":1.2,"muob_cP":1,"q_liq_sm3day":20.25,"fw_perc":10,"rp_m3m3":80}</v>
      </c>
      <c r="C106" s="6">
        <f t="shared" si="1"/>
        <v>20.25</v>
      </c>
      <c r="D106" s="26">
        <f t="array" ref="D106:H106">[1]!ESP_p_atma($C$41,Tintake_,Tintake_,B78,PumpID_,NumStage_,Freq_,0,,,,gas_degr_type_,,$L$40)</f>
        <v>18.735203893930162</v>
      </c>
      <c r="E106" s="26">
        <v>18.735203893930162</v>
      </c>
      <c r="F106" s="26">
        <v>80</v>
      </c>
      <c r="G106" s="25">
        <v>150</v>
      </c>
      <c r="H106" s="26">
        <v>80</v>
      </c>
    </row>
    <row r="107" spans="2:8" x14ac:dyDescent="0.25">
      <c r="B107" t="str" cm="1">
        <f t="array" ref="B107">[1]!encode_feed(C107,fw_,Rp_,,PVT_str_)</f>
        <v>{"gamma_gas":0.8,"gamma_oil":0.9,"gamma_wat":1,"rsb_m3m3":80,"pb_atma":120,"t_res_C":100,"bob_m3m3":1.2,"muob_cP":1,"q_liq_sm3day":29.875,"fw_perc":10,"rp_m3m3":80}</v>
      </c>
      <c r="C107" s="6">
        <f t="shared" si="1"/>
        <v>29.875</v>
      </c>
      <c r="D107" s="26">
        <f t="array" ref="D107:H107">[1]!ESP_p_atma($C$41,Tintake_,Tintake_,B79,PumpID_,NumStage_,Freq_,0,,,,gas_degr_type_,,$L$40)</f>
        <v>21.328960089038596</v>
      </c>
      <c r="E107" s="26">
        <v>21.328960089038596</v>
      </c>
      <c r="F107" s="26">
        <v>80</v>
      </c>
      <c r="G107" s="25">
        <v>150</v>
      </c>
      <c r="H107" s="26">
        <v>80</v>
      </c>
    </row>
    <row r="108" spans="2:8" x14ac:dyDescent="0.25">
      <c r="B108" t="str" cm="1">
        <f t="array" ref="B108">[1]!encode_feed(C108,fw_,Rp_,,PVT_str_)</f>
        <v>{"gamma_gas":0.8,"gamma_oil":0.9,"gamma_wat":1,"rsb_m3m3":80,"pb_atma":120,"t_res_C":100,"bob_m3m3":1.2,"muob_cP":1,"q_liq_sm3day":39.5,"fw_perc":10,"rp_m3m3":80}</v>
      </c>
      <c r="C108" s="6">
        <f t="shared" si="1"/>
        <v>39.5</v>
      </c>
      <c r="D108" s="26">
        <f t="array" ref="D108:H108">[1]!ESP_p_atma($C$41,Tintake_,Tintake_,B80,PumpID_,NumStage_,Freq_,0,,,,gas_degr_type_,,$L$40)</f>
        <v>24.990821669790893</v>
      </c>
      <c r="E108" s="26">
        <v>24.990821669790893</v>
      </c>
      <c r="F108" s="26">
        <v>80</v>
      </c>
      <c r="G108" s="25">
        <v>150</v>
      </c>
      <c r="H108" s="26">
        <v>80</v>
      </c>
    </row>
    <row r="109" spans="2:8" x14ac:dyDescent="0.25">
      <c r="B109" t="str" cm="1">
        <f t="array" ref="B109">[1]!encode_feed(C109,fw_,Rp_,,PVT_str_)</f>
        <v>{"gamma_gas":0.8,"gamma_oil":0.9,"gamma_wat":1,"rsb_m3m3":80,"pb_atma":120,"t_res_C":100,"bob_m3m3":1.2,"muob_cP":1,"q_liq_sm3day":49.125,"fw_perc":10,"rp_m3m3":80}</v>
      </c>
      <c r="C109" s="6">
        <f t="shared" si="1"/>
        <v>49.125</v>
      </c>
      <c r="D109" s="26">
        <f t="array" ref="D109:H109">[1]!ESP_p_atma($C$41,Tintake_,Tintake_,B81,PumpID_,NumStage_,Freq_,0,,,,gas_degr_type_,,$L$40)</f>
        <v>29.299163662716548</v>
      </c>
      <c r="E109" s="26">
        <v>29.299163662716548</v>
      </c>
      <c r="F109" s="26">
        <v>80</v>
      </c>
      <c r="G109" s="25">
        <v>150</v>
      </c>
      <c r="H109" s="26">
        <v>80</v>
      </c>
    </row>
    <row r="110" spans="2:8" x14ac:dyDescent="0.25">
      <c r="B110" t="str" cm="1">
        <f t="array" ref="B110">[1]!encode_feed(C110,fw_,Rp_,,PVT_str_)</f>
        <v>{"gamma_gas":0.8,"gamma_oil":0.9,"gamma_wat":1,"rsb_m3m3":80,"pb_atma":120,"t_res_C":100,"bob_m3m3":1.2,"muob_cP":1,"q_liq_sm3day":58.75,"fw_perc":10,"rp_m3m3":80}</v>
      </c>
      <c r="C110" s="6">
        <f t="shared" si="1"/>
        <v>58.75</v>
      </c>
      <c r="D110" s="26">
        <f t="array" ref="D110:H110">[1]!ESP_p_atma($C$41,Tintake_,Tintake_,B82,PumpID_,NumStage_,Freq_,0,,,,gas_degr_type_,,$L$40)</f>
        <v>34.072158586697206</v>
      </c>
      <c r="E110" s="26">
        <v>34.072158586697206</v>
      </c>
      <c r="F110" s="26">
        <v>80</v>
      </c>
      <c r="G110" s="25">
        <v>150</v>
      </c>
      <c r="H110" s="26">
        <v>80</v>
      </c>
    </row>
    <row r="111" spans="2:8" x14ac:dyDescent="0.25">
      <c r="B111" t="str" cm="1">
        <f t="array" ref="B111">[1]!encode_feed(C111,fw_,Rp_,,PVT_str_)</f>
        <v>{"gamma_gas":0.8,"gamma_oil":0.9,"gamma_wat":1,"rsb_m3m3":80,"pb_atma":120,"t_res_C":100,"bob_m3m3":1.2,"muob_cP":1,"q_liq_sm3day":68.375,"fw_perc":10,"rp_m3m3":80}</v>
      </c>
      <c r="C111" s="6">
        <f t="shared" si="1"/>
        <v>68.375</v>
      </c>
      <c r="D111" s="26">
        <f t="array" ref="D111:H111">[1]!ESP_p_atma($C$41,Tintake_,Tintake_,B83,PumpID_,NumStage_,Freq_,0,,,,gas_degr_type_,,$L$40)</f>
        <v>39.26079675160873</v>
      </c>
      <c r="E111" s="26">
        <v>39.26079675160873</v>
      </c>
      <c r="F111" s="26">
        <v>80</v>
      </c>
      <c r="G111" s="25">
        <v>150</v>
      </c>
      <c r="H111" s="26">
        <v>80</v>
      </c>
    </row>
    <row r="112" spans="2:8" x14ac:dyDescent="0.25">
      <c r="B112" t="str" cm="1">
        <f t="array" ref="B112">[1]!encode_feed(C112,fw_,Rp_,,PVT_str_)</f>
        <v>{"gamma_gas":0.8,"gamma_oil":0.9,"gamma_wat":1,"rsb_m3m3":80,"pb_atma":120,"t_res_C":100,"bob_m3m3":1.2,"muob_cP":1,"q_liq_sm3day":78,"fw_perc":10,"rp_m3m3":80}</v>
      </c>
      <c r="C112" s="6">
        <f t="shared" si="1"/>
        <v>78</v>
      </c>
      <c r="D112" s="26">
        <f t="array" ref="D112:H112">[1]!ESP_p_atma($C$41,Tintake_,Tintake_,B84,PumpID_,NumStage_,Freq_,0,,,,gas_degr_type_,,$L$40)</f>
        <v>44.844687458284902</v>
      </c>
      <c r="E112" s="26">
        <v>44.844687458284902</v>
      </c>
      <c r="F112" s="26">
        <v>80</v>
      </c>
      <c r="G112" s="25">
        <v>150</v>
      </c>
      <c r="H112" s="26">
        <v>80</v>
      </c>
    </row>
    <row r="113" spans="2:8" x14ac:dyDescent="0.25">
      <c r="B113" t="str" cm="1">
        <f t="array" ref="B113">[1]!encode_feed(C113,fw_,Rp_,,PVT_str_)</f>
        <v>{"gamma_gas":0.8,"gamma_oil":0.9,"gamma_wat":1,"rsb_m3m3":80,"pb_atma":120,"t_res_C":100,"bob_m3m3":1.2,"muob_cP":1,"q_liq_sm3day":87.625,"fw_perc":10,"rp_m3m3":80}</v>
      </c>
      <c r="C113" s="6">
        <f t="shared" si="1"/>
        <v>87.625</v>
      </c>
      <c r="D113" s="26">
        <f t="array" ref="D113:H113">[1]!ESP_p_atma($C$41,Tintake_,Tintake_,B85,PumpID_,NumStage_,Freq_,0,,,,gas_degr_type_,,$L$40)</f>
        <v>50.816604276713811</v>
      </c>
      <c r="E113" s="26">
        <v>50.816604276713811</v>
      </c>
      <c r="F113" s="26">
        <v>80</v>
      </c>
      <c r="G113" s="25">
        <v>150</v>
      </c>
      <c r="H113" s="26">
        <v>80</v>
      </c>
    </row>
    <row r="114" spans="2:8" x14ac:dyDescent="0.25">
      <c r="B114" t="str" cm="1">
        <f t="array" ref="B114">[1]!encode_feed(C114,fw_,Rp_,,PVT_str_)</f>
        <v>{"gamma_gas":0.8,"gamma_oil":0.9,"gamma_wat":1,"rsb_m3m3":80,"pb_atma":120,"t_res_C":100,"bob_m3m3":1.2,"muob_cP":1,"q_liq_sm3day":97.25,"fw_perc":10,"rp_m3m3":80}</v>
      </c>
      <c r="C114" s="6">
        <f t="shared" si="1"/>
        <v>97.25</v>
      </c>
      <c r="D114" s="26">
        <f t="array" ref="D114:H114">[1]!ESP_p_atma($C$41,Tintake_,Tintake_,B86,PumpID_,NumStage_,Freq_,0,,,,gas_degr_type_,,$L$40)</f>
        <v>57.209197102947662</v>
      </c>
      <c r="E114" s="26">
        <v>57.209197102947662</v>
      </c>
      <c r="F114" s="26">
        <v>80</v>
      </c>
      <c r="G114" s="25">
        <v>150</v>
      </c>
      <c r="H114" s="26">
        <v>80</v>
      </c>
    </row>
    <row r="115" spans="2:8" x14ac:dyDescent="0.25">
      <c r="B115" t="str" cm="1">
        <f t="array" ref="B115">[1]!encode_feed(C115,fw_,Rp_,,PVT_str_)</f>
        <v>{"gamma_gas":0.8,"gamma_oil":0.9,"gamma_wat":1,"rsb_m3m3":80,"pb_atma":120,"t_res_C":100,"bob_m3m3":1.2,"muob_cP":1,"q_liq_sm3day":106.875,"fw_perc":10,"rp_m3m3":80}</v>
      </c>
      <c r="C115" s="6">
        <f t="shared" si="1"/>
        <v>106.875</v>
      </c>
      <c r="D115" s="26">
        <f t="array" ref="D115:H115">[1]!ESP_p_atma($C$41,Tintake_,Tintake_,B87,PumpID_,NumStage_,Freq_,0,,,,gas_degr_type_,,$L$40)</f>
        <v>64.10838413569401</v>
      </c>
      <c r="E115" s="26">
        <v>64.10838413569401</v>
      </c>
      <c r="F115" s="26">
        <v>80</v>
      </c>
      <c r="G115" s="25">
        <v>150</v>
      </c>
      <c r="H115" s="26">
        <v>80</v>
      </c>
    </row>
    <row r="116" spans="2:8" x14ac:dyDescent="0.25">
      <c r="B116" t="str" cm="1">
        <f t="array" ref="B116">[1]!encode_feed(C116,fw_,Rp_,,PVT_str_)</f>
        <v>{"gamma_gas":0.8,"gamma_oil":0.9,"gamma_wat":1,"rsb_m3m3":80,"pb_atma":120,"t_res_C":100,"bob_m3m3":1.2,"muob_cP":1,"q_liq_sm3day":116.5,"fw_perc":10,"rp_m3m3":80}</v>
      </c>
      <c r="C116" s="6">
        <f t="shared" si="1"/>
        <v>116.5</v>
      </c>
      <c r="D116" s="26">
        <f t="array" ref="D116:H116">[1]!ESP_p_atma($C$41,Tintake_,Tintake_,B88,PumpID_,NumStage_,Freq_,0,,,,gas_degr_type_,,$L$40)</f>
        <v>71.646191468622305</v>
      </c>
      <c r="E116" s="26">
        <v>71.646191468622305</v>
      </c>
      <c r="F116" s="26">
        <v>80</v>
      </c>
      <c r="G116" s="25">
        <v>150</v>
      </c>
      <c r="H116" s="26">
        <v>80</v>
      </c>
    </row>
    <row r="117" spans="2:8" x14ac:dyDescent="0.25">
      <c r="B117" t="str" cm="1">
        <f t="array" ref="B117">[1]!encode_feed(C117,fw_,Rp_,,PVT_str_)</f>
        <v>{"gamma_gas":0.8,"gamma_oil":0.9,"gamma_wat":1,"rsb_m3m3":80,"pb_atma":120,"t_res_C":100,"bob_m3m3":1.2,"muob_cP":1,"q_liq_sm3day":126.125,"fw_perc":10,"rp_m3m3":80}</v>
      </c>
      <c r="C117" s="6">
        <f t="shared" si="1"/>
        <v>126.125</v>
      </c>
      <c r="D117" s="26">
        <f t="array" ref="D117:H117">[1]!ESP_p_atma($C$41,Tintake_,Tintake_,B89,PumpID_,NumStage_,Freq_,0,,,,gas_degr_type_,,$L$40)</f>
        <v>80.0645584154516</v>
      </c>
      <c r="E117" s="26">
        <v>80.0645584154516</v>
      </c>
      <c r="F117" s="26">
        <v>80</v>
      </c>
      <c r="G117" s="25">
        <v>150</v>
      </c>
      <c r="H117" s="26">
        <v>80</v>
      </c>
    </row>
    <row r="118" spans="2:8" x14ac:dyDescent="0.25">
      <c r="B118" t="str" cm="1">
        <f t="array" ref="B118">[1]!encode_feed(C118,fw_,Rp_,,PVT_str_)</f>
        <v>{"gamma_gas":0.8,"gamma_oil":0.9,"gamma_wat":1,"rsb_m3m3":80,"pb_atma":120,"t_res_C":100,"bob_m3m3":1.2,"muob_cP":1,"q_liq_sm3day":135.75,"fw_perc":10,"rp_m3m3":80}</v>
      </c>
      <c r="C118" s="6">
        <f t="shared" si="1"/>
        <v>135.75</v>
      </c>
      <c r="D118" s="26">
        <f t="array" ref="D118:H118">[1]!ESP_p_atma($C$41,Tintake_,Tintake_,B90,PumpID_,NumStage_,Freq_,0,,,,gas_degr_type_,,$L$40)</f>
        <v>89.829573853456679</v>
      </c>
      <c r="E118" s="26">
        <v>89.829573853456679</v>
      </c>
      <c r="F118" s="26">
        <v>80</v>
      </c>
      <c r="G118" s="25">
        <v>150</v>
      </c>
      <c r="H118" s="26">
        <v>80</v>
      </c>
    </row>
    <row r="119" spans="2:8" x14ac:dyDescent="0.25">
      <c r="B119" t="str" cm="1">
        <f t="array" ref="B119">[1]!encode_feed(C119,fw_,Rp_,,PVT_str_)</f>
        <v>{"gamma_gas":0.8,"gamma_oil":0.9,"gamma_wat":1,"rsb_m3m3":80,"pb_atma":120,"t_res_C":100,"bob_m3m3":1.2,"muob_cP":1,"q_liq_sm3day":145.375,"fw_perc":10,"rp_m3m3":80}</v>
      </c>
      <c r="C119" s="6">
        <f t="shared" si="1"/>
        <v>145.375</v>
      </c>
      <c r="D119" s="26">
        <f t="array" ref="D119:H119">[1]!ESP_p_atma($C$41,Tintake_,Tintake_,B91,PumpID_,NumStage_,Freq_,0,,,,gas_degr_type_,,$L$40)</f>
        <v>102.26328309858354</v>
      </c>
      <c r="E119" s="26">
        <v>102.26328309858354</v>
      </c>
      <c r="F119" s="26">
        <v>80</v>
      </c>
      <c r="G119" s="25">
        <v>150</v>
      </c>
      <c r="H119" s="26">
        <v>80</v>
      </c>
    </row>
    <row r="120" spans="2:8" x14ac:dyDescent="0.25">
      <c r="B120" t="str" cm="1">
        <f t="array" ref="B120">[1]!encode_feed(C120,fw_,Rp_,,PVT_str_)</f>
        <v>{"gamma_gas":0.8,"gamma_oil":0.9,"gamma_wat":1,"rsb_m3m3":80,"pb_atma":120,"t_res_C":100,"bob_m3m3":1.2,"muob_cP":1,"q_liq_sm3day":155,"fw_perc":10,"rp_m3m3":80}</v>
      </c>
      <c r="C120" s="6">
        <f t="shared" si="1"/>
        <v>155</v>
      </c>
      <c r="D120" s="26">
        <f t="array" ref="D120:H120">[1]!ESP_p_atma($C$41,Tintake_,Tintake_,B92,PumpID_,NumStage_,Freq_,0,,,,gas_degr_type_,,$L$40)</f>
        <v>122.55135803557239</v>
      </c>
      <c r="E120" s="26">
        <v>122.55135803557239</v>
      </c>
      <c r="F120" s="26">
        <v>80</v>
      </c>
      <c r="G120" s="25">
        <v>150</v>
      </c>
      <c r="H120" s="26">
        <v>80</v>
      </c>
    </row>
    <row r="121" spans="2:8" x14ac:dyDescent="0.25">
      <c r="B121" t="str" cm="1">
        <f t="array" ref="B121">[1]!encode_feed(C121,fw_,Rp_,,PVT_str_)</f>
        <v>{"gamma_gas":0.8,"gamma_oil":0.9,"gamma_wat":1,"rsb_m3m3":80,"pb_atma":120,"t_res_C":100,"bob_m3m3":1.2,"muob_cP":1,"q_liq_sm3day":164.625,"fw_perc":10,"rp_m3m3":80}</v>
      </c>
      <c r="C121" s="6">
        <f t="shared" si="1"/>
        <v>164.625</v>
      </c>
      <c r="D121" s="26">
        <f t="array" ref="D121:H121">[1]!ESP_p_atma($C$41,Tintake_,Tintake_,B93,PumpID_,NumStage_,Freq_,0,,,,gas_degr_type_,,$L$40)</f>
        <v>146.25742256908748</v>
      </c>
      <c r="E121" s="26">
        <v>146.25742256908748</v>
      </c>
      <c r="F121" s="26">
        <v>80</v>
      </c>
      <c r="G121" s="25">
        <v>150</v>
      </c>
      <c r="H121" s="26">
        <v>80</v>
      </c>
    </row>
    <row r="122" spans="2:8" x14ac:dyDescent="0.25">
      <c r="B122" t="str" cm="1">
        <f t="array" ref="B122">[1]!encode_feed(C122,fw_,Rp_,,PVT_str_)</f>
        <v>{"gamma_gas":0.8,"gamma_oil":0.9,"gamma_wat":1,"rsb_m3m3":80,"pb_atma":120,"t_res_C":100,"bob_m3m3":1.2,"muob_cP":1,"q_liq_sm3day":174.25,"fw_perc":10,"rp_m3m3":80}</v>
      </c>
      <c r="C122" s="6">
        <f t="shared" si="1"/>
        <v>174.25</v>
      </c>
      <c r="D122" s="26">
        <f t="array" ref="D122:H122">[1]!ESP_p_atma($C$41,Tintake_,Tintake_,B94,PumpID_,NumStage_,Freq_,0,,,,gas_degr_type_,,$L$40)</f>
        <v>170.43126151502906</v>
      </c>
      <c r="E122" s="26">
        <v>170.43126151502906</v>
      </c>
      <c r="F122" s="26">
        <v>80</v>
      </c>
      <c r="G122" s="25">
        <v>150</v>
      </c>
      <c r="H122" s="26">
        <v>80</v>
      </c>
    </row>
    <row r="123" spans="2:8" x14ac:dyDescent="0.25">
      <c r="B123" t="str" cm="1">
        <f t="array" ref="B123">[1]!encode_feed(C123,fw_,Rp_,,PVT_str_)</f>
        <v>{"gamma_gas":0.8,"gamma_oil":0.9,"gamma_wat":1,"rsb_m3m3":80,"pb_atma":120,"t_res_C":100,"bob_m3m3":1.2,"muob_cP":1,"q_liq_sm3day":183.875,"fw_perc":10,"rp_m3m3":80}</v>
      </c>
      <c r="C123" s="6">
        <f t="shared" si="1"/>
        <v>183.875</v>
      </c>
      <c r="D123" s="26">
        <f t="array" ref="D123:H123">[1]!ESP_p_atma($C$41,Tintake_,Tintake_,B95,PumpID_,NumStage_,Freq_,0,,,,gas_degr_type_,,$L$40)</f>
        <v>193.64167396006371</v>
      </c>
      <c r="E123" s="26">
        <v>193.64167396006371</v>
      </c>
      <c r="F123" s="26">
        <v>80</v>
      </c>
      <c r="G123" s="25">
        <v>150</v>
      </c>
      <c r="H123" s="26">
        <v>80</v>
      </c>
    </row>
    <row r="124" spans="2:8" x14ac:dyDescent="0.25">
      <c r="B124" t="str" cm="1">
        <f t="array" ref="B124">[1]!encode_feed(C124,fw_,Rp_,,PVT_str_)</f>
        <v>{"gamma_gas":0.8,"gamma_oil":0.9,"gamma_wat":1,"rsb_m3m3":80,"pb_atma":120,"t_res_C":100,"bob_m3m3":1.2,"muob_cP":1,"q_liq_sm3day":193.5,"fw_perc":10,"rp_m3m3":80}</v>
      </c>
      <c r="C124" s="6">
        <f t="shared" si="1"/>
        <v>193.5</v>
      </c>
      <c r="D124" s="26">
        <f t="array" ref="D124:H124">[1]!ESP_p_atma($C$41,Tintake_,Tintake_,B96,PumpID_,NumStage_,Freq_,0,,,,gas_degr_type_,,$L$40)</f>
        <v>215.81051705581183</v>
      </c>
      <c r="E124" s="26">
        <v>215.81051705581183</v>
      </c>
      <c r="F124" s="26">
        <v>80</v>
      </c>
      <c r="G124" s="25">
        <v>150</v>
      </c>
      <c r="H124" s="26">
        <v>80</v>
      </c>
    </row>
    <row r="125" spans="2:8" x14ac:dyDescent="0.25">
      <c r="D125" s="26"/>
      <c r="E125" s="26"/>
      <c r="F125" s="26"/>
      <c r="G125" s="25"/>
      <c r="H125" s="26"/>
    </row>
    <row r="138" spans="4:11" x14ac:dyDescent="0.25">
      <c r="D138" s="37"/>
      <c r="F138" s="36"/>
      <c r="H138" s="36"/>
      <c r="I138" s="36"/>
      <c r="J138" s="35"/>
      <c r="K138" s="36"/>
    </row>
    <row r="139" spans="4:11" x14ac:dyDescent="0.25">
      <c r="D139" s="37"/>
      <c r="F139" s="36"/>
      <c r="H139" s="36"/>
      <c r="I139" s="36"/>
      <c r="J139" s="35"/>
      <c r="K139" s="36"/>
    </row>
    <row r="140" spans="4:11" x14ac:dyDescent="0.25">
      <c r="D140" s="37"/>
      <c r="F140" s="36"/>
      <c r="H140" s="36"/>
      <c r="I140" s="36"/>
      <c r="J140" s="35"/>
      <c r="K140" s="36"/>
    </row>
    <row r="141" spans="4:11" x14ac:dyDescent="0.25">
      <c r="D141" s="37"/>
      <c r="F141" s="36"/>
      <c r="H141" s="36"/>
      <c r="I141" s="36"/>
      <c r="J141" s="35"/>
      <c r="K141" s="36"/>
    </row>
    <row r="142" spans="4:11" x14ac:dyDescent="0.25">
      <c r="D142" s="37"/>
      <c r="F142" s="36"/>
      <c r="H142" s="36"/>
      <c r="I142" s="36"/>
      <c r="J142" s="35"/>
      <c r="K142" s="36"/>
    </row>
    <row r="143" spans="4:11" x14ac:dyDescent="0.25">
      <c r="D143" s="37"/>
      <c r="E143" s="36"/>
      <c r="F143" s="36"/>
      <c r="H143" s="36"/>
      <c r="I143" s="36"/>
      <c r="J143" s="35"/>
      <c r="K143" s="36"/>
    </row>
    <row r="144" spans="4:11" x14ac:dyDescent="0.25">
      <c r="D144" s="37"/>
      <c r="E144" s="36"/>
      <c r="F144" s="36"/>
      <c r="H144" s="36"/>
      <c r="I144" s="36"/>
      <c r="J144" s="35"/>
      <c r="K144" s="36"/>
    </row>
    <row r="145" spans="4:30" x14ac:dyDescent="0.25">
      <c r="D145" s="37"/>
      <c r="E145" s="36"/>
      <c r="F145" s="36"/>
      <c r="H145" s="36"/>
      <c r="I145" s="36"/>
      <c r="J145" s="35"/>
      <c r="K145" s="36"/>
    </row>
    <row r="146" spans="4:30" x14ac:dyDescent="0.25">
      <c r="D146" s="37"/>
      <c r="E146" s="36"/>
      <c r="F146" s="36"/>
      <c r="H146" s="36"/>
      <c r="I146" s="36"/>
      <c r="J146" s="35"/>
      <c r="K146" s="36"/>
    </row>
    <row r="147" spans="4:30" x14ac:dyDescent="0.25">
      <c r="D147" s="37"/>
      <c r="E147" s="36"/>
      <c r="F147" s="36"/>
      <c r="H147" s="36"/>
      <c r="I147" s="36"/>
      <c r="J147" s="35"/>
      <c r="K147" s="36"/>
    </row>
    <row r="148" spans="4:30" x14ac:dyDescent="0.25">
      <c r="D148" s="37"/>
      <c r="E148" s="36"/>
      <c r="F148" s="36"/>
      <c r="H148" s="36"/>
      <c r="I148" s="36"/>
      <c r="J148" s="35"/>
      <c r="K148" s="36"/>
    </row>
    <row r="149" spans="4:30" x14ac:dyDescent="0.25">
      <c r="D149" s="37"/>
      <c r="E149" s="36"/>
      <c r="F149" s="36"/>
      <c r="G149" s="35"/>
      <c r="H149" s="36"/>
      <c r="I149" s="36"/>
      <c r="J149" s="35"/>
      <c r="K149" s="36"/>
    </row>
    <row r="150" spans="4:30" x14ac:dyDescent="0.25">
      <c r="D150" s="37"/>
      <c r="E150" s="36"/>
      <c r="F150" s="36"/>
      <c r="G150" s="35"/>
      <c r="H150" s="36"/>
      <c r="I150" s="36"/>
      <c r="J150" s="35"/>
      <c r="K150" s="36"/>
    </row>
    <row r="151" spans="4:30" x14ac:dyDescent="0.25">
      <c r="D151" s="37"/>
      <c r="E151" s="36"/>
      <c r="F151" s="36"/>
      <c r="G151" s="35"/>
      <c r="H151" s="36"/>
      <c r="I151" s="36"/>
      <c r="J151" s="35"/>
      <c r="K151" s="36"/>
    </row>
    <row r="152" spans="4:30" x14ac:dyDescent="0.25">
      <c r="D152" s="37"/>
      <c r="E152" s="36"/>
      <c r="F152" s="36"/>
      <c r="G152" s="35"/>
      <c r="H152" s="36"/>
      <c r="I152" s="36"/>
      <c r="J152" s="35"/>
      <c r="K152" s="36"/>
      <c r="AD152" s="36"/>
    </row>
    <row r="153" spans="4:30" x14ac:dyDescent="0.25">
      <c r="D153" s="37"/>
      <c r="E153" s="36"/>
      <c r="F153" s="36"/>
      <c r="G153" s="35"/>
      <c r="H153" s="36"/>
      <c r="I153" s="36"/>
      <c r="J153" s="35"/>
      <c r="K153" s="36"/>
    </row>
    <row r="154" spans="4:30" x14ac:dyDescent="0.25">
      <c r="D154" s="37"/>
      <c r="E154" s="36"/>
      <c r="F154" s="36"/>
      <c r="G154" s="35"/>
      <c r="H154" s="36"/>
      <c r="I154" s="36"/>
      <c r="J154" s="35"/>
      <c r="K154" s="36"/>
    </row>
    <row r="155" spans="4:30" x14ac:dyDescent="0.25">
      <c r="D155" s="37"/>
      <c r="E155" s="36"/>
      <c r="F155" s="36"/>
      <c r="G155" s="35"/>
      <c r="H155" s="36"/>
      <c r="I155" s="36"/>
      <c r="J155" s="35"/>
      <c r="K155" s="36"/>
    </row>
    <row r="156" spans="4:30" x14ac:dyDescent="0.25">
      <c r="D156" s="37"/>
      <c r="E156" s="36"/>
      <c r="F156" s="36"/>
      <c r="G156" s="35"/>
      <c r="H156" s="36"/>
      <c r="I156" s="36"/>
      <c r="J156" s="35"/>
      <c r="K156" s="36"/>
    </row>
    <row r="157" spans="4:30" x14ac:dyDescent="0.25">
      <c r="D157" s="36"/>
      <c r="E157" s="36"/>
      <c r="F157" s="36"/>
      <c r="G157" s="35"/>
      <c r="H157" s="36"/>
      <c r="I157" s="36"/>
      <c r="J157" s="35"/>
      <c r="K157" s="36"/>
    </row>
    <row r="162" spans="6:14" x14ac:dyDescent="0.25">
      <c r="F162" s="37"/>
      <c r="K162" s="37"/>
      <c r="M162" s="36"/>
      <c r="N162" s="35"/>
    </row>
    <row r="165" spans="6:14" x14ac:dyDescent="0.25">
      <c r="J165" s="38"/>
      <c r="K165" s="38"/>
      <c r="L165" s="38"/>
    </row>
    <row r="166" spans="6:14" x14ac:dyDescent="0.25">
      <c r="J166" s="38"/>
      <c r="K166" s="38"/>
      <c r="L166" s="38"/>
    </row>
    <row r="167" spans="6:14" x14ac:dyDescent="0.25">
      <c r="J167" s="38"/>
      <c r="K167" s="38"/>
      <c r="L167" s="38"/>
    </row>
    <row r="168" spans="6:14" x14ac:dyDescent="0.25">
      <c r="J168" s="38"/>
      <c r="K168" s="38"/>
      <c r="L168" s="38"/>
    </row>
    <row r="169" spans="6:14" x14ac:dyDescent="0.25">
      <c r="J169" s="38"/>
      <c r="K169" s="39"/>
      <c r="L169" s="38"/>
    </row>
    <row r="170" spans="6:14" x14ac:dyDescent="0.25">
      <c r="J170" s="38"/>
      <c r="K170" s="38"/>
      <c r="L170" s="38"/>
    </row>
    <row r="171" spans="6:14" x14ac:dyDescent="0.25">
      <c r="J171" s="38"/>
      <c r="K171" s="38"/>
      <c r="L171" s="38"/>
    </row>
    <row r="172" spans="6:14" x14ac:dyDescent="0.25">
      <c r="J172" s="38"/>
      <c r="K172" s="38"/>
      <c r="L172" s="38"/>
    </row>
    <row r="173" spans="6:14" x14ac:dyDescent="0.25">
      <c r="J173" s="38"/>
      <c r="K173" s="38"/>
      <c r="L173" s="38"/>
    </row>
    <row r="174" spans="6:14" x14ac:dyDescent="0.25">
      <c r="J174" s="38"/>
      <c r="K174" s="38"/>
      <c r="L174" s="38"/>
    </row>
    <row r="175" spans="6:14" x14ac:dyDescent="0.25">
      <c r="J175" s="38"/>
      <c r="K175" s="38"/>
      <c r="L175" s="38"/>
    </row>
    <row r="176" spans="6:14" x14ac:dyDescent="0.25">
      <c r="J176" s="38"/>
      <c r="K176" s="38"/>
      <c r="L176" s="38"/>
    </row>
    <row r="177" spans="10:13" x14ac:dyDescent="0.25">
      <c r="J177" s="38"/>
      <c r="K177" s="38"/>
      <c r="L177" s="38"/>
    </row>
    <row r="178" spans="10:13" x14ac:dyDescent="0.25">
      <c r="J178" s="38"/>
      <c r="K178" s="38"/>
      <c r="L178" s="38"/>
    </row>
    <row r="179" spans="10:13" x14ac:dyDescent="0.25">
      <c r="J179" s="38"/>
      <c r="K179" s="38"/>
      <c r="L179" s="38"/>
    </row>
    <row r="180" spans="10:13" x14ac:dyDescent="0.25">
      <c r="J180" s="38"/>
      <c r="K180" s="38"/>
      <c r="L180" s="38"/>
    </row>
    <row r="181" spans="10:13" x14ac:dyDescent="0.25">
      <c r="J181" s="38"/>
      <c r="K181" s="38"/>
      <c r="L181" s="38"/>
    </row>
    <row r="182" spans="10:13" x14ac:dyDescent="0.25">
      <c r="J182" s="38"/>
      <c r="K182" s="38"/>
      <c r="L182" s="38"/>
    </row>
    <row r="183" spans="10:13" x14ac:dyDescent="0.25">
      <c r="J183" s="38"/>
      <c r="K183" s="38"/>
      <c r="L183" s="38"/>
    </row>
    <row r="184" spans="10:13" x14ac:dyDescent="0.25">
      <c r="J184" s="38"/>
      <c r="K184" s="38"/>
      <c r="L184" s="38"/>
    </row>
    <row r="185" spans="10:13" x14ac:dyDescent="0.25">
      <c r="M185" s="40"/>
    </row>
    <row r="186" spans="10:13" x14ac:dyDescent="0.25">
      <c r="M186" s="40"/>
    </row>
  </sheetData>
  <mergeCells count="6">
    <mergeCell ref="D102:H102"/>
    <mergeCell ref="B3:E3"/>
    <mergeCell ref="B4:E4"/>
    <mergeCell ref="B5:E5"/>
    <mergeCell ref="B6:E8"/>
    <mergeCell ref="D74:H7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37</vt:i4>
      </vt:variant>
    </vt:vector>
  </HeadingPairs>
  <TitlesOfParts>
    <vt:vector size="38" baseType="lpstr">
      <vt:lpstr>Exercise_ESP</vt:lpstr>
      <vt:lpstr>Exercise_ESP!Bob_</vt:lpstr>
      <vt:lpstr>calc_along_flow</vt:lpstr>
      <vt:lpstr>dN</vt:lpstr>
      <vt:lpstr>ESPstr</vt:lpstr>
      <vt:lpstr>Exercise_ESP!Freq_</vt:lpstr>
      <vt:lpstr>Exercise_ESP!fw_</vt:lpstr>
      <vt:lpstr>Exercise_ESP!gamma_gas_</vt:lpstr>
      <vt:lpstr>Exercise_ESP!gamma_oil_</vt:lpstr>
      <vt:lpstr>Exercise_ESP!gamma_wat_</vt:lpstr>
      <vt:lpstr>gas_degr_type_</vt:lpstr>
      <vt:lpstr>Exercise_ESP!Head_ESP_</vt:lpstr>
      <vt:lpstr>input_Course</vt:lpstr>
      <vt:lpstr>input_Date</vt:lpstr>
      <vt:lpstr>input_Group</vt:lpstr>
      <vt:lpstr>input_Notes</vt:lpstr>
      <vt:lpstr>input_Student_Name</vt:lpstr>
      <vt:lpstr>input_Version</vt:lpstr>
      <vt:lpstr>Exercise_ESP!KsepGasSep_</vt:lpstr>
      <vt:lpstr>mu</vt:lpstr>
      <vt:lpstr>Exercise_ESP!muob_</vt:lpstr>
      <vt:lpstr>Exercise_ESP!N_</vt:lpstr>
      <vt:lpstr>Exercise_ESP!NumStage_</vt:lpstr>
      <vt:lpstr>Exercise_ESP!Pb_</vt:lpstr>
      <vt:lpstr>Exercise_ESP!Pdis_</vt:lpstr>
      <vt:lpstr>Exercise_ESP!Pintake_</vt:lpstr>
      <vt:lpstr>PKsep</vt:lpstr>
      <vt:lpstr>Exercise_ESP!PumpID_</vt:lpstr>
      <vt:lpstr>PVT_str_</vt:lpstr>
      <vt:lpstr>Exercise_ESP!Q_</vt:lpstr>
      <vt:lpstr>Exercise_ESP!Q_ESP_</vt:lpstr>
      <vt:lpstr>Exercise_ESP!Qmax_</vt:lpstr>
      <vt:lpstr>Exercise_ESP!Rp_</vt:lpstr>
      <vt:lpstr>Exercise_ESP!Rsb_</vt:lpstr>
      <vt:lpstr>Tdis_</vt:lpstr>
      <vt:lpstr>Exercise_ESP!Tintake_</vt:lpstr>
      <vt:lpstr>TKsep_</vt:lpstr>
      <vt:lpstr>Exercise_ESP!Tres_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2021-04-25T07:10:53Z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