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55C9965-B9BD-4774-9981-5E9B6894F91E}" xr6:coauthVersionLast="47" xr6:coauthVersionMax="47" xr10:uidLastSave="{00000000-0000-0000-0000-000000000000}"/>
  <bookViews>
    <workbookView xWindow="-31815" yWindow="705" windowWidth="20220" windowHeight="19035" tabRatio="422" xr2:uid="{00000000-000D-0000-FFFF-FFFF00000000}"/>
  </bookViews>
  <sheets>
    <sheet name="Exercise_ESP" sheetId="110" r:id="rId1"/>
    <sheet name="Exercise_ESP (2)" sheetId="111" r:id="rId2"/>
  </sheets>
  <externalReferences>
    <externalReference r:id="rId3"/>
  </externalReferences>
  <definedNames>
    <definedName name="Bob_" localSheetId="0">Exercise_ESP!$C$18</definedName>
    <definedName name="Bob_" localSheetId="1">'Exercise_ESP (2)'!$C$18</definedName>
    <definedName name="calc_along_flow" localSheetId="1">'Exercise_ESP (2)'!$G$39</definedName>
    <definedName name="calc_along_flow">Exercise_ESP!$G$39</definedName>
    <definedName name="dN" localSheetId="1">'Exercise_ESP (2)'!$C$44</definedName>
    <definedName name="dN">Exercise_ESP!$C$44</definedName>
    <definedName name="ESPstr" localSheetId="1">'Exercise_ESP (2)'!$J$33</definedName>
    <definedName name="ESPstr">Exercise_ESP!$J$33</definedName>
    <definedName name="Freq_" localSheetId="0">Exercise_ESP!$C$26</definedName>
    <definedName name="Freq_" localSheetId="1">'Exercise_ESP (2)'!$C$26</definedName>
    <definedName name="fw_" localSheetId="0">Exercise_ESP!$C$22</definedName>
    <definedName name="fw_" localSheetId="1">'Exercise_ESP (2)'!$C$22</definedName>
    <definedName name="gamma_gas_" localSheetId="0">Exercise_ESP!$C$13</definedName>
    <definedName name="gamma_gas_" localSheetId="1">'Exercise_ESP (2)'!$C$13</definedName>
    <definedName name="gamma_oil_" localSheetId="0">Exercise_ESP!$C$11</definedName>
    <definedName name="gamma_oil_" localSheetId="1">'Exercise_ESP (2)'!$C$11</definedName>
    <definedName name="gamma_wat_" localSheetId="0">Exercise_ESP!$C$12</definedName>
    <definedName name="gamma_wat_" localSheetId="1">'Exercise_ESP (2)'!$C$12</definedName>
    <definedName name="gas_degr_type_" localSheetId="1">'Exercise_ESP (2)'!$C$43</definedName>
    <definedName name="gas_degr_type_">Exercise_ESP!$C$43</definedName>
    <definedName name="Head_ESP_" localSheetId="0">Exercise_ESP!$C$25</definedName>
    <definedName name="Head_ESP_" localSheetId="1">'Exercise_ESP (2)'!$C$25</definedName>
    <definedName name="input_">#REF!</definedName>
    <definedName name="input_Course" localSheetId="1">'Exercise_ESP (2)'!$I$3</definedName>
    <definedName name="input_Course">Exercise_ESP!$I$3</definedName>
    <definedName name="input_Date" localSheetId="1">'Exercise_ESP (2)'!$I$1</definedName>
    <definedName name="input_Date">Exercise_ESP!$I$1</definedName>
    <definedName name="input_Group" localSheetId="1">'Exercise_ESP (2)'!$I$4</definedName>
    <definedName name="input_Group">Exercise_ESP!$I$4</definedName>
    <definedName name="input_Notes" localSheetId="1">'Exercise_ESP (2)'!$I$6</definedName>
    <definedName name="input_Notes">Exercise_ESP!$I$6</definedName>
    <definedName name="input_Student_Name" localSheetId="1">'Exercise_ESP (2)'!$I$5</definedName>
    <definedName name="input_Student_Name">Exercise_ESP!$I$5</definedName>
    <definedName name="input_Version" localSheetId="1">'Exercise_ESP (2)'!$I$2</definedName>
    <definedName name="input_Version">Exercise_ESP!$I$2</definedName>
    <definedName name="KsepGasSep_" localSheetId="0">Exercise_ESP!$C$31</definedName>
    <definedName name="KsepGasSep_" localSheetId="1">'Exercise_ESP (2)'!$C$31</definedName>
    <definedName name="mu" localSheetId="1">'Exercise_ESP (2)'!$C$34</definedName>
    <definedName name="mu">Exercise_ESP!$C$34</definedName>
    <definedName name="muob_" localSheetId="0">Exercise_ESP!$C$19</definedName>
    <definedName name="muob_" localSheetId="1">'Exercise_ESP (2)'!$C$19</definedName>
    <definedName name="N_" localSheetId="0">Exercise_ESP!$C$36</definedName>
    <definedName name="N_" localSheetId="1">'Exercise_ESP (2)'!$C$36</definedName>
    <definedName name="NumStage_" localSheetId="0">Exercise_ESP!$C$30</definedName>
    <definedName name="NumStage_" localSheetId="1">'Exercise_ESP (2)'!$C$30</definedName>
    <definedName name="output_">#REF!</definedName>
    <definedName name="Pb_" localSheetId="0">Exercise_ESP!$C$16</definedName>
    <definedName name="Pb_" localSheetId="1">'Exercise_ESP (2)'!$C$16</definedName>
    <definedName name="Pdis_" localSheetId="0">Exercise_ESP!$C$41</definedName>
    <definedName name="Pdis_" localSheetId="1">'Exercise_ESP (2)'!$C$41</definedName>
    <definedName name="Pintake_" localSheetId="0">Exercise_ESP!$C$39</definedName>
    <definedName name="Pintake_" localSheetId="1">'Exercise_ESP (2)'!$C$39</definedName>
    <definedName name="PKsep" localSheetId="1">'Exercise_ESP (2)'!$C$32</definedName>
    <definedName name="PKsep">Exercise_ESP!$C$32</definedName>
    <definedName name="PumpID_" localSheetId="0">Exercise_ESP!$C$27</definedName>
    <definedName name="PumpID_" localSheetId="1">'Exercise_ESP (2)'!$C$27</definedName>
    <definedName name="PVT_str_" localSheetId="1">'Exercise_ESP (2)'!$J$30</definedName>
    <definedName name="PVT_str_">Exercise_ESP!$J$30</definedName>
    <definedName name="Q_" localSheetId="0">Exercise_ESP!$C$21</definedName>
    <definedName name="Q_" localSheetId="1">'Exercise_ESP (2)'!$C$21</definedName>
    <definedName name="Q_ESP_" localSheetId="0">Exercise_ESP!$C$24</definedName>
    <definedName name="Q_ESP_" localSheetId="1">'Exercise_ESP (2)'!$C$24</definedName>
    <definedName name="Qmax_" localSheetId="0">Exercise_ESP!$C$29</definedName>
    <definedName name="Qmax_" localSheetId="1">'Exercise_ESP (2)'!$C$29</definedName>
    <definedName name="Rp_" localSheetId="0">Exercise_ESP!$C$15</definedName>
    <definedName name="Rp_" localSheetId="1">'Exercise_ESP (2)'!$C$15</definedName>
    <definedName name="Rsb_" localSheetId="0">Exercise_ESP!$C$14</definedName>
    <definedName name="Rsb_" localSheetId="1">'Exercise_ESP (2)'!$C$14</definedName>
    <definedName name="Tdis_" localSheetId="1">'Exercise_ESP (2)'!$C$42</definedName>
    <definedName name="Tdis_">Exercise_ESP!$C$42</definedName>
    <definedName name="Tintake_" localSheetId="0">Exercise_ESP!$C$40</definedName>
    <definedName name="Tintake_" localSheetId="1">'Exercise_ESP (2)'!$C$40</definedName>
    <definedName name="TKsep_" localSheetId="1">'Exercise_ESP (2)'!$C$33</definedName>
    <definedName name="TKsep_">Exercise_ESP!$C$33</definedName>
    <definedName name="Tres_" localSheetId="0">Exercise_ESP!$C$17</definedName>
    <definedName name="Tres_" localSheetId="1">'Exercise_ESP (2)'!$C$17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4" i="111" l="1"/>
  <c r="E17" i="111"/>
  <c r="E16" i="111"/>
  <c r="E15" i="111"/>
  <c r="E14" i="111"/>
  <c r="E13" i="111"/>
  <c r="E12" i="111"/>
  <c r="E11" i="111"/>
  <c r="C104" i="110"/>
  <c r="E17" i="110"/>
  <c r="E16" i="110"/>
  <c r="E15" i="110"/>
  <c r="E14" i="110"/>
  <c r="E13" i="110"/>
  <c r="E12" i="110"/>
  <c r="E11" i="110"/>
  <c r="Q24" i="111" a="1"/>
  <c r="L40" i="110" a="1"/>
  <c r="J30" i="111" a="1"/>
  <c r="L40" i="111" a="1"/>
  <c r="G1" i="110"/>
  <c r="K68" i="110" a="1"/>
  <c r="C27" i="111" a="1"/>
  <c r="G1" i="111"/>
  <c r="S34" i="111" a="1"/>
  <c r="J30" i="110" a="1"/>
  <c r="C27" i="110" a="1"/>
  <c r="L40" i="110" l="1"/>
  <c r="K68" i="110"/>
  <c r="Q24" i="111"/>
  <c r="W25" i="111" s="1"/>
  <c r="C27" i="110"/>
  <c r="J30" i="111"/>
  <c r="C27" i="111"/>
  <c r="J30" i="110"/>
  <c r="S34" i="111"/>
  <c r="L40" i="111"/>
  <c r="C30" i="111" a="1"/>
  <c r="B76" i="111" a="1"/>
  <c r="C28" i="111" a="1"/>
  <c r="J31" i="110" a="1"/>
  <c r="C30" i="110" a="1"/>
  <c r="B104" i="111" a="1"/>
  <c r="C29" i="110" a="1"/>
  <c r="C29" i="111" a="1"/>
  <c r="AD27" i="111" a="1"/>
  <c r="C28" i="110" a="1"/>
  <c r="B104" i="110" a="1"/>
  <c r="B76" i="110" a="1"/>
  <c r="J31" i="111" a="1"/>
  <c r="AD27" i="111" l="1"/>
  <c r="J31" i="110"/>
  <c r="B76" i="110"/>
  <c r="B104" i="110"/>
  <c r="C30" i="111"/>
  <c r="C29" i="111"/>
  <c r="C77" i="111" s="1"/>
  <c r="C28" i="111"/>
  <c r="J31" i="111"/>
  <c r="B104" i="111"/>
  <c r="B76" i="111"/>
  <c r="C30" i="110"/>
  <c r="C29" i="110"/>
  <c r="C77" i="110" s="1"/>
  <c r="C28" i="110"/>
  <c r="F43" i="110" a="1"/>
  <c r="D76" i="110" a="1"/>
  <c r="D104" i="111" a="1"/>
  <c r="K70" i="110" a="1"/>
  <c r="B77" i="110" a="1"/>
  <c r="B77" i="111" a="1"/>
  <c r="D104" i="110" a="1"/>
  <c r="D76" i="111" a="1"/>
  <c r="F43" i="111" a="1"/>
  <c r="F43" i="110" l="1"/>
  <c r="K70" i="110"/>
  <c r="B77" i="110"/>
  <c r="B77" i="111"/>
  <c r="E76" i="110"/>
  <c r="H76" i="110"/>
  <c r="F76" i="110"/>
  <c r="G76" i="110"/>
  <c r="D76" i="110"/>
  <c r="H104" i="110"/>
  <c r="D104" i="110"/>
  <c r="F104" i="110"/>
  <c r="G104" i="110"/>
  <c r="E104" i="110"/>
  <c r="F43" i="111"/>
  <c r="H76" i="111"/>
  <c r="D76" i="111"/>
  <c r="E76" i="111"/>
  <c r="G76" i="111"/>
  <c r="F76" i="111"/>
  <c r="H104" i="111"/>
  <c r="D104" i="111"/>
  <c r="G104" i="111"/>
  <c r="F104" i="111"/>
  <c r="E104" i="111"/>
  <c r="C78" i="110"/>
  <c r="C105" i="110"/>
  <c r="C105" i="111"/>
  <c r="C78" i="111"/>
  <c r="S34" i="110" a="1"/>
  <c r="B78" i="111" a="1"/>
  <c r="D77" i="110" a="1"/>
  <c r="B105" i="111" a="1"/>
  <c r="B105" i="110" a="1"/>
  <c r="D77" i="111" a="1"/>
  <c r="D105" i="111" a="1"/>
  <c r="K72" i="110" a="1"/>
  <c r="D105" i="110" a="1"/>
  <c r="B78" i="110" a="1"/>
  <c r="S34" i="110" l="1"/>
  <c r="K72" i="110"/>
  <c r="B78" i="111"/>
  <c r="B78" i="110"/>
  <c r="B105" i="111"/>
  <c r="B105" i="110"/>
  <c r="H77" i="111"/>
  <c r="G77" i="111"/>
  <c r="F77" i="111"/>
  <c r="D77" i="111"/>
  <c r="E77" i="111"/>
  <c r="H105" i="111"/>
  <c r="F105" i="111"/>
  <c r="E105" i="111"/>
  <c r="D105" i="111"/>
  <c r="G105" i="111"/>
  <c r="H77" i="110"/>
  <c r="F77" i="110"/>
  <c r="D77" i="110"/>
  <c r="E77" i="110"/>
  <c r="G77" i="110"/>
  <c r="H105" i="110"/>
  <c r="F105" i="110"/>
  <c r="G105" i="110"/>
  <c r="D105" i="110"/>
  <c r="E105" i="110"/>
  <c r="C106" i="111"/>
  <c r="C79" i="111"/>
  <c r="C106" i="110"/>
  <c r="C79" i="110"/>
  <c r="B106" i="110" a="1"/>
  <c r="D106" i="111" a="1"/>
  <c r="D78" i="110" a="1"/>
  <c r="D78" i="111" a="1"/>
  <c r="D106" i="110" a="1"/>
  <c r="B79" i="111" a="1"/>
  <c r="B79" i="110" a="1"/>
  <c r="B106" i="111" a="1"/>
  <c r="B106" i="111" l="1"/>
  <c r="B79" i="110"/>
  <c r="B106" i="110"/>
  <c r="H78" i="110"/>
  <c r="F78" i="110"/>
  <c r="E78" i="110"/>
  <c r="G78" i="110"/>
  <c r="D78" i="110"/>
  <c r="F106" i="110"/>
  <c r="D106" i="110"/>
  <c r="G106" i="110"/>
  <c r="H106" i="110"/>
  <c r="E106" i="110"/>
  <c r="B79" i="111"/>
  <c r="H78" i="111"/>
  <c r="E78" i="111"/>
  <c r="G78" i="111"/>
  <c r="F78" i="111"/>
  <c r="D78" i="111"/>
  <c r="F106" i="111"/>
  <c r="D106" i="111"/>
  <c r="H106" i="111"/>
  <c r="G106" i="111"/>
  <c r="E106" i="111"/>
  <c r="C107" i="110"/>
  <c r="C80" i="110"/>
  <c r="C107" i="111"/>
  <c r="C80" i="111"/>
  <c r="B107" i="110" a="1"/>
  <c r="D107" i="110" a="1"/>
  <c r="B80" i="110" a="1"/>
  <c r="D107" i="111" a="1"/>
  <c r="B80" i="111" a="1"/>
  <c r="B107" i="111" a="1"/>
  <c r="D79" i="110" a="1"/>
  <c r="D79" i="111" a="1"/>
  <c r="B80" i="111" l="1"/>
  <c r="B107" i="111"/>
  <c r="B80" i="110"/>
  <c r="H107" i="111"/>
  <c r="D107" i="111"/>
  <c r="G107" i="111"/>
  <c r="F107" i="111"/>
  <c r="E107" i="111"/>
  <c r="E79" i="111"/>
  <c r="H79" i="111"/>
  <c r="G79" i="111"/>
  <c r="D79" i="111"/>
  <c r="F79" i="111"/>
  <c r="D79" i="110"/>
  <c r="G79" i="110"/>
  <c r="F79" i="110"/>
  <c r="H79" i="110"/>
  <c r="E79" i="110"/>
  <c r="E107" i="110"/>
  <c r="H107" i="110"/>
  <c r="F107" i="110"/>
  <c r="G107" i="110"/>
  <c r="D107" i="110"/>
  <c r="B107" i="110"/>
  <c r="C108" i="111"/>
  <c r="C81" i="111"/>
  <c r="C108" i="110"/>
  <c r="C81" i="110"/>
  <c r="B108" i="110" a="1"/>
  <c r="B81" i="111" a="1"/>
  <c r="D80" i="111" a="1"/>
  <c r="B108" i="111" a="1"/>
  <c r="D108" i="111" a="1"/>
  <c r="D108" i="110" a="1"/>
  <c r="B81" i="110" a="1"/>
  <c r="D80" i="110" a="1"/>
  <c r="B81" i="110" l="1"/>
  <c r="B108" i="110"/>
  <c r="G108" i="110"/>
  <c r="H108" i="110"/>
  <c r="E108" i="110"/>
  <c r="D108" i="110"/>
  <c r="F108" i="110"/>
  <c r="H80" i="110"/>
  <c r="G80" i="110"/>
  <c r="D80" i="110"/>
  <c r="E80" i="110"/>
  <c r="F80" i="110"/>
  <c r="B81" i="111"/>
  <c r="B108" i="111"/>
  <c r="D108" i="111"/>
  <c r="F108" i="111"/>
  <c r="H108" i="111"/>
  <c r="E108" i="111"/>
  <c r="G108" i="111"/>
  <c r="G80" i="111"/>
  <c r="H80" i="111"/>
  <c r="D80" i="111"/>
  <c r="E80" i="111"/>
  <c r="F80" i="111"/>
  <c r="C109" i="110"/>
  <c r="C82" i="110"/>
  <c r="C109" i="111"/>
  <c r="C82" i="111"/>
  <c r="B82" i="110" a="1"/>
  <c r="B109" i="111" a="1"/>
  <c r="B82" i="111" a="1"/>
  <c r="D81" i="110" a="1"/>
  <c r="B109" i="110" a="1"/>
  <c r="D109" i="111" a="1"/>
  <c r="D81" i="111" a="1"/>
  <c r="D109" i="110" a="1"/>
  <c r="B82" i="111" l="1"/>
  <c r="B82" i="110"/>
  <c r="B109" i="111"/>
  <c r="B109" i="110"/>
  <c r="G109" i="111"/>
  <c r="E109" i="111"/>
  <c r="H109" i="111"/>
  <c r="F109" i="111"/>
  <c r="D109" i="111"/>
  <c r="H81" i="111"/>
  <c r="E81" i="111"/>
  <c r="D81" i="111"/>
  <c r="G81" i="111"/>
  <c r="F81" i="111"/>
  <c r="H81" i="110"/>
  <c r="F81" i="110"/>
  <c r="D81" i="110"/>
  <c r="E81" i="110"/>
  <c r="G81" i="110"/>
  <c r="H109" i="110"/>
  <c r="F109" i="110"/>
  <c r="G109" i="110"/>
  <c r="D109" i="110"/>
  <c r="E109" i="110"/>
  <c r="C110" i="111"/>
  <c r="C83" i="111"/>
  <c r="C110" i="110"/>
  <c r="C83" i="110"/>
  <c r="B110" i="111" a="1"/>
  <c r="D82" i="110" a="1"/>
  <c r="B83" i="110" a="1"/>
  <c r="D110" i="110" a="1"/>
  <c r="D82" i="111" a="1"/>
  <c r="B110" i="110" a="1"/>
  <c r="D110" i="111" a="1"/>
  <c r="B83" i="111" a="1"/>
  <c r="B83" i="110" l="1"/>
  <c r="B83" i="111"/>
  <c r="B110" i="110"/>
  <c r="B110" i="111"/>
  <c r="H110" i="110"/>
  <c r="F110" i="110"/>
  <c r="D110" i="110"/>
  <c r="E110" i="110"/>
  <c r="G110" i="110"/>
  <c r="G82" i="110"/>
  <c r="D82" i="110"/>
  <c r="F82" i="110"/>
  <c r="H82" i="110"/>
  <c r="E82" i="110"/>
  <c r="D82" i="111"/>
  <c r="G82" i="111"/>
  <c r="E82" i="111"/>
  <c r="H82" i="111"/>
  <c r="F82" i="111"/>
  <c r="D110" i="111"/>
  <c r="E110" i="111"/>
  <c r="F110" i="111"/>
  <c r="H110" i="111"/>
  <c r="G110" i="111"/>
  <c r="C84" i="110"/>
  <c r="C111" i="110"/>
  <c r="C111" i="111"/>
  <c r="C84" i="111"/>
  <c r="B84" i="111" a="1"/>
  <c r="B111" i="110" a="1"/>
  <c r="D111" i="111" a="1"/>
  <c r="D83" i="110" a="1"/>
  <c r="B111" i="111" a="1"/>
  <c r="D111" i="110" a="1"/>
  <c r="B84" i="110" a="1"/>
  <c r="D83" i="111" a="1"/>
  <c r="B111" i="110" l="1"/>
  <c r="D83" i="110"/>
  <c r="G83" i="110"/>
  <c r="F83" i="110"/>
  <c r="H83" i="110"/>
  <c r="E83" i="110"/>
  <c r="E111" i="110"/>
  <c r="F111" i="110"/>
  <c r="H111" i="110"/>
  <c r="G111" i="110"/>
  <c r="D111" i="110"/>
  <c r="B84" i="110"/>
  <c r="B111" i="111"/>
  <c r="D83" i="111"/>
  <c r="H83" i="111"/>
  <c r="E83" i="111"/>
  <c r="F83" i="111"/>
  <c r="G83" i="111"/>
  <c r="H111" i="111"/>
  <c r="D111" i="111"/>
  <c r="G111" i="111"/>
  <c r="E111" i="111"/>
  <c r="F111" i="111"/>
  <c r="B84" i="111"/>
  <c r="C112" i="110"/>
  <c r="C85" i="110"/>
  <c r="C112" i="111"/>
  <c r="C85" i="111"/>
  <c r="B85" i="110" a="1"/>
  <c r="D84" i="111" a="1"/>
  <c r="D84" i="110" a="1"/>
  <c r="D112" i="110" a="1"/>
  <c r="B112" i="110" a="1"/>
  <c r="B85" i="111" a="1"/>
  <c r="B112" i="111" a="1"/>
  <c r="D112" i="111" a="1"/>
  <c r="B85" i="110" l="1"/>
  <c r="F112" i="111"/>
  <c r="D112" i="111"/>
  <c r="G112" i="111"/>
  <c r="E112" i="111"/>
  <c r="H112" i="111"/>
  <c r="E84" i="111"/>
  <c r="F84" i="111"/>
  <c r="H84" i="111"/>
  <c r="G84" i="111"/>
  <c r="D84" i="111"/>
  <c r="E84" i="110"/>
  <c r="H84" i="110"/>
  <c r="D84" i="110"/>
  <c r="G84" i="110"/>
  <c r="F84" i="110"/>
  <c r="E112" i="110"/>
  <c r="G112" i="110"/>
  <c r="F112" i="110"/>
  <c r="D112" i="110"/>
  <c r="H112" i="110"/>
  <c r="B85" i="111"/>
  <c r="B112" i="111"/>
  <c r="B112" i="110"/>
  <c r="C113" i="110"/>
  <c r="C86" i="110"/>
  <c r="C86" i="111"/>
  <c r="C113" i="111"/>
  <c r="B86" i="110" a="1"/>
  <c r="B86" i="111" a="1"/>
  <c r="D85" i="111" a="1"/>
  <c r="B113" i="110" a="1"/>
  <c r="B113" i="111" a="1"/>
  <c r="D113" i="111" a="1"/>
  <c r="D113" i="110" a="1"/>
  <c r="D85" i="110" a="1"/>
  <c r="B86" i="111" l="1"/>
  <c r="F113" i="111"/>
  <c r="E113" i="111"/>
  <c r="D113" i="111"/>
  <c r="G113" i="111"/>
  <c r="H113" i="111"/>
  <c r="E85" i="111"/>
  <c r="G85" i="111"/>
  <c r="F85" i="111"/>
  <c r="H85" i="111"/>
  <c r="D85" i="111"/>
  <c r="B113" i="111"/>
  <c r="B86" i="110"/>
  <c r="B113" i="110"/>
  <c r="H85" i="110"/>
  <c r="G85" i="110"/>
  <c r="E85" i="110"/>
  <c r="F85" i="110"/>
  <c r="D85" i="110"/>
  <c r="E113" i="110"/>
  <c r="H113" i="110"/>
  <c r="F113" i="110"/>
  <c r="G113" i="110"/>
  <c r="D113" i="110"/>
  <c r="C114" i="111"/>
  <c r="C87" i="111"/>
  <c r="C87" i="110"/>
  <c r="C114" i="110"/>
  <c r="B114" i="110" a="1"/>
  <c r="D86" i="111" a="1"/>
  <c r="D114" i="110" a="1"/>
  <c r="B87" i="110" a="1"/>
  <c r="D114" i="111" a="1"/>
  <c r="D86" i="110" a="1"/>
  <c r="B87" i="111" a="1"/>
  <c r="B114" i="111" a="1"/>
  <c r="B87" i="111" l="1"/>
  <c r="B114" i="110"/>
  <c r="B87" i="110"/>
  <c r="B114" i="111"/>
  <c r="H114" i="110"/>
  <c r="E114" i="110"/>
  <c r="G114" i="110"/>
  <c r="F114" i="110"/>
  <c r="D114" i="110"/>
  <c r="H86" i="110"/>
  <c r="E86" i="110"/>
  <c r="F86" i="110"/>
  <c r="G86" i="110"/>
  <c r="D86" i="110"/>
  <c r="F114" i="111"/>
  <c r="H114" i="111"/>
  <c r="G114" i="111"/>
  <c r="D114" i="111"/>
  <c r="E114" i="111"/>
  <c r="H86" i="111"/>
  <c r="E86" i="111"/>
  <c r="D86" i="111"/>
  <c r="G86" i="111"/>
  <c r="F86" i="111"/>
  <c r="C115" i="111"/>
  <c r="C88" i="111"/>
  <c r="C88" i="110"/>
  <c r="C115" i="110"/>
  <c r="B115" i="110" a="1"/>
  <c r="B88" i="110" a="1"/>
  <c r="B88" i="111" a="1"/>
  <c r="D87" i="111" a="1"/>
  <c r="D115" i="111" a="1"/>
  <c r="D87" i="110" a="1"/>
  <c r="D115" i="110" a="1"/>
  <c r="B115" i="111" a="1"/>
  <c r="B88" i="110" l="1"/>
  <c r="F87" i="110"/>
  <c r="D87" i="110"/>
  <c r="G87" i="110"/>
  <c r="H87" i="110"/>
  <c r="E87" i="110"/>
  <c r="D115" i="110"/>
  <c r="E115" i="110"/>
  <c r="H115" i="110"/>
  <c r="F115" i="110"/>
  <c r="G115" i="110"/>
  <c r="B115" i="110"/>
  <c r="B88" i="111"/>
  <c r="B115" i="111"/>
  <c r="H87" i="111"/>
  <c r="G87" i="111"/>
  <c r="D87" i="111"/>
  <c r="E87" i="111"/>
  <c r="F87" i="111"/>
  <c r="H115" i="111"/>
  <c r="E115" i="111"/>
  <c r="F115" i="111"/>
  <c r="D115" i="111"/>
  <c r="G115" i="111"/>
  <c r="C116" i="110"/>
  <c r="C89" i="110"/>
  <c r="C116" i="111"/>
  <c r="C89" i="111"/>
  <c r="D88" i="111" a="1"/>
  <c r="D116" i="111" a="1"/>
  <c r="D116" i="110" a="1"/>
  <c r="B116" i="111" a="1"/>
  <c r="B116" i="110" a="1"/>
  <c r="B89" i="111" a="1"/>
  <c r="B89" i="110" a="1"/>
  <c r="D88" i="110" a="1"/>
  <c r="B89" i="111" l="1"/>
  <c r="B116" i="111"/>
  <c r="B89" i="110"/>
  <c r="B116" i="110"/>
  <c r="H88" i="111"/>
  <c r="G88" i="111"/>
  <c r="D88" i="111"/>
  <c r="E88" i="111"/>
  <c r="F88" i="111"/>
  <c r="D116" i="111"/>
  <c r="G116" i="111"/>
  <c r="F116" i="111"/>
  <c r="E116" i="111"/>
  <c r="H116" i="111"/>
  <c r="D88" i="110"/>
  <c r="F88" i="110"/>
  <c r="E88" i="110"/>
  <c r="G88" i="110"/>
  <c r="H88" i="110"/>
  <c r="H116" i="110"/>
  <c r="E116" i="110"/>
  <c r="G116" i="110"/>
  <c r="F116" i="110"/>
  <c r="D116" i="110"/>
  <c r="C117" i="111"/>
  <c r="C90" i="111"/>
  <c r="C117" i="110"/>
  <c r="C90" i="110"/>
  <c r="D117" i="111" a="1"/>
  <c r="D117" i="110" a="1"/>
  <c r="B90" i="110" a="1"/>
  <c r="B117" i="111" a="1"/>
  <c r="D89" i="111" a="1"/>
  <c r="B90" i="111" a="1"/>
  <c r="D89" i="110" a="1"/>
  <c r="B117" i="110" a="1"/>
  <c r="B117" i="111" l="1"/>
  <c r="B117" i="110"/>
  <c r="B90" i="111"/>
  <c r="B90" i="110"/>
  <c r="G89" i="110"/>
  <c r="F89" i="110"/>
  <c r="E89" i="110"/>
  <c r="H89" i="110"/>
  <c r="D89" i="110"/>
  <c r="H117" i="110"/>
  <c r="F117" i="110"/>
  <c r="G117" i="110"/>
  <c r="D117" i="110"/>
  <c r="E117" i="110"/>
  <c r="G117" i="111"/>
  <c r="H117" i="111"/>
  <c r="D117" i="111"/>
  <c r="F117" i="111"/>
  <c r="E117" i="111"/>
  <c r="H89" i="111"/>
  <c r="F89" i="111"/>
  <c r="E89" i="111"/>
  <c r="D89" i="111"/>
  <c r="G89" i="111"/>
  <c r="C118" i="111"/>
  <c r="C91" i="111"/>
  <c r="C118" i="110"/>
  <c r="C91" i="110"/>
  <c r="D118" i="111" a="1"/>
  <c r="B91" i="110" a="1"/>
  <c r="D90" i="110" a="1"/>
  <c r="D90" i="111" a="1"/>
  <c r="B118" i="111" a="1"/>
  <c r="D118" i="110" a="1"/>
  <c r="B118" i="110" a="1"/>
  <c r="B91" i="111" a="1"/>
  <c r="B91" i="110" l="1"/>
  <c r="B91" i="111"/>
  <c r="B118" i="110"/>
  <c r="H90" i="110"/>
  <c r="D90" i="110"/>
  <c r="E90" i="110"/>
  <c r="F90" i="110"/>
  <c r="G90" i="110"/>
  <c r="H118" i="110"/>
  <c r="D118" i="110"/>
  <c r="G118" i="110"/>
  <c r="E118" i="110"/>
  <c r="F118" i="110"/>
  <c r="B118" i="111"/>
  <c r="E90" i="111"/>
  <c r="F90" i="111"/>
  <c r="D90" i="111"/>
  <c r="G90" i="111"/>
  <c r="H90" i="111"/>
  <c r="F118" i="111"/>
  <c r="H118" i="111"/>
  <c r="G118" i="111"/>
  <c r="E118" i="111"/>
  <c r="D118" i="111"/>
  <c r="C92" i="110"/>
  <c r="C119" i="110"/>
  <c r="C119" i="111"/>
  <c r="C92" i="111"/>
  <c r="B92" i="111" a="1"/>
  <c r="D119" i="110" a="1"/>
  <c r="B119" i="111" a="1"/>
  <c r="B119" i="110" a="1"/>
  <c r="D91" i="111" a="1"/>
  <c r="D119" i="111" a="1"/>
  <c r="D91" i="110" a="1"/>
  <c r="B92" i="110" a="1"/>
  <c r="E119" i="111" l="1"/>
  <c r="H119" i="111"/>
  <c r="G119" i="111"/>
  <c r="D119" i="111"/>
  <c r="F119" i="111"/>
  <c r="F91" i="111"/>
  <c r="D91" i="111"/>
  <c r="G91" i="111"/>
  <c r="H91" i="111"/>
  <c r="E91" i="111"/>
  <c r="D119" i="110"/>
  <c r="H119" i="110"/>
  <c r="E119" i="110"/>
  <c r="F119" i="110"/>
  <c r="G119" i="110"/>
  <c r="E91" i="110"/>
  <c r="D91" i="110"/>
  <c r="H91" i="110"/>
  <c r="F91" i="110"/>
  <c r="G91" i="110"/>
  <c r="B92" i="111"/>
  <c r="B119" i="111"/>
  <c r="B119" i="110"/>
  <c r="B92" i="110"/>
  <c r="C93" i="111"/>
  <c r="C120" i="111"/>
  <c r="C120" i="110"/>
  <c r="C93" i="110"/>
  <c r="D92" i="111" a="1"/>
  <c r="D120" i="110" a="1"/>
  <c r="D120" i="111" a="1"/>
  <c r="B93" i="110" a="1"/>
  <c r="B93" i="111" a="1"/>
  <c r="D92" i="110" a="1"/>
  <c r="B120" i="111" a="1"/>
  <c r="B120" i="110" a="1"/>
  <c r="E92" i="110" l="1"/>
  <c r="H92" i="110"/>
  <c r="F92" i="110"/>
  <c r="D92" i="110"/>
  <c r="G92" i="110"/>
  <c r="H120" i="110"/>
  <c r="E120" i="110"/>
  <c r="G120" i="110"/>
  <c r="D120" i="110"/>
  <c r="F120" i="110"/>
  <c r="H92" i="111"/>
  <c r="G92" i="111"/>
  <c r="F92" i="111"/>
  <c r="E92" i="111"/>
  <c r="D92" i="111"/>
  <c r="G120" i="111"/>
  <c r="F120" i="111"/>
  <c r="E120" i="111"/>
  <c r="H120" i="111"/>
  <c r="D120" i="111"/>
  <c r="B93" i="110"/>
  <c r="B120" i="110"/>
  <c r="B120" i="111"/>
  <c r="B93" i="111"/>
  <c r="C121" i="110"/>
  <c r="C94" i="110"/>
  <c r="C121" i="111"/>
  <c r="C94" i="111"/>
  <c r="D93" i="111" a="1"/>
  <c r="B121" i="110" a="1"/>
  <c r="B121" i="111" a="1"/>
  <c r="B94" i="110" a="1"/>
  <c r="D121" i="110" a="1"/>
  <c r="D93" i="110" a="1"/>
  <c r="D121" i="111" a="1"/>
  <c r="B94" i="111" a="1"/>
  <c r="B94" i="110" l="1"/>
  <c r="B94" i="111"/>
  <c r="B121" i="111"/>
  <c r="B121" i="110"/>
  <c r="D93" i="111"/>
  <c r="G93" i="111"/>
  <c r="F93" i="111"/>
  <c r="H93" i="111"/>
  <c r="E93" i="111"/>
  <c r="H121" i="111"/>
  <c r="E121" i="111"/>
  <c r="D121" i="111"/>
  <c r="G121" i="111"/>
  <c r="F121" i="111"/>
  <c r="D93" i="110"/>
  <c r="F93" i="110"/>
  <c r="G93" i="110"/>
  <c r="E93" i="110"/>
  <c r="H93" i="110"/>
  <c r="H121" i="110"/>
  <c r="D121" i="110"/>
  <c r="E121" i="110"/>
  <c r="F121" i="110"/>
  <c r="G121" i="110"/>
  <c r="C122" i="110"/>
  <c r="C95" i="110"/>
  <c r="C122" i="111"/>
  <c r="C95" i="111"/>
  <c r="B122" i="110" a="1"/>
  <c r="B122" i="111" a="1"/>
  <c r="D122" i="110" a="1"/>
  <c r="D122" i="111" a="1"/>
  <c r="B95" i="110" a="1"/>
  <c r="B95" i="111" a="1"/>
  <c r="D94" i="111" a="1"/>
  <c r="D94" i="110" a="1"/>
  <c r="B95" i="111" l="1"/>
  <c r="B95" i="110"/>
  <c r="H94" i="111"/>
  <c r="F94" i="111"/>
  <c r="E94" i="111"/>
  <c r="D94" i="111"/>
  <c r="G94" i="111"/>
  <c r="F122" i="111"/>
  <c r="H122" i="111"/>
  <c r="E122" i="111"/>
  <c r="D122" i="111"/>
  <c r="G122" i="111"/>
  <c r="B122" i="111"/>
  <c r="B122" i="110"/>
  <c r="D94" i="110"/>
  <c r="E94" i="110"/>
  <c r="H94" i="110"/>
  <c r="F94" i="110"/>
  <c r="G94" i="110"/>
  <c r="H122" i="110"/>
  <c r="D122" i="110"/>
  <c r="F122" i="110"/>
  <c r="G122" i="110"/>
  <c r="E122" i="110"/>
  <c r="C96" i="111"/>
  <c r="C123" i="111"/>
  <c r="C123" i="110"/>
  <c r="C96" i="110"/>
  <c r="B96" i="111" a="1"/>
  <c r="D123" i="110" a="1"/>
  <c r="D95" i="110" a="1"/>
  <c r="B123" i="111" a="1"/>
  <c r="D95" i="111" a="1"/>
  <c r="D123" i="111" a="1"/>
  <c r="B96" i="110" a="1"/>
  <c r="B123" i="110" a="1"/>
  <c r="B123" i="110" l="1"/>
  <c r="G123" i="110"/>
  <c r="D123" i="110"/>
  <c r="F123" i="110"/>
  <c r="E123" i="110"/>
  <c r="H123" i="110"/>
  <c r="H95" i="110"/>
  <c r="E95" i="110"/>
  <c r="D95" i="110"/>
  <c r="F95" i="110"/>
  <c r="G95" i="110"/>
  <c r="B96" i="110"/>
  <c r="B123" i="111"/>
  <c r="B96" i="111"/>
  <c r="D123" i="111"/>
  <c r="F123" i="111"/>
  <c r="H123" i="111"/>
  <c r="E123" i="111"/>
  <c r="G123" i="111"/>
  <c r="E95" i="111"/>
  <c r="F95" i="111"/>
  <c r="H95" i="111"/>
  <c r="D95" i="111"/>
  <c r="G95" i="111"/>
  <c r="C124" i="110"/>
  <c r="C124" i="111"/>
  <c r="D124" i="110" a="1"/>
  <c r="B124" i="111" a="1"/>
  <c r="D96" i="111" a="1"/>
  <c r="D124" i="111" a="1"/>
  <c r="B124" i="110" a="1"/>
  <c r="D96" i="110" a="1"/>
  <c r="B124" i="111" l="1"/>
  <c r="H124" i="111"/>
  <c r="E124" i="111"/>
  <c r="D124" i="111"/>
  <c r="F124" i="111"/>
  <c r="G124" i="111"/>
  <c r="H96" i="111"/>
  <c r="G96" i="111"/>
  <c r="F96" i="111"/>
  <c r="E96" i="111"/>
  <c r="D96" i="111"/>
  <c r="B124" i="110"/>
  <c r="G124" i="110"/>
  <c r="F124" i="110"/>
  <c r="H124" i="110"/>
  <c r="D124" i="110"/>
  <c r="E124" i="110"/>
  <c r="E96" i="110"/>
  <c r="H96" i="110"/>
  <c r="D96" i="110"/>
  <c r="F96" i="110"/>
  <c r="G96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<sst xmlns="http://schemas.openxmlformats.org/spreadsheetml/2006/main" count="209" uniqueCount="83">
  <si>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</si>
  <si>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</si>
  <si>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</si>
  <si>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</si>
  <si>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</si>
  <si>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</si>
  <si>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</si>
  <si>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</si>
  <si>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</si>
  <si>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</si>
  <si>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</si>
  <si>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</si>
  <si>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</si>
  <si>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</si>
  <si>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</si>
  <si>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</si>
  <si>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</si>
  <si>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</si>
  <si>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</si>
  <si>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</si>
  <si>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</si>
  <si>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</si>
  <si>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</si>
  <si>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</si>
  <si>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</si>
  <si>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</si>
  <si>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</si>
  <si>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</si>
  <si>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</si>
  <si>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</si>
  <si>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</si>
  <si>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</si>
  <si>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</si>
  <si>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</si>
  <si>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</si>
  <si>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</si>
  <si>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</si>
  <si>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</si>
  <si>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</si>
  <si>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</si>
  <si>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</si>
  <si>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</si>
  <si>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</si>
  <si>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</si>
  <si>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</si>
  <si>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</si>
  <si>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</si>
  <si>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</si>
  <si>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</si>
  <si>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</si>
  <si>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</si>
  <si>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</si>
  <si>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</si>
  <si>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</si>
  <si>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</si>
  <si>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</si>
  <si>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</si>
  <si>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</si>
  <si>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</si>
  <si>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</si>
  <si>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</si>
  <si>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</si>
  <si>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</si>
  <si>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</si>
  <si>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</si>
  <si>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</si>
  <si>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</si>
  <si>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</si>
  <si>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</si>
  <si>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</si>
  <si>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Продолжение расшифровки результатов расчета</t>
  </si>
  <si>
    <t>Параметры расчета</t>
  </si>
  <si>
    <t>show_log</t>
  </si>
  <si>
    <t>num_value</t>
  </si>
  <si>
    <t>show_array</t>
  </si>
  <si>
    <t>p_dis_atma</t>
  </si>
  <si>
    <t>p_int_atma</t>
  </si>
  <si>
    <t>t_int_C</t>
  </si>
  <si>
    <t>t_dis_C</t>
  </si>
  <si>
    <t xml:space="preserve"> </t>
  </si>
  <si>
    <t>esp_gas_correct</t>
  </si>
  <si>
    <t>7.27b</t>
  </si>
  <si>
    <t>show_json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</si>
</sst>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8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/>
    </xf>
    <xf numFmtId="0" fontId="13" fillId="0" borderId="0" xfId="0" applyFont="1"/>
    <xf numFmtId="0" fontId="0" fillId="8" borderId="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7" borderId="0" xfId="0" applyFill="1" applyBorder="1" applyAlignment="1">
      <alignment horizontal="center" vertical="center" wrapText="1"/>
    </xf>
    <xf numFmtId="1" fontId="0" fillId="7" borderId="8" xfId="0" applyNumberFormat="1" applyFill="1" applyBorder="1" applyAlignment="1">
      <alignment horizontal="center"/>
    </xf>
    <xf numFmtId="0" fontId="0" fillId="7" borderId="9" xfId="0" applyFill="1" applyBorder="1"/>
    <xf numFmtId="0" fontId="0" fillId="7" borderId="11" xfId="0" applyFill="1" applyBorder="1" applyAlignment="1">
      <alignment horizontal="center" vertical="center" wrapText="1"/>
    </xf>
    <xf numFmtId="0" fontId="0" fillId="7" borderId="12" xfId="0" applyFill="1" applyBorder="1"/>
    <xf numFmtId="1" fontId="0" fillId="7" borderId="12" xfId="0" applyNumberFormat="1" applyFill="1" applyBorder="1" applyAlignment="1">
      <alignment horizontal="center"/>
    </xf>
    <xf numFmtId="1" fontId="0" fillId="7" borderId="16" xfId="0" applyNumberFormat="1" applyFill="1" applyBorder="1" applyAlignment="1">
      <alignment horizontal="center"/>
    </xf>
    <xf numFmtId="164" fontId="0" fillId="7" borderId="0" xfId="0" applyNumberForma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156.46425566759805</c:v>
                </c:pt>
                <c:pt idx="13">
                  <c:v>129.31149122028006</c:v>
                </c:pt>
                <c:pt idx="14">
                  <c:v>75.925668009780608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28.906627181664422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35.479867146179252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166.70422286616878</c:v>
                </c:pt>
                <c:pt idx="19">
                  <c:v>186.49065743999145</c:v>
                </c:pt>
                <c:pt idx="20">
                  <c:v>206.32899465634719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80</c:v>
                </c:pt>
                <c:pt idx="1">
                  <c:v>80.526315789473685</c:v>
                </c:pt>
                <c:pt idx="2">
                  <c:v>81.052631578947384</c:v>
                </c:pt>
                <c:pt idx="3">
                  <c:v>81.578947368421069</c:v>
                </c:pt>
                <c:pt idx="4">
                  <c:v>82.105263157894768</c:v>
                </c:pt>
                <c:pt idx="5">
                  <c:v>82.631578947368453</c:v>
                </c:pt>
                <c:pt idx="6">
                  <c:v>83.157894736842152</c:v>
                </c:pt>
                <c:pt idx="7">
                  <c:v>83.684210526315837</c:v>
                </c:pt>
                <c:pt idx="8">
                  <c:v>84.210526315789537</c:v>
                </c:pt>
                <c:pt idx="9">
                  <c:v>84.736842105263221</c:v>
                </c:pt>
                <c:pt idx="10">
                  <c:v>85.263157894736921</c:v>
                </c:pt>
                <c:pt idx="11">
                  <c:v>85.789473684210606</c:v>
                </c:pt>
                <c:pt idx="12">
                  <c:v>86.315789473684305</c:v>
                </c:pt>
                <c:pt idx="13">
                  <c:v>86.84210526315799</c:v>
                </c:pt>
                <c:pt idx="14">
                  <c:v>87.368421052631689</c:v>
                </c:pt>
                <c:pt idx="15">
                  <c:v>87.894736842105374</c:v>
                </c:pt>
                <c:pt idx="16">
                  <c:v>88.421052631579073</c:v>
                </c:pt>
                <c:pt idx="17">
                  <c:v>88.947368421052758</c:v>
                </c:pt>
                <c:pt idx="18">
                  <c:v>89.473684210526457</c:v>
                </c:pt>
                <c:pt idx="19">
                  <c:v>90.000000000000142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19.356612751524956</c:v>
                </c:pt>
                <c:pt idx="2">
                  <c:v>13.014283294192513</c:v>
                </c:pt>
                <c:pt idx="3">
                  <c:v>7.960308736653757</c:v>
                </c:pt>
                <c:pt idx="4">
                  <c:v>3.0797975803070794</c:v>
                </c:pt>
                <c:pt idx="5">
                  <c:v>0.17217367070908293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Exercise_ESP!$K$45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Exercise_ESP!$K$46:$K$65</c:f>
              <c:numCache>
                <c:formatCode>0</c:formatCode>
                <c:ptCount val="20"/>
                <c:pt idx="0">
                  <c:v>71.140600486008623</c:v>
                </c:pt>
                <c:pt idx="1">
                  <c:v>69.841798678767091</c:v>
                </c:pt>
                <c:pt idx="2">
                  <c:v>65.447205260263928</c:v>
                </c:pt>
                <c:pt idx="3">
                  <c:v>62.442013004593797</c:v>
                </c:pt>
                <c:pt idx="4">
                  <c:v>59.928048106913643</c:v>
                </c:pt>
                <c:pt idx="5">
                  <c:v>58.511137602923093</c:v>
                </c:pt>
                <c:pt idx="6">
                  <c:v>58.340289778189202</c:v>
                </c:pt>
                <c:pt idx="7">
                  <c:v>58.261191938185469</c:v>
                </c:pt>
                <c:pt idx="8">
                  <c:v>58.193065163501572</c:v>
                </c:pt>
                <c:pt idx="9">
                  <c:v>58.133516131644974</c:v>
                </c:pt>
                <c:pt idx="10">
                  <c:v>58.08186518297795</c:v>
                </c:pt>
                <c:pt idx="11">
                  <c:v>58.036863645160722</c:v>
                </c:pt>
                <c:pt idx="12">
                  <c:v>57.997036498754447</c:v>
                </c:pt>
                <c:pt idx="13">
                  <c:v>57.961969729669299</c:v>
                </c:pt>
                <c:pt idx="14">
                  <c:v>57.931254395129891</c:v>
                </c:pt>
                <c:pt idx="15">
                  <c:v>57.90388703473819</c:v>
                </c:pt>
                <c:pt idx="16">
                  <c:v>57.879572395565063</c:v>
                </c:pt>
                <c:pt idx="17">
                  <c:v>57.858267675432515</c:v>
                </c:pt>
                <c:pt idx="18">
                  <c:v>57.839245380254233</c:v>
                </c:pt>
                <c:pt idx="19">
                  <c:v>57.822274032551952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19.356612751524956</c:v>
                </c:pt>
                <c:pt idx="2">
                  <c:v>13.014283294192513</c:v>
                </c:pt>
                <c:pt idx="3">
                  <c:v>7.960308736653757</c:v>
                </c:pt>
                <c:pt idx="4">
                  <c:v>3.0797975803070794</c:v>
                </c:pt>
                <c:pt idx="5">
                  <c:v>0.17217367070908293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Exercise_ESP!$N$45</c:f>
              <c:strCache>
                <c:ptCount val="1"/>
                <c:pt idx="0">
                  <c:v>eff fluid,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Exercise_ESP!$N$47:$N$65</c:f>
              <c:numCache>
                <c:formatCode>0.00</c:formatCode>
                <c:ptCount val="19"/>
                <c:pt idx="0">
                  <c:v>48.204961505911804</c:v>
                </c:pt>
                <c:pt idx="1">
                  <c:v>45.804483773884677</c:v>
                </c:pt>
                <c:pt idx="2">
                  <c:v>44.053218130712231</c:v>
                </c:pt>
                <c:pt idx="3">
                  <c:v>42.532684952714369</c:v>
                </c:pt>
                <c:pt idx="4">
                  <c:v>41.659945336536424</c:v>
                </c:pt>
                <c:pt idx="5">
                  <c:v>41.553730782670812</c:v>
                </c:pt>
                <c:pt idx="6">
                  <c:v>41.504476088291582</c:v>
                </c:pt>
                <c:pt idx="7">
                  <c:v>41.462023676232349</c:v>
                </c:pt>
                <c:pt idx="8">
                  <c:v>41.424895475741664</c:v>
                </c:pt>
                <c:pt idx="9">
                  <c:v>41.392674390347509</c:v>
                </c:pt>
                <c:pt idx="10">
                  <c:v>41.364588305266636</c:v>
                </c:pt>
                <c:pt idx="11">
                  <c:v>41.339722438437775</c:v>
                </c:pt>
                <c:pt idx="12">
                  <c:v>41.31782107511075</c:v>
                </c:pt>
                <c:pt idx="13">
                  <c:v>41.298631243936924</c:v>
                </c:pt>
                <c:pt idx="14">
                  <c:v>41.281528815028423</c:v>
                </c:pt>
                <c:pt idx="15">
                  <c:v>41.266330572141399</c:v>
                </c:pt>
                <c:pt idx="16">
                  <c:v>41.25301066980429</c:v>
                </c:pt>
                <c:pt idx="17">
                  <c:v>41.241115701567175</c:v>
                </c:pt>
                <c:pt idx="18">
                  <c:v>41.230501567268995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Exercise_ESP!$J$47:$J$65</c:f>
              <c:numCache>
                <c:formatCode>0</c:formatCode>
                <c:ptCount val="19"/>
                <c:pt idx="0">
                  <c:v>19.356612751524956</c:v>
                </c:pt>
                <c:pt idx="1">
                  <c:v>13.014283294192513</c:v>
                </c:pt>
                <c:pt idx="2">
                  <c:v>7.960308736653757</c:v>
                </c:pt>
                <c:pt idx="3">
                  <c:v>3.0797975803070794</c:v>
                </c:pt>
                <c:pt idx="4">
                  <c:v>0.17217367070908293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156.46425566759805</c:v>
                </c:pt>
                <c:pt idx="13">
                  <c:v>129.31149122028006</c:v>
                </c:pt>
                <c:pt idx="14">
                  <c:v>75.925668009780608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4-4439-88EB-340FFF3C4821}"/>
            </c:ext>
          </c:extLst>
        </c:ser>
        <c:ser>
          <c:idx val="1"/>
          <c:order val="1"/>
          <c:tx>
            <c:strRef>
              <c:f>'Exercise_ESP (2)'!$E$75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44-4439-88EB-340FFF3C4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B-4E9D-BA06-2601DE261E87}"/>
            </c:ext>
          </c:extLst>
        </c:ser>
        <c:ser>
          <c:idx val="1"/>
          <c:order val="1"/>
          <c:tx>
            <c:strRef>
              <c:f>'Exercise_ESP (2)'!$H$75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B-4E9D-BA06-2601DE26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(2)'!$E$104:$E$124</c:f>
              <c:numCache>
                <c:formatCode>0</c:formatCode>
                <c:ptCount val="21"/>
                <c:pt idx="0">
                  <c:v>28.906627181664422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35.479867146179252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166.70422286616878</c:v>
                </c:pt>
                <c:pt idx="19">
                  <c:v>186.49065743999145</c:v>
                </c:pt>
                <c:pt idx="20">
                  <c:v>206.32899465634719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C-4ED6-8AFD-5827F77493B0}"/>
            </c:ext>
          </c:extLst>
        </c:ser>
        <c:ser>
          <c:idx val="1"/>
          <c:order val="1"/>
          <c:tx>
            <c:strRef>
              <c:f>'Exercise_ESP (2)'!$G$103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C-4ED6-8AFD-5827F7749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7-4E35-A25C-36FF2CAD9436}"/>
            </c:ext>
          </c:extLst>
        </c:ser>
        <c:ser>
          <c:idx val="1"/>
          <c:order val="1"/>
          <c:tx>
            <c:strRef>
              <c:f>'Exercise_ESP (2)'!$H$103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77-4E35-A25C-36FF2CAD9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'Exercise_ESP (2)'!$I$45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(2)'!$I$46:$I$65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CB-4123-AADC-1D3F83646D93}"/>
            </c:ext>
          </c:extLst>
        </c:ser>
        <c:ser>
          <c:idx val="1"/>
          <c:order val="1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CB-4123-AADC-1D3F8364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'Exercise_ESP (2)'!$K$45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(2)'!$K$46:$K$65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260430</xdr:colOff>
      <xdr:row>74</xdr:row>
      <xdr:rowOff>165146</xdr:rowOff>
    </xdr:from>
    <xdr:to>
      <xdr:col>21</xdr:col>
      <xdr:colOff>626489</xdr:colOff>
      <xdr:row>97</xdr:row>
      <xdr:rowOff>141273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19</xdr:col>
      <xdr:colOff>224678</xdr:colOff>
      <xdr:row>75</xdr:row>
      <xdr:rowOff>76760</xdr:rowOff>
    </xdr:from>
    <xdr:to>
      <xdr:col>28</xdr:col>
      <xdr:colOff>88714</xdr:colOff>
      <xdr:row>98</xdr:row>
      <xdr:rowOff>71376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  <xdr:twoCellAnchor>
    <xdr:from>
      <xdr:col>28</xdr:col>
      <xdr:colOff>170330</xdr:colOff>
      <xdr:row>43</xdr:row>
      <xdr:rowOff>44824</xdr:rowOff>
    </xdr:from>
    <xdr:to>
      <xdr:col>33</xdr:col>
      <xdr:colOff>461360</xdr:colOff>
      <xdr:row>65</xdr:row>
      <xdr:rowOff>124516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6B661BB-35C6-44A0-AC19-EB99F715E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E0882F-CA60-4BCF-9092-A556A71B1236}"/>
            </a:ext>
          </a:extLst>
        </xdr:cNvPr>
        <xdr:cNvSpPr txBox="1"/>
      </xdr:nvSpPr>
      <xdr:spPr>
        <a:xfrm>
          <a:off x="5175404" y="22597"/>
          <a:ext cx="532855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412830</xdr:colOff>
      <xdr:row>74</xdr:row>
      <xdr:rowOff>3782</xdr:rowOff>
    </xdr:from>
    <xdr:to>
      <xdr:col>21</xdr:col>
      <xdr:colOff>778889</xdr:colOff>
      <xdr:row>96</xdr:row>
      <xdr:rowOff>150239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6CB69E2-206B-4465-8253-33C2D8C33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24B7BD2-F69D-4083-9641-E3599F4DC41F}"/>
            </a:ext>
          </a:extLst>
        </xdr:cNvPr>
        <xdr:cNvSpPr txBox="1"/>
      </xdr:nvSpPr>
      <xdr:spPr>
        <a:xfrm>
          <a:off x="10601324" y="11642"/>
          <a:ext cx="6577542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5" name="Выноска со стрелкой влево 3">
          <a:extLst>
            <a:ext uri="{FF2B5EF4-FFF2-40B4-BE49-F238E27FC236}">
              <a16:creationId xmlns:a16="http://schemas.microsoft.com/office/drawing/2014/main" id="{7EC10242-F5F8-47D2-B4FD-5326A83D41A6}"/>
            </a:ext>
          </a:extLst>
        </xdr:cNvPr>
        <xdr:cNvSpPr/>
      </xdr:nvSpPr>
      <xdr:spPr>
        <a:xfrm flipH="1">
          <a:off x="0" y="9013388"/>
          <a:ext cx="36766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6" name="Выноска со стрелкой влево 16">
          <a:extLst>
            <a:ext uri="{FF2B5EF4-FFF2-40B4-BE49-F238E27FC236}">
              <a16:creationId xmlns:a16="http://schemas.microsoft.com/office/drawing/2014/main" id="{2DAC0239-F34F-4406-8F1E-9667F19480A6}"/>
            </a:ext>
          </a:extLst>
        </xdr:cNvPr>
        <xdr:cNvSpPr/>
      </xdr:nvSpPr>
      <xdr:spPr>
        <a:xfrm>
          <a:off x="6153151" y="14376399"/>
          <a:ext cx="320886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FF885E3-A1D8-4A11-AB44-3BAD2D3D70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4FE7153-D6C0-41E4-BF11-0CDDB2C78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CBD2615-B1AC-4474-A8C8-460E8CA72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10" name="Выноска со стрелкой влево 16">
          <a:extLst>
            <a:ext uri="{FF2B5EF4-FFF2-40B4-BE49-F238E27FC236}">
              <a16:creationId xmlns:a16="http://schemas.microsoft.com/office/drawing/2014/main" id="{F6504E4B-F98E-405F-8FC2-B3F830CDD7E0}"/>
            </a:ext>
          </a:extLst>
        </xdr:cNvPr>
        <xdr:cNvSpPr/>
      </xdr:nvSpPr>
      <xdr:spPr>
        <a:xfrm>
          <a:off x="6219826" y="19005549"/>
          <a:ext cx="3237442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1" name="Стрелка: влево 10">
          <a:extLst>
            <a:ext uri="{FF2B5EF4-FFF2-40B4-BE49-F238E27FC236}">
              <a16:creationId xmlns:a16="http://schemas.microsoft.com/office/drawing/2014/main" id="{E84167D5-DCD4-4228-ACCD-65C1D3A0694A}"/>
            </a:ext>
          </a:extLst>
        </xdr:cNvPr>
        <xdr:cNvSpPr/>
      </xdr:nvSpPr>
      <xdr:spPr>
        <a:xfrm>
          <a:off x="3148293" y="217955"/>
          <a:ext cx="193506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CE24F17A-B6E2-436E-BFA2-38036AB33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493AC49-23E5-43A2-99D6-479429DAA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14" name="Выноска со стрелкой влево 3">
          <a:extLst>
            <a:ext uri="{FF2B5EF4-FFF2-40B4-BE49-F238E27FC236}">
              <a16:creationId xmlns:a16="http://schemas.microsoft.com/office/drawing/2014/main" id="{C70A4B28-2C80-4CC8-84C1-4BD1182DF56F}"/>
            </a:ext>
          </a:extLst>
        </xdr:cNvPr>
        <xdr:cNvSpPr/>
      </xdr:nvSpPr>
      <xdr:spPr>
        <a:xfrm>
          <a:off x="3009899" y="5193863"/>
          <a:ext cx="37528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VT"/>
      <definedName name="ESP_calc"/>
      <definedName name="ESP_head_m"/>
      <definedName name="ESP_id_by_rate"/>
      <definedName name="ESP_name"/>
      <definedName name="ESP_p_atma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zoomScale="85" zoomScaleNormal="85" workbookViewId="0">
      <selection activeCell="Z21" sqref="Z21"/>
    </sheetView>
  </sheetViews>
  <sheetFormatPr defaultRowHeight="12.75" x14ac:dyDescent="0.2"/>
  <cols>
    <col min="2" max="2" width="13.140625" customWidth="1"/>
    <col min="3" max="3" width="9.85546875" customWidth="1"/>
    <col min="4" max="4" width="11.5703125" bestFit="1" customWidth="1"/>
    <col min="5" max="5" width="11.140625" customWidth="1"/>
    <col min="6" max="6" width="13.5703125" customWidth="1"/>
    <col min="7" max="11" width="11.85546875" customWidth="1"/>
    <col min="12" max="12" width="13.140625" customWidth="1"/>
    <col min="13" max="13" width="13" customWidth="1"/>
    <col min="14" max="14" width="13.140625" customWidth="1"/>
    <col min="15" max="16" width="11.85546875" customWidth="1"/>
    <col min="17" max="17" width="12.140625" customWidth="1"/>
    <col min="18" max="21" width="11.85546875" customWidth="1"/>
    <col min="22" max="29" width="12.42578125" customWidth="1"/>
    <col min="30" max="30" width="17.42578125" customWidth="1"/>
    <col min="31" max="37" width="12.42578125" customWidth="1"/>
  </cols>
  <sheetData>
    <row r="1" spans="1:12" x14ac:dyDescent="0.2">
      <c r="A1" s="1" t="s">
        <v>13</v>
      </c>
      <c r="F1" t="s">
        <v>14</v>
      </c>
      <c r="G1" t="str">
        <f>[1]!unf_version()</f>
        <v>7.40</v>
      </c>
      <c r="H1" t="s">
        <v>52</v>
      </c>
      <c r="I1" s="27">
        <v>44977</v>
      </c>
      <c r="J1" s="20"/>
      <c r="K1" s="20"/>
      <c r="L1" s="20"/>
    </row>
    <row r="2" spans="1:12" x14ac:dyDescent="0.2">
      <c r="A2" t="s">
        <v>69</v>
      </c>
      <c r="H2" t="s">
        <v>53</v>
      </c>
      <c r="I2" s="28">
        <v>7.4</v>
      </c>
      <c r="J2" s="20"/>
      <c r="K2" s="20"/>
      <c r="L2" s="20"/>
    </row>
    <row r="3" spans="1:12" ht="15" x14ac:dyDescent="0.25">
      <c r="A3" s="29" t="s">
        <v>54</v>
      </c>
      <c r="B3" s="69" t="s">
        <v>55</v>
      </c>
      <c r="C3" s="70"/>
      <c r="D3" s="70"/>
      <c r="E3" s="71"/>
      <c r="H3" t="s">
        <v>56</v>
      </c>
      <c r="I3" s="20" t="s">
        <v>55</v>
      </c>
      <c r="J3" s="20"/>
      <c r="K3" s="20"/>
      <c r="L3" s="20"/>
    </row>
    <row r="4" spans="1:12" ht="15" x14ac:dyDescent="0.25">
      <c r="A4" s="29" t="s">
        <v>57</v>
      </c>
      <c r="B4" s="69" t="s">
        <v>58</v>
      </c>
      <c r="C4" s="70"/>
      <c r="D4" s="70"/>
      <c r="E4" s="71"/>
      <c r="H4" t="s">
        <v>59</v>
      </c>
      <c r="I4" s="20" t="s">
        <v>58</v>
      </c>
      <c r="J4" s="20"/>
      <c r="K4" s="20"/>
      <c r="L4" s="20"/>
    </row>
    <row r="5" spans="1:12" ht="15" x14ac:dyDescent="0.25">
      <c r="A5" s="29" t="s">
        <v>60</v>
      </c>
      <c r="B5" s="69" t="s">
        <v>61</v>
      </c>
      <c r="C5" s="70"/>
      <c r="D5" s="70"/>
      <c r="E5" s="71"/>
      <c r="H5" t="s">
        <v>62</v>
      </c>
      <c r="I5" s="20" t="s">
        <v>61</v>
      </c>
      <c r="J5" s="20"/>
      <c r="K5" s="20"/>
      <c r="L5" s="20"/>
    </row>
    <row r="6" spans="1:12" x14ac:dyDescent="0.2">
      <c r="A6" s="30" t="s">
        <v>63</v>
      </c>
      <c r="B6" s="72" t="s">
        <v>64</v>
      </c>
      <c r="C6" s="73"/>
      <c r="D6" s="73"/>
      <c r="E6" s="74"/>
      <c r="H6" s="31" t="s">
        <v>65</v>
      </c>
      <c r="I6" s="32" t="s">
        <v>64</v>
      </c>
      <c r="J6" s="32"/>
      <c r="K6" s="32"/>
      <c r="L6" s="32"/>
    </row>
    <row r="7" spans="1:12" x14ac:dyDescent="0.2">
      <c r="A7" s="33"/>
      <c r="B7" s="75"/>
      <c r="C7" s="76"/>
      <c r="D7" s="76"/>
      <c r="E7" s="77"/>
      <c r="H7" s="31"/>
      <c r="I7" s="32"/>
      <c r="J7" s="32"/>
      <c r="K7" s="32"/>
      <c r="L7" s="32"/>
    </row>
    <row r="8" spans="1:12" x14ac:dyDescent="0.2">
      <c r="A8" s="34"/>
      <c r="B8" s="78"/>
      <c r="C8" s="79"/>
      <c r="D8" s="79"/>
      <c r="E8" s="80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8.75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8.75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8.75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8.75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8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26" ht="18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26" ht="18.75" x14ac:dyDescent="0.35">
      <c r="B18" s="13" t="s">
        <v>28</v>
      </c>
      <c r="C18" s="2">
        <v>1.2</v>
      </c>
      <c r="D18" s="12" t="s">
        <v>20</v>
      </c>
    </row>
    <row r="19" spans="1:26" ht="18" x14ac:dyDescent="0.35">
      <c r="B19" s="22" t="s">
        <v>48</v>
      </c>
      <c r="C19" s="2">
        <v>1</v>
      </c>
      <c r="D19" s="12" t="s">
        <v>47</v>
      </c>
    </row>
    <row r="20" spans="1:26" x14ac:dyDescent="0.2">
      <c r="B20" s="3"/>
      <c r="C20" s="4"/>
    </row>
    <row r="21" spans="1:26" ht="15.75" x14ac:dyDescent="0.3">
      <c r="B21" s="15" t="s">
        <v>32</v>
      </c>
      <c r="C21" s="2">
        <v>50</v>
      </c>
      <c r="D21" s="23" t="s">
        <v>3</v>
      </c>
    </row>
    <row r="22" spans="1:26" ht="15.75" x14ac:dyDescent="0.3">
      <c r="B22" s="15" t="s">
        <v>35</v>
      </c>
      <c r="C22" s="2">
        <v>10</v>
      </c>
      <c r="D22" s="23" t="s">
        <v>34</v>
      </c>
    </row>
    <row r="23" spans="1:26" x14ac:dyDescent="0.2">
      <c r="A23" s="1" t="s">
        <v>46</v>
      </c>
    </row>
    <row r="24" spans="1:26" ht="15.75" x14ac:dyDescent="0.3">
      <c r="B24" s="16" t="s">
        <v>39</v>
      </c>
      <c r="C24" s="2">
        <v>80</v>
      </c>
      <c r="D24" s="16" t="s">
        <v>3</v>
      </c>
    </row>
    <row r="25" spans="1:26" ht="15.75" x14ac:dyDescent="0.3">
      <c r="B25" s="16" t="s">
        <v>40</v>
      </c>
      <c r="C25" s="2">
        <v>1500</v>
      </c>
      <c r="D25" s="16" t="s">
        <v>4</v>
      </c>
    </row>
    <row r="26" spans="1:26" x14ac:dyDescent="0.2">
      <c r="B26" s="16" t="s">
        <v>36</v>
      </c>
      <c r="C26" s="2">
        <v>55</v>
      </c>
      <c r="D26" s="16" t="s">
        <v>5</v>
      </c>
    </row>
    <row r="27" spans="1:26" x14ac:dyDescent="0.2">
      <c r="B27" s="16" t="s">
        <v>37</v>
      </c>
      <c r="C27" s="11" cm="1">
        <f t="array" ref="C27">[1]!ESP_id_by_rate(Q_ESP_)</f>
        <v>1006</v>
      </c>
      <c r="D27" s="16"/>
    </row>
    <row r="28" spans="1:26" x14ac:dyDescent="0.2">
      <c r="B28" s="16" t="s">
        <v>38</v>
      </c>
      <c r="C28" s="11" t="str" cm="1">
        <f t="array" ref="C28">[1]!ESP_name(PumpID_)</f>
        <v>ЭЦН5-80</v>
      </c>
      <c r="D28" s="16"/>
    </row>
    <row r="29" spans="1:26" ht="15.75" x14ac:dyDescent="0.3">
      <c r="B29" s="16" t="s">
        <v>41</v>
      </c>
      <c r="C29" s="11" cm="1">
        <f t="array" ref="C29">[1]!ESP_rate_max_sm3day(Freq_,PumpID_)</f>
        <v>192.5</v>
      </c>
      <c r="D29" s="16"/>
      <c r="J29" s="17" t="s">
        <v>12</v>
      </c>
    </row>
    <row r="30" spans="1:26" x14ac:dyDescent="0.2">
      <c r="B30" s="16" t="s">
        <v>9</v>
      </c>
      <c r="C30" s="47" cm="1">
        <f t="array" ref="C30">INT(Head_ESP_/[1]!ESP_head_m(Q_ESP_,1,,PumpID_))</f>
        <v>250</v>
      </c>
      <c r="D30" s="16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{"gamma_gas":0.8,"gamma_oil":0.9,"gamma_wat":1,"rsb_m3m3":80,"pb_atma":120,"t_res_C":100,"bob_m3m3":1.2,"muob_cP":1,"PVT_corr_set":0}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5.75" x14ac:dyDescent="0.3">
      <c r="B31" s="16" t="s">
        <v>42</v>
      </c>
      <c r="C31" s="5">
        <v>0.8</v>
      </c>
      <c r="D31" s="16"/>
      <c r="J31" t="str" cm="1">
        <f t="array" ref="J31">[1]!encode_feed(Q_,fw_,Rp_,,PVT_str_)</f>
        <v>{"gamma_gas":0.8,"gamma_oil":0.9,"gamma_wat":1,"rsb_m3m3":80,"pb_atma":120,"t_res_C":100,"bob_m3m3":1.2,"muob_cP":1,"PVT_corr_set":0,"q_liq_sm3day":50,"fw_perc":10,"rp_m3m3":80}</v>
      </c>
    </row>
    <row r="32" spans="1:26" ht="15.75" x14ac:dyDescent="0.3">
      <c r="B32" s="16" t="s">
        <v>43</v>
      </c>
      <c r="C32" s="7">
        <v>80</v>
      </c>
      <c r="D32" s="16" t="s">
        <v>1</v>
      </c>
    </row>
    <row r="33" spans="1:19" ht="15.75" x14ac:dyDescent="0.3">
      <c r="B33" s="16" t="s">
        <v>44</v>
      </c>
      <c r="C33" s="7">
        <v>80</v>
      </c>
      <c r="D33" s="16" t="s">
        <v>2</v>
      </c>
      <c r="L33" s="54" t="s">
        <v>71</v>
      </c>
    </row>
    <row r="34" spans="1:19" x14ac:dyDescent="0.2">
      <c r="B34" s="21" t="s">
        <v>45</v>
      </c>
      <c r="C34" s="2">
        <v>1</v>
      </c>
      <c r="D34" s="21" t="s">
        <v>29</v>
      </c>
      <c r="L34" t="s">
        <v>82</v>
      </c>
      <c r="M34">
        <v>0</v>
      </c>
      <c r="S34" t="str" cm="1">
        <f t="array" ref="S34">[1]!decode_json(P43)</f>
        <v>set show_log=1 in param to show calc log</v>
      </c>
    </row>
    <row r="35" spans="1:19" x14ac:dyDescent="0.2">
      <c r="A35" t="s">
        <v>51</v>
      </c>
      <c r="L35" s="12" t="s">
        <v>72</v>
      </c>
      <c r="M35" s="55">
        <v>0</v>
      </c>
    </row>
    <row r="36" spans="1:19" x14ac:dyDescent="0.2">
      <c r="B36" s="16" t="s">
        <v>7</v>
      </c>
      <c r="C36" s="2">
        <v>20</v>
      </c>
      <c r="D36" s="16"/>
      <c r="J36" s="36"/>
      <c r="L36" s="12" t="s">
        <v>73</v>
      </c>
      <c r="M36" s="55">
        <v>0</v>
      </c>
    </row>
    <row r="37" spans="1:19" x14ac:dyDescent="0.2">
      <c r="A37" s="1"/>
      <c r="L37" s="12" t="s">
        <v>74</v>
      </c>
      <c r="M37" s="55">
        <v>1</v>
      </c>
    </row>
    <row r="38" spans="1:19" x14ac:dyDescent="0.2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3">
      <c r="B39" s="15" t="s">
        <v>30</v>
      </c>
      <c r="C39" s="2">
        <v>80</v>
      </c>
      <c r="D39" s="16" t="s">
        <v>1</v>
      </c>
      <c r="F39" s="46" t="s">
        <v>67</v>
      </c>
      <c r="G39" s="2">
        <v>1</v>
      </c>
    </row>
    <row r="40" spans="1:19" ht="15.75" x14ac:dyDescent="0.3">
      <c r="B40" s="15" t="s">
        <v>31</v>
      </c>
      <c r="C40" s="2">
        <v>80</v>
      </c>
      <c r="D40" s="16" t="s">
        <v>2</v>
      </c>
      <c r="L40" s="20" t="str" cm="1">
        <f t="array" ref="L40">[1]!encode_json(L34:M38)</f>
        <v>{"show_json":0,"show_log":0,"num_value":0,"show_array":1,"esp_gas_correct":20}</v>
      </c>
    </row>
    <row r="41" spans="1:19" ht="15.75" x14ac:dyDescent="0.3">
      <c r="B41" s="15" t="s">
        <v>33</v>
      </c>
      <c r="C41" s="2">
        <v>150</v>
      </c>
      <c r="D41" s="16" t="s">
        <v>1</v>
      </c>
      <c r="F41" t="s">
        <v>66</v>
      </c>
    </row>
    <row r="42" spans="1:19" ht="15.75" x14ac:dyDescent="0.3">
      <c r="B42" s="15" t="s">
        <v>49</v>
      </c>
      <c r="C42" s="2">
        <v>90</v>
      </c>
      <c r="D42" s="23" t="s">
        <v>2</v>
      </c>
    </row>
    <row r="43" spans="1:19" ht="25.5" x14ac:dyDescent="0.2">
      <c r="B43" s="15" t="s">
        <v>50</v>
      </c>
      <c r="C43" s="2">
        <v>0</v>
      </c>
      <c r="D43" s="23"/>
      <c r="F43" s="53" cm="1">
        <f t="array" ref="F43:P65">[1]!ESP_p_atma(Pintake_,Tintake_,Tdis_,J31,PumpID_,NumStage_,Freq_,,,,,gas_degr_type_,0,L40)</f>
        <v>239.20037687355588</v>
      </c>
      <c r="G43" s="41">
        <v>80</v>
      </c>
      <c r="H43" s="41">
        <v>80</v>
      </c>
      <c r="I43" s="41">
        <v>239.20037687355588</v>
      </c>
      <c r="J43" s="41">
        <v>90.000000000000142</v>
      </c>
      <c r="K43" s="41">
        <v>1985.4345045684277</v>
      </c>
      <c r="L43" s="41">
        <v>42.124612060669691</v>
      </c>
      <c r="M43" s="41">
        <v>11070.045848442958</v>
      </c>
      <c r="N43" s="41">
        <v>26279.282602055537</v>
      </c>
      <c r="O43" s="58">
        <v>1</v>
      </c>
      <c r="P43" s="59" t="str">
        <v>["set show_log=1 in param to show calc log"]</v>
      </c>
    </row>
    <row r="44" spans="1:19" ht="25.5" x14ac:dyDescent="0.2">
      <c r="B44" s="15" t="s">
        <v>68</v>
      </c>
      <c r="C44" s="2">
        <v>10</v>
      </c>
      <c r="F44" s="60" t="str">
        <v>p_dis_atma</v>
      </c>
      <c r="G44" s="57" t="str">
        <v>p_int_atma</v>
      </c>
      <c r="H44" s="57" t="str">
        <v>t_int_C</v>
      </c>
      <c r="I44" s="57" t="str">
        <v>p_dis_atma</v>
      </c>
      <c r="J44" s="57" t="str">
        <v>t_dis_C</v>
      </c>
      <c r="K44" s="57" t="str">
        <v>head_m</v>
      </c>
      <c r="L44" s="57" t="str">
        <v>eff_ESP_d, %</v>
      </c>
      <c r="M44" s="57" t="str">
        <v>power_fluid_W</v>
      </c>
      <c r="N44" s="57" t="str">
        <v>power_ESP_W</v>
      </c>
      <c r="O44" s="57" t="str">
        <v>gas_correction</v>
      </c>
      <c r="P44" s="61" t="str">
        <v>log</v>
      </c>
    </row>
    <row r="45" spans="1:19" x14ac:dyDescent="0.2">
      <c r="F45" s="42" t="str">
        <v>n_stage</v>
      </c>
      <c r="G45" s="43" t="str">
        <v>length_m</v>
      </c>
      <c r="H45" s="43" t="str">
        <v>p_atma</v>
      </c>
      <c r="I45" s="43" t="str">
        <v>t_C</v>
      </c>
      <c r="J45" s="43" t="str">
        <v>gas_fraction, %</v>
      </c>
      <c r="K45" s="43" t="str">
        <v>qmix_rm3day</v>
      </c>
      <c r="L45" s="43" t="str">
        <v>Power_fluid_W</v>
      </c>
      <c r="M45" s="43" t="str">
        <v>Power_ESP_W</v>
      </c>
      <c r="N45" s="43" t="str">
        <v>eff fluid, %</v>
      </c>
      <c r="O45" s="43" t="str">
        <v>mu_stage_cP</v>
      </c>
      <c r="P45" s="61" t="str">
        <v>gas correction, %</v>
      </c>
    </row>
    <row r="46" spans="1:19" x14ac:dyDescent="0.2">
      <c r="F46" s="51">
        <v>0</v>
      </c>
      <c r="G46" s="45">
        <v>1012.5</v>
      </c>
      <c r="H46" s="45">
        <v>80</v>
      </c>
      <c r="I46" s="45">
        <v>80</v>
      </c>
      <c r="J46" s="45">
        <v>21.142465601823325</v>
      </c>
      <c r="K46" s="45">
        <v>71.140600486008623</v>
      </c>
      <c r="L46" s="64">
        <v>0</v>
      </c>
      <c r="M46" s="45">
        <v>0</v>
      </c>
      <c r="N46" s="44">
        <v>0</v>
      </c>
      <c r="O46" s="44">
        <v>1.264609566765668</v>
      </c>
      <c r="P46" s="62">
        <v>100</v>
      </c>
    </row>
    <row r="47" spans="1:19" x14ac:dyDescent="0.2">
      <c r="F47" s="51">
        <v>13.157894736842104</v>
      </c>
      <c r="G47" s="45">
        <v>1011.8421052631579</v>
      </c>
      <c r="H47" s="45">
        <v>86.95441516492825</v>
      </c>
      <c r="I47" s="45">
        <v>80.526315789473685</v>
      </c>
      <c r="J47" s="45">
        <v>19.356612751524956</v>
      </c>
      <c r="K47" s="45">
        <v>69.841798678767091</v>
      </c>
      <c r="L47" s="64">
        <v>571.72587121989727</v>
      </c>
      <c r="M47" s="45">
        <v>1182.5026507700463</v>
      </c>
      <c r="N47" s="44">
        <v>48.204961505911804</v>
      </c>
      <c r="O47" s="44">
        <v>1.2604479757467966</v>
      </c>
      <c r="P47" s="62">
        <v>100</v>
      </c>
    </row>
    <row r="48" spans="1:19" x14ac:dyDescent="0.2">
      <c r="F48" s="51">
        <v>26.315789473684209</v>
      </c>
      <c r="G48" s="45">
        <v>1011.1842105263158</v>
      </c>
      <c r="H48" s="45">
        <v>94.431218595668184</v>
      </c>
      <c r="I48" s="45">
        <v>81.052631578947384</v>
      </c>
      <c r="J48" s="45">
        <v>13.014283294192513</v>
      </c>
      <c r="K48" s="45">
        <v>65.447205260263928</v>
      </c>
      <c r="L48" s="64">
        <v>1148.6843274898943</v>
      </c>
      <c r="M48" s="45">
        <v>2436.5440102267003</v>
      </c>
      <c r="N48" s="44">
        <v>45.804483773884677</v>
      </c>
      <c r="O48" s="44">
        <v>1.2441084241125449</v>
      </c>
      <c r="P48" s="62">
        <v>100</v>
      </c>
    </row>
    <row r="49" spans="6:16" x14ac:dyDescent="0.2">
      <c r="F49" s="51">
        <v>39.473684210526315</v>
      </c>
      <c r="G49" s="45">
        <v>1010.5263157894736</v>
      </c>
      <c r="H49" s="45">
        <v>102.28804597805539</v>
      </c>
      <c r="I49" s="45">
        <v>81.578947368421069</v>
      </c>
      <c r="J49" s="45">
        <v>7.960308736653757</v>
      </c>
      <c r="K49" s="45">
        <v>62.442013004593797</v>
      </c>
      <c r="L49" s="64">
        <v>1728.47925210983</v>
      </c>
      <c r="M49" s="45">
        <v>3744.1837616403777</v>
      </c>
      <c r="N49" s="44">
        <v>44.053218130712231</v>
      </c>
      <c r="O49" s="44">
        <v>1.226944179588968</v>
      </c>
      <c r="P49" s="62">
        <v>100</v>
      </c>
    </row>
    <row r="50" spans="6:16" x14ac:dyDescent="0.2">
      <c r="F50" s="51">
        <v>52.631578947368418</v>
      </c>
      <c r="G50" s="45">
        <v>1009.8684210526316</v>
      </c>
      <c r="H50" s="45">
        <v>110.55023839515917</v>
      </c>
      <c r="I50" s="45">
        <v>82.105263157894768</v>
      </c>
      <c r="J50" s="45">
        <v>3.0797975803070794</v>
      </c>
      <c r="K50" s="45">
        <v>59.928048106913643</v>
      </c>
      <c r="L50" s="64">
        <v>2310.8350451175916</v>
      </c>
      <c r="M50" s="45">
        <v>5109.9376042177091</v>
      </c>
      <c r="N50" s="44">
        <v>42.532684952714369</v>
      </c>
      <c r="O50" s="44">
        <v>1.2064126303109632</v>
      </c>
      <c r="P50" s="62">
        <v>100</v>
      </c>
    </row>
    <row r="51" spans="6:16" x14ac:dyDescent="0.2">
      <c r="F51" s="51">
        <v>65.78947368421052</v>
      </c>
      <c r="G51" s="45">
        <v>1009.2105263157895</v>
      </c>
      <c r="H51" s="45">
        <v>119.05131713242095</v>
      </c>
      <c r="I51" s="45">
        <v>82.631578947368453</v>
      </c>
      <c r="J51" s="45">
        <v>0.17217367070908293</v>
      </c>
      <c r="K51" s="45">
        <v>58.511137602923093</v>
      </c>
      <c r="L51" s="64">
        <v>2894.5246503881444</v>
      </c>
      <c r="M51" s="45">
        <v>6510.2677663729373</v>
      </c>
      <c r="N51" s="44">
        <v>41.659945336536424</v>
      </c>
      <c r="O51" s="44">
        <v>1.1973027603886317</v>
      </c>
      <c r="P51" s="62">
        <v>100</v>
      </c>
    </row>
    <row r="52" spans="6:16" x14ac:dyDescent="0.2">
      <c r="F52" s="51">
        <v>78.94736842105263</v>
      </c>
      <c r="G52" s="45">
        <v>1008.5526315789474</v>
      </c>
      <c r="H52" s="45">
        <v>127.5822355259771</v>
      </c>
      <c r="I52" s="45">
        <v>83.157894736842152</v>
      </c>
      <c r="J52" s="45">
        <v>0</v>
      </c>
      <c r="K52" s="45">
        <v>58.340289778189202</v>
      </c>
      <c r="L52" s="64">
        <v>3478.340946452719</v>
      </c>
      <c r="M52" s="45">
        <v>7914.9269532084127</v>
      </c>
      <c r="N52" s="44">
        <v>41.553730782670812</v>
      </c>
      <c r="O52" s="44">
        <v>1.206852180196309</v>
      </c>
      <c r="P52" s="62">
        <v>100</v>
      </c>
    </row>
    <row r="53" spans="6:16" x14ac:dyDescent="0.2">
      <c r="F53" s="51">
        <v>92.105263157894726</v>
      </c>
      <c r="G53" s="45">
        <v>1007.8947368421053</v>
      </c>
      <c r="H53" s="45">
        <v>136.12633670379557</v>
      </c>
      <c r="I53" s="45">
        <v>83.684210526315837</v>
      </c>
      <c r="J53" s="45">
        <v>0</v>
      </c>
      <c r="K53" s="45">
        <v>58.261191938185469</v>
      </c>
      <c r="L53" s="64">
        <v>4062.1958943860691</v>
      </c>
      <c r="M53" s="45">
        <v>9321.4950278045453</v>
      </c>
      <c r="N53" s="44">
        <v>41.504476088291582</v>
      </c>
      <c r="O53" s="44">
        <v>1.2183843536113694</v>
      </c>
      <c r="P53" s="62">
        <v>100</v>
      </c>
    </row>
    <row r="54" spans="6:16" x14ac:dyDescent="0.2">
      <c r="F54" s="51">
        <v>105.26315789473684</v>
      </c>
      <c r="G54" s="45">
        <v>1007.2368421052631</v>
      </c>
      <c r="H54" s="45">
        <v>144.68111000129474</v>
      </c>
      <c r="I54" s="45">
        <v>84.210526315789537</v>
      </c>
      <c r="J54" s="45">
        <v>0</v>
      </c>
      <c r="K54" s="45">
        <v>58.193065163501572</v>
      </c>
      <c r="L54" s="64">
        <v>4646.082017837778</v>
      </c>
      <c r="M54" s="45">
        <v>10729.608989550354</v>
      </c>
      <c r="N54" s="44">
        <v>41.462023676232349</v>
      </c>
      <c r="O54" s="44">
        <v>1.2311127438279685</v>
      </c>
      <c r="P54" s="62">
        <v>100</v>
      </c>
    </row>
    <row r="55" spans="6:16" x14ac:dyDescent="0.2">
      <c r="F55" s="51">
        <v>118.42105263157895</v>
      </c>
      <c r="G55" s="45">
        <v>1006.578947368421</v>
      </c>
      <c r="H55" s="45">
        <v>153.24462442810156</v>
      </c>
      <c r="I55" s="45">
        <v>84.736842105263221</v>
      </c>
      <c r="J55" s="45">
        <v>0</v>
      </c>
      <c r="K55" s="45">
        <v>58.133516131644974</v>
      </c>
      <c r="L55" s="64">
        <v>5229.9936098905246</v>
      </c>
      <c r="M55" s="45">
        <v>12138.989494243282</v>
      </c>
      <c r="N55" s="44">
        <v>41.424895475741664</v>
      </c>
      <c r="O55" s="44">
        <v>1.2448711232202485</v>
      </c>
      <c r="P55" s="62">
        <v>100</v>
      </c>
    </row>
    <row r="56" spans="6:16" x14ac:dyDescent="0.2">
      <c r="F56" s="51">
        <v>131.57894736842104</v>
      </c>
      <c r="G56" s="45">
        <v>1005.921052631579</v>
      </c>
      <c r="H56" s="45">
        <v>161.81651546686211</v>
      </c>
      <c r="I56" s="45">
        <v>85.263157894736921</v>
      </c>
      <c r="J56" s="45">
        <v>0</v>
      </c>
      <c r="K56" s="45">
        <v>58.08186518297795</v>
      </c>
      <c r="L56" s="64">
        <v>5813.9295670163683</v>
      </c>
      <c r="M56" s="45">
        <v>13549.584036084863</v>
      </c>
      <c r="N56" s="44">
        <v>41.392674390347509</v>
      </c>
      <c r="O56" s="44">
        <v>1.2596615556535062</v>
      </c>
      <c r="P56" s="62">
        <v>100</v>
      </c>
    </row>
    <row r="57" spans="6:16" x14ac:dyDescent="0.2">
      <c r="F57" s="51">
        <v>144.73684210526315</v>
      </c>
      <c r="G57" s="45">
        <v>1005.2631578947369</v>
      </c>
      <c r="H57" s="45">
        <v>170.39571925596331</v>
      </c>
      <c r="I57" s="45">
        <v>85.789473684210606</v>
      </c>
      <c r="J57" s="45">
        <v>0</v>
      </c>
      <c r="K57" s="45">
        <v>58.036863645160722</v>
      </c>
      <c r="L57" s="64">
        <v>6397.8867795523702</v>
      </c>
      <c r="M57" s="45">
        <v>14961.238678971209</v>
      </c>
      <c r="N57" s="44">
        <v>41.364588305266636</v>
      </c>
      <c r="O57" s="44">
        <v>1.2753919694763969</v>
      </c>
      <c r="P57" s="62">
        <v>100</v>
      </c>
    </row>
    <row r="58" spans="6:16" x14ac:dyDescent="0.2">
      <c r="F58" s="51">
        <v>157.89473684210526</v>
      </c>
      <c r="G58" s="45">
        <v>1004.6052631578947</v>
      </c>
      <c r="H58" s="45">
        <v>178.98078873612914</v>
      </c>
      <c r="I58" s="45">
        <v>86.315789473684305</v>
      </c>
      <c r="J58" s="45">
        <v>0</v>
      </c>
      <c r="K58" s="45">
        <v>57.997036498754447</v>
      </c>
      <c r="L58" s="64">
        <v>6981.8610494159675</v>
      </c>
      <c r="M58" s="45">
        <v>16373.743824850317</v>
      </c>
      <c r="N58" s="44">
        <v>41.339722438437775</v>
      </c>
      <c r="O58" s="44">
        <v>1.2919048653787728</v>
      </c>
      <c r="P58" s="62">
        <v>100</v>
      </c>
    </row>
    <row r="59" spans="6:16" x14ac:dyDescent="0.2">
      <c r="F59" s="51">
        <v>171.05263157894737</v>
      </c>
      <c r="G59" s="45">
        <v>1003.9473684210526</v>
      </c>
      <c r="H59" s="45">
        <v>187.57138864410285</v>
      </c>
      <c r="I59" s="45">
        <v>86.84210526315799</v>
      </c>
      <c r="J59" s="45">
        <v>0</v>
      </c>
      <c r="K59" s="45">
        <v>57.961969729669299</v>
      </c>
      <c r="L59" s="64">
        <v>7565.8514301852374</v>
      </c>
      <c r="M59" s="45">
        <v>17787.051008765469</v>
      </c>
      <c r="N59" s="44">
        <v>41.31782107511075</v>
      </c>
      <c r="O59" s="44">
        <v>1.3091792107034528</v>
      </c>
      <c r="P59" s="62">
        <v>100</v>
      </c>
    </row>
    <row r="60" spans="6:16" x14ac:dyDescent="0.2">
      <c r="F60" s="51">
        <v>184.21052631578945</v>
      </c>
      <c r="G60" s="45">
        <v>1003.2894736842105</v>
      </c>
      <c r="H60" s="45">
        <v>196.1671540915988</v>
      </c>
      <c r="I60" s="45">
        <v>87.368421052631689</v>
      </c>
      <c r="J60" s="45">
        <v>0</v>
      </c>
      <c r="K60" s="45">
        <v>57.931254395129891</v>
      </c>
      <c r="L60" s="64">
        <v>8149.8569111798151</v>
      </c>
      <c r="M60" s="45">
        <v>19201.10745083962</v>
      </c>
      <c r="N60" s="44">
        <v>41.298631243936924</v>
      </c>
      <c r="O60" s="44">
        <v>1.3271856692899255</v>
      </c>
      <c r="P60" s="62">
        <v>100</v>
      </c>
    </row>
    <row r="61" spans="6:16" x14ac:dyDescent="0.2">
      <c r="F61" s="51">
        <v>197.36842105263156</v>
      </c>
      <c r="G61" s="45">
        <v>1002.6315789473684</v>
      </c>
      <c r="H61" s="45">
        <v>204.76696149553285</v>
      </c>
      <c r="I61" s="45">
        <v>87.894736842105374</v>
      </c>
      <c r="J61" s="45">
        <v>0</v>
      </c>
      <c r="K61" s="45">
        <v>57.90388703473819</v>
      </c>
      <c r="L61" s="64">
        <v>8733.8742701729661</v>
      </c>
      <c r="M61" s="45">
        <v>20615.750277983658</v>
      </c>
      <c r="N61" s="44">
        <v>41.281528815028423</v>
      </c>
      <c r="O61" s="44">
        <v>1.3457786034238974</v>
      </c>
      <c r="P61" s="62">
        <v>100</v>
      </c>
    </row>
    <row r="62" spans="6:16" x14ac:dyDescent="0.2">
      <c r="F62" s="51">
        <v>210.52631578947367</v>
      </c>
      <c r="G62" s="45">
        <v>1001.9736842105264</v>
      </c>
      <c r="H62" s="45">
        <v>213.37049608759634</v>
      </c>
      <c r="I62" s="45">
        <v>88.421052631579073</v>
      </c>
      <c r="J62" s="45">
        <v>0</v>
      </c>
      <c r="K62" s="45">
        <v>57.879572395565063</v>
      </c>
      <c r="L62" s="64">
        <v>9317.9026566885113</v>
      </c>
      <c r="M62" s="45">
        <v>22030.933909585154</v>
      </c>
      <c r="N62" s="44">
        <v>41.266330572141399</v>
      </c>
      <c r="O62" s="44">
        <v>1.3649210509033642</v>
      </c>
      <c r="P62" s="62">
        <v>100</v>
      </c>
    </row>
    <row r="63" spans="6:16" x14ac:dyDescent="0.2">
      <c r="F63" s="51">
        <v>223.68421052631578</v>
      </c>
      <c r="G63" s="45">
        <v>1001.3157894736842</v>
      </c>
      <c r="H63" s="45">
        <v>221.97773473897857</v>
      </c>
      <c r="I63" s="45">
        <v>88.947368421052758</v>
      </c>
      <c r="J63" s="45">
        <v>0</v>
      </c>
      <c r="K63" s="45">
        <v>57.858267675432515</v>
      </c>
      <c r="L63" s="64">
        <v>9901.9421120969255</v>
      </c>
      <c r="M63" s="45">
        <v>23446.655082800899</v>
      </c>
      <c r="N63" s="44">
        <v>41.25301066980429</v>
      </c>
      <c r="O63" s="44">
        <v>1.3846154656025296</v>
      </c>
      <c r="P63" s="62">
        <v>100</v>
      </c>
    </row>
    <row r="64" spans="6:16" x14ac:dyDescent="0.2">
      <c r="F64" s="51">
        <v>236.84210526315789</v>
      </c>
      <c r="G64" s="45">
        <v>1000.6578947368421</v>
      </c>
      <c r="H64" s="45">
        <v>230.58779138304479</v>
      </c>
      <c r="I64" s="45">
        <v>89.473684210526457</v>
      </c>
      <c r="J64" s="45">
        <v>0</v>
      </c>
      <c r="K64" s="45">
        <v>57.839245380254233</v>
      </c>
      <c r="L64" s="64">
        <v>10485.990098068594</v>
      </c>
      <c r="M64" s="45">
        <v>24862.785283090943</v>
      </c>
      <c r="N64" s="44">
        <v>41.241115701567175</v>
      </c>
      <c r="O64" s="44">
        <v>1.4047308226513138</v>
      </c>
      <c r="P64" s="62">
        <v>100</v>
      </c>
    </row>
    <row r="65" spans="2:35" x14ac:dyDescent="0.2">
      <c r="F65" s="52">
        <v>250</v>
      </c>
      <c r="G65" s="48">
        <v>1000</v>
      </c>
      <c r="H65" s="48">
        <v>239.20037687355588</v>
      </c>
      <c r="I65" s="48">
        <v>90.000000000000142</v>
      </c>
      <c r="J65" s="48">
        <v>0</v>
      </c>
      <c r="K65" s="48">
        <v>57.822274032551952</v>
      </c>
      <c r="L65" s="65">
        <v>11070.045848442958</v>
      </c>
      <c r="M65" s="48">
        <v>26279.282602055537</v>
      </c>
      <c r="N65" s="49">
        <v>41.230501567268995</v>
      </c>
      <c r="O65" s="49">
        <v>1.4252214363552529</v>
      </c>
      <c r="P65" s="63">
        <v>100</v>
      </c>
    </row>
    <row r="68" spans="2:35" x14ac:dyDescent="0.2">
      <c r="G68" s="36"/>
      <c r="K68" t="str" cm="1">
        <f t="array" ref="K68">[1]!encode_arange(45,55,1)</f>
        <v>[45,46,47,48,49,50,51,52,53,54,55]</v>
      </c>
    </row>
    <row r="69" spans="2:35" x14ac:dyDescent="0.2">
      <c r="G69" s="36"/>
    </row>
    <row r="70" spans="2:35" x14ac:dyDescent="0.2">
      <c r="G70" s="36"/>
      <c r="K70" t="str" cm="1">
        <f t="array" ref="K70">[1]!ESP_p_atma(K68,Tintake_,-1,J31,PumpID_,NumStage_,Freq_,,,,,gas_degr_type_,0,L40)</f>
        <v>{"p_intake_atma":[45,46,47,48,49,50,51,52,53,54,55],"p_dis_atma":[179.035646346494,181.629714673348,184.07798492285,186.463085825111,188.774658421537,190.984935769842,193.147381234686,195.249461983614,197.26859347858,199.25068688865,201.196775929176],"t_intake_C":[80,80,80,80,80,80,80,80,80,80,80],"t_dis_C":[88.0463755403713,88.135480945072,88.2170242055198,88.297508565945,88.3755624896215,88.4484567393254,88.5203605286055,88.5898809680506,88.6548506239391,88.7189093527407,88.7819103552092],"feed":[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]}</v>
      </c>
    </row>
    <row r="71" spans="2:35" x14ac:dyDescent="0.2">
      <c r="G71" s="36"/>
    </row>
    <row r="72" spans="2:35" x14ac:dyDescent="0.2">
      <c r="G72" s="36"/>
      <c r="K72" t="str" cm="1">
        <f t="array" ref="K72:L76">[1]!decode_json(K70)</f>
        <v>p_intake_atma</v>
      </c>
      <c r="L72" t="str">
        <v>[45,46,47,48,49,50,51,52,53,54,55]</v>
      </c>
    </row>
    <row r="73" spans="2:35" x14ac:dyDescent="0.2">
      <c r="C73" s="4"/>
      <c r="K73" t="str">
        <v>p_dis_atma</v>
      </c>
      <c r="L73" t="str">
        <v>[179.035646346494,181.629714673348,184.07798492285,186.463085825111,188.774658421537,190.984935769842,193.147381234686,195.249461983614,197.26859347858,199.25068688865,201.196775929176]</v>
      </c>
    </row>
    <row r="74" spans="2:35" x14ac:dyDescent="0.2">
      <c r="C74" s="4"/>
      <c r="D74" s="66" t="s">
        <v>10</v>
      </c>
      <c r="E74" s="67"/>
      <c r="F74" s="67"/>
      <c r="G74" s="67"/>
      <c r="H74" s="68"/>
      <c r="K74" t="str">
        <v>t_intake_C</v>
      </c>
      <c r="L74" t="str">
        <v>[80,80,80,80,80,80,80,80,80,80,80]</v>
      </c>
      <c r="AI74" t="s">
        <v>70</v>
      </c>
    </row>
    <row r="75" spans="2:35" x14ac:dyDescent="0.2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  <c r="K75" t="str">
        <v>t_dis_C</v>
      </c>
      <c r="L75" t="str">
        <v>[88.0463755403713,88.135480945072,88.2170242055198,88.297508565945,88.3755624896215,88.4484567393254,88.5203605286055,88.5898809680506,88.6548506239391,88.7189093527407,88.7819103552092]</v>
      </c>
    </row>
    <row r="76" spans="2:35" x14ac:dyDescent="0.2">
      <c r="B76" t="str" cm="1">
        <f t="array" ref="B76">[1]!encode_feed(C76,fw_,Rp_,,PVT_str_)</f>
        <v>{"gamma_gas":0.8,"gamma_oil":0.9,"gamma_wat":1,"rsb_m3m3":80,"pb_atma":120,"t_res_C":100,"bob_m3m3":1.2,"muob_cP":1,"PVT_corr_set":0,"q_liq_sm3day":1,"fw_perc":10,"rp_m3m3":80}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  <c r="K76" t="str">
        <v>feed</v>
      </c>
      <c r="L76" t="str">
        <v>[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]</v>
      </c>
    </row>
    <row r="77" spans="2:35" x14ac:dyDescent="0.2">
      <c r="B77" t="str" cm="1">
        <f t="array" ref="B77">[1]!encode_feed(C77,fw_,Rp_,,PVT_str_)</f>
        <v>{"gamma_gas":0.8,"gamma_oil":0.9,"gamma_wat":1,"rsb_m3m3":80,"pb_atma":120,"t_res_C":100,"bob_m3m3":1.2,"muob_cP":1,"PVT_corr_set":0,"q_liq_sm3day":10.625,"fw_perc":10,"rp_m3m3":80}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2">
      <c r="B78" t="str" cm="1">
        <f t="array" ref="B78">[1]!encode_feed(C78,fw_,Rp_,,PVT_str_)</f>
        <v>{"gamma_gas":0.8,"gamma_oil":0.9,"gamma_wat":1,"rsb_m3m3":80,"pb_atma":120,"t_res_C":100,"bob_m3m3":1.2,"muob_cP":1,"PVT_corr_set":0,"q_liq_sm3day":20.25,"fw_perc":10,"rp_m3m3":80}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2">
      <c r="B79" t="str" cm="1">
        <f t="array" ref="B79">[1]!encode_feed(C79,fw_,Rp_,,PVT_str_)</f>
        <v>{"gamma_gas":0.8,"gamma_oil":0.9,"gamma_wat":1,"rsb_m3m3":80,"pb_atma":120,"t_res_C":100,"bob_m3m3":1.2,"muob_cP":1,"PVT_corr_set":0,"q_liq_sm3day":29.875,"fw_perc":10,"rp_m3m3":80}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2">
      <c r="B80" t="str" cm="1">
        <f t="array" ref="B80">[1]!encode_feed(C80,fw_,Rp_,,PVT_str_)</f>
        <v>{"gamma_gas":0.8,"gamma_oil":0.9,"gamma_wat":1,"rsb_m3m3":80,"pb_atma":120,"t_res_C":100,"bob_m3m3":1.2,"muob_cP":1,"PVT_corr_set":0,"q_liq_sm3day":39.5,"fw_perc":10,"rp_m3m3":80}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2">
      <c r="B81" t="str" cm="1">
        <f t="array" ref="B81">[1]!encode_feed(C81,fw_,Rp_,,PVT_str_)</f>
        <v>{"gamma_gas":0.8,"gamma_oil":0.9,"gamma_wat":1,"rsb_m3m3":80,"pb_atma":120,"t_res_C":100,"bob_m3m3":1.2,"muob_cP":1,"PVT_corr_set":0,"q_liq_sm3day":49.125,"fw_perc":10,"rp_m3m3":80}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2">
      <c r="B82" t="str" cm="1">
        <f t="array" ref="B82">[1]!encode_feed(C82,fw_,Rp_,,PVT_str_)</f>
        <v>{"gamma_gas":0.8,"gamma_oil":0.9,"gamma_wat":1,"rsb_m3m3":80,"pb_atma":120,"t_res_C":100,"bob_m3m3":1.2,"muob_cP":1,"PVT_corr_set":0,"q_liq_sm3day":58.75,"fw_perc":10,"rp_m3m3":80}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2">
      <c r="B83" t="str" cm="1">
        <f t="array" ref="B83">[1]!encode_feed(C83,fw_,Rp_,,PVT_str_)</f>
        <v>{"gamma_gas":0.8,"gamma_oil":0.9,"gamma_wat":1,"rsb_m3m3":80,"pb_atma":120,"t_res_C":100,"bob_m3m3":1.2,"muob_cP":1,"PVT_corr_set":0,"q_liq_sm3day":68.375,"fw_perc":10,"rp_m3m3":80}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2">
      <c r="B84" t="str" cm="1">
        <f t="array" ref="B84">[1]!encode_feed(C84,fw_,Rp_,,PVT_str_)</f>
        <v>{"gamma_gas":0.8,"gamma_oil":0.9,"gamma_wat":1,"rsb_m3m3":80,"pb_atma":120,"t_res_C":100,"bob_m3m3":1.2,"muob_cP":1,"PVT_corr_set":0,"q_liq_sm3day":78,"fw_perc":10,"rp_m3m3":80}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2">
      <c r="B85" t="str" cm="1">
        <f t="array" ref="B85">[1]!encode_feed(C85,fw_,Rp_,,PVT_str_)</f>
        <v>{"gamma_gas":0.8,"gamma_oil":0.9,"gamma_wat":1,"rsb_m3m3":80,"pb_atma":120,"t_res_C":100,"bob_m3m3":1.2,"muob_cP":1,"PVT_corr_set":0,"q_liq_sm3day":87.625,"fw_perc":10,"rp_m3m3":80}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2">
      <c r="B86" t="str" cm="1">
        <f t="array" ref="B86">[1]!encode_feed(C86,fw_,Rp_,,PVT_str_)</f>
        <v>{"gamma_gas":0.8,"gamma_oil":0.9,"gamma_wat":1,"rsb_m3m3":80,"pb_atma":120,"t_res_C":100,"bob_m3m3":1.2,"muob_cP":1,"PVT_corr_set":0,"q_liq_sm3day":97.25,"fw_perc":10,"rp_m3m3":80}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2">
      <c r="B87" t="str" cm="1">
        <f t="array" ref="B87">[1]!encode_feed(C87,fw_,Rp_,,PVT_str_)</f>
        <v>{"gamma_gas":0.8,"gamma_oil":0.9,"gamma_wat":1,"rsb_m3m3":80,"pb_atma":120,"t_res_C":100,"bob_m3m3":1.2,"muob_cP":1,"PVT_corr_set":0,"q_liq_sm3day":106.875,"fw_perc":10,"rp_m3m3":80}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2">
      <c r="B88" t="str" cm="1">
        <f t="array" ref="B88">[1]!encode_feed(C88,fw_,Rp_,,PVT_str_)</f>
        <v>{"gamma_gas":0.8,"gamma_oil":0.9,"gamma_wat":1,"rsb_m3m3":80,"pb_atma":120,"t_res_C":100,"bob_m3m3":1.2,"muob_cP":1,"PVT_corr_set":0,"q_liq_sm3day":116.5,"fw_perc":10,"rp_m3m3":80}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156.46425566759805</v>
      </c>
      <c r="E88" s="26">
        <v>80</v>
      </c>
      <c r="F88" s="26">
        <v>80</v>
      </c>
      <c r="G88" s="26">
        <v>156.46425566759805</v>
      </c>
      <c r="H88" s="50">
        <v>85.109140937547949</v>
      </c>
      <c r="AJ88" s="35"/>
    </row>
    <row r="89" spans="2:36" x14ac:dyDescent="0.2">
      <c r="B89" t="str" cm="1">
        <f t="array" ref="B89">[1]!encode_feed(C89,fw_,Rp_,,PVT_str_)</f>
        <v>{"gamma_gas":0.8,"gamma_oil":0.9,"gamma_wat":1,"rsb_m3m3":80,"pb_atma":120,"t_res_C":100,"bob_m3m3":1.2,"muob_cP":1,"PVT_corr_set":0,"q_liq_sm3day":126.125,"fw_perc":10,"rp_m3m3":80}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2">
      <c r="B90" t="str" cm="1">
        <f t="array" ref="B90">[1]!encode_feed(C90,fw_,Rp_,,PVT_str_)</f>
        <v>{"gamma_gas":0.8,"gamma_oil":0.9,"gamma_wat":1,"rsb_m3m3":80,"pb_atma":120,"t_res_C":100,"bob_m3m3":1.2,"muob_cP":1,"PVT_corr_set":0,"q_liq_sm3day":135.75,"fw_perc":10,"rp_m3m3":80}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75.925668009780608</v>
      </c>
      <c r="E90" s="26">
        <v>80</v>
      </c>
      <c r="F90" s="26">
        <v>80</v>
      </c>
      <c r="G90" s="26">
        <v>75.925668009780608</v>
      </c>
      <c r="H90" s="50">
        <v>80</v>
      </c>
      <c r="AJ90" s="35"/>
    </row>
    <row r="91" spans="2:36" x14ac:dyDescent="0.2">
      <c r="B91" t="str" cm="1">
        <f t="array" ref="B91">[1]!encode_feed(C91,fw_,Rp_,,PVT_str_)</f>
        <v>{"gamma_gas":0.8,"gamma_oil":0.9,"gamma_wat":1,"rsb_m3m3":80,"pb_atma":120,"t_res_C":100,"bob_m3m3":1.2,"muob_cP":1,"PVT_corr_set":0,"q_liq_sm3day":145.375,"fw_perc":10,"rp_m3m3":80}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0.9</v>
      </c>
      <c r="E91" s="26">
        <v>80</v>
      </c>
      <c r="F91" s="26">
        <v>80</v>
      </c>
      <c r="G91" s="26">
        <v>0.9</v>
      </c>
      <c r="H91" s="50">
        <v>80</v>
      </c>
      <c r="AJ91" s="35"/>
    </row>
    <row r="92" spans="2:36" x14ac:dyDescent="0.2">
      <c r="B92" t="str" cm="1">
        <f t="array" ref="B92">[1]!encode_feed(C92,fw_,Rp_,,PVT_str_)</f>
        <v>{"gamma_gas":0.8,"gamma_oil":0.9,"gamma_wat":1,"rsb_m3m3":80,"pb_atma":120,"t_res_C":100,"bob_m3m3":1.2,"muob_cP":1,"PVT_corr_set":0,"q_liq_sm3day":155,"fw_perc":10,"rp_m3m3":80}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2">
      <c r="B93" t="str" cm="1">
        <f t="array" ref="B93">[1]!encode_feed(C93,fw_,Rp_,,PVT_str_)</f>
        <v>{"gamma_gas":0.8,"gamma_oil":0.9,"gamma_wat":1,"rsb_m3m3":80,"pb_atma":120,"t_res_C":100,"bob_m3m3":1.2,"muob_cP":1,"PVT_corr_set":0,"q_liq_sm3day":164.625,"fw_perc":10,"rp_m3m3":80}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2">
      <c r="B94" t="str" cm="1">
        <f t="array" ref="B94">[1]!encode_feed(C94,fw_,Rp_,,PVT_str_)</f>
        <v>{"gamma_gas":0.8,"gamma_oil":0.9,"gamma_wat":1,"rsb_m3m3":80,"pb_atma":120,"t_res_C":100,"bob_m3m3":1.2,"muob_cP":1,"PVT_corr_set":0,"q_liq_sm3day":174.25,"fw_perc":10,"rp_m3m3":80}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2">
      <c r="B95" t="str" cm="1">
        <f t="array" ref="B95">[1]!encode_feed(C95,fw_,Rp_,,PVT_str_)</f>
        <v>{"gamma_gas":0.8,"gamma_oil":0.9,"gamma_wat":1,"rsb_m3m3":80,"pb_atma":120,"t_res_C":100,"bob_m3m3":1.2,"muob_cP":1,"PVT_corr_set":0,"q_liq_sm3day":183.875,"fw_perc":10,"rp_m3m3":80}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2">
      <c r="B96" t="str" cm="1">
        <f t="array" ref="B96">[1]!encode_feed(C96,fw_,Rp_,,PVT_str_)</f>
        <v>{"gamma_gas":0.8,"gamma_oil":0.9,"gamma_wat":1,"rsb_m3m3":80,"pb_atma":120,"t_res_C":100,"bob_m3m3":1.2,"muob_cP":1,"PVT_corr_set":0,"q_liq_sm3day":193.5,"fw_perc":10,"rp_m3m3":80}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2">
      <c r="D97" s="24"/>
      <c r="E97" s="24"/>
      <c r="F97" s="24"/>
      <c r="G97" s="25"/>
      <c r="H97" s="26"/>
    </row>
    <row r="102" spans="2:8" x14ac:dyDescent="0.2">
      <c r="C102" s="4"/>
      <c r="D102" s="66" t="s">
        <v>11</v>
      </c>
      <c r="E102" s="67"/>
      <c r="F102" s="67"/>
      <c r="G102" s="67"/>
      <c r="H102" s="68"/>
    </row>
    <row r="103" spans="2:8" x14ac:dyDescent="0.2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2">
      <c r="B104" t="str" cm="1">
        <f t="array" ref="B104">[1]!encode_feed(C104,fw_,Rp_,,PVT_str_)</f>
        <v>{"gamma_gas":0.8,"gamma_oil":0.9,"gamma_wat":1,"rsb_m3m3":80,"pb_atma":120,"t_res_C":100,"bob_m3m3":1.2,"muob_cP":1,"PVT_corr_set":0,"q_liq_sm3day":1,"fw_perc":10,"rp_m3m3":80}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28.906627181664422</v>
      </c>
      <c r="E104" s="26">
        <v>28.906627181664422</v>
      </c>
      <c r="F104" s="26">
        <v>80</v>
      </c>
      <c r="G104" s="25">
        <v>150</v>
      </c>
      <c r="H104" s="26">
        <v>80</v>
      </c>
    </row>
    <row r="105" spans="2:8" x14ac:dyDescent="0.2">
      <c r="B105" t="str" cm="1">
        <f t="array" ref="B105">[1]!encode_feed(C105,fw_,Rp_,,PVT_str_)</f>
        <v>{"gamma_gas":0.8,"gamma_oil":0.9,"gamma_wat":1,"rsb_m3m3":80,"pb_atma":120,"t_res_C":100,"bob_m3m3":1.2,"muob_cP":1,"PVT_corr_set":0,"q_liq_sm3day":10.625,"fw_perc":10,"rp_m3m3":80}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2">
      <c r="B106" t="str" cm="1">
        <f t="array" ref="B106">[1]!encode_feed(C106,fw_,Rp_,,PVT_str_)</f>
        <v>{"gamma_gas":0.8,"gamma_oil":0.9,"gamma_wat":1,"rsb_m3m3":80,"pb_atma":120,"t_res_C":100,"bob_m3m3":1.2,"muob_cP":1,"PVT_corr_set":0,"q_liq_sm3day":20.25,"fw_perc":10,"rp_m3m3":80}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2">
      <c r="B107" t="str" cm="1">
        <f t="array" ref="B107">[1]!encode_feed(C107,fw_,Rp_,,PVT_str_)</f>
        <v>{"gamma_gas":0.8,"gamma_oil":0.9,"gamma_wat":1,"rsb_m3m3":80,"pb_atma":120,"t_res_C":100,"bob_m3m3":1.2,"muob_cP":1,"PVT_corr_set":0,"q_liq_sm3day":29.875,"fw_perc":10,"rp_m3m3":80}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2">
      <c r="B108" t="str" cm="1">
        <f t="array" ref="B108">[1]!encode_feed(C108,fw_,Rp_,,PVT_str_)</f>
        <v>{"gamma_gas":0.8,"gamma_oil":0.9,"gamma_wat":1,"rsb_m3m3":80,"pb_atma":120,"t_res_C":100,"bob_m3m3":1.2,"muob_cP":1,"PVT_corr_set":0,"q_liq_sm3day":39.5,"fw_perc":10,"rp_m3m3":80}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2">
      <c r="B109" t="str" cm="1">
        <f t="array" ref="B109">[1]!encode_feed(C109,fw_,Rp_,,PVT_str_)</f>
        <v>{"gamma_gas":0.8,"gamma_oil":0.9,"gamma_wat":1,"rsb_m3m3":80,"pb_atma":120,"t_res_C":100,"bob_m3m3":1.2,"muob_cP":1,"PVT_corr_set":0,"q_liq_sm3day":49.125,"fw_perc":10,"rp_m3m3":80}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35.479867146179252</v>
      </c>
      <c r="E109" s="26">
        <v>35.479867146179252</v>
      </c>
      <c r="F109" s="26">
        <v>80</v>
      </c>
      <c r="G109" s="25">
        <v>150</v>
      </c>
      <c r="H109" s="26">
        <v>80</v>
      </c>
    </row>
    <row r="110" spans="2:8" x14ac:dyDescent="0.2">
      <c r="B110" t="str" cm="1">
        <f t="array" ref="B110">[1]!encode_feed(C110,fw_,Rp_,,PVT_str_)</f>
        <v>{"gamma_gas":0.8,"gamma_oil":0.9,"gamma_wat":1,"rsb_m3m3":80,"pb_atma":120,"t_res_C":100,"bob_m3m3":1.2,"muob_cP":1,"PVT_corr_set":0,"q_liq_sm3day":58.75,"fw_perc":10,"rp_m3m3":80}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2">
      <c r="B111" t="str" cm="1">
        <f t="array" ref="B111">[1]!encode_feed(C111,fw_,Rp_,,PVT_str_)</f>
        <v>{"gamma_gas":0.8,"gamma_oil":0.9,"gamma_wat":1,"rsb_m3m3":80,"pb_atma":120,"t_res_C":100,"bob_m3m3":1.2,"muob_cP":1,"PVT_corr_set":0,"q_liq_sm3day":68.375,"fw_perc":10,"rp_m3m3":80}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2">
      <c r="B112" t="str" cm="1">
        <f t="array" ref="B112">[1]!encode_feed(C112,fw_,Rp_,,PVT_str_)</f>
        <v>{"gamma_gas":0.8,"gamma_oil":0.9,"gamma_wat":1,"rsb_m3m3":80,"pb_atma":120,"t_res_C":100,"bob_m3m3":1.2,"muob_cP":1,"PVT_corr_set":0,"q_liq_sm3day":78,"fw_perc":10,"rp_m3m3":80}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2">
      <c r="B113" t="str" cm="1">
        <f t="array" ref="B113">[1]!encode_feed(C113,fw_,Rp_,,PVT_str_)</f>
        <v>{"gamma_gas":0.8,"gamma_oil":0.9,"gamma_wat":1,"rsb_m3m3":80,"pb_atma":120,"t_res_C":100,"bob_m3m3":1.2,"muob_cP":1,"PVT_corr_set":0,"q_liq_sm3day":87.625,"fw_perc":10,"rp_m3m3":80}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2">
      <c r="B114" t="str" cm="1">
        <f t="array" ref="B114">[1]!encode_feed(C114,fw_,Rp_,,PVT_str_)</f>
        <v>{"gamma_gas":0.8,"gamma_oil":0.9,"gamma_wat":1,"rsb_m3m3":80,"pb_atma":120,"t_res_C":100,"bob_m3m3":1.2,"muob_cP":1,"PVT_corr_set":0,"q_liq_sm3day":97.25,"fw_perc":10,"rp_m3m3":80}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2">
      <c r="B115" t="str" cm="1">
        <f t="array" ref="B115">[1]!encode_feed(C115,fw_,Rp_,,PVT_str_)</f>
        <v>{"gamma_gas":0.8,"gamma_oil":0.9,"gamma_wat":1,"rsb_m3m3":80,"pb_atma":120,"t_res_C":100,"bob_m3m3":1.2,"muob_cP":1,"PVT_corr_set":0,"q_liq_sm3day":106.875,"fw_perc":10,"rp_m3m3":80}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2">
      <c r="B116" t="str" cm="1">
        <f t="array" ref="B116">[1]!encode_feed(C116,fw_,Rp_,,PVT_str_)</f>
        <v>{"gamma_gas":0.8,"gamma_oil":0.9,"gamma_wat":1,"rsb_m3m3":80,"pb_atma":120,"t_res_C":100,"bob_m3m3":1.2,"muob_cP":1,"PVT_corr_set":0,"q_liq_sm3day":116.5,"fw_perc":10,"rp_m3m3":80}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2">
      <c r="B117" t="str" cm="1">
        <f t="array" ref="B117">[1]!encode_feed(C117,fw_,Rp_,,PVT_str_)</f>
        <v>{"gamma_gas":0.8,"gamma_oil":0.9,"gamma_wat":1,"rsb_m3m3":80,"pb_atma":120,"t_res_C":100,"bob_m3m3":1.2,"muob_cP":1,"PVT_corr_set":0,"q_liq_sm3day":126.125,"fw_perc":10,"rp_m3m3":80}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2">
      <c r="B118" t="str" cm="1">
        <f t="array" ref="B118">[1]!encode_feed(C118,fw_,Rp_,,PVT_str_)</f>
        <v>{"gamma_gas":0.8,"gamma_oil":0.9,"gamma_wat":1,"rsb_m3m3":80,"pb_atma":120,"t_res_C":100,"bob_m3m3":1.2,"muob_cP":1,"PVT_corr_set":0,"q_liq_sm3day":135.75,"fw_perc":10,"rp_m3m3":80}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2">
      <c r="B119" t="str" cm="1">
        <f t="array" ref="B119">[1]!encode_feed(C119,fw_,Rp_,,PVT_str_)</f>
        <v>{"gamma_gas":0.8,"gamma_oil":0.9,"gamma_wat":1,"rsb_m3m3":80,"pb_atma":120,"t_res_C":100,"bob_m3m3":1.2,"muob_cP":1,"PVT_corr_set":0,"q_liq_sm3day":145.375,"fw_perc":10,"rp_m3m3":80}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2">
      <c r="B120" t="str" cm="1">
        <f t="array" ref="B120">[1]!encode_feed(C120,fw_,Rp_,,PVT_str_)</f>
        <v>{"gamma_gas":0.8,"gamma_oil":0.9,"gamma_wat":1,"rsb_m3m3":80,"pb_atma":120,"t_res_C":100,"bob_m3m3":1.2,"muob_cP":1,"PVT_corr_set":0,"q_liq_sm3day":155,"fw_perc":10,"rp_m3m3":80}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2">
      <c r="B121" t="str" cm="1">
        <f t="array" ref="B121">[1]!encode_feed(C121,fw_,Rp_,,PVT_str_)</f>
        <v>{"gamma_gas":0.8,"gamma_oil":0.9,"gamma_wat":1,"rsb_m3m3":80,"pb_atma":120,"t_res_C":100,"bob_m3m3":1.2,"muob_cP":1,"PVT_corr_set":0,"q_liq_sm3day":164.625,"fw_perc":10,"rp_m3m3":80}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2">
      <c r="B122" t="str" cm="1">
        <f t="array" ref="B122">[1]!encode_feed(C122,fw_,Rp_,,PVT_str_)</f>
        <v>{"gamma_gas":0.8,"gamma_oil":0.9,"gamma_wat":1,"rsb_m3m3":80,"pb_atma":120,"t_res_C":100,"bob_m3m3":1.2,"muob_cP":1,"PVT_corr_set":0,"q_liq_sm3day":174.25,"fw_perc":10,"rp_m3m3":80}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166.70422286616878</v>
      </c>
      <c r="E122" s="26">
        <v>166.70422286616878</v>
      </c>
      <c r="F122" s="26">
        <v>80</v>
      </c>
      <c r="G122" s="25">
        <v>150</v>
      </c>
      <c r="H122" s="26">
        <v>80</v>
      </c>
    </row>
    <row r="123" spans="2:8" x14ac:dyDescent="0.2">
      <c r="B123" t="str" cm="1">
        <f t="array" ref="B123">[1]!encode_feed(C123,fw_,Rp_,,PVT_str_)</f>
        <v>{"gamma_gas":0.8,"gamma_oil":0.9,"gamma_wat":1,"rsb_m3m3":80,"pb_atma":120,"t_res_C":100,"bob_m3m3":1.2,"muob_cP":1,"PVT_corr_set":0,"q_liq_sm3day":183.875,"fw_perc":10,"rp_m3m3":80}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186.49065743999145</v>
      </c>
      <c r="E123" s="26">
        <v>186.49065743999145</v>
      </c>
      <c r="F123" s="26">
        <v>80</v>
      </c>
      <c r="G123" s="25">
        <v>150</v>
      </c>
      <c r="H123" s="26">
        <v>80</v>
      </c>
    </row>
    <row r="124" spans="2:8" x14ac:dyDescent="0.2">
      <c r="B124" t="str" cm="1">
        <f t="array" ref="B124">[1]!encode_feed(C124,fw_,Rp_,,PVT_str_)</f>
        <v>{"gamma_gas":0.8,"gamma_oil":0.9,"gamma_wat":1,"rsb_m3m3":80,"pb_atma":120,"t_res_C":100,"bob_m3m3":1.2,"muob_cP":1,"PVT_corr_set":0,"q_liq_sm3day":193.5,"fw_perc":10,"rp_m3m3":80}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206.32899465634719</v>
      </c>
      <c r="E124" s="26">
        <v>206.32899465634719</v>
      </c>
      <c r="F124" s="26">
        <v>80</v>
      </c>
      <c r="G124" s="25">
        <v>150</v>
      </c>
      <c r="H124" s="26">
        <v>80</v>
      </c>
    </row>
    <row r="125" spans="2:8" x14ac:dyDescent="0.2">
      <c r="D125" s="26"/>
      <c r="E125" s="26"/>
      <c r="F125" s="26"/>
      <c r="G125" s="25"/>
      <c r="H125" s="26"/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D250-773C-46E0-BC3C-3F63B1150B50}">
  <sheetPr codeName="Worksheet_ESPcalc1">
    <outlinePr summaryBelow="0"/>
  </sheetPr>
  <dimension ref="A1:AJ186"/>
  <sheetViews>
    <sheetView topLeftCell="A76" zoomScale="85" zoomScaleNormal="85" workbookViewId="0">
      <selection activeCell="C32" sqref="C32"/>
    </sheetView>
  </sheetViews>
  <sheetFormatPr defaultRowHeight="12.75" x14ac:dyDescent="0.2"/>
  <cols>
    <col min="2" max="2" width="13.140625" customWidth="1"/>
    <col min="3" max="3" width="9.85546875" customWidth="1"/>
    <col min="4" max="4" width="11.5703125" bestFit="1" customWidth="1"/>
    <col min="5" max="5" width="11.140625" customWidth="1"/>
    <col min="6" max="6" width="13.5703125" customWidth="1"/>
    <col min="7" max="12" width="11.85546875" customWidth="1"/>
    <col min="13" max="13" width="13" customWidth="1"/>
    <col min="14" max="14" width="13.140625" customWidth="1"/>
    <col min="15" max="16" width="11.85546875" customWidth="1"/>
    <col min="17" max="17" width="12.140625" customWidth="1"/>
    <col min="18" max="21" width="11.85546875" customWidth="1"/>
    <col min="22" max="29" width="12.42578125" customWidth="1"/>
    <col min="30" max="30" width="17.42578125" customWidth="1"/>
    <col min="31" max="37" width="12.42578125" customWidth="1"/>
  </cols>
  <sheetData>
    <row r="1" spans="1:12" x14ac:dyDescent="0.2">
      <c r="A1" s="1" t="s">
        <v>13</v>
      </c>
      <c r="F1" t="s">
        <v>14</v>
      </c>
      <c r="G1" t="str">
        <f>[1]!unf_version()</f>
        <v>7.40</v>
      </c>
      <c r="H1" t="s">
        <v>52</v>
      </c>
      <c r="I1" s="27">
        <v>44312</v>
      </c>
      <c r="J1" s="20"/>
      <c r="K1" s="20"/>
      <c r="L1" s="20"/>
    </row>
    <row r="2" spans="1:12" x14ac:dyDescent="0.2">
      <c r="A2" t="s">
        <v>69</v>
      </c>
      <c r="H2" t="s">
        <v>53</v>
      </c>
      <c r="I2" s="28" t="s">
        <v>81</v>
      </c>
      <c r="J2" s="20"/>
      <c r="K2" s="20"/>
      <c r="L2" s="20"/>
    </row>
    <row r="3" spans="1:12" ht="15" x14ac:dyDescent="0.25">
      <c r="A3" s="29" t="s">
        <v>54</v>
      </c>
      <c r="B3" s="69" t="s">
        <v>55</v>
      </c>
      <c r="C3" s="70"/>
      <c r="D3" s="70"/>
      <c r="E3" s="71"/>
      <c r="H3" t="s">
        <v>56</v>
      </c>
      <c r="I3" s="20" t="s">
        <v>55</v>
      </c>
      <c r="J3" s="20"/>
      <c r="K3" s="20"/>
      <c r="L3" s="20"/>
    </row>
    <row r="4" spans="1:12" ht="15" x14ac:dyDescent="0.25">
      <c r="A4" s="29" t="s">
        <v>57</v>
      </c>
      <c r="B4" s="69" t="s">
        <v>58</v>
      </c>
      <c r="C4" s="70"/>
      <c r="D4" s="70"/>
      <c r="E4" s="71"/>
      <c r="H4" t="s">
        <v>59</v>
      </c>
      <c r="I4" s="20" t="s">
        <v>58</v>
      </c>
      <c r="J4" s="20"/>
      <c r="K4" s="20"/>
      <c r="L4" s="20"/>
    </row>
    <row r="5" spans="1:12" ht="15" x14ac:dyDescent="0.25">
      <c r="A5" s="29" t="s">
        <v>60</v>
      </c>
      <c r="B5" s="69" t="s">
        <v>61</v>
      </c>
      <c r="C5" s="70"/>
      <c r="D5" s="70"/>
      <c r="E5" s="71"/>
      <c r="H5" t="s">
        <v>62</v>
      </c>
      <c r="I5" s="20" t="s">
        <v>61</v>
      </c>
      <c r="J5" s="20"/>
      <c r="K5" s="20"/>
      <c r="L5" s="20"/>
    </row>
    <row r="6" spans="1:12" x14ac:dyDescent="0.2">
      <c r="A6" s="30" t="s">
        <v>63</v>
      </c>
      <c r="B6" s="72" t="s">
        <v>64</v>
      </c>
      <c r="C6" s="73"/>
      <c r="D6" s="73"/>
      <c r="E6" s="74"/>
      <c r="H6" s="31" t="s">
        <v>65</v>
      </c>
      <c r="I6" s="32" t="s">
        <v>64</v>
      </c>
      <c r="J6" s="32"/>
      <c r="K6" s="32"/>
      <c r="L6" s="32"/>
    </row>
    <row r="7" spans="1:12" x14ac:dyDescent="0.2">
      <c r="A7" s="33"/>
      <c r="B7" s="75"/>
      <c r="C7" s="76"/>
      <c r="D7" s="76"/>
      <c r="E7" s="77"/>
      <c r="H7" s="31"/>
      <c r="I7" s="32"/>
      <c r="J7" s="32"/>
      <c r="K7" s="32"/>
      <c r="L7" s="32"/>
    </row>
    <row r="8" spans="1:12" x14ac:dyDescent="0.2">
      <c r="A8" s="34"/>
      <c r="B8" s="78"/>
      <c r="C8" s="79"/>
      <c r="D8" s="79"/>
      <c r="E8" s="80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8.75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8.75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8.75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8.75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8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8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8.75" x14ac:dyDescent="0.35">
      <c r="B18" s="13" t="s">
        <v>28</v>
      </c>
      <c r="C18" s="2">
        <v>1.2</v>
      </c>
      <c r="D18" s="12" t="s">
        <v>20</v>
      </c>
    </row>
    <row r="19" spans="1:30" ht="18" x14ac:dyDescent="0.35">
      <c r="B19" s="22" t="s">
        <v>48</v>
      </c>
      <c r="C19" s="2">
        <v>1</v>
      </c>
      <c r="D19" s="12" t="s">
        <v>47</v>
      </c>
    </row>
    <row r="20" spans="1:30" x14ac:dyDescent="0.2">
      <c r="B20" s="3"/>
      <c r="C20" s="4"/>
    </row>
    <row r="21" spans="1:30" ht="15.75" x14ac:dyDescent="0.3">
      <c r="B21" s="15" t="s">
        <v>32</v>
      </c>
      <c r="C21" s="2">
        <v>135</v>
      </c>
      <c r="D21" s="23" t="s">
        <v>3</v>
      </c>
    </row>
    <row r="22" spans="1:30" ht="15.75" x14ac:dyDescent="0.3">
      <c r="B22" s="15" t="s">
        <v>35</v>
      </c>
      <c r="C22" s="2">
        <v>10</v>
      </c>
      <c r="D22" s="23" t="s">
        <v>34</v>
      </c>
    </row>
    <row r="23" spans="1:30" x14ac:dyDescent="0.2">
      <c r="A23" s="1" t="s">
        <v>46</v>
      </c>
    </row>
    <row r="24" spans="1:30" ht="15.75" x14ac:dyDescent="0.3">
      <c r="B24" s="23" t="s">
        <v>39</v>
      </c>
      <c r="C24" s="2">
        <v>80</v>
      </c>
      <c r="D24" s="23" t="s">
        <v>3</v>
      </c>
      <c r="Q24" t="e" cm="1">
        <f t="array" aca="1" ref="Q24" ca="1">[1]!ESP_calc(Pintake_,Tintake_,J31,PumpID_,NumStage_,Freq_,Tdis_,,L40)</f>
        <v>#NAME?</v>
      </c>
    </row>
    <row r="25" spans="1:30" ht="15.75" x14ac:dyDescent="0.3">
      <c r="B25" s="23" t="s">
        <v>40</v>
      </c>
      <c r="C25" s="2">
        <v>1500</v>
      </c>
      <c r="D25" s="23" t="s">
        <v>4</v>
      </c>
      <c r="W25" t="e">
        <f ca="1">Q24</f>
        <v>#NAME?</v>
      </c>
    </row>
    <row r="26" spans="1:30" x14ac:dyDescent="0.2">
      <c r="B26" s="23" t="s">
        <v>36</v>
      </c>
      <c r="C26" s="2">
        <v>55</v>
      </c>
      <c r="D26" s="23" t="s">
        <v>5</v>
      </c>
    </row>
    <row r="27" spans="1:30" x14ac:dyDescent="0.2">
      <c r="B27" s="23" t="s">
        <v>37</v>
      </c>
      <c r="C27" s="11" cm="1">
        <f t="array" ref="C27">[1]!ESP_id_by_rate(Q_ESP_)</f>
        <v>1006</v>
      </c>
      <c r="D27" s="23"/>
      <c r="AD27" t="str" cm="1">
        <f t="array" aca="1" ref="AD27" ca="1">[1]!decode_json(W25)</f>
        <v>error</v>
      </c>
    </row>
    <row r="28" spans="1:30" x14ac:dyDescent="0.2">
      <c r="B28" s="23" t="s">
        <v>38</v>
      </c>
      <c r="C28" s="11" t="str" cm="1">
        <f t="array" ref="C28">[1]!ESP_name(PumpID_)</f>
        <v>ЭЦН5-80</v>
      </c>
      <c r="D28" s="23"/>
    </row>
    <row r="29" spans="1:30" ht="15.75" x14ac:dyDescent="0.3">
      <c r="B29" s="23" t="s">
        <v>41</v>
      </c>
      <c r="C29" s="11" cm="1">
        <f t="array" ref="C29">[1]!ESP_rate_max_sm3day(Freq_,PumpID_)</f>
        <v>192.5</v>
      </c>
      <c r="D29" s="23"/>
      <c r="J29" s="17" t="s">
        <v>12</v>
      </c>
    </row>
    <row r="30" spans="1:30" x14ac:dyDescent="0.2">
      <c r="B30" s="23" t="s">
        <v>9</v>
      </c>
      <c r="C30" s="47" cm="1">
        <f t="array" ref="C30">INT(Head_ESP_/[1]!ESP_head_m(Q_ESP_,1,,PumpID_))</f>
        <v>250</v>
      </c>
      <c r="D30" s="23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{"gamma_gas":0.8,"gamma_oil":0.9,"gamma_wat":1,"rsb_m3m3":80,"pb_atma":120,"t_res_C":100,"bob_m3m3":1.2,"muob_cP":1,"PVT_corr_set":0}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.75" x14ac:dyDescent="0.3">
      <c r="B31" s="23" t="s">
        <v>42</v>
      </c>
      <c r="C31" s="5">
        <v>0.8</v>
      </c>
      <c r="D31" s="23"/>
      <c r="J31" t="str" cm="1">
        <f t="array" ref="J31">[1]!encode_feed(Q_,fw_,Rp_,,PVT_str_)</f>
        <v>{"gamma_gas":0.8,"gamma_oil":0.9,"gamma_wat":1,"rsb_m3m3":80,"pb_atma":120,"t_res_C":100,"bob_m3m3":1.2,"muob_cP":1,"PVT_corr_set":0,"q_liq_sm3day":135,"fw_perc":10,"rp_m3m3":80}</v>
      </c>
    </row>
    <row r="32" spans="1:30" ht="15.75" x14ac:dyDescent="0.3">
      <c r="B32" s="23" t="s">
        <v>43</v>
      </c>
      <c r="C32" s="7">
        <v>80</v>
      </c>
      <c r="D32" s="23" t="s">
        <v>1</v>
      </c>
    </row>
    <row r="33" spans="1:19" ht="15.75" x14ac:dyDescent="0.3">
      <c r="B33" s="23" t="s">
        <v>44</v>
      </c>
      <c r="C33" s="7">
        <v>80</v>
      </c>
      <c r="D33" s="23" t="s">
        <v>2</v>
      </c>
    </row>
    <row r="34" spans="1:19" ht="15" x14ac:dyDescent="0.25">
      <c r="B34" s="23" t="s">
        <v>45</v>
      </c>
      <c r="C34" s="2">
        <v>1</v>
      </c>
      <c r="D34" s="23" t="s">
        <v>29</v>
      </c>
      <c r="L34" s="54" t="s">
        <v>71</v>
      </c>
      <c r="S34" t="str" cm="1">
        <f t="array" ref="S34">[1]!decode_json(P43)</f>
        <v>error</v>
      </c>
    </row>
    <row r="35" spans="1:19" x14ac:dyDescent="0.2">
      <c r="A35" t="s">
        <v>51</v>
      </c>
      <c r="L35" s="12" t="s">
        <v>72</v>
      </c>
      <c r="M35" s="55">
        <v>1</v>
      </c>
    </row>
    <row r="36" spans="1:19" x14ac:dyDescent="0.2">
      <c r="B36" s="23" t="s">
        <v>7</v>
      </c>
      <c r="C36" s="2">
        <v>20</v>
      </c>
      <c r="D36" s="23"/>
      <c r="J36" s="36"/>
      <c r="L36" s="12" t="s">
        <v>73</v>
      </c>
      <c r="M36" s="55">
        <v>0</v>
      </c>
    </row>
    <row r="37" spans="1:19" x14ac:dyDescent="0.2">
      <c r="A37" s="1"/>
      <c r="L37" s="12" t="s">
        <v>74</v>
      </c>
      <c r="M37" s="55">
        <v>1</v>
      </c>
    </row>
    <row r="38" spans="1:19" x14ac:dyDescent="0.2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3">
      <c r="B39" s="15" t="s">
        <v>30</v>
      </c>
      <c r="C39" s="2">
        <v>80</v>
      </c>
      <c r="D39" s="23" t="s">
        <v>1</v>
      </c>
      <c r="F39" s="46" t="s">
        <v>67</v>
      </c>
      <c r="G39" s="2">
        <v>1</v>
      </c>
    </row>
    <row r="40" spans="1:19" ht="15.75" x14ac:dyDescent="0.3">
      <c r="B40" s="15" t="s">
        <v>31</v>
      </c>
      <c r="C40" s="2">
        <v>80</v>
      </c>
      <c r="D40" s="23" t="s">
        <v>2</v>
      </c>
      <c r="L40" s="20" t="str" cm="1">
        <f t="array" ref="L40">[1]!encode_json(L35:M38)</f>
        <v>{"show_log":1,"num_value":0,"show_array":1,"esp_gas_correct":20}</v>
      </c>
    </row>
    <row r="41" spans="1:19" ht="15.75" x14ac:dyDescent="0.3">
      <c r="B41" s="15" t="s">
        <v>33</v>
      </c>
      <c r="C41" s="2">
        <v>150</v>
      </c>
      <c r="D41" s="23" t="s">
        <v>1</v>
      </c>
      <c r="F41" t="s">
        <v>66</v>
      </c>
    </row>
    <row r="42" spans="1:19" ht="15.75" x14ac:dyDescent="0.3">
      <c r="B42" s="15" t="s">
        <v>49</v>
      </c>
      <c r="C42" s="2">
        <v>90</v>
      </c>
      <c r="D42" s="23" t="s">
        <v>2</v>
      </c>
    </row>
    <row r="43" spans="1:19" ht="25.5" x14ac:dyDescent="0.2">
      <c r="B43" s="15" t="s">
        <v>50</v>
      </c>
      <c r="C43" s="2">
        <v>0</v>
      </c>
      <c r="D43" s="23"/>
      <c r="F43" s="53" t="str" cm="1">
        <f t="array" ref="F43">[1]!ESP_p_atma(Pintake_,Tintake_,Tdis_,,PumpID_,NumStage_,Freq_,calc_along_flow,,,,0,dN)</f>
        <v>error:ESP_p_atma: Error parsing JSON:_x000D_
_x000D_
^_x000D_
Expecting '{' or '['</v>
      </c>
      <c r="G43" s="41"/>
      <c r="H43" s="41"/>
      <c r="I43" s="41"/>
      <c r="J43" s="41"/>
      <c r="K43" s="41"/>
      <c r="L43" s="41"/>
      <c r="M43" s="41"/>
      <c r="N43" s="41"/>
      <c r="O43" s="58"/>
      <c r="P43" s="59"/>
    </row>
    <row r="44" spans="1:19" x14ac:dyDescent="0.2">
      <c r="B44" s="15" t="s">
        <v>68</v>
      </c>
      <c r="C44" s="2">
        <v>10</v>
      </c>
      <c r="F44" s="60"/>
      <c r="G44" s="57"/>
      <c r="H44" s="57"/>
      <c r="I44" s="57"/>
      <c r="J44" s="57"/>
      <c r="K44" s="57"/>
      <c r="L44" s="57"/>
      <c r="M44" s="57"/>
      <c r="N44" s="57"/>
      <c r="O44" s="57"/>
      <c r="P44" s="61"/>
    </row>
    <row r="45" spans="1:19" x14ac:dyDescent="0.2">
      <c r="F45" s="42"/>
      <c r="G45" s="43"/>
      <c r="H45" s="43"/>
      <c r="I45" s="43"/>
      <c r="J45" s="43"/>
      <c r="K45" s="43"/>
      <c r="L45" s="43"/>
      <c r="M45" s="43"/>
      <c r="N45" s="43"/>
      <c r="O45" s="43"/>
      <c r="P45" s="61"/>
    </row>
    <row r="46" spans="1:19" x14ac:dyDescent="0.2">
      <c r="F46" s="51"/>
      <c r="G46" s="45"/>
      <c r="H46" s="45"/>
      <c r="I46" s="45"/>
      <c r="J46" s="45"/>
      <c r="K46" s="45"/>
      <c r="L46" s="45"/>
      <c r="M46" s="45"/>
      <c r="N46" s="45"/>
      <c r="O46" s="44"/>
      <c r="P46" s="62"/>
    </row>
    <row r="47" spans="1:19" x14ac:dyDescent="0.2">
      <c r="F47" s="51"/>
      <c r="G47" s="45"/>
      <c r="H47" s="45"/>
      <c r="I47" s="45"/>
      <c r="J47" s="45"/>
      <c r="K47" s="45"/>
      <c r="L47" s="45"/>
      <c r="M47" s="45"/>
      <c r="N47" s="45"/>
      <c r="O47" s="44"/>
      <c r="P47" s="62"/>
    </row>
    <row r="48" spans="1:19" x14ac:dyDescent="0.2">
      <c r="F48" s="51"/>
      <c r="G48" s="45"/>
      <c r="H48" s="45"/>
      <c r="I48" s="45"/>
      <c r="J48" s="45"/>
      <c r="K48" s="45"/>
      <c r="L48" s="45"/>
      <c r="M48" s="45"/>
      <c r="N48" s="45"/>
      <c r="O48" s="44"/>
      <c r="P48" s="62"/>
    </row>
    <row r="49" spans="6:16" x14ac:dyDescent="0.2">
      <c r="F49" s="51"/>
      <c r="G49" s="45"/>
      <c r="H49" s="45"/>
      <c r="I49" s="45"/>
      <c r="J49" s="45"/>
      <c r="K49" s="45"/>
      <c r="L49" s="45"/>
      <c r="M49" s="45"/>
      <c r="N49" s="45"/>
      <c r="O49" s="44"/>
      <c r="P49" s="62"/>
    </row>
    <row r="50" spans="6:16" x14ac:dyDescent="0.2">
      <c r="F50" s="51"/>
      <c r="G50" s="45"/>
      <c r="H50" s="45"/>
      <c r="I50" s="45"/>
      <c r="J50" s="45"/>
      <c r="K50" s="45"/>
      <c r="L50" s="45"/>
      <c r="M50" s="45"/>
      <c r="N50" s="45"/>
      <c r="O50" s="44"/>
      <c r="P50" s="62"/>
    </row>
    <row r="51" spans="6:16" x14ac:dyDescent="0.2">
      <c r="F51" s="51"/>
      <c r="G51" s="45"/>
      <c r="H51" s="45"/>
      <c r="I51" s="45"/>
      <c r="J51" s="45"/>
      <c r="K51" s="45"/>
      <c r="L51" s="45"/>
      <c r="M51" s="45"/>
      <c r="N51" s="45"/>
      <c r="O51" s="44"/>
      <c r="P51" s="62"/>
    </row>
    <row r="52" spans="6:16" x14ac:dyDescent="0.2">
      <c r="F52" s="51"/>
      <c r="G52" s="45"/>
      <c r="H52" s="45"/>
      <c r="I52" s="45"/>
      <c r="J52" s="45"/>
      <c r="K52" s="45"/>
      <c r="L52" s="45"/>
      <c r="M52" s="45"/>
      <c r="N52" s="45"/>
      <c r="O52" s="44"/>
      <c r="P52" s="62"/>
    </row>
    <row r="53" spans="6:16" x14ac:dyDescent="0.2">
      <c r="F53" s="51"/>
      <c r="G53" s="45"/>
      <c r="H53" s="45"/>
      <c r="I53" s="45"/>
      <c r="J53" s="45"/>
      <c r="K53" s="45"/>
      <c r="L53" s="45"/>
      <c r="M53" s="45"/>
      <c r="N53" s="45"/>
      <c r="O53" s="44"/>
      <c r="P53" s="62"/>
    </row>
    <row r="54" spans="6:16" x14ac:dyDescent="0.2">
      <c r="F54" s="51"/>
      <c r="G54" s="45"/>
      <c r="H54" s="45"/>
      <c r="I54" s="45"/>
      <c r="J54" s="45"/>
      <c r="K54" s="45"/>
      <c r="L54" s="45"/>
      <c r="M54" s="45"/>
      <c r="N54" s="45"/>
      <c r="O54" s="44"/>
      <c r="P54" s="62"/>
    </row>
    <row r="55" spans="6:16" x14ac:dyDescent="0.2">
      <c r="F55" s="51"/>
      <c r="G55" s="45"/>
      <c r="H55" s="45"/>
      <c r="I55" s="45"/>
      <c r="J55" s="45"/>
      <c r="K55" s="45"/>
      <c r="L55" s="45"/>
      <c r="M55" s="45"/>
      <c r="N55" s="45"/>
      <c r="O55" s="44"/>
      <c r="P55" s="62"/>
    </row>
    <row r="56" spans="6:16" x14ac:dyDescent="0.2">
      <c r="F56" s="51"/>
      <c r="G56" s="45"/>
      <c r="H56" s="45"/>
      <c r="I56" s="45"/>
      <c r="J56" s="45"/>
      <c r="K56" s="45"/>
      <c r="L56" s="45"/>
      <c r="M56" s="45"/>
      <c r="N56" s="45"/>
      <c r="O56" s="44"/>
      <c r="P56" s="62"/>
    </row>
    <row r="57" spans="6:16" x14ac:dyDescent="0.2">
      <c r="F57" s="51"/>
      <c r="G57" s="45"/>
      <c r="H57" s="45"/>
      <c r="I57" s="45"/>
      <c r="J57" s="45"/>
      <c r="K57" s="45"/>
      <c r="L57" s="45"/>
      <c r="M57" s="45"/>
      <c r="N57" s="45"/>
      <c r="O57" s="44"/>
      <c r="P57" s="62"/>
    </row>
    <row r="58" spans="6:16" x14ac:dyDescent="0.2">
      <c r="F58" s="51"/>
      <c r="G58" s="45"/>
      <c r="H58" s="45"/>
      <c r="I58" s="45"/>
      <c r="J58" s="45"/>
      <c r="K58" s="45"/>
      <c r="L58" s="45"/>
      <c r="M58" s="45"/>
      <c r="N58" s="45"/>
      <c r="O58" s="44"/>
      <c r="P58" s="62"/>
    </row>
    <row r="59" spans="6:16" x14ac:dyDescent="0.2">
      <c r="F59" s="51"/>
      <c r="G59" s="45"/>
      <c r="H59" s="45"/>
      <c r="I59" s="45"/>
      <c r="J59" s="45"/>
      <c r="K59" s="45"/>
      <c r="L59" s="45"/>
      <c r="M59" s="45"/>
      <c r="N59" s="45"/>
      <c r="O59" s="44"/>
      <c r="P59" s="62"/>
    </row>
    <row r="60" spans="6:16" x14ac:dyDescent="0.2">
      <c r="F60" s="51"/>
      <c r="G60" s="45"/>
      <c r="H60" s="45"/>
      <c r="I60" s="45"/>
      <c r="J60" s="45"/>
      <c r="K60" s="45"/>
      <c r="L60" s="45"/>
      <c r="M60" s="45"/>
      <c r="N60" s="45"/>
      <c r="O60" s="44"/>
      <c r="P60" s="62"/>
    </row>
    <row r="61" spans="6:16" x14ac:dyDescent="0.2">
      <c r="F61" s="51"/>
      <c r="G61" s="45"/>
      <c r="H61" s="45"/>
      <c r="I61" s="45"/>
      <c r="J61" s="45"/>
      <c r="K61" s="45"/>
      <c r="L61" s="45"/>
      <c r="M61" s="45"/>
      <c r="N61" s="45"/>
      <c r="O61" s="44"/>
      <c r="P61" s="62"/>
    </row>
    <row r="62" spans="6:16" x14ac:dyDescent="0.2">
      <c r="F62" s="51"/>
      <c r="G62" s="45"/>
      <c r="H62" s="45"/>
      <c r="I62" s="45"/>
      <c r="J62" s="45"/>
      <c r="K62" s="45"/>
      <c r="L62" s="45"/>
      <c r="M62" s="45"/>
      <c r="N62" s="45"/>
      <c r="O62" s="44"/>
      <c r="P62" s="62"/>
    </row>
    <row r="63" spans="6:16" x14ac:dyDescent="0.2">
      <c r="F63" s="51"/>
      <c r="G63" s="45"/>
      <c r="H63" s="45"/>
      <c r="I63" s="45"/>
      <c r="J63" s="45"/>
      <c r="K63" s="45"/>
      <c r="L63" s="45"/>
      <c r="M63" s="45"/>
      <c r="N63" s="45"/>
      <c r="O63" s="44"/>
      <c r="P63" s="62"/>
    </row>
    <row r="64" spans="6:16" x14ac:dyDescent="0.2">
      <c r="F64" s="51"/>
      <c r="G64" s="45"/>
      <c r="H64" s="45"/>
      <c r="I64" s="45"/>
      <c r="J64" s="45"/>
      <c r="K64" s="45"/>
      <c r="L64" s="45"/>
      <c r="M64" s="45"/>
      <c r="N64" s="45"/>
      <c r="O64" s="44"/>
      <c r="P64" s="62"/>
    </row>
    <row r="65" spans="2:35" x14ac:dyDescent="0.2">
      <c r="F65" s="52"/>
      <c r="G65" s="48"/>
      <c r="H65" s="48"/>
      <c r="I65" s="48"/>
      <c r="J65" s="48"/>
      <c r="K65" s="48"/>
      <c r="L65" s="48"/>
      <c r="M65" s="48"/>
      <c r="N65" s="48"/>
      <c r="O65" s="49"/>
      <c r="P65" s="63"/>
    </row>
    <row r="68" spans="2:35" x14ac:dyDescent="0.2">
      <c r="G68" s="36"/>
    </row>
    <row r="69" spans="2:35" x14ac:dyDescent="0.2">
      <c r="G69" s="36"/>
    </row>
    <row r="70" spans="2:35" x14ac:dyDescent="0.2">
      <c r="G70" s="36"/>
    </row>
    <row r="71" spans="2:35" x14ac:dyDescent="0.2">
      <c r="G71" s="36"/>
    </row>
    <row r="72" spans="2:35" x14ac:dyDescent="0.2">
      <c r="G72" s="36"/>
    </row>
    <row r="73" spans="2:35" x14ac:dyDescent="0.2">
      <c r="C73" s="4"/>
      <c r="K73" t="s">
        <v>79</v>
      </c>
    </row>
    <row r="74" spans="2:35" x14ac:dyDescent="0.2">
      <c r="C74" s="4"/>
      <c r="D74" s="66" t="s">
        <v>10</v>
      </c>
      <c r="E74" s="67"/>
      <c r="F74" s="67"/>
      <c r="G74" s="67"/>
      <c r="H74" s="68"/>
      <c r="AI74" t="s">
        <v>70</v>
      </c>
    </row>
    <row r="75" spans="2:35" x14ac:dyDescent="0.2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</row>
    <row r="76" spans="2:35" x14ac:dyDescent="0.2">
      <c r="B76" t="str" cm="1">
        <f t="array" ref="B76">[1]!encode_feed(C76,fw_,Rp_,,PVT_str_)</f>
        <v>{"gamma_gas":0.8,"gamma_oil":0.9,"gamma_wat":1,"rsb_m3m3":80,"pb_atma":120,"t_res_C":100,"bob_m3m3":1.2,"muob_cP":1,"PVT_corr_set":0,"q_liq_sm3day":1,"fw_perc":10,"rp_m3m3":80}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</row>
    <row r="77" spans="2:35" x14ac:dyDescent="0.2">
      <c r="B77" t="str" cm="1">
        <f t="array" ref="B77">[1]!encode_feed(C77,fw_,Rp_,,PVT_str_)</f>
        <v>{"gamma_gas":0.8,"gamma_oil":0.9,"gamma_wat":1,"rsb_m3m3":80,"pb_atma":120,"t_res_C":100,"bob_m3m3":1.2,"muob_cP":1,"PVT_corr_set":0,"q_liq_sm3day":10.625,"fw_perc":10,"rp_m3m3":80}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2">
      <c r="B78" t="str" cm="1">
        <f t="array" ref="B78">[1]!encode_feed(C78,fw_,Rp_,,PVT_str_)</f>
        <v>{"gamma_gas":0.8,"gamma_oil":0.9,"gamma_wat":1,"rsb_m3m3":80,"pb_atma":120,"t_res_C":100,"bob_m3m3":1.2,"muob_cP":1,"PVT_corr_set":0,"q_liq_sm3day":20.25,"fw_perc":10,"rp_m3m3":80}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2">
      <c r="B79" t="str" cm="1">
        <f t="array" ref="B79">[1]!encode_feed(C79,fw_,Rp_,,PVT_str_)</f>
        <v>{"gamma_gas":0.8,"gamma_oil":0.9,"gamma_wat":1,"rsb_m3m3":80,"pb_atma":120,"t_res_C":100,"bob_m3m3":1.2,"muob_cP":1,"PVT_corr_set":0,"q_liq_sm3day":29.875,"fw_perc":10,"rp_m3m3":80}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2">
      <c r="B80" t="str" cm="1">
        <f t="array" ref="B80">[1]!encode_feed(C80,fw_,Rp_,,PVT_str_)</f>
        <v>{"gamma_gas":0.8,"gamma_oil":0.9,"gamma_wat":1,"rsb_m3m3":80,"pb_atma":120,"t_res_C":100,"bob_m3m3":1.2,"muob_cP":1,"PVT_corr_set":0,"q_liq_sm3day":39.5,"fw_perc":10,"rp_m3m3":80}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2">
      <c r="B81" t="str" cm="1">
        <f t="array" ref="B81">[1]!encode_feed(C81,fw_,Rp_,,PVT_str_)</f>
        <v>{"gamma_gas":0.8,"gamma_oil":0.9,"gamma_wat":1,"rsb_m3m3":80,"pb_atma":120,"t_res_C":100,"bob_m3m3":1.2,"muob_cP":1,"PVT_corr_set":0,"q_liq_sm3day":49.125,"fw_perc":10,"rp_m3m3":80}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2">
      <c r="B82" t="str" cm="1">
        <f t="array" ref="B82">[1]!encode_feed(C82,fw_,Rp_,,PVT_str_)</f>
        <v>{"gamma_gas":0.8,"gamma_oil":0.9,"gamma_wat":1,"rsb_m3m3":80,"pb_atma":120,"t_res_C":100,"bob_m3m3":1.2,"muob_cP":1,"PVT_corr_set":0,"q_liq_sm3day":58.75,"fw_perc":10,"rp_m3m3":80}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2">
      <c r="B83" t="str" cm="1">
        <f t="array" ref="B83">[1]!encode_feed(C83,fw_,Rp_,,PVT_str_)</f>
        <v>{"gamma_gas":0.8,"gamma_oil":0.9,"gamma_wat":1,"rsb_m3m3":80,"pb_atma":120,"t_res_C":100,"bob_m3m3":1.2,"muob_cP":1,"PVT_corr_set":0,"q_liq_sm3day":68.375,"fw_perc":10,"rp_m3m3":80}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2">
      <c r="B84" t="str" cm="1">
        <f t="array" ref="B84">[1]!encode_feed(C84,fw_,Rp_,,PVT_str_)</f>
        <v>{"gamma_gas":0.8,"gamma_oil":0.9,"gamma_wat":1,"rsb_m3m3":80,"pb_atma":120,"t_res_C":100,"bob_m3m3":1.2,"muob_cP":1,"PVT_corr_set":0,"q_liq_sm3day":78,"fw_perc":10,"rp_m3m3":80}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2">
      <c r="B85" t="str" cm="1">
        <f t="array" ref="B85">[1]!encode_feed(C85,fw_,Rp_,,PVT_str_)</f>
        <v>{"gamma_gas":0.8,"gamma_oil":0.9,"gamma_wat":1,"rsb_m3m3":80,"pb_atma":120,"t_res_C":100,"bob_m3m3":1.2,"muob_cP":1,"PVT_corr_set":0,"q_liq_sm3day":87.625,"fw_perc":10,"rp_m3m3":80}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2">
      <c r="B86" t="str" cm="1">
        <f t="array" ref="B86">[1]!encode_feed(C86,fw_,Rp_,,PVT_str_)</f>
        <v>{"gamma_gas":0.8,"gamma_oil":0.9,"gamma_wat":1,"rsb_m3m3":80,"pb_atma":120,"t_res_C":100,"bob_m3m3":1.2,"muob_cP":1,"PVT_corr_set":0,"q_liq_sm3day":97.25,"fw_perc":10,"rp_m3m3":80}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2">
      <c r="B87" t="str" cm="1">
        <f t="array" ref="B87">[1]!encode_feed(C87,fw_,Rp_,,PVT_str_)</f>
        <v>{"gamma_gas":0.8,"gamma_oil":0.9,"gamma_wat":1,"rsb_m3m3":80,"pb_atma":120,"t_res_C":100,"bob_m3m3":1.2,"muob_cP":1,"PVT_corr_set":0,"q_liq_sm3day":106.875,"fw_perc":10,"rp_m3m3":80}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2">
      <c r="B88" t="str" cm="1">
        <f t="array" ref="B88">[1]!encode_feed(C88,fw_,Rp_,,PVT_str_)</f>
        <v>{"gamma_gas":0.8,"gamma_oil":0.9,"gamma_wat":1,"rsb_m3m3":80,"pb_atma":120,"t_res_C":100,"bob_m3m3":1.2,"muob_cP":1,"PVT_corr_set":0,"q_liq_sm3day":116.5,"fw_perc":10,"rp_m3m3":80}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156.46425566759805</v>
      </c>
      <c r="E88" s="26">
        <v>80</v>
      </c>
      <c r="F88" s="26">
        <v>80</v>
      </c>
      <c r="G88" s="26">
        <v>156.46425566759805</v>
      </c>
      <c r="H88" s="50">
        <v>85.109140937547949</v>
      </c>
      <c r="AJ88" s="35"/>
    </row>
    <row r="89" spans="2:36" x14ac:dyDescent="0.2">
      <c r="B89" t="str" cm="1">
        <f t="array" ref="B89">[1]!encode_feed(C89,fw_,Rp_,,PVT_str_)</f>
        <v>{"gamma_gas":0.8,"gamma_oil":0.9,"gamma_wat":1,"rsb_m3m3":80,"pb_atma":120,"t_res_C":100,"bob_m3m3":1.2,"muob_cP":1,"PVT_corr_set":0,"q_liq_sm3day":126.125,"fw_perc":10,"rp_m3m3":80}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2">
      <c r="B90" t="str" cm="1">
        <f t="array" ref="B90">[1]!encode_feed(C90,fw_,Rp_,,PVT_str_)</f>
        <v>{"gamma_gas":0.8,"gamma_oil":0.9,"gamma_wat":1,"rsb_m3m3":80,"pb_atma":120,"t_res_C":100,"bob_m3m3":1.2,"muob_cP":1,"PVT_corr_set":0,"q_liq_sm3day":135.75,"fw_perc":10,"rp_m3m3":80}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75.925668009780608</v>
      </c>
      <c r="E90" s="26">
        <v>80</v>
      </c>
      <c r="F90" s="26">
        <v>80</v>
      </c>
      <c r="G90" s="26">
        <v>75.925668009780608</v>
      </c>
      <c r="H90" s="50">
        <v>80</v>
      </c>
      <c r="AJ90" s="35"/>
    </row>
    <row r="91" spans="2:36" x14ac:dyDescent="0.2">
      <c r="B91" t="str" cm="1">
        <f t="array" ref="B91">[1]!encode_feed(C91,fw_,Rp_,,PVT_str_)</f>
        <v>{"gamma_gas":0.8,"gamma_oil":0.9,"gamma_wat":1,"rsb_m3m3":80,"pb_atma":120,"t_res_C":100,"bob_m3m3":1.2,"muob_cP":1,"PVT_corr_set":0,"q_liq_sm3day":145.375,"fw_perc":10,"rp_m3m3":80}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0.9</v>
      </c>
      <c r="E91" s="26">
        <v>80</v>
      </c>
      <c r="F91" s="26">
        <v>80</v>
      </c>
      <c r="G91" s="26">
        <v>0.9</v>
      </c>
      <c r="H91" s="50">
        <v>80</v>
      </c>
      <c r="AJ91" s="35"/>
    </row>
    <row r="92" spans="2:36" x14ac:dyDescent="0.2">
      <c r="B92" t="str" cm="1">
        <f t="array" ref="B92">[1]!encode_feed(C92,fw_,Rp_,,PVT_str_)</f>
        <v>{"gamma_gas":0.8,"gamma_oil":0.9,"gamma_wat":1,"rsb_m3m3":80,"pb_atma":120,"t_res_C":100,"bob_m3m3":1.2,"muob_cP":1,"PVT_corr_set":0,"q_liq_sm3day":155,"fw_perc":10,"rp_m3m3":80}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2">
      <c r="B93" t="str" cm="1">
        <f t="array" ref="B93">[1]!encode_feed(C93,fw_,Rp_,,PVT_str_)</f>
        <v>{"gamma_gas":0.8,"gamma_oil":0.9,"gamma_wat":1,"rsb_m3m3":80,"pb_atma":120,"t_res_C":100,"bob_m3m3":1.2,"muob_cP":1,"PVT_corr_set":0,"q_liq_sm3day":164.625,"fw_perc":10,"rp_m3m3":80}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2">
      <c r="B94" t="str" cm="1">
        <f t="array" ref="B94">[1]!encode_feed(C94,fw_,Rp_,,PVT_str_)</f>
        <v>{"gamma_gas":0.8,"gamma_oil":0.9,"gamma_wat":1,"rsb_m3m3":80,"pb_atma":120,"t_res_C":100,"bob_m3m3":1.2,"muob_cP":1,"PVT_corr_set":0,"q_liq_sm3day":174.25,"fw_perc":10,"rp_m3m3":80}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2">
      <c r="B95" t="str" cm="1">
        <f t="array" ref="B95">[1]!encode_feed(C95,fw_,Rp_,,PVT_str_)</f>
        <v>{"gamma_gas":0.8,"gamma_oil":0.9,"gamma_wat":1,"rsb_m3m3":80,"pb_atma":120,"t_res_C":100,"bob_m3m3":1.2,"muob_cP":1,"PVT_corr_set":0,"q_liq_sm3day":183.875,"fw_perc":10,"rp_m3m3":80}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2">
      <c r="B96" t="str" cm="1">
        <f t="array" ref="B96">[1]!encode_feed(C96,fw_,Rp_,,PVT_str_)</f>
        <v>{"gamma_gas":0.8,"gamma_oil":0.9,"gamma_wat":1,"rsb_m3m3":80,"pb_atma":120,"t_res_C":100,"bob_m3m3":1.2,"muob_cP":1,"PVT_corr_set":0,"q_liq_sm3day":193.5,"fw_perc":10,"rp_m3m3":80}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2">
      <c r="D97" s="24"/>
      <c r="E97" s="24"/>
      <c r="F97" s="24"/>
      <c r="G97" s="25"/>
      <c r="H97" s="26"/>
    </row>
    <row r="102" spans="2:8" x14ac:dyDescent="0.2">
      <c r="C102" s="4"/>
      <c r="D102" s="66" t="s">
        <v>11</v>
      </c>
      <c r="E102" s="67"/>
      <c r="F102" s="67"/>
      <c r="G102" s="67"/>
      <c r="H102" s="68"/>
    </row>
    <row r="103" spans="2:8" x14ac:dyDescent="0.2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2">
      <c r="B104" t="str" cm="1">
        <f t="array" ref="B104">[1]!encode_feed(C104,fw_,Rp_,,PVT_str_)</f>
        <v>{"gamma_gas":0.8,"gamma_oil":0.9,"gamma_wat":1,"rsb_m3m3":80,"pb_atma":120,"t_res_C":100,"bob_m3m3":1.2,"muob_cP":1,"PVT_corr_set":0,"q_liq_sm3day":1,"fw_perc":10,"rp_m3m3":80}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28.906627181664422</v>
      </c>
      <c r="E104" s="26">
        <v>28.906627181664422</v>
      </c>
      <c r="F104" s="26">
        <v>80</v>
      </c>
      <c r="G104" s="25">
        <v>150</v>
      </c>
      <c r="H104" s="26">
        <v>80</v>
      </c>
    </row>
    <row r="105" spans="2:8" x14ac:dyDescent="0.2">
      <c r="B105" t="str" cm="1">
        <f t="array" ref="B105">[1]!encode_feed(C105,fw_,Rp_,,PVT_str_)</f>
        <v>{"gamma_gas":0.8,"gamma_oil":0.9,"gamma_wat":1,"rsb_m3m3":80,"pb_atma":120,"t_res_C":100,"bob_m3m3":1.2,"muob_cP":1,"PVT_corr_set":0,"q_liq_sm3day":10.625,"fw_perc":10,"rp_m3m3":80}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2">
      <c r="B106" t="str" cm="1">
        <f t="array" ref="B106">[1]!encode_feed(C106,fw_,Rp_,,PVT_str_)</f>
        <v>{"gamma_gas":0.8,"gamma_oil":0.9,"gamma_wat":1,"rsb_m3m3":80,"pb_atma":120,"t_res_C":100,"bob_m3m3":1.2,"muob_cP":1,"PVT_corr_set":0,"q_liq_sm3day":20.25,"fw_perc":10,"rp_m3m3":80}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2">
      <c r="B107" t="str" cm="1">
        <f t="array" ref="B107">[1]!encode_feed(C107,fw_,Rp_,,PVT_str_)</f>
        <v>{"gamma_gas":0.8,"gamma_oil":0.9,"gamma_wat":1,"rsb_m3m3":80,"pb_atma":120,"t_res_C":100,"bob_m3m3":1.2,"muob_cP":1,"PVT_corr_set":0,"q_liq_sm3day":29.875,"fw_perc":10,"rp_m3m3":80}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2">
      <c r="B108" t="str" cm="1">
        <f t="array" ref="B108">[1]!encode_feed(C108,fw_,Rp_,,PVT_str_)</f>
        <v>{"gamma_gas":0.8,"gamma_oil":0.9,"gamma_wat":1,"rsb_m3m3":80,"pb_atma":120,"t_res_C":100,"bob_m3m3":1.2,"muob_cP":1,"PVT_corr_set":0,"q_liq_sm3day":39.5,"fw_perc":10,"rp_m3m3":80}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2">
      <c r="B109" t="str" cm="1">
        <f t="array" ref="B109">[1]!encode_feed(C109,fw_,Rp_,,PVT_str_)</f>
        <v>{"gamma_gas":0.8,"gamma_oil":0.9,"gamma_wat":1,"rsb_m3m3":80,"pb_atma":120,"t_res_C":100,"bob_m3m3":1.2,"muob_cP":1,"PVT_corr_set":0,"q_liq_sm3day":49.125,"fw_perc":10,"rp_m3m3":80}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35.479867146179252</v>
      </c>
      <c r="E109" s="26">
        <v>35.479867146179252</v>
      </c>
      <c r="F109" s="26">
        <v>80</v>
      </c>
      <c r="G109" s="25">
        <v>150</v>
      </c>
      <c r="H109" s="26">
        <v>80</v>
      </c>
    </row>
    <row r="110" spans="2:8" x14ac:dyDescent="0.2">
      <c r="B110" t="str" cm="1">
        <f t="array" ref="B110">[1]!encode_feed(C110,fw_,Rp_,,PVT_str_)</f>
        <v>{"gamma_gas":0.8,"gamma_oil":0.9,"gamma_wat":1,"rsb_m3m3":80,"pb_atma":120,"t_res_C":100,"bob_m3m3":1.2,"muob_cP":1,"PVT_corr_set":0,"q_liq_sm3day":58.75,"fw_perc":10,"rp_m3m3":80}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2">
      <c r="B111" t="str" cm="1">
        <f t="array" ref="B111">[1]!encode_feed(C111,fw_,Rp_,,PVT_str_)</f>
        <v>{"gamma_gas":0.8,"gamma_oil":0.9,"gamma_wat":1,"rsb_m3m3":80,"pb_atma":120,"t_res_C":100,"bob_m3m3":1.2,"muob_cP":1,"PVT_corr_set":0,"q_liq_sm3day":68.375,"fw_perc":10,"rp_m3m3":80}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2">
      <c r="B112" t="str" cm="1">
        <f t="array" ref="B112">[1]!encode_feed(C112,fw_,Rp_,,PVT_str_)</f>
        <v>{"gamma_gas":0.8,"gamma_oil":0.9,"gamma_wat":1,"rsb_m3m3":80,"pb_atma":120,"t_res_C":100,"bob_m3m3":1.2,"muob_cP":1,"PVT_corr_set":0,"q_liq_sm3day":78,"fw_perc":10,"rp_m3m3":80}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2">
      <c r="B113" t="str" cm="1">
        <f t="array" ref="B113">[1]!encode_feed(C113,fw_,Rp_,,PVT_str_)</f>
        <v>{"gamma_gas":0.8,"gamma_oil":0.9,"gamma_wat":1,"rsb_m3m3":80,"pb_atma":120,"t_res_C":100,"bob_m3m3":1.2,"muob_cP":1,"PVT_corr_set":0,"q_liq_sm3day":87.625,"fw_perc":10,"rp_m3m3":80}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2">
      <c r="B114" t="str" cm="1">
        <f t="array" ref="B114">[1]!encode_feed(C114,fw_,Rp_,,PVT_str_)</f>
        <v>{"gamma_gas":0.8,"gamma_oil":0.9,"gamma_wat":1,"rsb_m3m3":80,"pb_atma":120,"t_res_C":100,"bob_m3m3":1.2,"muob_cP":1,"PVT_corr_set":0,"q_liq_sm3day":97.25,"fw_perc":10,"rp_m3m3":80}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2">
      <c r="B115" t="str" cm="1">
        <f t="array" ref="B115">[1]!encode_feed(C115,fw_,Rp_,,PVT_str_)</f>
        <v>{"gamma_gas":0.8,"gamma_oil":0.9,"gamma_wat":1,"rsb_m3m3":80,"pb_atma":120,"t_res_C":100,"bob_m3m3":1.2,"muob_cP":1,"PVT_corr_set":0,"q_liq_sm3day":106.875,"fw_perc":10,"rp_m3m3":80}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2">
      <c r="B116" t="str" cm="1">
        <f t="array" ref="B116">[1]!encode_feed(C116,fw_,Rp_,,PVT_str_)</f>
        <v>{"gamma_gas":0.8,"gamma_oil":0.9,"gamma_wat":1,"rsb_m3m3":80,"pb_atma":120,"t_res_C":100,"bob_m3m3":1.2,"muob_cP":1,"PVT_corr_set":0,"q_liq_sm3day":116.5,"fw_perc":10,"rp_m3m3":80}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2">
      <c r="B117" t="str" cm="1">
        <f t="array" ref="B117">[1]!encode_feed(C117,fw_,Rp_,,PVT_str_)</f>
        <v>{"gamma_gas":0.8,"gamma_oil":0.9,"gamma_wat":1,"rsb_m3m3":80,"pb_atma":120,"t_res_C":100,"bob_m3m3":1.2,"muob_cP":1,"PVT_corr_set":0,"q_liq_sm3day":126.125,"fw_perc":10,"rp_m3m3":80}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2">
      <c r="B118" t="str" cm="1">
        <f t="array" ref="B118">[1]!encode_feed(C118,fw_,Rp_,,PVT_str_)</f>
        <v>{"gamma_gas":0.8,"gamma_oil":0.9,"gamma_wat":1,"rsb_m3m3":80,"pb_atma":120,"t_res_C":100,"bob_m3m3":1.2,"muob_cP":1,"PVT_corr_set":0,"q_liq_sm3day":135.75,"fw_perc":10,"rp_m3m3":80}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2">
      <c r="B119" t="str" cm="1">
        <f t="array" ref="B119">[1]!encode_feed(C119,fw_,Rp_,,PVT_str_)</f>
        <v>{"gamma_gas":0.8,"gamma_oil":0.9,"gamma_wat":1,"rsb_m3m3":80,"pb_atma":120,"t_res_C":100,"bob_m3m3":1.2,"muob_cP":1,"PVT_corr_set":0,"q_liq_sm3day":145.375,"fw_perc":10,"rp_m3m3":80}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2">
      <c r="B120" t="str" cm="1">
        <f t="array" ref="B120">[1]!encode_feed(C120,fw_,Rp_,,PVT_str_)</f>
        <v>{"gamma_gas":0.8,"gamma_oil":0.9,"gamma_wat":1,"rsb_m3m3":80,"pb_atma":120,"t_res_C":100,"bob_m3m3":1.2,"muob_cP":1,"PVT_corr_set":0,"q_liq_sm3day":155,"fw_perc":10,"rp_m3m3":80}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2">
      <c r="B121" t="str" cm="1">
        <f t="array" ref="B121">[1]!encode_feed(C121,fw_,Rp_,,PVT_str_)</f>
        <v>{"gamma_gas":0.8,"gamma_oil":0.9,"gamma_wat":1,"rsb_m3m3":80,"pb_atma":120,"t_res_C":100,"bob_m3m3":1.2,"muob_cP":1,"PVT_corr_set":0,"q_liq_sm3day":164.625,"fw_perc":10,"rp_m3m3":80}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2">
      <c r="B122" t="str" cm="1">
        <f t="array" ref="B122">[1]!encode_feed(C122,fw_,Rp_,,PVT_str_)</f>
        <v>{"gamma_gas":0.8,"gamma_oil":0.9,"gamma_wat":1,"rsb_m3m3":80,"pb_atma":120,"t_res_C":100,"bob_m3m3":1.2,"muob_cP":1,"PVT_corr_set":0,"q_liq_sm3day":174.25,"fw_perc":10,"rp_m3m3":80}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166.70422286616878</v>
      </c>
      <c r="E122" s="26">
        <v>166.70422286616878</v>
      </c>
      <c r="F122" s="26">
        <v>80</v>
      </c>
      <c r="G122" s="25">
        <v>150</v>
      </c>
      <c r="H122" s="26">
        <v>80</v>
      </c>
    </row>
    <row r="123" spans="2:8" x14ac:dyDescent="0.2">
      <c r="B123" t="str" cm="1">
        <f t="array" ref="B123">[1]!encode_feed(C123,fw_,Rp_,,PVT_str_)</f>
        <v>{"gamma_gas":0.8,"gamma_oil":0.9,"gamma_wat":1,"rsb_m3m3":80,"pb_atma":120,"t_res_C":100,"bob_m3m3":1.2,"muob_cP":1,"PVT_corr_set":0,"q_liq_sm3day":183.875,"fw_perc":10,"rp_m3m3":80}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186.49065743999145</v>
      </c>
      <c r="E123" s="26">
        <v>186.49065743999145</v>
      </c>
      <c r="F123" s="26">
        <v>80</v>
      </c>
      <c r="G123" s="25">
        <v>150</v>
      </c>
      <c r="H123" s="26">
        <v>80</v>
      </c>
    </row>
    <row r="124" spans="2:8" x14ac:dyDescent="0.2">
      <c r="B124" t="str" cm="1">
        <f t="array" ref="B124">[1]!encode_feed(C124,fw_,Rp_,,PVT_str_)</f>
        <v>{"gamma_gas":0.8,"gamma_oil":0.9,"gamma_wat":1,"rsb_m3m3":80,"pb_atma":120,"t_res_C":100,"bob_m3m3":1.2,"muob_cP":1,"PVT_corr_set":0,"q_liq_sm3day":193.5,"fw_perc":10,"rp_m3m3":80}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206.32899465634719</v>
      </c>
      <c r="E124" s="26">
        <v>206.32899465634719</v>
      </c>
      <c r="F124" s="26">
        <v>80</v>
      </c>
      <c r="G124" s="25">
        <v>150</v>
      </c>
      <c r="H124" s="26">
        <v>80</v>
      </c>
    </row>
    <row r="125" spans="2:8" x14ac:dyDescent="0.2">
      <c r="D125" s="26"/>
      <c r="E125" s="26"/>
      <c r="F125" s="26"/>
      <c r="G125" s="25"/>
      <c r="H125" s="26"/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74</vt:i4>
      </vt:variant>
    </vt:vector>
  </HeadingPairs>
  <TitlesOfParts>
    <vt:vector size="76" baseType="lpstr">
      <vt:lpstr>Exercise_ESP</vt:lpstr>
      <vt:lpstr>Exercise_ESP (2)</vt:lpstr>
      <vt:lpstr>Exercise_ESP!Bob_</vt:lpstr>
      <vt:lpstr>'Exercise_ESP (2)'!Bob_</vt:lpstr>
      <vt:lpstr>'Exercise_ESP (2)'!calc_along_flow</vt:lpstr>
      <vt:lpstr>calc_along_flow</vt:lpstr>
      <vt:lpstr>'Exercise_ESP (2)'!dN</vt:lpstr>
      <vt:lpstr>dN</vt:lpstr>
      <vt:lpstr>'Exercise_ESP (2)'!ESPstr</vt:lpstr>
      <vt:lpstr>ESPstr</vt:lpstr>
      <vt:lpstr>Exercise_ESP!Freq_</vt:lpstr>
      <vt:lpstr>'Exercise_ESP (2)'!Freq_</vt:lpstr>
      <vt:lpstr>Exercise_ESP!fw_</vt:lpstr>
      <vt:lpstr>'Exercise_ESP (2)'!fw_</vt:lpstr>
      <vt:lpstr>Exercise_ESP!gamma_gas_</vt:lpstr>
      <vt:lpstr>'Exercise_ESP (2)'!gamma_gas_</vt:lpstr>
      <vt:lpstr>Exercise_ESP!gamma_oil_</vt:lpstr>
      <vt:lpstr>'Exercise_ESP (2)'!gamma_oil_</vt:lpstr>
      <vt:lpstr>Exercise_ESP!gamma_wat_</vt:lpstr>
      <vt:lpstr>'Exercise_ESP (2)'!gamma_wat_</vt:lpstr>
      <vt:lpstr>'Exercise_ESP (2)'!gas_degr_type_</vt:lpstr>
      <vt:lpstr>gas_degr_type_</vt:lpstr>
      <vt:lpstr>Exercise_ESP!Head_ESP_</vt:lpstr>
      <vt:lpstr>'Exercise_ESP (2)'!Head_ESP_</vt:lpstr>
      <vt:lpstr>'Exercise_ESP (2)'!input_Course</vt:lpstr>
      <vt:lpstr>input_Course</vt:lpstr>
      <vt:lpstr>'Exercise_ESP (2)'!input_Date</vt:lpstr>
      <vt:lpstr>input_Date</vt:lpstr>
      <vt:lpstr>'Exercise_ESP (2)'!input_Group</vt:lpstr>
      <vt:lpstr>input_Group</vt:lpstr>
      <vt:lpstr>'Exercise_ESP (2)'!input_Notes</vt:lpstr>
      <vt:lpstr>input_Notes</vt:lpstr>
      <vt:lpstr>'Exercise_ESP (2)'!input_Student_Name</vt:lpstr>
      <vt:lpstr>input_Student_Name</vt:lpstr>
      <vt:lpstr>'Exercise_ESP (2)'!input_Version</vt:lpstr>
      <vt:lpstr>input_Version</vt:lpstr>
      <vt:lpstr>Exercise_ESP!KsepGasSep_</vt:lpstr>
      <vt:lpstr>'Exercise_ESP (2)'!KsepGasSep_</vt:lpstr>
      <vt:lpstr>'Exercise_ESP (2)'!mu</vt:lpstr>
      <vt:lpstr>mu</vt:lpstr>
      <vt:lpstr>Exercise_ESP!muob_</vt:lpstr>
      <vt:lpstr>'Exercise_ESP (2)'!muob_</vt:lpstr>
      <vt:lpstr>Exercise_ESP!N_</vt:lpstr>
      <vt:lpstr>'Exercise_ESP (2)'!N_</vt:lpstr>
      <vt:lpstr>Exercise_ESP!NumStage_</vt:lpstr>
      <vt:lpstr>'Exercise_ESP (2)'!NumStage_</vt:lpstr>
      <vt:lpstr>Exercise_ESP!Pb_</vt:lpstr>
      <vt:lpstr>'Exercise_ESP (2)'!Pb_</vt:lpstr>
      <vt:lpstr>Exercise_ESP!Pdis_</vt:lpstr>
      <vt:lpstr>'Exercise_ESP (2)'!Pdis_</vt:lpstr>
      <vt:lpstr>Exercise_ESP!Pintake_</vt:lpstr>
      <vt:lpstr>'Exercise_ESP (2)'!Pintake_</vt:lpstr>
      <vt:lpstr>'Exercise_ESP (2)'!PKsep</vt:lpstr>
      <vt:lpstr>PKsep</vt:lpstr>
      <vt:lpstr>Exercise_ESP!PumpID_</vt:lpstr>
      <vt:lpstr>'Exercise_ESP (2)'!PumpID_</vt:lpstr>
      <vt:lpstr>'Exercise_ESP (2)'!PVT_str_</vt:lpstr>
      <vt:lpstr>PVT_str_</vt:lpstr>
      <vt:lpstr>Exercise_ESP!Q_</vt:lpstr>
      <vt:lpstr>'Exercise_ESP (2)'!Q_</vt:lpstr>
      <vt:lpstr>Exercise_ESP!Q_ESP_</vt:lpstr>
      <vt:lpstr>'Exercise_ESP (2)'!Q_ESP_</vt:lpstr>
      <vt:lpstr>Exercise_ESP!Qmax_</vt:lpstr>
      <vt:lpstr>'Exercise_ESP (2)'!Qmax_</vt:lpstr>
      <vt:lpstr>Exercise_ESP!Rp_</vt:lpstr>
      <vt:lpstr>'Exercise_ESP (2)'!Rp_</vt:lpstr>
      <vt:lpstr>Exercise_ESP!Rsb_</vt:lpstr>
      <vt:lpstr>'Exercise_ESP (2)'!Rsb_</vt:lpstr>
      <vt:lpstr>'Exercise_ESP (2)'!Tdis_</vt:lpstr>
      <vt:lpstr>Tdis_</vt:lpstr>
      <vt:lpstr>Exercise_ESP!Tintake_</vt:lpstr>
      <vt:lpstr>'Exercise_ESP (2)'!Tintake_</vt:lpstr>
      <vt:lpstr>'Exercise_ESP (2)'!TKsep_</vt:lpstr>
      <vt:lpstr>TKsep_</vt:lpstr>
      <vt:lpstr>Exercise_ESP!Tres_</vt:lpstr>
      <vt:lpstr>'Exercise_ESP (2)'!Tres_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2023-02-20T15:57:24Z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