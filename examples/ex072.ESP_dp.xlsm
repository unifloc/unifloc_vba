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A33C1AFD-C9D3-4FC8-B2A3-1FE46B7DEC9F}" xr6:coauthVersionLast="46" xr6:coauthVersionMax="46" xr10:uidLastSave="{00000000-0000-0000-0000-000000000000}"/>
  <bookViews>
    <workbookView xWindow="-108" yWindow="-108" windowWidth="30936" windowHeight="1689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Exercise_ESP!$C$44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75" i="110" l="1" a="1"/>
  <c r="D107" i="110" a="1"/>
  <c r="D119" i="110" a="1"/>
  <c r="D110" i="110" a="1"/>
  <c r="D116" i="110" a="1"/>
  <c r="D122" i="110" a="1"/>
  <c r="D108" i="110" a="1"/>
  <c r="D112" i="110" a="1"/>
  <c r="D118" i="110" a="1"/>
  <c r="D124" i="110" a="1"/>
  <c r="D125" i="110" a="1"/>
  <c r="D106" i="110" a="1"/>
  <c r="D114" i="110" a="1"/>
  <c r="D120" i="110" a="1"/>
  <c r="D113" i="110" a="1"/>
  <c r="D123" i="110" a="1"/>
  <c r="D105" i="110" a="1"/>
  <c r="D109" i="110" a="1"/>
  <c r="D111" i="110" a="1"/>
  <c r="D115" i="110" a="1"/>
  <c r="D117" i="110" a="1"/>
  <c r="D121" i="110" a="1"/>
  <c r="D104" i="110" a="1"/>
  <c r="B106" i="110" a="1"/>
  <c r="B112" i="110" a="1"/>
  <c r="B118" i="110" a="1"/>
  <c r="B124" i="110" a="1"/>
  <c r="B113" i="110" a="1"/>
  <c r="B119" i="110" a="1"/>
  <c r="B125" i="110" a="1"/>
  <c r="B108" i="110" a="1"/>
  <c r="B114" i="110" a="1"/>
  <c r="B115" i="110" a="1"/>
  <c r="B121" i="110" a="1"/>
  <c r="B116" i="110" a="1"/>
  <c r="B107" i="110" a="1"/>
  <c r="B109" i="110" a="1"/>
  <c r="B122" i="110" a="1"/>
  <c r="B111" i="110" a="1"/>
  <c r="B123" i="110" a="1"/>
  <c r="B120" i="110" a="1"/>
  <c r="B110" i="110" a="1"/>
  <c r="B105" i="110" a="1"/>
  <c r="B117" i="110" a="1"/>
  <c r="B104" i="110" a="1"/>
  <c r="D79" i="110" a="1"/>
  <c r="D93" i="110" a="1"/>
  <c r="D78" i="110" a="1"/>
  <c r="D80" i="110" a="1"/>
  <c r="D84" i="110" a="1"/>
  <c r="D86" i="110" a="1"/>
  <c r="D88" i="110" a="1"/>
  <c r="D90" i="110" a="1"/>
  <c r="D92" i="110" a="1"/>
  <c r="D94" i="110" a="1"/>
  <c r="D96" i="110" a="1"/>
  <c r="D82" i="110" a="1"/>
  <c r="D85" i="110" a="1"/>
  <c r="D77" i="110" a="1"/>
  <c r="D81" i="110" a="1"/>
  <c r="D83" i="110" a="1"/>
  <c r="D87" i="110" a="1"/>
  <c r="D89" i="110" a="1"/>
  <c r="D91" i="110" a="1"/>
  <c r="D95" i="110" a="1"/>
  <c r="D76" i="110" a="1"/>
  <c r="B77" i="110" a="1"/>
  <c r="B84" i="110" a="1"/>
  <c r="B96" i="110" a="1"/>
  <c r="B79" i="110" a="1"/>
  <c r="B85" i="110" a="1"/>
  <c r="B91" i="110" a="1"/>
  <c r="B81" i="110" a="1"/>
  <c r="B80" i="110" a="1"/>
  <c r="B86" i="110" a="1"/>
  <c r="B92" i="110" a="1"/>
  <c r="B87" i="110" a="1"/>
  <c r="B82" i="110" a="1"/>
  <c r="B88" i="110" a="1"/>
  <c r="B94" i="110" a="1"/>
  <c r="B83" i="110" a="1"/>
  <c r="B89" i="110" a="1"/>
  <c r="B95" i="110" a="1"/>
  <c r="B78" i="110" a="1"/>
  <c r="B90" i="110" a="1"/>
  <c r="B93" i="110" a="1"/>
  <c r="B76" i="110" a="1"/>
  <c r="J30" i="110" a="1"/>
  <c r="E121" i="110" l="1"/>
  <c r="G121" i="110"/>
  <c r="H121" i="110"/>
  <c r="F121" i="110"/>
  <c r="D121" i="110"/>
  <c r="G117" i="110"/>
  <c r="D117" i="110"/>
  <c r="F117" i="110"/>
  <c r="H117" i="110"/>
  <c r="E117" i="110"/>
  <c r="D115" i="110"/>
  <c r="G115" i="110"/>
  <c r="E115" i="110"/>
  <c r="H115" i="110"/>
  <c r="F115" i="110"/>
  <c r="E111" i="110"/>
  <c r="G111" i="110"/>
  <c r="D111" i="110"/>
  <c r="F111" i="110"/>
  <c r="H111" i="110"/>
  <c r="F109" i="110"/>
  <c r="G109" i="110"/>
  <c r="D109" i="110"/>
  <c r="H109" i="110"/>
  <c r="E109" i="110"/>
  <c r="G105" i="110"/>
  <c r="D105" i="110"/>
  <c r="E105" i="110"/>
  <c r="H105" i="110"/>
  <c r="F105" i="110"/>
  <c r="F123" i="110"/>
  <c r="G123" i="110"/>
  <c r="D123" i="110"/>
  <c r="H123" i="110"/>
  <c r="E123" i="110"/>
  <c r="D113" i="110"/>
  <c r="G113" i="110"/>
  <c r="H113" i="110"/>
  <c r="E113" i="110"/>
  <c r="F113" i="110"/>
  <c r="D120" i="110"/>
  <c r="E120" i="110"/>
  <c r="F120" i="110"/>
  <c r="G120" i="110"/>
  <c r="H120" i="110"/>
  <c r="D114" i="110"/>
  <c r="E114" i="110"/>
  <c r="F114" i="110"/>
  <c r="G114" i="110"/>
  <c r="H114" i="110"/>
  <c r="E106" i="110"/>
  <c r="D106" i="110"/>
  <c r="F106" i="110"/>
  <c r="G106" i="110"/>
  <c r="H106" i="110"/>
  <c r="D125" i="110"/>
  <c r="G125" i="110"/>
  <c r="E125" i="110"/>
  <c r="F125" i="110"/>
  <c r="H125" i="110"/>
  <c r="D124" i="110"/>
  <c r="E124" i="110"/>
  <c r="F124" i="110"/>
  <c r="G124" i="110"/>
  <c r="H124" i="110"/>
  <c r="D118" i="110"/>
  <c r="E118" i="110"/>
  <c r="F118" i="110"/>
  <c r="G118" i="110"/>
  <c r="H118" i="110"/>
  <c r="D112" i="110"/>
  <c r="E112" i="110"/>
  <c r="F112" i="110"/>
  <c r="G112" i="110"/>
  <c r="H112" i="110"/>
  <c r="D108" i="110"/>
  <c r="E108" i="110"/>
  <c r="F108" i="110"/>
  <c r="G108" i="110"/>
  <c r="H108" i="110"/>
  <c r="D122" i="110"/>
  <c r="E122" i="110"/>
  <c r="F122" i="110"/>
  <c r="G122" i="110"/>
  <c r="H122" i="110"/>
  <c r="D116" i="110"/>
  <c r="E116" i="110"/>
  <c r="F116" i="110"/>
  <c r="G116" i="110"/>
  <c r="H116" i="110"/>
  <c r="E110" i="110"/>
  <c r="D110" i="110"/>
  <c r="F110" i="110"/>
  <c r="G110" i="110"/>
  <c r="H110" i="110"/>
  <c r="G119" i="110"/>
  <c r="H119" i="110"/>
  <c r="D119" i="110"/>
  <c r="E119" i="110"/>
  <c r="F119" i="110"/>
  <c r="G107" i="110"/>
  <c r="D107" i="110"/>
  <c r="H107" i="110"/>
  <c r="E107" i="110"/>
  <c r="F107" i="110"/>
  <c r="D104" i="110"/>
  <c r="E104" i="110"/>
  <c r="F104" i="110"/>
  <c r="G104" i="110"/>
  <c r="H104" i="110"/>
  <c r="B117" i="110"/>
  <c r="B105" i="110"/>
  <c r="B110" i="110"/>
  <c r="B120" i="110"/>
  <c r="B123" i="110"/>
  <c r="B111" i="110"/>
  <c r="B122" i="110"/>
  <c r="B109" i="110"/>
  <c r="B107" i="110"/>
  <c r="B116" i="110"/>
  <c r="B121" i="110"/>
  <c r="B115" i="110"/>
  <c r="B114" i="110"/>
  <c r="B108" i="110"/>
  <c r="B125" i="110"/>
  <c r="B119" i="110"/>
  <c r="B113" i="110"/>
  <c r="B124" i="110"/>
  <c r="B118" i="110"/>
  <c r="B112" i="110"/>
  <c r="B106" i="110"/>
  <c r="B104" i="110"/>
  <c r="D95" i="110"/>
  <c r="E95" i="110"/>
  <c r="G95" i="110"/>
  <c r="H95" i="110"/>
  <c r="F95" i="110"/>
  <c r="G91" i="110"/>
  <c r="H91" i="110"/>
  <c r="E91" i="110"/>
  <c r="F91" i="110"/>
  <c r="D91" i="110"/>
  <c r="E89" i="110"/>
  <c r="F89" i="110"/>
  <c r="G89" i="110"/>
  <c r="H89" i="110"/>
  <c r="D89" i="110"/>
  <c r="G87" i="110"/>
  <c r="H87" i="110"/>
  <c r="E87" i="110"/>
  <c r="F87" i="110"/>
  <c r="D87" i="110"/>
  <c r="E83" i="110"/>
  <c r="G83" i="110"/>
  <c r="H83" i="110"/>
  <c r="D83" i="110"/>
  <c r="F83" i="110"/>
  <c r="F81" i="110"/>
  <c r="G81" i="110"/>
  <c r="H81" i="110"/>
  <c r="E81" i="110"/>
  <c r="D81" i="110"/>
  <c r="G77" i="110"/>
  <c r="H77" i="110"/>
  <c r="D77" i="110"/>
  <c r="E77" i="110"/>
  <c r="F77" i="110"/>
  <c r="G85" i="110"/>
  <c r="H85" i="110"/>
  <c r="D85" i="110"/>
  <c r="E85" i="110"/>
  <c r="F85" i="110"/>
  <c r="D82" i="110"/>
  <c r="E82" i="110"/>
  <c r="F82" i="110"/>
  <c r="G82" i="110"/>
  <c r="H82" i="110"/>
  <c r="D96" i="110"/>
  <c r="E96" i="110"/>
  <c r="F96" i="110"/>
  <c r="G96" i="110"/>
  <c r="H96" i="110"/>
  <c r="D94" i="110"/>
  <c r="E94" i="110"/>
  <c r="F94" i="110"/>
  <c r="G94" i="110"/>
  <c r="H94" i="110"/>
  <c r="D92" i="110"/>
  <c r="E92" i="110"/>
  <c r="F92" i="110"/>
  <c r="G92" i="110"/>
  <c r="H92" i="110"/>
  <c r="D90" i="110"/>
  <c r="E90" i="110"/>
  <c r="F90" i="110"/>
  <c r="G90" i="110"/>
  <c r="H90" i="110"/>
  <c r="D88" i="110"/>
  <c r="E88" i="110"/>
  <c r="F88" i="110"/>
  <c r="G88" i="110"/>
  <c r="H88" i="110"/>
  <c r="D86" i="110"/>
  <c r="E86" i="110"/>
  <c r="F86" i="110"/>
  <c r="G86" i="110"/>
  <c r="H86" i="110"/>
  <c r="D84" i="110"/>
  <c r="E84" i="110"/>
  <c r="F84" i="110"/>
  <c r="G84" i="110"/>
  <c r="H84" i="110"/>
  <c r="D80" i="110"/>
  <c r="E80" i="110"/>
  <c r="F80" i="110"/>
  <c r="G80" i="110"/>
  <c r="H80" i="110"/>
  <c r="D78" i="110"/>
  <c r="E78" i="110"/>
  <c r="F78" i="110"/>
  <c r="G78" i="110"/>
  <c r="H78" i="110"/>
  <c r="G93" i="110"/>
  <c r="H93" i="110"/>
  <c r="D93" i="110"/>
  <c r="E93" i="110"/>
  <c r="F93" i="110"/>
  <c r="G79" i="110"/>
  <c r="H79" i="110"/>
  <c r="D79" i="110"/>
  <c r="E79" i="110"/>
  <c r="F79" i="110"/>
  <c r="E76" i="110"/>
  <c r="F76" i="110"/>
  <c r="G76" i="110"/>
  <c r="H76" i="110"/>
  <c r="D76" i="110"/>
  <c r="B93" i="110"/>
  <c r="B90" i="110"/>
  <c r="B78" i="110"/>
  <c r="B95" i="110"/>
  <c r="B89" i="110"/>
  <c r="B83" i="110"/>
  <c r="B94" i="110"/>
  <c r="B88" i="110"/>
  <c r="B82" i="110"/>
  <c r="B87" i="110"/>
  <c r="B92" i="110"/>
  <c r="B86" i="110"/>
  <c r="B80" i="110"/>
  <c r="B81" i="110"/>
  <c r="B91" i="110"/>
  <c r="B85" i="110"/>
  <c r="B79" i="110"/>
  <c r="B96" i="110"/>
  <c r="B84" i="110"/>
  <c r="B77" i="110"/>
  <c r="B76" i="110"/>
  <c r="J30" i="110"/>
  <c r="AI75" i="110"/>
  <c r="J31" i="110" a="1"/>
  <c r="J31" i="110" l="1"/>
  <c r="C104" i="110"/>
  <c r="G1" i="110"/>
  <c r="C27" i="110" a="1"/>
  <c r="C27" i="110" l="1"/>
  <c r="E17" i="110"/>
  <c r="E16" i="110"/>
  <c r="E15" i="110"/>
  <c r="E14" i="110"/>
  <c r="E13" i="110"/>
  <c r="E12" i="110"/>
  <c r="E11" i="110"/>
  <c r="C30" i="110" a="1"/>
  <c r="C28" i="110" a="1"/>
  <c r="C29" i="110" a="1"/>
  <c r="C30" i="110" l="1"/>
  <c r="C29" i="110"/>
  <c r="C77" i="110" s="1"/>
  <c r="C78" i="110" s="1"/>
  <c r="C79" i="110" s="1"/>
  <c r="C28" i="110"/>
  <c r="F43" i="110" a="1"/>
  <c r="L42" i="110" l="1"/>
  <c r="M42" i="110"/>
  <c r="N42" i="110"/>
  <c r="O42" i="110"/>
  <c r="P42" i="110"/>
  <c r="F43" i="110"/>
  <c r="G68" i="110"/>
  <c r="G71" i="110"/>
  <c r="G70" i="110"/>
  <c r="G69" i="110"/>
  <c r="C105" i="110"/>
  <c r="C80" i="110"/>
  <c r="C106" i="110"/>
  <c r="C81" i="110" l="1"/>
  <c r="C107" i="110"/>
  <c r="AI100" i="110" a="1"/>
  <c r="AJ105" i="110" s="1" a="1"/>
  <c r="AJ105" i="110" l="1"/>
  <c r="AI100" i="110"/>
  <c r="C82" i="110"/>
  <c r="C109" i="110"/>
  <c r="C108" i="110"/>
  <c r="AI105" i="110" a="1"/>
  <c r="AI105" i="110" l="1"/>
  <c r="C83" i="110"/>
  <c r="C110" i="110"/>
  <c r="C84" i="110" l="1"/>
  <c r="C111" i="110"/>
  <c r="C85" i="110" l="1"/>
  <c r="C112" i="110"/>
  <c r="C86" i="110" l="1"/>
  <c r="C113" i="110"/>
  <c r="C87" i="110" l="1"/>
  <c r="C114" i="110"/>
  <c r="C88" i="110" l="1"/>
  <c r="C115" i="110"/>
  <c r="C89" i="110" l="1"/>
  <c r="C116" i="110"/>
  <c r="C90" i="110" l="1"/>
  <c r="C117" i="110"/>
  <c r="C91" i="110" l="1"/>
  <c r="C118" i="110"/>
  <c r="C92" i="110" l="1"/>
  <c r="C119" i="110"/>
  <c r="C93" i="110" l="1"/>
  <c r="C120" i="110"/>
  <c r="C94" i="110" l="1"/>
  <c r="C121" i="110"/>
  <c r="C95" i="110" l="1"/>
  <c r="C122" i="110"/>
  <c r="C96" i="110" l="1"/>
  <c r="C123" i="110"/>
  <c r="C124" i="1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<sst xmlns="http://schemas.openxmlformats.org/spreadsheetml/2006/main" count="97" uniqueCount="77">
  <si>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</si>
  <si>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</si>
  <si>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</si>
  <si>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</si>
  <si>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</si>
  <si>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</si>
  <si>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</si>
  <si>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</si>
  <si>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</si>
  <si>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</si>
  <si>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</si>
  <si>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</si>
  <si>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</si>
  <si>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</si>
  <si>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</si>
  <si>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</si>
  <si>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</si>
  <si>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</si>
  <si>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</si>
  <si>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</si>
  <si>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</si>
  <si>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</si>
  <si>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</si>
  <si>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</si>
  <si>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</si>
  <si>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</si>
  <si>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</si>
  <si>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</si>
  <si>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</si>
  <si>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</si>
  <si>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</si>
  <si>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</si>
  <si>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</si>
  <si>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</si>
  <si>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</si>
  <si>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</si>
  <si>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</si>
  <si>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</si>
  <si>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</si>
  <si>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</si>
  <si>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</si>
  <si>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</si>
  <si>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</si>
  <si>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</si>
  <si>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</si>
  <si>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</si>
  <si>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</si>
  <si>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</si>
  <si>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</si>
  <si>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</si>
  <si>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</si>
  <si>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</si>
  <si>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</si>
  <si>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</si>
  <si>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</si>
  <si>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</si>
  <si>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</si>
  <si>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</si>
  <si>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</si>
  <si>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</si>
  <si>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</si>
  <si>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</si>
  <si>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</si>
  <si>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</si>
  <si>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</si>
  <si>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</si>
  <si>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</si>
  <si>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</si>
  <si>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</si>
  <si>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</si>
  <si>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</si>
  <si>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</si>
  <si>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Расшифровка результатов расчета</t>
  </si>
  <si>
    <t>Продолжение расшифровки результатов расчета</t>
  </si>
  <si>
    <t>Напор</t>
  </si>
  <si>
    <t>Момент</t>
  </si>
  <si>
    <t>Доля газа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</si>
</sst>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7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7" borderId="12" xfId="0" applyNumberForma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7" xfId="0" applyNumberFormat="1" applyFill="1" applyBorder="1" applyAlignment="1"/>
    <xf numFmtId="2" fontId="0" fillId="7" borderId="9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/>
    </xf>
    <xf numFmtId="1" fontId="0" fillId="7" borderId="15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2" fontId="0" fillId="7" borderId="16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4" fontId="0" fillId="7" borderId="0" xfId="0" applyNumberFormat="1" applyFill="1" applyBorder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233.59083563228151</c:v>
                </c:pt>
                <c:pt idx="1">
                  <c:v>235.68814120591387</c:v>
                </c:pt>
                <c:pt idx="2">
                  <c:v>236.39467900775728</c:v>
                </c:pt>
                <c:pt idx="3">
                  <c:v>235.74352039165322</c:v>
                </c:pt>
                <c:pt idx="4">
                  <c:v>233.52537589810572</c:v>
                </c:pt>
                <c:pt idx="5">
                  <c:v>228.71715280269541</c:v>
                </c:pt>
                <c:pt idx="6">
                  <c:v>219.92788508595368</c:v>
                </c:pt>
                <c:pt idx="7">
                  <c:v>204.85412202761503</c:v>
                </c:pt>
                <c:pt idx="8">
                  <c:v>180.52067045118807</c:v>
                </c:pt>
                <c:pt idx="9">
                  <c:v>134.9941443730562</c:v>
                </c:pt>
                <c:pt idx="10">
                  <c:v>11.105326164595871</c:v>
                </c:pt>
                <c:pt idx="11">
                  <c:v>5.835522957573847</c:v>
                </c:pt>
                <c:pt idx="12">
                  <c:v>4.8225228460956417</c:v>
                </c:pt>
                <c:pt idx="13">
                  <c:v>4.4335889801287021</c:v>
                </c:pt>
                <c:pt idx="14">
                  <c:v>4.2627335157036406</c:v>
                </c:pt>
                <c:pt idx="15">
                  <c:v>4.1880258216566872</c:v>
                </c:pt>
                <c:pt idx="16">
                  <c:v>4.1670116904780352</c:v>
                </c:pt>
                <c:pt idx="17">
                  <c:v>4.1628303885687945</c:v>
                </c:pt>
                <c:pt idx="18">
                  <c:v>4.1647433673407672</c:v>
                </c:pt>
                <c:pt idx="19">
                  <c:v>4.1710515666892976</c:v>
                </c:pt>
                <c:pt idx="20">
                  <c:v>4.1715435979616142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Напор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2455.2872576845593</c:v>
                </c:pt>
                <c:pt idx="1">
                  <c:v>2480.5410417602775</c:v>
                </c:pt>
                <c:pt idx="2">
                  <c:v>2489.1419307335709</c:v>
                </c:pt>
                <c:pt idx="3">
                  <c:v>2481.1622446419178</c:v>
                </c:pt>
                <c:pt idx="4">
                  <c:v>2454.6400182916518</c:v>
                </c:pt>
                <c:pt idx="5">
                  <c:v>2396.3630226048649</c:v>
                </c:pt>
                <c:pt idx="6">
                  <c:v>2290.0530942925157</c:v>
                </c:pt>
                <c:pt idx="7">
                  <c:v>2107.9056299779108</c:v>
                </c:pt>
                <c:pt idx="8">
                  <c:v>1813.584126412291</c:v>
                </c:pt>
                <c:pt idx="9">
                  <c:v>1262.0521460606219</c:v>
                </c:pt>
                <c:pt idx="10">
                  <c:v>-1519.1351480896881</c:v>
                </c:pt>
                <c:pt idx="11">
                  <c:v>-2135.1138115213394</c:v>
                </c:pt>
                <c:pt idx="12">
                  <c:v>-2315.5436014823399</c:v>
                </c:pt>
                <c:pt idx="13">
                  <c:v>-2394.7645280454817</c:v>
                </c:pt>
                <c:pt idx="14">
                  <c:v>-2431.5977173072229</c:v>
                </c:pt>
                <c:pt idx="15">
                  <c:v>-2448.0669046659691</c:v>
                </c:pt>
                <c:pt idx="16">
                  <c:v>-2452.7237141149444</c:v>
                </c:pt>
                <c:pt idx="17">
                  <c:v>-2453.6362275434399</c:v>
                </c:pt>
                <c:pt idx="18">
                  <c:v>-2453.2171191212633</c:v>
                </c:pt>
                <c:pt idx="19">
                  <c:v>-2451.8125918681076</c:v>
                </c:pt>
                <c:pt idx="20">
                  <c:v>-2451.7019999999998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79.713960428258133</c:v>
                </c:pt>
                <c:pt idx="1">
                  <c:v>82.121009085893391</c:v>
                </c:pt>
                <c:pt idx="2">
                  <c:v>84.044995774135771</c:v>
                </c:pt>
                <c:pt idx="3">
                  <c:v>85.45931398142335</c:v>
                </c:pt>
                <c:pt idx="4">
                  <c:v>86.307034731211289</c:v>
                </c:pt>
                <c:pt idx="5">
                  <c:v>86.841859425684973</c:v>
                </c:pt>
                <c:pt idx="6">
                  <c:v>87.394271877577211</c:v>
                </c:pt>
                <c:pt idx="7">
                  <c:v>87.962976922651265</c:v>
                </c:pt>
                <c:pt idx="8">
                  <c:v>88.3958111148619</c:v>
                </c:pt>
                <c:pt idx="9">
                  <c:v>86.681196042130821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Доля газа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0.471745292299663</c:v>
                </c:pt>
                <c:pt idx="1">
                  <c:v>0.47174529229966294</c:v>
                </c:pt>
                <c:pt idx="2">
                  <c:v>0.47174529229966294</c:v>
                </c:pt>
                <c:pt idx="3">
                  <c:v>0.47174529229966294</c:v>
                </c:pt>
                <c:pt idx="4">
                  <c:v>0.47174529229966294</c:v>
                </c:pt>
                <c:pt idx="5">
                  <c:v>0.471745292299663</c:v>
                </c:pt>
                <c:pt idx="6">
                  <c:v>0.47174529229966294</c:v>
                </c:pt>
                <c:pt idx="7">
                  <c:v>0.47174529229966289</c:v>
                </c:pt>
                <c:pt idx="8">
                  <c:v>0.47174529229966294</c:v>
                </c:pt>
                <c:pt idx="9">
                  <c:v>0.471745292299663</c:v>
                </c:pt>
                <c:pt idx="10">
                  <c:v>0.47174529229966294</c:v>
                </c:pt>
                <c:pt idx="11">
                  <c:v>0.471745292299663</c:v>
                </c:pt>
                <c:pt idx="12">
                  <c:v>0.47174529229966294</c:v>
                </c:pt>
                <c:pt idx="13">
                  <c:v>0.47174529229966294</c:v>
                </c:pt>
                <c:pt idx="14">
                  <c:v>0.471745292299663</c:v>
                </c:pt>
                <c:pt idx="15">
                  <c:v>0.471745292299663</c:v>
                </c:pt>
                <c:pt idx="16">
                  <c:v>0.47174529229966294</c:v>
                </c:pt>
                <c:pt idx="17">
                  <c:v>0.47174529229966294</c:v>
                </c:pt>
                <c:pt idx="18">
                  <c:v>0.471745292299663</c:v>
                </c:pt>
                <c:pt idx="19">
                  <c:v>0.47174529229966289</c:v>
                </c:pt>
                <c:pt idx="20">
                  <c:v>0.47174529229966289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2457.545142187354</c:v>
                </c:pt>
                <c:pt idx="1">
                  <c:v>2482.5531485691035</c:v>
                </c:pt>
                <c:pt idx="2">
                  <c:v>2440.8389614816529</c:v>
                </c:pt>
                <c:pt idx="3">
                  <c:v>2316.7310106744981</c:v>
                </c:pt>
                <c:pt idx="4">
                  <c:v>2159.7897941912679</c:v>
                </c:pt>
                <c:pt idx="5">
                  <c:v>1998.4867538500296</c:v>
                </c:pt>
                <c:pt idx="6">
                  <c:v>1842.1180689125638</c:v>
                </c:pt>
                <c:pt idx="7">
                  <c:v>1692.5403733121873</c:v>
                </c:pt>
                <c:pt idx="8">
                  <c:v>1549.455663054307</c:v>
                </c:pt>
                <c:pt idx="9">
                  <c:v>1412.3337113227183</c:v>
                </c:pt>
                <c:pt idx="10">
                  <c:v>1279.8502711706919</c:v>
                </c:pt>
                <c:pt idx="11">
                  <c:v>1149.7483821009948</c:v>
                </c:pt>
                <c:pt idx="12">
                  <c:v>1019.6490976249236</c:v>
                </c:pt>
                <c:pt idx="13">
                  <c:v>886.13370436718321</c:v>
                </c:pt>
                <c:pt idx="14">
                  <c:v>743.60316147001129</c:v>
                </c:pt>
                <c:pt idx="15">
                  <c:v>575.5254737939307</c:v>
                </c:pt>
                <c:pt idx="16">
                  <c:v>318.91573839380692</c:v>
                </c:pt>
                <c:pt idx="17">
                  <c:v>27.731794815855451</c:v>
                </c:pt>
                <c:pt idx="18">
                  <c:v>-284.77084020409416</c:v>
                </c:pt>
                <c:pt idx="19">
                  <c:v>-565.9545089314272</c:v>
                </c:pt>
                <c:pt idx="20">
                  <c:v>-833.89303395217917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56.97410295984119</c:v>
                </c:pt>
                <c:pt idx="1">
                  <c:v>58.714400534427568</c:v>
                </c:pt>
                <c:pt idx="2">
                  <c:v>60.302431733188435</c:v>
                </c:pt>
                <c:pt idx="3">
                  <c:v>62.375595276083786</c:v>
                </c:pt>
                <c:pt idx="4">
                  <c:v>65.097588277649578</c:v>
                </c:pt>
                <c:pt idx="5">
                  <c:v>68.533244392811795</c:v>
                </c:pt>
                <c:pt idx="6">
                  <c:v>72.709148381389411</c:v>
                </c:pt>
                <c:pt idx="7">
                  <c:v>77.587611927623712</c:v>
                </c:pt>
                <c:pt idx="8">
                  <c:v>83.117014584587437</c:v>
                </c:pt>
                <c:pt idx="9">
                  <c:v>89.142053240011535</c:v>
                </c:pt>
                <c:pt idx="10">
                  <c:v>95.417823008402337</c:v>
                </c:pt>
                <c:pt idx="11">
                  <c:v>101.78785833922849</c:v>
                </c:pt>
                <c:pt idx="12">
                  <c:v>108.23540464821561</c:v>
                </c:pt>
                <c:pt idx="13">
                  <c:v>114.75442952799999</c:v>
                </c:pt>
                <c:pt idx="14">
                  <c:v>121.29200278517621</c:v>
                </c:pt>
                <c:pt idx="15">
                  <c:v>127.69833667301315</c:v>
                </c:pt>
                <c:pt idx="16">
                  <c:v>133.44210905412095</c:v>
                </c:pt>
                <c:pt idx="17">
                  <c:v>139.25294206979117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Доля газа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50</c:v>
                </c:pt>
                <c:pt idx="1">
                  <c:v>56.152864179764194</c:v>
                </c:pt>
                <c:pt idx="2">
                  <c:v>63.049496559060636</c:v>
                </c:pt>
                <c:pt idx="3">
                  <c:v>70.589445553304685</c:v>
                </c:pt>
                <c:pt idx="4">
                  <c:v>78.819868218727109</c:v>
                </c:pt>
                <c:pt idx="5">
                  <c:v>87.699070899099411</c:v>
                </c:pt>
                <c:pt idx="6">
                  <c:v>97.163424299888092</c:v>
                </c:pt>
                <c:pt idx="7">
                  <c:v>107.25037767992094</c:v>
                </c:pt>
                <c:pt idx="8">
                  <c:v>117.78927658173639</c:v>
                </c:pt>
                <c:pt idx="9">
                  <c:v>128.445184721662</c:v>
                </c:pt>
                <c:pt idx="10">
                  <c:v>139.12093279452449</c:v>
                </c:pt>
                <c:pt idx="11">
                  <c:v>149.81204703574352</c:v>
                </c:pt>
                <c:pt idx="12">
                  <c:v>160.51782683805672</c:v>
                </c:pt>
                <c:pt idx="13">
                  <c:v>171.23497942408906</c:v>
                </c:pt>
                <c:pt idx="14">
                  <c:v>181.96206327519229</c:v>
                </c:pt>
                <c:pt idx="15">
                  <c:v>192.69843923089925</c:v>
                </c:pt>
                <c:pt idx="16">
                  <c:v>203.44200830027506</c:v>
                </c:pt>
                <c:pt idx="17">
                  <c:v>214.19248880210881</c:v>
                </c:pt>
                <c:pt idx="18">
                  <c:v>224.94880577210751</c:v>
                </c:pt>
                <c:pt idx="19">
                  <c:v>235.7100026917133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80</c:v>
                </c:pt>
                <c:pt idx="1">
                  <c:v>80.526315789473642</c:v>
                </c:pt>
                <c:pt idx="2">
                  <c:v>81.052631578947313</c:v>
                </c:pt>
                <c:pt idx="3">
                  <c:v>81.578947368420984</c:v>
                </c:pt>
                <c:pt idx="4">
                  <c:v>82.105263157894669</c:v>
                </c:pt>
                <c:pt idx="5">
                  <c:v>82.63157894736834</c:v>
                </c:pt>
                <c:pt idx="6">
                  <c:v>83.15789473684201</c:v>
                </c:pt>
                <c:pt idx="7">
                  <c:v>83.684210526315695</c:v>
                </c:pt>
                <c:pt idx="8">
                  <c:v>84.210526315789366</c:v>
                </c:pt>
                <c:pt idx="9">
                  <c:v>84.736842105263037</c:v>
                </c:pt>
                <c:pt idx="10">
                  <c:v>85.263157894736722</c:v>
                </c:pt>
                <c:pt idx="11">
                  <c:v>85.789473684210392</c:v>
                </c:pt>
                <c:pt idx="12">
                  <c:v>86.315789473684063</c:v>
                </c:pt>
                <c:pt idx="13">
                  <c:v>86.842105263157748</c:v>
                </c:pt>
                <c:pt idx="14">
                  <c:v>87.368421052631419</c:v>
                </c:pt>
                <c:pt idx="15">
                  <c:v>87.894736842105104</c:v>
                </c:pt>
                <c:pt idx="16">
                  <c:v>88.421052631578775</c:v>
                </c:pt>
                <c:pt idx="17">
                  <c:v>88.947368421052445</c:v>
                </c:pt>
                <c:pt idx="18">
                  <c:v>89.47368421052613</c:v>
                </c:pt>
                <c:pt idx="19">
                  <c:v>89.999999999999801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Exercise_ESP!$L$45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Exercise_ESP!$L$46:$L$65</c:f>
              <c:numCache>
                <c:formatCode>0</c:formatCode>
                <c:ptCount val="20"/>
                <c:pt idx="0">
                  <c:v>61.554249082553675</c:v>
                </c:pt>
                <c:pt idx="1">
                  <c:v>58.853877235033949</c:v>
                </c:pt>
                <c:pt idx="2">
                  <c:v>52.649494597716597</c:v>
                </c:pt>
                <c:pt idx="3">
                  <c:v>48.221964974885395</c:v>
                </c:pt>
                <c:pt idx="4">
                  <c:v>44.51358312095126</c:v>
                </c:pt>
                <c:pt idx="5">
                  <c:v>41.410358932342788</c:v>
                </c:pt>
                <c:pt idx="6">
                  <c:v>38.816732626386489</c:v>
                </c:pt>
                <c:pt idx="7">
                  <c:v>36.726910572482012</c:v>
                </c:pt>
                <c:pt idx="8">
                  <c:v>35.18195183963487</c:v>
                </c:pt>
                <c:pt idx="9">
                  <c:v>35.041601930346054</c:v>
                </c:pt>
                <c:pt idx="10">
                  <c:v>34.979331044854902</c:v>
                </c:pt>
                <c:pt idx="11">
                  <c:v>34.92661828107078</c:v>
                </c:pt>
                <c:pt idx="12">
                  <c:v>34.88245434307985</c:v>
                </c:pt>
                <c:pt idx="13">
                  <c:v>34.844539936985491</c:v>
                </c:pt>
                <c:pt idx="14">
                  <c:v>34.811841712698353</c:v>
                </c:pt>
                <c:pt idx="15">
                  <c:v>34.783806558812678</c:v>
                </c:pt>
                <c:pt idx="16">
                  <c:v>34.759248069866075</c:v>
                </c:pt>
                <c:pt idx="17">
                  <c:v>34.737927766074499</c:v>
                </c:pt>
                <c:pt idx="18">
                  <c:v>34.719263626148489</c:v>
                </c:pt>
                <c:pt idx="19">
                  <c:v>34.702774002991731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Exercise_ESP!$K$45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Exercise_ESP!$K$46:$K$65</c:f>
              <c:numCache>
                <c:formatCode>0.00</c:formatCode>
                <c:ptCount val="20"/>
                <c:pt idx="0">
                  <c:v>0.47174529229966294</c:v>
                </c:pt>
                <c:pt idx="1">
                  <c:v>0.44576138404725468</c:v>
                </c:pt>
                <c:pt idx="2">
                  <c:v>0.37420539431442312</c:v>
                </c:pt>
                <c:pt idx="3">
                  <c:v>0.31117065658017984</c:v>
                </c:pt>
                <c:pt idx="4">
                  <c:v>0.24649499066268951</c:v>
                </c:pt>
                <c:pt idx="5">
                  <c:v>0.1813896610663438</c:v>
                </c:pt>
                <c:pt idx="6">
                  <c:v>0.11700148009263814</c:v>
                </c:pt>
                <c:pt idx="7">
                  <c:v>5.4702997267731326E-2</c:v>
                </c:pt>
                <c:pt idx="8">
                  <c:v>2.3623326132202571E-3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Exercise_ESP!$AI$102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Exercise_ESP!$AI$106:$AI$142</c:f>
              <c:numCache>
                <c:formatCode>General</c:formatCode>
                <c:ptCount val="37"/>
              </c:numCache>
            </c:numRef>
          </c:xVal>
          <c:yVal>
            <c:numRef>
              <c:f>Exercise_ESP!$AJ$106:$AJ$142</c:f>
              <c:numCache>
                <c:formatCode>General</c:formatCode>
                <c:ptCount val="3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F-43C8-BFCE-6C8BB1D7A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184831"/>
        <c:axId val="1728382463"/>
      </c:scatterChart>
      <c:valAx>
        <c:axId val="1897184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82463"/>
        <c:crosses val="autoZero"/>
        <c:crossBetween val="midCat"/>
      </c:valAx>
      <c:valAx>
        <c:axId val="172838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971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152400</xdr:colOff>
      <xdr:row>42</xdr:row>
      <xdr:rowOff>59270</xdr:rowOff>
    </xdr:from>
    <xdr:to>
      <xdr:col>21</xdr:col>
      <xdr:colOff>725741</xdr:colOff>
      <xdr:row>64</xdr:row>
      <xdr:rowOff>154802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802020</xdr:colOff>
      <xdr:row>42</xdr:row>
      <xdr:rowOff>95091</xdr:rowOff>
    </xdr:from>
    <xdr:to>
      <xdr:col>27</xdr:col>
      <xdr:colOff>444154</xdr:colOff>
      <xdr:row>64</xdr:row>
      <xdr:rowOff>142875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36</xdr:col>
      <xdr:colOff>409575</xdr:colOff>
      <xdr:row>104</xdr:row>
      <xdr:rowOff>93208</xdr:rowOff>
    </xdr:from>
    <xdr:to>
      <xdr:col>45</xdr:col>
      <xdr:colOff>1361</xdr:colOff>
      <xdr:row>132</xdr:row>
      <xdr:rowOff>107496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40E3F49-EAD1-475B-A739-A6ED3D9E8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ncode_feed"/>
      <definedName name="encode_PVT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A31" zoomScale="70" zoomScaleNormal="70" workbookViewId="0">
      <selection activeCell="K36" sqref="K36"/>
    </sheetView>
  </sheetViews>
  <sheetFormatPr defaultRowHeight="13.2" x14ac:dyDescent="0.25"/>
  <cols>
    <col min="2" max="2" width="15.109375" customWidth="1"/>
    <col min="3" max="3" width="9.88671875" customWidth="1"/>
    <col min="4" max="4" width="11.5546875" bestFit="1" customWidth="1"/>
    <col min="5" max="5" width="11.33203125" customWidth="1"/>
    <col min="6" max="6" width="13.5546875" customWidth="1"/>
    <col min="7" max="13" width="11.88671875" customWidth="1"/>
    <col min="14" max="14" width="13.109375" customWidth="1"/>
    <col min="15" max="16" width="11.88671875" customWidth="1"/>
    <col min="17" max="17" width="12.109375" customWidth="1"/>
    <col min="18" max="21" width="11.88671875" customWidth="1"/>
    <col min="22" max="37" width="12.44140625" customWidth="1"/>
  </cols>
  <sheetData>
    <row r="1" spans="1:12" x14ac:dyDescent="0.25">
      <c r="A1" s="1" t="s">
        <v>14</v>
      </c>
      <c r="F1" t="s">
        <v>15</v>
      </c>
      <c r="G1" t="str">
        <f>[1]!unf_Version()</f>
        <v>7.27</v>
      </c>
      <c r="H1" t="s">
        <v>54</v>
      </c>
      <c r="I1" s="27">
        <v>44305</v>
      </c>
      <c r="J1" s="20"/>
      <c r="K1" s="20"/>
      <c r="L1" s="20"/>
    </row>
    <row r="2" spans="1:12" x14ac:dyDescent="0.25">
      <c r="A2" t="s">
        <v>71</v>
      </c>
      <c r="H2" t="s">
        <v>55</v>
      </c>
      <c r="I2" s="28">
        <v>7.27</v>
      </c>
      <c r="J2" s="20"/>
      <c r="K2" s="20"/>
      <c r="L2" s="20"/>
    </row>
    <row r="3" spans="1:12" ht="14.4" x14ac:dyDescent="0.3">
      <c r="A3" s="29" t="s">
        <v>56</v>
      </c>
      <c r="B3" s="64" t="s">
        <v>57</v>
      </c>
      <c r="C3" s="65"/>
      <c r="D3" s="65"/>
      <c r="E3" s="66"/>
      <c r="H3" t="s">
        <v>58</v>
      </c>
      <c r="I3" s="20" t="s">
        <v>57</v>
      </c>
      <c r="J3" s="20"/>
      <c r="K3" s="20"/>
      <c r="L3" s="20"/>
    </row>
    <row r="4" spans="1:12" ht="14.4" x14ac:dyDescent="0.3">
      <c r="A4" s="29" t="s">
        <v>59</v>
      </c>
      <c r="B4" s="64" t="s">
        <v>60</v>
      </c>
      <c r="C4" s="65"/>
      <c r="D4" s="65"/>
      <c r="E4" s="66"/>
      <c r="H4" t="s">
        <v>61</v>
      </c>
      <c r="I4" s="20" t="s">
        <v>60</v>
      </c>
      <c r="J4" s="20"/>
      <c r="K4" s="20"/>
      <c r="L4" s="20"/>
    </row>
    <row r="5" spans="1:12" ht="14.4" x14ac:dyDescent="0.3">
      <c r="A5" s="29" t="s">
        <v>62</v>
      </c>
      <c r="B5" s="64" t="s">
        <v>63</v>
      </c>
      <c r="C5" s="65"/>
      <c r="D5" s="65"/>
      <c r="E5" s="66"/>
      <c r="H5" t="s">
        <v>64</v>
      </c>
      <c r="I5" s="20" t="s">
        <v>63</v>
      </c>
      <c r="J5" s="20"/>
      <c r="K5" s="20"/>
      <c r="L5" s="20"/>
    </row>
    <row r="6" spans="1:12" x14ac:dyDescent="0.25">
      <c r="A6" s="30" t="s">
        <v>65</v>
      </c>
      <c r="B6" s="67" t="s">
        <v>66</v>
      </c>
      <c r="C6" s="68"/>
      <c r="D6" s="68"/>
      <c r="E6" s="69"/>
      <c r="H6" s="31" t="s">
        <v>67</v>
      </c>
      <c r="I6" s="32" t="s">
        <v>66</v>
      </c>
      <c r="J6" s="32"/>
      <c r="K6" s="32"/>
      <c r="L6" s="32"/>
    </row>
    <row r="7" spans="1:12" x14ac:dyDescent="0.25">
      <c r="A7" s="33"/>
      <c r="B7" s="70"/>
      <c r="C7" s="71"/>
      <c r="D7" s="71"/>
      <c r="E7" s="72"/>
      <c r="H7" s="31"/>
      <c r="I7" s="32"/>
      <c r="J7" s="32"/>
      <c r="K7" s="32"/>
      <c r="L7" s="32"/>
    </row>
    <row r="8" spans="1:12" x14ac:dyDescent="0.25">
      <c r="A8" s="34"/>
      <c r="B8" s="73"/>
      <c r="C8" s="74"/>
      <c r="D8" s="74"/>
      <c r="E8" s="75"/>
      <c r="H8" s="31"/>
      <c r="I8" s="32"/>
      <c r="J8" s="32"/>
      <c r="K8" s="32"/>
      <c r="L8" s="32"/>
    </row>
    <row r="10" spans="1:12" x14ac:dyDescent="0.25">
      <c r="A10" s="1" t="s">
        <v>8</v>
      </c>
    </row>
    <row r="11" spans="1:12" ht="16.8" x14ac:dyDescent="0.35">
      <c r="B11" s="9" t="s">
        <v>16</v>
      </c>
      <c r="C11" s="2">
        <v>0.9</v>
      </c>
      <c r="D11" s="10"/>
      <c r="E11" s="11">
        <f>gamma_oil_*1000</f>
        <v>900</v>
      </c>
      <c r="F11" s="12" t="s">
        <v>17</v>
      </c>
    </row>
    <row r="12" spans="1:12" ht="16.8" x14ac:dyDescent="0.35">
      <c r="B12" s="12" t="s">
        <v>18</v>
      </c>
      <c r="C12" s="2">
        <v>1</v>
      </c>
      <c r="D12" s="10"/>
      <c r="E12" s="11">
        <f>gamma_wat_*1000</f>
        <v>1000</v>
      </c>
      <c r="F12" s="12" t="s">
        <v>17</v>
      </c>
    </row>
    <row r="13" spans="1:12" ht="16.8" x14ac:dyDescent="0.35">
      <c r="B13" s="12" t="s">
        <v>19</v>
      </c>
      <c r="C13" s="2">
        <v>0.8</v>
      </c>
      <c r="D13" s="10"/>
      <c r="E13" s="11">
        <f>gamma_gas_*1.22</f>
        <v>0.97599999999999998</v>
      </c>
      <c r="F13" s="12" t="s">
        <v>17</v>
      </c>
    </row>
    <row r="14" spans="1:12" ht="16.8" x14ac:dyDescent="0.35">
      <c r="B14" s="13" t="s">
        <v>20</v>
      </c>
      <c r="C14" s="2">
        <v>80</v>
      </c>
      <c r="D14" s="12" t="s">
        <v>21</v>
      </c>
      <c r="E14" s="14">
        <f>Rsb_/gamma_oil_</f>
        <v>88.888888888888886</v>
      </c>
      <c r="F14" s="12" t="s">
        <v>22</v>
      </c>
    </row>
    <row r="15" spans="1:12" ht="16.8" x14ac:dyDescent="0.35">
      <c r="B15" s="13" t="s">
        <v>23</v>
      </c>
      <c r="C15" s="2">
        <v>80</v>
      </c>
      <c r="D15" s="12" t="s">
        <v>21</v>
      </c>
      <c r="E15" s="14">
        <f>Rsb_/gamma_oil_</f>
        <v>88.888888888888886</v>
      </c>
      <c r="F15" s="12" t="s">
        <v>22</v>
      </c>
    </row>
    <row r="16" spans="1:12" ht="15.6" x14ac:dyDescent="0.35">
      <c r="B16" s="12" t="s">
        <v>24</v>
      </c>
      <c r="C16" s="2">
        <v>120</v>
      </c>
      <c r="D16" s="10" t="s">
        <v>25</v>
      </c>
      <c r="E16" s="14">
        <f>Pb_*1.01325</f>
        <v>121.59</v>
      </c>
      <c r="F16" s="10" t="s">
        <v>26</v>
      </c>
    </row>
    <row r="17" spans="1:26" ht="15.6" x14ac:dyDescent="0.35">
      <c r="B17" s="12" t="s">
        <v>27</v>
      </c>
      <c r="C17" s="2">
        <v>100</v>
      </c>
      <c r="D17" s="10" t="s">
        <v>2</v>
      </c>
      <c r="E17" s="14">
        <f>Tres_*9/5+32</f>
        <v>212</v>
      </c>
      <c r="F17" s="10" t="s">
        <v>28</v>
      </c>
    </row>
    <row r="18" spans="1:26" ht="16.8" x14ac:dyDescent="0.35">
      <c r="B18" s="13" t="s">
        <v>29</v>
      </c>
      <c r="C18" s="2">
        <v>1.2</v>
      </c>
      <c r="D18" s="12" t="s">
        <v>21</v>
      </c>
    </row>
    <row r="19" spans="1:26" ht="15.6" x14ac:dyDescent="0.35">
      <c r="B19" s="22" t="s">
        <v>49</v>
      </c>
      <c r="C19" s="2">
        <v>1</v>
      </c>
      <c r="D19" s="12" t="s">
        <v>48</v>
      </c>
    </row>
    <row r="20" spans="1:26" x14ac:dyDescent="0.25">
      <c r="B20" s="3"/>
      <c r="C20" s="4"/>
    </row>
    <row r="21" spans="1:26" ht="15.6" x14ac:dyDescent="0.35">
      <c r="B21" s="15" t="s">
        <v>33</v>
      </c>
      <c r="C21" s="2">
        <v>30</v>
      </c>
      <c r="D21" s="23" t="s">
        <v>3</v>
      </c>
    </row>
    <row r="22" spans="1:26" ht="15.6" x14ac:dyDescent="0.35">
      <c r="B22" s="15" t="s">
        <v>36</v>
      </c>
      <c r="C22" s="2">
        <v>10</v>
      </c>
      <c r="D22" s="23" t="s">
        <v>35</v>
      </c>
    </row>
    <row r="23" spans="1:26" x14ac:dyDescent="0.25">
      <c r="A23" s="1" t="s">
        <v>47</v>
      </c>
    </row>
    <row r="24" spans="1:26" ht="15.6" x14ac:dyDescent="0.35">
      <c r="B24" s="16" t="s">
        <v>40</v>
      </c>
      <c r="C24" s="2">
        <v>60</v>
      </c>
      <c r="D24" s="16" t="s">
        <v>3</v>
      </c>
    </row>
    <row r="25" spans="1:26" ht="15.6" x14ac:dyDescent="0.35">
      <c r="B25" s="16" t="s">
        <v>41</v>
      </c>
      <c r="C25" s="2">
        <v>2000</v>
      </c>
      <c r="D25" s="16" t="s">
        <v>4</v>
      </c>
    </row>
    <row r="26" spans="1:26" x14ac:dyDescent="0.25">
      <c r="B26" s="16" t="s">
        <v>37</v>
      </c>
      <c r="C26" s="2">
        <v>55</v>
      </c>
      <c r="D26" s="16" t="s">
        <v>5</v>
      </c>
    </row>
    <row r="27" spans="1:26" x14ac:dyDescent="0.25">
      <c r="B27" s="16" t="s">
        <v>38</v>
      </c>
      <c r="C27" s="11" cm="1">
        <f t="array" ref="C27">[1]!ESP_id_by_rate(Q_ESP_)</f>
        <v>1006</v>
      </c>
      <c r="D27" s="16"/>
    </row>
    <row r="28" spans="1:26" x14ac:dyDescent="0.25">
      <c r="B28" s="16" t="s">
        <v>39</v>
      </c>
      <c r="C28" s="11" t="str" cm="1">
        <f t="array" ref="C28">[1]!ESP_name(PumpID_)</f>
        <v>ЭЦН5-80</v>
      </c>
      <c r="D28" s="16"/>
    </row>
    <row r="29" spans="1:26" ht="15.6" x14ac:dyDescent="0.35">
      <c r="B29" s="16" t="s">
        <v>42</v>
      </c>
      <c r="C29" s="11" cm="1">
        <f t="array" ref="C29">[1]!ESP_rate_max_sm3day(Freq_,PumpID_)</f>
        <v>192.5</v>
      </c>
      <c r="D29" s="16"/>
      <c r="J29" s="17" t="s">
        <v>13</v>
      </c>
    </row>
    <row r="30" spans="1:26" x14ac:dyDescent="0.25">
      <c r="B30" s="16" t="s">
        <v>9</v>
      </c>
      <c r="C30" s="53" cm="1">
        <f t="array" ref="C30">INT(Head_ESP_/[1]!ESP_head_m(Q_ESP_,1,,PumpID_))</f>
        <v>307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6" x14ac:dyDescent="0.35">
      <c r="B31" s="16" t="s">
        <v>43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{"gamma_gas":0.8,"gamma_oil":0.9,"gamma_wat":1,"rsb_m3m3":80,"pb_atma":120,"t_res_C":100,"bob_m3m3":1.2,"muob_cP":1,"q_liq_sm3day":30,"fw_perc":10,"rp_m3m3":80}</v>
      </c>
    </row>
    <row r="32" spans="1:26" ht="15.6" x14ac:dyDescent="0.35">
      <c r="B32" s="16" t="s">
        <v>44</v>
      </c>
      <c r="C32" s="7">
        <v>80</v>
      </c>
      <c r="D32" s="16" t="s">
        <v>1</v>
      </c>
    </row>
    <row r="33" spans="1:16" ht="15.6" x14ac:dyDescent="0.35">
      <c r="B33" s="16" t="s">
        <v>45</v>
      </c>
      <c r="C33" s="7">
        <v>80</v>
      </c>
      <c r="D33" s="16" t="s">
        <v>2</v>
      </c>
    </row>
    <row r="34" spans="1:16" x14ac:dyDescent="0.25">
      <c r="B34" s="21" t="s">
        <v>46</v>
      </c>
      <c r="C34" s="2">
        <v>1</v>
      </c>
      <c r="D34" s="21" t="s">
        <v>30</v>
      </c>
    </row>
    <row r="35" spans="1:16" x14ac:dyDescent="0.25">
      <c r="A35" t="s">
        <v>53</v>
      </c>
    </row>
    <row r="36" spans="1:16" x14ac:dyDescent="0.25">
      <c r="B36" s="16" t="s">
        <v>7</v>
      </c>
      <c r="C36" s="2">
        <v>20</v>
      </c>
      <c r="D36" s="16"/>
      <c r="J36" s="36"/>
    </row>
    <row r="37" spans="1:16" x14ac:dyDescent="0.25">
      <c r="A37" s="1"/>
    </row>
    <row r="38" spans="1:16" x14ac:dyDescent="0.25">
      <c r="A38" s="1" t="s">
        <v>47</v>
      </c>
      <c r="B38" s="3"/>
      <c r="C38" s="4"/>
    </row>
    <row r="39" spans="1:16" ht="12.75" customHeight="1" x14ac:dyDescent="0.35">
      <c r="B39" s="15" t="s">
        <v>31</v>
      </c>
      <c r="C39" s="2">
        <v>50</v>
      </c>
      <c r="D39" s="16" t="s">
        <v>1</v>
      </c>
      <c r="F39" s="52" t="s">
        <v>69</v>
      </c>
      <c r="G39" s="2">
        <v>1</v>
      </c>
    </row>
    <row r="40" spans="1:16" ht="15.6" x14ac:dyDescent="0.35">
      <c r="B40" s="15" t="s">
        <v>32</v>
      </c>
      <c r="C40" s="2">
        <v>80</v>
      </c>
      <c r="D40" s="16" t="s">
        <v>2</v>
      </c>
    </row>
    <row r="41" spans="1:16" ht="15.6" x14ac:dyDescent="0.35">
      <c r="B41" s="15" t="s">
        <v>34</v>
      </c>
      <c r="C41" s="2">
        <v>150</v>
      </c>
      <c r="D41" s="16" t="s">
        <v>1</v>
      </c>
      <c r="F41" t="s">
        <v>68</v>
      </c>
    </row>
    <row r="42" spans="1:16" ht="15.6" x14ac:dyDescent="0.35">
      <c r="B42" s="15" t="s">
        <v>51</v>
      </c>
      <c r="C42" s="2">
        <v>90</v>
      </c>
      <c r="D42" s="23" t="s">
        <v>2</v>
      </c>
      <c r="L42">
        <f>LEN(L43)</f>
        <v>87</v>
      </c>
      <c r="M42">
        <f t="shared" ref="M42:P42" si="0">LEN(M43)</f>
        <v>125</v>
      </c>
      <c r="N42">
        <f t="shared" si="0"/>
        <v>1</v>
      </c>
      <c r="O42">
        <f t="shared" si="0"/>
        <v>1</v>
      </c>
      <c r="P42">
        <f t="shared" si="0"/>
        <v>1</v>
      </c>
    </row>
    <row r="43" spans="1:16" x14ac:dyDescent="0.25">
      <c r="B43" s="15" t="s">
        <v>52</v>
      </c>
      <c r="C43" s="2">
        <v>120</v>
      </c>
      <c r="D43" s="23"/>
      <c r="F43" s="54" cm="1">
        <f t="array" ref="F43:P65">[1]!ESP_p_atma(Pintake_,Tintake_,J31,PumpID_,NumStage_,Freq_,Tdis_)</f>
        <v>235.7100026917133</v>
      </c>
      <c r="G43" s="41">
        <v>2480.9463194338678</v>
      </c>
      <c r="H43" s="41">
        <v>85.467041099676649</v>
      </c>
      <c r="I43" s="41">
        <v>0</v>
      </c>
      <c r="J43" s="41">
        <v>0.47174529229966294</v>
      </c>
      <c r="K43" s="41">
        <v>0.28095658475231672</v>
      </c>
      <c r="L43" s="41" t="str">
        <v>{"p_int_atma":50,"t_int_C":80,"p_dis_atma":235.710002691713,"t_dis_C":89.9999999999998}</v>
      </c>
      <c r="M43" s="41" t="str">
        <v>{"power_fluid_W":8298.13396327405,"power_ESP_W":29535.2891287081,"p_dis_atma":235.710002691713,"eff_ESP_d":0.280956584752317}</v>
      </c>
      <c r="N43" s="41">
        <v>0</v>
      </c>
      <c r="O43" s="41">
        <v>0</v>
      </c>
      <c r="P43" s="55">
        <v>0</v>
      </c>
    </row>
    <row r="44" spans="1:16" ht="26.4" x14ac:dyDescent="0.25">
      <c r="B44" s="15" t="s">
        <v>70</v>
      </c>
      <c r="C44" s="2">
        <v>10</v>
      </c>
      <c r="F44" s="49" t="str">
        <v>p_dis_atma</v>
      </c>
      <c r="G44" s="50" t="str">
        <v>head_m</v>
      </c>
      <c r="H44" s="50" t="str">
        <v>m_Nm</v>
      </c>
      <c r="I44" s="50">
        <v>0</v>
      </c>
      <c r="J44" s="50" t="str">
        <v>gas_frac_intake</v>
      </c>
      <c r="K44" s="50" t="str">
        <v>eff_ESP_d</v>
      </c>
      <c r="L44" s="50" t="str">
        <v>dict_pressure</v>
      </c>
      <c r="M44" s="50" t="str">
        <v>dict_power</v>
      </c>
      <c r="N44" s="50">
        <v>0</v>
      </c>
      <c r="O44" s="50">
        <v>0</v>
      </c>
      <c r="P44" s="51">
        <v>0</v>
      </c>
    </row>
    <row r="45" spans="1:16" x14ac:dyDescent="0.25">
      <c r="F45" s="42" t="str">
        <v>i</v>
      </c>
      <c r="G45" s="43" t="str">
        <v>n_stage</v>
      </c>
      <c r="H45" s="43" t="str">
        <v>length_m</v>
      </c>
      <c r="I45" s="43" t="str">
        <v>p_atma</v>
      </c>
      <c r="J45" s="43" t="str">
        <v>t_C</v>
      </c>
      <c r="K45" s="43" t="str">
        <v>gas_fraction</v>
      </c>
      <c r="L45" s="43" t="str">
        <v>qmix_rm3day</v>
      </c>
      <c r="M45" s="43" t="str">
        <v>Power_fluid_W</v>
      </c>
      <c r="N45" s="43" t="str">
        <v>Power_ESP_W</v>
      </c>
      <c r="O45" s="43" t="str">
        <v>eff fluid</v>
      </c>
      <c r="P45" s="44" t="str">
        <v>mu_stage_cP</v>
      </c>
    </row>
    <row r="46" spans="1:16" x14ac:dyDescent="0.25">
      <c r="F46" s="42">
        <v>1</v>
      </c>
      <c r="G46" s="47">
        <v>0</v>
      </c>
      <c r="H46" s="46">
        <v>1015.35</v>
      </c>
      <c r="I46" s="47">
        <v>50</v>
      </c>
      <c r="J46" s="47">
        <v>80</v>
      </c>
      <c r="K46" s="45">
        <v>0.47174529229966294</v>
      </c>
      <c r="L46" s="47">
        <v>61.554249082553675</v>
      </c>
      <c r="M46" s="47">
        <v>0</v>
      </c>
      <c r="N46" s="47">
        <v>0</v>
      </c>
      <c r="O46" s="45">
        <v>0</v>
      </c>
      <c r="P46" s="48">
        <v>0.90381528678474299</v>
      </c>
    </row>
    <row r="47" spans="1:16" x14ac:dyDescent="0.25">
      <c r="F47" s="42">
        <v>2</v>
      </c>
      <c r="G47" s="47">
        <v>16.157894736842106</v>
      </c>
      <c r="H47" s="46">
        <v>1014.542105263158</v>
      </c>
      <c r="I47" s="47">
        <v>56.152864179764194</v>
      </c>
      <c r="J47" s="47">
        <v>80.526315789473642</v>
      </c>
      <c r="K47" s="45">
        <v>0.44576138404725468</v>
      </c>
      <c r="L47" s="47">
        <v>58.853877235033949</v>
      </c>
      <c r="M47" s="47">
        <v>428.94515539657698</v>
      </c>
      <c r="N47" s="47">
        <v>1015.5694278405117</v>
      </c>
      <c r="O47" s="45">
        <v>0.42262538835628427</v>
      </c>
      <c r="P47" s="48">
        <v>0.91437904916576895</v>
      </c>
    </row>
    <row r="48" spans="1:16" x14ac:dyDescent="0.25">
      <c r="F48" s="42">
        <v>3</v>
      </c>
      <c r="G48" s="47">
        <v>32.315789473684212</v>
      </c>
      <c r="H48" s="46">
        <v>1013.7342105263158</v>
      </c>
      <c r="I48" s="47">
        <v>63.049496559060636</v>
      </c>
      <c r="J48" s="47">
        <v>81.052631578947313</v>
      </c>
      <c r="K48" s="45">
        <v>0.37420539431442312</v>
      </c>
      <c r="L48" s="47">
        <v>52.649494597716597</v>
      </c>
      <c r="M48" s="47">
        <v>861.052364010529</v>
      </c>
      <c r="N48" s="47">
        <v>2140.0927375409501</v>
      </c>
      <c r="O48" s="45">
        <v>0.40331143235602523</v>
      </c>
      <c r="P48" s="48">
        <v>0.93710665830962225</v>
      </c>
    </row>
    <row r="49" spans="6:16" x14ac:dyDescent="0.25">
      <c r="F49" s="42">
        <v>4</v>
      </c>
      <c r="G49" s="47">
        <v>48.473684210526315</v>
      </c>
      <c r="H49" s="46">
        <v>1012.9263157894737</v>
      </c>
      <c r="I49" s="47">
        <v>70.589445553304685</v>
      </c>
      <c r="J49" s="47">
        <v>81.578947368420984</v>
      </c>
      <c r="K49" s="45">
        <v>0.31117065658017984</v>
      </c>
      <c r="L49" s="47">
        <v>48.221964974885395</v>
      </c>
      <c r="M49" s="47">
        <v>1295.0719334793191</v>
      </c>
      <c r="N49" s="47">
        <v>3360.0809398251786</v>
      </c>
      <c r="O49" s="45">
        <v>0.38573140230359476</v>
      </c>
      <c r="P49" s="48">
        <v>0.95099975575692575</v>
      </c>
    </row>
    <row r="50" spans="6:16" x14ac:dyDescent="0.25">
      <c r="F50" s="42">
        <v>5</v>
      </c>
      <c r="G50" s="47">
        <v>64.631578947368425</v>
      </c>
      <c r="H50" s="46">
        <v>1012.1184210526316</v>
      </c>
      <c r="I50" s="47">
        <v>78.819868218727109</v>
      </c>
      <c r="J50" s="47">
        <v>82.105263157894669</v>
      </c>
      <c r="K50" s="45">
        <v>0.24649499066268951</v>
      </c>
      <c r="L50" s="47">
        <v>44.51358312095126</v>
      </c>
      <c r="M50" s="47">
        <v>1730.5447918111752</v>
      </c>
      <c r="N50" s="47">
        <v>4683.2116725657279</v>
      </c>
      <c r="O50" s="45">
        <v>0.36983009376251569</v>
      </c>
      <c r="P50" s="48">
        <v>0.95924472019514762</v>
      </c>
    </row>
    <row r="51" spans="6:16" x14ac:dyDescent="0.25">
      <c r="F51" s="42">
        <v>6</v>
      </c>
      <c r="G51" s="47">
        <v>80.789473684210535</v>
      </c>
      <c r="H51" s="46">
        <v>1011.3105263157895</v>
      </c>
      <c r="I51" s="47">
        <v>87.699070899099411</v>
      </c>
      <c r="J51" s="47">
        <v>82.63157894736834</v>
      </c>
      <c r="K51" s="45">
        <v>0.1813896610663438</v>
      </c>
      <c r="L51" s="47">
        <v>41.410358932342788</v>
      </c>
      <c r="M51" s="47">
        <v>2166.9889891965472</v>
      </c>
      <c r="N51" s="47">
        <v>6103.520591790746</v>
      </c>
      <c r="O51" s="45">
        <v>0.35533772764891802</v>
      </c>
      <c r="P51" s="48">
        <v>0.9619829381460403</v>
      </c>
    </row>
    <row r="52" spans="6:16" x14ac:dyDescent="0.25">
      <c r="F52" s="42">
        <v>7</v>
      </c>
      <c r="G52" s="47">
        <v>96.94736842105263</v>
      </c>
      <c r="H52" s="46">
        <v>1010.5026315789474</v>
      </c>
      <c r="I52" s="47">
        <v>97.163424299888092</v>
      </c>
      <c r="J52" s="47">
        <v>83.15789473684201</v>
      </c>
      <c r="K52" s="45">
        <v>0.11700148009263814</v>
      </c>
      <c r="L52" s="47">
        <v>38.816732626386489</v>
      </c>
      <c r="M52" s="47">
        <v>2604.1071762464903</v>
      </c>
      <c r="N52" s="47">
        <v>7611.5036830028494</v>
      </c>
      <c r="O52" s="45">
        <v>0.34213301376484384</v>
      </c>
      <c r="P52" s="48">
        <v>0.95969797602031415</v>
      </c>
    </row>
    <row r="53" spans="6:16" x14ac:dyDescent="0.25">
      <c r="F53" s="42">
        <v>8</v>
      </c>
      <c r="G53" s="47">
        <v>113.10526315789474</v>
      </c>
      <c r="H53" s="46">
        <v>1009.6947368421053</v>
      </c>
      <c r="I53" s="47">
        <v>107.25037767992094</v>
      </c>
      <c r="J53" s="47">
        <v>83.684210526315695</v>
      </c>
      <c r="K53" s="45">
        <v>5.4702997267731326E-2</v>
      </c>
      <c r="L53" s="47">
        <v>36.726910572482012</v>
      </c>
      <c r="M53" s="47">
        <v>3041.7881584147108</v>
      </c>
      <c r="N53" s="47">
        <v>9212.6943637125059</v>
      </c>
      <c r="O53" s="45">
        <v>0.33035568849148211</v>
      </c>
      <c r="P53" s="48">
        <v>0.95225302819878588</v>
      </c>
    </row>
    <row r="54" spans="6:16" x14ac:dyDescent="0.25">
      <c r="F54" s="42">
        <v>9</v>
      </c>
      <c r="G54" s="47">
        <v>129.26315789473685</v>
      </c>
      <c r="H54" s="46">
        <v>1008.8868421052632</v>
      </c>
      <c r="I54" s="47">
        <v>117.78927658173639</v>
      </c>
      <c r="J54" s="47">
        <v>84.210526315789366</v>
      </c>
      <c r="K54" s="45">
        <v>2.3623326132202571E-3</v>
      </c>
      <c r="L54" s="47">
        <v>35.18195183963487</v>
      </c>
      <c r="M54" s="47">
        <v>3479.8125649281546</v>
      </c>
      <c r="N54" s="47">
        <v>10881.458264632021</v>
      </c>
      <c r="O54" s="45">
        <v>0.31988444585893194</v>
      </c>
      <c r="P54" s="48">
        <v>0.94554105434143654</v>
      </c>
    </row>
    <row r="55" spans="6:16" x14ac:dyDescent="0.25">
      <c r="F55" s="42">
        <v>10</v>
      </c>
      <c r="G55" s="47">
        <v>145.42105263157896</v>
      </c>
      <c r="H55" s="46">
        <v>1008.078947368421</v>
      </c>
      <c r="I55" s="47">
        <v>128.445184721662</v>
      </c>
      <c r="J55" s="47">
        <v>84.736842105263037</v>
      </c>
      <c r="K55" s="45">
        <v>0</v>
      </c>
      <c r="L55" s="47">
        <v>35.041601930346054</v>
      </c>
      <c r="M55" s="47">
        <v>3917.8915445499179</v>
      </c>
      <c r="N55" s="47">
        <v>12567.700048884039</v>
      </c>
      <c r="O55" s="45">
        <v>0.31179366914826534</v>
      </c>
      <c r="P55" s="48">
        <v>0.96463299113824508</v>
      </c>
    </row>
    <row r="56" spans="6:16" x14ac:dyDescent="0.25">
      <c r="F56" s="42">
        <v>11</v>
      </c>
      <c r="G56" s="47">
        <v>161.57894736842107</v>
      </c>
      <c r="H56" s="46">
        <v>1007.271052631579</v>
      </c>
      <c r="I56" s="47">
        <v>139.12093279452449</v>
      </c>
      <c r="J56" s="47">
        <v>85.263157894736722</v>
      </c>
      <c r="K56" s="45">
        <v>0</v>
      </c>
      <c r="L56" s="47">
        <v>34.979331044854902</v>
      </c>
      <c r="M56" s="47">
        <v>4355.9541686093871</v>
      </c>
      <c r="N56" s="47">
        <v>14256.898511878559</v>
      </c>
      <c r="O56" s="45">
        <v>0.30559481632267838</v>
      </c>
      <c r="P56" s="48">
        <v>0.9860165417262633</v>
      </c>
    </row>
    <row r="57" spans="6:16" x14ac:dyDescent="0.25">
      <c r="F57" s="42">
        <v>12</v>
      </c>
      <c r="G57" s="47">
        <v>177.73684210526318</v>
      </c>
      <c r="H57" s="46">
        <v>1006.4631578947368</v>
      </c>
      <c r="I57" s="47">
        <v>149.81204703574352</v>
      </c>
      <c r="J57" s="47">
        <v>85.789473684210392</v>
      </c>
      <c r="K57" s="45">
        <v>0</v>
      </c>
      <c r="L57" s="47">
        <v>34.92661828107078</v>
      </c>
      <c r="M57" s="47">
        <v>4794.0044079375702</v>
      </c>
      <c r="N57" s="47">
        <v>15948.386884840629</v>
      </c>
      <c r="O57" s="45">
        <v>0.30060663155178652</v>
      </c>
      <c r="P57" s="48">
        <v>1.0090154559276703</v>
      </c>
    </row>
    <row r="58" spans="6:16" x14ac:dyDescent="0.25">
      <c r="F58" s="42">
        <v>13</v>
      </c>
      <c r="G58" s="47">
        <v>193.89473684210526</v>
      </c>
      <c r="H58" s="46">
        <v>1005.6552631578948</v>
      </c>
      <c r="I58" s="47">
        <v>160.51782683805672</v>
      </c>
      <c r="J58" s="47">
        <v>86.315789473684063</v>
      </c>
      <c r="K58" s="45">
        <v>0</v>
      </c>
      <c r="L58" s="47">
        <v>34.88245434307985</v>
      </c>
      <c r="M58" s="47">
        <v>5232.0431220792516</v>
      </c>
      <c r="N58" s="47">
        <v>17642.060723801424</v>
      </c>
      <c r="O58" s="45">
        <v>0.29659589586342588</v>
      </c>
      <c r="P58" s="48">
        <v>1.0337126099977862</v>
      </c>
    </row>
    <row r="59" spans="6:16" x14ac:dyDescent="0.25">
      <c r="F59" s="42">
        <v>14</v>
      </c>
      <c r="G59" s="47">
        <v>210.05263157894737</v>
      </c>
      <c r="H59" s="46">
        <v>1004.8473684210527</v>
      </c>
      <c r="I59" s="47">
        <v>171.23497942408906</v>
      </c>
      <c r="J59" s="47">
        <v>86.842105263157748</v>
      </c>
      <c r="K59" s="45">
        <v>0</v>
      </c>
      <c r="L59" s="47">
        <v>34.844539936985491</v>
      </c>
      <c r="M59" s="47">
        <v>5670.0731609528193</v>
      </c>
      <c r="N59" s="47">
        <v>19337.429324915127</v>
      </c>
      <c r="O59" s="45">
        <v>0.29323896439887043</v>
      </c>
      <c r="P59" s="48">
        <v>1.0598572327613909</v>
      </c>
    </row>
    <row r="60" spans="6:16" x14ac:dyDescent="0.25">
      <c r="F60" s="42">
        <v>15</v>
      </c>
      <c r="G60" s="47">
        <v>226.21052631578948</v>
      </c>
      <c r="H60" s="46">
        <v>1004.0394736842105</v>
      </c>
      <c r="I60" s="47">
        <v>181.96206327519229</v>
      </c>
      <c r="J60" s="47">
        <v>87.368421052631419</v>
      </c>
      <c r="K60" s="45">
        <v>0</v>
      </c>
      <c r="L60" s="47">
        <v>34.811841712698353</v>
      </c>
      <c r="M60" s="47">
        <v>6108.0958481629486</v>
      </c>
      <c r="N60" s="47">
        <v>21034.277877305358</v>
      </c>
      <c r="O60" s="45">
        <v>0.29039382971959976</v>
      </c>
      <c r="P60" s="48">
        <v>1.0873679621284691</v>
      </c>
    </row>
    <row r="61" spans="6:16" x14ac:dyDescent="0.25">
      <c r="F61" s="42">
        <v>16</v>
      </c>
      <c r="G61" s="47">
        <v>242.36842105263159</v>
      </c>
      <c r="H61" s="46">
        <v>1003.2315789473685</v>
      </c>
      <c r="I61" s="47">
        <v>192.69843923089925</v>
      </c>
      <c r="J61" s="47">
        <v>87.894736842105104</v>
      </c>
      <c r="K61" s="45">
        <v>0</v>
      </c>
      <c r="L61" s="47">
        <v>34.783806558812678</v>
      </c>
      <c r="M61" s="47">
        <v>6546.1119330362562</v>
      </c>
      <c r="N61" s="47">
        <v>22732.511151372921</v>
      </c>
      <c r="O61" s="45">
        <v>0.28797863462713336</v>
      </c>
      <c r="P61" s="48">
        <v>1.1162684766675455</v>
      </c>
    </row>
    <row r="62" spans="6:16" x14ac:dyDescent="0.25">
      <c r="F62" s="42">
        <v>17</v>
      </c>
      <c r="G62" s="47">
        <v>258.5263157894737</v>
      </c>
      <c r="H62" s="46">
        <v>1002.4236842105263</v>
      </c>
      <c r="I62" s="47">
        <v>203.44200830027506</v>
      </c>
      <c r="J62" s="47">
        <v>88.421052631578775</v>
      </c>
      <c r="K62" s="45">
        <v>0</v>
      </c>
      <c r="L62" s="47">
        <v>34.759248069866075</v>
      </c>
      <c r="M62" s="47">
        <v>6984.123145006175</v>
      </c>
      <c r="N62" s="47">
        <v>24431.816377743729</v>
      </c>
      <c r="O62" s="45">
        <v>0.28586837941134491</v>
      </c>
      <c r="P62" s="48">
        <v>1.1463275631368786</v>
      </c>
    </row>
    <row r="63" spans="6:16" x14ac:dyDescent="0.25">
      <c r="F63" s="42">
        <v>18</v>
      </c>
      <c r="G63" s="47">
        <v>274.68421052631578</v>
      </c>
      <c r="H63" s="46">
        <v>1001.6157894736842</v>
      </c>
      <c r="I63" s="47">
        <v>214.19248880210881</v>
      </c>
      <c r="J63" s="47">
        <v>88.947368421052445</v>
      </c>
      <c r="K63" s="45">
        <v>0</v>
      </c>
      <c r="L63" s="47">
        <v>34.737927766074499</v>
      </c>
      <c r="M63" s="47">
        <v>7422.1299327272991</v>
      </c>
      <c r="N63" s="47">
        <v>26132.151613686299</v>
      </c>
      <c r="O63" s="45">
        <v>0.28403072909496224</v>
      </c>
      <c r="P63" s="48">
        <v>1.1775756411860545</v>
      </c>
    </row>
    <row r="64" spans="6:16" x14ac:dyDescent="0.25">
      <c r="F64" s="42">
        <v>19</v>
      </c>
      <c r="G64" s="47">
        <v>290.84210526315792</v>
      </c>
      <c r="H64" s="46">
        <v>1000.8078947368422</v>
      </c>
      <c r="I64" s="47">
        <v>224.94880577210751</v>
      </c>
      <c r="J64" s="47">
        <v>89.47368421052613</v>
      </c>
      <c r="K64" s="45">
        <v>0</v>
      </c>
      <c r="L64" s="47">
        <v>34.719263626148489</v>
      </c>
      <c r="M64" s="47">
        <v>7860.1332685406733</v>
      </c>
      <c r="N64" s="47">
        <v>27833.356702184567</v>
      </c>
      <c r="O64" s="45">
        <v>0.28240815855262696</v>
      </c>
      <c r="P64" s="48">
        <v>1.2098966021247457</v>
      </c>
    </row>
    <row r="65" spans="2:35" x14ac:dyDescent="0.25">
      <c r="F65" s="56">
        <v>20</v>
      </c>
      <c r="G65" s="57">
        <v>307</v>
      </c>
      <c r="H65" s="58">
        <v>1000</v>
      </c>
      <c r="I65" s="57">
        <v>235.7100026917133</v>
      </c>
      <c r="J65" s="57">
        <v>89.999999999999801</v>
      </c>
      <c r="K65" s="59">
        <v>0</v>
      </c>
      <c r="L65" s="57">
        <v>34.702774002991731</v>
      </c>
      <c r="M65" s="57">
        <v>8298.1339632740528</v>
      </c>
      <c r="N65" s="57">
        <v>29535.289128708089</v>
      </c>
      <c r="O65" s="59">
        <v>0.28095658475231672</v>
      </c>
      <c r="P65" s="60">
        <v>1.243162581296928</v>
      </c>
    </row>
    <row r="67" spans="2:35" x14ac:dyDescent="0.25">
      <c r="F67" t="s">
        <v>72</v>
      </c>
    </row>
    <row r="68" spans="2:35" x14ac:dyDescent="0.25">
      <c r="G68" s="36">
        <f>O43</f>
        <v>0</v>
      </c>
    </row>
    <row r="69" spans="2:35" x14ac:dyDescent="0.25">
      <c r="G69" s="36" t="str">
        <f>L43</f>
        <v>{"p_int_atma":50,"t_int_C":80,"p_dis_atma":235.710002691713,"t_dis_C":89.9999999999998}</v>
      </c>
    </row>
    <row r="70" spans="2:35" x14ac:dyDescent="0.25">
      <c r="G70" s="36" t="str">
        <f>M43</f>
        <v>{"power_fluid_W":8298.13396327405,"power_ESP_W":29535.2891287081,"p_dis_atma":235.710002691713,"eff_ESP_d":0.280956584752317}</v>
      </c>
    </row>
    <row r="71" spans="2:35" x14ac:dyDescent="0.25">
      <c r="G71" s="36">
        <f>N43</f>
        <v>0</v>
      </c>
    </row>
    <row r="72" spans="2:35" x14ac:dyDescent="0.25">
      <c r="G72" s="36"/>
    </row>
    <row r="73" spans="2:35" x14ac:dyDescent="0.25">
      <c r="C73" s="4"/>
    </row>
    <row r="74" spans="2:35" x14ac:dyDescent="0.25">
      <c r="C74" s="4"/>
      <c r="D74" s="61" t="s">
        <v>10</v>
      </c>
      <c r="E74" s="62"/>
      <c r="F74" s="62"/>
      <c r="G74" s="62"/>
      <c r="H74" s="63"/>
      <c r="AI74" t="s">
        <v>73</v>
      </c>
    </row>
    <row r="75" spans="2:35" ht="26.4" x14ac:dyDescent="0.25">
      <c r="C75" s="18" t="s">
        <v>0</v>
      </c>
      <c r="D75" s="19" t="s">
        <v>50</v>
      </c>
      <c r="E75" s="19" t="s">
        <v>74</v>
      </c>
      <c r="F75" s="19" t="s">
        <v>75</v>
      </c>
      <c r="G75" s="19"/>
      <c r="H75" s="19" t="s">
        <v>76</v>
      </c>
      <c r="AI75" t="e" cm="1">
        <f t="array" aca="1" ref="AI75" ca="1">[1]!decode_json_string(G68,0)</f>
        <v>#NAME?</v>
      </c>
    </row>
    <row r="76" spans="2:35" x14ac:dyDescent="0.2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[1]!ESP_p_atma(Pintake_,Tintake_,B76,PumpID_,NumStage_,Freq_,Tdis_)</f>
        <v>233.59083563228151</v>
      </c>
      <c r="E76" s="26">
        <v>2455.2872576845593</v>
      </c>
      <c r="F76" s="26">
        <v>79.713960428258133</v>
      </c>
      <c r="G76" s="26">
        <v>0</v>
      </c>
      <c r="H76" s="76">
        <v>0.471745292299663</v>
      </c>
    </row>
    <row r="77" spans="2:35" x14ac:dyDescent="0.2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1">C76+Qmax_/20</f>
        <v>10.625</v>
      </c>
      <c r="D77" s="26">
        <f t="array" ref="D77:H77">[1]!ESP_p_atma(Pintake_,Tintake_,B77,PumpID_,NumStage_,Freq_,Tdis_)</f>
        <v>235.68814120591387</v>
      </c>
      <c r="E77" s="26">
        <v>2480.5410417602775</v>
      </c>
      <c r="F77" s="26">
        <v>82.121009085893391</v>
      </c>
      <c r="G77" s="26">
        <v>0</v>
      </c>
      <c r="H77" s="76">
        <v>0.47174529229966294</v>
      </c>
    </row>
    <row r="78" spans="2:35" x14ac:dyDescent="0.2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1"/>
        <v>20.25</v>
      </c>
      <c r="D78" s="26">
        <f t="array" ref="D78:H78">[1]!ESP_p_atma(Pintake_,Tintake_,B78,PumpID_,NumStage_,Freq_,Tdis_)</f>
        <v>236.39467900775728</v>
      </c>
      <c r="E78" s="26">
        <v>2489.1419307335709</v>
      </c>
      <c r="F78" s="26">
        <v>84.044995774135771</v>
      </c>
      <c r="G78" s="26">
        <v>0</v>
      </c>
      <c r="H78" s="76">
        <v>0.47174529229966294</v>
      </c>
    </row>
    <row r="79" spans="2:35" x14ac:dyDescent="0.2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1"/>
        <v>29.875</v>
      </c>
      <c r="D79" s="26">
        <f t="array" ref="D79:H79">[1]!ESP_p_atma(Pintake_,Tintake_,B79,PumpID_,NumStage_,Freq_,Tdis_)</f>
        <v>235.74352039165322</v>
      </c>
      <c r="E79" s="26">
        <v>2481.1622446419178</v>
      </c>
      <c r="F79" s="26">
        <v>85.45931398142335</v>
      </c>
      <c r="G79" s="26">
        <v>0</v>
      </c>
      <c r="H79" s="76">
        <v>0.47174529229966294</v>
      </c>
    </row>
    <row r="80" spans="2:35" x14ac:dyDescent="0.2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1"/>
        <v>39.5</v>
      </c>
      <c r="D80" s="26">
        <f t="array" ref="D80:H80">[1]!ESP_p_atma(Pintake_,Tintake_,B80,PumpID_,NumStage_,Freq_,Tdis_)</f>
        <v>233.52537589810572</v>
      </c>
      <c r="E80" s="26">
        <v>2454.6400182916518</v>
      </c>
      <c r="F80" s="26">
        <v>86.307034731211289</v>
      </c>
      <c r="G80" s="26">
        <v>0</v>
      </c>
      <c r="H80" s="76">
        <v>0.47174529229966294</v>
      </c>
    </row>
    <row r="81" spans="2:36" x14ac:dyDescent="0.2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1"/>
        <v>49.125</v>
      </c>
      <c r="D81" s="26">
        <f t="array" ref="D81:H81">[1]!ESP_p_atma(Pintake_,Tintake_,B81,PumpID_,NumStage_,Freq_,Tdis_)</f>
        <v>228.71715280269541</v>
      </c>
      <c r="E81" s="26">
        <v>2396.3630226048649</v>
      </c>
      <c r="F81" s="26">
        <v>86.841859425684973</v>
      </c>
      <c r="G81" s="26">
        <v>0</v>
      </c>
      <c r="H81" s="76">
        <v>0.471745292299663</v>
      </c>
    </row>
    <row r="82" spans="2:36" x14ac:dyDescent="0.2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1"/>
        <v>58.75</v>
      </c>
      <c r="D82" s="26">
        <f t="array" ref="D82:H82">[1]!ESP_p_atma(Pintake_,Tintake_,B82,PumpID_,NumStage_,Freq_,Tdis_)</f>
        <v>219.92788508595368</v>
      </c>
      <c r="E82" s="26">
        <v>2290.0530942925157</v>
      </c>
      <c r="F82" s="26">
        <v>87.394271877577211</v>
      </c>
      <c r="G82" s="26">
        <v>0</v>
      </c>
      <c r="H82" s="76">
        <v>0.47174529229966294</v>
      </c>
    </row>
    <row r="83" spans="2:36" x14ac:dyDescent="0.2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1"/>
        <v>68.375</v>
      </c>
      <c r="D83" s="26">
        <f t="array" ref="D83:H83">[1]!ESP_p_atma(Pintake_,Tintake_,B83,PumpID_,NumStage_,Freq_,Tdis_)</f>
        <v>204.85412202761503</v>
      </c>
      <c r="E83" s="26">
        <v>2107.9056299779108</v>
      </c>
      <c r="F83" s="26">
        <v>87.962976922651265</v>
      </c>
      <c r="G83" s="26">
        <v>0</v>
      </c>
      <c r="H83" s="76">
        <v>0.47174529229966289</v>
      </c>
    </row>
    <row r="84" spans="2:36" x14ac:dyDescent="0.2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1"/>
        <v>78</v>
      </c>
      <c r="D84" s="26">
        <f t="array" ref="D84:H84">[1]!ESP_p_atma(Pintake_,Tintake_,B84,PumpID_,NumStage_,Freq_,Tdis_)</f>
        <v>180.52067045118807</v>
      </c>
      <c r="E84" s="26">
        <v>1813.584126412291</v>
      </c>
      <c r="F84" s="26">
        <v>88.3958111148619</v>
      </c>
      <c r="G84" s="26">
        <v>0</v>
      </c>
      <c r="H84" s="76">
        <v>0.47174529229966294</v>
      </c>
    </row>
    <row r="85" spans="2:36" x14ac:dyDescent="0.2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1"/>
        <v>87.625</v>
      </c>
      <c r="D85" s="26">
        <f t="array" ref="D85:H85">[1]!ESP_p_atma(Pintake_,Tintake_,B85,PumpID_,NumStage_,Freq_,Tdis_)</f>
        <v>134.9941443730562</v>
      </c>
      <c r="E85" s="26">
        <v>1262.0521460606219</v>
      </c>
      <c r="F85" s="26">
        <v>86.681196042130821</v>
      </c>
      <c r="G85" s="26">
        <v>0</v>
      </c>
      <c r="H85" s="76">
        <v>0.471745292299663</v>
      </c>
      <c r="AJ85" s="35"/>
    </row>
    <row r="86" spans="2:36" x14ac:dyDescent="0.2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1"/>
        <v>97.25</v>
      </c>
      <c r="D86" s="26">
        <f t="array" ref="D86:H86">[1]!ESP_p_atma(Pintake_,Tintake_,B86,PumpID_,NumStage_,Freq_,Tdis_)</f>
        <v>11.105326164595871</v>
      </c>
      <c r="E86" s="26">
        <v>-1519.1351480896881</v>
      </c>
      <c r="F86" s="26">
        <v>0</v>
      </c>
      <c r="G86" s="26">
        <v>0</v>
      </c>
      <c r="H86" s="76">
        <v>0.47174529229966294</v>
      </c>
      <c r="AJ86" s="35"/>
    </row>
    <row r="87" spans="2:36" x14ac:dyDescent="0.2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1"/>
        <v>106.875</v>
      </c>
      <c r="D87" s="26">
        <f t="array" ref="D87:H87">[1]!ESP_p_atma(Pintake_,Tintake_,B87,PumpID_,NumStage_,Freq_,Tdis_)</f>
        <v>5.835522957573847</v>
      </c>
      <c r="E87" s="26">
        <v>-2135.1138115213394</v>
      </c>
      <c r="F87" s="26">
        <v>0</v>
      </c>
      <c r="G87" s="26">
        <v>0</v>
      </c>
      <c r="H87" s="76">
        <v>0.471745292299663</v>
      </c>
      <c r="AJ87" s="35"/>
    </row>
    <row r="88" spans="2:36" x14ac:dyDescent="0.2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1"/>
        <v>116.5</v>
      </c>
      <c r="D88" s="26">
        <f t="array" ref="D88:H88">[1]!ESP_p_atma(Pintake_,Tintake_,B88,PumpID_,NumStage_,Freq_,Tdis_)</f>
        <v>4.8225228460956417</v>
      </c>
      <c r="E88" s="26">
        <v>-2315.5436014823399</v>
      </c>
      <c r="F88" s="26">
        <v>0</v>
      </c>
      <c r="G88" s="26">
        <v>0</v>
      </c>
      <c r="H88" s="76">
        <v>0.47174529229966294</v>
      </c>
      <c r="AJ88" s="35"/>
    </row>
    <row r="89" spans="2:36" x14ac:dyDescent="0.2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1"/>
        <v>126.125</v>
      </c>
      <c r="D89" s="26">
        <f t="array" ref="D89:H89">[1]!ESP_p_atma(Pintake_,Tintake_,B89,PumpID_,NumStage_,Freq_,Tdis_)</f>
        <v>4.4335889801287021</v>
      </c>
      <c r="E89" s="26">
        <v>-2394.7645280454817</v>
      </c>
      <c r="F89" s="26">
        <v>0</v>
      </c>
      <c r="G89" s="26">
        <v>0</v>
      </c>
      <c r="H89" s="76">
        <v>0.47174529229966294</v>
      </c>
      <c r="AJ89" s="35"/>
    </row>
    <row r="90" spans="2:36" x14ac:dyDescent="0.2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1"/>
        <v>135.75</v>
      </c>
      <c r="D90" s="26">
        <f t="array" ref="D90:H90">[1]!ESP_p_atma(Pintake_,Tintake_,B90,PumpID_,NumStage_,Freq_,Tdis_)</f>
        <v>4.2627335157036406</v>
      </c>
      <c r="E90" s="26">
        <v>-2431.5977173072229</v>
      </c>
      <c r="F90" s="26">
        <v>0</v>
      </c>
      <c r="G90" s="26">
        <v>0</v>
      </c>
      <c r="H90" s="76">
        <v>0.471745292299663</v>
      </c>
      <c r="AJ90" s="35"/>
    </row>
    <row r="91" spans="2:36" x14ac:dyDescent="0.2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1"/>
        <v>145.375</v>
      </c>
      <c r="D91" s="26">
        <f t="array" ref="D91:H91">[1]!ESP_p_atma(Pintake_,Tintake_,B91,PumpID_,NumStage_,Freq_,Tdis_)</f>
        <v>4.1880258216566872</v>
      </c>
      <c r="E91" s="26">
        <v>-2448.0669046659691</v>
      </c>
      <c r="F91" s="26">
        <v>0</v>
      </c>
      <c r="G91" s="26">
        <v>0</v>
      </c>
      <c r="H91" s="76">
        <v>0.471745292299663</v>
      </c>
      <c r="AJ91" s="35"/>
    </row>
    <row r="92" spans="2:36" x14ac:dyDescent="0.2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1"/>
        <v>155</v>
      </c>
      <c r="D92" s="26">
        <f t="array" ref="D92:H92">[1]!ESP_p_atma(Pintake_,Tintake_,B92,PumpID_,NumStage_,Freq_,Tdis_)</f>
        <v>4.1670116904780352</v>
      </c>
      <c r="E92" s="26">
        <v>-2452.7237141149444</v>
      </c>
      <c r="F92" s="26">
        <v>0</v>
      </c>
      <c r="G92" s="26">
        <v>0</v>
      </c>
      <c r="H92" s="76">
        <v>0.47174529229966294</v>
      </c>
      <c r="AJ92" s="35"/>
    </row>
    <row r="93" spans="2:36" x14ac:dyDescent="0.2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1"/>
        <v>164.625</v>
      </c>
      <c r="D93" s="26">
        <f t="array" ref="D93:H93">[1]!ESP_p_atma(Pintake_,Tintake_,B93,PumpID_,NumStage_,Freq_,Tdis_)</f>
        <v>4.1628303885687945</v>
      </c>
      <c r="E93" s="26">
        <v>-2453.6362275434399</v>
      </c>
      <c r="F93" s="26">
        <v>0</v>
      </c>
      <c r="G93" s="26">
        <v>0</v>
      </c>
      <c r="H93" s="76">
        <v>0.47174529229966294</v>
      </c>
      <c r="AJ93" s="35"/>
    </row>
    <row r="94" spans="2:36" x14ac:dyDescent="0.2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1"/>
        <v>174.25</v>
      </c>
      <c r="D94" s="26">
        <f t="array" ref="D94:H94">[1]!ESP_p_atma(Pintake_,Tintake_,B94,PumpID_,NumStage_,Freq_,Tdis_)</f>
        <v>4.1647433673407672</v>
      </c>
      <c r="E94" s="26">
        <v>-2453.2171191212633</v>
      </c>
      <c r="F94" s="26">
        <v>0</v>
      </c>
      <c r="G94" s="26">
        <v>0</v>
      </c>
      <c r="H94" s="76">
        <v>0.471745292299663</v>
      </c>
      <c r="AJ94" s="35"/>
    </row>
    <row r="95" spans="2:36" x14ac:dyDescent="0.2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1"/>
        <v>183.875</v>
      </c>
      <c r="D95" s="26">
        <f t="array" ref="D95:H95">[1]!ESP_p_atma(Pintake_,Tintake_,B95,PumpID_,NumStage_,Freq_,Tdis_)</f>
        <v>4.1710515666892976</v>
      </c>
      <c r="E95" s="26">
        <v>-2451.8125918681076</v>
      </c>
      <c r="F95" s="26">
        <v>0</v>
      </c>
      <c r="G95" s="26">
        <v>0</v>
      </c>
      <c r="H95" s="76">
        <v>0.47174529229966289</v>
      </c>
    </row>
    <row r="96" spans="2:36" x14ac:dyDescent="0.2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1"/>
        <v>193.5</v>
      </c>
      <c r="D96" s="26">
        <f t="array" ref="D96:H96">[1]!ESP_p_atma(Pintake_,Tintake_,B96,PumpID_,NumStage_,Freq_,Tdis_)</f>
        <v>4.1715435979616142</v>
      </c>
      <c r="E96" s="26">
        <v>-2451.7019999999998</v>
      </c>
      <c r="F96" s="26">
        <v>0</v>
      </c>
      <c r="G96" s="26">
        <v>0</v>
      </c>
      <c r="H96" s="76">
        <v>0.47174529229966289</v>
      </c>
    </row>
    <row r="97" spans="2:36" x14ac:dyDescent="0.25">
      <c r="D97" s="24"/>
      <c r="E97" s="24"/>
      <c r="F97" s="24"/>
      <c r="G97" s="25"/>
      <c r="H97" s="26"/>
    </row>
    <row r="100" spans="2:36" x14ac:dyDescent="0.25">
      <c r="AI100" t="e" cm="1">
        <f t="array" aca="1" ref="AI100" ca="1">[1]!decode_json_string(AJ75,0)</f>
        <v>#NAME?</v>
      </c>
    </row>
    <row r="102" spans="2:36" x14ac:dyDescent="0.25">
      <c r="C102" s="4"/>
      <c r="D102" s="61" t="s">
        <v>11</v>
      </c>
      <c r="E102" s="62"/>
      <c r="F102" s="62"/>
      <c r="G102" s="62"/>
      <c r="H102" s="63"/>
    </row>
    <row r="103" spans="2:36" ht="26.4" x14ac:dyDescent="0.25">
      <c r="C103" s="18" t="s">
        <v>0</v>
      </c>
      <c r="D103" s="19" t="s">
        <v>12</v>
      </c>
      <c r="E103" s="19" t="s">
        <v>74</v>
      </c>
      <c r="F103" s="19" t="s">
        <v>75</v>
      </c>
      <c r="G103" s="19"/>
      <c r="H103" s="19" t="s">
        <v>76</v>
      </c>
    </row>
    <row r="104" spans="2:36" x14ac:dyDescent="0.2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>C76</f>
        <v>1</v>
      </c>
      <c r="D104" s="26">
        <f t="array" ref="D104:H104">[1]!ESP_p_atma(Pdis_,Tintake_,B76,PumpID_,NumStage_,Freq_,Tdis_,0)</f>
        <v>18.880433586909074</v>
      </c>
      <c r="E104" s="26">
        <v>2457.545142187354</v>
      </c>
      <c r="F104" s="26">
        <v>56.97410295984119</v>
      </c>
      <c r="G104" s="25">
        <v>0</v>
      </c>
      <c r="H104" s="26">
        <v>0</v>
      </c>
    </row>
    <row r="105" spans="2:36" x14ac:dyDescent="0.2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ref="C105:C124" si="2">C77</f>
        <v>10.625</v>
      </c>
      <c r="D105" s="26">
        <f t="array" ref="D105:H105">[1]!ESP_p_atma(Pdis_,Tintake_,B77,PumpID_,NumStage_,Freq_,Tdis_,0)</f>
        <v>18.419891100563895</v>
      </c>
      <c r="E105" s="26">
        <v>2482.5531485691035</v>
      </c>
      <c r="F105" s="26">
        <v>58.714400534427568</v>
      </c>
      <c r="G105" s="25">
        <v>0</v>
      </c>
      <c r="H105" s="26">
        <v>0</v>
      </c>
      <c r="AI105" t="e" cm="1">
        <f t="array" aca="1" ref="AI105" ca="1">[1]!decode_json_string(AJ100,0)</f>
        <v>#NAME?</v>
      </c>
      <c r="AJ105" t="e" cm="1">
        <f t="array" aca="1" ref="AJ105" ca="1">[1]!decode_json_string(AJ101,0)</f>
        <v>#NAME?</v>
      </c>
    </row>
    <row r="106" spans="2:36" x14ac:dyDescent="0.2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2"/>
        <v>20.25</v>
      </c>
      <c r="D106" s="26">
        <f t="array" ref="D106:H106">[1]!ESP_p_atma(Pdis_,Tintake_,B78,PumpID_,NumStage_,Freq_,Tdis_,0)</f>
        <v>19.213765575330811</v>
      </c>
      <c r="E106" s="26">
        <v>2440.8389614816529</v>
      </c>
      <c r="F106" s="26">
        <v>60.302431733188435</v>
      </c>
      <c r="G106" s="25">
        <v>0</v>
      </c>
      <c r="H106" s="26">
        <v>0</v>
      </c>
    </row>
    <row r="107" spans="2:36" x14ac:dyDescent="0.2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2"/>
        <v>29.875</v>
      </c>
      <c r="D107" s="26">
        <f t="array" ref="D107:H107">[1]!ESP_p_atma(Pdis_,Tintake_,B79,PumpID_,NumStage_,Freq_,Tdis_,0)</f>
        <v>21.751734274894091</v>
      </c>
      <c r="E107" s="26">
        <v>2316.7310106744981</v>
      </c>
      <c r="F107" s="26">
        <v>62.375595276083786</v>
      </c>
      <c r="G107" s="25">
        <v>0</v>
      </c>
      <c r="H107" s="26">
        <v>0</v>
      </c>
    </row>
    <row r="108" spans="2:36" x14ac:dyDescent="0.2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2"/>
        <v>39.5</v>
      </c>
      <c r="D108" s="26">
        <f t="array" ref="D108:H108">[1]!ESP_p_atma(Pdis_,Tintake_,B80,PumpID_,NumStage_,Freq_,Tdis_,0)</f>
        <v>25.397216627393398</v>
      </c>
      <c r="E108" s="26">
        <v>2159.7897941912679</v>
      </c>
      <c r="F108" s="26">
        <v>65.097588277649578</v>
      </c>
      <c r="G108" s="25">
        <v>0</v>
      </c>
      <c r="H108" s="26">
        <v>0</v>
      </c>
    </row>
    <row r="109" spans="2:36" x14ac:dyDescent="0.2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2"/>
        <v>49.125</v>
      </c>
      <c r="D109" s="26">
        <f t="array" ref="D109:H109">[1]!ESP_p_atma(Pdis_,Tintake_,B81,PumpID_,NumStage_,Freq_,Tdis_,0)</f>
        <v>29.716747721809355</v>
      </c>
      <c r="E109" s="26">
        <v>1998.4867538500296</v>
      </c>
      <c r="F109" s="26">
        <v>68.533244392811795</v>
      </c>
      <c r="G109" s="25">
        <v>0</v>
      </c>
      <c r="H109" s="26">
        <v>0</v>
      </c>
    </row>
    <row r="110" spans="2:36" x14ac:dyDescent="0.2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2"/>
        <v>58.75</v>
      </c>
      <c r="D110" s="26">
        <f t="array" ref="D110:H110">[1]!ESP_p_atma(Pdis_,Tintake_,B82,PumpID_,NumStage_,Freq_,Tdis_,0)</f>
        <v>34.522129659433652</v>
      </c>
      <c r="E110" s="26">
        <v>1842.1180689125638</v>
      </c>
      <c r="F110" s="26">
        <v>72.709148381389411</v>
      </c>
      <c r="G110" s="25">
        <v>0</v>
      </c>
      <c r="H110" s="26">
        <v>0</v>
      </c>
    </row>
    <row r="111" spans="2:36" x14ac:dyDescent="0.2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2"/>
        <v>68.375</v>
      </c>
      <c r="D111" s="26">
        <f t="array" ref="D111:H111">[1]!ESP_p_atma(Pdis_,Tintake_,B83,PumpID_,NumStage_,Freq_,Tdis_,0)</f>
        <v>39.764386986841217</v>
      </c>
      <c r="E111" s="26">
        <v>1692.5403733121873</v>
      </c>
      <c r="F111" s="26">
        <v>77.587611927623712</v>
      </c>
      <c r="G111" s="25">
        <v>0</v>
      </c>
      <c r="H111" s="26">
        <v>0</v>
      </c>
    </row>
    <row r="112" spans="2:36" x14ac:dyDescent="0.2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2"/>
        <v>78</v>
      </c>
      <c r="D112" s="26">
        <f t="array" ref="D112:H112">[1]!ESP_p_atma(Pdis_,Tintake_,B84,PumpID_,NumStage_,Freq_,Tdis_,0)</f>
        <v>45.413512680721119</v>
      </c>
      <c r="E112" s="26">
        <v>1549.455663054307</v>
      </c>
      <c r="F112" s="26">
        <v>83.117014584587437</v>
      </c>
      <c r="G112" s="25">
        <v>0</v>
      </c>
      <c r="H112" s="26">
        <v>0</v>
      </c>
    </row>
    <row r="113" spans="2:8" x14ac:dyDescent="0.2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2"/>
        <v>87.625</v>
      </c>
      <c r="D113" s="26">
        <f t="array" ref="D113:H113">[1]!ESP_p_atma(Pdis_,Tintake_,B85,PumpID_,NumStage_,Freq_,Tdis_,0)</f>
        <v>51.44964938126575</v>
      </c>
      <c r="E113" s="26">
        <v>1412.3337113227183</v>
      </c>
      <c r="F113" s="26">
        <v>89.142053240011535</v>
      </c>
      <c r="G113" s="25">
        <v>0</v>
      </c>
      <c r="H113" s="26">
        <v>0</v>
      </c>
    </row>
    <row r="114" spans="2:8" x14ac:dyDescent="0.2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2"/>
        <v>97.25</v>
      </c>
      <c r="D114" s="26">
        <f t="array" ref="D114:H114">[1]!ESP_p_atma(Pdis_,Tintake_,B86,PumpID_,NumStage_,Freq_,Tdis_,0)</f>
        <v>57.920497799270727</v>
      </c>
      <c r="E114" s="26">
        <v>1279.8502711706919</v>
      </c>
      <c r="F114" s="26">
        <v>95.417823008402337</v>
      </c>
      <c r="G114" s="25">
        <v>0</v>
      </c>
      <c r="H114" s="26">
        <v>0</v>
      </c>
    </row>
    <row r="115" spans="2:8" x14ac:dyDescent="0.2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2"/>
        <v>106.875</v>
      </c>
      <c r="D115" s="26">
        <f t="array" ref="D115:H115">[1]!ESP_p_atma(Pdis_,Tintake_,B87,PumpID_,NumStage_,Freq_,Tdis_,0)</f>
        <v>64.899975262187624</v>
      </c>
      <c r="E115" s="26">
        <v>1149.7483821009948</v>
      </c>
      <c r="F115" s="26">
        <v>101.78785833922849</v>
      </c>
      <c r="G115" s="25">
        <v>0</v>
      </c>
      <c r="H115" s="26">
        <v>0</v>
      </c>
    </row>
    <row r="116" spans="2:8" x14ac:dyDescent="0.2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2"/>
        <v>116.5</v>
      </c>
      <c r="D116" s="26">
        <f t="array" ref="D116:H116">[1]!ESP_p_atma(Pdis_,Tintake_,B88,PumpID_,NumStage_,Freq_,Tdis_,0)</f>
        <v>72.521104216092994</v>
      </c>
      <c r="E116" s="26">
        <v>1019.6490976249236</v>
      </c>
      <c r="F116" s="26">
        <v>108.23540464821561</v>
      </c>
      <c r="G116" s="25">
        <v>0</v>
      </c>
      <c r="H116" s="26">
        <v>0</v>
      </c>
    </row>
    <row r="117" spans="2:8" x14ac:dyDescent="0.2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2"/>
        <v>126.125</v>
      </c>
      <c r="D117" s="26">
        <f t="array" ref="D117:H117">[1]!ESP_p_atma(Pdis_,Tintake_,B89,PumpID_,NumStage_,Freq_,Tdis_,0)</f>
        <v>81.014855099435053</v>
      </c>
      <c r="E117" s="26">
        <v>886.13370436718321</v>
      </c>
      <c r="F117" s="26">
        <v>114.75442952799999</v>
      </c>
      <c r="G117" s="25">
        <v>0</v>
      </c>
      <c r="H117" s="26">
        <v>0</v>
      </c>
    </row>
    <row r="118" spans="2:8" x14ac:dyDescent="0.2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2"/>
        <v>135.75</v>
      </c>
      <c r="D118" s="26">
        <f t="array" ref="D118:H118">[1]!ESP_p_atma(Pdis_,Tintake_,B90,PumpID_,NumStage_,Freq_,Tdis_,0)</f>
        <v>90.820227711550388</v>
      </c>
      <c r="E118" s="26">
        <v>743.60316147001129</v>
      </c>
      <c r="F118" s="26">
        <v>121.29200278517621</v>
      </c>
      <c r="G118" s="25">
        <v>0</v>
      </c>
      <c r="H118" s="26">
        <v>0</v>
      </c>
    </row>
    <row r="119" spans="2:8" x14ac:dyDescent="0.2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2"/>
        <v>145.375</v>
      </c>
      <c r="D119" s="26">
        <f t="array" ref="D119:H119">[1]!ESP_p_atma(Pdis_,Tintake_,B91,PumpID_,NumStage_,Freq_,Tdis_,0)</f>
        <v>103.33446446452582</v>
      </c>
      <c r="E119" s="26">
        <v>575.5254737939307</v>
      </c>
      <c r="F119" s="26">
        <v>127.69833667301315</v>
      </c>
      <c r="G119" s="25">
        <v>0</v>
      </c>
      <c r="H119" s="26">
        <v>0</v>
      </c>
    </row>
    <row r="120" spans="2:8" x14ac:dyDescent="0.2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2"/>
        <v>155</v>
      </c>
      <c r="D120" s="26">
        <f t="array" ref="D120:H120">[1]!ESP_p_atma(Pdis_,Tintake_,B92,PumpID_,NumStage_,Freq_,Tdis_,0)</f>
        <v>123.98023117110506</v>
      </c>
      <c r="E120" s="26">
        <v>318.91573839380692</v>
      </c>
      <c r="F120" s="26">
        <v>133.44210905412095</v>
      </c>
      <c r="G120" s="25">
        <v>0</v>
      </c>
      <c r="H120" s="26">
        <v>0</v>
      </c>
    </row>
    <row r="121" spans="2:8" x14ac:dyDescent="0.2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2"/>
        <v>164.625</v>
      </c>
      <c r="D121" s="26">
        <f t="array" ref="D121:H121">[1]!ESP_p_atma(Pdis_,Tintake_,B93,PumpID_,NumStage_,Freq_,Tdis_,0)</f>
        <v>147.73117895563487</v>
      </c>
      <c r="E121" s="26">
        <v>27.731794815855451</v>
      </c>
      <c r="F121" s="26">
        <v>139.25294206979117</v>
      </c>
      <c r="G121" s="25">
        <v>0</v>
      </c>
      <c r="H121" s="26">
        <v>0</v>
      </c>
    </row>
    <row r="122" spans="2:8" x14ac:dyDescent="0.2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2"/>
        <v>174.25</v>
      </c>
      <c r="D122" s="26">
        <f t="array" ref="D122:H122">[1]!ESP_p_atma(Pdis_,Tintake_,B94,PumpID_,NumStage_,Freq_,Tdis_,0)</f>
        <v>173.24102010692701</v>
      </c>
      <c r="E122" s="26">
        <v>-284.77084020409416</v>
      </c>
      <c r="F122" s="26">
        <v>0</v>
      </c>
      <c r="G122" s="25">
        <v>0</v>
      </c>
      <c r="H122" s="26">
        <v>0</v>
      </c>
    </row>
    <row r="123" spans="2:8" x14ac:dyDescent="0.2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2"/>
        <v>183.875</v>
      </c>
      <c r="D123" s="26">
        <f t="array" ref="D123:H123">[1]!ESP_p_atma(Pdis_,Tintake_,B95,PumpID_,NumStage_,Freq_,Tdis_,0)</f>
        <v>196.25477588521363</v>
      </c>
      <c r="E123" s="26">
        <v>-565.9545089314272</v>
      </c>
      <c r="F123" s="26">
        <v>0</v>
      </c>
      <c r="G123" s="25">
        <v>0</v>
      </c>
      <c r="H123" s="26">
        <v>0</v>
      </c>
    </row>
    <row r="124" spans="2:8" x14ac:dyDescent="0.2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2"/>
        <v>193.5</v>
      </c>
      <c r="D124" s="26">
        <f t="array" ref="D124:H124">[1]!ESP_p_atma(Pdis_,Tintake_,B96,PumpID_,NumStage_,Freq_,Tdis_,0)</f>
        <v>218.23242048913011</v>
      </c>
      <c r="E124" s="26">
        <v>-833.89303395217917</v>
      </c>
      <c r="F124" s="26">
        <v>0</v>
      </c>
      <c r="G124" s="25">
        <v>0</v>
      </c>
      <c r="H124" s="26">
        <v>0</v>
      </c>
    </row>
    <row r="125" spans="2:8" x14ac:dyDescent="0.25">
      <c r="B125" t="str" cm="1">
        <f t="array" ref="B125">[1]!encode_feed(C125,fw_,Rp_,,PVT_str_)</f>
        <v>{"gamma_gas":0.8,"gamma_oil":0.9,"gamma_wat":1,"rsb_m3m3":80,"pb_atma":120,"t_res_C":100,"bob_m3m3":1.2,"muob_cP":1,"q_liq_sm3day":0,"fw_perc":10,"rp_m3m3":80}</v>
      </c>
      <c r="D125" s="26">
        <f t="array" ref="D125:H125">[1]!ESP_p_atma(Pdis_,Tintake_,B97,PumpID_,NumStage_,Freq_,Tdis_,0)</f>
        <v>40.153356194576226</v>
      </c>
      <c r="E125" s="26">
        <v>2486.9979001336051</v>
      </c>
      <c r="F125" s="26">
        <v>49.117527860232137</v>
      </c>
      <c r="G125" s="25">
        <v>0</v>
      </c>
      <c r="H125" s="26">
        <v>0</v>
      </c>
    </row>
    <row r="138" spans="4:11" x14ac:dyDescent="0.25">
      <c r="D138" s="37"/>
      <c r="F138" s="36"/>
      <c r="H138" s="36"/>
      <c r="I138" s="36"/>
      <c r="J138" s="35"/>
      <c r="K138" s="36"/>
    </row>
    <row r="139" spans="4:11" x14ac:dyDescent="0.25">
      <c r="D139" s="37"/>
      <c r="F139" s="36"/>
      <c r="H139" s="36"/>
      <c r="I139" s="36"/>
      <c r="J139" s="35"/>
      <c r="K139" s="36"/>
    </row>
    <row r="140" spans="4:11" x14ac:dyDescent="0.25">
      <c r="D140" s="37"/>
      <c r="F140" s="36"/>
      <c r="H140" s="36"/>
      <c r="I140" s="36"/>
      <c r="J140" s="35"/>
      <c r="K140" s="36"/>
    </row>
    <row r="141" spans="4:11" x14ac:dyDescent="0.25">
      <c r="D141" s="37"/>
      <c r="F141" s="36"/>
      <c r="H141" s="36"/>
      <c r="I141" s="36"/>
      <c r="J141" s="35"/>
      <c r="K141" s="36"/>
    </row>
    <row r="142" spans="4:11" x14ac:dyDescent="0.25">
      <c r="D142" s="37"/>
      <c r="F142" s="36"/>
      <c r="H142" s="36"/>
      <c r="I142" s="36"/>
      <c r="J142" s="35"/>
      <c r="K142" s="36"/>
    </row>
    <row r="143" spans="4:11" x14ac:dyDescent="0.25">
      <c r="D143" s="37"/>
      <c r="E143" s="36"/>
      <c r="F143" s="36"/>
      <c r="H143" s="36"/>
      <c r="I143" s="36"/>
      <c r="J143" s="35"/>
      <c r="K143" s="36"/>
    </row>
    <row r="144" spans="4:11" x14ac:dyDescent="0.25">
      <c r="D144" s="37"/>
      <c r="E144" s="36"/>
      <c r="F144" s="36"/>
      <c r="H144" s="36"/>
      <c r="I144" s="36"/>
      <c r="J144" s="35"/>
      <c r="K144" s="36"/>
    </row>
    <row r="145" spans="4:30" x14ac:dyDescent="0.25">
      <c r="D145" s="37"/>
      <c r="E145" s="36"/>
      <c r="F145" s="36"/>
      <c r="H145" s="36"/>
      <c r="I145" s="36"/>
      <c r="J145" s="35"/>
      <c r="K145" s="36"/>
    </row>
    <row r="146" spans="4:30" x14ac:dyDescent="0.25">
      <c r="D146" s="37"/>
      <c r="E146" s="36"/>
      <c r="F146" s="36"/>
      <c r="H146" s="36"/>
      <c r="I146" s="36"/>
      <c r="J146" s="35"/>
      <c r="K146" s="36"/>
    </row>
    <row r="147" spans="4:30" x14ac:dyDescent="0.25">
      <c r="D147" s="37"/>
      <c r="E147" s="36"/>
      <c r="F147" s="36"/>
      <c r="H147" s="36"/>
      <c r="I147" s="36"/>
      <c r="J147" s="35"/>
      <c r="K147" s="36"/>
    </row>
    <row r="148" spans="4:30" x14ac:dyDescent="0.25">
      <c r="D148" s="37"/>
      <c r="E148" s="36"/>
      <c r="F148" s="36"/>
      <c r="H148" s="36"/>
      <c r="I148" s="36"/>
      <c r="J148" s="35"/>
      <c r="K148" s="36"/>
    </row>
    <row r="149" spans="4:30" x14ac:dyDescent="0.2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5">
      <c r="F162" s="37"/>
      <c r="K162" s="37"/>
      <c r="M162" s="36"/>
      <c r="N162" s="35"/>
    </row>
    <row r="165" spans="6:14" x14ac:dyDescent="0.25">
      <c r="J165" s="38"/>
      <c r="K165" s="38"/>
      <c r="L165" s="38"/>
    </row>
    <row r="166" spans="6:14" x14ac:dyDescent="0.25">
      <c r="J166" s="38"/>
      <c r="K166" s="38"/>
      <c r="L166" s="38"/>
    </row>
    <row r="167" spans="6:14" x14ac:dyDescent="0.25">
      <c r="J167" s="38"/>
      <c r="K167" s="38"/>
      <c r="L167" s="38"/>
    </row>
    <row r="168" spans="6:14" x14ac:dyDescent="0.25">
      <c r="J168" s="38"/>
      <c r="K168" s="38"/>
      <c r="L168" s="38"/>
    </row>
    <row r="169" spans="6:14" x14ac:dyDescent="0.25">
      <c r="J169" s="38"/>
      <c r="K169" s="39"/>
      <c r="L169" s="38"/>
    </row>
    <row r="170" spans="6:14" x14ac:dyDescent="0.25">
      <c r="J170" s="38"/>
      <c r="K170" s="38"/>
      <c r="L170" s="38"/>
    </row>
    <row r="171" spans="6:14" x14ac:dyDescent="0.25">
      <c r="J171" s="38"/>
      <c r="K171" s="38"/>
      <c r="L171" s="38"/>
    </row>
    <row r="172" spans="6:14" x14ac:dyDescent="0.25">
      <c r="J172" s="38"/>
      <c r="K172" s="38"/>
      <c r="L172" s="38"/>
    </row>
    <row r="173" spans="6:14" x14ac:dyDescent="0.25">
      <c r="J173" s="38"/>
      <c r="K173" s="38"/>
      <c r="L173" s="38"/>
    </row>
    <row r="174" spans="6:14" x14ac:dyDescent="0.25">
      <c r="J174" s="38"/>
      <c r="K174" s="38"/>
      <c r="L174" s="38"/>
    </row>
    <row r="175" spans="6:14" x14ac:dyDescent="0.25">
      <c r="J175" s="38"/>
      <c r="K175" s="38"/>
      <c r="L175" s="38"/>
    </row>
    <row r="176" spans="6:14" x14ac:dyDescent="0.25">
      <c r="J176" s="38"/>
      <c r="K176" s="38"/>
      <c r="L176" s="38"/>
    </row>
    <row r="177" spans="10:13" x14ac:dyDescent="0.25">
      <c r="J177" s="38"/>
      <c r="K177" s="38"/>
      <c r="L177" s="38"/>
    </row>
    <row r="178" spans="10:13" x14ac:dyDescent="0.25">
      <c r="J178" s="38"/>
      <c r="K178" s="38"/>
      <c r="L178" s="38"/>
    </row>
    <row r="179" spans="10:13" x14ac:dyDescent="0.25">
      <c r="J179" s="38"/>
      <c r="K179" s="38"/>
      <c r="L179" s="38"/>
    </row>
    <row r="180" spans="10:13" x14ac:dyDescent="0.25">
      <c r="J180" s="38"/>
      <c r="K180" s="38"/>
      <c r="L180" s="38"/>
    </row>
    <row r="181" spans="10:13" x14ac:dyDescent="0.25">
      <c r="J181" s="38"/>
      <c r="K181" s="38"/>
      <c r="L181" s="38"/>
    </row>
    <row r="182" spans="10:13" x14ac:dyDescent="0.25">
      <c r="J182" s="38"/>
      <c r="K182" s="38"/>
      <c r="L182" s="38"/>
    </row>
    <row r="183" spans="10:13" x14ac:dyDescent="0.25">
      <c r="J183" s="38"/>
      <c r="K183" s="38"/>
      <c r="L183" s="38"/>
    </row>
    <row r="184" spans="10:13" x14ac:dyDescent="0.25">
      <c r="J184" s="38"/>
      <c r="K184" s="38"/>
      <c r="L184" s="38"/>
    </row>
    <row r="185" spans="10:13" x14ac:dyDescent="0.25">
      <c r="M185" s="40"/>
    </row>
    <row r="186" spans="10:13" x14ac:dyDescent="0.2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2021-04-19T03:58:52Z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