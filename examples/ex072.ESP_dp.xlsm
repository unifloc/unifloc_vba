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4056DF7-8C06-4F29-8261-423D887C76C5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Лист1" sheetId="112" r:id="rId1"/>
  </sheets>
  <externalReferences>
    <externalReference r:id="rId2"/>
  </externalReferences>
  <definedNames>
    <definedName name="calc_along_flow">#REF!</definedName>
    <definedName name="dN">#REF!</definedName>
    <definedName name="esp_json">Лист1!$F$15</definedName>
    <definedName name="ESPstr">#REF!</definedName>
    <definedName name="feed_json">Лист1!$C$18</definedName>
    <definedName name="gas_degr_type_">#REF!</definedName>
    <definedName name="input_">#REF!</definedName>
    <definedName name="input_Course">#REF!</definedName>
    <definedName name="input_Date">#REF!</definedName>
    <definedName name="input_Group">#REF!</definedName>
    <definedName name="input_Notes">#REF!</definedName>
    <definedName name="input_Student_Name">#REF!</definedName>
    <definedName name="input_Version">#REF!</definedName>
    <definedName name="mu">#REF!</definedName>
    <definedName name="output_">#REF!</definedName>
    <definedName name="PKsep">#REF!</definedName>
    <definedName name="PVT_json">Лист1!$C$13</definedName>
    <definedName name="PVT_str_">#REF!</definedName>
    <definedName name="Tdis_">#REF!</definedName>
    <definedName name="TKsep_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12" l="1"/>
  <c r="I7" i="112"/>
  <c r="H17" i="112" l="1" a="1"/>
  <c r="F7" i="112"/>
  <c r="F8" i="112"/>
  <c r="F15" i="112"/>
  <c r="C18" i="112"/>
  <c r="C13" i="112"/>
  <c r="O17" i="112" l="1"/>
  <c r="O18" i="112"/>
  <c r="O19" i="112"/>
  <c r="O20" i="112"/>
  <c r="O21" i="112"/>
  <c r="O22" i="112"/>
  <c r="O23" i="112"/>
  <c r="O24" i="112"/>
  <c r="O25" i="112"/>
  <c r="O26" i="112"/>
  <c r="O27" i="112"/>
  <c r="O28" i="112"/>
  <c r="O29" i="112"/>
  <c r="O30" i="112"/>
  <c r="O31" i="112"/>
  <c r="O32" i="112"/>
  <c r="O33" i="112"/>
  <c r="O34" i="112"/>
  <c r="O35" i="112"/>
  <c r="O36" i="112"/>
  <c r="O37" i="112"/>
  <c r="O38" i="112"/>
  <c r="O39" i="112"/>
  <c r="H17" i="112"/>
  <c r="H18" i="112"/>
  <c r="H19" i="112"/>
  <c r="H20" i="112"/>
  <c r="H21" i="112"/>
  <c r="H22" i="112"/>
  <c r="H23" i="112"/>
  <c r="H24" i="112"/>
  <c r="H25" i="112"/>
  <c r="H26" i="112"/>
  <c r="H27" i="112"/>
  <c r="H28" i="112"/>
  <c r="H29" i="112"/>
  <c r="H30" i="112"/>
  <c r="H31" i="112"/>
  <c r="H32" i="112"/>
  <c r="H33" i="112"/>
  <c r="H34" i="112"/>
  <c r="H35" i="112"/>
  <c r="H36" i="112"/>
  <c r="H37" i="112"/>
  <c r="H38" i="112"/>
  <c r="H39" i="112"/>
  <c r="I17" i="112"/>
  <c r="I18" i="112"/>
  <c r="I19" i="112"/>
  <c r="I20" i="112"/>
  <c r="I21" i="112"/>
  <c r="I22" i="112"/>
  <c r="I23" i="112"/>
  <c r="I24" i="112"/>
  <c r="I25" i="112"/>
  <c r="I26" i="112"/>
  <c r="I27" i="112"/>
  <c r="I28" i="112"/>
  <c r="I29" i="112"/>
  <c r="I30" i="112"/>
  <c r="I31" i="112"/>
  <c r="I32" i="112"/>
  <c r="I33" i="112"/>
  <c r="I34" i="112"/>
  <c r="I35" i="112"/>
  <c r="I36" i="112"/>
  <c r="I37" i="112"/>
  <c r="I38" i="112"/>
  <c r="I39" i="112"/>
  <c r="J17" i="112"/>
  <c r="J18" i="112"/>
  <c r="J19" i="112"/>
  <c r="J20" i="112"/>
  <c r="J21" i="112"/>
  <c r="J22" i="112"/>
  <c r="J23" i="112"/>
  <c r="J24" i="112"/>
  <c r="J25" i="112"/>
  <c r="J26" i="112"/>
  <c r="J27" i="112"/>
  <c r="J28" i="112"/>
  <c r="J29" i="112"/>
  <c r="J30" i="112"/>
  <c r="J31" i="112"/>
  <c r="K17" i="112"/>
  <c r="K19" i="112"/>
  <c r="K21" i="112"/>
  <c r="K23" i="112"/>
  <c r="K25" i="112"/>
  <c r="K27" i="112"/>
  <c r="K29" i="112"/>
  <c r="K31" i="112"/>
  <c r="N32" i="112"/>
  <c r="L34" i="112"/>
  <c r="J36" i="112"/>
  <c r="M37" i="112"/>
  <c r="K39" i="112"/>
  <c r="L25" i="112"/>
  <c r="L29" i="112"/>
  <c r="L31" i="112"/>
  <c r="J33" i="112"/>
  <c r="K36" i="112"/>
  <c r="L39" i="112"/>
  <c r="M19" i="112"/>
  <c r="M21" i="112"/>
  <c r="M25" i="112"/>
  <c r="M29" i="112"/>
  <c r="K33" i="112"/>
  <c r="L36" i="112"/>
  <c r="J38" i="112"/>
  <c r="N17" i="112"/>
  <c r="N21" i="112"/>
  <c r="N25" i="112"/>
  <c r="N29" i="112"/>
  <c r="N31" i="112"/>
  <c r="J35" i="112"/>
  <c r="M36" i="112"/>
  <c r="N39" i="112"/>
  <c r="K20" i="112"/>
  <c r="K24" i="112"/>
  <c r="K26" i="112"/>
  <c r="K30" i="112"/>
  <c r="M33" i="112"/>
  <c r="N36" i="112"/>
  <c r="L18" i="112"/>
  <c r="L22" i="112"/>
  <c r="L24" i="112"/>
  <c r="L28" i="112"/>
  <c r="K32" i="112"/>
  <c r="L35" i="112"/>
  <c r="M38" i="112"/>
  <c r="M18" i="112"/>
  <c r="M22" i="112"/>
  <c r="M24" i="112"/>
  <c r="M28" i="112"/>
  <c r="L32" i="112"/>
  <c r="M35" i="112"/>
  <c r="K37" i="112"/>
  <c r="N18" i="112"/>
  <c r="N22" i="112"/>
  <c r="N26" i="112"/>
  <c r="N30" i="112"/>
  <c r="K34" i="112"/>
  <c r="N35" i="112"/>
  <c r="J39" i="112"/>
  <c r="L17" i="112"/>
  <c r="L19" i="112"/>
  <c r="L21" i="112"/>
  <c r="L23" i="112"/>
  <c r="L27" i="112"/>
  <c r="M34" i="112"/>
  <c r="N37" i="112"/>
  <c r="M17" i="112"/>
  <c r="M23" i="112"/>
  <c r="M27" i="112"/>
  <c r="M31" i="112"/>
  <c r="N34" i="112"/>
  <c r="M39" i="112"/>
  <c r="N19" i="112"/>
  <c r="N23" i="112"/>
  <c r="N27" i="112"/>
  <c r="L33" i="112"/>
  <c r="K38" i="112"/>
  <c r="K18" i="112"/>
  <c r="K22" i="112"/>
  <c r="K28" i="112"/>
  <c r="J32" i="112"/>
  <c r="K35" i="112"/>
  <c r="L38" i="112"/>
  <c r="L20" i="112"/>
  <c r="L26" i="112"/>
  <c r="L30" i="112"/>
  <c r="N33" i="112"/>
  <c r="J37" i="112"/>
  <c r="M20" i="112"/>
  <c r="M26" i="112"/>
  <c r="M30" i="112"/>
  <c r="J34" i="112"/>
  <c r="N38" i="112"/>
  <c r="N20" i="112"/>
  <c r="N24" i="112"/>
  <c r="N28" i="112"/>
  <c r="M32" i="112"/>
  <c r="L37" i="112"/>
</calcChain>
</file>

<file path=xl/sharedStrings.xml><?xml version="1.0" encoding="utf-8"?>
<sst xmlns="http://schemas.openxmlformats.org/spreadsheetml/2006/main" count="41" uniqueCount="36">
  <si>
    <t>calc_along_flow</t>
  </si>
  <si>
    <t>t_dis_C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</si>
  <si>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</si>
  <si>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</si>
  <si>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</si>
  <si>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</si>
  <si>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</si>
  <si>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</si>
  <si>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</si>
  <si>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</si>
  <si>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</si>
  <si>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</si>
  <si>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</si>
  <si>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</si>
  <si>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</si>
  <si>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</si>
  <si>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</si>
  <si>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</si>
  <si>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</si>
  <si>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</si>
  <si>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</si>
  <si>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</si>
  <si>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</si>
  <si>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</si>
  <si>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</si>
  <si>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</si>
  <si>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</si>
  <si>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</si>
  <si>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</si>
  <si>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p_atma</t>
  </si>
  <si>
    <t>t_intake_C</t>
  </si>
  <si>
    <t>json_ESP_pump</t>
  </si>
  <si>
    <t>freq_Hz</t>
  </si>
  <si>
    <t>param</t>
  </si>
  <si>
    <t>{"show_array":1}</t>
  </si>
  <si>
    <t>h_mes_top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</si>
</sst>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E1C896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" fontId="0" fillId="6" borderId="0" xfId="0" applyNumberFormat="1" applyFill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Лист1!$J$20:$J$39</c:f>
              <c:numCache>
                <c:formatCode>0</c:formatCode>
                <c:ptCount val="20"/>
                <c:pt idx="0">
                  <c:v>100</c:v>
                </c:pt>
                <c:pt idx="1">
                  <c:v>106.94002080907872</c:v>
                </c:pt>
                <c:pt idx="2">
                  <c:v>114.11251553040803</c:v>
                </c:pt>
                <c:pt idx="3">
                  <c:v>121.29974692578121</c:v>
                </c:pt>
                <c:pt idx="4">
                  <c:v>128.49378115081964</c:v>
                </c:pt>
                <c:pt idx="5">
                  <c:v>135.6936825269909</c:v>
                </c:pt>
                <c:pt idx="6">
                  <c:v>142.89865833264264</c:v>
                </c:pt>
                <c:pt idx="7">
                  <c:v>150.10803372634203</c:v>
                </c:pt>
                <c:pt idx="8">
                  <c:v>157.32122404357943</c:v>
                </c:pt>
                <c:pt idx="9">
                  <c:v>164.53772325683082</c:v>
                </c:pt>
                <c:pt idx="10">
                  <c:v>171.75709143526967</c:v>
                </c:pt>
                <c:pt idx="11">
                  <c:v>178.97894297185371</c:v>
                </c:pt>
                <c:pt idx="12">
                  <c:v>186.20293816151292</c:v>
                </c:pt>
                <c:pt idx="13">
                  <c:v>193.42877682584842</c:v>
                </c:pt>
                <c:pt idx="14">
                  <c:v>200.65619192498511</c:v>
                </c:pt>
                <c:pt idx="15">
                  <c:v>207.88494395547892</c:v>
                </c:pt>
                <c:pt idx="16">
                  <c:v>215.11481942856329</c:v>
                </c:pt>
                <c:pt idx="17">
                  <c:v>222.34562651456079</c:v>
                </c:pt>
                <c:pt idx="18">
                  <c:v>229.57719231399622</c:v>
                </c:pt>
                <c:pt idx="19">
                  <c:v>236.8093605448947</c:v>
                </c:pt>
              </c:numCache>
            </c:numRef>
          </c:xVal>
          <c:yVal>
            <c:numRef>
              <c:f>Лист1!$H$20:$H$39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F6-4751-BFA0-9CA4F127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333231"/>
        <c:axId val="1119805599"/>
      </c:scatterChart>
      <c:valAx>
        <c:axId val="112633323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9805599"/>
        <c:crosses val="autoZero"/>
        <c:crossBetween val="midCat"/>
      </c:valAx>
      <c:valAx>
        <c:axId val="111980559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stage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333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20</xdr:col>
      <xdr:colOff>0</xdr:colOff>
      <xdr:row>39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0D7B82E-5BC2-AB21-54DE-97DB8A470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ESP_pump"/>
      <definedName name="encode_feed"/>
      <definedName name="encode_PVT"/>
      <definedName name="ESP_calc_stages_num"/>
      <definedName name="ESP_id_by_rate"/>
      <definedName name="ESP_p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6BF71-72AD-42C6-86B2-B552A2FCABB7}">
  <dimension ref="B4:O39"/>
  <sheetViews>
    <sheetView tabSelected="1" zoomScale="85" zoomScaleNormal="85" workbookViewId="0">
      <selection activeCell="E21" sqref="E21"/>
    </sheetView>
  </sheetViews>
  <sheetFormatPr defaultRowHeight="12.45" x14ac:dyDescent="0.3"/>
  <cols>
    <col min="2" max="2" width="12.69140625" customWidth="1"/>
    <col min="5" max="5" width="14.921875" customWidth="1"/>
    <col min="8" max="8" width="13.3828125" customWidth="1"/>
  </cols>
  <sheetData>
    <row r="4" spans="2:9" x14ac:dyDescent="0.3">
      <c r="B4" s="2" t="s">
        <v>2</v>
      </c>
      <c r="C4" s="1">
        <v>0.6</v>
      </c>
      <c r="E4" s="2" t="s">
        <v>17</v>
      </c>
      <c r="F4" s="1">
        <v>80</v>
      </c>
      <c r="H4" s="2" t="s">
        <v>29</v>
      </c>
      <c r="I4" s="1">
        <v>100</v>
      </c>
    </row>
    <row r="5" spans="2:9" x14ac:dyDescent="0.3">
      <c r="B5" s="2" t="s">
        <v>3</v>
      </c>
      <c r="C5" s="1">
        <v>0.86</v>
      </c>
      <c r="E5" s="2" t="s">
        <v>18</v>
      </c>
      <c r="F5" s="1">
        <v>1500</v>
      </c>
      <c r="H5" s="2" t="s">
        <v>30</v>
      </c>
      <c r="I5" s="1">
        <v>30</v>
      </c>
    </row>
    <row r="6" spans="2:9" x14ac:dyDescent="0.3">
      <c r="B6" s="2" t="s">
        <v>4</v>
      </c>
      <c r="C6" s="1">
        <v>1.1000000000000001</v>
      </c>
      <c r="E6" s="2" t="s">
        <v>19</v>
      </c>
      <c r="F6" s="1">
        <v>50</v>
      </c>
      <c r="H6" s="2" t="s">
        <v>1</v>
      </c>
      <c r="I6" s="1">
        <v>-1</v>
      </c>
    </row>
    <row r="7" spans="2:9" x14ac:dyDescent="0.3">
      <c r="B7" s="2" t="s">
        <v>5</v>
      </c>
      <c r="C7" s="1">
        <v>120</v>
      </c>
      <c r="E7" s="2" t="s">
        <v>20</v>
      </c>
      <c r="F7" s="4">
        <f>[1]!ESP_id_by_rate(F4, F6)</f>
        <v>1006</v>
      </c>
      <c r="H7" s="2" t="s">
        <v>16</v>
      </c>
      <c r="I7" s="4" t="str">
        <f>feed_json</f>
        <v>{"gamma_gas":0.6,"gamma_oil":0.86,"gamma_wat":1.1,"rsb_m3m3":120,"pb_atma":130,"t_res_C":80,"bob_m3m3":1.2,"muob_cP":0.6,"PVT_corr_set":0,"q_liq_sm3day":30,"fw_perc":10,"rp_m3m3":120}</v>
      </c>
    </row>
    <row r="8" spans="2:9" x14ac:dyDescent="0.3">
      <c r="B8" s="2" t="s">
        <v>6</v>
      </c>
      <c r="C8" s="1">
        <v>130</v>
      </c>
      <c r="E8" s="2" t="s">
        <v>21</v>
      </c>
      <c r="F8" s="4">
        <f>[1]!ESP_calc_stages_num(F7,F5,F6,F4)</f>
        <v>250</v>
      </c>
      <c r="H8" s="2" t="s">
        <v>31</v>
      </c>
      <c r="I8" s="4" t="str">
        <f>esp_json</f>
        <v>{"q_nom_sm3day":80,"head_nom_m":1500,"freq_nom_Hz":50,"name":"ESP-80-1500","ESP_ID":1006,"num_stages":250,"gas_correct_model":1,"gas_correct_stage_by_stage":0,"calibr_head":1,"calibr_power":1,"calibr_rate":1,"dnum_stages_integrate":1}</v>
      </c>
    </row>
    <row r="9" spans="2:9" x14ac:dyDescent="0.3">
      <c r="B9" s="2" t="s">
        <v>7</v>
      </c>
      <c r="C9" s="1">
        <v>80</v>
      </c>
      <c r="E9" s="2" t="s">
        <v>22</v>
      </c>
      <c r="F9" s="1">
        <v>1</v>
      </c>
      <c r="H9" s="2" t="s">
        <v>32</v>
      </c>
      <c r="I9" s="1">
        <v>50</v>
      </c>
    </row>
    <row r="10" spans="2:9" x14ac:dyDescent="0.3">
      <c r="B10" s="2" t="s">
        <v>8</v>
      </c>
      <c r="C10" s="1">
        <v>1.2</v>
      </c>
      <c r="E10" s="2" t="s">
        <v>23</v>
      </c>
      <c r="F10" s="1">
        <v>1</v>
      </c>
      <c r="H10" s="2" t="s">
        <v>0</v>
      </c>
      <c r="I10" s="1">
        <v>1</v>
      </c>
    </row>
    <row r="11" spans="2:9" x14ac:dyDescent="0.3">
      <c r="B11" s="2" t="s">
        <v>9</v>
      </c>
      <c r="C11" s="1">
        <v>0.6</v>
      </c>
      <c r="E11" s="2" t="s">
        <v>24</v>
      </c>
      <c r="F11" s="1">
        <v>1</v>
      </c>
      <c r="H11" s="2" t="s">
        <v>33</v>
      </c>
      <c r="I11" s="1" t="s">
        <v>34</v>
      </c>
    </row>
    <row r="12" spans="2:9" x14ac:dyDescent="0.3">
      <c r="B12" s="2" t="s">
        <v>10</v>
      </c>
      <c r="C12" s="1">
        <v>0</v>
      </c>
      <c r="E12" s="2" t="s">
        <v>25</v>
      </c>
      <c r="F12" s="1">
        <v>1</v>
      </c>
      <c r="H12" s="2" t="s">
        <v>35</v>
      </c>
      <c r="I12" s="1">
        <v>1000</v>
      </c>
    </row>
    <row r="13" spans="2:9" x14ac:dyDescent="0.3">
      <c r="B13" s="2" t="s">
        <v>11</v>
      </c>
      <c r="C13" s="3" t="str">
        <f>[1]!encode_PVT(C4,C5,C6,C7,C8,C9,C10,C11,C12)</f>
        <v>{"gamma_gas":0.6,"gamma_oil":0.86,"gamma_wat":1.1,"rsb_m3m3":120,"pb_atma":130,"t_res_C":80,"bob_m3m3":1.2,"muob_cP":0.6,"PVT_corr_set":0}</v>
      </c>
      <c r="E13" s="2" t="s">
        <v>26</v>
      </c>
      <c r="F13" s="1">
        <v>0</v>
      </c>
      <c r="H13" s="2" t="s">
        <v>12</v>
      </c>
      <c r="I13" s="1"/>
    </row>
    <row r="14" spans="2:9" x14ac:dyDescent="0.3">
      <c r="B14" s="2" t="s">
        <v>12</v>
      </c>
      <c r="C14" s="1">
        <v>30</v>
      </c>
      <c r="E14" s="2" t="s">
        <v>27</v>
      </c>
      <c r="F14" s="1">
        <v>1</v>
      </c>
      <c r="H14" s="2" t="s">
        <v>13</v>
      </c>
      <c r="I14" s="1"/>
    </row>
    <row r="15" spans="2:9" x14ac:dyDescent="0.3">
      <c r="B15" s="2" t="s">
        <v>13</v>
      </c>
      <c r="C15" s="1">
        <v>10</v>
      </c>
      <c r="E15" s="2" t="s">
        <v>28</v>
      </c>
      <c r="F15" s="3" t="str">
        <f>[1]!encode_ESP_pump(, , F6, F7, F8, F9, F10, F11, F12, F13, F14)</f>
        <v>{"q_nom_sm3day":80,"head_nom_m":1500,"freq_nom_Hz":50,"name":"ESP-80-1500","ESP_ID":1006,"num_stages":250,"gas_correct_model":1,"gas_correct_stage_by_stage":0,"calibr_head":1,"calibr_power":1,"calibr_rate":1,"dnum_stages_integrate":1}</v>
      </c>
      <c r="H15" s="2" t="s">
        <v>14</v>
      </c>
      <c r="I15" s="1"/>
    </row>
    <row r="16" spans="2:9" x14ac:dyDescent="0.3">
      <c r="B16" s="2" t="s">
        <v>14</v>
      </c>
      <c r="C16" s="1">
        <v>120</v>
      </c>
      <c r="H16" s="2" t="s">
        <v>15</v>
      </c>
      <c r="I16" s="1"/>
    </row>
    <row r="17" spans="2:15" x14ac:dyDescent="0.3">
      <c r="B17" s="2" t="s">
        <v>15</v>
      </c>
      <c r="C17" s="1">
        <v>0</v>
      </c>
      <c r="H17" s="5">
        <f t="array" ref="H17:O39">[1]!ESP_p_atma(I4, I5, I6, I7, I8,  I9, I10, I11, I12, I13, I14, I15, I16)</f>
        <v>236.8093605448947</v>
      </c>
      <c r="I17" s="5">
        <v>100</v>
      </c>
      <c r="J17" s="5">
        <v>30</v>
      </c>
      <c r="K17" s="5">
        <v>236.8093605448947</v>
      </c>
      <c r="L17" s="5">
        <v>46.16375345803214</v>
      </c>
      <c r="M17" s="5">
        <v>1672.3934643914965</v>
      </c>
      <c r="N17" s="5">
        <v>27.863950304466677</v>
      </c>
      <c r="O17" s="5">
        <v>5508.030576785799</v>
      </c>
    </row>
    <row r="18" spans="2:15" x14ac:dyDescent="0.3">
      <c r="B18" s="2" t="s">
        <v>16</v>
      </c>
      <c r="C18" s="3" t="str">
        <f>[1]!encode_feed(C14,C15,C16,C17,C13)</f>
        <v>{"gamma_gas":0.6,"gamma_oil":0.86,"gamma_wat":1.1,"rsb_m3m3":120,"pb_atma":130,"t_res_C":80,"bob_m3m3":1.2,"muob_cP":0.6,"PVT_corr_set":0,"q_liq_sm3day":30,"fw_perc":10,"rp_m3m3":120}</v>
      </c>
      <c r="H18" s="5" t="str">
        <v>p_dis_atma</v>
      </c>
      <c r="I18" s="5" t="str">
        <v>p_int_atma</v>
      </c>
      <c r="J18" s="5" t="str">
        <v>t_int_C</v>
      </c>
      <c r="K18" s="5" t="str">
        <v>p_dis_atma</v>
      </c>
      <c r="L18" s="5" t="str">
        <v>t_dis_C</v>
      </c>
      <c r="M18" s="5" t="str">
        <v>head_m</v>
      </c>
      <c r="N18" s="5" t="str">
        <v>eff_ESP_d, %</v>
      </c>
      <c r="O18" s="5" t="str">
        <v>power_fluid_W</v>
      </c>
    </row>
    <row r="19" spans="2:15" x14ac:dyDescent="0.3">
      <c r="H19" s="5" t="str">
        <v>n_stage</v>
      </c>
      <c r="I19" s="5" t="str">
        <v>length_m</v>
      </c>
      <c r="J19" s="5" t="str">
        <v>p_atma</v>
      </c>
      <c r="K19" s="5" t="str">
        <v>t_C</v>
      </c>
      <c r="L19" s="5" t="str">
        <v>gas_fraction, %</v>
      </c>
      <c r="M19" s="5" t="str">
        <v>qmix_rm3day</v>
      </c>
      <c r="N19" s="5" t="str">
        <v>Power_fluid_W</v>
      </c>
      <c r="O19" s="5" t="str">
        <v>Power_ESP_W</v>
      </c>
    </row>
    <row r="20" spans="2:15" x14ac:dyDescent="0.3">
      <c r="H20" s="5">
        <v>0</v>
      </c>
      <c r="I20" s="5">
        <v>1012.5</v>
      </c>
      <c r="J20" s="5">
        <v>100</v>
      </c>
      <c r="K20" s="5">
        <v>30</v>
      </c>
      <c r="L20" s="5">
        <v>6.6754852013037409</v>
      </c>
      <c r="M20" s="5">
        <v>36.443219560481296</v>
      </c>
      <c r="N20" s="5">
        <v>0</v>
      </c>
      <c r="O20" s="5">
        <v>0</v>
      </c>
    </row>
    <row r="21" spans="2:15" x14ac:dyDescent="0.3">
      <c r="H21" s="5">
        <v>13.157894736842104</v>
      </c>
      <c r="I21" s="5">
        <v>1011.8421052631579</v>
      </c>
      <c r="J21" s="5">
        <v>106.94002080907872</v>
      </c>
      <c r="K21" s="5">
        <v>30.820858050302462</v>
      </c>
      <c r="L21" s="5">
        <v>1.4098515079282044</v>
      </c>
      <c r="M21" s="5">
        <v>34.851784410466252</v>
      </c>
      <c r="N21" s="5">
        <v>289.73167968560142</v>
      </c>
      <c r="O21" s="5">
        <v>1004.9522798331677</v>
      </c>
    </row>
    <row r="22" spans="2:15" x14ac:dyDescent="0.3">
      <c r="H22" s="5">
        <v>26.315789473684209</v>
      </c>
      <c r="I22" s="5">
        <v>1011.1842105263158</v>
      </c>
      <c r="J22" s="5">
        <v>114.11251553040803</v>
      </c>
      <c r="K22" s="5">
        <v>31.675576820178936</v>
      </c>
      <c r="L22" s="5">
        <v>0</v>
      </c>
      <c r="M22" s="5">
        <v>34.421379740151586</v>
      </c>
      <c r="N22" s="5">
        <v>579.69724111477785</v>
      </c>
      <c r="O22" s="5">
        <v>2041.5615143700704</v>
      </c>
    </row>
    <row r="23" spans="2:15" x14ac:dyDescent="0.3">
      <c r="H23" s="5">
        <v>39.473684210526315</v>
      </c>
      <c r="I23" s="5">
        <v>1010.5263157894736</v>
      </c>
      <c r="J23" s="5">
        <v>121.29974692578121</v>
      </c>
      <c r="K23" s="5">
        <v>32.531517022207282</v>
      </c>
      <c r="L23" s="5">
        <v>0</v>
      </c>
      <c r="M23" s="5">
        <v>34.384640930004636</v>
      </c>
      <c r="N23" s="5">
        <v>869.65675415488101</v>
      </c>
      <c r="O23" s="5">
        <v>3080.1725384881343</v>
      </c>
    </row>
    <row r="24" spans="2:15" x14ac:dyDescent="0.3">
      <c r="H24" s="5">
        <v>52.631578947368418</v>
      </c>
      <c r="I24" s="5">
        <v>1009.8684210526316</v>
      </c>
      <c r="J24" s="5">
        <v>128.49378115081964</v>
      </c>
      <c r="K24" s="5">
        <v>33.387477947915237</v>
      </c>
      <c r="L24" s="5">
        <v>0</v>
      </c>
      <c r="M24" s="5">
        <v>34.3530428622812</v>
      </c>
      <c r="N24" s="5">
        <v>1159.6047871697665</v>
      </c>
      <c r="O24" s="5">
        <v>4119.7057377611663</v>
      </c>
    </row>
    <row r="25" spans="2:15" x14ac:dyDescent="0.3">
      <c r="H25" s="5">
        <v>65.78947368421052</v>
      </c>
      <c r="I25" s="5">
        <v>1009.2105263157895</v>
      </c>
      <c r="J25" s="5">
        <v>135.6936825269909</v>
      </c>
      <c r="K25" s="5">
        <v>34.24330775749209</v>
      </c>
      <c r="L25" s="5">
        <v>0</v>
      </c>
      <c r="M25" s="5">
        <v>34.325765169583775</v>
      </c>
      <c r="N25" s="5">
        <v>1449.5426603180442</v>
      </c>
      <c r="O25" s="5">
        <v>5160.0342044929484</v>
      </c>
    </row>
    <row r="26" spans="2:15" x14ac:dyDescent="0.3">
      <c r="H26" s="5">
        <v>78.94736842105263</v>
      </c>
      <c r="I26" s="5">
        <v>1008.5526315789474</v>
      </c>
      <c r="J26" s="5">
        <v>142.89865833264264</v>
      </c>
      <c r="K26" s="5">
        <v>35.098878545964403</v>
      </c>
      <c r="L26" s="5">
        <v>0</v>
      </c>
      <c r="M26" s="5">
        <v>34.302151847353493</v>
      </c>
      <c r="N26" s="5">
        <v>1739.4714897277104</v>
      </c>
      <c r="O26" s="5">
        <v>6201.0504232040466</v>
      </c>
    </row>
    <row r="27" spans="2:15" x14ac:dyDescent="0.3">
      <c r="H27" s="5">
        <v>92.105263157894726</v>
      </c>
      <c r="I27" s="5">
        <v>1007.8947368421053</v>
      </c>
      <c r="J27" s="5">
        <v>150.10803372634203</v>
      </c>
      <c r="K27" s="5">
        <v>35.954081469891214</v>
      </c>
      <c r="L27" s="5">
        <v>0</v>
      </c>
      <c r="M27" s="5">
        <v>34.281673804600061</v>
      </c>
      <c r="N27" s="5">
        <v>2029.3922243491986</v>
      </c>
      <c r="O27" s="5">
        <v>7242.6628684690686</v>
      </c>
    </row>
    <row r="28" spans="2:15" x14ac:dyDescent="0.3">
      <c r="H28" s="5">
        <v>105.26315789473684</v>
      </c>
      <c r="I28" s="5">
        <v>1007.2368421052631</v>
      </c>
      <c r="J28" s="5">
        <v>157.32122404357943</v>
      </c>
      <c r="K28" s="5">
        <v>36.808823782509293</v>
      </c>
      <c r="L28" s="5">
        <v>0</v>
      </c>
      <c r="M28" s="5">
        <v>34.263895762842068</v>
      </c>
      <c r="N28" s="5">
        <v>2319.3056894726983</v>
      </c>
      <c r="O28" s="5">
        <v>8284.7922477370776</v>
      </c>
    </row>
    <row r="29" spans="2:15" x14ac:dyDescent="0.3">
      <c r="H29" s="5">
        <v>118.42105263157895</v>
      </c>
      <c r="I29" s="5">
        <v>1006.578947368421</v>
      </c>
      <c r="J29" s="5">
        <v>164.53772325683082</v>
      </c>
      <c r="K29" s="5">
        <v>37.663025882879161</v>
      </c>
      <c r="L29" s="5">
        <v>0</v>
      </c>
      <c r="M29" s="5">
        <v>34.248458767553892</v>
      </c>
      <c r="N29" s="5">
        <v>2609.2126021835315</v>
      </c>
      <c r="O29" s="5">
        <v>9327.3699353231223</v>
      </c>
    </row>
    <row r="30" spans="2:15" x14ac:dyDescent="0.3">
      <c r="H30" s="5">
        <v>131.57894736842104</v>
      </c>
      <c r="I30" s="5">
        <v>1005.921052631579</v>
      </c>
      <c r="J30" s="5">
        <v>171.75709143526967</v>
      </c>
      <c r="K30" s="5">
        <v>38.516618883996188</v>
      </c>
      <c r="L30" s="5">
        <v>0</v>
      </c>
      <c r="M30" s="5">
        <v>34.235064720801155</v>
      </c>
      <c r="N30" s="5">
        <v>2899.1135889526022</v>
      </c>
      <c r="O30" s="5">
        <v>10370.336271134784</v>
      </c>
    </row>
    <row r="31" spans="2:15" x14ac:dyDescent="0.3">
      <c r="H31" s="5">
        <v>144.73684210526315</v>
      </c>
      <c r="I31" s="5">
        <v>1005.2631578947369</v>
      </c>
      <c r="J31" s="5">
        <v>178.97894297185371</v>
      </c>
      <c r="K31" s="5">
        <v>39.369542975339719</v>
      </c>
      <c r="L31" s="5">
        <v>0</v>
      </c>
      <c r="M31" s="5">
        <v>34.223463431604443</v>
      </c>
      <c r="N31" s="5">
        <v>3189.0092030311707</v>
      </c>
      <c r="O31" s="5">
        <v>11413.638963843083</v>
      </c>
    </row>
    <row r="32" spans="2:15" x14ac:dyDescent="0.3">
      <c r="H32" s="5">
        <v>157.89473684210526</v>
      </c>
      <c r="I32" s="5">
        <v>1004.6052631578947</v>
      </c>
      <c r="J32" s="5">
        <v>186.20293816151292</v>
      </c>
      <c r="K32" s="5">
        <v>40.221746011268941</v>
      </c>
      <c r="L32" s="5">
        <v>0</v>
      </c>
      <c r="M32" s="5">
        <v>34.213443383715429</v>
      </c>
      <c r="N32" s="5">
        <v>3478.8999363802468</v>
      </c>
      <c r="O32" s="5">
        <v>12457.231948467441</v>
      </c>
    </row>
    <row r="33" spans="8:15" x14ac:dyDescent="0.3">
      <c r="H33" s="5">
        <v>171.05263157894737</v>
      </c>
      <c r="I33" s="5">
        <v>1003.9473684210526</v>
      </c>
      <c r="J33" s="5">
        <v>193.42877682584842</v>
      </c>
      <c r="K33" s="5">
        <v>41.073182116829805</v>
      </c>
      <c r="L33" s="5">
        <v>0</v>
      </c>
      <c r="M33" s="5">
        <v>34.20482493391421</v>
      </c>
      <c r="N33" s="5">
        <v>3768.7862280586601</v>
      </c>
      <c r="O33" s="5">
        <v>13501.074521436938</v>
      </c>
    </row>
    <row r="34" spans="8:15" x14ac:dyDescent="0.3">
      <c r="H34" s="5">
        <v>184.21052631578945</v>
      </c>
      <c r="I34" s="5">
        <v>1003.2894736842105</v>
      </c>
      <c r="J34" s="5">
        <v>200.65619192498511</v>
      </c>
      <c r="K34" s="5">
        <v>41.923810948223377</v>
      </c>
      <c r="L34" s="5">
        <v>0</v>
      </c>
      <c r="M34" s="5">
        <v>34.197454132980049</v>
      </c>
      <c r="N34" s="5">
        <v>4058.6684737045261</v>
      </c>
      <c r="O34" s="5">
        <v>14545.13047421384</v>
      </c>
    </row>
    <row r="35" spans="8:15" x14ac:dyDescent="0.3">
      <c r="H35" s="5">
        <v>197.36842105263156</v>
      </c>
      <c r="I35" s="5">
        <v>1002.6315789473684</v>
      </c>
      <c r="J35" s="5">
        <v>207.88494395547892</v>
      </c>
      <c r="K35" s="5">
        <v>42.77359772198168</v>
      </c>
      <c r="L35" s="5">
        <v>0</v>
      </c>
      <c r="M35" s="5">
        <v>34.191197393083236</v>
      </c>
      <c r="N35" s="5">
        <v>4348.5470349208008</v>
      </c>
      <c r="O35" s="5">
        <v>15589.367333783348</v>
      </c>
    </row>
    <row r="36" spans="8:15" x14ac:dyDescent="0.3">
      <c r="H36" s="5">
        <v>210.52631578947367</v>
      </c>
      <c r="I36" s="5">
        <v>1001.9736842105264</v>
      </c>
      <c r="J36" s="5">
        <v>215.11481942856329</v>
      </c>
      <c r="K36" s="5">
        <v>43.622511331894728</v>
      </c>
      <c r="L36" s="5">
        <v>0</v>
      </c>
      <c r="M36" s="5">
        <v>34.185939770040711</v>
      </c>
      <c r="N36" s="5">
        <v>4638.422238488115</v>
      </c>
      <c r="O36" s="5">
        <v>16633.756155543892</v>
      </c>
    </row>
    <row r="37" spans="8:15" x14ac:dyDescent="0.3">
      <c r="H37" s="5">
        <v>223.68421052631578</v>
      </c>
      <c r="I37" s="5">
        <v>1001.3157894736842</v>
      </c>
      <c r="J37" s="5">
        <v>222.34562651456079</v>
      </c>
      <c r="K37" s="5">
        <v>44.47052427287943</v>
      </c>
      <c r="L37" s="5">
        <v>0</v>
      </c>
      <c r="M37" s="5">
        <v>34.181581232806806</v>
      </c>
      <c r="N37" s="5">
        <v>4928.2943834634625</v>
      </c>
      <c r="O37" s="5">
        <v>17678.270932783111</v>
      </c>
    </row>
    <row r="38" spans="8:15" x14ac:dyDescent="0.3">
      <c r="H38" s="5">
        <v>236.84210526315789</v>
      </c>
      <c r="I38" s="5">
        <v>1000.6578947368421</v>
      </c>
      <c r="J38" s="5">
        <v>229.57719231399622</v>
      </c>
      <c r="K38" s="5">
        <v>45.317612183465144</v>
      </c>
      <c r="L38" s="5">
        <v>0</v>
      </c>
      <c r="M38" s="5">
        <v>34.178034324018505</v>
      </c>
      <c r="N38" s="5">
        <v>5218.163744866677</v>
      </c>
      <c r="O38" s="5">
        <v>18722.888226524454</v>
      </c>
    </row>
    <row r="39" spans="8:15" x14ac:dyDescent="0.3">
      <c r="H39" s="5">
        <v>250</v>
      </c>
      <c r="I39" s="5">
        <v>1000</v>
      </c>
      <c r="J39" s="5">
        <v>236.8093605448947</v>
      </c>
      <c r="K39" s="5">
        <v>46.16375345803214</v>
      </c>
      <c r="L39" s="5">
        <v>0</v>
      </c>
      <c r="M39" s="5">
        <v>34.175222246860159</v>
      </c>
      <c r="N39" s="5">
        <v>5508.030576785799</v>
      </c>
      <c r="O39" s="5">
        <v>19767.586851828561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esp_json</vt:lpstr>
      <vt:lpstr>feed_json</vt:lpstr>
      <vt:lpstr>PVT_json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2023-10-31T16:47:02Z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