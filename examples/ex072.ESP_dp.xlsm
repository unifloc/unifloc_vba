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8_{710C8F55-BC4D-4009-8469-4837D9D98106}" xr6:coauthVersionLast="46" xr6:coauthVersionMax="46" xr10:uidLastSave="{00000000-0000-0000-0000-000000000000}"/>
  <bookViews>
    <workbookView xWindow="3300" yWindow="5760" windowWidth="28800" windowHeight="12765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Q24" i="111" a="1"/>
  <c r="Q24" i="111" s="1"/>
  <c r="W25" i="111" s="1"/>
  <c r="E17" i="111"/>
  <c r="E16" i="111"/>
  <c r="E15" i="111"/>
  <c r="E14" i="111"/>
  <c r="E13" i="111"/>
  <c r="E12" i="111"/>
  <c r="E11" i="111"/>
  <c r="C104" i="110"/>
  <c r="Q24" i="110" a="1"/>
  <c r="Q24" i="110" s="1"/>
  <c r="W25" i="110" s="1"/>
  <c r="E17" i="110"/>
  <c r="E16" i="110"/>
  <c r="E15" i="110"/>
  <c r="E14" i="110"/>
  <c r="E13" i="110"/>
  <c r="E12" i="110"/>
  <c r="E11" i="110"/>
  <c r="S34" i="110" a="1"/>
  <c r="L40" i="110" a="1"/>
  <c r="L40" i="111" a="1"/>
  <c r="S34" i="111" a="1"/>
  <c r="J30" i="110" a="1"/>
  <c r="G1" i="110"/>
  <c r="AD27" i="111" a="1"/>
  <c r="C27" i="111" a="1"/>
  <c r="J30" i="111" a="1"/>
  <c r="G1" i="111"/>
  <c r="AD27" i="110" a="1"/>
  <c r="C27" i="110" a="1"/>
  <c r="C27" i="110" l="1"/>
  <c r="AD27" i="110"/>
  <c r="J30" i="111"/>
  <c r="C27" i="111"/>
  <c r="AD27" i="111"/>
  <c r="J30" i="110"/>
  <c r="S34" i="111"/>
  <c r="L40" i="111"/>
  <c r="L40" i="110"/>
  <c r="S34" i="110"/>
  <c r="C28" i="110" a="1"/>
  <c r="C29" i="110" a="1"/>
  <c r="C30" i="110" a="1"/>
  <c r="B76" i="111" a="1"/>
  <c r="B104" i="111" a="1"/>
  <c r="J31" i="111" a="1"/>
  <c r="C28" i="111" a="1"/>
  <c r="C29" i="111" a="1"/>
  <c r="C30" i="111" a="1"/>
  <c r="B104" i="110" a="1"/>
  <c r="B76" i="110" a="1"/>
  <c r="J31" i="110" a="1"/>
  <c r="J31" i="110" l="1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D104" i="111" a="1"/>
  <c r="D76" i="111" a="1"/>
  <c r="F43" i="111" a="1"/>
  <c r="F43" i="110" a="1"/>
  <c r="D104" i="110" a="1"/>
  <c r="D76" i="110" a="1"/>
  <c r="B77" i="111" a="1"/>
  <c r="B77" i="110" a="1"/>
  <c r="B77" i="110" l="1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D105" i="110" a="1"/>
  <c r="D77" i="110" a="1"/>
  <c r="D105" i="111" a="1"/>
  <c r="D77" i="111" a="1"/>
  <c r="B105" i="110" a="1"/>
  <c r="B105" i="111" a="1"/>
  <c r="B78" i="110" a="1"/>
  <c r="B78" i="111" a="1"/>
  <c r="B78" i="111" l="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D106" i="111" a="1"/>
  <c r="D78" i="111" a="1"/>
  <c r="B79" i="111" a="1"/>
  <c r="D106" i="110" a="1"/>
  <c r="D78" i="110" a="1"/>
  <c r="B106" i="110" a="1"/>
  <c r="B79" i="110" a="1"/>
  <c r="B106" i="111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B107" i="110" a="1"/>
  <c r="D107" i="110" a="1"/>
  <c r="D79" i="110" a="1"/>
  <c r="D79" i="111" a="1"/>
  <c r="D107" i="111" a="1"/>
  <c r="B80" i="110" a="1"/>
  <c r="B107" i="111" a="1"/>
  <c r="B80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D80" i="111" a="1"/>
  <c r="D108" i="111" a="1"/>
  <c r="B108" i="111" a="1"/>
  <c r="B81" i="111" a="1"/>
  <c r="D80" i="110" a="1"/>
  <c r="D108" i="110" a="1"/>
  <c r="B108" i="110" a="1"/>
  <c r="B81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109" i="110" a="1"/>
  <c r="B109" i="111" a="1"/>
  <c r="D109" i="110" a="1"/>
  <c r="D81" i="110" a="1"/>
  <c r="D81" i="111" a="1"/>
  <c r="D109" i="111" a="1"/>
  <c r="B82" i="110" a="1"/>
  <c r="B82" i="111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D110" i="111" a="1"/>
  <c r="D82" i="111" a="1"/>
  <c r="D82" i="110" a="1"/>
  <c r="D110" i="110" a="1"/>
  <c r="B110" i="111" a="1"/>
  <c r="B110" i="110" a="1"/>
  <c r="B83" i="111" a="1"/>
  <c r="B83" i="110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D111" i="111" a="1"/>
  <c r="D83" i="111" a="1"/>
  <c r="B111" i="111" a="1"/>
  <c r="B84" i="110" a="1"/>
  <c r="D111" i="110" a="1"/>
  <c r="D83" i="110" a="1"/>
  <c r="B111" i="110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B112" i="110" a="1"/>
  <c r="B112" i="111" a="1"/>
  <c r="B85" i="111" a="1"/>
  <c r="D112" i="110" a="1"/>
  <c r="D84" i="110" a="1"/>
  <c r="D84" i="111" a="1"/>
  <c r="D112" i="111" a="1"/>
  <c r="B85" i="110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D113" i="110" a="1"/>
  <c r="D85" i="110" a="1"/>
  <c r="B113" i="110" a="1"/>
  <c r="B86" i="110" a="1"/>
  <c r="B113" i="111" a="1"/>
  <c r="D85" i="111" a="1"/>
  <c r="D113" i="111" a="1"/>
  <c r="B86" i="111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D86" i="111" a="1"/>
  <c r="D114" i="111" a="1"/>
  <c r="D86" i="110" a="1"/>
  <c r="D114" i="110" a="1"/>
  <c r="B114" i="111" a="1"/>
  <c r="B87" i="110" a="1"/>
  <c r="B114" i="110" a="1"/>
  <c r="B87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D115" i="111" a="1"/>
  <c r="D87" i="111" a="1"/>
  <c r="B115" i="111" a="1"/>
  <c r="B88" i="111" a="1"/>
  <c r="B115" i="110" a="1"/>
  <c r="D115" i="110" a="1"/>
  <c r="D87" i="110" a="1"/>
  <c r="B88" i="110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D116" i="110" a="1"/>
  <c r="D88" i="110" a="1"/>
  <c r="D116" i="111" a="1"/>
  <c r="D88" i="111" a="1"/>
  <c r="B116" i="110" a="1"/>
  <c r="B89" i="110" a="1"/>
  <c r="B116" i="111" a="1"/>
  <c r="B89" i="111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B90" i="110" a="1"/>
  <c r="B90" i="111" a="1"/>
  <c r="B117" i="110" a="1"/>
  <c r="D89" i="111" a="1"/>
  <c r="D117" i="111" a="1"/>
  <c r="B117" i="111" a="1"/>
  <c r="D117" i="110" a="1"/>
  <c r="D89" i="110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D118" i="111" a="1"/>
  <c r="D90" i="111" a="1"/>
  <c r="B118" i="111" a="1"/>
  <c r="D118" i="110" a="1"/>
  <c r="D90" i="110" a="1"/>
  <c r="B118" i="110" a="1"/>
  <c r="B91" i="111" a="1"/>
  <c r="B91" i="110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B92" i="110" a="1"/>
  <c r="B119" i="110" a="1"/>
  <c r="B119" i="111" a="1"/>
  <c r="B92" i="111" a="1"/>
  <c r="D91" i="110" a="1"/>
  <c r="D119" i="110" a="1"/>
  <c r="D91" i="111" a="1"/>
  <c r="D119" i="111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B93" i="111" a="1"/>
  <c r="B120" i="111" a="1"/>
  <c r="B120" i="110" a="1"/>
  <c r="B93" i="110" a="1"/>
  <c r="D120" i="111" a="1"/>
  <c r="D92" i="111" a="1"/>
  <c r="D120" i="110" a="1"/>
  <c r="D92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D121" i="110" a="1"/>
  <c r="D93" i="110" a="1"/>
  <c r="D121" i="111" a="1"/>
  <c r="D93" i="111" a="1"/>
  <c r="B121" i="110" a="1"/>
  <c r="B121" i="111" a="1"/>
  <c r="B94" i="111" a="1"/>
  <c r="B94" i="110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D122" i="110" a="1"/>
  <c r="D94" i="110" a="1"/>
  <c r="B122" i="110" a="1"/>
  <c r="B122" i="111" a="1"/>
  <c r="D122" i="111" a="1"/>
  <c r="D94" i="111" a="1"/>
  <c r="B95" i="110" a="1"/>
  <c r="B95" i="111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D95" i="111" a="1"/>
  <c r="D123" i="111" a="1"/>
  <c r="B96" i="111" a="1"/>
  <c r="B123" i="111" a="1"/>
  <c r="B96" i="110" a="1"/>
  <c r="D95" i="110" a="1"/>
  <c r="D123" i="110" a="1"/>
  <c r="B123" i="110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D96" i="110" a="1"/>
  <c r="D124" i="110" a="1"/>
  <c r="B124" i="110" a="1"/>
  <c r="D96" i="111" a="1"/>
  <c r="D124" i="111" a="1"/>
  <c r="B124" i="111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<sst xmlns="http://schemas.openxmlformats.org/spreadsheetml/2006/main" count="210" uniqueCount="82">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</sst>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9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75.763571880534002</c:v>
                </c:pt>
                <c:pt idx="15">
                  <c:v>24.924470406951201</c:v>
                </c:pt>
                <c:pt idx="16">
                  <c:v>17.370072129764427</c:v>
                </c:pt>
                <c:pt idx="17">
                  <c:v>14.633063282093376</c:v>
                </c:pt>
                <c:pt idx="18">
                  <c:v>13.291056330076653</c:v>
                </c:pt>
                <c:pt idx="19">
                  <c:v>12.553317785068097</c:v>
                </c:pt>
                <c:pt idx="20">
                  <c:v>12.140279247886626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166.71865037981541</c:v>
                </c:pt>
                <c:pt idx="19">
                  <c:v>185.67962838665807</c:v>
                </c:pt>
                <c:pt idx="20">
                  <c:v>203.76753101084535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80.800000000000011</c:v>
                </c:pt>
                <c:pt idx="3">
                  <c:v>80.800000000000011</c:v>
                </c:pt>
                <c:pt idx="4">
                  <c:v>80.800000000000011</c:v>
                </c:pt>
                <c:pt idx="5">
                  <c:v>80.800000000000011</c:v>
                </c:pt>
                <c:pt idx="6">
                  <c:v>80.800000000000011</c:v>
                </c:pt>
                <c:pt idx="7">
                  <c:v>80.800000000000011</c:v>
                </c:pt>
                <c:pt idx="8">
                  <c:v>80.800000000000011</c:v>
                </c:pt>
                <c:pt idx="9">
                  <c:v>80.800000000000011</c:v>
                </c:pt>
                <c:pt idx="10">
                  <c:v>80.800000000000011</c:v>
                </c:pt>
                <c:pt idx="11">
                  <c:v>80.800000000000011</c:v>
                </c:pt>
                <c:pt idx="12">
                  <c:v>80.800000000000011</c:v>
                </c:pt>
                <c:pt idx="13">
                  <c:v>80.800000000000011</c:v>
                </c:pt>
                <c:pt idx="14">
                  <c:v>80.800000000000011</c:v>
                </c:pt>
                <c:pt idx="15">
                  <c:v>80.800000000000011</c:v>
                </c:pt>
                <c:pt idx="16">
                  <c:v>80.800000000000011</c:v>
                </c:pt>
                <c:pt idx="17">
                  <c:v>80.800000000000011</c:v>
                </c:pt>
                <c:pt idx="18">
                  <c:v>80.800000000000011</c:v>
                </c:pt>
                <c:pt idx="19">
                  <c:v>80.800000000000011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21.177442855773123</c:v>
                </c:pt>
                <c:pt idx="2">
                  <c:v>21.31362673267428</c:v>
                </c:pt>
                <c:pt idx="3">
                  <c:v>21.361252411077157</c:v>
                </c:pt>
                <c:pt idx="4">
                  <c:v>21.373572796323248</c:v>
                </c:pt>
                <c:pt idx="5">
                  <c:v>21.386997908670367</c:v>
                </c:pt>
                <c:pt idx="6">
                  <c:v>21.40216060844784</c:v>
                </c:pt>
                <c:pt idx="7">
                  <c:v>21.419573204662555</c:v>
                </c:pt>
                <c:pt idx="8">
                  <c:v>21.439412121144972</c:v>
                </c:pt>
                <c:pt idx="9">
                  <c:v>21.461836261123256</c:v>
                </c:pt>
                <c:pt idx="10">
                  <c:v>21.487489537014611</c:v>
                </c:pt>
                <c:pt idx="11">
                  <c:v>21.516836131524574</c:v>
                </c:pt>
                <c:pt idx="12">
                  <c:v>21.550015994185369</c:v>
                </c:pt>
                <c:pt idx="13">
                  <c:v>21.587828977883365</c:v>
                </c:pt>
                <c:pt idx="14">
                  <c:v>21.63126770641761</c:v>
                </c:pt>
                <c:pt idx="15">
                  <c:v>21.680398144660785</c:v>
                </c:pt>
                <c:pt idx="16">
                  <c:v>21.736177224487477</c:v>
                </c:pt>
                <c:pt idx="17">
                  <c:v>21.800536428269282</c:v>
                </c:pt>
                <c:pt idx="18">
                  <c:v>21.873364004386701</c:v>
                </c:pt>
                <c:pt idx="19">
                  <c:v>21.955739725104227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192.07962131222325</c:v>
                </c:pt>
                <c:pt idx="1">
                  <c:v>192.17955148621905</c:v>
                </c:pt>
                <c:pt idx="2">
                  <c:v>192.55917283386833</c:v>
                </c:pt>
                <c:pt idx="3">
                  <c:v>192.68093625020182</c:v>
                </c:pt>
                <c:pt idx="4">
                  <c:v>192.70740886202262</c:v>
                </c:pt>
                <c:pt idx="5">
                  <c:v>192.73626546768241</c:v>
                </c:pt>
                <c:pt idx="6">
                  <c:v>192.76886909884863</c:v>
                </c:pt>
                <c:pt idx="7">
                  <c:v>192.80632867955794</c:v>
                </c:pt>
                <c:pt idx="8">
                  <c:v>192.84903020786459</c:v>
                </c:pt>
                <c:pt idx="9">
                  <c:v>192.89732291524649</c:v>
                </c:pt>
                <c:pt idx="10">
                  <c:v>192.95260819521121</c:v>
                </c:pt>
                <c:pt idx="11">
                  <c:v>193.01590298610779</c:v>
                </c:pt>
                <c:pt idx="12">
                  <c:v>193.08752415014433</c:v>
                </c:pt>
                <c:pt idx="13">
                  <c:v>193.169227236952</c:v>
                </c:pt>
                <c:pt idx="14">
                  <c:v>193.26319897414123</c:v>
                </c:pt>
                <c:pt idx="15">
                  <c:v>193.36961335841625</c:v>
                </c:pt>
                <c:pt idx="16">
                  <c:v>193.49059981991232</c:v>
                </c:pt>
                <c:pt idx="17">
                  <c:v>193.63045295711041</c:v>
                </c:pt>
                <c:pt idx="18">
                  <c:v>193.78899524027844</c:v>
                </c:pt>
                <c:pt idx="19">
                  <c:v>193.96868683062888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21.177442855773123</c:v>
                </c:pt>
                <c:pt idx="2">
                  <c:v>21.31362673267428</c:v>
                </c:pt>
                <c:pt idx="3">
                  <c:v>21.361252411077157</c:v>
                </c:pt>
                <c:pt idx="4">
                  <c:v>21.373572796323248</c:v>
                </c:pt>
                <c:pt idx="5">
                  <c:v>21.386997908670367</c:v>
                </c:pt>
                <c:pt idx="6">
                  <c:v>21.40216060844784</c:v>
                </c:pt>
                <c:pt idx="7">
                  <c:v>21.419573204662555</c:v>
                </c:pt>
                <c:pt idx="8">
                  <c:v>21.439412121144972</c:v>
                </c:pt>
                <c:pt idx="9">
                  <c:v>21.461836261123256</c:v>
                </c:pt>
                <c:pt idx="10">
                  <c:v>21.487489537014611</c:v>
                </c:pt>
                <c:pt idx="11">
                  <c:v>21.516836131524574</c:v>
                </c:pt>
                <c:pt idx="12">
                  <c:v>21.550015994185369</c:v>
                </c:pt>
                <c:pt idx="13">
                  <c:v>21.587828977883365</c:v>
                </c:pt>
                <c:pt idx="14">
                  <c:v>21.63126770641761</c:v>
                </c:pt>
                <c:pt idx="15">
                  <c:v>21.680398144660785</c:v>
                </c:pt>
                <c:pt idx="16">
                  <c:v>21.736177224487477</c:v>
                </c:pt>
                <c:pt idx="17">
                  <c:v>21.800536428269282</c:v>
                </c:pt>
                <c:pt idx="18">
                  <c:v>21.873364004386701</c:v>
                </c:pt>
                <c:pt idx="19">
                  <c:v>21.955739725104227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75.763571880534002</c:v>
                </c:pt>
                <c:pt idx="15">
                  <c:v>24.924470406951201</c:v>
                </c:pt>
                <c:pt idx="16">
                  <c:v>17.370072129764427</c:v>
                </c:pt>
                <c:pt idx="17">
                  <c:v>14.633063282093376</c:v>
                </c:pt>
                <c:pt idx="18">
                  <c:v>13.291056330076653</c:v>
                </c:pt>
                <c:pt idx="19">
                  <c:v>12.553317785068097</c:v>
                </c:pt>
                <c:pt idx="20">
                  <c:v>12.140279247886626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166.71865037981541</c:v>
                </c:pt>
                <c:pt idx="19">
                  <c:v>185.67962838665807</c:v>
                </c:pt>
                <c:pt idx="20">
                  <c:v>203.76753101084535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G69" zoomScale="85" zoomScaleNormal="85" workbookViewId="0">
      <selection activeCell="S71" sqref="S71"/>
    </sheetView>
  </sheetViews>
  <sheetFormatPr defaultRowHeight="12.75" x14ac:dyDescent="0.2"/>
  <cols>
    <col min="2" max="2" width="13.28515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2" width="11.8554687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7.27b</v>
      </c>
      <c r="H1" t="s">
        <v>52</v>
      </c>
      <c r="I1" s="27">
        <v>44312</v>
      </c>
      <c r="J1" s="20"/>
      <c r="K1" s="20"/>
      <c r="L1" s="20"/>
    </row>
    <row r="2" spans="1:12" x14ac:dyDescent="0.2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5" x14ac:dyDescent="0.25">
      <c r="A3" s="29" t="s">
        <v>54</v>
      </c>
      <c r="B3" s="67" t="s">
        <v>55</v>
      </c>
      <c r="C3" s="68"/>
      <c r="D3" s="68"/>
      <c r="E3" s="69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7" t="s">
        <v>58</v>
      </c>
      <c r="C4" s="68"/>
      <c r="D4" s="68"/>
      <c r="E4" s="69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7" t="s">
        <v>61</v>
      </c>
      <c r="C5" s="68"/>
      <c r="D5" s="68"/>
      <c r="E5" s="69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0" t="s">
        <v>64</v>
      </c>
      <c r="C6" s="71"/>
      <c r="D6" s="71"/>
      <c r="E6" s="72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3"/>
      <c r="C7" s="74"/>
      <c r="D7" s="74"/>
      <c r="E7" s="75"/>
      <c r="H7" s="31"/>
      <c r="I7" s="32"/>
      <c r="J7" s="32"/>
      <c r="K7" s="32"/>
      <c r="L7" s="32"/>
    </row>
    <row r="8" spans="1:12" x14ac:dyDescent="0.2">
      <c r="A8" s="34"/>
      <c r="B8" s="76"/>
      <c r="C8" s="77"/>
      <c r="D8" s="77"/>
      <c r="E8" s="78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135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16" t="s">
        <v>39</v>
      </c>
      <c r="C24" s="2">
        <v>80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16" t="s">
        <v>40</v>
      </c>
      <c r="C25" s="2">
        <v>1500</v>
      </c>
      <c r="D25" s="16" t="s">
        <v>4</v>
      </c>
      <c r="W25" t="e">
        <f ca="1">Q24</f>
        <v>#NAME?</v>
      </c>
    </row>
    <row r="26" spans="1:30" x14ac:dyDescent="0.2">
      <c r="B26" s="16" t="s">
        <v>36</v>
      </c>
      <c r="C26" s="2">
        <v>55</v>
      </c>
      <c r="D26" s="16" t="s">
        <v>5</v>
      </c>
    </row>
    <row r="27" spans="1:30" x14ac:dyDescent="0.2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2">
      <c r="B28" s="16" t="s">
        <v>38</v>
      </c>
      <c r="C28" s="11" t="str" cm="1">
        <f t="array" ref="C28">[1]!ESP_name(PumpID_)</f>
        <v>ЭЦН5-80</v>
      </c>
      <c r="D28" s="16"/>
    </row>
    <row r="29" spans="1:30" ht="15.75" x14ac:dyDescent="0.3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2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{"gamma_gas":0.8,"gamma_oil":0.9,"gamma_wat":1,"rsb_m3m3":80,"pb_atma":120,"t_res_C":100,"bob_m3m3":1.2,"muob_cP":1,"q_liq_sm3day":135,"fw_perc":10,"rp_m3m3":80}</v>
      </c>
    </row>
    <row r="32" spans="1:30" ht="15.75" x14ac:dyDescent="0.3">
      <c r="B32" s="16" t="s">
        <v>43</v>
      </c>
      <c r="C32" s="7">
        <v>80</v>
      </c>
      <c r="D32" s="16" t="s">
        <v>1</v>
      </c>
    </row>
    <row r="33" spans="1:19" ht="15.75" x14ac:dyDescent="0.3">
      <c r="B33" s="16" t="s">
        <v>44</v>
      </c>
      <c r="C33" s="7">
        <v>80</v>
      </c>
      <c r="D33" s="16" t="s">
        <v>2</v>
      </c>
    </row>
    <row r="34" spans="1:19" ht="15" x14ac:dyDescent="0.25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:S37">[1]!decode_json(P43)</f>
        <v>CESPpump start:</v>
      </c>
    </row>
    <row r="35" spans="1:19" x14ac:dyDescent="0.2">
      <c r="A35" t="s">
        <v>51</v>
      </c>
      <c r="L35" s="12" t="s">
        <v>72</v>
      </c>
      <c r="M35" s="55">
        <v>1</v>
      </c>
      <c r="S35" t="str">
        <v>{"gas_correct_model" :0, "gas_correct_stage_by_stage" : 0, "dnum_stages_integrate" : 10, "calc_from_dis": 0}</v>
      </c>
    </row>
    <row r="36" spans="1:19" x14ac:dyDescent="0.2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  <c r="S36" t="str">
        <v>{"gas_correct_intake" :1,000, "gas_frac_intake" :0,211, "q_rel" :0,998}</v>
      </c>
    </row>
    <row r="37" spans="1:19" x14ac:dyDescent="0.2">
      <c r="A37" s="1"/>
      <c r="L37" s="12" t="s">
        <v>74</v>
      </c>
      <c r="M37" s="55">
        <v>1</v>
      </c>
      <c r="S37" t="str">
        <v>calc_integration calc done in 3,90625 ms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16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x14ac:dyDescent="0.2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79.200630738771736</v>
      </c>
      <c r="G43" s="41">
        <v>80</v>
      </c>
      <c r="H43" s="41">
        <v>80</v>
      </c>
      <c r="I43" s="41">
        <v>79.200630738771736</v>
      </c>
      <c r="J43" s="41">
        <v>80.800000000000011</v>
      </c>
      <c r="K43" s="41">
        <v>-12.049932211967128</v>
      </c>
      <c r="L43" s="41">
        <v>0</v>
      </c>
      <c r="M43" s="41">
        <v>7.1019768723713756</v>
      </c>
      <c r="N43" s="41">
        <v>2566.4192171420882</v>
      </c>
      <c r="O43" s="58">
        <v>1</v>
      </c>
      <c r="P43" s="59" t="str">
        <v>["CESPpump start:","{\"gas_correct_model\" :0, \"gas_correct_stage_by_stage\" : 0, \"dnum_stages_integrate\" : 10, \"calc_from_dis\": 0}","{\"gas_correct_intake\" :1,000, \"gas_frac_intake\" :0,211, \"q_rel\" :0,998}","calc_integration calc done in 3,90625 ms"]</v>
      </c>
    </row>
    <row r="44" spans="1:19" ht="25.5" x14ac:dyDescent="0.2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2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2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192.07962131222325</v>
      </c>
      <c r="L46" s="45">
        <v>0</v>
      </c>
      <c r="M46" s="45">
        <v>0</v>
      </c>
      <c r="N46" s="45">
        <v>0</v>
      </c>
      <c r="O46" s="44">
        <v>0.96556394924479327</v>
      </c>
      <c r="P46" s="62">
        <v>100</v>
      </c>
    </row>
    <row r="47" spans="1:19" x14ac:dyDescent="0.2">
      <c r="F47" s="51">
        <v>13.157894736842104</v>
      </c>
      <c r="G47" s="45">
        <v>1011.8421052631579</v>
      </c>
      <c r="H47" s="45">
        <v>80.027246251515265</v>
      </c>
      <c r="I47" s="45">
        <v>80.526315789473685</v>
      </c>
      <c r="J47" s="45">
        <v>21.177442855773123</v>
      </c>
      <c r="K47" s="45">
        <v>192.17955148621905</v>
      </c>
      <c r="L47" s="45">
        <v>6.1382233658937171</v>
      </c>
      <c r="M47" s="45">
        <v>1688.6316165945289</v>
      </c>
      <c r="N47" s="45">
        <v>0.3908933204576876</v>
      </c>
      <c r="O47" s="44">
        <v>0.96520610668123319</v>
      </c>
      <c r="P47" s="62">
        <v>100</v>
      </c>
    </row>
    <row r="48" spans="1:19" x14ac:dyDescent="0.2">
      <c r="F48" s="51">
        <v>26.315789473684209</v>
      </c>
      <c r="G48" s="45">
        <v>1011.1842105263158</v>
      </c>
      <c r="H48" s="45">
        <v>80.025671901690657</v>
      </c>
      <c r="I48" s="45">
        <v>80.800000000000011</v>
      </c>
      <c r="J48" s="45">
        <v>21.31362673267428</v>
      </c>
      <c r="K48" s="45">
        <v>192.55917283386833</v>
      </c>
      <c r="L48" s="45">
        <v>7.1019768723713756</v>
      </c>
      <c r="M48" s="45">
        <v>2566.4192171420882</v>
      </c>
      <c r="N48" s="45">
        <v>0.10195208084507305</v>
      </c>
      <c r="O48" s="44">
        <v>0.96394870660908039</v>
      </c>
      <c r="P48" s="62">
        <v>100</v>
      </c>
    </row>
    <row r="49" spans="6:16" x14ac:dyDescent="0.2">
      <c r="F49" s="51">
        <v>39.473684210526315</v>
      </c>
      <c r="G49" s="45">
        <v>1010.5263157894736</v>
      </c>
      <c r="H49" s="45">
        <v>80.011898939322137</v>
      </c>
      <c r="I49" s="45">
        <v>80.800000000000011</v>
      </c>
      <c r="J49" s="45">
        <v>21.361252411077157</v>
      </c>
      <c r="K49" s="45">
        <v>192.68093625020182</v>
      </c>
      <c r="L49" s="45">
        <v>7.1019768723713756</v>
      </c>
      <c r="M49" s="45">
        <v>2566.4192171420882</v>
      </c>
      <c r="N49" s="45">
        <v>0</v>
      </c>
      <c r="O49" s="44">
        <v>0.96366143846926544</v>
      </c>
      <c r="P49" s="62">
        <v>100</v>
      </c>
    </row>
    <row r="50" spans="6:16" x14ac:dyDescent="0.2">
      <c r="F50" s="51">
        <v>52.631578947368418</v>
      </c>
      <c r="G50" s="45">
        <v>1009.8684210526316</v>
      </c>
      <c r="H50" s="45">
        <v>79.995702639612048</v>
      </c>
      <c r="I50" s="45">
        <v>80.800000000000011</v>
      </c>
      <c r="J50" s="45">
        <v>21.373572796323248</v>
      </c>
      <c r="K50" s="45">
        <v>192.70740886202262</v>
      </c>
      <c r="L50" s="45">
        <v>7.1019768723713756</v>
      </c>
      <c r="M50" s="45">
        <v>2566.4192171420882</v>
      </c>
      <c r="N50" s="45">
        <v>0</v>
      </c>
      <c r="O50" s="44">
        <v>0.96365539441003667</v>
      </c>
      <c r="P50" s="62">
        <v>100</v>
      </c>
    </row>
    <row r="51" spans="6:16" x14ac:dyDescent="0.2">
      <c r="F51" s="51">
        <v>65.78947368421052</v>
      </c>
      <c r="G51" s="45">
        <v>1009.2105263157895</v>
      </c>
      <c r="H51" s="45">
        <v>79.977321294182033</v>
      </c>
      <c r="I51" s="45">
        <v>80.800000000000011</v>
      </c>
      <c r="J51" s="45">
        <v>21.386997908670367</v>
      </c>
      <c r="K51" s="45">
        <v>192.73626546768241</v>
      </c>
      <c r="L51" s="45">
        <v>7.1019768723713756</v>
      </c>
      <c r="M51" s="45">
        <v>2566.4192171420882</v>
      </c>
      <c r="N51" s="45">
        <v>0</v>
      </c>
      <c r="O51" s="44">
        <v>0.96364878443055046</v>
      </c>
      <c r="P51" s="62">
        <v>100</v>
      </c>
    </row>
    <row r="52" spans="6:16" x14ac:dyDescent="0.2">
      <c r="F52" s="51">
        <v>78.94736842105263</v>
      </c>
      <c r="G52" s="45">
        <v>1008.5526315789474</v>
      </c>
      <c r="H52" s="45">
        <v>79.956552136678866</v>
      </c>
      <c r="I52" s="45">
        <v>80.800000000000011</v>
      </c>
      <c r="J52" s="45">
        <v>21.40216060844784</v>
      </c>
      <c r="K52" s="45">
        <v>192.76886909884863</v>
      </c>
      <c r="L52" s="45">
        <v>7.1019768723713756</v>
      </c>
      <c r="M52" s="45">
        <v>2566.4192171420882</v>
      </c>
      <c r="N52" s="45">
        <v>0</v>
      </c>
      <c r="O52" s="44">
        <v>0.96364129058427372</v>
      </c>
      <c r="P52" s="62">
        <v>100</v>
      </c>
    </row>
    <row r="53" spans="6:16" x14ac:dyDescent="0.2">
      <c r="F53" s="51">
        <v>92.105263157894726</v>
      </c>
      <c r="G53" s="45">
        <v>1007.8947368421053</v>
      </c>
      <c r="H53" s="45">
        <v>79.932705398988688</v>
      </c>
      <c r="I53" s="45">
        <v>80.800000000000011</v>
      </c>
      <c r="J53" s="45">
        <v>21.419573204662555</v>
      </c>
      <c r="K53" s="45">
        <v>192.80632867955794</v>
      </c>
      <c r="L53" s="45">
        <v>7.1019768723713756</v>
      </c>
      <c r="M53" s="45">
        <v>2566.4192171420882</v>
      </c>
      <c r="N53" s="45">
        <v>0</v>
      </c>
      <c r="O53" s="44">
        <v>0.96363264261543402</v>
      </c>
      <c r="P53" s="62">
        <v>100</v>
      </c>
    </row>
    <row r="54" spans="6:16" x14ac:dyDescent="0.2">
      <c r="F54" s="51">
        <v>105.26315789473684</v>
      </c>
      <c r="G54" s="45">
        <v>1007.2368421052631</v>
      </c>
      <c r="H54" s="45">
        <v>79.905541366026426</v>
      </c>
      <c r="I54" s="45">
        <v>80.800000000000011</v>
      </c>
      <c r="J54" s="45">
        <v>21.439412121144972</v>
      </c>
      <c r="K54" s="45">
        <v>192.84903020786459</v>
      </c>
      <c r="L54" s="45">
        <v>7.1019768723713756</v>
      </c>
      <c r="M54" s="45">
        <v>2566.4192171420882</v>
      </c>
      <c r="N54" s="45">
        <v>0</v>
      </c>
      <c r="O54" s="44">
        <v>0.96362273789084041</v>
      </c>
      <c r="P54" s="62">
        <v>100</v>
      </c>
    </row>
    <row r="55" spans="6:16" x14ac:dyDescent="0.2">
      <c r="F55" s="51">
        <v>118.42105263157895</v>
      </c>
      <c r="G55" s="45">
        <v>1006.578947368421</v>
      </c>
      <c r="H55" s="45">
        <v>79.874844268057061</v>
      </c>
      <c r="I55" s="45">
        <v>80.800000000000011</v>
      </c>
      <c r="J55" s="45">
        <v>21.461836261123256</v>
      </c>
      <c r="K55" s="45">
        <v>192.89732291524649</v>
      </c>
      <c r="L55" s="45">
        <v>7.1019768723713756</v>
      </c>
      <c r="M55" s="45">
        <v>2566.4192171420882</v>
      </c>
      <c r="N55" s="45">
        <v>0</v>
      </c>
      <c r="O55" s="44">
        <v>0.96361148034110211</v>
      </c>
      <c r="P55" s="62">
        <v>100</v>
      </c>
    </row>
    <row r="56" spans="6:16" x14ac:dyDescent="0.2">
      <c r="F56" s="51">
        <v>131.57894736842104</v>
      </c>
      <c r="G56" s="45">
        <v>1005.921052631579</v>
      </c>
      <c r="H56" s="45">
        <v>79.839736296049594</v>
      </c>
      <c r="I56" s="45">
        <v>80.800000000000011</v>
      </c>
      <c r="J56" s="45">
        <v>21.487489537014611</v>
      </c>
      <c r="K56" s="45">
        <v>192.95260819521121</v>
      </c>
      <c r="L56" s="45">
        <v>7.1019768723713756</v>
      </c>
      <c r="M56" s="45">
        <v>2566.4192171420882</v>
      </c>
      <c r="N56" s="45">
        <v>0</v>
      </c>
      <c r="O56" s="44">
        <v>0.96359851266228669</v>
      </c>
      <c r="P56" s="62">
        <v>100</v>
      </c>
    </row>
    <row r="57" spans="6:16" x14ac:dyDescent="0.2">
      <c r="F57" s="51">
        <v>144.73684210526315</v>
      </c>
      <c r="G57" s="45">
        <v>1005.2631578947369</v>
      </c>
      <c r="H57" s="45">
        <v>79.799586319130242</v>
      </c>
      <c r="I57" s="45">
        <v>80.800000000000011</v>
      </c>
      <c r="J57" s="45">
        <v>21.516836131524574</v>
      </c>
      <c r="K57" s="45">
        <v>193.01590298610779</v>
      </c>
      <c r="L57" s="45">
        <v>7.1019768723713756</v>
      </c>
      <c r="M57" s="45">
        <v>2566.4192171420882</v>
      </c>
      <c r="N57" s="45">
        <v>0</v>
      </c>
      <c r="O57" s="44">
        <v>0.96358356176521487</v>
      </c>
      <c r="P57" s="62">
        <v>100</v>
      </c>
    </row>
    <row r="58" spans="6:16" x14ac:dyDescent="0.2">
      <c r="F58" s="51">
        <v>157.89473684210526</v>
      </c>
      <c r="G58" s="45">
        <v>1004.6052631578947</v>
      </c>
      <c r="H58" s="45">
        <v>79.754206593870705</v>
      </c>
      <c r="I58" s="45">
        <v>80.800000000000011</v>
      </c>
      <c r="J58" s="45">
        <v>21.550015994185369</v>
      </c>
      <c r="K58" s="45">
        <v>193.08752415014433</v>
      </c>
      <c r="L58" s="45">
        <v>7.1019768723713756</v>
      </c>
      <c r="M58" s="45">
        <v>2566.4192171420882</v>
      </c>
      <c r="N58" s="45">
        <v>0</v>
      </c>
      <c r="O58" s="44">
        <v>0.96356652158787504</v>
      </c>
      <c r="P58" s="62">
        <v>100</v>
      </c>
    </row>
    <row r="59" spans="6:16" x14ac:dyDescent="0.2">
      <c r="F59" s="51">
        <v>171.05263157894737</v>
      </c>
      <c r="G59" s="45">
        <v>1003.9473684210526</v>
      </c>
      <c r="H59" s="45">
        <v>79.702510363367281</v>
      </c>
      <c r="I59" s="45">
        <v>80.800000000000011</v>
      </c>
      <c r="J59" s="45">
        <v>21.587828977883365</v>
      </c>
      <c r="K59" s="45">
        <v>193.169227236952</v>
      </c>
      <c r="L59" s="45">
        <v>7.1019768723713756</v>
      </c>
      <c r="M59" s="45">
        <v>2566.4192171420882</v>
      </c>
      <c r="N59" s="45">
        <v>0</v>
      </c>
      <c r="O59" s="44">
        <v>0.96354691421956695</v>
      </c>
      <c r="P59" s="62">
        <v>100</v>
      </c>
    </row>
    <row r="60" spans="6:16" x14ac:dyDescent="0.2">
      <c r="F60" s="51">
        <v>184.21052631578945</v>
      </c>
      <c r="G60" s="45">
        <v>1003.2894736842105</v>
      </c>
      <c r="H60" s="45">
        <v>79.643150924932769</v>
      </c>
      <c r="I60" s="45">
        <v>80.800000000000011</v>
      </c>
      <c r="J60" s="45">
        <v>21.63126770641761</v>
      </c>
      <c r="K60" s="45">
        <v>193.26319897414123</v>
      </c>
      <c r="L60" s="45">
        <v>7.1019768723713756</v>
      </c>
      <c r="M60" s="45">
        <v>2566.4192171420882</v>
      </c>
      <c r="N60" s="45">
        <v>0</v>
      </c>
      <c r="O60" s="44">
        <v>0.96352412800994403</v>
      </c>
      <c r="P60" s="62">
        <v>100</v>
      </c>
    </row>
    <row r="61" spans="6:16" x14ac:dyDescent="0.2">
      <c r="F61" s="51">
        <v>197.36842105263156</v>
      </c>
      <c r="G61" s="45">
        <v>1002.6315789473684</v>
      </c>
      <c r="H61" s="45">
        <v>79.576045811939082</v>
      </c>
      <c r="I61" s="45">
        <v>80.800000000000011</v>
      </c>
      <c r="J61" s="45">
        <v>21.680398144660785</v>
      </c>
      <c r="K61" s="45">
        <v>193.36961335841625</v>
      </c>
      <c r="L61" s="45">
        <v>7.1019768723713756</v>
      </c>
      <c r="M61" s="45">
        <v>2566.4192171420882</v>
      </c>
      <c r="N61" s="45">
        <v>0</v>
      </c>
      <c r="O61" s="44">
        <v>0.96349805629108287</v>
      </c>
      <c r="P61" s="62">
        <v>100</v>
      </c>
    </row>
    <row r="62" spans="6:16" x14ac:dyDescent="0.2">
      <c r="F62" s="51">
        <v>210.52631578947367</v>
      </c>
      <c r="G62" s="45">
        <v>1001.9736842105264</v>
      </c>
      <c r="H62" s="45">
        <v>79.499901909897943</v>
      </c>
      <c r="I62" s="45">
        <v>80.800000000000011</v>
      </c>
      <c r="J62" s="45">
        <v>21.736177224487477</v>
      </c>
      <c r="K62" s="45">
        <v>193.49059981991232</v>
      </c>
      <c r="L62" s="45">
        <v>7.1019768723713756</v>
      </c>
      <c r="M62" s="45">
        <v>2566.4192171420882</v>
      </c>
      <c r="N62" s="45">
        <v>0</v>
      </c>
      <c r="O62" s="44">
        <v>0.96346806056426815</v>
      </c>
      <c r="P62" s="62">
        <v>100</v>
      </c>
    </row>
    <row r="63" spans="6:16" x14ac:dyDescent="0.2">
      <c r="F63" s="51">
        <v>223.68421052631578</v>
      </c>
      <c r="G63" s="45">
        <v>1001.3157894736842</v>
      </c>
      <c r="H63" s="45">
        <v>79.412108254460861</v>
      </c>
      <c r="I63" s="45">
        <v>80.800000000000011</v>
      </c>
      <c r="J63" s="45">
        <v>21.800536428269282</v>
      </c>
      <c r="K63" s="45">
        <v>193.63045295711041</v>
      </c>
      <c r="L63" s="45">
        <v>7.1019768723713756</v>
      </c>
      <c r="M63" s="45">
        <v>2566.4192171420882</v>
      </c>
      <c r="N63" s="45">
        <v>0</v>
      </c>
      <c r="O63" s="44">
        <v>0.96343286038490339</v>
      </c>
      <c r="P63" s="62">
        <v>100</v>
      </c>
    </row>
    <row r="64" spans="6:16" x14ac:dyDescent="0.2">
      <c r="F64" s="51">
        <v>236.84210526315789</v>
      </c>
      <c r="G64" s="45">
        <v>1000.6578947368421</v>
      </c>
      <c r="H64" s="45">
        <v>79.312833026465384</v>
      </c>
      <c r="I64" s="45">
        <v>80.800000000000011</v>
      </c>
      <c r="J64" s="45">
        <v>21.873364004386701</v>
      </c>
      <c r="K64" s="45">
        <v>193.78899524027844</v>
      </c>
      <c r="L64" s="45">
        <v>7.1019768723713756</v>
      </c>
      <c r="M64" s="45">
        <v>2566.4192171420882</v>
      </c>
      <c r="N64" s="45">
        <v>0</v>
      </c>
      <c r="O64" s="44">
        <v>0.96339236765288938</v>
      </c>
      <c r="P64" s="62">
        <v>100</v>
      </c>
    </row>
    <row r="65" spans="2:35" x14ac:dyDescent="0.2">
      <c r="F65" s="52">
        <v>250</v>
      </c>
      <c r="G65" s="48">
        <v>1000</v>
      </c>
      <c r="H65" s="48">
        <v>79.200630738771736</v>
      </c>
      <c r="I65" s="48">
        <v>80.800000000000011</v>
      </c>
      <c r="J65" s="48">
        <v>21.955739725104227</v>
      </c>
      <c r="K65" s="48">
        <v>193.96868683062888</v>
      </c>
      <c r="L65" s="48">
        <v>7.1019768723713756</v>
      </c>
      <c r="M65" s="48">
        <v>2566.4192171420882</v>
      </c>
      <c r="N65" s="48">
        <v>0</v>
      </c>
      <c r="O65" s="49">
        <v>0.96334573166642712</v>
      </c>
      <c r="P65" s="63">
        <v>100</v>
      </c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  <c r="K73" t="s">
        <v>79</v>
      </c>
    </row>
    <row r="74" spans="2:35" x14ac:dyDescent="0.2">
      <c r="C74" s="4"/>
      <c r="D74" s="64" t="s">
        <v>10</v>
      </c>
      <c r="E74" s="65"/>
      <c r="F74" s="65"/>
      <c r="G74" s="65"/>
      <c r="H74" s="66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75.763571880534002</v>
      </c>
      <c r="E90" s="26">
        <v>80</v>
      </c>
      <c r="F90" s="26">
        <v>80</v>
      </c>
      <c r="G90" s="26">
        <v>75.763571880534002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24.924470406951201</v>
      </c>
      <c r="E91" s="26">
        <v>80</v>
      </c>
      <c r="F91" s="26">
        <v>80</v>
      </c>
      <c r="G91" s="26">
        <v>24.924470406951201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17.370072129764427</v>
      </c>
      <c r="E92" s="26">
        <v>80</v>
      </c>
      <c r="F92" s="26">
        <v>80</v>
      </c>
      <c r="G92" s="26">
        <v>17.370072129764427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14.633063282093376</v>
      </c>
      <c r="E93" s="26">
        <v>80</v>
      </c>
      <c r="F93" s="26">
        <v>80</v>
      </c>
      <c r="G93" s="26">
        <v>14.633063282093376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13.291056330076653</v>
      </c>
      <c r="E94" s="26">
        <v>80</v>
      </c>
      <c r="F94" s="26">
        <v>80</v>
      </c>
      <c r="G94" s="26">
        <v>13.291056330076653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12.553317785068097</v>
      </c>
      <c r="E95" s="26">
        <v>80</v>
      </c>
      <c r="F95" s="26">
        <v>80</v>
      </c>
      <c r="G95" s="26">
        <v>12.553317785068097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12.140279247886626</v>
      </c>
      <c r="E96" s="26">
        <v>80</v>
      </c>
      <c r="F96" s="26">
        <v>80</v>
      </c>
      <c r="G96" s="26">
        <v>12.140279247886626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4" t="s">
        <v>11</v>
      </c>
      <c r="E102" s="65"/>
      <c r="F102" s="65"/>
      <c r="G102" s="65"/>
      <c r="H102" s="66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166.71865037981541</v>
      </c>
      <c r="E122" s="26">
        <v>166.71865037981541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185.67962838665807</v>
      </c>
      <c r="E123" s="26">
        <v>185.67962838665807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203.76753101084535</v>
      </c>
      <c r="E124" s="26">
        <v>203.76753101084535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2.75" x14ac:dyDescent="0.2"/>
  <cols>
    <col min="2" max="2" width="13.28515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2" width="11.8554687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7.27b</v>
      </c>
      <c r="H1" t="s">
        <v>52</v>
      </c>
      <c r="I1" s="27">
        <v>44312</v>
      </c>
      <c r="J1" s="20"/>
      <c r="K1" s="20"/>
      <c r="L1" s="20"/>
    </row>
    <row r="2" spans="1:12" x14ac:dyDescent="0.2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5" x14ac:dyDescent="0.25">
      <c r="A3" s="29" t="s">
        <v>54</v>
      </c>
      <c r="B3" s="67" t="s">
        <v>55</v>
      </c>
      <c r="C3" s="68"/>
      <c r="D3" s="68"/>
      <c r="E3" s="69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7" t="s">
        <v>58</v>
      </c>
      <c r="C4" s="68"/>
      <c r="D4" s="68"/>
      <c r="E4" s="69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7" t="s">
        <v>61</v>
      </c>
      <c r="C5" s="68"/>
      <c r="D5" s="68"/>
      <c r="E5" s="69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0" t="s">
        <v>64</v>
      </c>
      <c r="C6" s="71"/>
      <c r="D6" s="71"/>
      <c r="E6" s="72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3"/>
      <c r="C7" s="74"/>
      <c r="D7" s="74"/>
      <c r="E7" s="75"/>
      <c r="H7" s="31"/>
      <c r="I7" s="32"/>
      <c r="J7" s="32"/>
      <c r="K7" s="32"/>
      <c r="L7" s="32"/>
    </row>
    <row r="8" spans="1:12" x14ac:dyDescent="0.2">
      <c r="A8" s="34"/>
      <c r="B8" s="76"/>
      <c r="C8" s="77"/>
      <c r="D8" s="77"/>
      <c r="E8" s="78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135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2">
      <c r="B26" s="23" t="s">
        <v>36</v>
      </c>
      <c r="C26" s="2">
        <v>55</v>
      </c>
      <c r="D26" s="23" t="s">
        <v>5</v>
      </c>
    </row>
    <row r="27" spans="1:30" x14ac:dyDescent="0.2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2">
      <c r="B28" s="23" t="s">
        <v>38</v>
      </c>
      <c r="C28" s="11" t="str" cm="1">
        <f t="array" ref="C28">[1]!ESP_name(PumpID_)</f>
        <v>ЭЦН5-80</v>
      </c>
      <c r="D28" s="23"/>
    </row>
    <row r="29" spans="1:30" ht="15.75" x14ac:dyDescent="0.3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2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{"gamma_gas":0.8,"gamma_oil":0.9,"gamma_wat":1,"rsb_m3m3":80,"pb_atma":120,"t_res_C":100,"bob_m3m3":1.2,"muob_cP":1,"q_liq_sm3day":135,"fw_perc":10,"rp_m3m3":80}</v>
      </c>
    </row>
    <row r="32" spans="1:30" ht="15.75" x14ac:dyDescent="0.3">
      <c r="B32" s="23" t="s">
        <v>43</v>
      </c>
      <c r="C32" s="7">
        <v>80</v>
      </c>
      <c r="D32" s="23" t="s">
        <v>1</v>
      </c>
    </row>
    <row r="33" spans="1:19" ht="15.75" x14ac:dyDescent="0.3">
      <c r="B33" s="23" t="s">
        <v>44</v>
      </c>
      <c r="C33" s="7">
        <v>80</v>
      </c>
      <c r="D33" s="23" t="s">
        <v>2</v>
      </c>
    </row>
    <row r="34" spans="1:19" ht="15" x14ac:dyDescent="0.2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2">
      <c r="A35" t="s">
        <v>51</v>
      </c>
      <c r="L35" s="12" t="s">
        <v>72</v>
      </c>
      <c r="M35" s="55">
        <v>1</v>
      </c>
    </row>
    <row r="36" spans="1:19" x14ac:dyDescent="0.2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23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x14ac:dyDescent="0.2">
      <c r="B43" s="15" t="s">
        <v>50</v>
      </c>
      <c r="C43" s="2">
        <v>0</v>
      </c>
      <c r="D43" s="23"/>
      <c r="F43" s="53" cm="1">
        <f t="array" ref="F43">[1]!ESP_p_atma(Pintake_,Tintake_,Tdis_,,PumpID_,NumStage_,Freq_,calc_along_flow,,,,0,dN)</f>
        <v>196.99719529740906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2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2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2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2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2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2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2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2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2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2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2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2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2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2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2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2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2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2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2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2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2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2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  <c r="K73" t="s">
        <v>79</v>
      </c>
    </row>
    <row r="74" spans="2:35" x14ac:dyDescent="0.2">
      <c r="C74" s="4"/>
      <c r="D74" s="64" t="s">
        <v>10</v>
      </c>
      <c r="E74" s="65"/>
      <c r="F74" s="65"/>
      <c r="G74" s="65"/>
      <c r="H74" s="66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75.763571880534002</v>
      </c>
      <c r="E90" s="26">
        <v>80</v>
      </c>
      <c r="F90" s="26">
        <v>80</v>
      </c>
      <c r="G90" s="26">
        <v>75.763571880534002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24.924470406951201</v>
      </c>
      <c r="E91" s="26">
        <v>80</v>
      </c>
      <c r="F91" s="26">
        <v>80</v>
      </c>
      <c r="G91" s="26">
        <v>24.924470406951201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17.370072129764427</v>
      </c>
      <c r="E92" s="26">
        <v>80</v>
      </c>
      <c r="F92" s="26">
        <v>80</v>
      </c>
      <c r="G92" s="26">
        <v>17.370072129764427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14.633063282093376</v>
      </c>
      <c r="E93" s="26">
        <v>80</v>
      </c>
      <c r="F93" s="26">
        <v>80</v>
      </c>
      <c r="G93" s="26">
        <v>14.633063282093376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13.291056330076653</v>
      </c>
      <c r="E94" s="26">
        <v>80</v>
      </c>
      <c r="F94" s="26">
        <v>80</v>
      </c>
      <c r="G94" s="26">
        <v>13.291056330076653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12.553317785068097</v>
      </c>
      <c r="E95" s="26">
        <v>80</v>
      </c>
      <c r="F95" s="26">
        <v>80</v>
      </c>
      <c r="G95" s="26">
        <v>12.553317785068097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12.140279247886626</v>
      </c>
      <c r="E96" s="26">
        <v>80</v>
      </c>
      <c r="F96" s="26">
        <v>80</v>
      </c>
      <c r="G96" s="26">
        <v>12.140279247886626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4" t="s">
        <v>11</v>
      </c>
      <c r="E102" s="65"/>
      <c r="F102" s="65"/>
      <c r="G102" s="65"/>
      <c r="H102" s="66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166.71865037981541</v>
      </c>
      <c r="E122" s="26">
        <v>166.71865037981541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185.67962838665807</v>
      </c>
      <c r="E123" s="26">
        <v>185.67962838665807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203.76753101084535</v>
      </c>
      <c r="E124" s="26">
        <v>203.76753101084535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2021-04-26T13:48:24Z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