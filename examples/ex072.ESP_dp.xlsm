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78A1FF18-731C-4885-A0CD-51CB555444E5}" xr6:coauthVersionLast="46" xr6:coauthVersionMax="46" xr10:uidLastSave="{00000000-0000-0000-0000-000000000000}"/>
  <bookViews>
    <workbookView xWindow="-120" yWindow="-120" windowWidth="19440" windowHeight="11640" tabRatio="422" xr2:uid="{00000000-000D-0000-FFFF-FFFF00000000}"/>
  </bookViews>
  <sheets>
    <sheet name="Exercise_ESP" sheetId="110" r:id="rId1"/>
    <sheet name="Exercise_ESP (2)" sheetId="111" r:id="rId2"/>
  </sheets>
  <externalReferences>
    <externalReference r:id="rId3"/>
  </externalReferences>
  <definedNames>
    <definedName name="Bob_" localSheetId="0">Exercise_ESP!$C$18</definedName>
    <definedName name="Bob_" localSheetId="1">'Exercise_ESP (2)'!$C$18</definedName>
    <definedName name="calc_along_flow" localSheetId="1">'Exercise_ESP (2)'!$G$39</definedName>
    <definedName name="calc_along_flow">Exercise_ESP!$G$39</definedName>
    <definedName name="dN" localSheetId="1">'Exercise_ESP (2)'!$C$44</definedName>
    <definedName name="dN">Exercise_ESP!$C$44</definedName>
    <definedName name="ESPstr" localSheetId="1">'Exercise_ESP (2)'!$J$33</definedName>
    <definedName name="ESPstr">Exercise_ESP!$J$33</definedName>
    <definedName name="Freq_" localSheetId="0">Exercise_ESP!$C$26</definedName>
    <definedName name="Freq_" localSheetId="1">'Exercise_ESP (2)'!$C$26</definedName>
    <definedName name="fw_" localSheetId="0">Exercise_ESP!$C$22</definedName>
    <definedName name="fw_" localSheetId="1">'Exercise_ESP (2)'!$C$22</definedName>
    <definedName name="gamma_gas_" localSheetId="0">Exercise_ESP!$C$13</definedName>
    <definedName name="gamma_gas_" localSheetId="1">'Exercise_ESP (2)'!$C$13</definedName>
    <definedName name="gamma_oil_" localSheetId="0">Exercise_ESP!$C$11</definedName>
    <definedName name="gamma_oil_" localSheetId="1">'Exercise_ESP (2)'!$C$11</definedName>
    <definedName name="gamma_wat_" localSheetId="0">Exercise_ESP!$C$12</definedName>
    <definedName name="gamma_wat_" localSheetId="1">'Exercise_ESP (2)'!$C$12</definedName>
    <definedName name="gas_degr_type_" localSheetId="1">'Exercise_ESP (2)'!$C$43</definedName>
    <definedName name="gas_degr_type_">Exercise_ESP!$C$43</definedName>
    <definedName name="Head_ESP_" localSheetId="0">Exercise_ESP!$C$25</definedName>
    <definedName name="Head_ESP_" localSheetId="1">'Exercise_ESP (2)'!$C$25</definedName>
    <definedName name="input_">#REF!</definedName>
    <definedName name="input_Course" localSheetId="1">'Exercise_ESP (2)'!$I$3</definedName>
    <definedName name="input_Course">Exercise_ESP!$I$3</definedName>
    <definedName name="input_Date" localSheetId="1">'Exercise_ESP (2)'!$I$1</definedName>
    <definedName name="input_Date">Exercise_ESP!$I$1</definedName>
    <definedName name="input_Group" localSheetId="1">'Exercise_ESP (2)'!$I$4</definedName>
    <definedName name="input_Group">Exercise_ESP!$I$4</definedName>
    <definedName name="input_Notes" localSheetId="1">'Exercise_ESP (2)'!$I$6</definedName>
    <definedName name="input_Notes">Exercise_ESP!$I$6</definedName>
    <definedName name="input_Student_Name" localSheetId="1">'Exercise_ESP (2)'!$I$5</definedName>
    <definedName name="input_Student_Name">Exercise_ESP!$I$5</definedName>
    <definedName name="input_Version" localSheetId="1">'Exercise_ESP (2)'!$I$2</definedName>
    <definedName name="input_Version">Exercise_ESP!$I$2</definedName>
    <definedName name="KsepGasSep_" localSheetId="0">Exercise_ESP!$C$31</definedName>
    <definedName name="KsepGasSep_" localSheetId="1">'Exercise_ESP (2)'!$C$31</definedName>
    <definedName name="mu" localSheetId="1">'Exercise_ESP (2)'!$C$34</definedName>
    <definedName name="mu">Exercise_ESP!$C$34</definedName>
    <definedName name="muob_" localSheetId="0">Exercise_ESP!$C$19</definedName>
    <definedName name="muob_" localSheetId="1">'Exercise_ESP (2)'!$C$19</definedName>
    <definedName name="N_" localSheetId="0">Exercise_ESP!$C$36</definedName>
    <definedName name="N_" localSheetId="1">'Exercise_ESP (2)'!$C$36</definedName>
    <definedName name="NumStage_" localSheetId="0">Exercise_ESP!$C$30</definedName>
    <definedName name="NumStage_" localSheetId="1">'Exercise_ESP (2)'!$C$30</definedName>
    <definedName name="output_">#REF!</definedName>
    <definedName name="Pb_" localSheetId="0">Exercise_ESP!$C$16</definedName>
    <definedName name="Pb_" localSheetId="1">'Exercise_ESP (2)'!$C$16</definedName>
    <definedName name="Pdis_" localSheetId="0">Exercise_ESP!$C$41</definedName>
    <definedName name="Pdis_" localSheetId="1">'Exercise_ESP (2)'!$C$41</definedName>
    <definedName name="Pintake_" localSheetId="0">Exercise_ESP!$C$39</definedName>
    <definedName name="Pintake_" localSheetId="1">'Exercise_ESP (2)'!$C$39</definedName>
    <definedName name="PKsep" localSheetId="1">'Exercise_ESP (2)'!$C$32</definedName>
    <definedName name="PKsep">Exercise_ESP!$C$32</definedName>
    <definedName name="PumpID_" localSheetId="0">Exercise_ESP!$C$27</definedName>
    <definedName name="PumpID_" localSheetId="1">'Exercise_ESP (2)'!$C$27</definedName>
    <definedName name="PVT_str_" localSheetId="1">'Exercise_ESP (2)'!$J$30</definedName>
    <definedName name="PVT_str_">Exercise_ESP!$J$30</definedName>
    <definedName name="Q_" localSheetId="0">Exercise_ESP!$C$21</definedName>
    <definedName name="Q_" localSheetId="1">'Exercise_ESP (2)'!$C$21</definedName>
    <definedName name="Q_ESP_" localSheetId="0">Exercise_ESP!$C$24</definedName>
    <definedName name="Q_ESP_" localSheetId="1">'Exercise_ESP (2)'!$C$24</definedName>
    <definedName name="Qmax_" localSheetId="0">Exercise_ESP!$C$29</definedName>
    <definedName name="Qmax_" localSheetId="1">'Exercise_ESP (2)'!$C$29</definedName>
    <definedName name="Rp_" localSheetId="0">Exercise_ESP!$C$15</definedName>
    <definedName name="Rp_" localSheetId="1">'Exercise_ESP (2)'!$C$15</definedName>
    <definedName name="Rsb_" localSheetId="0">Exercise_ESP!$C$14</definedName>
    <definedName name="Rsb_" localSheetId="1">'Exercise_ESP (2)'!$C$14</definedName>
    <definedName name="Tdis_" localSheetId="1">'Exercise_ESP (2)'!$C$42</definedName>
    <definedName name="Tdis_">Exercise_ESP!$C$42</definedName>
    <definedName name="Tintake_" localSheetId="0">Exercise_ESP!$C$40</definedName>
    <definedName name="Tintake_" localSheetId="1">'Exercise_ESP (2)'!$C$40</definedName>
    <definedName name="TKsep_" localSheetId="1">'Exercise_ESP (2)'!$C$33</definedName>
    <definedName name="TKsep_">Exercise_ESP!$C$33</definedName>
    <definedName name="Tres_" localSheetId="0">Exercise_ESP!$C$17</definedName>
    <definedName name="Tres_" localSheetId="1">'Exercise_ESP (2)'!$C$17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4" i="111" l="1"/>
  <c r="E17" i="111"/>
  <c r="E16" i="111"/>
  <c r="E15" i="111"/>
  <c r="E14" i="111"/>
  <c r="E13" i="111"/>
  <c r="E12" i="111"/>
  <c r="E11" i="111"/>
  <c r="C104" i="110"/>
  <c r="E17" i="110"/>
  <c r="E16" i="110"/>
  <c r="E15" i="110"/>
  <c r="E14" i="110"/>
  <c r="E13" i="110"/>
  <c r="E12" i="110"/>
  <c r="E11" i="110"/>
  <c r="Q24" i="111" a="1"/>
  <c r="Q24" i="110" a="1"/>
  <c r="J30" i="111" a="1"/>
  <c r="G1" i="111"/>
  <c r="J30" i="110" a="1"/>
  <c r="L40" i="111" a="1"/>
  <c r="C27" i="111" a="1"/>
  <c r="S34" i="111" a="1"/>
  <c r="G1" i="110"/>
  <c r="C27" i="110" a="1"/>
  <c r="L40" i="110" a="1"/>
  <c r="Q24" i="110" l="1"/>
  <c r="W25" i="110" s="1"/>
  <c r="Q24" i="111"/>
  <c r="W25" i="111" s="1"/>
  <c r="C27" i="110"/>
  <c r="J30" i="111"/>
  <c r="C27" i="111"/>
  <c r="J30" i="110"/>
  <c r="S34" i="111"/>
  <c r="L40" i="111"/>
  <c r="L40" i="110"/>
  <c r="AD27" i="111" a="1"/>
  <c r="AD27" i="110" a="1"/>
  <c r="C29" i="110" a="1"/>
  <c r="B104" i="111" a="1"/>
  <c r="J31" i="110" a="1"/>
  <c r="C30" i="111" a="1"/>
  <c r="C30" i="110" a="1"/>
  <c r="J31" i="111" a="1"/>
  <c r="C28" i="110" a="1"/>
  <c r="C29" i="111" a="1"/>
  <c r="B76" i="111" a="1"/>
  <c r="C28" i="111" a="1"/>
  <c r="B104" i="110" a="1"/>
  <c r="B76" i="110" a="1"/>
  <c r="AD27" i="110" l="1"/>
  <c r="AD27" i="111"/>
  <c r="J31" i="110"/>
  <c r="B76" i="110"/>
  <c r="B104" i="110"/>
  <c r="C30" i="111"/>
  <c r="C29" i="111"/>
  <c r="C77" i="111" s="1"/>
  <c r="C28" i="111"/>
  <c r="J31" i="111"/>
  <c r="B104" i="111"/>
  <c r="B76" i="111"/>
  <c r="C30" i="110"/>
  <c r="C29" i="110"/>
  <c r="C77" i="110" s="1"/>
  <c r="C28" i="110"/>
  <c r="B77" i="110" a="1"/>
  <c r="D76" i="111" a="1"/>
  <c r="F43" i="111" a="1"/>
  <c r="B77" i="111" a="1"/>
  <c r="F43" i="110" a="1"/>
  <c r="D104" i="110" a="1"/>
  <c r="D104" i="111" a="1"/>
  <c r="S34" i="110" a="1"/>
  <c r="D76" i="110" a="1"/>
  <c r="F43" i="110" l="1"/>
  <c r="S34" i="110"/>
  <c r="B77" i="110"/>
  <c r="B77" i="111"/>
  <c r="E76" i="110"/>
  <c r="H76" i="110"/>
  <c r="F76" i="110"/>
  <c r="G76" i="110"/>
  <c r="D76" i="110"/>
  <c r="H104" i="110"/>
  <c r="D104" i="110"/>
  <c r="F104" i="110"/>
  <c r="G104" i="110"/>
  <c r="E104" i="110"/>
  <c r="F43" i="111"/>
  <c r="H76" i="111"/>
  <c r="D76" i="111"/>
  <c r="E76" i="111"/>
  <c r="G76" i="111"/>
  <c r="F76" i="111"/>
  <c r="H104" i="111"/>
  <c r="D104" i="111"/>
  <c r="G104" i="111"/>
  <c r="F104" i="111"/>
  <c r="E104" i="111"/>
  <c r="C78" i="110"/>
  <c r="C105" i="110"/>
  <c r="C105" i="111"/>
  <c r="C78" i="111"/>
  <c r="B105" i="111" a="1"/>
  <c r="D105" i="111" a="1"/>
  <c r="B78" i="111" a="1"/>
  <c r="D77" i="111" a="1"/>
  <c r="B78" i="110" a="1"/>
  <c r="D105" i="110" a="1"/>
  <c r="B105" i="110" a="1"/>
  <c r="D77" i="110" a="1"/>
  <c r="B78" i="111" l="1"/>
  <c r="B78" i="110"/>
  <c r="B105" i="111"/>
  <c r="B105" i="110"/>
  <c r="H77" i="111"/>
  <c r="G77" i="111"/>
  <c r="F77" i="111"/>
  <c r="D77" i="111"/>
  <c r="E77" i="111"/>
  <c r="H105" i="111"/>
  <c r="F105" i="111"/>
  <c r="E105" i="111"/>
  <c r="D105" i="111"/>
  <c r="G105" i="111"/>
  <c r="H77" i="110"/>
  <c r="F77" i="110"/>
  <c r="D77" i="110"/>
  <c r="E77" i="110"/>
  <c r="G77" i="110"/>
  <c r="H105" i="110"/>
  <c r="F105" i="110"/>
  <c r="G105" i="110"/>
  <c r="D105" i="110"/>
  <c r="E105" i="110"/>
  <c r="C106" i="111"/>
  <c r="C79" i="111"/>
  <c r="C106" i="110"/>
  <c r="C79" i="110"/>
  <c r="D106" i="110" a="1"/>
  <c r="B79" i="110" a="1"/>
  <c r="D78" i="111" a="1"/>
  <c r="B106" i="110" a="1"/>
  <c r="D78" i="110" a="1"/>
  <c r="B79" i="111" a="1"/>
  <c r="B106" i="111" a="1"/>
  <c r="D106" i="111" a="1"/>
  <c r="B106" i="111" l="1"/>
  <c r="B79" i="110"/>
  <c r="B106" i="110"/>
  <c r="H78" i="110"/>
  <c r="F78" i="110"/>
  <c r="E78" i="110"/>
  <c r="G78" i="110"/>
  <c r="D78" i="110"/>
  <c r="F106" i="110"/>
  <c r="D106" i="110"/>
  <c r="G106" i="110"/>
  <c r="H106" i="110"/>
  <c r="E106" i="110"/>
  <c r="B79" i="111"/>
  <c r="H78" i="111"/>
  <c r="E78" i="111"/>
  <c r="G78" i="111"/>
  <c r="F78" i="111"/>
  <c r="D78" i="111"/>
  <c r="F106" i="111"/>
  <c r="D106" i="111"/>
  <c r="H106" i="111"/>
  <c r="G106" i="111"/>
  <c r="E106" i="111"/>
  <c r="C107" i="110"/>
  <c r="C80" i="110"/>
  <c r="C107" i="111"/>
  <c r="C80" i="111"/>
  <c r="D79" i="111" a="1"/>
  <c r="B80" i="110" a="1"/>
  <c r="D107" i="110" a="1"/>
  <c r="D79" i="110" a="1"/>
  <c r="B107" i="110" a="1"/>
  <c r="B80" i="111" a="1"/>
  <c r="B107" i="111" a="1"/>
  <c r="D107" i="111" a="1"/>
  <c r="B80" i="111" l="1"/>
  <c r="B107" i="111"/>
  <c r="B80" i="110"/>
  <c r="H107" i="111"/>
  <c r="D107" i="111"/>
  <c r="G107" i="111"/>
  <c r="F107" i="111"/>
  <c r="E107" i="111"/>
  <c r="E79" i="111"/>
  <c r="H79" i="111"/>
  <c r="G79" i="111"/>
  <c r="D79" i="111"/>
  <c r="F79" i="111"/>
  <c r="D79" i="110"/>
  <c r="G79" i="110"/>
  <c r="F79" i="110"/>
  <c r="H79" i="110"/>
  <c r="E79" i="110"/>
  <c r="E107" i="110"/>
  <c r="H107" i="110"/>
  <c r="F107" i="110"/>
  <c r="G107" i="110"/>
  <c r="D107" i="110"/>
  <c r="B107" i="110"/>
  <c r="C108" i="111"/>
  <c r="C81" i="111"/>
  <c r="C108" i="110"/>
  <c r="C81" i="110"/>
  <c r="D80" i="110" a="1"/>
  <c r="B108" i="110" a="1"/>
  <c r="B81" i="110" a="1"/>
  <c r="D108" i="111" a="1"/>
  <c r="D108" i="110" a="1"/>
  <c r="B81" i="111" a="1"/>
  <c r="D80" i="111" a="1"/>
  <c r="B108" i="111" a="1"/>
  <c r="B81" i="110" l="1"/>
  <c r="B108" i="110"/>
  <c r="G108" i="110"/>
  <c r="H108" i="110"/>
  <c r="E108" i="110"/>
  <c r="D108" i="110"/>
  <c r="F108" i="110"/>
  <c r="H80" i="110"/>
  <c r="G80" i="110"/>
  <c r="D80" i="110"/>
  <c r="E80" i="110"/>
  <c r="F80" i="110"/>
  <c r="B81" i="111"/>
  <c r="B108" i="111"/>
  <c r="D108" i="111"/>
  <c r="F108" i="111"/>
  <c r="H108" i="111"/>
  <c r="E108" i="111"/>
  <c r="G108" i="111"/>
  <c r="G80" i="111"/>
  <c r="H80" i="111"/>
  <c r="D80" i="111"/>
  <c r="E80" i="111"/>
  <c r="F80" i="111"/>
  <c r="C109" i="110"/>
  <c r="C82" i="110"/>
  <c r="C109" i="111"/>
  <c r="C82" i="111"/>
  <c r="B109" i="110" a="1"/>
  <c r="B82" i="110" a="1"/>
  <c r="B82" i="111" a="1"/>
  <c r="D109" i="111" a="1"/>
  <c r="B109" i="111" a="1"/>
  <c r="D81" i="111" a="1"/>
  <c r="D81" i="110" a="1"/>
  <c r="D109" i="110" a="1"/>
  <c r="B82" i="111" l="1"/>
  <c r="B82" i="110"/>
  <c r="B109" i="111"/>
  <c r="B109" i="110"/>
  <c r="G109" i="111"/>
  <c r="E109" i="111"/>
  <c r="H109" i="111"/>
  <c r="F109" i="111"/>
  <c r="D109" i="111"/>
  <c r="H81" i="111"/>
  <c r="E81" i="111"/>
  <c r="D81" i="111"/>
  <c r="G81" i="111"/>
  <c r="F81" i="111"/>
  <c r="H81" i="110"/>
  <c r="F81" i="110"/>
  <c r="D81" i="110"/>
  <c r="E81" i="110"/>
  <c r="G81" i="110"/>
  <c r="H109" i="110"/>
  <c r="F109" i="110"/>
  <c r="G109" i="110"/>
  <c r="D109" i="110"/>
  <c r="E109" i="110"/>
  <c r="C110" i="111"/>
  <c r="C83" i="111"/>
  <c r="C110" i="110"/>
  <c r="C83" i="110"/>
  <c r="B110" i="110" a="1"/>
  <c r="B110" i="111" a="1"/>
  <c r="D110" i="110" a="1"/>
  <c r="B83" i="110" a="1"/>
  <c r="D82" i="111" a="1"/>
  <c r="D110" i="111" a="1"/>
  <c r="B83" i="111" a="1"/>
  <c r="D82" i="110" a="1"/>
  <c r="B83" i="110" l="1"/>
  <c r="B83" i="111"/>
  <c r="B110" i="110"/>
  <c r="B110" i="111"/>
  <c r="H110" i="110"/>
  <c r="F110" i="110"/>
  <c r="D110" i="110"/>
  <c r="E110" i="110"/>
  <c r="G110" i="110"/>
  <c r="G82" i="110"/>
  <c r="D82" i="110"/>
  <c r="F82" i="110"/>
  <c r="H82" i="110"/>
  <c r="E82" i="110"/>
  <c r="D82" i="111"/>
  <c r="G82" i="111"/>
  <c r="E82" i="111"/>
  <c r="H82" i="111"/>
  <c r="F82" i="111"/>
  <c r="D110" i="111"/>
  <c r="E110" i="111"/>
  <c r="F110" i="111"/>
  <c r="H110" i="111"/>
  <c r="G110" i="111"/>
  <c r="C84" i="110"/>
  <c r="C111" i="110"/>
  <c r="C111" i="111"/>
  <c r="C84" i="111"/>
  <c r="B84" i="110" a="1"/>
  <c r="B84" i="111" a="1"/>
  <c r="B111" i="111" a="1"/>
  <c r="D83" i="111" a="1"/>
  <c r="D83" i="110" a="1"/>
  <c r="D111" i="111" a="1"/>
  <c r="D111" i="110" a="1"/>
  <c r="B111" i="110" a="1"/>
  <c r="B111" i="110" l="1"/>
  <c r="D83" i="110"/>
  <c r="G83" i="110"/>
  <c r="F83" i="110"/>
  <c r="H83" i="110"/>
  <c r="E83" i="110"/>
  <c r="E111" i="110"/>
  <c r="F111" i="110"/>
  <c r="H111" i="110"/>
  <c r="G111" i="110"/>
  <c r="D111" i="110"/>
  <c r="B84" i="110"/>
  <c r="B111" i="111"/>
  <c r="D83" i="111"/>
  <c r="H83" i="111"/>
  <c r="E83" i="111"/>
  <c r="F83" i="111"/>
  <c r="G83" i="111"/>
  <c r="H111" i="111"/>
  <c r="D111" i="111"/>
  <c r="G111" i="111"/>
  <c r="E111" i="111"/>
  <c r="F111" i="111"/>
  <c r="B84" i="111"/>
  <c r="C112" i="110"/>
  <c r="C85" i="110"/>
  <c r="C112" i="111"/>
  <c r="C85" i="111"/>
  <c r="D84" i="110" a="1"/>
  <c r="D112" i="111" a="1"/>
  <c r="B85" i="110" a="1"/>
  <c r="D112" i="110" a="1"/>
  <c r="D84" i="111" a="1"/>
  <c r="B112" i="111" a="1"/>
  <c r="B112" i="110" a="1"/>
  <c r="B85" i="111" a="1"/>
  <c r="B85" i="110" l="1"/>
  <c r="F112" i="111"/>
  <c r="D112" i="111"/>
  <c r="G112" i="111"/>
  <c r="E112" i="111"/>
  <c r="H112" i="111"/>
  <c r="E84" i="111"/>
  <c r="F84" i="111"/>
  <c r="H84" i="111"/>
  <c r="G84" i="111"/>
  <c r="D84" i="111"/>
  <c r="E84" i="110"/>
  <c r="H84" i="110"/>
  <c r="D84" i="110"/>
  <c r="G84" i="110"/>
  <c r="F84" i="110"/>
  <c r="E112" i="110"/>
  <c r="G112" i="110"/>
  <c r="F112" i="110"/>
  <c r="D112" i="110"/>
  <c r="H112" i="110"/>
  <c r="B85" i="111"/>
  <c r="B112" i="111"/>
  <c r="B112" i="110"/>
  <c r="C113" i="110"/>
  <c r="C86" i="110"/>
  <c r="C86" i="111"/>
  <c r="C113" i="111"/>
  <c r="B86" i="110" a="1"/>
  <c r="D85" i="111" a="1"/>
  <c r="D85" i="110" a="1"/>
  <c r="B113" i="111" a="1"/>
  <c r="D113" i="110" a="1"/>
  <c r="B86" i="111" a="1"/>
  <c r="D113" i="111" a="1"/>
  <c r="B113" i="110" a="1"/>
  <c r="B86" i="111" l="1"/>
  <c r="F113" i="111"/>
  <c r="E113" i="111"/>
  <c r="D113" i="111"/>
  <c r="G113" i="111"/>
  <c r="H113" i="111"/>
  <c r="E85" i="111"/>
  <c r="G85" i="111"/>
  <c r="F85" i="111"/>
  <c r="H85" i="111"/>
  <c r="D85" i="111"/>
  <c r="B113" i="111"/>
  <c r="B86" i="110"/>
  <c r="B113" i="110"/>
  <c r="H85" i="110"/>
  <c r="G85" i="110"/>
  <c r="E85" i="110"/>
  <c r="F85" i="110"/>
  <c r="D85" i="110"/>
  <c r="E113" i="110"/>
  <c r="H113" i="110"/>
  <c r="F113" i="110"/>
  <c r="G113" i="110"/>
  <c r="D113" i="110"/>
  <c r="C114" i="111"/>
  <c r="C87" i="111"/>
  <c r="C87" i="110"/>
  <c r="C114" i="110"/>
  <c r="B114" i="111" a="1"/>
  <c r="B114" i="110" a="1"/>
  <c r="B87" i="110" a="1"/>
  <c r="D86" i="110" a="1"/>
  <c r="D114" i="111" a="1"/>
  <c r="D114" i="110" a="1"/>
  <c r="B87" i="111" a="1"/>
  <c r="D86" i="111" a="1"/>
  <c r="B87" i="111" l="1"/>
  <c r="B114" i="110"/>
  <c r="B87" i="110"/>
  <c r="B114" i="111"/>
  <c r="H114" i="110"/>
  <c r="E114" i="110"/>
  <c r="G114" i="110"/>
  <c r="F114" i="110"/>
  <c r="D114" i="110"/>
  <c r="H86" i="110"/>
  <c r="E86" i="110"/>
  <c r="F86" i="110"/>
  <c r="G86" i="110"/>
  <c r="D86" i="110"/>
  <c r="F114" i="111"/>
  <c r="H114" i="111"/>
  <c r="G114" i="111"/>
  <c r="D114" i="111"/>
  <c r="E114" i="111"/>
  <c r="H86" i="111"/>
  <c r="E86" i="111"/>
  <c r="D86" i="111"/>
  <c r="G86" i="111"/>
  <c r="F86" i="111"/>
  <c r="C115" i="111"/>
  <c r="C88" i="111"/>
  <c r="C88" i="110"/>
  <c r="C115" i="110"/>
  <c r="B115" i="111" a="1"/>
  <c r="D87" i="110" a="1"/>
  <c r="B88" i="111" a="1"/>
  <c r="B115" i="110" a="1"/>
  <c r="B88" i="110" a="1"/>
  <c r="D87" i="111" a="1"/>
  <c r="D115" i="111" a="1"/>
  <c r="D115" i="110" a="1"/>
  <c r="B88" i="110" l="1"/>
  <c r="F87" i="110"/>
  <c r="D87" i="110"/>
  <c r="G87" i="110"/>
  <c r="H87" i="110"/>
  <c r="E87" i="110"/>
  <c r="D115" i="110"/>
  <c r="E115" i="110"/>
  <c r="H115" i="110"/>
  <c r="F115" i="110"/>
  <c r="G115" i="110"/>
  <c r="B115" i="110"/>
  <c r="B88" i="111"/>
  <c r="B115" i="111"/>
  <c r="H87" i="111"/>
  <c r="G87" i="111"/>
  <c r="D87" i="111"/>
  <c r="E87" i="111"/>
  <c r="F87" i="111"/>
  <c r="H115" i="111"/>
  <c r="E115" i="111"/>
  <c r="F115" i="111"/>
  <c r="D115" i="111"/>
  <c r="G115" i="111"/>
  <c r="C116" i="110"/>
  <c r="C89" i="110"/>
  <c r="C116" i="111"/>
  <c r="C89" i="111"/>
  <c r="B116" i="110" a="1"/>
  <c r="B89" i="111" a="1"/>
  <c r="B116" i="111" a="1"/>
  <c r="B89" i="110" a="1"/>
  <c r="D116" i="110" a="1"/>
  <c r="D88" i="111" a="1"/>
  <c r="D116" i="111" a="1"/>
  <c r="D88" i="110" a="1"/>
  <c r="B89" i="111" l="1"/>
  <c r="B116" i="111"/>
  <c r="B89" i="110"/>
  <c r="B116" i="110"/>
  <c r="H88" i="111"/>
  <c r="G88" i="111"/>
  <c r="D88" i="111"/>
  <c r="E88" i="111"/>
  <c r="F88" i="111"/>
  <c r="D116" i="111"/>
  <c r="G116" i="111"/>
  <c r="F116" i="111"/>
  <c r="E116" i="111"/>
  <c r="H116" i="111"/>
  <c r="D88" i="110"/>
  <c r="F88" i="110"/>
  <c r="E88" i="110"/>
  <c r="G88" i="110"/>
  <c r="H88" i="110"/>
  <c r="H116" i="110"/>
  <c r="E116" i="110"/>
  <c r="G116" i="110"/>
  <c r="F116" i="110"/>
  <c r="D116" i="110"/>
  <c r="C117" i="111"/>
  <c r="C90" i="111"/>
  <c r="C117" i="110"/>
  <c r="C90" i="110"/>
  <c r="D117" i="110" a="1"/>
  <c r="D117" i="111" a="1"/>
  <c r="B90" i="111" a="1"/>
  <c r="B90" i="110" a="1"/>
  <c r="D89" i="111" a="1"/>
  <c r="B117" i="111" a="1"/>
  <c r="D89" i="110" a="1"/>
  <c r="B117" i="110" a="1"/>
  <c r="B117" i="111" l="1"/>
  <c r="B117" i="110"/>
  <c r="B90" i="111"/>
  <c r="B90" i="110"/>
  <c r="G89" i="110"/>
  <c r="F89" i="110"/>
  <c r="E89" i="110"/>
  <c r="H89" i="110"/>
  <c r="D89" i="110"/>
  <c r="H117" i="110"/>
  <c r="F117" i="110"/>
  <c r="G117" i="110"/>
  <c r="D117" i="110"/>
  <c r="E117" i="110"/>
  <c r="G117" i="111"/>
  <c r="H117" i="111"/>
  <c r="D117" i="111"/>
  <c r="F117" i="111"/>
  <c r="E117" i="111"/>
  <c r="H89" i="111"/>
  <c r="F89" i="111"/>
  <c r="E89" i="111"/>
  <c r="D89" i="111"/>
  <c r="G89" i="111"/>
  <c r="C118" i="111"/>
  <c r="C91" i="111"/>
  <c r="C118" i="110"/>
  <c r="C91" i="110"/>
  <c r="B91" i="111" a="1"/>
  <c r="D90" i="111" a="1"/>
  <c r="B91" i="110" a="1"/>
  <c r="D118" i="110" a="1"/>
  <c r="B118" i="111" a="1"/>
  <c r="D118" i="111" a="1"/>
  <c r="B118" i="110" a="1"/>
  <c r="D90" i="110" a="1"/>
  <c r="B91" i="110" l="1"/>
  <c r="B91" i="111"/>
  <c r="B118" i="110"/>
  <c r="H90" i="110"/>
  <c r="D90" i="110"/>
  <c r="E90" i="110"/>
  <c r="F90" i="110"/>
  <c r="G90" i="110"/>
  <c r="H118" i="110"/>
  <c r="D118" i="110"/>
  <c r="G118" i="110"/>
  <c r="E118" i="110"/>
  <c r="F118" i="110"/>
  <c r="B118" i="111"/>
  <c r="E90" i="111"/>
  <c r="F90" i="111"/>
  <c r="D90" i="111"/>
  <c r="G90" i="111"/>
  <c r="H90" i="111"/>
  <c r="F118" i="111"/>
  <c r="H118" i="111"/>
  <c r="G118" i="111"/>
  <c r="E118" i="111"/>
  <c r="D118" i="111"/>
  <c r="C92" i="110"/>
  <c r="C119" i="110"/>
  <c r="C119" i="111"/>
  <c r="C92" i="111"/>
  <c r="D91" i="111" a="1"/>
  <c r="B92" i="111" a="1"/>
  <c r="D91" i="110" a="1"/>
  <c r="B119" i="111" a="1"/>
  <c r="B119" i="110" a="1"/>
  <c r="D119" i="110" a="1"/>
  <c r="B92" i="110" a="1"/>
  <c r="D119" i="111" a="1"/>
  <c r="E119" i="111" l="1"/>
  <c r="H119" i="111"/>
  <c r="G119" i="111"/>
  <c r="D119" i="111"/>
  <c r="F119" i="111"/>
  <c r="F91" i="111"/>
  <c r="D91" i="111"/>
  <c r="G91" i="111"/>
  <c r="H91" i="111"/>
  <c r="E91" i="111"/>
  <c r="D119" i="110"/>
  <c r="H119" i="110"/>
  <c r="E119" i="110"/>
  <c r="F119" i="110"/>
  <c r="G119" i="110"/>
  <c r="E91" i="110"/>
  <c r="D91" i="110"/>
  <c r="H91" i="110"/>
  <c r="F91" i="110"/>
  <c r="G91" i="110"/>
  <c r="B92" i="111"/>
  <c r="B119" i="111"/>
  <c r="B119" i="110"/>
  <c r="B92" i="110"/>
  <c r="C93" i="111"/>
  <c r="C120" i="111"/>
  <c r="C120" i="110"/>
  <c r="C93" i="110"/>
  <c r="B120" i="110" a="1"/>
  <c r="D92" i="111" a="1"/>
  <c r="D120" i="111" a="1"/>
  <c r="B120" i="111" a="1"/>
  <c r="D92" i="110" a="1"/>
  <c r="D120" i="110" a="1"/>
  <c r="B93" i="111" a="1"/>
  <c r="B93" i="110" a="1"/>
  <c r="E92" i="110" l="1"/>
  <c r="H92" i="110"/>
  <c r="F92" i="110"/>
  <c r="D92" i="110"/>
  <c r="G92" i="110"/>
  <c r="H120" i="110"/>
  <c r="E120" i="110"/>
  <c r="G120" i="110"/>
  <c r="D120" i="110"/>
  <c r="F120" i="110"/>
  <c r="H92" i="111"/>
  <c r="G92" i="111"/>
  <c r="F92" i="111"/>
  <c r="E92" i="111"/>
  <c r="D92" i="111"/>
  <c r="G120" i="111"/>
  <c r="F120" i="111"/>
  <c r="E120" i="111"/>
  <c r="H120" i="111"/>
  <c r="D120" i="111"/>
  <c r="B93" i="110"/>
  <c r="B120" i="110"/>
  <c r="B120" i="111"/>
  <c r="B93" i="111"/>
  <c r="C121" i="110"/>
  <c r="C94" i="110"/>
  <c r="C121" i="111"/>
  <c r="C94" i="111"/>
  <c r="B121" i="111" a="1"/>
  <c r="B94" i="110" a="1"/>
  <c r="D93" i="110" a="1"/>
  <c r="D121" i="110" a="1"/>
  <c r="B94" i="111" a="1"/>
  <c r="D93" i="111" a="1"/>
  <c r="D121" i="111" a="1"/>
  <c r="B121" i="110" a="1"/>
  <c r="B94" i="110" l="1"/>
  <c r="B94" i="111"/>
  <c r="B121" i="111"/>
  <c r="B121" i="110"/>
  <c r="D93" i="111"/>
  <c r="G93" i="111"/>
  <c r="F93" i="111"/>
  <c r="H93" i="111"/>
  <c r="E93" i="111"/>
  <c r="H121" i="111"/>
  <c r="E121" i="111"/>
  <c r="D121" i="111"/>
  <c r="G121" i="111"/>
  <c r="F121" i="111"/>
  <c r="D93" i="110"/>
  <c r="F93" i="110"/>
  <c r="G93" i="110"/>
  <c r="E93" i="110"/>
  <c r="H93" i="110"/>
  <c r="H121" i="110"/>
  <c r="D121" i="110"/>
  <c r="E121" i="110"/>
  <c r="F121" i="110"/>
  <c r="G121" i="110"/>
  <c r="C122" i="110"/>
  <c r="C95" i="110"/>
  <c r="C122" i="111"/>
  <c r="C95" i="111"/>
  <c r="D122" i="111" a="1"/>
  <c r="B95" i="111" a="1"/>
  <c r="D122" i="110" a="1"/>
  <c r="D94" i="110" a="1"/>
  <c r="D94" i="111" a="1"/>
  <c r="B122" i="111" a="1"/>
  <c r="B122" i="110" a="1"/>
  <c r="B95" i="110" a="1"/>
  <c r="B95" i="111" l="1"/>
  <c r="B95" i="110"/>
  <c r="H94" i="111"/>
  <c r="F94" i="111"/>
  <c r="E94" i="111"/>
  <c r="D94" i="111"/>
  <c r="G94" i="111"/>
  <c r="F122" i="111"/>
  <c r="H122" i="111"/>
  <c r="E122" i="111"/>
  <c r="D122" i="111"/>
  <c r="G122" i="111"/>
  <c r="B122" i="111"/>
  <c r="B122" i="110"/>
  <c r="D94" i="110"/>
  <c r="E94" i="110"/>
  <c r="H94" i="110"/>
  <c r="F94" i="110"/>
  <c r="G94" i="110"/>
  <c r="H122" i="110"/>
  <c r="D122" i="110"/>
  <c r="F122" i="110"/>
  <c r="G122" i="110"/>
  <c r="E122" i="110"/>
  <c r="C96" i="111"/>
  <c r="C123" i="111"/>
  <c r="C123" i="110"/>
  <c r="C96" i="110"/>
  <c r="D95" i="110" a="1"/>
  <c r="B96" i="111" a="1"/>
  <c r="D123" i="111" a="1"/>
  <c r="D123" i="110" a="1"/>
  <c r="B123" i="110" a="1"/>
  <c r="B123" i="111" a="1"/>
  <c r="B96" i="110" a="1"/>
  <c r="D95" i="111" a="1"/>
  <c r="B123" i="110" l="1"/>
  <c r="G123" i="110"/>
  <c r="D123" i="110"/>
  <c r="F123" i="110"/>
  <c r="E123" i="110"/>
  <c r="H123" i="110"/>
  <c r="H95" i="110"/>
  <c r="E95" i="110"/>
  <c r="D95" i="110"/>
  <c r="F95" i="110"/>
  <c r="G95" i="110"/>
  <c r="B96" i="110"/>
  <c r="B123" i="111"/>
  <c r="B96" i="111"/>
  <c r="D123" i="111"/>
  <c r="F123" i="111"/>
  <c r="H123" i="111"/>
  <c r="E123" i="111"/>
  <c r="G123" i="111"/>
  <c r="E95" i="111"/>
  <c r="F95" i="111"/>
  <c r="H95" i="111"/>
  <c r="D95" i="111"/>
  <c r="G95" i="111"/>
  <c r="C124" i="110"/>
  <c r="C124" i="111"/>
  <c r="D96" i="110" a="1"/>
  <c r="D96" i="111" a="1"/>
  <c r="B124" i="111" a="1"/>
  <c r="B124" i="110" a="1"/>
  <c r="D124" i="110" a="1"/>
  <c r="D124" i="111" a="1"/>
  <c r="B124" i="111" l="1"/>
  <c r="H124" i="111"/>
  <c r="E124" i="111"/>
  <c r="D124" i="111"/>
  <c r="F124" i="111"/>
  <c r="G124" i="111"/>
  <c r="H96" i="111"/>
  <c r="G96" i="111"/>
  <c r="F96" i="111"/>
  <c r="E96" i="111"/>
  <c r="D96" i="111"/>
  <c r="B124" i="110"/>
  <c r="G124" i="110"/>
  <c r="F124" i="110"/>
  <c r="H124" i="110"/>
  <c r="D124" i="110"/>
  <c r="E124" i="110"/>
  <c r="E96" i="110"/>
  <c r="H96" i="110"/>
  <c r="D96" i="110"/>
  <c r="F96" i="110"/>
  <c r="G96" i="1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<sst xmlns="http://schemas.openxmlformats.org/spreadsheetml/2006/main" count="208" uniqueCount="82">
  <si>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</si>
  <si>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</si>
  <si>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</si>
  <si>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</si>
  <si>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</si>
  <si>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</si>
  <si>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</si>
  <si>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</si>
  <si>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</si>
  <si>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</si>
  <si>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Снизу вверх</t>
  </si>
  <si>
    <t>Сверху вниз</t>
  </si>
  <si>
    <t>PVT строка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</si>
  <si>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</si>
  <si>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</si>
  <si>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</si>
  <si>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</si>
  <si>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</si>
  <si>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</si>
  <si>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</si>
  <si>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</si>
  <si>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</si>
  <si>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</si>
  <si>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</si>
  <si>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</si>
  <si>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</si>
  <si>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</si>
  <si>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</si>
  <si>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</si>
  <si>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</si>
  <si>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</si>
  <si>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</si>
  <si>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</si>
  <si>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</si>
  <si>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</si>
  <si>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</si>
  <si>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</si>
  <si>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</si>
  <si>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</si>
  <si>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</si>
  <si>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</si>
  <si>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</si>
  <si>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</si>
  <si>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</si>
  <si>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</si>
  <si>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</si>
  <si>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</si>
  <si>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</si>
  <si>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</si>
  <si>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T</t>
    </r>
    <r>
      <rPr>
        <vertAlign val="subscript"/>
        <sz val="10"/>
        <rFont val="Arial Cyr"/>
        <charset val="204"/>
      </rPr>
      <t>dis</t>
    </r>
  </si>
  <si>
    <t>gas_degr_type</t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</si>
  <si>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</si>
  <si>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</si>
  <si>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</si>
  <si>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</si>
  <si>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</si>
  <si>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</si>
  <si>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</si>
  <si>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</si>
  <si>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</si>
  <si>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</si>
  <si>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</si>
  <si>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</si>
  <si>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</si>
  <si>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</si>
  <si>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</si>
  <si>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</si>
  <si>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calc_along_flow</t>
  </si>
  <si>
    <t>dN</t>
  </si>
  <si>
    <t>Расчет распределения давления в ЭЦН</t>
  </si>
  <si>
    <t>Продолжение расшифровки результатов расчета</t>
  </si>
  <si>
    <t>Параметры расчета</t>
  </si>
  <si>
    <t>show_log</t>
  </si>
  <si>
    <t>num_value</t>
  </si>
  <si>
    <t>show_array</t>
  </si>
  <si>
    <t>p_dis_atma</t>
  </si>
  <si>
    <t>p_int_atma</t>
  </si>
  <si>
    <t>t_int_C</t>
  </si>
  <si>
    <t>t_dis_C</t>
  </si>
  <si>
    <t xml:space="preserve"> </t>
  </si>
  <si>
    <t>esp_gas_correct</t>
  </si>
  <si>
    <t>7.27b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</si>
</sst>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8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5" borderId="2" xfId="0" applyFill="1" applyBorder="1"/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2" fontId="0" fillId="7" borderId="0" xfId="0" applyNumberFormat="1" applyFill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right"/>
    </xf>
    <xf numFmtId="0" fontId="0" fillId="7" borderId="2" xfId="0" applyFill="1" applyBorder="1" applyAlignment="1">
      <alignment horizontal="center"/>
    </xf>
    <xf numFmtId="1" fontId="0" fillId="7" borderId="15" xfId="0" applyNumberFormat="1" applyFill="1" applyBorder="1" applyAlignment="1">
      <alignment horizontal="center" vertical="center"/>
    </xf>
    <xf numFmtId="2" fontId="0" fillId="7" borderId="15" xfId="0" applyNumberFormat="1" applyFill="1" applyBorder="1" applyAlignment="1">
      <alignment horizontal="center" vertical="center"/>
    </xf>
    <xf numFmtId="164" fontId="0" fillId="7" borderId="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4" xfId="0" applyNumberFormat="1" applyFill="1" applyBorder="1" applyAlignment="1">
      <alignment horizontal="center" vertical="center"/>
    </xf>
    <xf numFmtId="1" fontId="0" fillId="7" borderId="7" xfId="0" applyNumberFormat="1" applyFill="1" applyBorder="1" applyAlignment="1">
      <alignment horizontal="center"/>
    </xf>
    <xf numFmtId="0" fontId="13" fillId="0" borderId="0" xfId="0" applyFont="1"/>
    <xf numFmtId="0" fontId="0" fillId="8" borderId="2" xfId="0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0" fillId="7" borderId="0" xfId="0" applyFill="1" applyBorder="1" applyAlignment="1">
      <alignment horizontal="center" vertical="center" wrapText="1"/>
    </xf>
    <xf numFmtId="1" fontId="0" fillId="7" borderId="8" xfId="0" applyNumberFormat="1" applyFill="1" applyBorder="1" applyAlignment="1">
      <alignment horizontal="center"/>
    </xf>
    <xf numFmtId="0" fontId="0" fillId="7" borderId="9" xfId="0" applyFill="1" applyBorder="1"/>
    <xf numFmtId="0" fontId="0" fillId="7" borderId="11" xfId="0" applyFill="1" applyBorder="1" applyAlignment="1">
      <alignment horizontal="center" vertical="center" wrapText="1"/>
    </xf>
    <xf numFmtId="0" fontId="0" fillId="7" borderId="12" xfId="0" applyFill="1" applyBorder="1"/>
    <xf numFmtId="1" fontId="0" fillId="7" borderId="12" xfId="0" applyNumberFormat="1" applyFill="1" applyBorder="1" applyAlignment="1">
      <alignment horizontal="center"/>
    </xf>
    <xf numFmtId="1" fontId="0" fillId="7" borderId="16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Exercise_ESP!$C$76:$C$96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Exercise_ESP!$H$104:$H$124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Exercise_ESP!$I$45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Exercise_ESP!$I$46:$I$65</c:f>
              <c:numCache>
                <c:formatCode>0</c:formatCode>
                <c:ptCount val="20"/>
                <c:pt idx="0">
                  <c:v>80</c:v>
                </c:pt>
                <c:pt idx="1">
                  <c:v>80.526315789473685</c:v>
                </c:pt>
                <c:pt idx="2">
                  <c:v>81.052631578947384</c:v>
                </c:pt>
                <c:pt idx="3">
                  <c:v>81.578947368421069</c:v>
                </c:pt>
                <c:pt idx="4">
                  <c:v>82.105263157894768</c:v>
                </c:pt>
                <c:pt idx="5">
                  <c:v>82.631578947368453</c:v>
                </c:pt>
                <c:pt idx="6">
                  <c:v>83.157894736842152</c:v>
                </c:pt>
                <c:pt idx="7">
                  <c:v>83.684210526315837</c:v>
                </c:pt>
                <c:pt idx="8">
                  <c:v>84.210526315789537</c:v>
                </c:pt>
                <c:pt idx="9">
                  <c:v>84.736842105263221</c:v>
                </c:pt>
                <c:pt idx="10">
                  <c:v>85.263157894736921</c:v>
                </c:pt>
                <c:pt idx="11">
                  <c:v>85.789473684210606</c:v>
                </c:pt>
                <c:pt idx="12">
                  <c:v>86.315789473684305</c:v>
                </c:pt>
                <c:pt idx="13">
                  <c:v>86.84210526315799</c:v>
                </c:pt>
                <c:pt idx="14">
                  <c:v>87.368421052631689</c:v>
                </c:pt>
                <c:pt idx="15">
                  <c:v>87.894736842105374</c:v>
                </c:pt>
                <c:pt idx="16">
                  <c:v>88.421052631579073</c:v>
                </c:pt>
                <c:pt idx="17">
                  <c:v>88.947368421052758</c:v>
                </c:pt>
                <c:pt idx="18">
                  <c:v>89.473684210526457</c:v>
                </c:pt>
                <c:pt idx="19">
                  <c:v>90.000000000000142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Exercise_ESP!$F$46:$F$65</c:f>
              <c:numCache>
                <c:formatCode>0</c:formatCode>
                <c:ptCount val="20"/>
                <c:pt idx="0">
                  <c:v>0</c:v>
                </c:pt>
                <c:pt idx="1">
                  <c:v>13.157894736842104</c:v>
                </c:pt>
                <c:pt idx="2">
                  <c:v>26.315789473684209</c:v>
                </c:pt>
                <c:pt idx="3">
                  <c:v>39.473684210526315</c:v>
                </c:pt>
                <c:pt idx="4">
                  <c:v>52.631578947368418</c:v>
                </c:pt>
                <c:pt idx="5">
                  <c:v>65.78947368421052</c:v>
                </c:pt>
                <c:pt idx="6">
                  <c:v>78.94736842105263</c:v>
                </c:pt>
                <c:pt idx="7">
                  <c:v>92.105263157894726</c:v>
                </c:pt>
                <c:pt idx="8">
                  <c:v>105.26315789473684</c:v>
                </c:pt>
                <c:pt idx="9">
                  <c:v>118.42105263157895</c:v>
                </c:pt>
                <c:pt idx="10">
                  <c:v>131.57894736842104</c:v>
                </c:pt>
                <c:pt idx="11">
                  <c:v>144.73684210526315</c:v>
                </c:pt>
                <c:pt idx="12">
                  <c:v>157.89473684210526</c:v>
                </c:pt>
                <c:pt idx="13">
                  <c:v>171.05263157894737</c:v>
                </c:pt>
                <c:pt idx="14">
                  <c:v>184.21052631578945</c:v>
                </c:pt>
                <c:pt idx="15">
                  <c:v>197.36842105263156</c:v>
                </c:pt>
                <c:pt idx="16">
                  <c:v>210.52631578947367</c:v>
                </c:pt>
                <c:pt idx="17">
                  <c:v>223.68421052631578</c:v>
                </c:pt>
                <c:pt idx="18">
                  <c:v>236.84210526315789</c:v>
                </c:pt>
                <c:pt idx="19">
                  <c:v>250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Exercise_ESP!$K$45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Exercise_ESP!$K$46:$K$65</c:f>
              <c:numCache>
                <c:formatCode>0</c:formatCode>
                <c:ptCount val="20"/>
                <c:pt idx="0">
                  <c:v>71.140600486008623</c:v>
                </c:pt>
                <c:pt idx="1">
                  <c:v>69.841798678767091</c:v>
                </c:pt>
                <c:pt idx="2">
                  <c:v>65.447205260263928</c:v>
                </c:pt>
                <c:pt idx="3">
                  <c:v>62.442013004593797</c:v>
                </c:pt>
                <c:pt idx="4">
                  <c:v>59.928048106913643</c:v>
                </c:pt>
                <c:pt idx="5">
                  <c:v>58.511137602923093</c:v>
                </c:pt>
                <c:pt idx="6">
                  <c:v>58.340289778189202</c:v>
                </c:pt>
                <c:pt idx="7">
                  <c:v>58.261191938185469</c:v>
                </c:pt>
                <c:pt idx="8">
                  <c:v>58.193065163501572</c:v>
                </c:pt>
                <c:pt idx="9">
                  <c:v>58.133516131644974</c:v>
                </c:pt>
                <c:pt idx="10">
                  <c:v>58.08186518297795</c:v>
                </c:pt>
                <c:pt idx="11">
                  <c:v>58.036863645160722</c:v>
                </c:pt>
                <c:pt idx="12">
                  <c:v>57.997036498754447</c:v>
                </c:pt>
                <c:pt idx="13">
                  <c:v>57.961969729669299</c:v>
                </c:pt>
                <c:pt idx="14">
                  <c:v>57.931254395129891</c:v>
                </c:pt>
                <c:pt idx="15">
                  <c:v>57.90388703473819</c:v>
                </c:pt>
                <c:pt idx="16">
                  <c:v>57.879572395565063</c:v>
                </c:pt>
                <c:pt idx="17">
                  <c:v>57.858267675432515</c:v>
                </c:pt>
                <c:pt idx="18">
                  <c:v>57.839245380254233</c:v>
                </c:pt>
                <c:pt idx="19">
                  <c:v>57.822274032551952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Exercise_ESP!$G$46:$G$65</c:f>
              <c:numCache>
                <c:formatCode>0</c:formatCode>
                <c:ptCount val="20"/>
                <c:pt idx="0">
                  <c:v>1012.5</c:v>
                </c:pt>
                <c:pt idx="1">
                  <c:v>1011.8421052631579</c:v>
                </c:pt>
                <c:pt idx="2">
                  <c:v>1011.1842105263158</c:v>
                </c:pt>
                <c:pt idx="3">
                  <c:v>1010.5263157894736</c:v>
                </c:pt>
                <c:pt idx="4">
                  <c:v>1009.8684210526316</c:v>
                </c:pt>
                <c:pt idx="5">
                  <c:v>1009.2105263157895</c:v>
                </c:pt>
                <c:pt idx="6">
                  <c:v>1008.5526315789474</c:v>
                </c:pt>
                <c:pt idx="7">
                  <c:v>1007.8947368421053</c:v>
                </c:pt>
                <c:pt idx="8">
                  <c:v>1007.2368421052631</c:v>
                </c:pt>
                <c:pt idx="9">
                  <c:v>1006.578947368421</c:v>
                </c:pt>
                <c:pt idx="10">
                  <c:v>1005.921052631579</c:v>
                </c:pt>
                <c:pt idx="11">
                  <c:v>1005.2631578947369</c:v>
                </c:pt>
                <c:pt idx="12">
                  <c:v>1004.6052631578947</c:v>
                </c:pt>
                <c:pt idx="13">
                  <c:v>1003.9473684210526</c:v>
                </c:pt>
                <c:pt idx="14">
                  <c:v>1003.2894736842105</c:v>
                </c:pt>
                <c:pt idx="15">
                  <c:v>1002.6315789473684</c:v>
                </c:pt>
                <c:pt idx="16">
                  <c:v>1001.9736842105264</c:v>
                </c:pt>
                <c:pt idx="17">
                  <c:v>1001.3157894736842</c:v>
                </c:pt>
                <c:pt idx="18">
                  <c:v>1000.6578947368421</c:v>
                </c:pt>
                <c:pt idx="19">
                  <c:v>1000</c:v>
                </c:pt>
              </c:numCache>
            </c:numRef>
          </c:xVal>
          <c:yVal>
            <c:numRef>
              <c:f>Exercise_ESP!$J$46:$J$65</c:f>
              <c:numCache>
                <c:formatCode>0</c:formatCode>
                <c:ptCount val="20"/>
                <c:pt idx="0">
                  <c:v>21.142465601823325</c:v>
                </c:pt>
                <c:pt idx="1">
                  <c:v>19.356612751524956</c:v>
                </c:pt>
                <c:pt idx="2">
                  <c:v>13.014283294192513</c:v>
                </c:pt>
                <c:pt idx="3">
                  <c:v>7.960308736653757</c:v>
                </c:pt>
                <c:pt idx="4">
                  <c:v>3.0797975803070794</c:v>
                </c:pt>
                <c:pt idx="5">
                  <c:v>0.17217367070908288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Exercise_ESP!$N$45</c:f>
              <c:strCache>
                <c:ptCount val="1"/>
                <c:pt idx="0">
                  <c:v>eff fluid,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Exercise_ESP!$N$47:$N$65</c:f>
              <c:numCache>
                <c:formatCode>0.00</c:formatCode>
                <c:ptCount val="19"/>
                <c:pt idx="0">
                  <c:v>48.204961505911804</c:v>
                </c:pt>
                <c:pt idx="1">
                  <c:v>45.804483773884677</c:v>
                </c:pt>
                <c:pt idx="2">
                  <c:v>44.053218130712231</c:v>
                </c:pt>
                <c:pt idx="3">
                  <c:v>42.532684952714369</c:v>
                </c:pt>
                <c:pt idx="4">
                  <c:v>41.659945336536431</c:v>
                </c:pt>
                <c:pt idx="5">
                  <c:v>41.553730782670812</c:v>
                </c:pt>
                <c:pt idx="6">
                  <c:v>41.504476088291582</c:v>
                </c:pt>
                <c:pt idx="7">
                  <c:v>41.462023676232349</c:v>
                </c:pt>
                <c:pt idx="8">
                  <c:v>41.424895475741664</c:v>
                </c:pt>
                <c:pt idx="9">
                  <c:v>41.392674390347509</c:v>
                </c:pt>
                <c:pt idx="10">
                  <c:v>41.364588305266636</c:v>
                </c:pt>
                <c:pt idx="11">
                  <c:v>41.339722438437775</c:v>
                </c:pt>
                <c:pt idx="12">
                  <c:v>41.31782107511075</c:v>
                </c:pt>
                <c:pt idx="13">
                  <c:v>41.298631243936924</c:v>
                </c:pt>
                <c:pt idx="14">
                  <c:v>41.281528815028423</c:v>
                </c:pt>
                <c:pt idx="15">
                  <c:v>41.266330572141399</c:v>
                </c:pt>
                <c:pt idx="16">
                  <c:v>41.25301066980429</c:v>
                </c:pt>
                <c:pt idx="17">
                  <c:v>41.241115701567175</c:v>
                </c:pt>
                <c:pt idx="18">
                  <c:v>41.230501567268995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Exercise_ESP!$J$45</c:f>
              <c:strCache>
                <c:ptCount val="1"/>
                <c:pt idx="0">
                  <c:v>gas_fraction, 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Exercise_ESP!$F$47:$F$65</c:f>
              <c:numCache>
                <c:formatCode>0</c:formatCode>
                <c:ptCount val="19"/>
                <c:pt idx="0">
                  <c:v>13.157894736842104</c:v>
                </c:pt>
                <c:pt idx="1">
                  <c:v>26.315789473684209</c:v>
                </c:pt>
                <c:pt idx="2">
                  <c:v>39.473684210526315</c:v>
                </c:pt>
                <c:pt idx="3">
                  <c:v>52.631578947368418</c:v>
                </c:pt>
                <c:pt idx="4">
                  <c:v>65.78947368421052</c:v>
                </c:pt>
                <c:pt idx="5">
                  <c:v>78.94736842105263</c:v>
                </c:pt>
                <c:pt idx="6">
                  <c:v>92.105263157894726</c:v>
                </c:pt>
                <c:pt idx="7">
                  <c:v>105.26315789473684</c:v>
                </c:pt>
                <c:pt idx="8">
                  <c:v>118.42105263157895</c:v>
                </c:pt>
                <c:pt idx="9">
                  <c:v>131.57894736842104</c:v>
                </c:pt>
                <c:pt idx="10">
                  <c:v>144.73684210526315</c:v>
                </c:pt>
                <c:pt idx="11">
                  <c:v>157.89473684210526</c:v>
                </c:pt>
                <c:pt idx="12">
                  <c:v>171.05263157894737</c:v>
                </c:pt>
                <c:pt idx="13">
                  <c:v>184.21052631578945</c:v>
                </c:pt>
                <c:pt idx="14">
                  <c:v>197.36842105263156</c:v>
                </c:pt>
                <c:pt idx="15">
                  <c:v>210.52631578947367</c:v>
                </c:pt>
                <c:pt idx="16">
                  <c:v>223.68421052631578</c:v>
                </c:pt>
                <c:pt idx="17">
                  <c:v>236.84210526315789</c:v>
                </c:pt>
                <c:pt idx="18">
                  <c:v>250</c:v>
                </c:pt>
              </c:numCache>
            </c:numRef>
          </c:xVal>
          <c:yVal>
            <c:numRef>
              <c:f>Exercise_ESP!$J$47:$J$65</c:f>
              <c:numCache>
                <c:formatCode>0</c:formatCode>
                <c:ptCount val="19"/>
                <c:pt idx="0">
                  <c:v>19.356612751524956</c:v>
                </c:pt>
                <c:pt idx="1">
                  <c:v>13.014283294192513</c:v>
                </c:pt>
                <c:pt idx="2">
                  <c:v>7.960308736653757</c:v>
                </c:pt>
                <c:pt idx="3">
                  <c:v>3.0797975803070794</c:v>
                </c:pt>
                <c:pt idx="4">
                  <c:v>0.17217367070908288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CD-43C7-B0A5-3BB4857A6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(2)'!$D$75</c:f>
              <c:strCache>
                <c:ptCount val="1"/>
                <c:pt idx="0">
                  <c:v>p_dis_atma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(2)'!$D$76:$D$96</c:f>
              <c:numCache>
                <c:formatCode>0</c:formatCode>
                <c:ptCount val="21"/>
                <c:pt idx="0">
                  <c:v>194.3427963325789</c:v>
                </c:pt>
                <c:pt idx="1">
                  <c:v>238.47378958893481</c:v>
                </c:pt>
                <c:pt idx="2">
                  <c:v>241.29608689817854</c:v>
                </c:pt>
                <c:pt idx="3">
                  <c:v>241.87138208731506</c:v>
                </c:pt>
                <c:pt idx="4">
                  <c:v>241.22780741544159</c:v>
                </c:pt>
                <c:pt idx="5">
                  <c:v>239.48424722253338</c:v>
                </c:pt>
                <c:pt idx="6">
                  <c:v>236.3391084178667</c:v>
                </c:pt>
                <c:pt idx="7">
                  <c:v>230.26735838896255</c:v>
                </c:pt>
                <c:pt idx="8">
                  <c:v>220.53521740778302</c:v>
                </c:pt>
                <c:pt idx="9">
                  <c:v>207.9389124165854</c:v>
                </c:pt>
                <c:pt idx="10">
                  <c:v>193.19371386023695</c:v>
                </c:pt>
                <c:pt idx="11">
                  <c:v>176.29815061618643</c:v>
                </c:pt>
                <c:pt idx="12">
                  <c:v>156.46425566759802</c:v>
                </c:pt>
                <c:pt idx="13">
                  <c:v>129.31149122028006</c:v>
                </c:pt>
                <c:pt idx="14">
                  <c:v>75.925668009780608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44-4439-88EB-340FFF3C4821}"/>
            </c:ext>
          </c:extLst>
        </c:ser>
        <c:ser>
          <c:idx val="1"/>
          <c:order val="1"/>
          <c:tx>
            <c:strRef>
              <c:f>'Exercise_ESP (2)'!$E$75</c:f>
              <c:strCache>
                <c:ptCount val="1"/>
                <c:pt idx="0">
                  <c:v>p_int_atma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(2)'!$E$76:$E$96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44-4439-88EB-340FFF3C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(2)'!$F$75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(2)'!$F$76:$F$96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B-4E9D-BA06-2601DE261E87}"/>
            </c:ext>
          </c:extLst>
        </c:ser>
        <c:ser>
          <c:idx val="1"/>
          <c:order val="1"/>
          <c:tx>
            <c:strRef>
              <c:f>'Exercise_ESP (2)'!$H$75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(2)'!$H$76:$H$96</c:f>
              <c:numCache>
                <c:formatCode>0.0</c:formatCode>
                <c:ptCount val="21"/>
                <c:pt idx="0">
                  <c:v>299</c:v>
                </c:pt>
                <c:pt idx="1">
                  <c:v>143.33378564550202</c:v>
                </c:pt>
                <c:pt idx="2">
                  <c:v>111.9330430850821</c:v>
                </c:pt>
                <c:pt idx="3">
                  <c:v>100.12097230808546</c:v>
                </c:pt>
                <c:pt idx="4">
                  <c:v>93.864431182181065</c:v>
                </c:pt>
                <c:pt idx="5">
                  <c:v>90.03144003013044</c:v>
                </c:pt>
                <c:pt idx="6">
                  <c:v>87.546066306649493</c:v>
                </c:pt>
                <c:pt idx="7">
                  <c:v>85.954163710560024</c:v>
                </c:pt>
                <c:pt idx="8">
                  <c:v>85.050908579638602</c:v>
                </c:pt>
                <c:pt idx="9">
                  <c:v>84.650410033909594</c:v>
                </c:pt>
                <c:pt idx="10">
                  <c:v>84.575211397861366</c:v>
                </c:pt>
                <c:pt idx="11">
                  <c:v>84.728486238780903</c:v>
                </c:pt>
                <c:pt idx="12">
                  <c:v>85.109140937547949</c:v>
                </c:pt>
                <c:pt idx="13">
                  <c:v>85.851999645031327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B-4E9D-BA06-2601DE26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(2)'!$E$103</c:f>
              <c:strCache>
                <c:ptCount val="1"/>
                <c:pt idx="0">
                  <c:v>p_int_atma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(2)'!$E$104:$E$124</c:f>
              <c:numCache>
                <c:formatCode>0</c:formatCode>
                <c:ptCount val="21"/>
                <c:pt idx="0">
                  <c:v>28.906627181664426</c:v>
                </c:pt>
                <c:pt idx="1">
                  <c:v>28.276221008836238</c:v>
                </c:pt>
                <c:pt idx="2">
                  <c:v>28.414619677076921</c:v>
                </c:pt>
                <c:pt idx="3">
                  <c:v>29.559913240122473</c:v>
                </c:pt>
                <c:pt idx="4">
                  <c:v>32.024554375349467</c:v>
                </c:pt>
                <c:pt idx="5">
                  <c:v>35.479867146179259</c:v>
                </c:pt>
                <c:pt idx="6">
                  <c:v>39.667177193789158</c:v>
                </c:pt>
                <c:pt idx="7">
                  <c:v>44.511793582136029</c:v>
                </c:pt>
                <c:pt idx="8">
                  <c:v>49.94721471303653</c:v>
                </c:pt>
                <c:pt idx="9">
                  <c:v>55.902467300426927</c:v>
                </c:pt>
                <c:pt idx="10">
                  <c:v>62.364336890066078</c:v>
                </c:pt>
                <c:pt idx="11">
                  <c:v>69.39794145139426</c:v>
                </c:pt>
                <c:pt idx="12">
                  <c:v>77.118631837636642</c:v>
                </c:pt>
                <c:pt idx="13">
                  <c:v>85.783175358782799</c:v>
                </c:pt>
                <c:pt idx="14">
                  <c:v>95.923109344614161</c:v>
                </c:pt>
                <c:pt idx="15">
                  <c:v>109.15508155427057</c:v>
                </c:pt>
                <c:pt idx="16">
                  <c:v>127.49049131304103</c:v>
                </c:pt>
                <c:pt idx="17">
                  <c:v>146.93399839990565</c:v>
                </c:pt>
                <c:pt idx="18">
                  <c:v>166.70422286616878</c:v>
                </c:pt>
                <c:pt idx="19">
                  <c:v>186.49065743999145</c:v>
                </c:pt>
                <c:pt idx="20">
                  <c:v>206.32899465634719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C-4ED6-8AFD-5827F77493B0}"/>
            </c:ext>
          </c:extLst>
        </c:ser>
        <c:ser>
          <c:idx val="1"/>
          <c:order val="1"/>
          <c:tx>
            <c:strRef>
              <c:f>'Exercise_ESP (2)'!$G$103</c:f>
              <c:strCache>
                <c:ptCount val="1"/>
                <c:pt idx="0">
                  <c:v>p_dis_atma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(2)'!$G$104:$G$124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C-4ED6-8AFD-5827F774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'Exercise_ESP (2)'!$F$103</c:f>
              <c:strCache>
                <c:ptCount val="1"/>
                <c:pt idx="0">
                  <c:v>t_int_C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(2)'!$C$104:$C$124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(2)'!$F$104:$F$124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77-4E35-A25C-36FF2CAD9436}"/>
            </c:ext>
          </c:extLst>
        </c:ser>
        <c:ser>
          <c:idx val="1"/>
          <c:order val="1"/>
          <c:tx>
            <c:strRef>
              <c:f>'Exercise_ESP (2)'!$H$103</c:f>
              <c:strCache>
                <c:ptCount val="1"/>
                <c:pt idx="0">
                  <c:v>t_dis_C</c:v>
                </c:pt>
              </c:strCache>
            </c:strRef>
          </c:tx>
          <c:xVal>
            <c:numRef>
              <c:f>'Exercise_ESP (2)'!$C$76:$C$96</c:f>
              <c:numCache>
                <c:formatCode>0</c:formatCode>
                <c:ptCount val="21"/>
                <c:pt idx="0">
                  <c:v>1</c:v>
                </c:pt>
                <c:pt idx="1">
                  <c:v>10.625</c:v>
                </c:pt>
                <c:pt idx="2">
                  <c:v>20.25</c:v>
                </c:pt>
                <c:pt idx="3">
                  <c:v>29.875</c:v>
                </c:pt>
                <c:pt idx="4">
                  <c:v>39.5</c:v>
                </c:pt>
                <c:pt idx="5">
                  <c:v>49.125</c:v>
                </c:pt>
                <c:pt idx="6">
                  <c:v>58.75</c:v>
                </c:pt>
                <c:pt idx="7">
                  <c:v>68.375</c:v>
                </c:pt>
                <c:pt idx="8">
                  <c:v>78</c:v>
                </c:pt>
                <c:pt idx="9">
                  <c:v>87.625</c:v>
                </c:pt>
                <c:pt idx="10">
                  <c:v>97.25</c:v>
                </c:pt>
                <c:pt idx="11">
                  <c:v>106.875</c:v>
                </c:pt>
                <c:pt idx="12">
                  <c:v>116.5</c:v>
                </c:pt>
                <c:pt idx="13">
                  <c:v>126.125</c:v>
                </c:pt>
                <c:pt idx="14">
                  <c:v>135.75</c:v>
                </c:pt>
                <c:pt idx="15">
                  <c:v>145.375</c:v>
                </c:pt>
                <c:pt idx="16">
                  <c:v>155</c:v>
                </c:pt>
                <c:pt idx="17">
                  <c:v>164.625</c:v>
                </c:pt>
                <c:pt idx="18">
                  <c:v>174.25</c:v>
                </c:pt>
                <c:pt idx="19">
                  <c:v>183.875</c:v>
                </c:pt>
                <c:pt idx="20">
                  <c:v>193.5</c:v>
                </c:pt>
              </c:numCache>
            </c:numRef>
          </c:xVal>
          <c:yVal>
            <c:numRef>
              <c:f>'Exercise_ESP (2)'!$H$104:$H$124</c:f>
              <c:numCache>
                <c:formatCode>0</c:formatCode>
                <c:ptCount val="2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77-4E35-A25C-36FF2CAD9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'Exercise_ESP (2)'!$I$45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(2)'!$I$46:$I$65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CB-4123-AADC-1D3F83646D93}"/>
            </c:ext>
          </c:extLst>
        </c:ser>
        <c:ser>
          <c:idx val="1"/>
          <c:order val="1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(2)'!$F$46:$F$65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CB-4123-AADC-1D3F83646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'Exercise_ESP (2)'!$K$45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(2)'!$K$46:$K$65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'Exercise_ESP (2)'!$J$45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'Exercise_ESP (2)'!$G$46:$G$65</c:f>
              <c:numCache>
                <c:formatCode>0</c:formatCode>
                <c:ptCount val="20"/>
              </c:numCache>
            </c:numRef>
          </c:xVal>
          <c:yVal>
            <c:numRef>
              <c:f>'Exercise_ESP (2)'!$J$46:$J$65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8D-4E6F-9374-92C2FB309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  <c:max val="10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flipH="1">
          <a:off x="0" y="8858187"/>
          <a:ext cx="3798794" cy="1027891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19</xdr:col>
      <xdr:colOff>224678</xdr:colOff>
      <xdr:row>75</xdr:row>
      <xdr:rowOff>76760</xdr:rowOff>
    </xdr:from>
    <xdr:to>
      <xdr:col>28</xdr:col>
      <xdr:colOff>88714</xdr:colOff>
      <xdr:row>98</xdr:row>
      <xdr:rowOff>71376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3133724" y="5193863"/>
          <a:ext cx="3895725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  <xdr:twoCellAnchor>
    <xdr:from>
      <xdr:col>28</xdr:col>
      <xdr:colOff>170330</xdr:colOff>
      <xdr:row>43</xdr:row>
      <xdr:rowOff>44824</xdr:rowOff>
    </xdr:from>
    <xdr:to>
      <xdr:col>33</xdr:col>
      <xdr:colOff>461360</xdr:colOff>
      <xdr:row>65</xdr:row>
      <xdr:rowOff>124516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6B661BB-35C6-44A0-AC19-EB99F715E5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E0882F-CA60-4BCF-9092-A556A71B1236}"/>
            </a:ext>
          </a:extLst>
        </xdr:cNvPr>
        <xdr:cNvSpPr txBox="1"/>
      </xdr:nvSpPr>
      <xdr:spPr>
        <a:xfrm>
          <a:off x="5175404" y="22597"/>
          <a:ext cx="532855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412830</xdr:colOff>
      <xdr:row>74</xdr:row>
      <xdr:rowOff>3782</xdr:rowOff>
    </xdr:from>
    <xdr:to>
      <xdr:col>21</xdr:col>
      <xdr:colOff>778889</xdr:colOff>
      <xdr:row>96</xdr:row>
      <xdr:rowOff>150239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C6CB69E2-206B-4465-8253-33C2D8C33C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4B7BD2-F69D-4083-9641-E3599F4DC41F}"/>
            </a:ext>
          </a:extLst>
        </xdr:cNvPr>
        <xdr:cNvSpPr txBox="1"/>
      </xdr:nvSpPr>
      <xdr:spPr>
        <a:xfrm>
          <a:off x="10601324" y="11642"/>
          <a:ext cx="6577542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насосе?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Доля газа в потоке внутри ЭЦН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Вязкость смеси в насосе растет или падает по мере развития перепада давления?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Может ли давление на выкиде насоса быть меньше чем давление на входе насоса?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0</xdr:colOff>
      <xdr:row>47</xdr:row>
      <xdr:rowOff>50363</xdr:rowOff>
    </xdr:from>
    <xdr:to>
      <xdr:col>5</xdr:col>
      <xdr:colOff>0</xdr:colOff>
      <xdr:row>53</xdr:row>
      <xdr:rowOff>136960</xdr:rowOff>
    </xdr:to>
    <xdr:sp macro="" textlink="">
      <xdr:nvSpPr>
        <xdr:cNvPr id="5" name="Выноска со стрелкой влево 3">
          <a:extLst>
            <a:ext uri="{FF2B5EF4-FFF2-40B4-BE49-F238E27FC236}">
              <a16:creationId xmlns:a16="http://schemas.microsoft.com/office/drawing/2014/main" id="{7EC10242-F5F8-47D2-B4FD-5326A83D41A6}"/>
            </a:ext>
          </a:extLst>
        </xdr:cNvPr>
        <xdr:cNvSpPr/>
      </xdr:nvSpPr>
      <xdr:spPr>
        <a:xfrm flipH="1">
          <a:off x="0" y="9013388"/>
          <a:ext cx="36766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80</xdr:row>
      <xdr:rowOff>69849</xdr:rowOff>
    </xdr:from>
    <xdr:to>
      <xdr:col>12</xdr:col>
      <xdr:colOff>37043</xdr:colOff>
      <xdr:row>87</xdr:row>
      <xdr:rowOff>25399</xdr:rowOff>
    </xdr:to>
    <xdr:sp macro="" textlink="">
      <xdr:nvSpPr>
        <xdr:cNvPr id="6" name="Выноска со стрелкой влево 16">
          <a:extLst>
            <a:ext uri="{FF2B5EF4-FFF2-40B4-BE49-F238E27FC236}">
              <a16:creationId xmlns:a16="http://schemas.microsoft.com/office/drawing/2014/main" id="{2DAC0239-F34F-4406-8F1E-9667F19480A6}"/>
            </a:ext>
          </a:extLst>
        </xdr:cNvPr>
        <xdr:cNvSpPr/>
      </xdr:nvSpPr>
      <xdr:spPr>
        <a:xfrm>
          <a:off x="6153151" y="14376399"/>
          <a:ext cx="320886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74</xdr:row>
      <xdr:rowOff>9525</xdr:rowOff>
    </xdr:from>
    <xdr:to>
      <xdr:col>30</xdr:col>
      <xdr:colOff>413684</xdr:colOff>
      <xdr:row>96</xdr:row>
      <xdr:rowOff>161024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FF885E3-A1D8-4A11-AB44-3BAD2D3D70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101</xdr:row>
      <xdr:rowOff>70036</xdr:rowOff>
    </xdr:from>
    <xdr:to>
      <xdr:col>21</xdr:col>
      <xdr:colOff>679263</xdr:colOff>
      <xdr:row>124</xdr:row>
      <xdr:rowOff>59610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4FE7153-D6C0-41E4-BF11-0CDDB2C78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101</xdr:row>
      <xdr:rowOff>28575</xdr:rowOff>
    </xdr:from>
    <xdr:to>
      <xdr:col>30</xdr:col>
      <xdr:colOff>423209</xdr:colOff>
      <xdr:row>124</xdr:row>
      <xdr:rowOff>18149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DCBD2615-B1AC-4474-A8C8-460E8CA72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109</xdr:row>
      <xdr:rowOff>3174</xdr:rowOff>
    </xdr:from>
    <xdr:to>
      <xdr:col>12</xdr:col>
      <xdr:colOff>132293</xdr:colOff>
      <xdr:row>115</xdr:row>
      <xdr:rowOff>120649</xdr:rowOff>
    </xdr:to>
    <xdr:sp macro="" textlink="">
      <xdr:nvSpPr>
        <xdr:cNvPr id="10" name="Выноска со стрелкой влево 16">
          <a:extLst>
            <a:ext uri="{FF2B5EF4-FFF2-40B4-BE49-F238E27FC236}">
              <a16:creationId xmlns:a16="http://schemas.microsoft.com/office/drawing/2014/main" id="{F6504E4B-F98E-405F-8FC2-B3F830CDD7E0}"/>
            </a:ext>
          </a:extLst>
        </xdr:cNvPr>
        <xdr:cNvSpPr/>
      </xdr:nvSpPr>
      <xdr:spPr>
        <a:xfrm>
          <a:off x="6219826" y="19005549"/>
          <a:ext cx="3237442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1" name="Стрелка: влево 10">
          <a:extLst>
            <a:ext uri="{FF2B5EF4-FFF2-40B4-BE49-F238E27FC236}">
              <a16:creationId xmlns:a16="http://schemas.microsoft.com/office/drawing/2014/main" id="{E84167D5-DCD4-4228-ACCD-65C1D3A0694A}"/>
            </a:ext>
          </a:extLst>
        </xdr:cNvPr>
        <xdr:cNvSpPr/>
      </xdr:nvSpPr>
      <xdr:spPr>
        <a:xfrm>
          <a:off x="3148293" y="217955"/>
          <a:ext cx="193506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16</xdr:col>
      <xdr:colOff>414337</xdr:colOff>
      <xdr:row>43</xdr:row>
      <xdr:rowOff>23552</xdr:rowOff>
    </xdr:from>
    <xdr:to>
      <xdr:col>22</xdr:col>
      <xdr:colOff>154241</xdr:colOff>
      <xdr:row>65</xdr:row>
      <xdr:rowOff>119084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CE24F17A-B6E2-436E-BFA2-38036AB33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242427</xdr:colOff>
      <xdr:row>43</xdr:row>
      <xdr:rowOff>23655</xdr:rowOff>
    </xdr:from>
    <xdr:to>
      <xdr:col>28</xdr:col>
      <xdr:colOff>23813</xdr:colOff>
      <xdr:row>65</xdr:row>
      <xdr:rowOff>107157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493AC49-23E5-43A2-99D6-479429DA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85724</xdr:colOff>
      <xdr:row>26</xdr:row>
      <xdr:rowOff>88463</xdr:rowOff>
    </xdr:from>
    <xdr:to>
      <xdr:col>8</xdr:col>
      <xdr:colOff>600074</xdr:colOff>
      <xdr:row>32</xdr:row>
      <xdr:rowOff>60760</xdr:rowOff>
    </xdr:to>
    <xdr:sp macro="" textlink="">
      <xdr:nvSpPr>
        <xdr:cNvPr id="14" name="Выноска со стрелкой влево 3">
          <a:extLst>
            <a:ext uri="{FF2B5EF4-FFF2-40B4-BE49-F238E27FC236}">
              <a16:creationId xmlns:a16="http://schemas.microsoft.com/office/drawing/2014/main" id="{C70A4B28-2C80-4CC8-84C1-4BD1182DF56F}"/>
            </a:ext>
          </a:extLst>
        </xdr:cNvPr>
        <xdr:cNvSpPr/>
      </xdr:nvSpPr>
      <xdr:spPr>
        <a:xfrm>
          <a:off x="3009899" y="5193863"/>
          <a:ext cx="3752850" cy="1058147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ESP_calc"/>
      <definedName name="ESP_head_m"/>
      <definedName name="ESP_id_by_rate"/>
      <definedName name="ESP_name"/>
      <definedName name="ESP_p_atma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J186"/>
  <sheetViews>
    <sheetView tabSelected="1" topLeftCell="B49" zoomScale="85" zoomScaleNormal="85" workbookViewId="0">
      <selection activeCell="AK43" sqref="AK43:AK51"/>
    </sheetView>
  </sheetViews>
  <sheetFormatPr defaultRowHeight="12.75" x14ac:dyDescent="0.35"/>
  <cols>
    <col min="2" max="2" width="13.265625" customWidth="1"/>
    <col min="3" max="3" width="9.86328125" customWidth="1"/>
    <col min="4" max="4" width="11.59765625" bestFit="1" customWidth="1"/>
    <col min="5" max="5" width="11.265625" customWidth="1"/>
    <col min="6" max="6" width="13.59765625" customWidth="1"/>
    <col min="7" max="11" width="11.86328125" customWidth="1"/>
    <col min="12" max="12" width="13.1328125" customWidth="1"/>
    <col min="13" max="13" width="13" customWidth="1"/>
    <col min="14" max="14" width="13.1328125" customWidth="1"/>
    <col min="15" max="16" width="11.86328125" customWidth="1"/>
    <col min="17" max="17" width="12.1328125" customWidth="1"/>
    <col min="18" max="21" width="11.86328125" customWidth="1"/>
    <col min="22" max="29" width="12.3984375" customWidth="1"/>
    <col min="30" max="30" width="17.3984375" customWidth="1"/>
    <col min="31" max="37" width="12.3984375" customWidth="1"/>
  </cols>
  <sheetData>
    <row r="1" spans="1:12" ht="13.15" x14ac:dyDescent="0.4">
      <c r="A1" s="1" t="s">
        <v>13</v>
      </c>
      <c r="F1" t="s">
        <v>14</v>
      </c>
      <c r="G1" t="str">
        <f>[1]!unf_Version()</f>
        <v>7.28</v>
      </c>
      <c r="H1" t="s">
        <v>52</v>
      </c>
      <c r="I1" s="27">
        <v>44342</v>
      </c>
      <c r="J1" s="20"/>
      <c r="K1" s="20"/>
      <c r="L1" s="20"/>
    </row>
    <row r="2" spans="1:12" x14ac:dyDescent="0.35">
      <c r="A2" t="s">
        <v>69</v>
      </c>
      <c r="H2" t="s">
        <v>53</v>
      </c>
      <c r="I2" s="28">
        <v>7.28</v>
      </c>
      <c r="J2" s="20"/>
      <c r="K2" s="20"/>
      <c r="L2" s="20"/>
    </row>
    <row r="3" spans="1:12" ht="14.25" x14ac:dyDescent="0.4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4.25" x14ac:dyDescent="0.4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4.25" x14ac:dyDescent="0.4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35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35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35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ht="13.15" x14ac:dyDescent="0.4">
      <c r="A10" s="1" t="s">
        <v>8</v>
      </c>
    </row>
    <row r="11" spans="1:12" ht="16.5" x14ac:dyDescent="0.55000000000000004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5" x14ac:dyDescent="0.55000000000000004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5" x14ac:dyDescent="0.55000000000000004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5" x14ac:dyDescent="0.55000000000000004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5" x14ac:dyDescent="0.55000000000000004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75" x14ac:dyDescent="0.55000000000000004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75" x14ac:dyDescent="0.55000000000000004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5" x14ac:dyDescent="0.55000000000000004">
      <c r="B18" s="13" t="s">
        <v>28</v>
      </c>
      <c r="C18" s="2">
        <v>1.2</v>
      </c>
      <c r="D18" s="12" t="s">
        <v>20</v>
      </c>
    </row>
    <row r="19" spans="1:30" ht="15.75" x14ac:dyDescent="0.55000000000000004">
      <c r="B19" s="22" t="s">
        <v>48</v>
      </c>
      <c r="C19" s="2">
        <v>1</v>
      </c>
      <c r="D19" s="12" t="s">
        <v>47</v>
      </c>
    </row>
    <row r="20" spans="1:30" x14ac:dyDescent="0.35">
      <c r="B20" s="3"/>
      <c r="C20" s="4"/>
    </row>
    <row r="21" spans="1:30" ht="15" x14ac:dyDescent="0.5">
      <c r="B21" s="15" t="s">
        <v>32</v>
      </c>
      <c r="C21" s="2">
        <v>50</v>
      </c>
      <c r="D21" s="23" t="s">
        <v>3</v>
      </c>
    </row>
    <row r="22" spans="1:30" ht="15" x14ac:dyDescent="0.5">
      <c r="B22" s="15" t="s">
        <v>35</v>
      </c>
      <c r="C22" s="2">
        <v>10</v>
      </c>
      <c r="D22" s="23" t="s">
        <v>34</v>
      </c>
    </row>
    <row r="23" spans="1:30" ht="13.15" x14ac:dyDescent="0.4">
      <c r="A23" s="1" t="s">
        <v>46</v>
      </c>
    </row>
    <row r="24" spans="1:30" ht="15" x14ac:dyDescent="0.5">
      <c r="B24" s="16" t="s">
        <v>39</v>
      </c>
      <c r="C24" s="2">
        <v>80</v>
      </c>
      <c r="D24" s="16" t="s">
        <v>3</v>
      </c>
      <c r="Q24" t="e" cm="1">
        <f t="array" ref="Q24">[1]!ESP_calc(Pintake_,Tintake_,J31,PumpID_,NumStage_,Freq_,Tdis_,,L40)</f>
        <v>#VALUE!</v>
      </c>
    </row>
    <row r="25" spans="1:30" ht="15" x14ac:dyDescent="0.5">
      <c r="B25" s="16" t="s">
        <v>40</v>
      </c>
      <c r="C25" s="2">
        <v>1500</v>
      </c>
      <c r="D25" s="16" t="s">
        <v>4</v>
      </c>
      <c r="W25" t="e">
        <f>Q24</f>
        <v>#VALUE!</v>
      </c>
    </row>
    <row r="26" spans="1:30" x14ac:dyDescent="0.35">
      <c r="B26" s="16" t="s">
        <v>36</v>
      </c>
      <c r="C26" s="2">
        <v>55</v>
      </c>
      <c r="D26" s="16" t="s">
        <v>5</v>
      </c>
    </row>
    <row r="27" spans="1:30" x14ac:dyDescent="0.35">
      <c r="B27" s="16" t="s">
        <v>37</v>
      </c>
      <c r="C27" s="11" cm="1">
        <f t="array" ref="C27">[1]!ESP_id_by_rate(Q_ESP_)</f>
        <v>1006</v>
      </c>
      <c r="D27" s="16"/>
      <c r="AD27" t="str" cm="1">
        <f t="array" ref="AD27">[1]!decode_json(W25)</f>
        <v>error</v>
      </c>
    </row>
    <row r="28" spans="1:30" x14ac:dyDescent="0.35">
      <c r="B28" s="16" t="s">
        <v>38</v>
      </c>
      <c r="C28" s="11" t="str" cm="1">
        <f t="array" ref="C28">[1]!ESP_name(PumpID_)</f>
        <v>ЭЦН5-80</v>
      </c>
      <c r="D28" s="16"/>
    </row>
    <row r="29" spans="1:30" ht="15" x14ac:dyDescent="0.5">
      <c r="B29" s="16" t="s">
        <v>41</v>
      </c>
      <c r="C29" s="11" cm="1">
        <f t="array" ref="C29">[1]!ESP_rate_max_sm3day(Freq_,PumpID_)</f>
        <v>192.5</v>
      </c>
      <c r="D29" s="16"/>
      <c r="J29" s="17" t="s">
        <v>12</v>
      </c>
    </row>
    <row r="30" spans="1:30" x14ac:dyDescent="0.35">
      <c r="B30" s="16" t="s">
        <v>9</v>
      </c>
      <c r="C30" s="47" cm="1">
        <f t="array" ref="C30">INT(Head_ESP_/[1]!ESP_head_m(Q_ESP_,1,,PumpID_))</f>
        <v>250</v>
      </c>
      <c r="D30" s="16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" x14ac:dyDescent="0.5">
      <c r="B31" s="16" t="s">
        <v>42</v>
      </c>
      <c r="C31" s="5">
        <v>0.8</v>
      </c>
      <c r="D31" s="16"/>
      <c r="J31" t="str" cm="1">
        <f t="array" ref="J31">[1]!encode_feed(Q_,fw_,Rp_,,PVT_str_)</f>
        <v>{"gamma_gas":0.8,"gamma_oil":0.9,"gamma_wat":1,"rsb_m3m3":80,"pb_atma":120,"t_res_C":100,"bob_m3m3":1.2,"muob_cP":1,"q_liq_sm3day":50,"fw_perc":10,"rp_m3m3":80}</v>
      </c>
    </row>
    <row r="32" spans="1:30" ht="15" x14ac:dyDescent="0.5">
      <c r="B32" s="16" t="s">
        <v>43</v>
      </c>
      <c r="C32" s="7">
        <v>80</v>
      </c>
      <c r="D32" s="16" t="s">
        <v>1</v>
      </c>
    </row>
    <row r="33" spans="1:19" ht="15" x14ac:dyDescent="0.5">
      <c r="B33" s="16" t="s">
        <v>44</v>
      </c>
      <c r="C33" s="7">
        <v>80</v>
      </c>
      <c r="D33" s="16" t="s">
        <v>2</v>
      </c>
    </row>
    <row r="34" spans="1:19" ht="14.25" x14ac:dyDescent="0.45">
      <c r="B34" s="21" t="s">
        <v>45</v>
      </c>
      <c r="C34" s="2">
        <v>1</v>
      </c>
      <c r="D34" s="21" t="s">
        <v>29</v>
      </c>
      <c r="L34" s="54" t="s">
        <v>71</v>
      </c>
      <c r="S34" t="str" cm="1">
        <f t="array" ref="S34:S37">[1]!decode_json(P43)</f>
        <v>CESPpump start:</v>
      </c>
    </row>
    <row r="35" spans="1:19" x14ac:dyDescent="0.35">
      <c r="A35" t="s">
        <v>51</v>
      </c>
      <c r="L35" s="12" t="s">
        <v>72</v>
      </c>
      <c r="M35" s="55">
        <v>1</v>
      </c>
      <c r="S35" t="str">
        <v>{"gas_correct_model" :0, "gas_correct_stage_by_stage" : 0, "dnum_stages_integrate" : 10, "calc_from_dis": 0}</v>
      </c>
    </row>
    <row r="36" spans="1:19" x14ac:dyDescent="0.35">
      <c r="B36" s="16" t="s">
        <v>7</v>
      </c>
      <c r="C36" s="2">
        <v>20</v>
      </c>
      <c r="D36" s="16"/>
      <c r="J36" s="36"/>
      <c r="L36" s="12" t="s">
        <v>73</v>
      </c>
      <c r="M36" s="55">
        <v>0</v>
      </c>
      <c r="S36" t="str">
        <v>{"gas_correct_intake" :1,000, "gas_frac_intake" :0,211, "q_rel" :0,370}</v>
      </c>
    </row>
    <row r="37" spans="1:19" ht="13.15" x14ac:dyDescent="0.4">
      <c r="A37" s="1"/>
      <c r="L37" s="12" t="s">
        <v>74</v>
      </c>
      <c r="M37" s="55">
        <v>1</v>
      </c>
      <c r="S37" t="str">
        <v>calc_integration calc done in 11,71875 ms</v>
      </c>
    </row>
    <row r="38" spans="1:19" ht="13.15" x14ac:dyDescent="0.4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5">
      <c r="B39" s="15" t="s">
        <v>30</v>
      </c>
      <c r="C39" s="2">
        <v>80</v>
      </c>
      <c r="D39" s="16" t="s">
        <v>1</v>
      </c>
      <c r="F39" s="46" t="s">
        <v>67</v>
      </c>
      <c r="G39" s="2">
        <v>1</v>
      </c>
    </row>
    <row r="40" spans="1:19" ht="15" x14ac:dyDescent="0.5">
      <c r="B40" s="15" t="s">
        <v>31</v>
      </c>
      <c r="C40" s="2">
        <v>80</v>
      </c>
      <c r="D40" s="16" t="s">
        <v>2</v>
      </c>
      <c r="L40" s="20" t="str" cm="1">
        <f t="array" ref="L40">[1]!encode_json(L35:M38)</f>
        <v>{"show_log":1,"num_value":0,"show_array":1,"esp_gas_correct":20}</v>
      </c>
    </row>
    <row r="41" spans="1:19" ht="15" x14ac:dyDescent="0.5">
      <c r="B41" s="15" t="s">
        <v>33</v>
      </c>
      <c r="C41" s="2">
        <v>150</v>
      </c>
      <c r="D41" s="16" t="s">
        <v>1</v>
      </c>
      <c r="F41" t="s">
        <v>66</v>
      </c>
    </row>
    <row r="42" spans="1:19" ht="15" x14ac:dyDescent="0.5">
      <c r="B42" s="15" t="s">
        <v>49</v>
      </c>
      <c r="C42" s="2">
        <v>90</v>
      </c>
      <c r="D42" s="23" t="s">
        <v>2</v>
      </c>
    </row>
    <row r="43" spans="1:19" x14ac:dyDescent="0.35">
      <c r="B43" s="15" t="s">
        <v>50</v>
      </c>
      <c r="C43" s="2">
        <v>0</v>
      </c>
      <c r="D43" s="23"/>
      <c r="F43" s="53" cm="1">
        <f t="array" ref="F43:P65">[1]!ESP_p_atma(Pintake_,Tintake_,Tdis_,J31,PumpID_,NumStage_,Freq_,,,,,gas_degr_type_,0,L40)</f>
        <v>239.20037687355588</v>
      </c>
      <c r="G43" s="41">
        <v>80</v>
      </c>
      <c r="H43" s="41">
        <v>80</v>
      </c>
      <c r="I43" s="41">
        <v>239.20037687355588</v>
      </c>
      <c r="J43" s="41">
        <v>90.000000000000142</v>
      </c>
      <c r="K43" s="41">
        <v>1985.4345045684277</v>
      </c>
      <c r="L43" s="41">
        <v>42.124612060669691</v>
      </c>
      <c r="M43" s="41">
        <v>11070.045848442958</v>
      </c>
      <c r="N43" s="41">
        <v>26279.282602055537</v>
      </c>
      <c r="O43" s="58">
        <v>1</v>
      </c>
      <c r="P43" s="59" t="str">
        <v>["CESPpump start:","{\"gas_correct_model\" :0, \"gas_correct_stage_by_stage\" : 0, \"dnum_stages_integrate\" : 10, \"calc_from_dis\": 0}","{\"gas_correct_intake\" :1,000, \"gas_frac_intake\" :0,211, \"q_rel\" :0,370}","calc_integration calc done in 11,71875 ms"]</v>
      </c>
    </row>
    <row r="44" spans="1:19" ht="25.5" x14ac:dyDescent="0.35">
      <c r="B44" s="15" t="s">
        <v>68</v>
      </c>
      <c r="C44" s="2">
        <v>10</v>
      </c>
      <c r="F44" s="60" t="str">
        <v>p_dis_atma</v>
      </c>
      <c r="G44" s="57" t="str">
        <v>p_int_atma</v>
      </c>
      <c r="H44" s="57" t="str">
        <v>t_int_C</v>
      </c>
      <c r="I44" s="57" t="str">
        <v>p_dis_atma</v>
      </c>
      <c r="J44" s="57" t="str">
        <v>t_dis_C</v>
      </c>
      <c r="K44" s="57" t="str">
        <v>head_m</v>
      </c>
      <c r="L44" s="57" t="str">
        <v>eff_ESP_d, %</v>
      </c>
      <c r="M44" s="57" t="str">
        <v>power_fluid_W</v>
      </c>
      <c r="N44" s="57" t="str">
        <v>power_ESP_W</v>
      </c>
      <c r="O44" s="57" t="str">
        <v>gas_correction</v>
      </c>
      <c r="P44" s="61" t="str">
        <v>log</v>
      </c>
    </row>
    <row r="45" spans="1:19" x14ac:dyDescent="0.35">
      <c r="F45" s="42" t="str">
        <v>n_stage</v>
      </c>
      <c r="G45" s="43" t="str">
        <v>length_m</v>
      </c>
      <c r="H45" s="43" t="str">
        <v>p_atma</v>
      </c>
      <c r="I45" s="43" t="str">
        <v>t_C</v>
      </c>
      <c r="J45" s="43" t="str">
        <v>gas_fraction, %</v>
      </c>
      <c r="K45" s="43" t="str">
        <v>qmix_rm3day</v>
      </c>
      <c r="L45" s="43" t="str">
        <v>Power_fluid_W</v>
      </c>
      <c r="M45" s="43" t="str">
        <v>Power_ESP_W</v>
      </c>
      <c r="N45" s="43" t="str">
        <v>eff fluid, %</v>
      </c>
      <c r="O45" s="43" t="str">
        <v>mu_stage_cP</v>
      </c>
      <c r="P45" s="61" t="str">
        <v>gas correction, %</v>
      </c>
    </row>
    <row r="46" spans="1:19" x14ac:dyDescent="0.35">
      <c r="F46" s="51">
        <v>0</v>
      </c>
      <c r="G46" s="45">
        <v>1012.5</v>
      </c>
      <c r="H46" s="45">
        <v>80</v>
      </c>
      <c r="I46" s="45">
        <v>80</v>
      </c>
      <c r="J46" s="45">
        <v>21.142465601823325</v>
      </c>
      <c r="K46" s="45">
        <v>71.140600486008623</v>
      </c>
      <c r="L46" s="64">
        <v>0</v>
      </c>
      <c r="M46" s="45">
        <v>0</v>
      </c>
      <c r="N46" s="44">
        <v>0</v>
      </c>
      <c r="O46" s="44">
        <v>0.96556394924479327</v>
      </c>
      <c r="P46" s="62">
        <v>100</v>
      </c>
    </row>
    <row r="47" spans="1:19" x14ac:dyDescent="0.35">
      <c r="F47" s="51">
        <v>13.157894736842104</v>
      </c>
      <c r="G47" s="45">
        <v>1011.8421052631579</v>
      </c>
      <c r="H47" s="45">
        <v>86.95441516492825</v>
      </c>
      <c r="I47" s="45">
        <v>80.526315789473685</v>
      </c>
      <c r="J47" s="45">
        <v>19.356612751524956</v>
      </c>
      <c r="K47" s="45">
        <v>69.841798678767091</v>
      </c>
      <c r="L47" s="64">
        <v>571.72587121989727</v>
      </c>
      <c r="M47" s="45">
        <v>1182.5026507700463</v>
      </c>
      <c r="N47" s="44">
        <v>48.204961505911804</v>
      </c>
      <c r="O47" s="44">
        <v>0.96530107083367911</v>
      </c>
      <c r="P47" s="62">
        <v>100</v>
      </c>
    </row>
    <row r="48" spans="1:19" x14ac:dyDescent="0.35">
      <c r="F48" s="51">
        <v>26.315789473684209</v>
      </c>
      <c r="G48" s="45">
        <v>1011.1842105263158</v>
      </c>
      <c r="H48" s="45">
        <v>94.431218595668184</v>
      </c>
      <c r="I48" s="45">
        <v>81.052631578947384</v>
      </c>
      <c r="J48" s="45">
        <v>13.014283294192513</v>
      </c>
      <c r="K48" s="45">
        <v>65.447205260263928</v>
      </c>
      <c r="L48" s="64">
        <v>1148.6843274898943</v>
      </c>
      <c r="M48" s="45">
        <v>2436.5440102267003</v>
      </c>
      <c r="N48" s="44">
        <v>45.804483773884677</v>
      </c>
      <c r="O48" s="44">
        <v>0.9629342537892347</v>
      </c>
      <c r="P48" s="62">
        <v>100</v>
      </c>
    </row>
    <row r="49" spans="6:16" x14ac:dyDescent="0.35">
      <c r="F49" s="51">
        <v>39.473684210526315</v>
      </c>
      <c r="G49" s="45">
        <v>1010.5263157894736</v>
      </c>
      <c r="H49" s="45">
        <v>102.28804597805539</v>
      </c>
      <c r="I49" s="45">
        <v>81.578947368421069</v>
      </c>
      <c r="J49" s="45">
        <v>7.960308736653757</v>
      </c>
      <c r="K49" s="45">
        <v>62.442013004593797</v>
      </c>
      <c r="L49" s="64">
        <v>1728.47925210983</v>
      </c>
      <c r="M49" s="45">
        <v>3744.1837616403777</v>
      </c>
      <c r="N49" s="44">
        <v>44.053218130712231</v>
      </c>
      <c r="O49" s="44">
        <v>0.95758288364440158</v>
      </c>
      <c r="P49" s="62">
        <v>100</v>
      </c>
    </row>
    <row r="50" spans="6:16" x14ac:dyDescent="0.35">
      <c r="F50" s="51">
        <v>52.631578947368418</v>
      </c>
      <c r="G50" s="45">
        <v>1009.8684210526316</v>
      </c>
      <c r="H50" s="45">
        <v>110.55023839515917</v>
      </c>
      <c r="I50" s="45">
        <v>82.105263157894768</v>
      </c>
      <c r="J50" s="45">
        <v>3.0797975803070794</v>
      </c>
      <c r="K50" s="45">
        <v>59.928048106913643</v>
      </c>
      <c r="L50" s="64">
        <v>2310.8350451175916</v>
      </c>
      <c r="M50" s="45">
        <v>5109.9376042177091</v>
      </c>
      <c r="N50" s="44">
        <v>42.532684952714369</v>
      </c>
      <c r="O50" s="44">
        <v>0.94931789382047371</v>
      </c>
      <c r="P50" s="62">
        <v>100</v>
      </c>
    </row>
    <row r="51" spans="6:16" x14ac:dyDescent="0.35">
      <c r="F51" s="51">
        <v>65.78947368421052</v>
      </c>
      <c r="G51" s="45">
        <v>1009.2105263157895</v>
      </c>
      <c r="H51" s="45">
        <v>119.05131713242095</v>
      </c>
      <c r="I51" s="45">
        <v>82.631578947368453</v>
      </c>
      <c r="J51" s="45">
        <v>0.17217367070908288</v>
      </c>
      <c r="K51" s="45">
        <v>58.511137602923093</v>
      </c>
      <c r="L51" s="64">
        <v>2894.5246503881444</v>
      </c>
      <c r="M51" s="45">
        <v>6510.2677663729373</v>
      </c>
      <c r="N51" s="44">
        <v>41.659945336536431</v>
      </c>
      <c r="O51" s="44">
        <v>0.94979254710971828</v>
      </c>
      <c r="P51" s="62">
        <v>100</v>
      </c>
    </row>
    <row r="52" spans="6:16" x14ac:dyDescent="0.35">
      <c r="F52" s="51">
        <v>78.94736842105263</v>
      </c>
      <c r="G52" s="45">
        <v>1008.5526315789474</v>
      </c>
      <c r="H52" s="45">
        <v>127.5822355259771</v>
      </c>
      <c r="I52" s="45">
        <v>83.157894736842152</v>
      </c>
      <c r="J52" s="45">
        <v>0</v>
      </c>
      <c r="K52" s="45">
        <v>58.340289778189202</v>
      </c>
      <c r="L52" s="64">
        <v>3478.340946452719</v>
      </c>
      <c r="M52" s="45">
        <v>7914.9269532084127</v>
      </c>
      <c r="N52" s="44">
        <v>41.553730782670812</v>
      </c>
      <c r="O52" s="44">
        <v>0.96492898111517578</v>
      </c>
      <c r="P52" s="62">
        <v>100</v>
      </c>
    </row>
    <row r="53" spans="6:16" x14ac:dyDescent="0.35">
      <c r="F53" s="51">
        <v>92.105263157894726</v>
      </c>
      <c r="G53" s="45">
        <v>1007.8947368421053</v>
      </c>
      <c r="H53" s="45">
        <v>136.12633670379557</v>
      </c>
      <c r="I53" s="45">
        <v>83.684210526315837</v>
      </c>
      <c r="J53" s="45">
        <v>0</v>
      </c>
      <c r="K53" s="45">
        <v>58.261191938185469</v>
      </c>
      <c r="L53" s="64">
        <v>4062.1958943860691</v>
      </c>
      <c r="M53" s="45">
        <v>9321.4950278045453</v>
      </c>
      <c r="N53" s="44">
        <v>41.504476088291582</v>
      </c>
      <c r="O53" s="44">
        <v>0.98177345425389528</v>
      </c>
      <c r="P53" s="62">
        <v>100</v>
      </c>
    </row>
    <row r="54" spans="6:16" x14ac:dyDescent="0.35">
      <c r="F54" s="51">
        <v>105.26315789473684</v>
      </c>
      <c r="G54" s="45">
        <v>1007.2368421052631</v>
      </c>
      <c r="H54" s="45">
        <v>144.68111000129474</v>
      </c>
      <c r="I54" s="45">
        <v>84.210526315789537</v>
      </c>
      <c r="J54" s="45">
        <v>0</v>
      </c>
      <c r="K54" s="45">
        <v>58.193065163501572</v>
      </c>
      <c r="L54" s="64">
        <v>4646.082017837778</v>
      </c>
      <c r="M54" s="45">
        <v>10729.608989550354</v>
      </c>
      <c r="N54" s="44">
        <v>41.462023676232349</v>
      </c>
      <c r="O54" s="44">
        <v>0.99972423719625048</v>
      </c>
      <c r="P54" s="62">
        <v>100</v>
      </c>
    </row>
    <row r="55" spans="6:16" x14ac:dyDescent="0.35">
      <c r="F55" s="51">
        <v>118.42105263157895</v>
      </c>
      <c r="G55" s="45">
        <v>1006.578947368421</v>
      </c>
      <c r="H55" s="45">
        <v>153.24462442810156</v>
      </c>
      <c r="I55" s="45">
        <v>84.736842105263221</v>
      </c>
      <c r="J55" s="45">
        <v>0</v>
      </c>
      <c r="K55" s="45">
        <v>58.133516131644974</v>
      </c>
      <c r="L55" s="64">
        <v>5229.9936098905246</v>
      </c>
      <c r="M55" s="45">
        <v>12138.989494243282</v>
      </c>
      <c r="N55" s="44">
        <v>41.424895475741664</v>
      </c>
      <c r="O55" s="44">
        <v>1.0186590715733923</v>
      </c>
      <c r="P55" s="62">
        <v>100</v>
      </c>
    </row>
    <row r="56" spans="6:16" x14ac:dyDescent="0.35">
      <c r="F56" s="51">
        <v>131.57894736842104</v>
      </c>
      <c r="G56" s="45">
        <v>1005.921052631579</v>
      </c>
      <c r="H56" s="45">
        <v>161.81651546686211</v>
      </c>
      <c r="I56" s="45">
        <v>85.263157894736921</v>
      </c>
      <c r="J56" s="45">
        <v>0</v>
      </c>
      <c r="K56" s="45">
        <v>58.08186518297795</v>
      </c>
      <c r="L56" s="64">
        <v>5813.9295670163683</v>
      </c>
      <c r="M56" s="45">
        <v>13549.584036084863</v>
      </c>
      <c r="N56" s="44">
        <v>41.392674390347509</v>
      </c>
      <c r="O56" s="44">
        <v>1.0386146478593004</v>
      </c>
      <c r="P56" s="62">
        <v>100</v>
      </c>
    </row>
    <row r="57" spans="6:16" x14ac:dyDescent="0.35">
      <c r="F57" s="51">
        <v>144.73684210526315</v>
      </c>
      <c r="G57" s="45">
        <v>1005.2631578947369</v>
      </c>
      <c r="H57" s="45">
        <v>170.39571925596331</v>
      </c>
      <c r="I57" s="45">
        <v>85.789473684210606</v>
      </c>
      <c r="J57" s="45">
        <v>0</v>
      </c>
      <c r="K57" s="45">
        <v>58.036863645160722</v>
      </c>
      <c r="L57" s="64">
        <v>6397.8867795523702</v>
      </c>
      <c r="M57" s="45">
        <v>14961.238678971209</v>
      </c>
      <c r="N57" s="44">
        <v>41.364588305266636</v>
      </c>
      <c r="O57" s="44">
        <v>1.0595351135620972</v>
      </c>
      <c r="P57" s="62">
        <v>100</v>
      </c>
    </row>
    <row r="58" spans="6:16" x14ac:dyDescent="0.35">
      <c r="F58" s="51">
        <v>157.89473684210526</v>
      </c>
      <c r="G58" s="45">
        <v>1004.6052631578947</v>
      </c>
      <c r="H58" s="45">
        <v>178.98078873612914</v>
      </c>
      <c r="I58" s="45">
        <v>86.315789473684305</v>
      </c>
      <c r="J58" s="45">
        <v>0</v>
      </c>
      <c r="K58" s="45">
        <v>57.997036498754447</v>
      </c>
      <c r="L58" s="64">
        <v>6981.8610494159675</v>
      </c>
      <c r="M58" s="45">
        <v>16373.743824850317</v>
      </c>
      <c r="N58" s="44">
        <v>41.339722438437775</v>
      </c>
      <c r="O58" s="44">
        <v>1.081289449970537</v>
      </c>
      <c r="P58" s="62">
        <v>100</v>
      </c>
    </row>
    <row r="59" spans="6:16" x14ac:dyDescent="0.35">
      <c r="F59" s="51">
        <v>171.05263157894737</v>
      </c>
      <c r="G59" s="45">
        <v>1003.9473684210526</v>
      </c>
      <c r="H59" s="45">
        <v>187.57138864410285</v>
      </c>
      <c r="I59" s="45">
        <v>86.84210526315799</v>
      </c>
      <c r="J59" s="45">
        <v>0</v>
      </c>
      <c r="K59" s="45">
        <v>57.961969729669299</v>
      </c>
      <c r="L59" s="64">
        <v>7565.8514301852374</v>
      </c>
      <c r="M59" s="45">
        <v>17787.051008765469</v>
      </c>
      <c r="N59" s="44">
        <v>41.31782107511075</v>
      </c>
      <c r="O59" s="44">
        <v>1.1038866644559544</v>
      </c>
      <c r="P59" s="62">
        <v>100</v>
      </c>
    </row>
    <row r="60" spans="6:16" x14ac:dyDescent="0.35">
      <c r="F60" s="51">
        <v>184.21052631578945</v>
      </c>
      <c r="G60" s="45">
        <v>1003.2894736842105</v>
      </c>
      <c r="H60" s="45">
        <v>196.1671540915988</v>
      </c>
      <c r="I60" s="45">
        <v>87.368421052631689</v>
      </c>
      <c r="J60" s="45">
        <v>0</v>
      </c>
      <c r="K60" s="45">
        <v>57.931254395129891</v>
      </c>
      <c r="L60" s="64">
        <v>8149.8569111798151</v>
      </c>
      <c r="M60" s="45">
        <v>19201.10745083962</v>
      </c>
      <c r="N60" s="44">
        <v>41.298631243936924</v>
      </c>
      <c r="O60" s="44">
        <v>1.1273296209228545</v>
      </c>
      <c r="P60" s="62">
        <v>100</v>
      </c>
    </row>
    <row r="61" spans="6:16" x14ac:dyDescent="0.35">
      <c r="F61" s="51">
        <v>197.36842105263156</v>
      </c>
      <c r="G61" s="45">
        <v>1002.6315789473684</v>
      </c>
      <c r="H61" s="45">
        <v>204.76696149553285</v>
      </c>
      <c r="I61" s="45">
        <v>87.894736842105374</v>
      </c>
      <c r="J61" s="45">
        <v>0</v>
      </c>
      <c r="K61" s="45">
        <v>57.90388703473819</v>
      </c>
      <c r="L61" s="64">
        <v>8733.8742701729661</v>
      </c>
      <c r="M61" s="45">
        <v>20615.750277983658</v>
      </c>
      <c r="N61" s="44">
        <v>41.281528815028423</v>
      </c>
      <c r="O61" s="44">
        <v>1.1514811939481642</v>
      </c>
      <c r="P61" s="62">
        <v>100</v>
      </c>
    </row>
    <row r="62" spans="6:16" x14ac:dyDescent="0.35">
      <c r="F62" s="51">
        <v>210.52631578947367</v>
      </c>
      <c r="G62" s="45">
        <v>1001.9736842105264</v>
      </c>
      <c r="H62" s="45">
        <v>213.37049608759634</v>
      </c>
      <c r="I62" s="45">
        <v>88.421052631579073</v>
      </c>
      <c r="J62" s="45">
        <v>0</v>
      </c>
      <c r="K62" s="45">
        <v>57.879572395565063</v>
      </c>
      <c r="L62" s="64">
        <v>9317.9026566885113</v>
      </c>
      <c r="M62" s="45">
        <v>22030.933909585154</v>
      </c>
      <c r="N62" s="44">
        <v>41.266330572141399</v>
      </c>
      <c r="O62" s="44">
        <v>1.1763268443667265</v>
      </c>
      <c r="P62" s="62">
        <v>100</v>
      </c>
    </row>
    <row r="63" spans="6:16" x14ac:dyDescent="0.35">
      <c r="F63" s="51">
        <v>223.68421052631578</v>
      </c>
      <c r="G63" s="45">
        <v>1001.3157894736842</v>
      </c>
      <c r="H63" s="45">
        <v>221.97773473897857</v>
      </c>
      <c r="I63" s="45">
        <v>88.947368421052758</v>
      </c>
      <c r="J63" s="45">
        <v>0</v>
      </c>
      <c r="K63" s="45">
        <v>57.858267675432515</v>
      </c>
      <c r="L63" s="64">
        <v>9901.9421120969255</v>
      </c>
      <c r="M63" s="45">
        <v>23446.655082800899</v>
      </c>
      <c r="N63" s="44">
        <v>41.25301066980429</v>
      </c>
      <c r="O63" s="44">
        <v>1.2019078523325049</v>
      </c>
      <c r="P63" s="62">
        <v>100</v>
      </c>
    </row>
    <row r="64" spans="6:16" x14ac:dyDescent="0.35">
      <c r="F64" s="51">
        <v>236.84210526315789</v>
      </c>
      <c r="G64" s="45">
        <v>1000.6578947368421</v>
      </c>
      <c r="H64" s="45">
        <v>230.58779138304479</v>
      </c>
      <c r="I64" s="45">
        <v>89.473684210526457</v>
      </c>
      <c r="J64" s="45">
        <v>0</v>
      </c>
      <c r="K64" s="45">
        <v>57.839245380254233</v>
      </c>
      <c r="L64" s="64">
        <v>10485.990098068594</v>
      </c>
      <c r="M64" s="45">
        <v>24862.785283090943</v>
      </c>
      <c r="N64" s="44">
        <v>41.241115701567175</v>
      </c>
      <c r="O64" s="44">
        <v>1.2280837361416137</v>
      </c>
      <c r="P64" s="62">
        <v>100</v>
      </c>
    </row>
    <row r="65" spans="2:35" x14ac:dyDescent="0.35">
      <c r="F65" s="52">
        <v>250</v>
      </c>
      <c r="G65" s="48">
        <v>1000</v>
      </c>
      <c r="H65" s="48">
        <v>239.20037687355588</v>
      </c>
      <c r="I65" s="48">
        <v>90.000000000000142</v>
      </c>
      <c r="J65" s="48">
        <v>0</v>
      </c>
      <c r="K65" s="48">
        <v>57.822274032551952</v>
      </c>
      <c r="L65" s="65">
        <v>11070.045848442958</v>
      </c>
      <c r="M65" s="48">
        <v>26279.282602055537</v>
      </c>
      <c r="N65" s="49">
        <v>41.230501567268995</v>
      </c>
      <c r="O65" s="49">
        <v>1.2548213614545418</v>
      </c>
      <c r="P65" s="63">
        <v>100</v>
      </c>
    </row>
    <row r="68" spans="2:35" x14ac:dyDescent="0.35">
      <c r="G68" s="36"/>
    </row>
    <row r="69" spans="2:35" x14ac:dyDescent="0.35">
      <c r="G69" s="36"/>
    </row>
    <row r="70" spans="2:35" x14ac:dyDescent="0.35">
      <c r="G70" s="36"/>
    </row>
    <row r="71" spans="2:35" x14ac:dyDescent="0.35">
      <c r="G71" s="36"/>
    </row>
    <row r="72" spans="2:35" x14ac:dyDescent="0.35">
      <c r="G72" s="36"/>
    </row>
    <row r="73" spans="2:35" x14ac:dyDescent="0.35">
      <c r="C73" s="4"/>
    </row>
    <row r="74" spans="2:35" x14ac:dyDescent="0.35">
      <c r="C74" s="4"/>
      <c r="D74" s="66" t="s">
        <v>10</v>
      </c>
      <c r="E74" s="67"/>
      <c r="F74" s="67"/>
      <c r="G74" s="67"/>
      <c r="H74" s="68"/>
      <c r="AI74" t="s">
        <v>70</v>
      </c>
    </row>
    <row r="75" spans="2:35" x14ac:dyDescent="0.35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35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35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35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35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35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35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35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35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35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35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35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35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35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35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35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35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35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35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35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35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35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35">
      <c r="D97" s="24"/>
      <c r="E97" s="24"/>
      <c r="F97" s="24"/>
      <c r="G97" s="25"/>
      <c r="H97" s="26"/>
    </row>
    <row r="102" spans="2:8" x14ac:dyDescent="0.35">
      <c r="C102" s="4"/>
      <c r="D102" s="66" t="s">
        <v>11</v>
      </c>
      <c r="E102" s="67"/>
      <c r="F102" s="67"/>
      <c r="G102" s="67"/>
      <c r="H102" s="68"/>
    </row>
    <row r="103" spans="2:8" x14ac:dyDescent="0.35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35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35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35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35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35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35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35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35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35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35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35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35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35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35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35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35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35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35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35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35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35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35">
      <c r="D125" s="26"/>
      <c r="E125" s="26"/>
      <c r="F125" s="26"/>
      <c r="G125" s="25"/>
      <c r="H125" s="26"/>
    </row>
    <row r="138" spans="4:11" x14ac:dyDescent="0.35">
      <c r="D138" s="37"/>
      <c r="F138" s="36"/>
      <c r="H138" s="36"/>
      <c r="I138" s="36"/>
      <c r="J138" s="35"/>
      <c r="K138" s="36"/>
    </row>
    <row r="139" spans="4:11" x14ac:dyDescent="0.35">
      <c r="D139" s="37"/>
      <c r="F139" s="36"/>
      <c r="H139" s="36"/>
      <c r="I139" s="36"/>
      <c r="J139" s="35"/>
      <c r="K139" s="36"/>
    </row>
    <row r="140" spans="4:11" x14ac:dyDescent="0.35">
      <c r="D140" s="37"/>
      <c r="F140" s="36"/>
      <c r="H140" s="36"/>
      <c r="I140" s="36"/>
      <c r="J140" s="35"/>
      <c r="K140" s="36"/>
    </row>
    <row r="141" spans="4:11" x14ac:dyDescent="0.35">
      <c r="D141" s="37"/>
      <c r="F141" s="36"/>
      <c r="H141" s="36"/>
      <c r="I141" s="36"/>
      <c r="J141" s="35"/>
      <c r="K141" s="36"/>
    </row>
    <row r="142" spans="4:11" x14ac:dyDescent="0.35">
      <c r="D142" s="37"/>
      <c r="F142" s="36"/>
      <c r="H142" s="36"/>
      <c r="I142" s="36"/>
      <c r="J142" s="35"/>
      <c r="K142" s="36"/>
    </row>
    <row r="143" spans="4:11" x14ac:dyDescent="0.35">
      <c r="D143" s="37"/>
      <c r="E143" s="36"/>
      <c r="F143" s="36"/>
      <c r="H143" s="36"/>
      <c r="I143" s="36"/>
      <c r="J143" s="35"/>
      <c r="K143" s="36"/>
    </row>
    <row r="144" spans="4:11" x14ac:dyDescent="0.35">
      <c r="D144" s="37"/>
      <c r="E144" s="36"/>
      <c r="F144" s="36"/>
      <c r="H144" s="36"/>
      <c r="I144" s="36"/>
      <c r="J144" s="35"/>
      <c r="K144" s="36"/>
    </row>
    <row r="145" spans="4:30" x14ac:dyDescent="0.35">
      <c r="D145" s="37"/>
      <c r="E145" s="36"/>
      <c r="F145" s="36"/>
      <c r="H145" s="36"/>
      <c r="I145" s="36"/>
      <c r="J145" s="35"/>
      <c r="K145" s="36"/>
    </row>
    <row r="146" spans="4:30" x14ac:dyDescent="0.35">
      <c r="D146" s="37"/>
      <c r="E146" s="36"/>
      <c r="F146" s="36"/>
      <c r="H146" s="36"/>
      <c r="I146" s="36"/>
      <c r="J146" s="35"/>
      <c r="K146" s="36"/>
    </row>
    <row r="147" spans="4:30" x14ac:dyDescent="0.35">
      <c r="D147" s="37"/>
      <c r="E147" s="36"/>
      <c r="F147" s="36"/>
      <c r="H147" s="36"/>
      <c r="I147" s="36"/>
      <c r="J147" s="35"/>
      <c r="K147" s="36"/>
    </row>
    <row r="148" spans="4:30" x14ac:dyDescent="0.35">
      <c r="D148" s="37"/>
      <c r="E148" s="36"/>
      <c r="F148" s="36"/>
      <c r="H148" s="36"/>
      <c r="I148" s="36"/>
      <c r="J148" s="35"/>
      <c r="K148" s="36"/>
    </row>
    <row r="149" spans="4:30" x14ac:dyDescent="0.3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3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3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3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3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3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3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3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3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35">
      <c r="F162" s="37"/>
      <c r="K162" s="37"/>
      <c r="M162" s="36"/>
      <c r="N162" s="35"/>
    </row>
    <row r="165" spans="6:14" x14ac:dyDescent="0.35">
      <c r="J165" s="38"/>
      <c r="K165" s="38"/>
      <c r="L165" s="38"/>
    </row>
    <row r="166" spans="6:14" x14ac:dyDescent="0.35">
      <c r="J166" s="38"/>
      <c r="K166" s="38"/>
      <c r="L166" s="38"/>
    </row>
    <row r="167" spans="6:14" x14ac:dyDescent="0.35">
      <c r="J167" s="38"/>
      <c r="K167" s="38"/>
      <c r="L167" s="38"/>
    </row>
    <row r="168" spans="6:14" x14ac:dyDescent="0.35">
      <c r="J168" s="38"/>
      <c r="K168" s="38"/>
      <c r="L168" s="38"/>
    </row>
    <row r="169" spans="6:14" x14ac:dyDescent="0.35">
      <c r="J169" s="38"/>
      <c r="K169" s="39"/>
      <c r="L169" s="38"/>
    </row>
    <row r="170" spans="6:14" x14ac:dyDescent="0.35">
      <c r="J170" s="38"/>
      <c r="K170" s="38"/>
      <c r="L170" s="38"/>
    </row>
    <row r="171" spans="6:14" x14ac:dyDescent="0.35">
      <c r="J171" s="38"/>
      <c r="K171" s="38"/>
      <c r="L171" s="38"/>
    </row>
    <row r="172" spans="6:14" x14ac:dyDescent="0.35">
      <c r="J172" s="38"/>
      <c r="K172" s="38"/>
      <c r="L172" s="38"/>
    </row>
    <row r="173" spans="6:14" x14ac:dyDescent="0.35">
      <c r="J173" s="38"/>
      <c r="K173" s="38"/>
      <c r="L173" s="38"/>
    </row>
    <row r="174" spans="6:14" x14ac:dyDescent="0.35">
      <c r="J174" s="38"/>
      <c r="K174" s="38"/>
      <c r="L174" s="38"/>
    </row>
    <row r="175" spans="6:14" x14ac:dyDescent="0.35">
      <c r="J175" s="38"/>
      <c r="K175" s="38"/>
      <c r="L175" s="38"/>
    </row>
    <row r="176" spans="6:14" x14ac:dyDescent="0.35">
      <c r="J176" s="38"/>
      <c r="K176" s="38"/>
      <c r="L176" s="38"/>
    </row>
    <row r="177" spans="10:13" x14ac:dyDescent="0.35">
      <c r="J177" s="38"/>
      <c r="K177" s="38"/>
      <c r="L177" s="38"/>
    </row>
    <row r="178" spans="10:13" x14ac:dyDescent="0.35">
      <c r="J178" s="38"/>
      <c r="K178" s="38"/>
      <c r="L178" s="38"/>
    </row>
    <row r="179" spans="10:13" x14ac:dyDescent="0.35">
      <c r="J179" s="38"/>
      <c r="K179" s="38"/>
      <c r="L179" s="38"/>
    </row>
    <row r="180" spans="10:13" x14ac:dyDescent="0.35">
      <c r="J180" s="38"/>
      <c r="K180" s="38"/>
      <c r="L180" s="38"/>
    </row>
    <row r="181" spans="10:13" x14ac:dyDescent="0.35">
      <c r="J181" s="38"/>
      <c r="K181" s="38"/>
      <c r="L181" s="38"/>
    </row>
    <row r="182" spans="10:13" x14ac:dyDescent="0.35">
      <c r="J182" s="38"/>
      <c r="K182" s="38"/>
      <c r="L182" s="38"/>
    </row>
    <row r="183" spans="10:13" x14ac:dyDescent="0.35">
      <c r="J183" s="38"/>
      <c r="K183" s="38"/>
      <c r="L183" s="38"/>
    </row>
    <row r="184" spans="10:13" x14ac:dyDescent="0.35">
      <c r="J184" s="38"/>
      <c r="K184" s="38"/>
      <c r="L184" s="38"/>
    </row>
    <row r="185" spans="10:13" x14ac:dyDescent="0.35">
      <c r="M185" s="40"/>
    </row>
    <row r="186" spans="10:13" x14ac:dyDescent="0.3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D250-773C-46E0-BC3C-3F63B1150B50}">
  <sheetPr codeName="Worksheet_ESPcalc1">
    <outlinePr summaryBelow="0"/>
  </sheetPr>
  <dimension ref="A1:AJ186"/>
  <sheetViews>
    <sheetView topLeftCell="A76" zoomScale="85" zoomScaleNormal="85" workbookViewId="0">
      <selection activeCell="C32" sqref="C32"/>
    </sheetView>
  </sheetViews>
  <sheetFormatPr defaultRowHeight="12.75" x14ac:dyDescent="0.35"/>
  <cols>
    <col min="2" max="2" width="13.265625" customWidth="1"/>
    <col min="3" max="3" width="9.86328125" customWidth="1"/>
    <col min="4" max="4" width="11.59765625" bestFit="1" customWidth="1"/>
    <col min="5" max="5" width="11.265625" customWidth="1"/>
    <col min="6" max="6" width="13.59765625" customWidth="1"/>
    <col min="7" max="12" width="11.86328125" customWidth="1"/>
    <col min="13" max="13" width="13" customWidth="1"/>
    <col min="14" max="14" width="13.1328125" customWidth="1"/>
    <col min="15" max="16" width="11.86328125" customWidth="1"/>
    <col min="17" max="17" width="12.1328125" customWidth="1"/>
    <col min="18" max="21" width="11.86328125" customWidth="1"/>
    <col min="22" max="29" width="12.3984375" customWidth="1"/>
    <col min="30" max="30" width="17.3984375" customWidth="1"/>
    <col min="31" max="37" width="12.3984375" customWidth="1"/>
  </cols>
  <sheetData>
    <row r="1" spans="1:12" ht="13.15" x14ac:dyDescent="0.4">
      <c r="A1" s="1" t="s">
        <v>13</v>
      </c>
      <c r="F1" t="s">
        <v>14</v>
      </c>
      <c r="G1" t="str">
        <f>[1]!unf_Version()</f>
        <v>7.28</v>
      </c>
      <c r="H1" t="s">
        <v>52</v>
      </c>
      <c r="I1" s="27">
        <v>44312</v>
      </c>
      <c r="J1" s="20"/>
      <c r="K1" s="20"/>
      <c r="L1" s="20"/>
    </row>
    <row r="2" spans="1:12" x14ac:dyDescent="0.35">
      <c r="A2" t="s">
        <v>69</v>
      </c>
      <c r="H2" t="s">
        <v>53</v>
      </c>
      <c r="I2" s="28" t="s">
        <v>81</v>
      </c>
      <c r="J2" s="20"/>
      <c r="K2" s="20"/>
      <c r="L2" s="20"/>
    </row>
    <row r="3" spans="1:12" ht="14.25" x14ac:dyDescent="0.45">
      <c r="A3" s="29" t="s">
        <v>54</v>
      </c>
      <c r="B3" s="69" t="s">
        <v>55</v>
      </c>
      <c r="C3" s="70"/>
      <c r="D3" s="70"/>
      <c r="E3" s="71"/>
      <c r="H3" t="s">
        <v>56</v>
      </c>
      <c r="I3" s="20" t="s">
        <v>55</v>
      </c>
      <c r="J3" s="20"/>
      <c r="K3" s="20"/>
      <c r="L3" s="20"/>
    </row>
    <row r="4" spans="1:12" ht="14.25" x14ac:dyDescent="0.45">
      <c r="A4" s="29" t="s">
        <v>57</v>
      </c>
      <c r="B4" s="69" t="s">
        <v>58</v>
      </c>
      <c r="C4" s="70"/>
      <c r="D4" s="70"/>
      <c r="E4" s="71"/>
      <c r="H4" t="s">
        <v>59</v>
      </c>
      <c r="I4" s="20" t="s">
        <v>58</v>
      </c>
      <c r="J4" s="20"/>
      <c r="K4" s="20"/>
      <c r="L4" s="20"/>
    </row>
    <row r="5" spans="1:12" ht="14.25" x14ac:dyDescent="0.45">
      <c r="A5" s="29" t="s">
        <v>60</v>
      </c>
      <c r="B5" s="69" t="s">
        <v>61</v>
      </c>
      <c r="C5" s="70"/>
      <c r="D5" s="70"/>
      <c r="E5" s="71"/>
      <c r="H5" t="s">
        <v>62</v>
      </c>
      <c r="I5" s="20" t="s">
        <v>61</v>
      </c>
      <c r="J5" s="20"/>
      <c r="K5" s="20"/>
      <c r="L5" s="20"/>
    </row>
    <row r="6" spans="1:12" x14ac:dyDescent="0.35">
      <c r="A6" s="30" t="s">
        <v>63</v>
      </c>
      <c r="B6" s="72" t="s">
        <v>64</v>
      </c>
      <c r="C6" s="73"/>
      <c r="D6" s="73"/>
      <c r="E6" s="74"/>
      <c r="H6" s="31" t="s">
        <v>65</v>
      </c>
      <c r="I6" s="32" t="s">
        <v>64</v>
      </c>
      <c r="J6" s="32"/>
      <c r="K6" s="32"/>
      <c r="L6" s="32"/>
    </row>
    <row r="7" spans="1:12" x14ac:dyDescent="0.35">
      <c r="A7" s="33"/>
      <c r="B7" s="75"/>
      <c r="C7" s="76"/>
      <c r="D7" s="76"/>
      <c r="E7" s="77"/>
      <c r="H7" s="31"/>
      <c r="I7" s="32"/>
      <c r="J7" s="32"/>
      <c r="K7" s="32"/>
      <c r="L7" s="32"/>
    </row>
    <row r="8" spans="1:12" x14ac:dyDescent="0.35">
      <c r="A8" s="34"/>
      <c r="B8" s="78"/>
      <c r="C8" s="79"/>
      <c r="D8" s="79"/>
      <c r="E8" s="80"/>
      <c r="H8" s="31"/>
      <c r="I8" s="32"/>
      <c r="J8" s="32"/>
      <c r="K8" s="32"/>
      <c r="L8" s="32"/>
    </row>
    <row r="10" spans="1:12" ht="13.15" x14ac:dyDescent="0.4">
      <c r="A10" s="1" t="s">
        <v>8</v>
      </c>
    </row>
    <row r="11" spans="1:12" ht="16.5" x14ac:dyDescent="0.55000000000000004">
      <c r="B11" s="9" t="s">
        <v>15</v>
      </c>
      <c r="C11" s="2">
        <v>0.9</v>
      </c>
      <c r="D11" s="10"/>
      <c r="E11" s="11">
        <f>gamma_oil_*1000</f>
        <v>900</v>
      </c>
      <c r="F11" s="12" t="s">
        <v>16</v>
      </c>
    </row>
    <row r="12" spans="1:12" ht="16.5" x14ac:dyDescent="0.55000000000000004">
      <c r="B12" s="12" t="s">
        <v>17</v>
      </c>
      <c r="C12" s="2">
        <v>1</v>
      </c>
      <c r="D12" s="10"/>
      <c r="E12" s="11">
        <f>gamma_wat_*1000</f>
        <v>1000</v>
      </c>
      <c r="F12" s="12" t="s">
        <v>16</v>
      </c>
    </row>
    <row r="13" spans="1:12" ht="16.5" x14ac:dyDescent="0.55000000000000004">
      <c r="B13" s="12" t="s">
        <v>18</v>
      </c>
      <c r="C13" s="2">
        <v>0.8</v>
      </c>
      <c r="D13" s="10"/>
      <c r="E13" s="11">
        <f>gamma_gas_*1.22</f>
        <v>0.97599999999999998</v>
      </c>
      <c r="F13" s="12" t="s">
        <v>16</v>
      </c>
    </row>
    <row r="14" spans="1:12" ht="16.5" x14ac:dyDescent="0.55000000000000004">
      <c r="B14" s="13" t="s">
        <v>19</v>
      </c>
      <c r="C14" s="2">
        <v>80</v>
      </c>
      <c r="D14" s="12" t="s">
        <v>20</v>
      </c>
      <c r="E14" s="14">
        <f>Rsb_/gamma_oil_</f>
        <v>88.888888888888886</v>
      </c>
      <c r="F14" s="12" t="s">
        <v>21</v>
      </c>
    </row>
    <row r="15" spans="1:12" ht="16.5" x14ac:dyDescent="0.55000000000000004">
      <c r="B15" s="13" t="s">
        <v>22</v>
      </c>
      <c r="C15" s="2">
        <v>80</v>
      </c>
      <c r="D15" s="12" t="s">
        <v>20</v>
      </c>
      <c r="E15" s="14">
        <f>Rsb_/gamma_oil_</f>
        <v>88.888888888888886</v>
      </c>
      <c r="F15" s="12" t="s">
        <v>21</v>
      </c>
    </row>
    <row r="16" spans="1:12" ht="15.75" x14ac:dyDescent="0.55000000000000004">
      <c r="B16" s="12" t="s">
        <v>23</v>
      </c>
      <c r="C16" s="2">
        <v>120</v>
      </c>
      <c r="D16" s="10" t="s">
        <v>24</v>
      </c>
      <c r="E16" s="14">
        <f>Pb_*1.01325</f>
        <v>121.59</v>
      </c>
      <c r="F16" s="10" t="s">
        <v>25</v>
      </c>
    </row>
    <row r="17" spans="1:30" ht="15.75" x14ac:dyDescent="0.55000000000000004">
      <c r="B17" s="12" t="s">
        <v>26</v>
      </c>
      <c r="C17" s="2">
        <v>100</v>
      </c>
      <c r="D17" s="10" t="s">
        <v>2</v>
      </c>
      <c r="E17" s="14">
        <f>Tres_*9/5+32</f>
        <v>212</v>
      </c>
      <c r="F17" s="10" t="s">
        <v>27</v>
      </c>
    </row>
    <row r="18" spans="1:30" ht="16.5" x14ac:dyDescent="0.55000000000000004">
      <c r="B18" s="13" t="s">
        <v>28</v>
      </c>
      <c r="C18" s="2">
        <v>1.2</v>
      </c>
      <c r="D18" s="12" t="s">
        <v>20</v>
      </c>
    </row>
    <row r="19" spans="1:30" ht="15.75" x14ac:dyDescent="0.55000000000000004">
      <c r="B19" s="22" t="s">
        <v>48</v>
      </c>
      <c r="C19" s="2">
        <v>1</v>
      </c>
      <c r="D19" s="12" t="s">
        <v>47</v>
      </c>
    </row>
    <row r="20" spans="1:30" x14ac:dyDescent="0.35">
      <c r="B20" s="3"/>
      <c r="C20" s="4"/>
    </row>
    <row r="21" spans="1:30" ht="15" x14ac:dyDescent="0.5">
      <c r="B21" s="15" t="s">
        <v>32</v>
      </c>
      <c r="C21" s="2">
        <v>135</v>
      </c>
      <c r="D21" s="23" t="s">
        <v>3</v>
      </c>
    </row>
    <row r="22" spans="1:30" ht="15" x14ac:dyDescent="0.5">
      <c r="B22" s="15" t="s">
        <v>35</v>
      </c>
      <c r="C22" s="2">
        <v>10</v>
      </c>
      <c r="D22" s="23" t="s">
        <v>34</v>
      </c>
    </row>
    <row r="23" spans="1:30" ht="13.15" x14ac:dyDescent="0.4">
      <c r="A23" s="1" t="s">
        <v>46</v>
      </c>
    </row>
    <row r="24" spans="1:30" ht="15" x14ac:dyDescent="0.5">
      <c r="B24" s="23" t="s">
        <v>39</v>
      </c>
      <c r="C24" s="2">
        <v>80</v>
      </c>
      <c r="D24" s="23" t="s">
        <v>3</v>
      </c>
      <c r="Q24" t="e" cm="1">
        <f t="array" ref="Q24">[1]!ESP_calc(Pintake_,Tintake_,J31,PumpID_,NumStage_,Freq_,Tdis_,,L40)</f>
        <v>#VALUE!</v>
      </c>
    </row>
    <row r="25" spans="1:30" ht="15" x14ac:dyDescent="0.5">
      <c r="B25" s="23" t="s">
        <v>40</v>
      </c>
      <c r="C25" s="2">
        <v>1500</v>
      </c>
      <c r="D25" s="23" t="s">
        <v>4</v>
      </c>
      <c r="W25" t="e">
        <f>Q24</f>
        <v>#VALUE!</v>
      </c>
    </row>
    <row r="26" spans="1:30" x14ac:dyDescent="0.35">
      <c r="B26" s="23" t="s">
        <v>36</v>
      </c>
      <c r="C26" s="2">
        <v>55</v>
      </c>
      <c r="D26" s="23" t="s">
        <v>5</v>
      </c>
    </row>
    <row r="27" spans="1:30" x14ac:dyDescent="0.35">
      <c r="B27" s="23" t="s">
        <v>37</v>
      </c>
      <c r="C27" s="11" cm="1">
        <f t="array" ref="C27">[1]!ESP_id_by_rate(Q_ESP_)</f>
        <v>1006</v>
      </c>
      <c r="D27" s="23"/>
      <c r="AD27" t="str" cm="1">
        <f t="array" ref="AD27">[1]!decode_json(W25)</f>
        <v>error</v>
      </c>
    </row>
    <row r="28" spans="1:30" x14ac:dyDescent="0.35">
      <c r="B28" s="23" t="s">
        <v>38</v>
      </c>
      <c r="C28" s="11" t="str" cm="1">
        <f t="array" ref="C28">[1]!ESP_name(PumpID_)</f>
        <v>ЭЦН5-80</v>
      </c>
      <c r="D28" s="23"/>
    </row>
    <row r="29" spans="1:30" ht="15" x14ac:dyDescent="0.5">
      <c r="B29" s="23" t="s">
        <v>41</v>
      </c>
      <c r="C29" s="11" cm="1">
        <f t="array" ref="C29">[1]!ESP_rate_max_sm3day(Freq_,PumpID_)</f>
        <v>192.5</v>
      </c>
      <c r="D29" s="23"/>
      <c r="J29" s="17" t="s">
        <v>12</v>
      </c>
    </row>
    <row r="30" spans="1:30" x14ac:dyDescent="0.35">
      <c r="B30" s="23" t="s">
        <v>9</v>
      </c>
      <c r="C30" s="47" cm="1">
        <f t="array" ref="C30">INT(Head_ESP_/[1]!ESP_head_m(Q_ESP_,1,,PumpID_))</f>
        <v>250</v>
      </c>
      <c r="D30" s="23" t="s">
        <v>6</v>
      </c>
      <c r="J30" s="8" t="str" cm="1">
        <f t="array" ref="J30">[1]!encode_PVT(gamma_gas_,gamma_oil_,,Rsb_,Pb_,Tres_,Bob_,muob_,)</f>
        <v>{"gamma_gas":0.8,"gamma_oil":0.9,"gamma_wat":1,"rsb_m3m3":80,"pb_atma":120,"t_res_C":100,"bob_m3m3":1.2,"muob_cP":1}</v>
      </c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30" ht="15" x14ac:dyDescent="0.5">
      <c r="B31" s="23" t="s">
        <v>42</v>
      </c>
      <c r="C31" s="5">
        <v>0.8</v>
      </c>
      <c r="D31" s="23"/>
      <c r="J31" t="str" cm="1">
        <f t="array" ref="J31">[1]!encode_feed(Q_,fw_,Rp_,,PVT_str_)</f>
        <v>{"gamma_gas":0.8,"gamma_oil":0.9,"gamma_wat":1,"rsb_m3m3":80,"pb_atma":120,"t_res_C":100,"bob_m3m3":1.2,"muob_cP":1,"q_liq_sm3day":135,"fw_perc":10,"rp_m3m3":80}</v>
      </c>
    </row>
    <row r="32" spans="1:30" ht="15" x14ac:dyDescent="0.5">
      <c r="B32" s="23" t="s">
        <v>43</v>
      </c>
      <c r="C32" s="7">
        <v>80</v>
      </c>
      <c r="D32" s="23" t="s">
        <v>1</v>
      </c>
    </row>
    <row r="33" spans="1:19" ht="15" x14ac:dyDescent="0.5">
      <c r="B33" s="23" t="s">
        <v>44</v>
      </c>
      <c r="C33" s="7">
        <v>80</v>
      </c>
      <c r="D33" s="23" t="s">
        <v>2</v>
      </c>
    </row>
    <row r="34" spans="1:19" ht="14.25" x14ac:dyDescent="0.45">
      <c r="B34" s="23" t="s">
        <v>45</v>
      </c>
      <c r="C34" s="2">
        <v>1</v>
      </c>
      <c r="D34" s="23" t="s">
        <v>29</v>
      </c>
      <c r="L34" s="54" t="s">
        <v>71</v>
      </c>
      <c r="S34" t="str" cm="1">
        <f t="array" ref="S34">[1]!decode_json(P43)</f>
        <v>error</v>
      </c>
    </row>
    <row r="35" spans="1:19" x14ac:dyDescent="0.35">
      <c r="A35" t="s">
        <v>51</v>
      </c>
      <c r="L35" s="12" t="s">
        <v>72</v>
      </c>
      <c r="M35" s="55">
        <v>1</v>
      </c>
    </row>
    <row r="36" spans="1:19" x14ac:dyDescent="0.35">
      <c r="B36" s="23" t="s">
        <v>7</v>
      </c>
      <c r="C36" s="2">
        <v>20</v>
      </c>
      <c r="D36" s="23"/>
      <c r="J36" s="36"/>
      <c r="L36" s="12" t="s">
        <v>73</v>
      </c>
      <c r="M36" s="55">
        <v>0</v>
      </c>
    </row>
    <row r="37" spans="1:19" ht="13.15" x14ac:dyDescent="0.4">
      <c r="A37" s="1"/>
      <c r="L37" s="12" t="s">
        <v>74</v>
      </c>
      <c r="M37" s="55">
        <v>1</v>
      </c>
    </row>
    <row r="38" spans="1:19" ht="13.15" x14ac:dyDescent="0.4">
      <c r="A38" s="1" t="s">
        <v>46</v>
      </c>
      <c r="B38" s="3"/>
      <c r="C38" s="4"/>
      <c r="L38" s="56" t="s">
        <v>80</v>
      </c>
      <c r="M38" s="20">
        <v>20</v>
      </c>
    </row>
    <row r="39" spans="1:19" ht="12.75" customHeight="1" x14ac:dyDescent="0.5">
      <c r="B39" s="15" t="s">
        <v>30</v>
      </c>
      <c r="C39" s="2">
        <v>80</v>
      </c>
      <c r="D39" s="23" t="s">
        <v>1</v>
      </c>
      <c r="F39" s="46" t="s">
        <v>67</v>
      </c>
      <c r="G39" s="2">
        <v>1</v>
      </c>
    </row>
    <row r="40" spans="1:19" ht="15" x14ac:dyDescent="0.5">
      <c r="B40" s="15" t="s">
        <v>31</v>
      </c>
      <c r="C40" s="2">
        <v>80</v>
      </c>
      <c r="D40" s="23" t="s">
        <v>2</v>
      </c>
      <c r="L40" s="20" t="str" cm="1">
        <f t="array" ref="L40">[1]!encode_json(L35:M38)</f>
        <v>{"show_log":1,"num_value":0,"show_array":1,"esp_gas_correct":20}</v>
      </c>
    </row>
    <row r="41" spans="1:19" ht="15" x14ac:dyDescent="0.5">
      <c r="B41" s="15" t="s">
        <v>33</v>
      </c>
      <c r="C41" s="2">
        <v>150</v>
      </c>
      <c r="D41" s="23" t="s">
        <v>1</v>
      </c>
      <c r="F41" t="s">
        <v>66</v>
      </c>
    </row>
    <row r="42" spans="1:19" ht="15" x14ac:dyDescent="0.5">
      <c r="B42" s="15" t="s">
        <v>49</v>
      </c>
      <c r="C42" s="2">
        <v>90</v>
      </c>
      <c r="D42" s="23" t="s">
        <v>2</v>
      </c>
    </row>
    <row r="43" spans="1:19" x14ac:dyDescent="0.35">
      <c r="B43" s="15" t="s">
        <v>50</v>
      </c>
      <c r="C43" s="2">
        <v>0</v>
      </c>
      <c r="D43" s="23"/>
      <c r="F43" s="53" cm="1">
        <f t="array" ref="F43">[1]!ESP_p_atma(Pintake_,Tintake_,Tdis_,,PumpID_,NumStage_,Freq_,calc_along_flow,,,,0,dN)</f>
        <v>196.99719529740906</v>
      </c>
      <c r="G43" s="41"/>
      <c r="H43" s="41"/>
      <c r="I43" s="41"/>
      <c r="J43" s="41"/>
      <c r="K43" s="41"/>
      <c r="L43" s="41"/>
      <c r="M43" s="41"/>
      <c r="N43" s="41"/>
      <c r="O43" s="58"/>
      <c r="P43" s="59"/>
    </row>
    <row r="44" spans="1:19" x14ac:dyDescent="0.35">
      <c r="B44" s="15" t="s">
        <v>68</v>
      </c>
      <c r="C44" s="2">
        <v>10</v>
      </c>
      <c r="F44" s="60"/>
      <c r="G44" s="57"/>
      <c r="H44" s="57"/>
      <c r="I44" s="57"/>
      <c r="J44" s="57"/>
      <c r="K44" s="57"/>
      <c r="L44" s="57"/>
      <c r="M44" s="57"/>
      <c r="N44" s="57"/>
      <c r="O44" s="57"/>
      <c r="P44" s="61"/>
    </row>
    <row r="45" spans="1:19" x14ac:dyDescent="0.35">
      <c r="F45" s="42"/>
      <c r="G45" s="43"/>
      <c r="H45" s="43"/>
      <c r="I45" s="43"/>
      <c r="J45" s="43"/>
      <c r="K45" s="43"/>
      <c r="L45" s="43"/>
      <c r="M45" s="43"/>
      <c r="N45" s="43"/>
      <c r="O45" s="43"/>
      <c r="P45" s="61"/>
    </row>
    <row r="46" spans="1:19" x14ac:dyDescent="0.35">
      <c r="F46" s="51"/>
      <c r="G46" s="45"/>
      <c r="H46" s="45"/>
      <c r="I46" s="45"/>
      <c r="J46" s="45"/>
      <c r="K46" s="45"/>
      <c r="L46" s="45"/>
      <c r="M46" s="45"/>
      <c r="N46" s="45"/>
      <c r="O46" s="44"/>
      <c r="P46" s="62"/>
    </row>
    <row r="47" spans="1:19" x14ac:dyDescent="0.35">
      <c r="F47" s="51"/>
      <c r="G47" s="45"/>
      <c r="H47" s="45"/>
      <c r="I47" s="45"/>
      <c r="J47" s="45"/>
      <c r="K47" s="45"/>
      <c r="L47" s="45"/>
      <c r="M47" s="45"/>
      <c r="N47" s="45"/>
      <c r="O47" s="44"/>
      <c r="P47" s="62"/>
    </row>
    <row r="48" spans="1:19" x14ac:dyDescent="0.35">
      <c r="F48" s="51"/>
      <c r="G48" s="45"/>
      <c r="H48" s="45"/>
      <c r="I48" s="45"/>
      <c r="J48" s="45"/>
      <c r="K48" s="45"/>
      <c r="L48" s="45"/>
      <c r="M48" s="45"/>
      <c r="N48" s="45"/>
      <c r="O48" s="44"/>
      <c r="P48" s="62"/>
    </row>
    <row r="49" spans="6:16" x14ac:dyDescent="0.35">
      <c r="F49" s="51"/>
      <c r="G49" s="45"/>
      <c r="H49" s="45"/>
      <c r="I49" s="45"/>
      <c r="J49" s="45"/>
      <c r="K49" s="45"/>
      <c r="L49" s="45"/>
      <c r="M49" s="45"/>
      <c r="N49" s="45"/>
      <c r="O49" s="44"/>
      <c r="P49" s="62"/>
    </row>
    <row r="50" spans="6:16" x14ac:dyDescent="0.35">
      <c r="F50" s="51"/>
      <c r="G50" s="45"/>
      <c r="H50" s="45"/>
      <c r="I50" s="45"/>
      <c r="J50" s="45"/>
      <c r="K50" s="45"/>
      <c r="L50" s="45"/>
      <c r="M50" s="45"/>
      <c r="N50" s="45"/>
      <c r="O50" s="44"/>
      <c r="P50" s="62"/>
    </row>
    <row r="51" spans="6:16" x14ac:dyDescent="0.35">
      <c r="F51" s="51"/>
      <c r="G51" s="45"/>
      <c r="H51" s="45"/>
      <c r="I51" s="45"/>
      <c r="J51" s="45"/>
      <c r="K51" s="45"/>
      <c r="L51" s="45"/>
      <c r="M51" s="45"/>
      <c r="N51" s="45"/>
      <c r="O51" s="44"/>
      <c r="P51" s="62"/>
    </row>
    <row r="52" spans="6:16" x14ac:dyDescent="0.35">
      <c r="F52" s="51"/>
      <c r="G52" s="45"/>
      <c r="H52" s="45"/>
      <c r="I52" s="45"/>
      <c r="J52" s="45"/>
      <c r="K52" s="45"/>
      <c r="L52" s="45"/>
      <c r="M52" s="45"/>
      <c r="N52" s="45"/>
      <c r="O52" s="44"/>
      <c r="P52" s="62"/>
    </row>
    <row r="53" spans="6:16" x14ac:dyDescent="0.35">
      <c r="F53" s="51"/>
      <c r="G53" s="45"/>
      <c r="H53" s="45"/>
      <c r="I53" s="45"/>
      <c r="J53" s="45"/>
      <c r="K53" s="45"/>
      <c r="L53" s="45"/>
      <c r="M53" s="45"/>
      <c r="N53" s="45"/>
      <c r="O53" s="44"/>
      <c r="P53" s="62"/>
    </row>
    <row r="54" spans="6:16" x14ac:dyDescent="0.35">
      <c r="F54" s="51"/>
      <c r="G54" s="45"/>
      <c r="H54" s="45"/>
      <c r="I54" s="45"/>
      <c r="J54" s="45"/>
      <c r="K54" s="45"/>
      <c r="L54" s="45"/>
      <c r="M54" s="45"/>
      <c r="N54" s="45"/>
      <c r="O54" s="44"/>
      <c r="P54" s="62"/>
    </row>
    <row r="55" spans="6:16" x14ac:dyDescent="0.35">
      <c r="F55" s="51"/>
      <c r="G55" s="45"/>
      <c r="H55" s="45"/>
      <c r="I55" s="45"/>
      <c r="J55" s="45"/>
      <c r="K55" s="45"/>
      <c r="L55" s="45"/>
      <c r="M55" s="45"/>
      <c r="N55" s="45"/>
      <c r="O55" s="44"/>
      <c r="P55" s="62"/>
    </row>
    <row r="56" spans="6:16" x14ac:dyDescent="0.35">
      <c r="F56" s="51"/>
      <c r="G56" s="45"/>
      <c r="H56" s="45"/>
      <c r="I56" s="45"/>
      <c r="J56" s="45"/>
      <c r="K56" s="45"/>
      <c r="L56" s="45"/>
      <c r="M56" s="45"/>
      <c r="N56" s="45"/>
      <c r="O56" s="44"/>
      <c r="P56" s="62"/>
    </row>
    <row r="57" spans="6:16" x14ac:dyDescent="0.35">
      <c r="F57" s="51"/>
      <c r="G57" s="45"/>
      <c r="H57" s="45"/>
      <c r="I57" s="45"/>
      <c r="J57" s="45"/>
      <c r="K57" s="45"/>
      <c r="L57" s="45"/>
      <c r="M57" s="45"/>
      <c r="N57" s="45"/>
      <c r="O57" s="44"/>
      <c r="P57" s="62"/>
    </row>
    <row r="58" spans="6:16" x14ac:dyDescent="0.35">
      <c r="F58" s="51"/>
      <c r="G58" s="45"/>
      <c r="H58" s="45"/>
      <c r="I58" s="45"/>
      <c r="J58" s="45"/>
      <c r="K58" s="45"/>
      <c r="L58" s="45"/>
      <c r="M58" s="45"/>
      <c r="N58" s="45"/>
      <c r="O58" s="44"/>
      <c r="P58" s="62"/>
    </row>
    <row r="59" spans="6:16" x14ac:dyDescent="0.35">
      <c r="F59" s="51"/>
      <c r="G59" s="45"/>
      <c r="H59" s="45"/>
      <c r="I59" s="45"/>
      <c r="J59" s="45"/>
      <c r="K59" s="45"/>
      <c r="L59" s="45"/>
      <c r="M59" s="45"/>
      <c r="N59" s="45"/>
      <c r="O59" s="44"/>
      <c r="P59" s="62"/>
    </row>
    <row r="60" spans="6:16" x14ac:dyDescent="0.35">
      <c r="F60" s="51"/>
      <c r="G60" s="45"/>
      <c r="H60" s="45"/>
      <c r="I60" s="45"/>
      <c r="J60" s="45"/>
      <c r="K60" s="45"/>
      <c r="L60" s="45"/>
      <c r="M60" s="45"/>
      <c r="N60" s="45"/>
      <c r="O60" s="44"/>
      <c r="P60" s="62"/>
    </row>
    <row r="61" spans="6:16" x14ac:dyDescent="0.35">
      <c r="F61" s="51"/>
      <c r="G61" s="45"/>
      <c r="H61" s="45"/>
      <c r="I61" s="45"/>
      <c r="J61" s="45"/>
      <c r="K61" s="45"/>
      <c r="L61" s="45"/>
      <c r="M61" s="45"/>
      <c r="N61" s="45"/>
      <c r="O61" s="44"/>
      <c r="P61" s="62"/>
    </row>
    <row r="62" spans="6:16" x14ac:dyDescent="0.35">
      <c r="F62" s="51"/>
      <c r="G62" s="45"/>
      <c r="H62" s="45"/>
      <c r="I62" s="45"/>
      <c r="J62" s="45"/>
      <c r="K62" s="45"/>
      <c r="L62" s="45"/>
      <c r="M62" s="45"/>
      <c r="N62" s="45"/>
      <c r="O62" s="44"/>
      <c r="P62" s="62"/>
    </row>
    <row r="63" spans="6:16" x14ac:dyDescent="0.35">
      <c r="F63" s="51"/>
      <c r="G63" s="45"/>
      <c r="H63" s="45"/>
      <c r="I63" s="45"/>
      <c r="J63" s="45"/>
      <c r="K63" s="45"/>
      <c r="L63" s="45"/>
      <c r="M63" s="45"/>
      <c r="N63" s="45"/>
      <c r="O63" s="44"/>
      <c r="P63" s="62"/>
    </row>
    <row r="64" spans="6:16" x14ac:dyDescent="0.35">
      <c r="F64" s="51"/>
      <c r="G64" s="45"/>
      <c r="H64" s="45"/>
      <c r="I64" s="45"/>
      <c r="J64" s="45"/>
      <c r="K64" s="45"/>
      <c r="L64" s="45"/>
      <c r="M64" s="45"/>
      <c r="N64" s="45"/>
      <c r="O64" s="44"/>
      <c r="P64" s="62"/>
    </row>
    <row r="65" spans="2:35" x14ac:dyDescent="0.35">
      <c r="F65" s="52"/>
      <c r="G65" s="48"/>
      <c r="H65" s="48"/>
      <c r="I65" s="48"/>
      <c r="J65" s="48"/>
      <c r="K65" s="48"/>
      <c r="L65" s="48"/>
      <c r="M65" s="48"/>
      <c r="N65" s="48"/>
      <c r="O65" s="49"/>
      <c r="P65" s="63"/>
    </row>
    <row r="68" spans="2:35" x14ac:dyDescent="0.35">
      <c r="G68" s="36"/>
    </row>
    <row r="69" spans="2:35" x14ac:dyDescent="0.35">
      <c r="G69" s="36"/>
    </row>
    <row r="70" spans="2:35" x14ac:dyDescent="0.35">
      <c r="G70" s="36"/>
    </row>
    <row r="71" spans="2:35" x14ac:dyDescent="0.35">
      <c r="G71" s="36"/>
    </row>
    <row r="72" spans="2:35" x14ac:dyDescent="0.35">
      <c r="G72" s="36"/>
    </row>
    <row r="73" spans="2:35" x14ac:dyDescent="0.35">
      <c r="C73" s="4"/>
      <c r="K73" t="s">
        <v>79</v>
      </c>
    </row>
    <row r="74" spans="2:35" x14ac:dyDescent="0.35">
      <c r="C74" s="4"/>
      <c r="D74" s="66" t="s">
        <v>10</v>
      </c>
      <c r="E74" s="67"/>
      <c r="F74" s="67"/>
      <c r="G74" s="67"/>
      <c r="H74" s="68"/>
      <c r="AI74" t="s">
        <v>70</v>
      </c>
    </row>
    <row r="75" spans="2:35" x14ac:dyDescent="0.35">
      <c r="C75" s="18" t="s">
        <v>0</v>
      </c>
      <c r="D75" s="19" t="s">
        <v>75</v>
      </c>
      <c r="E75" s="19" t="s">
        <v>76</v>
      </c>
      <c r="F75" s="19" t="s">
        <v>77</v>
      </c>
      <c r="G75" s="19" t="s">
        <v>75</v>
      </c>
      <c r="H75" s="19" t="s">
        <v>78</v>
      </c>
    </row>
    <row r="76" spans="2:35" x14ac:dyDescent="0.35">
      <c r="B76" t="str" cm="1">
        <f t="array" ref="B76">[1]!encode_feed(C76,fw_,Rp_,,PVT_str_)</f>
        <v>{"gamma_gas":0.8,"gamma_oil":0.9,"gamma_wat":1,"rsb_m3m3":80,"pb_atma":120,"t_res_C":100,"bob_m3m3":1.2,"muob_cP":1,"q_liq_sm3day":1,"fw_perc":10,"rp_m3m3":80}</v>
      </c>
      <c r="C76" s="6">
        <v>1</v>
      </c>
      <c r="D76" s="26">
        <f t="array" ref="D76:H76">[1]!ESP_p_atma(Pintake_,Tintake_,0,B76,PumpID_,NumStage_,Freq_,,,,,gas_degr_type_,,$L$40)</f>
        <v>194.3427963325789</v>
      </c>
      <c r="E76" s="26">
        <v>80</v>
      </c>
      <c r="F76" s="26">
        <v>80</v>
      </c>
      <c r="G76" s="26">
        <v>194.3427963325789</v>
      </c>
      <c r="H76" s="50">
        <v>299</v>
      </c>
    </row>
    <row r="77" spans="2:35" x14ac:dyDescent="0.35">
      <c r="B77" t="str" cm="1">
        <f t="array" ref="B77">[1]!encode_feed(C77,fw_,Rp_,,PVT_str_)</f>
        <v>{"gamma_gas":0.8,"gamma_oil":0.9,"gamma_wat":1,"rsb_m3m3":80,"pb_atma":120,"t_res_C":100,"bob_m3m3":1.2,"muob_cP":1,"q_liq_sm3day":10.625,"fw_perc":10,"rp_m3m3":80}</v>
      </c>
      <c r="C77" s="6">
        <f t="shared" ref="C77:C96" si="0">C76+Qmax_/20</f>
        <v>10.625</v>
      </c>
      <c r="D77" s="26">
        <f t="array" ref="D77:H77">[1]!ESP_p_atma(Pintake_,Tintake_,0,B77,PumpID_,NumStage_,Freq_,,,,,gas_degr_type_,,$L$40)</f>
        <v>238.47378958893481</v>
      </c>
      <c r="E77" s="26">
        <v>80</v>
      </c>
      <c r="F77" s="26">
        <v>80</v>
      </c>
      <c r="G77" s="26">
        <v>238.47378958893481</v>
      </c>
      <c r="H77" s="50">
        <v>143.33378564550202</v>
      </c>
    </row>
    <row r="78" spans="2:35" x14ac:dyDescent="0.35">
      <c r="B78" t="str" cm="1">
        <f t="array" ref="B78">[1]!encode_feed(C78,fw_,Rp_,,PVT_str_)</f>
        <v>{"gamma_gas":0.8,"gamma_oil":0.9,"gamma_wat":1,"rsb_m3m3":80,"pb_atma":120,"t_res_C":100,"bob_m3m3":1.2,"muob_cP":1,"q_liq_sm3day":20.25,"fw_perc":10,"rp_m3m3":80}</v>
      </c>
      <c r="C78" s="6">
        <f t="shared" si="0"/>
        <v>20.25</v>
      </c>
      <c r="D78" s="26">
        <f t="array" ref="D78:H78">[1]!ESP_p_atma(Pintake_,Tintake_,0,B78,PumpID_,NumStage_,Freq_,,,,,gas_degr_type_,,$L$40)</f>
        <v>241.29608689817854</v>
      </c>
      <c r="E78" s="26">
        <v>80</v>
      </c>
      <c r="F78" s="26">
        <v>80</v>
      </c>
      <c r="G78" s="26">
        <v>241.29608689817854</v>
      </c>
      <c r="H78" s="50">
        <v>111.9330430850821</v>
      </c>
    </row>
    <row r="79" spans="2:35" x14ac:dyDescent="0.35">
      <c r="B79" t="str" cm="1">
        <f t="array" ref="B79">[1]!encode_feed(C79,fw_,Rp_,,PVT_str_)</f>
        <v>{"gamma_gas":0.8,"gamma_oil":0.9,"gamma_wat":1,"rsb_m3m3":80,"pb_atma":120,"t_res_C":100,"bob_m3m3":1.2,"muob_cP":1,"q_liq_sm3day":29.875,"fw_perc":10,"rp_m3m3":80}</v>
      </c>
      <c r="C79" s="6">
        <f t="shared" si="0"/>
        <v>29.875</v>
      </c>
      <c r="D79" s="26">
        <f t="array" ref="D79:H79">[1]!ESP_p_atma(Pintake_,Tintake_,0,B79,PumpID_,NumStage_,Freq_,,,,,gas_degr_type_,,$L$40)</f>
        <v>241.87138208731506</v>
      </c>
      <c r="E79" s="26">
        <v>80</v>
      </c>
      <c r="F79" s="26">
        <v>80</v>
      </c>
      <c r="G79" s="26">
        <v>241.87138208731506</v>
      </c>
      <c r="H79" s="50">
        <v>100.12097230808546</v>
      </c>
    </row>
    <row r="80" spans="2:35" x14ac:dyDescent="0.35">
      <c r="B80" t="str" cm="1">
        <f t="array" ref="B80">[1]!encode_feed(C80,fw_,Rp_,,PVT_str_)</f>
        <v>{"gamma_gas":0.8,"gamma_oil":0.9,"gamma_wat":1,"rsb_m3m3":80,"pb_atma":120,"t_res_C":100,"bob_m3m3":1.2,"muob_cP":1,"q_liq_sm3day":39.5,"fw_perc":10,"rp_m3m3":80}</v>
      </c>
      <c r="C80" s="6">
        <f t="shared" si="0"/>
        <v>39.5</v>
      </c>
      <c r="D80" s="26">
        <f t="array" ref="D80:H80">[1]!ESP_p_atma(Pintake_,Tintake_,0,B80,PumpID_,NumStage_,Freq_,,,,,gas_degr_type_,,$L$40)</f>
        <v>241.22780741544159</v>
      </c>
      <c r="E80" s="26">
        <v>80</v>
      </c>
      <c r="F80" s="26">
        <v>80</v>
      </c>
      <c r="G80" s="26">
        <v>241.22780741544159</v>
      </c>
      <c r="H80" s="50">
        <v>93.864431182181065</v>
      </c>
    </row>
    <row r="81" spans="2:36" x14ac:dyDescent="0.35">
      <c r="B81" t="str" cm="1">
        <f t="array" ref="B81">[1]!encode_feed(C81,fw_,Rp_,,PVT_str_)</f>
        <v>{"gamma_gas":0.8,"gamma_oil":0.9,"gamma_wat":1,"rsb_m3m3":80,"pb_atma":120,"t_res_C":100,"bob_m3m3":1.2,"muob_cP":1,"q_liq_sm3day":49.125,"fw_perc":10,"rp_m3m3":80}</v>
      </c>
      <c r="C81" s="6">
        <f t="shared" si="0"/>
        <v>49.125</v>
      </c>
      <c r="D81" s="26">
        <f t="array" ref="D81:H81">[1]!ESP_p_atma(Pintake_,Tintake_,0,B81,PumpID_,NumStage_,Freq_,,,,,gas_degr_type_,,$L$40)</f>
        <v>239.48424722253338</v>
      </c>
      <c r="E81" s="26">
        <v>80</v>
      </c>
      <c r="F81" s="26">
        <v>80</v>
      </c>
      <c r="G81" s="26">
        <v>239.48424722253338</v>
      </c>
      <c r="H81" s="50">
        <v>90.03144003013044</v>
      </c>
    </row>
    <row r="82" spans="2:36" x14ac:dyDescent="0.35">
      <c r="B82" t="str" cm="1">
        <f t="array" ref="B82">[1]!encode_feed(C82,fw_,Rp_,,PVT_str_)</f>
        <v>{"gamma_gas":0.8,"gamma_oil":0.9,"gamma_wat":1,"rsb_m3m3":80,"pb_atma":120,"t_res_C":100,"bob_m3m3":1.2,"muob_cP":1,"q_liq_sm3day":58.75,"fw_perc":10,"rp_m3m3":80}</v>
      </c>
      <c r="C82" s="6">
        <f t="shared" si="0"/>
        <v>58.75</v>
      </c>
      <c r="D82" s="26">
        <f t="array" ref="D82:H82">[1]!ESP_p_atma(Pintake_,Tintake_,0,B82,PumpID_,NumStage_,Freq_,,,,,gas_degr_type_,,$L$40)</f>
        <v>236.3391084178667</v>
      </c>
      <c r="E82" s="26">
        <v>80</v>
      </c>
      <c r="F82" s="26">
        <v>80</v>
      </c>
      <c r="G82" s="26">
        <v>236.3391084178667</v>
      </c>
      <c r="H82" s="50">
        <v>87.546066306649493</v>
      </c>
    </row>
    <row r="83" spans="2:36" x14ac:dyDescent="0.35">
      <c r="B83" t="str" cm="1">
        <f t="array" ref="B83">[1]!encode_feed(C83,fw_,Rp_,,PVT_str_)</f>
        <v>{"gamma_gas":0.8,"gamma_oil":0.9,"gamma_wat":1,"rsb_m3m3":80,"pb_atma":120,"t_res_C":100,"bob_m3m3":1.2,"muob_cP":1,"q_liq_sm3day":68.375,"fw_perc":10,"rp_m3m3":80}</v>
      </c>
      <c r="C83" s="6">
        <f t="shared" si="0"/>
        <v>68.375</v>
      </c>
      <c r="D83" s="26">
        <f t="array" ref="D83:H83">[1]!ESP_p_atma(Pintake_,Tintake_,0,B83,PumpID_,NumStage_,Freq_,,,,,gas_degr_type_,,$L$40)</f>
        <v>230.26735838896255</v>
      </c>
      <c r="E83" s="26">
        <v>80</v>
      </c>
      <c r="F83" s="26">
        <v>80</v>
      </c>
      <c r="G83" s="26">
        <v>230.26735838896255</v>
      </c>
      <c r="H83" s="50">
        <v>85.954163710560024</v>
      </c>
    </row>
    <row r="84" spans="2:36" x14ac:dyDescent="0.35">
      <c r="B84" t="str" cm="1">
        <f t="array" ref="B84">[1]!encode_feed(C84,fw_,Rp_,,PVT_str_)</f>
        <v>{"gamma_gas":0.8,"gamma_oil":0.9,"gamma_wat":1,"rsb_m3m3":80,"pb_atma":120,"t_res_C":100,"bob_m3m3":1.2,"muob_cP":1,"q_liq_sm3day":78,"fw_perc":10,"rp_m3m3":80}</v>
      </c>
      <c r="C84" s="6">
        <f t="shared" si="0"/>
        <v>78</v>
      </c>
      <c r="D84" s="26">
        <f t="array" ref="D84:H84">[1]!ESP_p_atma(Pintake_,Tintake_,0,B84,PumpID_,NumStage_,Freq_,,,,,gas_degr_type_,,$L$40)</f>
        <v>220.53521740778302</v>
      </c>
      <c r="E84" s="26">
        <v>80</v>
      </c>
      <c r="F84" s="26">
        <v>80</v>
      </c>
      <c r="G84" s="26">
        <v>220.53521740778302</v>
      </c>
      <c r="H84" s="50">
        <v>85.050908579638602</v>
      </c>
    </row>
    <row r="85" spans="2:36" x14ac:dyDescent="0.35">
      <c r="B85" t="str" cm="1">
        <f t="array" ref="B85">[1]!encode_feed(C85,fw_,Rp_,,PVT_str_)</f>
        <v>{"gamma_gas":0.8,"gamma_oil":0.9,"gamma_wat":1,"rsb_m3m3":80,"pb_atma":120,"t_res_C":100,"bob_m3m3":1.2,"muob_cP":1,"q_liq_sm3day":87.625,"fw_perc":10,"rp_m3m3":80}</v>
      </c>
      <c r="C85" s="6">
        <f t="shared" si="0"/>
        <v>87.625</v>
      </c>
      <c r="D85" s="26">
        <f t="array" ref="D85:H85">[1]!ESP_p_atma(Pintake_,Tintake_,0,B85,PumpID_,NumStage_,Freq_,,,,,gas_degr_type_,,$L$40)</f>
        <v>207.9389124165854</v>
      </c>
      <c r="E85" s="26">
        <v>80</v>
      </c>
      <c r="F85" s="26">
        <v>80</v>
      </c>
      <c r="G85" s="26">
        <v>207.9389124165854</v>
      </c>
      <c r="H85" s="50">
        <v>84.650410033909594</v>
      </c>
      <c r="AJ85" s="35"/>
    </row>
    <row r="86" spans="2:36" x14ac:dyDescent="0.35">
      <c r="B86" t="str" cm="1">
        <f t="array" ref="B86">[1]!encode_feed(C86,fw_,Rp_,,PVT_str_)</f>
        <v>{"gamma_gas":0.8,"gamma_oil":0.9,"gamma_wat":1,"rsb_m3m3":80,"pb_atma":120,"t_res_C":100,"bob_m3m3":1.2,"muob_cP":1,"q_liq_sm3day":97.25,"fw_perc":10,"rp_m3m3":80}</v>
      </c>
      <c r="C86" s="6">
        <f t="shared" si="0"/>
        <v>97.25</v>
      </c>
      <c r="D86" s="26">
        <f t="array" ref="D86:H86">[1]!ESP_p_atma(Pintake_,Tintake_,0,B86,PumpID_,NumStage_,Freq_,,,,,gas_degr_type_,,$L$40)</f>
        <v>193.19371386023695</v>
      </c>
      <c r="E86" s="26">
        <v>80</v>
      </c>
      <c r="F86" s="26">
        <v>80</v>
      </c>
      <c r="G86" s="26">
        <v>193.19371386023695</v>
      </c>
      <c r="H86" s="50">
        <v>84.575211397861366</v>
      </c>
      <c r="AJ86" s="35"/>
    </row>
    <row r="87" spans="2:36" x14ac:dyDescent="0.35">
      <c r="B87" t="str" cm="1">
        <f t="array" ref="B87">[1]!encode_feed(C87,fw_,Rp_,,PVT_str_)</f>
        <v>{"gamma_gas":0.8,"gamma_oil":0.9,"gamma_wat":1,"rsb_m3m3":80,"pb_atma":120,"t_res_C":100,"bob_m3m3":1.2,"muob_cP":1,"q_liq_sm3day":106.875,"fw_perc":10,"rp_m3m3":80}</v>
      </c>
      <c r="C87" s="6">
        <f t="shared" si="0"/>
        <v>106.875</v>
      </c>
      <c r="D87" s="26">
        <f t="array" ref="D87:H87">[1]!ESP_p_atma(Pintake_,Tintake_,0,B87,PumpID_,NumStage_,Freq_,,,,,gas_degr_type_,,$L$40)</f>
        <v>176.29815061618643</v>
      </c>
      <c r="E87" s="26">
        <v>80</v>
      </c>
      <c r="F87" s="26">
        <v>80</v>
      </c>
      <c r="G87" s="26">
        <v>176.29815061618643</v>
      </c>
      <c r="H87" s="50">
        <v>84.728486238780903</v>
      </c>
      <c r="AJ87" s="35"/>
    </row>
    <row r="88" spans="2:36" x14ac:dyDescent="0.35">
      <c r="B88" t="str" cm="1">
        <f t="array" ref="B88">[1]!encode_feed(C88,fw_,Rp_,,PVT_str_)</f>
        <v>{"gamma_gas":0.8,"gamma_oil":0.9,"gamma_wat":1,"rsb_m3m3":80,"pb_atma":120,"t_res_C":100,"bob_m3m3":1.2,"muob_cP":1,"q_liq_sm3day":116.5,"fw_perc":10,"rp_m3m3":80}</v>
      </c>
      <c r="C88" s="6">
        <f t="shared" si="0"/>
        <v>116.5</v>
      </c>
      <c r="D88" s="26">
        <f t="array" ref="D88:H88">[1]!ESP_p_atma(Pintake_,Tintake_,0,B88,PumpID_,NumStage_,Freq_,,,,,gas_degr_type_,,$L$40)</f>
        <v>156.46425566759802</v>
      </c>
      <c r="E88" s="26">
        <v>80</v>
      </c>
      <c r="F88" s="26">
        <v>80</v>
      </c>
      <c r="G88" s="26">
        <v>156.46425566759802</v>
      </c>
      <c r="H88" s="50">
        <v>85.109140937547949</v>
      </c>
      <c r="AJ88" s="35"/>
    </row>
    <row r="89" spans="2:36" x14ac:dyDescent="0.35">
      <c r="B89" t="str" cm="1">
        <f t="array" ref="B89">[1]!encode_feed(C89,fw_,Rp_,,PVT_str_)</f>
        <v>{"gamma_gas":0.8,"gamma_oil":0.9,"gamma_wat":1,"rsb_m3m3":80,"pb_atma":120,"t_res_C":100,"bob_m3m3":1.2,"muob_cP":1,"q_liq_sm3day":126.125,"fw_perc":10,"rp_m3m3":80}</v>
      </c>
      <c r="C89" s="6">
        <f t="shared" si="0"/>
        <v>126.125</v>
      </c>
      <c r="D89" s="26">
        <f t="array" ref="D89:H89">[1]!ESP_p_atma(Pintake_,Tintake_,0,B89,PumpID_,NumStage_,Freq_,,,,,gas_degr_type_,,$L$40)</f>
        <v>129.31149122028006</v>
      </c>
      <c r="E89" s="26">
        <v>80</v>
      </c>
      <c r="F89" s="26">
        <v>80</v>
      </c>
      <c r="G89" s="26">
        <v>129.31149122028006</v>
      </c>
      <c r="H89" s="50">
        <v>85.851999645031327</v>
      </c>
      <c r="AJ89" s="35"/>
    </row>
    <row r="90" spans="2:36" x14ac:dyDescent="0.35">
      <c r="B90" t="str" cm="1">
        <f t="array" ref="B90">[1]!encode_feed(C90,fw_,Rp_,,PVT_str_)</f>
        <v>{"gamma_gas":0.8,"gamma_oil":0.9,"gamma_wat":1,"rsb_m3m3":80,"pb_atma":120,"t_res_C":100,"bob_m3m3":1.2,"muob_cP":1,"q_liq_sm3day":135.75,"fw_perc":10,"rp_m3m3":80}</v>
      </c>
      <c r="C90" s="6">
        <f t="shared" si="0"/>
        <v>135.75</v>
      </c>
      <c r="D90" s="26">
        <f t="array" ref="D90:H90">[1]!ESP_p_atma(Pintake_,Tintake_,0,B90,PumpID_,NumStage_,Freq_,,,,,gas_degr_type_,,$L$40)</f>
        <v>75.925668009780608</v>
      </c>
      <c r="E90" s="26">
        <v>80</v>
      </c>
      <c r="F90" s="26">
        <v>80</v>
      </c>
      <c r="G90" s="26">
        <v>75.925668009780608</v>
      </c>
      <c r="H90" s="50">
        <v>80</v>
      </c>
      <c r="AJ90" s="35"/>
    </row>
    <row r="91" spans="2:36" x14ac:dyDescent="0.35">
      <c r="B91" t="str" cm="1">
        <f t="array" ref="B91">[1]!encode_feed(C91,fw_,Rp_,,PVT_str_)</f>
        <v>{"gamma_gas":0.8,"gamma_oil":0.9,"gamma_wat":1,"rsb_m3m3":80,"pb_atma":120,"t_res_C":100,"bob_m3m3":1.2,"muob_cP":1,"q_liq_sm3day":145.375,"fw_perc":10,"rp_m3m3":80}</v>
      </c>
      <c r="C91" s="6">
        <f t="shared" si="0"/>
        <v>145.375</v>
      </c>
      <c r="D91" s="26">
        <f t="array" ref="D91:H91">[1]!ESP_p_atma(Pintake_,Tintake_,0,B91,PumpID_,NumStage_,Freq_,,,,,gas_degr_type_,,$L$40)</f>
        <v>0.9</v>
      </c>
      <c r="E91" s="26">
        <v>80</v>
      </c>
      <c r="F91" s="26">
        <v>80</v>
      </c>
      <c r="G91" s="26">
        <v>0.9</v>
      </c>
      <c r="H91" s="50">
        <v>80</v>
      </c>
      <c r="AJ91" s="35"/>
    </row>
    <row r="92" spans="2:36" x14ac:dyDescent="0.35">
      <c r="B92" t="str" cm="1">
        <f t="array" ref="B92">[1]!encode_feed(C92,fw_,Rp_,,PVT_str_)</f>
        <v>{"gamma_gas":0.8,"gamma_oil":0.9,"gamma_wat":1,"rsb_m3m3":80,"pb_atma":120,"t_res_C":100,"bob_m3m3":1.2,"muob_cP":1,"q_liq_sm3day":155,"fw_perc":10,"rp_m3m3":80}</v>
      </c>
      <c r="C92" s="6">
        <f t="shared" si="0"/>
        <v>155</v>
      </c>
      <c r="D92" s="26">
        <f t="array" ref="D92:H92">[1]!ESP_p_atma(Pintake_,Tintake_,0,B92,PumpID_,NumStage_,Freq_,,,,,gas_degr_type_,,$L$40)</f>
        <v>0.9</v>
      </c>
      <c r="E92" s="26">
        <v>80</v>
      </c>
      <c r="F92" s="26">
        <v>80</v>
      </c>
      <c r="G92" s="26">
        <v>0.9</v>
      </c>
      <c r="H92" s="50">
        <v>80</v>
      </c>
      <c r="AJ92" s="35"/>
    </row>
    <row r="93" spans="2:36" x14ac:dyDescent="0.35">
      <c r="B93" t="str" cm="1">
        <f t="array" ref="B93">[1]!encode_feed(C93,fw_,Rp_,,PVT_str_)</f>
        <v>{"gamma_gas":0.8,"gamma_oil":0.9,"gamma_wat":1,"rsb_m3m3":80,"pb_atma":120,"t_res_C":100,"bob_m3m3":1.2,"muob_cP":1,"q_liq_sm3day":164.625,"fw_perc":10,"rp_m3m3":80}</v>
      </c>
      <c r="C93" s="6">
        <f t="shared" si="0"/>
        <v>164.625</v>
      </c>
      <c r="D93" s="26">
        <f t="array" ref="D93:H93">[1]!ESP_p_atma(Pintake_,Tintake_,0,B93,PumpID_,NumStage_,Freq_,,,,,gas_degr_type_,,$L$40)</f>
        <v>0.9</v>
      </c>
      <c r="E93" s="26">
        <v>80</v>
      </c>
      <c r="F93" s="26">
        <v>80</v>
      </c>
      <c r="G93" s="26">
        <v>0.9</v>
      </c>
      <c r="H93" s="50">
        <v>80</v>
      </c>
      <c r="AJ93" s="35"/>
    </row>
    <row r="94" spans="2:36" x14ac:dyDescent="0.35">
      <c r="B94" t="str" cm="1">
        <f t="array" ref="B94">[1]!encode_feed(C94,fw_,Rp_,,PVT_str_)</f>
        <v>{"gamma_gas":0.8,"gamma_oil":0.9,"gamma_wat":1,"rsb_m3m3":80,"pb_atma":120,"t_res_C":100,"bob_m3m3":1.2,"muob_cP":1,"q_liq_sm3day":174.25,"fw_perc":10,"rp_m3m3":80}</v>
      </c>
      <c r="C94" s="6">
        <f t="shared" si="0"/>
        <v>174.25</v>
      </c>
      <c r="D94" s="26">
        <f t="array" ref="D94:H94">[1]!ESP_p_atma(Pintake_,Tintake_,0,B94,PumpID_,NumStage_,Freq_,,,,,gas_degr_type_,,$L$40)</f>
        <v>0.9</v>
      </c>
      <c r="E94" s="26">
        <v>80</v>
      </c>
      <c r="F94" s="26">
        <v>80</v>
      </c>
      <c r="G94" s="26">
        <v>0.9</v>
      </c>
      <c r="H94" s="50">
        <v>80</v>
      </c>
      <c r="AJ94" s="35"/>
    </row>
    <row r="95" spans="2:36" x14ac:dyDescent="0.35">
      <c r="B95" t="str" cm="1">
        <f t="array" ref="B95">[1]!encode_feed(C95,fw_,Rp_,,PVT_str_)</f>
        <v>{"gamma_gas":0.8,"gamma_oil":0.9,"gamma_wat":1,"rsb_m3m3":80,"pb_atma":120,"t_res_C":100,"bob_m3m3":1.2,"muob_cP":1,"q_liq_sm3day":183.875,"fw_perc":10,"rp_m3m3":80}</v>
      </c>
      <c r="C95" s="6">
        <f t="shared" si="0"/>
        <v>183.875</v>
      </c>
      <c r="D95" s="26">
        <f t="array" ref="D95:H95">[1]!ESP_p_atma(Pintake_,Tintake_,0,B95,PumpID_,NumStage_,Freq_,,,,,gas_degr_type_,,$L$40)</f>
        <v>0.9</v>
      </c>
      <c r="E95" s="26">
        <v>80</v>
      </c>
      <c r="F95" s="26">
        <v>80</v>
      </c>
      <c r="G95" s="26">
        <v>0.9</v>
      </c>
      <c r="H95" s="50">
        <v>80</v>
      </c>
    </row>
    <row r="96" spans="2:36" x14ac:dyDescent="0.35">
      <c r="B96" t="str" cm="1">
        <f t="array" ref="B96">[1]!encode_feed(C96,fw_,Rp_,,PVT_str_)</f>
        <v>{"gamma_gas":0.8,"gamma_oil":0.9,"gamma_wat":1,"rsb_m3m3":80,"pb_atma":120,"t_res_C":100,"bob_m3m3":1.2,"muob_cP":1,"q_liq_sm3day":193.5,"fw_perc":10,"rp_m3m3":80}</v>
      </c>
      <c r="C96" s="6">
        <f t="shared" si="0"/>
        <v>193.5</v>
      </c>
      <c r="D96" s="26">
        <f t="array" ref="D96:H96">[1]!ESP_p_atma(Pintake_,Tintake_,0,B96,PumpID_,NumStage_,Freq_,,,,,gas_degr_type_,,$L$40)</f>
        <v>0.9</v>
      </c>
      <c r="E96" s="26">
        <v>80</v>
      </c>
      <c r="F96" s="26">
        <v>80</v>
      </c>
      <c r="G96" s="26">
        <v>0.9</v>
      </c>
      <c r="H96" s="50">
        <v>80</v>
      </c>
    </row>
    <row r="97" spans="2:8" x14ac:dyDescent="0.35">
      <c r="D97" s="24"/>
      <c r="E97" s="24"/>
      <c r="F97" s="24"/>
      <c r="G97" s="25"/>
      <c r="H97" s="26"/>
    </row>
    <row r="102" spans="2:8" x14ac:dyDescent="0.35">
      <c r="C102" s="4"/>
      <c r="D102" s="66" t="s">
        <v>11</v>
      </c>
      <c r="E102" s="67"/>
      <c r="F102" s="67"/>
      <c r="G102" s="67"/>
      <c r="H102" s="68"/>
    </row>
    <row r="103" spans="2:8" x14ac:dyDescent="0.35">
      <c r="C103" s="18" t="s">
        <v>0</v>
      </c>
      <c r="D103" s="19" t="s">
        <v>75</v>
      </c>
      <c r="E103" s="19" t="s">
        <v>76</v>
      </c>
      <c r="F103" s="19" t="s">
        <v>77</v>
      </c>
      <c r="G103" s="19" t="s">
        <v>75</v>
      </c>
      <c r="H103" s="19" t="s">
        <v>78</v>
      </c>
    </row>
    <row r="104" spans="2:8" x14ac:dyDescent="0.35">
      <c r="B104" t="str" cm="1">
        <f t="array" ref="B104">[1]!encode_feed(C104,fw_,Rp_,,PVT_str_)</f>
        <v>{"gamma_gas":0.8,"gamma_oil":0.9,"gamma_wat":1,"rsb_m3m3":80,"pb_atma":120,"t_res_C":100,"bob_m3m3":1.2,"muob_cP":1,"q_liq_sm3day":1,"fw_perc":10,"rp_m3m3":80}</v>
      </c>
      <c r="C104" s="6">
        <f t="shared" ref="C104:C124" si="1">C76</f>
        <v>1</v>
      </c>
      <c r="D104" s="26">
        <f t="array" ref="D104:H104">[1]!ESP_p_atma($C$41,Tintake_,Tintake_,B76,PumpID_,NumStage_,Freq_,0,,,,gas_degr_type_,,$L$40)</f>
        <v>28.906627181664426</v>
      </c>
      <c r="E104" s="26">
        <v>28.906627181664426</v>
      </c>
      <c r="F104" s="26">
        <v>80</v>
      </c>
      <c r="G104" s="25">
        <v>150</v>
      </c>
      <c r="H104" s="26">
        <v>80</v>
      </c>
    </row>
    <row r="105" spans="2:8" x14ac:dyDescent="0.35">
      <c r="B105" t="str" cm="1">
        <f t="array" ref="B105">[1]!encode_feed(C105,fw_,Rp_,,PVT_str_)</f>
        <v>{"gamma_gas":0.8,"gamma_oil":0.9,"gamma_wat":1,"rsb_m3m3":80,"pb_atma":120,"t_res_C":100,"bob_m3m3":1.2,"muob_cP":1,"q_liq_sm3day":10.625,"fw_perc":10,"rp_m3m3":80}</v>
      </c>
      <c r="C105" s="6">
        <f t="shared" si="1"/>
        <v>10.625</v>
      </c>
      <c r="D105" s="26">
        <f t="array" ref="D105:H105">[1]!ESP_p_atma($C$41,Tintake_,Tintake_,B77,PumpID_,NumStage_,Freq_,0,,,,gas_degr_type_,,$L$40)</f>
        <v>28.276221008836238</v>
      </c>
      <c r="E105" s="26">
        <v>28.276221008836238</v>
      </c>
      <c r="F105" s="26">
        <v>80</v>
      </c>
      <c r="G105" s="25">
        <v>150</v>
      </c>
      <c r="H105" s="26">
        <v>80</v>
      </c>
    </row>
    <row r="106" spans="2:8" x14ac:dyDescent="0.35">
      <c r="B106" t="str" cm="1">
        <f t="array" ref="B106">[1]!encode_feed(C106,fw_,Rp_,,PVT_str_)</f>
        <v>{"gamma_gas":0.8,"gamma_oil":0.9,"gamma_wat":1,"rsb_m3m3":80,"pb_atma":120,"t_res_C":100,"bob_m3m3":1.2,"muob_cP":1,"q_liq_sm3day":20.25,"fw_perc":10,"rp_m3m3":80}</v>
      </c>
      <c r="C106" s="6">
        <f t="shared" si="1"/>
        <v>20.25</v>
      </c>
      <c r="D106" s="26">
        <f t="array" ref="D106:H106">[1]!ESP_p_atma($C$41,Tintake_,Tintake_,B78,PumpID_,NumStage_,Freq_,0,,,,gas_degr_type_,,$L$40)</f>
        <v>28.414619677076921</v>
      </c>
      <c r="E106" s="26">
        <v>28.414619677076921</v>
      </c>
      <c r="F106" s="26">
        <v>80</v>
      </c>
      <c r="G106" s="25">
        <v>150</v>
      </c>
      <c r="H106" s="26">
        <v>80</v>
      </c>
    </row>
    <row r="107" spans="2:8" x14ac:dyDescent="0.35">
      <c r="B107" t="str" cm="1">
        <f t="array" ref="B107">[1]!encode_feed(C107,fw_,Rp_,,PVT_str_)</f>
        <v>{"gamma_gas":0.8,"gamma_oil":0.9,"gamma_wat":1,"rsb_m3m3":80,"pb_atma":120,"t_res_C":100,"bob_m3m3":1.2,"muob_cP":1,"q_liq_sm3day":29.875,"fw_perc":10,"rp_m3m3":80}</v>
      </c>
      <c r="C107" s="6">
        <f t="shared" si="1"/>
        <v>29.875</v>
      </c>
      <c r="D107" s="26">
        <f t="array" ref="D107:H107">[1]!ESP_p_atma($C$41,Tintake_,Tintake_,B79,PumpID_,NumStage_,Freq_,0,,,,gas_degr_type_,,$L$40)</f>
        <v>29.559913240122473</v>
      </c>
      <c r="E107" s="26">
        <v>29.559913240122473</v>
      </c>
      <c r="F107" s="26">
        <v>80</v>
      </c>
      <c r="G107" s="25">
        <v>150</v>
      </c>
      <c r="H107" s="26">
        <v>80</v>
      </c>
    </row>
    <row r="108" spans="2:8" x14ac:dyDescent="0.35">
      <c r="B108" t="str" cm="1">
        <f t="array" ref="B108">[1]!encode_feed(C108,fw_,Rp_,,PVT_str_)</f>
        <v>{"gamma_gas":0.8,"gamma_oil":0.9,"gamma_wat":1,"rsb_m3m3":80,"pb_atma":120,"t_res_C":100,"bob_m3m3":1.2,"muob_cP":1,"q_liq_sm3day":39.5,"fw_perc":10,"rp_m3m3":80}</v>
      </c>
      <c r="C108" s="6">
        <f t="shared" si="1"/>
        <v>39.5</v>
      </c>
      <c r="D108" s="26">
        <f t="array" ref="D108:H108">[1]!ESP_p_atma($C$41,Tintake_,Tintake_,B80,PumpID_,NumStage_,Freq_,0,,,,gas_degr_type_,,$L$40)</f>
        <v>32.024554375349467</v>
      </c>
      <c r="E108" s="26">
        <v>32.024554375349467</v>
      </c>
      <c r="F108" s="26">
        <v>80</v>
      </c>
      <c r="G108" s="25">
        <v>150</v>
      </c>
      <c r="H108" s="26">
        <v>80</v>
      </c>
    </row>
    <row r="109" spans="2:8" x14ac:dyDescent="0.35">
      <c r="B109" t="str" cm="1">
        <f t="array" ref="B109">[1]!encode_feed(C109,fw_,Rp_,,PVT_str_)</f>
        <v>{"gamma_gas":0.8,"gamma_oil":0.9,"gamma_wat":1,"rsb_m3m3":80,"pb_atma":120,"t_res_C":100,"bob_m3m3":1.2,"muob_cP":1,"q_liq_sm3day":49.125,"fw_perc":10,"rp_m3m3":80}</v>
      </c>
      <c r="C109" s="6">
        <f t="shared" si="1"/>
        <v>49.125</v>
      </c>
      <c r="D109" s="26">
        <f t="array" ref="D109:H109">[1]!ESP_p_atma($C$41,Tintake_,Tintake_,B81,PumpID_,NumStage_,Freq_,0,,,,gas_degr_type_,,$L$40)</f>
        <v>35.479867146179259</v>
      </c>
      <c r="E109" s="26">
        <v>35.479867146179259</v>
      </c>
      <c r="F109" s="26">
        <v>80</v>
      </c>
      <c r="G109" s="25">
        <v>150</v>
      </c>
      <c r="H109" s="26">
        <v>80</v>
      </c>
    </row>
    <row r="110" spans="2:8" x14ac:dyDescent="0.35">
      <c r="B110" t="str" cm="1">
        <f t="array" ref="B110">[1]!encode_feed(C110,fw_,Rp_,,PVT_str_)</f>
        <v>{"gamma_gas":0.8,"gamma_oil":0.9,"gamma_wat":1,"rsb_m3m3":80,"pb_atma":120,"t_res_C":100,"bob_m3m3":1.2,"muob_cP":1,"q_liq_sm3day":58.75,"fw_perc":10,"rp_m3m3":80}</v>
      </c>
      <c r="C110" s="6">
        <f t="shared" si="1"/>
        <v>58.75</v>
      </c>
      <c r="D110" s="26">
        <f t="array" ref="D110:H110">[1]!ESP_p_atma($C$41,Tintake_,Tintake_,B82,PumpID_,NumStage_,Freq_,0,,,,gas_degr_type_,,$L$40)</f>
        <v>39.667177193789158</v>
      </c>
      <c r="E110" s="26">
        <v>39.667177193789158</v>
      </c>
      <c r="F110" s="26">
        <v>80</v>
      </c>
      <c r="G110" s="25">
        <v>150</v>
      </c>
      <c r="H110" s="26">
        <v>80</v>
      </c>
    </row>
    <row r="111" spans="2:8" x14ac:dyDescent="0.35">
      <c r="B111" t="str" cm="1">
        <f t="array" ref="B111">[1]!encode_feed(C111,fw_,Rp_,,PVT_str_)</f>
        <v>{"gamma_gas":0.8,"gamma_oil":0.9,"gamma_wat":1,"rsb_m3m3":80,"pb_atma":120,"t_res_C":100,"bob_m3m3":1.2,"muob_cP":1,"q_liq_sm3day":68.375,"fw_perc":10,"rp_m3m3":80}</v>
      </c>
      <c r="C111" s="6">
        <f t="shared" si="1"/>
        <v>68.375</v>
      </c>
      <c r="D111" s="26">
        <f t="array" ref="D111:H111">[1]!ESP_p_atma($C$41,Tintake_,Tintake_,B83,PumpID_,NumStage_,Freq_,0,,,,gas_degr_type_,,$L$40)</f>
        <v>44.511793582136029</v>
      </c>
      <c r="E111" s="26">
        <v>44.511793582136029</v>
      </c>
      <c r="F111" s="26">
        <v>80</v>
      </c>
      <c r="G111" s="25">
        <v>150</v>
      </c>
      <c r="H111" s="26">
        <v>80</v>
      </c>
    </row>
    <row r="112" spans="2:8" x14ac:dyDescent="0.35">
      <c r="B112" t="str" cm="1">
        <f t="array" ref="B112">[1]!encode_feed(C112,fw_,Rp_,,PVT_str_)</f>
        <v>{"gamma_gas":0.8,"gamma_oil":0.9,"gamma_wat":1,"rsb_m3m3":80,"pb_atma":120,"t_res_C":100,"bob_m3m3":1.2,"muob_cP":1,"q_liq_sm3day":78,"fw_perc":10,"rp_m3m3":80}</v>
      </c>
      <c r="C112" s="6">
        <f t="shared" si="1"/>
        <v>78</v>
      </c>
      <c r="D112" s="26">
        <f t="array" ref="D112:H112">[1]!ESP_p_atma($C$41,Tintake_,Tintake_,B84,PumpID_,NumStage_,Freq_,0,,,,gas_degr_type_,,$L$40)</f>
        <v>49.94721471303653</v>
      </c>
      <c r="E112" s="26">
        <v>49.94721471303653</v>
      </c>
      <c r="F112" s="26">
        <v>80</v>
      </c>
      <c r="G112" s="25">
        <v>150</v>
      </c>
      <c r="H112" s="26">
        <v>80</v>
      </c>
    </row>
    <row r="113" spans="2:8" x14ac:dyDescent="0.35">
      <c r="B113" t="str" cm="1">
        <f t="array" ref="B113">[1]!encode_feed(C113,fw_,Rp_,,PVT_str_)</f>
        <v>{"gamma_gas":0.8,"gamma_oil":0.9,"gamma_wat":1,"rsb_m3m3":80,"pb_atma":120,"t_res_C":100,"bob_m3m3":1.2,"muob_cP":1,"q_liq_sm3day":87.625,"fw_perc":10,"rp_m3m3":80}</v>
      </c>
      <c r="C113" s="6">
        <f t="shared" si="1"/>
        <v>87.625</v>
      </c>
      <c r="D113" s="26">
        <f t="array" ref="D113:H113">[1]!ESP_p_atma($C$41,Tintake_,Tintake_,B85,PumpID_,NumStage_,Freq_,0,,,,gas_degr_type_,,$L$40)</f>
        <v>55.902467300426927</v>
      </c>
      <c r="E113" s="26">
        <v>55.902467300426927</v>
      </c>
      <c r="F113" s="26">
        <v>80</v>
      </c>
      <c r="G113" s="25">
        <v>150</v>
      </c>
      <c r="H113" s="26">
        <v>80</v>
      </c>
    </row>
    <row r="114" spans="2:8" x14ac:dyDescent="0.35">
      <c r="B114" t="str" cm="1">
        <f t="array" ref="B114">[1]!encode_feed(C114,fw_,Rp_,,PVT_str_)</f>
        <v>{"gamma_gas":0.8,"gamma_oil":0.9,"gamma_wat":1,"rsb_m3m3":80,"pb_atma":120,"t_res_C":100,"bob_m3m3":1.2,"muob_cP":1,"q_liq_sm3day":97.25,"fw_perc":10,"rp_m3m3":80}</v>
      </c>
      <c r="C114" s="6">
        <f t="shared" si="1"/>
        <v>97.25</v>
      </c>
      <c r="D114" s="26">
        <f t="array" ref="D114:H114">[1]!ESP_p_atma($C$41,Tintake_,Tintake_,B86,PumpID_,NumStage_,Freq_,0,,,,gas_degr_type_,,$L$40)</f>
        <v>62.364336890066078</v>
      </c>
      <c r="E114" s="26">
        <v>62.364336890066078</v>
      </c>
      <c r="F114" s="26">
        <v>80</v>
      </c>
      <c r="G114" s="25">
        <v>150</v>
      </c>
      <c r="H114" s="26">
        <v>80</v>
      </c>
    </row>
    <row r="115" spans="2:8" x14ac:dyDescent="0.35">
      <c r="B115" t="str" cm="1">
        <f t="array" ref="B115">[1]!encode_feed(C115,fw_,Rp_,,PVT_str_)</f>
        <v>{"gamma_gas":0.8,"gamma_oil":0.9,"gamma_wat":1,"rsb_m3m3":80,"pb_atma":120,"t_res_C":100,"bob_m3m3":1.2,"muob_cP":1,"q_liq_sm3day":106.875,"fw_perc":10,"rp_m3m3":80}</v>
      </c>
      <c r="C115" s="6">
        <f t="shared" si="1"/>
        <v>106.875</v>
      </c>
      <c r="D115" s="26">
        <f t="array" ref="D115:H115">[1]!ESP_p_atma($C$41,Tintake_,Tintake_,B87,PumpID_,NumStage_,Freq_,0,,,,gas_degr_type_,,$L$40)</f>
        <v>69.39794145139426</v>
      </c>
      <c r="E115" s="26">
        <v>69.39794145139426</v>
      </c>
      <c r="F115" s="26">
        <v>80</v>
      </c>
      <c r="G115" s="25">
        <v>150</v>
      </c>
      <c r="H115" s="26">
        <v>80</v>
      </c>
    </row>
    <row r="116" spans="2:8" x14ac:dyDescent="0.35">
      <c r="B116" t="str" cm="1">
        <f t="array" ref="B116">[1]!encode_feed(C116,fw_,Rp_,,PVT_str_)</f>
        <v>{"gamma_gas":0.8,"gamma_oil":0.9,"gamma_wat":1,"rsb_m3m3":80,"pb_atma":120,"t_res_C":100,"bob_m3m3":1.2,"muob_cP":1,"q_liq_sm3day":116.5,"fw_perc":10,"rp_m3m3":80}</v>
      </c>
      <c r="C116" s="6">
        <f t="shared" si="1"/>
        <v>116.5</v>
      </c>
      <c r="D116" s="26">
        <f t="array" ref="D116:H116">[1]!ESP_p_atma($C$41,Tintake_,Tintake_,B88,PumpID_,NumStage_,Freq_,0,,,,gas_degr_type_,,$L$40)</f>
        <v>77.118631837636642</v>
      </c>
      <c r="E116" s="26">
        <v>77.118631837636642</v>
      </c>
      <c r="F116" s="26">
        <v>80</v>
      </c>
      <c r="G116" s="25">
        <v>150</v>
      </c>
      <c r="H116" s="26">
        <v>80</v>
      </c>
    </row>
    <row r="117" spans="2:8" x14ac:dyDescent="0.35">
      <c r="B117" t="str" cm="1">
        <f t="array" ref="B117">[1]!encode_feed(C117,fw_,Rp_,,PVT_str_)</f>
        <v>{"gamma_gas":0.8,"gamma_oil":0.9,"gamma_wat":1,"rsb_m3m3":80,"pb_atma":120,"t_res_C":100,"bob_m3m3":1.2,"muob_cP":1,"q_liq_sm3day":126.125,"fw_perc":10,"rp_m3m3":80}</v>
      </c>
      <c r="C117" s="6">
        <f t="shared" si="1"/>
        <v>126.125</v>
      </c>
      <c r="D117" s="26">
        <f t="array" ref="D117:H117">[1]!ESP_p_atma($C$41,Tintake_,Tintake_,B89,PumpID_,NumStage_,Freq_,0,,,,gas_degr_type_,,$L$40)</f>
        <v>85.783175358782799</v>
      </c>
      <c r="E117" s="26">
        <v>85.783175358782799</v>
      </c>
      <c r="F117" s="26">
        <v>80</v>
      </c>
      <c r="G117" s="25">
        <v>150</v>
      </c>
      <c r="H117" s="26">
        <v>80</v>
      </c>
    </row>
    <row r="118" spans="2:8" x14ac:dyDescent="0.35">
      <c r="B118" t="str" cm="1">
        <f t="array" ref="B118">[1]!encode_feed(C118,fw_,Rp_,,PVT_str_)</f>
        <v>{"gamma_gas":0.8,"gamma_oil":0.9,"gamma_wat":1,"rsb_m3m3":80,"pb_atma":120,"t_res_C":100,"bob_m3m3":1.2,"muob_cP":1,"q_liq_sm3day":135.75,"fw_perc":10,"rp_m3m3":80}</v>
      </c>
      <c r="C118" s="6">
        <f t="shared" si="1"/>
        <v>135.75</v>
      </c>
      <c r="D118" s="26">
        <f t="array" ref="D118:H118">[1]!ESP_p_atma($C$41,Tintake_,Tintake_,B90,PumpID_,NumStage_,Freq_,0,,,,gas_degr_type_,,$L$40)</f>
        <v>95.923109344614161</v>
      </c>
      <c r="E118" s="26">
        <v>95.923109344614161</v>
      </c>
      <c r="F118" s="26">
        <v>80</v>
      </c>
      <c r="G118" s="25">
        <v>150</v>
      </c>
      <c r="H118" s="26">
        <v>80</v>
      </c>
    </row>
    <row r="119" spans="2:8" x14ac:dyDescent="0.35">
      <c r="B119" t="str" cm="1">
        <f t="array" ref="B119">[1]!encode_feed(C119,fw_,Rp_,,PVT_str_)</f>
        <v>{"gamma_gas":0.8,"gamma_oil":0.9,"gamma_wat":1,"rsb_m3m3":80,"pb_atma":120,"t_res_C":100,"bob_m3m3":1.2,"muob_cP":1,"q_liq_sm3day":145.375,"fw_perc":10,"rp_m3m3":80}</v>
      </c>
      <c r="C119" s="6">
        <f t="shared" si="1"/>
        <v>145.375</v>
      </c>
      <c r="D119" s="26">
        <f t="array" ref="D119:H119">[1]!ESP_p_atma($C$41,Tintake_,Tintake_,B91,PumpID_,NumStage_,Freq_,0,,,,gas_degr_type_,,$L$40)</f>
        <v>109.15508155427057</v>
      </c>
      <c r="E119" s="26">
        <v>109.15508155427057</v>
      </c>
      <c r="F119" s="26">
        <v>80</v>
      </c>
      <c r="G119" s="25">
        <v>150</v>
      </c>
      <c r="H119" s="26">
        <v>80</v>
      </c>
    </row>
    <row r="120" spans="2:8" x14ac:dyDescent="0.35">
      <c r="B120" t="str" cm="1">
        <f t="array" ref="B120">[1]!encode_feed(C120,fw_,Rp_,,PVT_str_)</f>
        <v>{"gamma_gas":0.8,"gamma_oil":0.9,"gamma_wat":1,"rsb_m3m3":80,"pb_atma":120,"t_res_C":100,"bob_m3m3":1.2,"muob_cP":1,"q_liq_sm3day":155,"fw_perc":10,"rp_m3m3":80}</v>
      </c>
      <c r="C120" s="6">
        <f t="shared" si="1"/>
        <v>155</v>
      </c>
      <c r="D120" s="26">
        <f t="array" ref="D120:H120">[1]!ESP_p_atma($C$41,Tintake_,Tintake_,B92,PumpID_,NumStage_,Freq_,0,,,,gas_degr_type_,,$L$40)</f>
        <v>127.49049131304103</v>
      </c>
      <c r="E120" s="26">
        <v>127.49049131304103</v>
      </c>
      <c r="F120" s="26">
        <v>80</v>
      </c>
      <c r="G120" s="25">
        <v>150</v>
      </c>
      <c r="H120" s="26">
        <v>80</v>
      </c>
    </row>
    <row r="121" spans="2:8" x14ac:dyDescent="0.35">
      <c r="B121" t="str" cm="1">
        <f t="array" ref="B121">[1]!encode_feed(C121,fw_,Rp_,,PVT_str_)</f>
        <v>{"gamma_gas":0.8,"gamma_oil":0.9,"gamma_wat":1,"rsb_m3m3":80,"pb_atma":120,"t_res_C":100,"bob_m3m3":1.2,"muob_cP":1,"q_liq_sm3day":164.625,"fw_perc":10,"rp_m3m3":80}</v>
      </c>
      <c r="C121" s="6">
        <f t="shared" si="1"/>
        <v>164.625</v>
      </c>
      <c r="D121" s="26">
        <f t="array" ref="D121:H121">[1]!ESP_p_atma($C$41,Tintake_,Tintake_,B93,PumpID_,NumStage_,Freq_,0,,,,gas_degr_type_,,$L$40)</f>
        <v>146.93399839990565</v>
      </c>
      <c r="E121" s="26">
        <v>146.93399839990565</v>
      </c>
      <c r="F121" s="26">
        <v>80</v>
      </c>
      <c r="G121" s="25">
        <v>150</v>
      </c>
      <c r="H121" s="26">
        <v>80</v>
      </c>
    </row>
    <row r="122" spans="2:8" x14ac:dyDescent="0.35">
      <c r="B122" t="str" cm="1">
        <f t="array" ref="B122">[1]!encode_feed(C122,fw_,Rp_,,PVT_str_)</f>
        <v>{"gamma_gas":0.8,"gamma_oil":0.9,"gamma_wat":1,"rsb_m3m3":80,"pb_atma":120,"t_res_C":100,"bob_m3m3":1.2,"muob_cP":1,"q_liq_sm3day":174.25,"fw_perc":10,"rp_m3m3":80}</v>
      </c>
      <c r="C122" s="6">
        <f t="shared" si="1"/>
        <v>174.25</v>
      </c>
      <c r="D122" s="26">
        <f t="array" ref="D122:H122">[1]!ESP_p_atma($C$41,Tintake_,Tintake_,B94,PumpID_,NumStage_,Freq_,0,,,,gas_degr_type_,,$L$40)</f>
        <v>166.70422286616878</v>
      </c>
      <c r="E122" s="26">
        <v>166.70422286616878</v>
      </c>
      <c r="F122" s="26">
        <v>80</v>
      </c>
      <c r="G122" s="25">
        <v>150</v>
      </c>
      <c r="H122" s="26">
        <v>80</v>
      </c>
    </row>
    <row r="123" spans="2:8" x14ac:dyDescent="0.35">
      <c r="B123" t="str" cm="1">
        <f t="array" ref="B123">[1]!encode_feed(C123,fw_,Rp_,,PVT_str_)</f>
        <v>{"gamma_gas":0.8,"gamma_oil":0.9,"gamma_wat":1,"rsb_m3m3":80,"pb_atma":120,"t_res_C":100,"bob_m3m3":1.2,"muob_cP":1,"q_liq_sm3day":183.875,"fw_perc":10,"rp_m3m3":80}</v>
      </c>
      <c r="C123" s="6">
        <f t="shared" si="1"/>
        <v>183.875</v>
      </c>
      <c r="D123" s="26">
        <f t="array" ref="D123:H123">[1]!ESP_p_atma($C$41,Tintake_,Tintake_,B95,PumpID_,NumStage_,Freq_,0,,,,gas_degr_type_,,$L$40)</f>
        <v>186.49065743999145</v>
      </c>
      <c r="E123" s="26">
        <v>186.49065743999145</v>
      </c>
      <c r="F123" s="26">
        <v>80</v>
      </c>
      <c r="G123" s="25">
        <v>150</v>
      </c>
      <c r="H123" s="26">
        <v>80</v>
      </c>
    </row>
    <row r="124" spans="2:8" x14ac:dyDescent="0.35">
      <c r="B124" t="str" cm="1">
        <f t="array" ref="B124">[1]!encode_feed(C124,fw_,Rp_,,PVT_str_)</f>
        <v>{"gamma_gas":0.8,"gamma_oil":0.9,"gamma_wat":1,"rsb_m3m3":80,"pb_atma":120,"t_res_C":100,"bob_m3m3":1.2,"muob_cP":1,"q_liq_sm3day":193.5,"fw_perc":10,"rp_m3m3":80}</v>
      </c>
      <c r="C124" s="6">
        <f t="shared" si="1"/>
        <v>193.5</v>
      </c>
      <c r="D124" s="26">
        <f t="array" ref="D124:H124">[1]!ESP_p_atma($C$41,Tintake_,Tintake_,B96,PumpID_,NumStage_,Freq_,0,,,,gas_degr_type_,,$L$40)</f>
        <v>206.32899465634719</v>
      </c>
      <c r="E124" s="26">
        <v>206.32899465634719</v>
      </c>
      <c r="F124" s="26">
        <v>80</v>
      </c>
      <c r="G124" s="25">
        <v>150</v>
      </c>
      <c r="H124" s="26">
        <v>80</v>
      </c>
    </row>
    <row r="125" spans="2:8" x14ac:dyDescent="0.35">
      <c r="D125" s="26"/>
      <c r="E125" s="26"/>
      <c r="F125" s="26"/>
      <c r="G125" s="25"/>
      <c r="H125" s="26"/>
    </row>
    <row r="138" spans="4:11" x14ac:dyDescent="0.35">
      <c r="D138" s="37"/>
      <c r="F138" s="36"/>
      <c r="H138" s="36"/>
      <c r="I138" s="36"/>
      <c r="J138" s="35"/>
      <c r="K138" s="36"/>
    </row>
    <row r="139" spans="4:11" x14ac:dyDescent="0.35">
      <c r="D139" s="37"/>
      <c r="F139" s="36"/>
      <c r="H139" s="36"/>
      <c r="I139" s="36"/>
      <c r="J139" s="35"/>
      <c r="K139" s="36"/>
    </row>
    <row r="140" spans="4:11" x14ac:dyDescent="0.35">
      <c r="D140" s="37"/>
      <c r="F140" s="36"/>
      <c r="H140" s="36"/>
      <c r="I140" s="36"/>
      <c r="J140" s="35"/>
      <c r="K140" s="36"/>
    </row>
    <row r="141" spans="4:11" x14ac:dyDescent="0.35">
      <c r="D141" s="37"/>
      <c r="F141" s="36"/>
      <c r="H141" s="36"/>
      <c r="I141" s="36"/>
      <c r="J141" s="35"/>
      <c r="K141" s="36"/>
    </row>
    <row r="142" spans="4:11" x14ac:dyDescent="0.35">
      <c r="D142" s="37"/>
      <c r="F142" s="36"/>
      <c r="H142" s="36"/>
      <c r="I142" s="36"/>
      <c r="J142" s="35"/>
      <c r="K142" s="36"/>
    </row>
    <row r="143" spans="4:11" x14ac:dyDescent="0.35">
      <c r="D143" s="37"/>
      <c r="E143" s="36"/>
      <c r="F143" s="36"/>
      <c r="H143" s="36"/>
      <c r="I143" s="36"/>
      <c r="J143" s="35"/>
      <c r="K143" s="36"/>
    </row>
    <row r="144" spans="4:11" x14ac:dyDescent="0.35">
      <c r="D144" s="37"/>
      <c r="E144" s="36"/>
      <c r="F144" s="36"/>
      <c r="H144" s="36"/>
      <c r="I144" s="36"/>
      <c r="J144" s="35"/>
      <c r="K144" s="36"/>
    </row>
    <row r="145" spans="4:30" x14ac:dyDescent="0.35">
      <c r="D145" s="37"/>
      <c r="E145" s="36"/>
      <c r="F145" s="36"/>
      <c r="H145" s="36"/>
      <c r="I145" s="36"/>
      <c r="J145" s="35"/>
      <c r="K145" s="36"/>
    </row>
    <row r="146" spans="4:30" x14ac:dyDescent="0.35">
      <c r="D146" s="37"/>
      <c r="E146" s="36"/>
      <c r="F146" s="36"/>
      <c r="H146" s="36"/>
      <c r="I146" s="36"/>
      <c r="J146" s="35"/>
      <c r="K146" s="36"/>
    </row>
    <row r="147" spans="4:30" x14ac:dyDescent="0.35">
      <c r="D147" s="37"/>
      <c r="E147" s="36"/>
      <c r="F147" s="36"/>
      <c r="H147" s="36"/>
      <c r="I147" s="36"/>
      <c r="J147" s="35"/>
      <c r="K147" s="36"/>
    </row>
    <row r="148" spans="4:30" x14ac:dyDescent="0.35">
      <c r="D148" s="37"/>
      <c r="E148" s="36"/>
      <c r="F148" s="36"/>
      <c r="H148" s="36"/>
      <c r="I148" s="36"/>
      <c r="J148" s="35"/>
      <c r="K148" s="36"/>
    </row>
    <row r="149" spans="4:30" x14ac:dyDescent="0.35">
      <c r="D149" s="37"/>
      <c r="E149" s="36"/>
      <c r="F149" s="36"/>
      <c r="G149" s="35"/>
      <c r="H149" s="36"/>
      <c r="I149" s="36"/>
      <c r="J149" s="35"/>
      <c r="K149" s="36"/>
    </row>
    <row r="150" spans="4:30" x14ac:dyDescent="0.35">
      <c r="D150" s="37"/>
      <c r="E150" s="36"/>
      <c r="F150" s="36"/>
      <c r="G150" s="35"/>
      <c r="H150" s="36"/>
      <c r="I150" s="36"/>
      <c r="J150" s="35"/>
      <c r="K150" s="36"/>
    </row>
    <row r="151" spans="4:30" x14ac:dyDescent="0.35">
      <c r="D151" s="37"/>
      <c r="E151" s="36"/>
      <c r="F151" s="36"/>
      <c r="G151" s="35"/>
      <c r="H151" s="36"/>
      <c r="I151" s="36"/>
      <c r="J151" s="35"/>
      <c r="K151" s="36"/>
    </row>
    <row r="152" spans="4:30" x14ac:dyDescent="0.35">
      <c r="D152" s="37"/>
      <c r="E152" s="36"/>
      <c r="F152" s="36"/>
      <c r="G152" s="35"/>
      <c r="H152" s="36"/>
      <c r="I152" s="36"/>
      <c r="J152" s="35"/>
      <c r="K152" s="36"/>
      <c r="AD152" s="36"/>
    </row>
    <row r="153" spans="4:30" x14ac:dyDescent="0.35">
      <c r="D153" s="37"/>
      <c r="E153" s="36"/>
      <c r="F153" s="36"/>
      <c r="G153" s="35"/>
      <c r="H153" s="36"/>
      <c r="I153" s="36"/>
      <c r="J153" s="35"/>
      <c r="K153" s="36"/>
    </row>
    <row r="154" spans="4:30" x14ac:dyDescent="0.35">
      <c r="D154" s="37"/>
      <c r="E154" s="36"/>
      <c r="F154" s="36"/>
      <c r="G154" s="35"/>
      <c r="H154" s="36"/>
      <c r="I154" s="36"/>
      <c r="J154" s="35"/>
      <c r="K154" s="36"/>
    </row>
    <row r="155" spans="4:30" x14ac:dyDescent="0.35">
      <c r="D155" s="37"/>
      <c r="E155" s="36"/>
      <c r="F155" s="36"/>
      <c r="G155" s="35"/>
      <c r="H155" s="36"/>
      <c r="I155" s="36"/>
      <c r="J155" s="35"/>
      <c r="K155" s="36"/>
    </row>
    <row r="156" spans="4:30" x14ac:dyDescent="0.35">
      <c r="D156" s="37"/>
      <c r="E156" s="36"/>
      <c r="F156" s="36"/>
      <c r="G156" s="35"/>
      <c r="H156" s="36"/>
      <c r="I156" s="36"/>
      <c r="J156" s="35"/>
      <c r="K156" s="36"/>
    </row>
    <row r="157" spans="4:30" x14ac:dyDescent="0.35">
      <c r="D157" s="36"/>
      <c r="E157" s="36"/>
      <c r="F157" s="36"/>
      <c r="G157" s="35"/>
      <c r="H157" s="36"/>
      <c r="I157" s="36"/>
      <c r="J157" s="35"/>
      <c r="K157" s="36"/>
    </row>
    <row r="162" spans="6:14" x14ac:dyDescent="0.35">
      <c r="F162" s="37"/>
      <c r="K162" s="37"/>
      <c r="M162" s="36"/>
      <c r="N162" s="35"/>
    </row>
    <row r="165" spans="6:14" x14ac:dyDescent="0.35">
      <c r="J165" s="38"/>
      <c r="K165" s="38"/>
      <c r="L165" s="38"/>
    </row>
    <row r="166" spans="6:14" x14ac:dyDescent="0.35">
      <c r="J166" s="38"/>
      <c r="K166" s="38"/>
      <c r="L166" s="38"/>
    </row>
    <row r="167" spans="6:14" x14ac:dyDescent="0.35">
      <c r="J167" s="38"/>
      <c r="K167" s="38"/>
      <c r="L167" s="38"/>
    </row>
    <row r="168" spans="6:14" x14ac:dyDescent="0.35">
      <c r="J168" s="38"/>
      <c r="K168" s="38"/>
      <c r="L168" s="38"/>
    </row>
    <row r="169" spans="6:14" x14ac:dyDescent="0.35">
      <c r="J169" s="38"/>
      <c r="K169" s="39"/>
      <c r="L169" s="38"/>
    </row>
    <row r="170" spans="6:14" x14ac:dyDescent="0.35">
      <c r="J170" s="38"/>
      <c r="K170" s="38"/>
      <c r="L170" s="38"/>
    </row>
    <row r="171" spans="6:14" x14ac:dyDescent="0.35">
      <c r="J171" s="38"/>
      <c r="K171" s="38"/>
      <c r="L171" s="38"/>
    </row>
    <row r="172" spans="6:14" x14ac:dyDescent="0.35">
      <c r="J172" s="38"/>
      <c r="K172" s="38"/>
      <c r="L172" s="38"/>
    </row>
    <row r="173" spans="6:14" x14ac:dyDescent="0.35">
      <c r="J173" s="38"/>
      <c r="K173" s="38"/>
      <c r="L173" s="38"/>
    </row>
    <row r="174" spans="6:14" x14ac:dyDescent="0.35">
      <c r="J174" s="38"/>
      <c r="K174" s="38"/>
      <c r="L174" s="38"/>
    </row>
    <row r="175" spans="6:14" x14ac:dyDescent="0.35">
      <c r="J175" s="38"/>
      <c r="K175" s="38"/>
      <c r="L175" s="38"/>
    </row>
    <row r="176" spans="6:14" x14ac:dyDescent="0.35">
      <c r="J176" s="38"/>
      <c r="K176" s="38"/>
      <c r="L176" s="38"/>
    </row>
    <row r="177" spans="10:13" x14ac:dyDescent="0.35">
      <c r="J177" s="38"/>
      <c r="K177" s="38"/>
      <c r="L177" s="38"/>
    </row>
    <row r="178" spans="10:13" x14ac:dyDescent="0.35">
      <c r="J178" s="38"/>
      <c r="K178" s="38"/>
      <c r="L178" s="38"/>
    </row>
    <row r="179" spans="10:13" x14ac:dyDescent="0.35">
      <c r="J179" s="38"/>
      <c r="K179" s="38"/>
      <c r="L179" s="38"/>
    </row>
    <row r="180" spans="10:13" x14ac:dyDescent="0.35">
      <c r="J180" s="38"/>
      <c r="K180" s="38"/>
      <c r="L180" s="38"/>
    </row>
    <row r="181" spans="10:13" x14ac:dyDescent="0.35">
      <c r="J181" s="38"/>
      <c r="K181" s="38"/>
      <c r="L181" s="38"/>
    </row>
    <row r="182" spans="10:13" x14ac:dyDescent="0.35">
      <c r="J182" s="38"/>
      <c r="K182" s="38"/>
      <c r="L182" s="38"/>
    </row>
    <row r="183" spans="10:13" x14ac:dyDescent="0.35">
      <c r="J183" s="38"/>
      <c r="K183" s="38"/>
      <c r="L183" s="38"/>
    </row>
    <row r="184" spans="10:13" x14ac:dyDescent="0.35">
      <c r="J184" s="38"/>
      <c r="K184" s="38"/>
      <c r="L184" s="38"/>
    </row>
    <row r="185" spans="10:13" x14ac:dyDescent="0.35">
      <c r="M185" s="40"/>
    </row>
    <row r="186" spans="10:13" x14ac:dyDescent="0.35">
      <c r="M186" s="40"/>
    </row>
  </sheetData>
  <mergeCells count="6">
    <mergeCell ref="D102:H102"/>
    <mergeCell ref="B3:E3"/>
    <mergeCell ref="B4:E4"/>
    <mergeCell ref="B5:E5"/>
    <mergeCell ref="B6:E8"/>
    <mergeCell ref="D74:H7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74</vt:i4>
      </vt:variant>
    </vt:vector>
  </HeadingPairs>
  <TitlesOfParts>
    <vt:vector size="76" baseType="lpstr">
      <vt:lpstr>Exercise_ESP</vt:lpstr>
      <vt:lpstr>Exercise_ESP (2)</vt:lpstr>
      <vt:lpstr>Exercise_ESP!Bob_</vt:lpstr>
      <vt:lpstr>'Exercise_ESP (2)'!Bob_</vt:lpstr>
      <vt:lpstr>'Exercise_ESP (2)'!calc_along_flow</vt:lpstr>
      <vt:lpstr>calc_along_flow</vt:lpstr>
      <vt:lpstr>'Exercise_ESP (2)'!dN</vt:lpstr>
      <vt:lpstr>dN</vt:lpstr>
      <vt:lpstr>'Exercise_ESP (2)'!ESPstr</vt:lpstr>
      <vt:lpstr>ESPstr</vt:lpstr>
      <vt:lpstr>Exercise_ESP!Freq_</vt:lpstr>
      <vt:lpstr>'Exercise_ESP (2)'!Freq_</vt:lpstr>
      <vt:lpstr>Exercise_ESP!fw_</vt:lpstr>
      <vt:lpstr>'Exercise_ESP (2)'!fw_</vt:lpstr>
      <vt:lpstr>Exercise_ESP!gamma_gas_</vt:lpstr>
      <vt:lpstr>'Exercise_ESP (2)'!gamma_gas_</vt:lpstr>
      <vt:lpstr>Exercise_ESP!gamma_oil_</vt:lpstr>
      <vt:lpstr>'Exercise_ESP (2)'!gamma_oil_</vt:lpstr>
      <vt:lpstr>Exercise_ESP!gamma_wat_</vt:lpstr>
      <vt:lpstr>'Exercise_ESP (2)'!gamma_wat_</vt:lpstr>
      <vt:lpstr>'Exercise_ESP (2)'!gas_degr_type_</vt:lpstr>
      <vt:lpstr>gas_degr_type_</vt:lpstr>
      <vt:lpstr>Exercise_ESP!Head_ESP_</vt:lpstr>
      <vt:lpstr>'Exercise_ESP (2)'!Head_ESP_</vt:lpstr>
      <vt:lpstr>'Exercise_ESP (2)'!input_Course</vt:lpstr>
      <vt:lpstr>input_Course</vt:lpstr>
      <vt:lpstr>'Exercise_ESP (2)'!input_Date</vt:lpstr>
      <vt:lpstr>input_Date</vt:lpstr>
      <vt:lpstr>'Exercise_ESP (2)'!input_Group</vt:lpstr>
      <vt:lpstr>input_Group</vt:lpstr>
      <vt:lpstr>'Exercise_ESP (2)'!input_Notes</vt:lpstr>
      <vt:lpstr>input_Notes</vt:lpstr>
      <vt:lpstr>'Exercise_ESP (2)'!input_Student_Name</vt:lpstr>
      <vt:lpstr>input_Student_Name</vt:lpstr>
      <vt:lpstr>'Exercise_ESP (2)'!input_Version</vt:lpstr>
      <vt:lpstr>input_Version</vt:lpstr>
      <vt:lpstr>Exercise_ESP!KsepGasSep_</vt:lpstr>
      <vt:lpstr>'Exercise_ESP (2)'!KsepGasSep_</vt:lpstr>
      <vt:lpstr>'Exercise_ESP (2)'!mu</vt:lpstr>
      <vt:lpstr>mu</vt:lpstr>
      <vt:lpstr>Exercise_ESP!muob_</vt:lpstr>
      <vt:lpstr>'Exercise_ESP (2)'!muob_</vt:lpstr>
      <vt:lpstr>Exercise_ESP!N_</vt:lpstr>
      <vt:lpstr>'Exercise_ESP (2)'!N_</vt:lpstr>
      <vt:lpstr>Exercise_ESP!NumStage_</vt:lpstr>
      <vt:lpstr>'Exercise_ESP (2)'!NumStage_</vt:lpstr>
      <vt:lpstr>Exercise_ESP!Pb_</vt:lpstr>
      <vt:lpstr>'Exercise_ESP (2)'!Pb_</vt:lpstr>
      <vt:lpstr>Exercise_ESP!Pdis_</vt:lpstr>
      <vt:lpstr>'Exercise_ESP (2)'!Pdis_</vt:lpstr>
      <vt:lpstr>Exercise_ESP!Pintake_</vt:lpstr>
      <vt:lpstr>'Exercise_ESP (2)'!Pintake_</vt:lpstr>
      <vt:lpstr>'Exercise_ESP (2)'!PKsep</vt:lpstr>
      <vt:lpstr>PKsep</vt:lpstr>
      <vt:lpstr>Exercise_ESP!PumpID_</vt:lpstr>
      <vt:lpstr>'Exercise_ESP (2)'!PumpID_</vt:lpstr>
      <vt:lpstr>'Exercise_ESP (2)'!PVT_str_</vt:lpstr>
      <vt:lpstr>PVT_str_</vt:lpstr>
      <vt:lpstr>Exercise_ESP!Q_</vt:lpstr>
      <vt:lpstr>'Exercise_ESP (2)'!Q_</vt:lpstr>
      <vt:lpstr>Exercise_ESP!Q_ESP_</vt:lpstr>
      <vt:lpstr>'Exercise_ESP (2)'!Q_ESP_</vt:lpstr>
      <vt:lpstr>Exercise_ESP!Qmax_</vt:lpstr>
      <vt:lpstr>'Exercise_ESP (2)'!Qmax_</vt:lpstr>
      <vt:lpstr>Exercise_ESP!Rp_</vt:lpstr>
      <vt:lpstr>'Exercise_ESP (2)'!Rp_</vt:lpstr>
      <vt:lpstr>Exercise_ESP!Rsb_</vt:lpstr>
      <vt:lpstr>'Exercise_ESP (2)'!Rsb_</vt:lpstr>
      <vt:lpstr>'Exercise_ESP (2)'!Tdis_</vt:lpstr>
      <vt:lpstr>Tdis_</vt:lpstr>
      <vt:lpstr>Exercise_ESP!Tintake_</vt:lpstr>
      <vt:lpstr>'Exercise_ESP (2)'!Tintake_</vt:lpstr>
      <vt:lpstr>'Exercise_ESP (2)'!TKsep_</vt:lpstr>
      <vt:lpstr>TKsep_</vt:lpstr>
      <vt:lpstr>Exercise_ESP!Tres_</vt:lpstr>
      <vt:lpstr>'Exercise_ESP (2)'!Tres_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2021-05-26T09:45:31Z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