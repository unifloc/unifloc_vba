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0715" windowHeight="13275" tabRatio="645"/>
  </bookViews>
  <sheets>
    <sheet name="карты" sheetId="5" r:id="rId1"/>
  </sheets>
  <functionGroups builtInGroupCount="18"/>
  <externalReferences>
    <externalReference r:id="rId2"/>
  </externalReferences>
  <definedNames>
    <definedName name="__MAIN__">#REF!</definedName>
    <definedName name="__qryOilWellOP__">#REF!</definedName>
    <definedName name="_xlnm._FilterDatabase" localSheetId="0" hidden="1">карты!#REF!</definedName>
    <definedName name="Ba2_">карты!$C$18</definedName>
    <definedName name="Bo">#REF!</definedName>
    <definedName name="Bw">#REF!</definedName>
    <definedName name="Ca2_">карты!$C$16</definedName>
    <definedName name="Cl">карты!$C$20</definedName>
    <definedName name="co2_fug">карты!#REF!</definedName>
    <definedName name="CO2_mol">карты!$C$24</definedName>
    <definedName name="co2_mol_pt">карты!#REF!</definedName>
    <definedName name="co2_pp">карты!#REF!</definedName>
    <definedName name="co2_wat">карты!#REF!</definedName>
    <definedName name="Dcas">#REF!</definedName>
    <definedName name="Dtub">#REF!</definedName>
    <definedName name="fw">карты!$C$31</definedName>
    <definedName name="GOR">#REF!</definedName>
    <definedName name="H">#REF!</definedName>
    <definedName name="HCO3_">карты!$C$22</definedName>
    <definedName name="Hdin">#REF!</definedName>
    <definedName name="Hperf">#REF!</definedName>
    <definedName name="Hpump">#REF!</definedName>
    <definedName name="Mg2_">карты!$C$17</definedName>
    <definedName name="mode">карты!$I$15</definedName>
    <definedName name="mu">карты!#REF!</definedName>
    <definedName name="NaK">карты!$C$15</definedName>
    <definedName name="P_">карты!$C$26</definedName>
    <definedName name="p_psi">карты!#REF!</definedName>
    <definedName name="Pb">#REF!</definedName>
    <definedName name="Pbuf">#REF!</definedName>
    <definedName name="Pf">#REF!</definedName>
    <definedName name="Pr">#REF!</definedName>
    <definedName name="q_liq">карты!$C$29</definedName>
    <definedName name="qg_mscfd">карты!#REF!</definedName>
    <definedName name="Ql">#REF!</definedName>
    <definedName name="qo">карты!$C$30</definedName>
    <definedName name="qo_bpd">карты!#REF!</definedName>
    <definedName name="qryOilWellOp__ORG_NAME">#REF!</definedName>
    <definedName name="Qw">#REF!</definedName>
    <definedName name="qw_bpd">карты!#REF!</definedName>
    <definedName name="ro_o">#REF!</definedName>
    <definedName name="ro_w">#REF!</definedName>
    <definedName name="rp_m3m3">карты!$C$32</definedName>
    <definedName name="SO4_">карты!$C$21</definedName>
    <definedName name="Sr2_">карты!$C$19</definedName>
    <definedName name="T">#REF!</definedName>
    <definedName name="T_">карты!$C$27</definedName>
    <definedName name="t_F">карты!#REF!</definedName>
    <definedName name="Tres">#REF!</definedName>
    <definedName name="Udl">#REF!</definedName>
    <definedName name="wc">#REF!</definedName>
    <definedName name="_xlnm.Extract" localSheetId="0">карты!#REF!</definedName>
    <definedName name="_xlnm.Criteria" localSheetId="0">карты!#REF!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5" i="5" l="1"/>
  <c r="P105" i="5" s="1"/>
  <c r="Q105" i="5" s="1"/>
  <c r="R105" i="5" s="1"/>
  <c r="S105" i="5" s="1"/>
  <c r="T105" i="5" s="1"/>
  <c r="U105" i="5" s="1"/>
  <c r="V105" i="5" s="1"/>
  <c r="W105" i="5" s="1"/>
  <c r="X105" i="5" s="1"/>
  <c r="Y105" i="5" s="1"/>
  <c r="Z105" i="5" s="1"/>
  <c r="AA105" i="5" s="1"/>
  <c r="AB105" i="5" s="1"/>
  <c r="AC105" i="5" s="1"/>
  <c r="O84" i="5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AC84" i="5" s="1"/>
  <c r="O63" i="5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AC63" i="5" s="1"/>
  <c r="O41" i="5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AC41" i="5" s="1"/>
  <c r="C15" i="5"/>
  <c r="O19" i="5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C31" i="5"/>
  <c r="AB120" i="5" a="1"/>
  <c r="Y119" i="5" a="1"/>
  <c r="Y118" i="5" a="1"/>
  <c r="U117" i="5" a="1"/>
  <c r="AA115" i="5" a="1"/>
  <c r="Q116" i="5" a="1"/>
  <c r="U114" i="5" a="1"/>
  <c r="Z113" i="5" a="1"/>
  <c r="AA111" i="5" a="1"/>
  <c r="P112" i="5" a="1"/>
  <c r="AA110" i="5" a="1"/>
  <c r="Z109" i="5" a="1"/>
  <c r="Q108" i="5" a="1"/>
  <c r="AC108" i="5" a="1"/>
  <c r="V106" i="5" a="1"/>
  <c r="S99" i="5" a="1"/>
  <c r="W97" i="5" a="1"/>
  <c r="S98" i="5" a="1"/>
  <c r="O96" i="5" a="1"/>
  <c r="T96" i="5" a="1"/>
  <c r="N95" i="5" a="1"/>
  <c r="R94" i="5" a="1"/>
  <c r="AA91" i="5" a="1"/>
  <c r="W92" i="5" a="1"/>
  <c r="AA90" i="5" a="1"/>
  <c r="N90" i="5" a="1"/>
  <c r="AB88" i="5" a="1"/>
  <c r="T87" i="5" a="1"/>
  <c r="X85" i="5" a="1"/>
  <c r="N86" i="5" a="1"/>
  <c r="N85" i="5" a="1"/>
  <c r="R77" i="5" a="1"/>
  <c r="X75" i="5" a="1"/>
  <c r="Z76" i="5" a="1"/>
  <c r="O75" i="5" a="1"/>
  <c r="V73" i="5" a="1"/>
  <c r="Q34" i="5" a="1"/>
  <c r="S34" i="5" a="1"/>
  <c r="AC33" i="5" a="1"/>
  <c r="T32" i="5" a="1"/>
  <c r="S30" i="5" a="1"/>
  <c r="Q31" i="5" a="1"/>
  <c r="S28" i="5" a="1"/>
  <c r="W28" i="5" a="1"/>
  <c r="T27" i="5" a="1"/>
  <c r="X92" i="5" a="1"/>
  <c r="V34" i="5" a="1"/>
  <c r="V33" i="5" a="1"/>
  <c r="Q32" i="5" a="1"/>
  <c r="Z30" i="5" a="1"/>
  <c r="O30" i="5" a="1"/>
  <c r="Q28" i="5" a="1"/>
  <c r="W26" i="5" a="1"/>
  <c r="X24" i="5" a="1"/>
  <c r="R24" i="5" a="1"/>
  <c r="P23" i="5" a="1"/>
  <c r="O48" i="5" a="1"/>
  <c r="N47" i="5" a="1"/>
  <c r="P45" i="5" a="1"/>
  <c r="X44" i="5" a="1"/>
  <c r="AA120" i="5" a="1"/>
  <c r="U120" i="5" a="1"/>
  <c r="AA117" i="5" a="1"/>
  <c r="S118" i="5" a="1"/>
  <c r="R115" i="5" a="1"/>
  <c r="P116" i="5" a="1"/>
  <c r="Q115" i="5" a="1"/>
  <c r="U113" i="5" a="1"/>
  <c r="X112" i="5" a="1"/>
  <c r="Z111" i="5" a="1"/>
  <c r="Y110" i="5" a="1"/>
  <c r="W109" i="5" a="1"/>
  <c r="P108" i="5" a="1"/>
  <c r="Z108" i="5" a="1"/>
  <c r="Q107" i="5" a="1"/>
  <c r="W99" i="5" a="1"/>
  <c r="AB97" i="5" a="1"/>
  <c r="T98" i="5" a="1"/>
  <c r="U95" i="5" a="1"/>
  <c r="N96" i="5" a="1"/>
  <c r="AC94" i="5" a="1"/>
  <c r="O94" i="5" a="1"/>
  <c r="P92" i="5" a="1"/>
  <c r="N91" i="5" a="1"/>
  <c r="AA89" i="5" a="1"/>
  <c r="U87" i="5" a="1"/>
  <c r="AC87" i="5" a="1"/>
  <c r="T85" i="5" a="1"/>
  <c r="V85" i="5" a="1"/>
  <c r="W78" i="5" a="1"/>
  <c r="V77" i="5" a="1"/>
  <c r="N77" i="5" a="1"/>
  <c r="U76" i="5" a="1"/>
  <c r="W73" i="5" a="1"/>
  <c r="O74" i="5" a="1"/>
  <c r="V42" i="5" a="1"/>
  <c r="Z33" i="5" a="1"/>
  <c r="N30" i="5" a="1"/>
  <c r="S25" i="5" a="1"/>
  <c r="V21" i="5" a="1"/>
  <c r="X45" i="5" a="1"/>
  <c r="N120" i="5" a="1"/>
  <c r="R120" i="5" a="1"/>
  <c r="X118" i="5" a="1"/>
  <c r="AA118" i="5" a="1"/>
  <c r="T116" i="5" a="1"/>
  <c r="W115" i="5" a="1"/>
  <c r="P115" i="5" a="1"/>
  <c r="T113" i="5" a="1"/>
  <c r="AB111" i="5" a="1"/>
  <c r="V119" i="5" a="1"/>
  <c r="O120" i="5" a="1"/>
  <c r="Q118" i="5" a="1"/>
  <c r="T118" i="5" a="1"/>
  <c r="S119" i="5" a="1"/>
  <c r="X119" i="5" a="1"/>
  <c r="AC118" i="5" a="1"/>
  <c r="O118" i="5" a="1"/>
  <c r="P120" i="5" a="1"/>
  <c r="T119" i="5" a="1"/>
  <c r="Z120" i="5" a="1"/>
  <c r="T120" i="5" a="1"/>
  <c r="Z117" i="5" a="1"/>
  <c r="P119" i="5" a="1"/>
  <c r="P117" i="5" a="1"/>
  <c r="U116" i="5" a="1"/>
  <c r="X114" i="5" a="1"/>
  <c r="Q114" i="5" a="1"/>
  <c r="R112" i="5" a="1"/>
  <c r="Q113" i="5" a="1"/>
  <c r="U110" i="5" a="1"/>
  <c r="O111" i="5" a="1"/>
  <c r="AC107" i="5" a="1"/>
  <c r="T107" i="5" a="1"/>
  <c r="Y120" i="5" a="1"/>
  <c r="W120" i="5" a="1"/>
  <c r="T117" i="5" a="1"/>
  <c r="O119" i="5" a="1"/>
  <c r="V116" i="5" a="1"/>
  <c r="AC115" i="5" a="1"/>
  <c r="Z114" i="5" a="1"/>
  <c r="N114" i="5" a="1"/>
  <c r="U119" i="5" a="1"/>
  <c r="N118" i="5" a="1"/>
  <c r="Q112" i="5" a="1"/>
  <c r="X109" i="5" a="1"/>
  <c r="S106" i="5" a="1"/>
  <c r="S97" i="5" a="1"/>
  <c r="X98" i="5" a="1"/>
  <c r="AA96" i="5" a="1"/>
  <c r="S92" i="5" a="1"/>
  <c r="Q91" i="5" a="1"/>
  <c r="S89" i="5" a="1"/>
  <c r="W88" i="5" a="1"/>
  <c r="U85" i="5" a="1"/>
  <c r="AA77" i="5" a="1"/>
  <c r="AB76" i="5" a="1"/>
  <c r="V75" i="5" a="1"/>
  <c r="P74" i="5" a="1"/>
  <c r="AA42" i="5" a="1"/>
  <c r="AB70" i="5" a="1"/>
  <c r="Z20" i="5" a="1"/>
  <c r="U64" i="5" a="1"/>
  <c r="W55" i="5" a="1"/>
  <c r="X69" i="5" a="1"/>
  <c r="Q54" i="5" a="1"/>
  <c r="U51" i="5" a="1"/>
  <c r="AA49" i="5" a="1"/>
  <c r="Q67" i="5" a="1"/>
  <c r="W67" i="5" a="1"/>
  <c r="V47" i="5" a="1"/>
  <c r="T43" i="5" a="1"/>
  <c r="U65" i="5" a="1"/>
  <c r="R56" i="5" a="1"/>
  <c r="U68" i="5" a="1"/>
  <c r="O53" i="5" a="1"/>
  <c r="AA50" i="5" a="1"/>
  <c r="AC65" i="5" a="1"/>
  <c r="X71" i="5" a="1"/>
  <c r="R64" i="5" a="1"/>
  <c r="W69" i="5" a="1"/>
  <c r="T52" i="5" a="1"/>
  <c r="X67" i="5" a="1"/>
  <c r="X87" i="5" a="1"/>
  <c r="Z34" i="5" a="1"/>
  <c r="AB115" i="5" a="1"/>
  <c r="X113" i="5" a="1"/>
  <c r="T114" i="5" a="1"/>
  <c r="X110" i="5" a="1"/>
  <c r="W110" i="5" a="1"/>
  <c r="P109" i="5" a="1"/>
  <c r="X99" i="5" a="1"/>
  <c r="Y94" i="5" a="1"/>
  <c r="P94" i="5" a="1"/>
  <c r="R89" i="5" a="1"/>
  <c r="AB87" i="5" a="1"/>
  <c r="T78" i="5" a="1"/>
  <c r="Y34" i="5" a="1"/>
  <c r="Y32" i="5" a="1"/>
  <c r="U31" i="5" a="1"/>
  <c r="Y31" i="5" a="1"/>
  <c r="S29" i="5" a="1"/>
  <c r="X28" i="5" a="1"/>
  <c r="AC27" i="5" a="1"/>
  <c r="U26" i="5" a="1"/>
  <c r="Z25" i="5" a="1"/>
  <c r="S23" i="5" a="1"/>
  <c r="AB23" i="5" a="1"/>
  <c r="S22" i="5" a="1"/>
  <c r="Q21" i="5" a="1"/>
  <c r="V45" i="5" a="1"/>
  <c r="Q46" i="5" a="1"/>
  <c r="Y44" i="5" a="1"/>
  <c r="AA70" i="5" a="1"/>
  <c r="V72" i="5" a="1"/>
  <c r="R49" i="5" a="1"/>
  <c r="Y20" i="5" a="1"/>
  <c r="Y54" i="5" a="1"/>
  <c r="U54" i="5" a="1"/>
  <c r="W66" i="5" a="1"/>
  <c r="AB77" i="5" a="1"/>
  <c r="N33" i="5" a="1"/>
  <c r="W31" i="5" a="1"/>
  <c r="AA119" i="5" a="1"/>
  <c r="S117" i="5" a="1"/>
  <c r="X115" i="5" a="1"/>
  <c r="Z112" i="5" a="1"/>
  <c r="P110" i="5" a="1"/>
  <c r="P107" i="5" a="1"/>
  <c r="W98" i="5" a="1"/>
  <c r="R96" i="5" a="1"/>
  <c r="AA95" i="5" a="1"/>
  <c r="AA93" i="5" a="1"/>
  <c r="T91" i="5" a="1"/>
  <c r="P91" i="5" a="1"/>
  <c r="Z87" i="5" a="1"/>
  <c r="Q86" i="5" a="1"/>
  <c r="S78" i="5" a="1"/>
  <c r="AA76" i="5" a="1"/>
  <c r="AC74" i="5" a="1"/>
  <c r="AA73" i="5" a="1"/>
  <c r="Y42" i="5" a="1"/>
  <c r="AC49" i="5" a="1"/>
  <c r="T31" i="5" a="1"/>
  <c r="O117" i="5" a="1"/>
  <c r="S114" i="5" a="1"/>
  <c r="R113" i="5" a="1"/>
  <c r="V110" i="5" a="1"/>
  <c r="O109" i="5" a="1"/>
  <c r="R99" i="5" a="1"/>
  <c r="U106" i="5" a="1"/>
  <c r="Q94" i="5" a="1"/>
  <c r="Y89" i="5" a="1"/>
  <c r="P85" i="5" a="1"/>
  <c r="X42" i="5" a="1"/>
  <c r="V120" i="5" a="1"/>
  <c r="AB117" i="5" a="1"/>
  <c r="Q117" i="5" a="1"/>
  <c r="W112" i="5" a="1"/>
  <c r="P111" i="5" a="1"/>
  <c r="Q98" i="5" a="1"/>
  <c r="AB95" i="5" a="1"/>
  <c r="X96" i="5" a="1"/>
  <c r="T93" i="5" a="1"/>
  <c r="Y91" i="5" a="1"/>
  <c r="O91" i="5" a="1"/>
  <c r="W87" i="5" a="1"/>
  <c r="R114" i="5" a="1"/>
  <c r="S113" i="5" a="1"/>
  <c r="Q110" i="5" a="1"/>
  <c r="N109" i="5" a="1"/>
  <c r="O107" i="5" a="1"/>
  <c r="R106" i="5" a="1"/>
  <c r="Q97" i="5" a="1"/>
  <c r="U93" i="5" a="1"/>
  <c r="U89" i="5" a="1"/>
  <c r="Y78" i="5" a="1"/>
  <c r="S120" i="5" a="1"/>
  <c r="U118" i="5" a="1"/>
  <c r="N117" i="5" a="1"/>
  <c r="W111" i="5" a="1"/>
  <c r="N111" i="5" a="1"/>
  <c r="O106" i="5" a="1"/>
  <c r="O98" i="5" a="1"/>
  <c r="P96" i="5" a="1"/>
  <c r="Q95" i="5" a="1"/>
  <c r="AA92" i="5" a="1"/>
  <c r="AC90" i="5" a="1"/>
  <c r="S87" i="5" a="1"/>
  <c r="AA86" i="5" a="1"/>
  <c r="O115" i="5" a="1"/>
  <c r="AA113" i="5" a="1"/>
  <c r="S109" i="5" a="1"/>
  <c r="W108" i="5" a="1"/>
  <c r="AC106" i="5" a="1"/>
  <c r="W95" i="5" a="1"/>
  <c r="T94" i="5" a="1"/>
  <c r="Z119" i="5" a="1"/>
  <c r="R118" i="5" a="1"/>
  <c r="W116" i="5" a="1"/>
  <c r="N115" i="5" a="1"/>
  <c r="T112" i="5" a="1"/>
  <c r="S107" i="5" a="1"/>
  <c r="T99" i="5" a="1"/>
  <c r="U97" i="5" a="1"/>
  <c r="X95" i="5" a="1"/>
  <c r="AC114" i="5" a="1"/>
  <c r="V112" i="5" a="1"/>
  <c r="AB112" i="5" a="1"/>
  <c r="R110" i="5" a="1"/>
  <c r="AA107" i="5" a="1"/>
  <c r="W106" i="5" a="1"/>
  <c r="W119" i="5" a="1"/>
  <c r="AC117" i="5" a="1"/>
  <c r="S116" i="5" a="1"/>
  <c r="N110" i="5" a="1"/>
  <c r="X108" i="5" a="1"/>
  <c r="Y108" i="5" a="1"/>
  <c r="V114" i="5" a="1"/>
  <c r="X111" i="5" a="1"/>
  <c r="S111" i="5" a="1"/>
  <c r="Q120" i="5" a="1"/>
  <c r="Y117" i="5" a="1"/>
  <c r="AC116" i="5" a="1"/>
  <c r="R109" i="5" a="1"/>
  <c r="O114" i="5" a="1"/>
  <c r="R119" i="5" a="1"/>
  <c r="V117" i="5" a="1"/>
  <c r="Z116" i="5" a="1"/>
  <c r="Y109" i="5" a="1"/>
  <c r="T108" i="5" a="1"/>
  <c r="R107" i="5" a="1"/>
  <c r="P106" i="5" a="1"/>
  <c r="R97" i="5" a="1"/>
  <c r="X97" i="5" a="1"/>
  <c r="O97" i="5" a="1"/>
  <c r="V93" i="5" a="1"/>
  <c r="AB92" i="5" a="1"/>
  <c r="Z90" i="5" a="1"/>
  <c r="R87" i="5" a="1"/>
  <c r="P87" i="5" a="1"/>
  <c r="Y77" i="5" a="1"/>
  <c r="AB119" i="5" a="1"/>
  <c r="AB114" i="5" a="1"/>
  <c r="T111" i="5" a="1"/>
  <c r="Y111" i="5" a="1"/>
  <c r="Q96" i="5" a="1"/>
  <c r="V92" i="5" a="1"/>
  <c r="V90" i="5" a="1"/>
  <c r="Z86" i="5" a="1"/>
  <c r="Z85" i="5" a="1"/>
  <c r="AC73" i="5" a="1"/>
  <c r="N42" i="5" a="1"/>
  <c r="P33" i="5" a="1"/>
  <c r="V118" i="5" a="1"/>
  <c r="AB116" i="5" a="1"/>
  <c r="AA109" i="5" a="1"/>
  <c r="Z107" i="5" a="1"/>
  <c r="O108" i="5" a="1"/>
  <c r="Z106" i="5" a="1"/>
  <c r="Y97" i="5" a="1"/>
  <c r="Z97" i="5" a="1"/>
  <c r="Z96" i="5" a="1"/>
  <c r="X94" i="5" a="1"/>
  <c r="Z92" i="5" a="1"/>
  <c r="AB89" i="5" a="1"/>
  <c r="U90" i="5" a="1"/>
  <c r="N88" i="5" a="1"/>
  <c r="AB78" i="5" a="1"/>
  <c r="V76" i="5" a="1"/>
  <c r="W75" i="5" a="1"/>
  <c r="Y74" i="5" a="1"/>
  <c r="O42" i="5" a="1"/>
  <c r="AC119" i="5" a="1"/>
  <c r="Q119" i="5" a="1"/>
  <c r="Y113" i="5" a="1"/>
  <c r="AC112" i="5" a="1"/>
  <c r="P113" i="5" a="1"/>
  <c r="Y107" i="5" a="1"/>
  <c r="AC97" i="5" a="1"/>
  <c r="V96" i="5" a="1"/>
  <c r="O92" i="5" a="1"/>
  <c r="Q87" i="5" a="1"/>
  <c r="AB85" i="5" a="1"/>
  <c r="R76" i="5" a="1"/>
  <c r="N74" i="5" a="1"/>
  <c r="V32" i="5" a="1"/>
  <c r="AA33" i="5" a="1"/>
  <c r="N116" i="5" a="1"/>
  <c r="N113" i="5" a="1"/>
  <c r="T110" i="5" a="1"/>
  <c r="AB108" i="5" a="1"/>
  <c r="AA99" i="5" a="1"/>
  <c r="AC98" i="5" a="1"/>
  <c r="V95" i="5" a="1"/>
  <c r="X93" i="5" a="1"/>
  <c r="X91" i="5" a="1"/>
  <c r="T89" i="5" a="1"/>
  <c r="O89" i="5" a="1"/>
  <c r="Y87" i="5" a="1"/>
  <c r="AB86" i="5" a="1"/>
  <c r="AA78" i="5" a="1"/>
  <c r="AB75" i="5" a="1"/>
  <c r="X120" i="5" a="1"/>
  <c r="N119" i="5" a="1"/>
  <c r="Y114" i="5" a="1"/>
  <c r="AA112" i="5" a="1"/>
  <c r="U108" i="5" a="1"/>
  <c r="S115" i="5" a="1"/>
  <c r="R111" i="5" a="1"/>
  <c r="S110" i="5" a="1"/>
  <c r="AC120" i="5" a="1"/>
  <c r="Z118" i="5" a="1"/>
  <c r="O116" i="5" a="1"/>
  <c r="AA116" i="5" a="1"/>
  <c r="O113" i="5" a="1"/>
  <c r="AC109" i="5" a="1"/>
  <c r="R108" i="5" a="1"/>
  <c r="X117" i="5" a="1"/>
  <c r="AA114" i="5" a="1"/>
  <c r="P97" i="5" a="1"/>
  <c r="U94" i="5" a="1"/>
  <c r="Z89" i="5" a="1"/>
  <c r="AC78" i="5" a="1"/>
  <c r="Q77" i="5" a="1"/>
  <c r="S74" i="5" a="1"/>
  <c r="W30" i="5" a="1"/>
  <c r="AA28" i="5" a="1"/>
  <c r="O27" i="5" a="1"/>
  <c r="Z26" i="5" a="1"/>
  <c r="AA25" i="5" a="1"/>
  <c r="P24" i="5" a="1"/>
  <c r="Q48" i="5" a="1"/>
  <c r="V46" i="5" a="1"/>
  <c r="Z43" i="5" a="1"/>
  <c r="AC70" i="5" a="1"/>
  <c r="W20" i="5" a="1"/>
  <c r="Q65" i="5" a="1"/>
  <c r="P64" i="5" a="1"/>
  <c r="O56" i="5" a="1"/>
  <c r="U55" i="5" a="1"/>
  <c r="S70" i="5" a="1"/>
  <c r="AB68" i="5" a="1"/>
  <c r="Q51" i="5" a="1"/>
  <c r="T50" i="5" a="1"/>
  <c r="O49" i="5" a="1"/>
  <c r="X66" i="5" a="1"/>
  <c r="N49" i="5" a="1"/>
  <c r="AC68" i="5" a="1"/>
  <c r="O68" i="5" a="1"/>
  <c r="AC23" i="5" a="1"/>
  <c r="O65" i="5" a="1"/>
  <c r="N52" i="5" a="1"/>
  <c r="X72" i="5" a="1"/>
  <c r="N68" i="5" a="1"/>
  <c r="Q30" i="5" a="1"/>
  <c r="P20" i="5" a="1"/>
  <c r="N55" i="5" a="1"/>
  <c r="S51" i="5" a="1"/>
  <c r="Q24" i="5" a="1"/>
  <c r="AA44" i="5" a="1"/>
  <c r="AA68" i="5" a="1"/>
  <c r="R44" i="5" a="1"/>
  <c r="AC64" i="5" a="1"/>
  <c r="X51" i="5" a="1"/>
  <c r="X48" i="5" a="1"/>
  <c r="U20" i="5" a="1"/>
  <c r="N53" i="5" a="1"/>
  <c r="V50" i="5" a="1"/>
  <c r="Z69" i="5" a="1"/>
  <c r="Z54" i="5" a="1"/>
  <c r="V48" i="5" a="1"/>
  <c r="Q69" i="5" a="1"/>
  <c r="N70" i="5" a="1"/>
  <c r="O110" i="5" a="1"/>
  <c r="N107" i="5" a="1"/>
  <c r="V97" i="5" a="1"/>
  <c r="AB91" i="5" a="1"/>
  <c r="AA85" i="5" a="1"/>
  <c r="AB74" i="5" a="1"/>
  <c r="P75" i="5" a="1"/>
  <c r="U34" i="5" a="1"/>
  <c r="S32" i="5" a="1"/>
  <c r="Z31" i="5" a="1"/>
  <c r="V25" i="5" a="1"/>
  <c r="AA23" i="5" a="1"/>
  <c r="T21" i="5" a="1"/>
  <c r="T45" i="5" a="1"/>
  <c r="O44" i="5" a="1"/>
  <c r="Z72" i="5" a="1"/>
  <c r="V53" i="5" a="1"/>
  <c r="AB67" i="5" a="1"/>
  <c r="P65" i="5" a="1"/>
  <c r="AC54" i="5" a="1"/>
  <c r="Y68" i="5" a="1"/>
  <c r="AB50" i="5" a="1"/>
  <c r="Y49" i="5" a="1"/>
  <c r="U24" i="5" a="1"/>
  <c r="S46" i="5" a="1"/>
  <c r="U53" i="5" a="1"/>
  <c r="S26" i="5" a="1"/>
  <c r="Q45" i="5" a="1"/>
  <c r="V20" i="5" a="1"/>
  <c r="T70" i="5" a="1"/>
  <c r="N51" i="5" a="1"/>
  <c r="AB48" i="5" a="1"/>
  <c r="Z68" i="5" a="1"/>
  <c r="P31" i="5" a="1"/>
  <c r="Z46" i="5" a="1"/>
  <c r="U70" i="5" a="1"/>
  <c r="AA55" i="5" a="1"/>
  <c r="AC51" i="5" a="1"/>
  <c r="AC26" i="5" a="1"/>
  <c r="AB69" i="5" a="1"/>
  <c r="O67" i="5" a="1"/>
  <c r="AA71" i="5" a="1"/>
  <c r="AB56" i="5" a="1"/>
  <c r="U52" i="5" a="1"/>
  <c r="Y69" i="5" a="1"/>
  <c r="Z64" i="5" a="1"/>
  <c r="U72" i="5" a="1"/>
  <c r="R52" i="5" a="1"/>
  <c r="Y65" i="5" a="1"/>
  <c r="S54" i="5" a="1"/>
  <c r="S66" i="5" a="1"/>
  <c r="AC69" i="5" a="1"/>
  <c r="AA66" i="5" a="1"/>
  <c r="AB118" i="5" a="1"/>
  <c r="W113" i="5" a="1"/>
  <c r="AB106" i="5" a="1"/>
  <c r="U96" i="5" a="1"/>
  <c r="V94" i="5" a="1"/>
  <c r="T90" i="5" a="1"/>
  <c r="V88" i="5" a="1"/>
  <c r="P77" i="5" a="1"/>
  <c r="AB73" i="5" a="1"/>
  <c r="P32" i="5" a="1"/>
  <c r="X31" i="5" a="1"/>
  <c r="V28" i="5" a="1"/>
  <c r="X26" i="5" a="1"/>
  <c r="R27" i="5" a="1"/>
  <c r="N24" i="5" a="1"/>
  <c r="P48" i="5" a="1"/>
  <c r="S45" i="5" a="1"/>
  <c r="N44" i="5" a="1"/>
  <c r="Z70" i="5" a="1"/>
  <c r="X20" i="5" a="1"/>
  <c r="N64" i="5" a="1"/>
  <c r="N56" i="5" a="1"/>
  <c r="O70" i="5" a="1"/>
  <c r="S52" i="5" a="1"/>
  <c r="T66" i="5" a="1"/>
  <c r="AB44" i="5" a="1"/>
  <c r="W72" i="5" a="1"/>
  <c r="Z66" i="5" a="1"/>
  <c r="Y43" i="5" a="1"/>
  <c r="V70" i="5" a="1"/>
  <c r="V64" i="5" a="1"/>
  <c r="P55" i="5" a="1"/>
  <c r="AC52" i="5" a="1"/>
  <c r="S50" i="5" a="1"/>
  <c r="AC44" i="5" a="1"/>
  <c r="X23" i="5" a="1"/>
  <c r="AB47" i="5" a="1"/>
  <c r="W71" i="5" a="1"/>
  <c r="Y56" i="5" a="1"/>
  <c r="AA52" i="5" a="1"/>
  <c r="R50" i="5" a="1"/>
  <c r="T25" i="5" a="1"/>
  <c r="W48" i="5" a="1"/>
  <c r="Z22" i="5" a="1"/>
  <c r="X70" i="5" a="1"/>
  <c r="T54" i="5" a="1"/>
  <c r="Q50" i="5" a="1"/>
  <c r="X68" i="5" a="1"/>
  <c r="W70" i="5" a="1"/>
  <c r="R54" i="5" a="1"/>
  <c r="N50" i="5" a="1"/>
  <c r="Z48" i="5" a="1"/>
  <c r="T51" i="5" a="1"/>
  <c r="P50" i="5" a="1"/>
  <c r="X49" i="5" a="1"/>
  <c r="R71" i="5" a="1"/>
  <c r="X43" i="5" a="1"/>
  <c r="U109" i="5" a="1"/>
  <c r="O99" i="5" a="1"/>
  <c r="N92" i="5" a="1"/>
  <c r="U88" i="5" a="1"/>
  <c r="V86" i="5" a="1"/>
  <c r="V78" i="5" a="1"/>
  <c r="T74" i="5" a="1"/>
  <c r="Q42" i="5" a="1"/>
  <c r="AB33" i="5" a="1"/>
  <c r="AB24" i="5" a="1"/>
  <c r="U21" i="5" a="1"/>
  <c r="V66" i="5" a="1"/>
  <c r="O28" i="5" a="1"/>
  <c r="X46" i="5" a="1"/>
  <c r="Y50" i="5" a="1"/>
  <c r="AA67" i="5" a="1"/>
  <c r="AA56" i="5" a="1"/>
  <c r="Z67" i="5" a="1"/>
  <c r="T72" i="5" a="1"/>
  <c r="AC55" i="5" a="1"/>
  <c r="O64" i="5" a="1"/>
  <c r="P118" i="5" a="1"/>
  <c r="V113" i="5" a="1"/>
  <c r="AC96" i="5" a="1"/>
  <c r="AB93" i="5" a="1"/>
  <c r="Q92" i="5" a="1"/>
  <c r="Q90" i="5" a="1"/>
  <c r="Y86" i="5" a="1"/>
  <c r="O77" i="5" a="1"/>
  <c r="Q74" i="5" a="1"/>
  <c r="O32" i="5" a="1"/>
  <c r="O31" i="5" a="1"/>
  <c r="R29" i="5" a="1"/>
  <c r="P28" i="5" a="1"/>
  <c r="N48" i="5" a="1"/>
  <c r="AB55" i="5" a="1"/>
  <c r="AA48" i="5" a="1"/>
  <c r="R45" i="5" a="1"/>
  <c r="AC67" i="5" a="1"/>
  <c r="Y55" i="5" a="1"/>
  <c r="O55" i="5" a="1"/>
  <c r="Z49" i="5" a="1"/>
  <c r="Q52" i="5" a="1"/>
  <c r="AC48" i="5" a="1"/>
  <c r="Y48" i="5" a="1"/>
  <c r="N112" i="5" a="1"/>
  <c r="Q111" i="5" a="1"/>
  <c r="AA106" i="5" a="1"/>
  <c r="P98" i="5" a="1"/>
  <c r="Y93" i="5" a="1"/>
  <c r="Q93" i="5" a="1"/>
  <c r="Y88" i="5" a="1"/>
  <c r="Q78" i="5" a="1"/>
  <c r="R73" i="5" a="1"/>
  <c r="Z42" i="5" a="1"/>
  <c r="R33" i="5" a="1"/>
  <c r="P27" i="5" a="1"/>
  <c r="U25" i="5" a="1"/>
  <c r="T24" i="5" a="1"/>
  <c r="Z21" i="5" a="1"/>
  <c r="AC45" i="5" a="1"/>
  <c r="N65" i="5" a="1"/>
  <c r="X21" i="5" a="1"/>
  <c r="Q20" i="5" a="1"/>
  <c r="AC66" i="5" a="1"/>
  <c r="V54" i="5" a="1"/>
  <c r="P67" i="5" a="1"/>
  <c r="AB52" i="5" a="1"/>
  <c r="W65" i="5" a="1"/>
  <c r="P69" i="5" a="1"/>
  <c r="R117" i="5" a="1"/>
  <c r="AC111" i="5" a="1"/>
  <c r="V107" i="5" a="1"/>
  <c r="O90" i="5" a="1"/>
  <c r="R85" i="5" a="1"/>
  <c r="N76" i="5" a="1"/>
  <c r="N75" i="5" a="1"/>
  <c r="N43" i="5" a="1"/>
  <c r="N32" i="5" a="1"/>
  <c r="AA69" i="5" a="1"/>
  <c r="S53" i="5" a="1"/>
  <c r="S112" i="5" a="1"/>
  <c r="X106" i="5" a="1"/>
  <c r="R98" i="5" a="1"/>
  <c r="Y96" i="5" a="1"/>
  <c r="W93" i="5" a="1"/>
  <c r="P93" i="5" a="1"/>
  <c r="Q89" i="5" a="1"/>
  <c r="W85" i="5" a="1"/>
  <c r="W77" i="5" a="1"/>
  <c r="P76" i="5" a="1"/>
  <c r="AB42" i="5" a="1"/>
  <c r="AA32" i="5" a="1"/>
  <c r="V30" i="5" a="1"/>
  <c r="X54" i="5" a="1"/>
  <c r="W118" i="5" a="1"/>
  <c r="N108" i="5" a="1"/>
  <c r="S91" i="5" a="1"/>
  <c r="R90" i="5" a="1"/>
  <c r="R74" i="5" a="1"/>
  <c r="AC42" i="5" a="1"/>
  <c r="X30" i="5" a="1"/>
  <c r="U29" i="5" a="1"/>
  <c r="N28" i="5" a="1"/>
  <c r="Z47" i="5" a="1"/>
  <c r="AB54" i="5" a="1"/>
  <c r="AC20" i="5" a="1"/>
  <c r="W117" i="5" a="1"/>
  <c r="U111" i="5" a="1"/>
  <c r="AB107" i="5" a="1"/>
  <c r="Q106" i="5" a="1"/>
  <c r="AA97" i="5" a="1"/>
  <c r="AC95" i="5" a="1"/>
  <c r="S93" i="5" a="1"/>
  <c r="AC89" i="5" a="1"/>
  <c r="S88" i="5" a="1"/>
  <c r="X86" i="5" a="1"/>
  <c r="AC77" i="5" a="1"/>
  <c r="T75" i="5" a="1"/>
  <c r="O33" i="5" a="1"/>
  <c r="R30" i="5" a="1"/>
  <c r="Z27" i="5" a="1"/>
  <c r="R26" i="5" a="1"/>
  <c r="R25" i="5" a="1"/>
  <c r="S24" i="5" a="1"/>
  <c r="S21" i="5" a="1"/>
  <c r="Y46" i="5" a="1"/>
  <c r="AA45" i="5" a="1"/>
  <c r="O112" i="5" a="1"/>
  <c r="Y92" i="5" a="1"/>
  <c r="Z73" i="5" a="1"/>
  <c r="P43" i="5" a="1"/>
  <c r="W34" i="5" a="1"/>
  <c r="Z28" i="5" a="1"/>
  <c r="P30" i="5" a="1"/>
  <c r="Y22" i="5" a="1"/>
  <c r="Y47" i="5" a="1"/>
  <c r="R46" i="5" a="1"/>
  <c r="W44" i="5" a="1"/>
  <c r="Z71" i="5" a="1"/>
  <c r="X116" i="5" a="1"/>
  <c r="X107" i="5" a="1"/>
  <c r="AB99" i="5" a="1"/>
  <c r="Q99" i="5" a="1"/>
  <c r="S95" i="5" a="1"/>
  <c r="AC93" i="5" a="1"/>
  <c r="V89" i="5" a="1"/>
  <c r="Q88" i="5" a="1"/>
  <c r="R86" i="5" a="1"/>
  <c r="O78" i="5" a="1"/>
  <c r="W76" i="5" a="1"/>
  <c r="Y73" i="5" a="1"/>
  <c r="X32" i="5" a="1"/>
  <c r="AB31" i="5" a="1"/>
  <c r="X27" i="5" a="1"/>
  <c r="V26" i="5" a="1"/>
  <c r="Q25" i="5" a="1"/>
  <c r="AA22" i="5" a="1"/>
  <c r="Y21" i="5" a="1"/>
  <c r="P46" i="5" a="1"/>
  <c r="Z45" i="5" a="1"/>
  <c r="W49" i="5" a="1"/>
  <c r="V111" i="5" a="1"/>
  <c r="S94" i="5" a="1"/>
  <c r="O93" i="5" a="1"/>
  <c r="P89" i="5" a="1"/>
  <c r="N78" i="5" a="1"/>
  <c r="O43" i="5" a="1"/>
  <c r="W42" i="5" a="1"/>
  <c r="AC29" i="5" a="1"/>
  <c r="Y29" i="5" a="1"/>
  <c r="V22" i="5" a="1"/>
  <c r="X47" i="5" a="1"/>
  <c r="U44" i="5" a="1"/>
  <c r="Y71" i="5" a="1"/>
  <c r="Y70" i="5" a="1"/>
  <c r="T20" i="5" a="1"/>
  <c r="AB64" i="5" a="1"/>
  <c r="Z56" i="5" a="1"/>
  <c r="Q71" i="5" a="1"/>
  <c r="Z115" i="5" a="1"/>
  <c r="U107" i="5" a="1"/>
  <c r="V99" i="5" a="1"/>
  <c r="Y98" i="5" a="1"/>
  <c r="AB96" i="5" a="1"/>
  <c r="P86" i="5" a="1"/>
  <c r="Z75" i="5" a="1"/>
  <c r="U73" i="5" a="1"/>
  <c r="AA30" i="5" a="1"/>
  <c r="W29" i="5" a="1"/>
  <c r="W27" i="5" a="1"/>
  <c r="Q26" i="5" a="1"/>
  <c r="P25" i="5" a="1"/>
  <c r="AB22" i="5" a="1"/>
  <c r="O22" i="5" a="1"/>
  <c r="AB45" i="5" a="1"/>
  <c r="Y45" i="5" a="1"/>
  <c r="V68" i="5" a="1"/>
  <c r="Y67" i="5" a="1"/>
  <c r="Q56" i="5" a="1"/>
  <c r="Y112" i="5" a="1"/>
  <c r="Y106" i="5" a="1"/>
  <c r="P99" i="5" a="1"/>
  <c r="V91" i="5" a="1"/>
  <c r="U91" i="5" a="1"/>
  <c r="N89" i="5" a="1"/>
  <c r="O88" i="5" a="1"/>
  <c r="R78" i="5" a="1"/>
  <c r="AB34" i="5" a="1"/>
  <c r="R42" i="5" a="1"/>
  <c r="W33" i="5" a="1"/>
  <c r="Z29" i="5" a="1"/>
  <c r="W24" i="5" a="1"/>
  <c r="W22" i="5" a="1"/>
  <c r="W47" i="5" a="1"/>
  <c r="U45" i="5" a="1"/>
  <c r="Q43" i="5" a="1"/>
  <c r="V71" i="5" a="1"/>
  <c r="N72" i="5" a="1"/>
  <c r="S20" i="5" a="1"/>
  <c r="AA64" i="5" a="1"/>
  <c r="W56" i="5" a="1"/>
  <c r="W54" i="5" a="1"/>
  <c r="V69" i="5" a="1"/>
  <c r="S72" i="5" a="1"/>
  <c r="P54" i="5" a="1"/>
  <c r="Z52" i="5" a="1"/>
  <c r="P52" i="5" a="1"/>
  <c r="X50" i="5" a="1"/>
  <c r="N54" i="5" a="1"/>
  <c r="Z50" i="5" a="1"/>
  <c r="N21" i="5" a="1"/>
  <c r="G1" i="5"/>
  <c r="V115" i="5" a="1"/>
  <c r="V108" i="5" a="1"/>
  <c r="W94" i="5" a="1"/>
  <c r="T86" i="5" a="1"/>
  <c r="O76" i="5" a="1"/>
  <c r="X73" i="5" a="1"/>
  <c r="T34" i="5" a="1"/>
  <c r="T30" i="5" a="1"/>
  <c r="T28" i="5" a="1"/>
  <c r="AA26" i="5" a="1"/>
  <c r="P26" i="5" a="1"/>
  <c r="R23" i="5" a="1"/>
  <c r="N22" i="5" a="1"/>
  <c r="Z44" i="5" a="1"/>
  <c r="Q55" i="5" a="1"/>
  <c r="W68" i="5" a="1"/>
  <c r="P51" i="5" a="1"/>
  <c r="O50" i="5" a="1"/>
  <c r="T67" i="5" a="1"/>
  <c r="P66" i="5" a="1"/>
  <c r="V51" i="5" a="1"/>
  <c r="S44" i="5" a="1"/>
  <c r="S68" i="5" a="1"/>
  <c r="AA51" i="5" a="1"/>
  <c r="N67" i="5" a="1"/>
  <c r="AA53" i="5" a="1"/>
  <c r="AB72" i="5" a="1"/>
  <c r="R53" i="5" a="1"/>
  <c r="U112" i="5" a="1"/>
  <c r="Y99" i="5" a="1"/>
  <c r="U98" i="5" a="1"/>
  <c r="AC91" i="5" a="1"/>
  <c r="Y90" i="5" a="1"/>
  <c r="AC88" i="5" a="1"/>
  <c r="S86" i="5" a="1"/>
  <c r="Z77" i="5" a="1"/>
  <c r="R34" i="5" a="1"/>
  <c r="S33" i="5" a="1"/>
  <c r="X29" i="5" a="1"/>
  <c r="O25" i="5" a="1"/>
  <c r="Q22" i="5" a="1"/>
  <c r="T47" i="5" a="1"/>
  <c r="N46" i="5" a="1"/>
  <c r="T44" i="5" a="1"/>
  <c r="U71" i="5" a="1"/>
  <c r="AC71" i="5" a="1"/>
  <c r="R20" i="5" a="1"/>
  <c r="Y64" i="5" a="1"/>
  <c r="U56" i="5" a="1"/>
  <c r="R68" i="5" a="1"/>
  <c r="U69" i="5" a="1"/>
  <c r="R72" i="5" a="1"/>
  <c r="W53" i="5" a="1"/>
  <c r="W52" i="5" a="1"/>
  <c r="O52" i="5" a="1"/>
  <c r="V67" i="5" a="1"/>
  <c r="S43" i="5" a="1"/>
  <c r="V56" i="5" a="1"/>
  <c r="P21" i="5" a="1"/>
  <c r="S69" i="5" a="1"/>
  <c r="T56" i="5" a="1"/>
  <c r="P73" i="5" a="1"/>
  <c r="T53" i="5" a="1"/>
  <c r="AB46" i="5" a="1"/>
  <c r="N66" i="5" a="1"/>
  <c r="T65" i="5" a="1"/>
  <c r="U115" i="5" a="1"/>
  <c r="Q109" i="5" a="1"/>
  <c r="U99" i="5" a="1"/>
  <c r="P95" i="5" a="1"/>
  <c r="AC85" i="5" a="1"/>
  <c r="U78" i="5" a="1"/>
  <c r="AC76" i="5" a="1"/>
  <c r="Z74" i="5" a="1"/>
  <c r="U42" i="5" a="1"/>
  <c r="V31" i="5" a="1"/>
  <c r="U28" i="5" a="1"/>
  <c r="V29" i="5" a="1"/>
  <c r="T26" i="5" a="1"/>
  <c r="X25" i="5" a="1"/>
  <c r="Q23" i="5" a="1"/>
  <c r="AB21" i="5" a="1"/>
  <c r="U47" i="5" a="1"/>
  <c r="AB43" i="5" a="1"/>
  <c r="X55" i="5" a="1"/>
  <c r="O51" i="5" a="1"/>
  <c r="V49" i="5" a="1"/>
  <c r="S67" i="5" a="1"/>
  <c r="AA65" i="5" a="1"/>
  <c r="O54" i="5" a="1"/>
  <c r="AB65" i="5" a="1"/>
  <c r="S47" i="5" a="1"/>
  <c r="U49" i="5" a="1"/>
  <c r="W64" i="5" a="1"/>
  <c r="O72" i="5" a="1"/>
  <c r="Q73" i="5" a="1"/>
  <c r="AC53" i="5" a="1"/>
  <c r="O66" i="5" a="1"/>
  <c r="S49" i="5" a="1"/>
  <c r="V43" i="5" a="1"/>
  <c r="U66" i="5" a="1"/>
  <c r="W51" i="5" a="1"/>
  <c r="Y116" i="5" a="1"/>
  <c r="S108" i="5" a="1"/>
  <c r="N99" i="5" a="1"/>
  <c r="R92" i="5" a="1"/>
  <c r="AB90" i="5" a="1"/>
  <c r="R88" i="5" a="1"/>
  <c r="O86" i="5" a="1"/>
  <c r="Q76" i="5" a="1"/>
  <c r="N34" i="5" a="1"/>
  <c r="AC32" i="5" a="1"/>
  <c r="O26" i="5" a="1"/>
  <c r="N25" i="5" a="1"/>
  <c r="P22" i="5" a="1"/>
  <c r="T46" i="5" a="1"/>
  <c r="U43" i="5" a="1"/>
  <c r="T71" i="5" a="1"/>
  <c r="AB71" i="5" a="1"/>
  <c r="O20" i="5" a="1"/>
  <c r="X64" i="5" a="1"/>
  <c r="X56" i="5" a="1"/>
  <c r="T68" i="5" a="1"/>
  <c r="T69" i="5" a="1"/>
  <c r="Q72" i="5" a="1"/>
  <c r="Y52" i="5" a="1"/>
  <c r="AB51" i="5" a="1"/>
  <c r="U67" i="5" a="1"/>
  <c r="O23" i="5" a="1"/>
  <c r="AC50" i="5" a="1"/>
  <c r="S71" i="5" a="1"/>
  <c r="V55" i="5" a="1"/>
  <c r="T49" i="5" a="1"/>
  <c r="X52" i="5" a="1"/>
  <c r="Z51" i="5" a="1"/>
  <c r="N73" i="5" a="1"/>
  <c r="Q66" i="5" a="1"/>
  <c r="V65" i="5" a="1"/>
  <c r="AC110" i="5" a="1"/>
  <c r="AC99" i="5" a="1"/>
  <c r="Z94" i="5" a="1"/>
  <c r="Q85" i="5" a="1"/>
  <c r="P78" i="5" a="1"/>
  <c r="V74" i="5" a="1"/>
  <c r="T42" i="5" a="1"/>
  <c r="AC31" i="5" a="1"/>
  <c r="Y28" i="5" a="1"/>
  <c r="T29" i="5" a="1"/>
  <c r="Y26" i="5" a="1"/>
  <c r="R21" i="5" a="1"/>
  <c r="R67" i="5" a="1"/>
  <c r="R66" i="5" a="1"/>
  <c r="P72" i="5" a="1"/>
  <c r="T48" i="5" a="1"/>
  <c r="Y115" i="5" a="1"/>
  <c r="N93" i="5" a="1"/>
  <c r="X90" i="5" a="1"/>
  <c r="Z88" i="5" a="1"/>
  <c r="Y85" i="5" a="1"/>
  <c r="AA75" i="5" a="1"/>
  <c r="AA34" i="5" a="1"/>
  <c r="Z32" i="5" a="1"/>
  <c r="N26" i="5" a="1"/>
  <c r="AC24" i="5" a="1"/>
  <c r="U22" i="5" a="1"/>
  <c r="U48" i="5" a="1"/>
  <c r="O46" i="5" a="1"/>
  <c r="N20" i="5" a="1"/>
  <c r="V52" i="5" a="1"/>
  <c r="O73" i="5" a="1"/>
  <c r="S48" i="5" a="1"/>
  <c r="AB110" i="5" a="1"/>
  <c r="W107" i="5" a="1"/>
  <c r="T95" i="5" a="1"/>
  <c r="O95" i="5" a="1"/>
  <c r="AA88" i="5" a="1"/>
  <c r="O85" i="5" a="1"/>
  <c r="S77" i="5" a="1"/>
  <c r="T73" i="5" a="1"/>
  <c r="T33" i="5" a="1"/>
  <c r="U30" i="5" a="1"/>
  <c r="AB29" i="5" a="1"/>
  <c r="Q29" i="5" a="1"/>
  <c r="N27" i="5" a="1"/>
  <c r="U23" i="5" a="1"/>
  <c r="R47" i="5" a="1"/>
  <c r="V44" i="5" a="1"/>
  <c r="R55" i="5" a="1"/>
  <c r="T115" i="5" a="1"/>
  <c r="AB98" i="5" a="1"/>
  <c r="N97" i="5" a="1"/>
  <c r="AC92" i="5" a="1"/>
  <c r="S90" i="5" a="1"/>
  <c r="O87" i="5" a="1"/>
  <c r="S75" i="5" a="1"/>
  <c r="S42" i="5" a="1"/>
  <c r="AB32" i="5" a="1"/>
  <c r="AB27" i="5" a="1"/>
  <c r="W25" i="5" a="1"/>
  <c r="AA24" i="5" a="1"/>
  <c r="T22" i="5" a="1"/>
  <c r="R48" i="5" a="1"/>
  <c r="AC46" i="5" a="1"/>
  <c r="R43" i="5" a="1"/>
  <c r="P71" i="5" a="1"/>
  <c r="O21" i="5" a="1"/>
  <c r="X65" i="5" a="1"/>
  <c r="T64" i="5" a="1"/>
  <c r="P56" i="5" a="1"/>
  <c r="T55" i="5" a="1"/>
  <c r="Q70" i="5" a="1"/>
  <c r="R69" i="5" a="1"/>
  <c r="Y51" i="5" a="1"/>
  <c r="Z110" i="5" a="1"/>
  <c r="AB94" i="5" a="1"/>
  <c r="P88" i="5" a="1"/>
  <c r="X78" i="5" a="1"/>
  <c r="X77" i="5" a="1"/>
  <c r="X74" i="5" a="1"/>
  <c r="X33" i="5" a="1"/>
  <c r="R31" i="5" a="1"/>
  <c r="R28" i="5" a="1"/>
  <c r="P29" i="5" a="1"/>
  <c r="Y23" i="5" a="1"/>
  <c r="R22" i="5" a="1"/>
  <c r="O47" i="5" a="1"/>
  <c r="AA43" i="5" a="1"/>
  <c r="Q64" i="5" a="1"/>
  <c r="R116" i="5" a="1"/>
  <c r="AA108" i="5" a="1"/>
  <c r="T97" i="5" a="1"/>
  <c r="W96" i="5" a="1"/>
  <c r="AA94" i="5" a="1"/>
  <c r="Z91" i="5" a="1"/>
  <c r="W89" i="5" a="1"/>
  <c r="U86" i="5" a="1"/>
  <c r="U75" i="5" a="1"/>
  <c r="W74" i="5" a="1"/>
  <c r="P42" i="5" a="1"/>
  <c r="R32" i="5" a="1"/>
  <c r="Q27" i="5" a="1"/>
  <c r="AC25" i="5" a="1"/>
  <c r="Z24" i="5" a="1"/>
  <c r="V109" i="5" a="1"/>
  <c r="N98" i="5" a="1"/>
  <c r="R95" i="5" a="1"/>
  <c r="Z93" i="5" a="1"/>
  <c r="AA87" i="5" a="1"/>
  <c r="X76" i="5" a="1"/>
  <c r="AC75" i="5" a="1"/>
  <c r="W32" i="5" a="1"/>
  <c r="Y30" i="5" a="1"/>
  <c r="AB28" i="5" a="1"/>
  <c r="O29" i="5" a="1"/>
  <c r="N23" i="5" a="1"/>
  <c r="X22" i="5" a="1"/>
  <c r="Q47" i="5" a="1"/>
  <c r="W43" i="5" a="1"/>
  <c r="AC113" i="5" a="1"/>
  <c r="N106" i="5" a="1"/>
  <c r="Y95" i="5" a="1"/>
  <c r="R91" i="5" a="1"/>
  <c r="P90" i="5" a="1"/>
  <c r="S85" i="5" a="1"/>
  <c r="AA74" i="5" a="1"/>
  <c r="O34" i="5" a="1"/>
  <c r="U32" i="5" a="1"/>
  <c r="AB26" i="5" a="1"/>
  <c r="AA27" i="5" a="1"/>
  <c r="Y25" i="5" a="1"/>
  <c r="AC22" i="5" a="1"/>
  <c r="V23" i="5" a="1"/>
  <c r="W114" i="5" a="1"/>
  <c r="V98" i="5" a="1"/>
  <c r="R93" i="5" a="1"/>
  <c r="W91" i="5" a="1"/>
  <c r="V87" i="5" a="1"/>
  <c r="N87" i="5" a="1"/>
  <c r="T77" i="5" a="1"/>
  <c r="T76" i="5" a="1"/>
  <c r="Y75" i="5" a="1"/>
  <c r="AC34" i="5" a="1"/>
  <c r="U33" i="5" a="1"/>
  <c r="N31" i="5" a="1"/>
  <c r="AA29" i="5" a="1"/>
  <c r="AC21" i="5" a="1"/>
  <c r="P47" i="5" a="1"/>
  <c r="P114" i="5" a="1"/>
  <c r="Z99" i="5" a="1"/>
  <c r="S96" i="5" a="1"/>
  <c r="X89" i="5" a="1"/>
  <c r="Q75" i="5" a="1"/>
  <c r="S31" i="5" a="1"/>
  <c r="Y27" i="5" a="1"/>
  <c r="U27" i="5" a="1"/>
  <c r="Y24" i="5" a="1"/>
  <c r="W23" i="5" a="1"/>
  <c r="Z23" i="5" a="1"/>
  <c r="AC47" i="5" a="1"/>
  <c r="U46" i="5" a="1"/>
  <c r="Z98" i="5" a="1"/>
  <c r="N94" i="5" a="1"/>
  <c r="U92" i="5" a="1"/>
  <c r="X88" i="5" a="1"/>
  <c r="AC86" i="5" a="1"/>
  <c r="Z78" i="5" a="1"/>
  <c r="Y76" i="5" a="1"/>
  <c r="R75" i="5" a="1"/>
  <c r="P34" i="5" a="1"/>
  <c r="Q33" i="5" a="1"/>
  <c r="AB30" i="5" a="1"/>
  <c r="AB113" i="5" a="1"/>
  <c r="T109" i="5" a="1"/>
  <c r="T106" i="5" a="1"/>
  <c r="Z95" i="5" a="1"/>
  <c r="W90" i="5" a="1"/>
  <c r="S76" i="5" a="1"/>
  <c r="U74" i="5" a="1"/>
  <c r="AC30" i="5" a="1"/>
  <c r="AC28" i="5" a="1"/>
  <c r="V27" i="5" a="1"/>
  <c r="S27" i="5" a="1"/>
  <c r="AB25" i="5" a="1"/>
  <c r="T23" i="5" a="1"/>
  <c r="AA47" i="5" a="1"/>
  <c r="AA46" i="5" a="1"/>
  <c r="P44" i="5" a="1"/>
  <c r="N71" i="5" a="1"/>
  <c r="AA20" i="5" a="1"/>
  <c r="S65" i="5" a="1"/>
  <c r="S64" i="5" a="1"/>
  <c r="S56" i="5" a="1"/>
  <c r="AA54" i="5" a="1"/>
  <c r="P70" i="5" a="1"/>
  <c r="O69" i="5" a="1"/>
  <c r="Q49" i="5" a="1"/>
  <c r="R70" i="5" a="1"/>
  <c r="W45" i="5" a="1"/>
  <c r="P49" i="5" a="1"/>
  <c r="W46" i="5" a="1"/>
  <c r="N69" i="5" a="1"/>
  <c r="O45" i="5" a="1"/>
  <c r="T88" i="5" a="1"/>
  <c r="N45" i="5" a="1"/>
  <c r="U77" i="5" a="1"/>
  <c r="Z65" i="5" a="1"/>
  <c r="AA72" i="5" a="1"/>
  <c r="Y72" i="5" a="1"/>
  <c r="AB53" i="5" a="1"/>
  <c r="X34" i="5" a="1"/>
  <c r="N29" i="5" a="1"/>
  <c r="R65" i="5" a="1"/>
  <c r="W50" i="5" a="1"/>
  <c r="AB49" i="5" a="1"/>
  <c r="W21" i="5" a="1"/>
  <c r="AB109" i="5" a="1"/>
  <c r="AA98" i="5" a="1"/>
  <c r="AB66" i="5" a="1"/>
  <c r="T92" i="5" a="1"/>
  <c r="Y66" i="5" a="1"/>
  <c r="W86" i="5" a="1"/>
  <c r="AC72" i="5" a="1"/>
  <c r="AC43" i="5" a="1"/>
  <c r="Q44" i="5" a="1"/>
  <c r="S73" i="5" a="1"/>
  <c r="P68" i="5" a="1"/>
  <c r="Y53" i="5" a="1"/>
  <c r="O71" i="5" a="1"/>
  <c r="AB20" i="5" a="1"/>
  <c r="AC56" i="5" a="1"/>
  <c r="AA21" i="5" a="1"/>
  <c r="Q68" i="5" a="1"/>
  <c r="Y33" i="5" a="1"/>
  <c r="AA31" i="5" a="1"/>
  <c r="Q53" i="5" a="1"/>
  <c r="P53" i="5" a="1"/>
  <c r="V24" i="5" a="1"/>
  <c r="S55" i="5" a="1"/>
  <c r="Z53" i="5" a="1"/>
  <c r="R51" i="5" a="1"/>
  <c r="U50" i="5" a="1"/>
  <c r="O24" i="5" a="1"/>
  <c r="X53" i="5" a="1"/>
  <c r="Z55" i="5" a="1"/>
  <c r="I16" i="5" a="1"/>
  <c r="Z55" i="5" l="1"/>
  <c r="X53" i="5"/>
  <c r="O24" i="5"/>
  <c r="U50" i="5"/>
  <c r="R51" i="5"/>
  <c r="Z53" i="5"/>
  <c r="S55" i="5"/>
  <c r="V24" i="5"/>
  <c r="P53" i="5"/>
  <c r="Q53" i="5"/>
  <c r="AA31" i="5"/>
  <c r="Y33" i="5"/>
  <c r="Q68" i="5"/>
  <c r="AA21" i="5"/>
  <c r="AC56" i="5"/>
  <c r="AB20" i="5"/>
  <c r="O71" i="5"/>
  <c r="Y53" i="5"/>
  <c r="P68" i="5"/>
  <c r="S73" i="5"/>
  <c r="Q44" i="5"/>
  <c r="AC43" i="5"/>
  <c r="AC72" i="5"/>
  <c r="W86" i="5"/>
  <c r="Y66" i="5"/>
  <c r="T92" i="5"/>
  <c r="AB66" i="5"/>
  <c r="AA98" i="5"/>
  <c r="AB109" i="5"/>
  <c r="W21" i="5"/>
  <c r="AB49" i="5"/>
  <c r="W50" i="5"/>
  <c r="R65" i="5"/>
  <c r="N29" i="5"/>
  <c r="X34" i="5"/>
  <c r="AB53" i="5"/>
  <c r="Y72" i="5"/>
  <c r="AA72" i="5"/>
  <c r="Z65" i="5"/>
  <c r="U77" i="5"/>
  <c r="N45" i="5"/>
  <c r="T88" i="5"/>
  <c r="O45" i="5"/>
  <c r="N69" i="5"/>
  <c r="W46" i="5"/>
  <c r="P49" i="5"/>
  <c r="W45" i="5"/>
  <c r="R70" i="5"/>
  <c r="Q49" i="5"/>
  <c r="O69" i="5"/>
  <c r="P70" i="5"/>
  <c r="AA54" i="5"/>
  <c r="S56" i="5"/>
  <c r="S64" i="5"/>
  <c r="S65" i="5"/>
  <c r="AA20" i="5"/>
  <c r="N71" i="5"/>
  <c r="P44" i="5"/>
  <c r="AA46" i="5"/>
  <c r="AA47" i="5"/>
  <c r="T23" i="5"/>
  <c r="AB25" i="5"/>
  <c r="S27" i="5"/>
  <c r="V27" i="5"/>
  <c r="AC28" i="5"/>
  <c r="AC30" i="5"/>
  <c r="U74" i="5"/>
  <c r="S76" i="5"/>
  <c r="W90" i="5"/>
  <c r="Z95" i="5"/>
  <c r="T106" i="5"/>
  <c r="T109" i="5"/>
  <c r="AB113" i="5"/>
  <c r="AB30" i="5"/>
  <c r="Q33" i="5"/>
  <c r="P34" i="5"/>
  <c r="R75" i="5"/>
  <c r="Y76" i="5"/>
  <c r="Z78" i="5"/>
  <c r="AC86" i="5"/>
  <c r="X88" i="5"/>
  <c r="U92" i="5"/>
  <c r="N94" i="5"/>
  <c r="Z98" i="5"/>
  <c r="U46" i="5"/>
  <c r="AC47" i="5"/>
  <c r="Z23" i="5"/>
  <c r="W23" i="5"/>
  <c r="Y24" i="5"/>
  <c r="U27" i="5"/>
  <c r="Y27" i="5"/>
  <c r="S31" i="5"/>
  <c r="Q75" i="5"/>
  <c r="X89" i="5"/>
  <c r="S96" i="5"/>
  <c r="Z99" i="5"/>
  <c r="P114" i="5"/>
  <c r="P47" i="5"/>
  <c r="AC21" i="5"/>
  <c r="AA29" i="5"/>
  <c r="N31" i="5"/>
  <c r="U33" i="5"/>
  <c r="AC34" i="5"/>
  <c r="Y75" i="5"/>
  <c r="T76" i="5"/>
  <c r="T77" i="5"/>
  <c r="N87" i="5"/>
  <c r="V87" i="5"/>
  <c r="W91" i="5"/>
  <c r="R93" i="5"/>
  <c r="V98" i="5"/>
  <c r="W114" i="5"/>
  <c r="V23" i="5"/>
  <c r="AC22" i="5"/>
  <c r="Y25" i="5"/>
  <c r="AA27" i="5"/>
  <c r="AB26" i="5"/>
  <c r="U32" i="5"/>
  <c r="O34" i="5"/>
  <c r="AA74" i="5"/>
  <c r="S85" i="5"/>
  <c r="P90" i="5"/>
  <c r="R91" i="5"/>
  <c r="Y95" i="5"/>
  <c r="N106" i="5"/>
  <c r="AC113" i="5"/>
  <c r="W43" i="5"/>
  <c r="Q47" i="5"/>
  <c r="X22" i="5"/>
  <c r="N23" i="5"/>
  <c r="O29" i="5"/>
  <c r="AB28" i="5"/>
  <c r="Y30" i="5"/>
  <c r="W32" i="5"/>
  <c r="AC75" i="5"/>
  <c r="X76" i="5"/>
  <c r="AA87" i="5"/>
  <c r="Z93" i="5"/>
  <c r="R95" i="5"/>
  <c r="N98" i="5"/>
  <c r="V109" i="5"/>
  <c r="Z24" i="5"/>
  <c r="AC25" i="5"/>
  <c r="Q27" i="5"/>
  <c r="R32" i="5"/>
  <c r="P42" i="5"/>
  <c r="W74" i="5"/>
  <c r="U75" i="5"/>
  <c r="U86" i="5"/>
  <c r="W89" i="5"/>
  <c r="Z91" i="5"/>
  <c r="AA94" i="5"/>
  <c r="W96" i="5"/>
  <c r="T97" i="5"/>
  <c r="AA108" i="5"/>
  <c r="R116" i="5"/>
  <c r="Q64" i="5"/>
  <c r="AA43" i="5"/>
  <c r="O47" i="5"/>
  <c r="R22" i="5"/>
  <c r="Y23" i="5"/>
  <c r="P29" i="5"/>
  <c r="R28" i="5"/>
  <c r="R31" i="5"/>
  <c r="X33" i="5"/>
  <c r="X74" i="5"/>
  <c r="X77" i="5"/>
  <c r="X78" i="5"/>
  <c r="P88" i="5"/>
  <c r="AB94" i="5"/>
  <c r="Z110" i="5"/>
  <c r="Y51" i="5"/>
  <c r="R69" i="5"/>
  <c r="Q70" i="5"/>
  <c r="T55" i="5"/>
  <c r="P56" i="5"/>
  <c r="T64" i="5"/>
  <c r="X65" i="5"/>
  <c r="O21" i="5"/>
  <c r="P71" i="5"/>
  <c r="R43" i="5"/>
  <c r="AC46" i="5"/>
  <c r="R48" i="5"/>
  <c r="T22" i="5"/>
  <c r="AA24" i="5"/>
  <c r="W25" i="5"/>
  <c r="AB27" i="5"/>
  <c r="AB32" i="5"/>
  <c r="S42" i="5"/>
  <c r="S75" i="5"/>
  <c r="O87" i="5"/>
  <c r="S90" i="5"/>
  <c r="AC92" i="5"/>
  <c r="N97" i="5"/>
  <c r="AB98" i="5"/>
  <c r="T115" i="5"/>
  <c r="R55" i="5"/>
  <c r="V44" i="5"/>
  <c r="R47" i="5"/>
  <c r="U23" i="5"/>
  <c r="N27" i="5"/>
  <c r="Q29" i="5"/>
  <c r="AB29" i="5"/>
  <c r="U30" i="5"/>
  <c r="T33" i="5"/>
  <c r="T73" i="5"/>
  <c r="S77" i="5"/>
  <c r="O85" i="5"/>
  <c r="AA88" i="5"/>
  <c r="O95" i="5"/>
  <c r="T95" i="5"/>
  <c r="W107" i="5"/>
  <c r="AB110" i="5"/>
  <c r="S48" i="5"/>
  <c r="O73" i="5"/>
  <c r="V52" i="5"/>
  <c r="N20" i="5"/>
  <c r="O46" i="5"/>
  <c r="U48" i="5"/>
  <c r="U22" i="5"/>
  <c r="AC24" i="5"/>
  <c r="N26" i="5"/>
  <c r="Z32" i="5"/>
  <c r="AA34" i="5"/>
  <c r="AA75" i="5"/>
  <c r="Y85" i="5"/>
  <c r="Z88" i="5"/>
  <c r="X90" i="5"/>
  <c r="N93" i="5"/>
  <c r="Y115" i="5"/>
  <c r="T48" i="5"/>
  <c r="P72" i="5"/>
  <c r="R66" i="5"/>
  <c r="R67" i="5"/>
  <c r="R21" i="5"/>
  <c r="Y26" i="5"/>
  <c r="T29" i="5"/>
  <c r="Y28" i="5"/>
  <c r="AC31" i="5"/>
  <c r="T42" i="5"/>
  <c r="V74" i="5"/>
  <c r="P78" i="5"/>
  <c r="Q85" i="5"/>
  <c r="Z94" i="5"/>
  <c r="AC99" i="5"/>
  <c r="AC110" i="5"/>
  <c r="V65" i="5"/>
  <c r="Q66" i="5"/>
  <c r="N73" i="5"/>
  <c r="Z51" i="5"/>
  <c r="X52" i="5"/>
  <c r="T49" i="5"/>
  <c r="V55" i="5"/>
  <c r="S71" i="5"/>
  <c r="AC50" i="5"/>
  <c r="O23" i="5"/>
  <c r="U67" i="5"/>
  <c r="AB51" i="5"/>
  <c r="Y52" i="5"/>
  <c r="Q72" i="5"/>
  <c r="T69" i="5"/>
  <c r="T68" i="5"/>
  <c r="X56" i="5"/>
  <c r="X64" i="5"/>
  <c r="O20" i="5"/>
  <c r="AB71" i="5"/>
  <c r="T71" i="5"/>
  <c r="U43" i="5"/>
  <c r="T46" i="5"/>
  <c r="P22" i="5"/>
  <c r="N25" i="5"/>
  <c r="O26" i="5"/>
  <c r="AC32" i="5"/>
  <c r="N34" i="5"/>
  <c r="Q76" i="5"/>
  <c r="O86" i="5"/>
  <c r="R88" i="5"/>
  <c r="AB90" i="5"/>
  <c r="R92" i="5"/>
  <c r="N99" i="5"/>
  <c r="S108" i="5"/>
  <c r="Y116" i="5"/>
  <c r="W51" i="5"/>
  <c r="U66" i="5"/>
  <c r="V43" i="5"/>
  <c r="S49" i="5"/>
  <c r="O66" i="5"/>
  <c r="AC53" i="5"/>
  <c r="Q73" i="5"/>
  <c r="O72" i="5"/>
  <c r="W64" i="5"/>
  <c r="U49" i="5"/>
  <c r="S47" i="5"/>
  <c r="AB65" i="5"/>
  <c r="O54" i="5"/>
  <c r="AA65" i="5"/>
  <c r="S67" i="5"/>
  <c r="V49" i="5"/>
  <c r="O51" i="5"/>
  <c r="X55" i="5"/>
  <c r="AB43" i="5"/>
  <c r="U47" i="5"/>
  <c r="AB21" i="5"/>
  <c r="Q23" i="5"/>
  <c r="X25" i="5"/>
  <c r="T26" i="5"/>
  <c r="V29" i="5"/>
  <c r="U28" i="5"/>
  <c r="V31" i="5"/>
  <c r="U42" i="5"/>
  <c r="Z74" i="5"/>
  <c r="AC76" i="5"/>
  <c r="U78" i="5"/>
  <c r="AC85" i="5"/>
  <c r="P95" i="5"/>
  <c r="U99" i="5"/>
  <c r="Q109" i="5"/>
  <c r="U115" i="5"/>
  <c r="T65" i="5"/>
  <c r="N66" i="5"/>
  <c r="AB46" i="5"/>
  <c r="T53" i="5"/>
  <c r="P73" i="5"/>
  <c r="T56" i="5"/>
  <c r="S69" i="5"/>
  <c r="P21" i="5"/>
  <c r="V56" i="5"/>
  <c r="S43" i="5"/>
  <c r="V67" i="5"/>
  <c r="O52" i="5"/>
  <c r="W52" i="5"/>
  <c r="W53" i="5"/>
  <c r="R72" i="5"/>
  <c r="U69" i="5"/>
  <c r="R68" i="5"/>
  <c r="U56" i="5"/>
  <c r="Y64" i="5"/>
  <c r="R20" i="5"/>
  <c r="AC71" i="5"/>
  <c r="U71" i="5"/>
  <c r="T44" i="5"/>
  <c r="N46" i="5"/>
  <c r="T47" i="5"/>
  <c r="Q22" i="5"/>
  <c r="O25" i="5"/>
  <c r="X29" i="5"/>
  <c r="S33" i="5"/>
  <c r="R34" i="5"/>
  <c r="Z77" i="5"/>
  <c r="S86" i="5"/>
  <c r="AC88" i="5"/>
  <c r="Y90" i="5"/>
  <c r="AC91" i="5"/>
  <c r="U98" i="5"/>
  <c r="Y99" i="5"/>
  <c r="U112" i="5"/>
  <c r="R53" i="5"/>
  <c r="AB72" i="5"/>
  <c r="AA53" i="5"/>
  <c r="N67" i="5"/>
  <c r="AA51" i="5"/>
  <c r="S68" i="5"/>
  <c r="S44" i="5"/>
  <c r="V51" i="5"/>
  <c r="P66" i="5"/>
  <c r="T67" i="5"/>
  <c r="O50" i="5"/>
  <c r="P51" i="5"/>
  <c r="W68" i="5"/>
  <c r="Q55" i="5"/>
  <c r="Z44" i="5"/>
  <c r="N22" i="5"/>
  <c r="R23" i="5"/>
  <c r="P26" i="5"/>
  <c r="AA26" i="5"/>
  <c r="T28" i="5"/>
  <c r="T30" i="5"/>
  <c r="T34" i="5"/>
  <c r="X73" i="5"/>
  <c r="O76" i="5"/>
  <c r="T86" i="5"/>
  <c r="W94" i="5"/>
  <c r="V108" i="5"/>
  <c r="V115" i="5"/>
  <c r="N21" i="5"/>
  <c r="Z50" i="5"/>
  <c r="N54" i="5"/>
  <c r="X50" i="5"/>
  <c r="P52" i="5"/>
  <c r="Z52" i="5"/>
  <c r="P54" i="5"/>
  <c r="S72" i="5"/>
  <c r="V69" i="5"/>
  <c r="W54" i="5"/>
  <c r="W56" i="5"/>
  <c r="AA64" i="5"/>
  <c r="S20" i="5"/>
  <c r="N72" i="5"/>
  <c r="V71" i="5"/>
  <c r="Q43" i="5"/>
  <c r="U45" i="5"/>
  <c r="W47" i="5"/>
  <c r="W22" i="5"/>
  <c r="W24" i="5"/>
  <c r="Z29" i="5"/>
  <c r="W33" i="5"/>
  <c r="R42" i="5"/>
  <c r="AB34" i="5"/>
  <c r="R78" i="5"/>
  <c r="O88" i="5"/>
  <c r="N89" i="5"/>
  <c r="U91" i="5"/>
  <c r="V91" i="5"/>
  <c r="P99" i="5"/>
  <c r="Y106" i="5"/>
  <c r="Y112" i="5"/>
  <c r="Q56" i="5"/>
  <c r="Y67" i="5"/>
  <c r="V68" i="5"/>
  <c r="Y45" i="5"/>
  <c r="AB45" i="5"/>
  <c r="O22" i="5"/>
  <c r="AB22" i="5"/>
  <c r="P25" i="5"/>
  <c r="Q26" i="5"/>
  <c r="W27" i="5"/>
  <c r="W29" i="5"/>
  <c r="AA30" i="5"/>
  <c r="U73" i="5"/>
  <c r="Z75" i="5"/>
  <c r="P86" i="5"/>
  <c r="AB96" i="5"/>
  <c r="Y98" i="5"/>
  <c r="V99" i="5"/>
  <c r="U107" i="5"/>
  <c r="Z115" i="5"/>
  <c r="Q71" i="5"/>
  <c r="Z56" i="5"/>
  <c r="AB64" i="5"/>
  <c r="T20" i="5"/>
  <c r="Y70" i="5"/>
  <c r="Y71" i="5"/>
  <c r="U44" i="5"/>
  <c r="X47" i="5"/>
  <c r="V22" i="5"/>
  <c r="Y29" i="5"/>
  <c r="AC29" i="5"/>
  <c r="W42" i="5"/>
  <c r="O43" i="5"/>
  <c r="N78" i="5"/>
  <c r="P89" i="5"/>
  <c r="O93" i="5"/>
  <c r="S94" i="5"/>
  <c r="V111" i="5"/>
  <c r="W49" i="5"/>
  <c r="Z45" i="5"/>
  <c r="P46" i="5"/>
  <c r="Y21" i="5"/>
  <c r="AA22" i="5"/>
  <c r="Q25" i="5"/>
  <c r="V26" i="5"/>
  <c r="X27" i="5"/>
  <c r="AB31" i="5"/>
  <c r="X32" i="5"/>
  <c r="Y73" i="5"/>
  <c r="W76" i="5"/>
  <c r="O78" i="5"/>
  <c r="R86" i="5"/>
  <c r="Q88" i="5"/>
  <c r="V89" i="5"/>
  <c r="AC93" i="5"/>
  <c r="S95" i="5"/>
  <c r="Q99" i="5"/>
  <c r="AB99" i="5"/>
  <c r="X107" i="5"/>
  <c r="X116" i="5"/>
  <c r="Z71" i="5"/>
  <c r="W44" i="5"/>
  <c r="R46" i="5"/>
  <c r="Y47" i="5"/>
  <c r="Y22" i="5"/>
  <c r="P30" i="5"/>
  <c r="Z28" i="5"/>
  <c r="W34" i="5"/>
  <c r="P43" i="5"/>
  <c r="Z73" i="5"/>
  <c r="Y92" i="5"/>
  <c r="O112" i="5"/>
  <c r="AA45" i="5"/>
  <c r="Y46" i="5"/>
  <c r="S21" i="5"/>
  <c r="S24" i="5"/>
  <c r="R25" i="5"/>
  <c r="R26" i="5"/>
  <c r="Z27" i="5"/>
  <c r="R30" i="5"/>
  <c r="O33" i="5"/>
  <c r="T75" i="5"/>
  <c r="AC77" i="5"/>
  <c r="X86" i="5"/>
  <c r="S88" i="5"/>
  <c r="AC89" i="5"/>
  <c r="S93" i="5"/>
  <c r="AC95" i="5"/>
  <c r="AA97" i="5"/>
  <c r="Q106" i="5"/>
  <c r="AB107" i="5"/>
  <c r="U111" i="5"/>
  <c r="W117" i="5"/>
  <c r="AC20" i="5"/>
  <c r="AB54" i="5"/>
  <c r="Z47" i="5"/>
  <c r="N28" i="5"/>
  <c r="U29" i="5"/>
  <c r="X30" i="5"/>
  <c r="AC42" i="5"/>
  <c r="R74" i="5"/>
  <c r="R90" i="5"/>
  <c r="S91" i="5"/>
  <c r="N108" i="5"/>
  <c r="W118" i="5"/>
  <c r="X54" i="5"/>
  <c r="V30" i="5"/>
  <c r="AA32" i="5"/>
  <c r="AB42" i="5"/>
  <c r="P76" i="5"/>
  <c r="W77" i="5"/>
  <c r="W85" i="5"/>
  <c r="Q89" i="5"/>
  <c r="P93" i="5"/>
  <c r="W93" i="5"/>
  <c r="Y96" i="5"/>
  <c r="R98" i="5"/>
  <c r="X106" i="5"/>
  <c r="S112" i="5"/>
  <c r="S53" i="5"/>
  <c r="AA69" i="5"/>
  <c r="N32" i="5"/>
  <c r="N43" i="5"/>
  <c r="N75" i="5"/>
  <c r="N76" i="5"/>
  <c r="R85" i="5"/>
  <c r="O90" i="5"/>
  <c r="V107" i="5"/>
  <c r="AC111" i="5"/>
  <c r="R117" i="5"/>
  <c r="P69" i="5"/>
  <c r="W65" i="5"/>
  <c r="AB52" i="5"/>
  <c r="P67" i="5"/>
  <c r="V54" i="5"/>
  <c r="AC66" i="5"/>
  <c r="Q20" i="5"/>
  <c r="X21" i="5"/>
  <c r="N65" i="5"/>
  <c r="AC45" i="5"/>
  <c r="Z21" i="5"/>
  <c r="T24" i="5"/>
  <c r="U25" i="5"/>
  <c r="P27" i="5"/>
  <c r="R33" i="5"/>
  <c r="Z42" i="5"/>
  <c r="R73" i="5"/>
  <c r="Q78" i="5"/>
  <c r="Y88" i="5"/>
  <c r="Q93" i="5"/>
  <c r="Y93" i="5"/>
  <c r="P98" i="5"/>
  <c r="AA106" i="5"/>
  <c r="Q111" i="5"/>
  <c r="N112" i="5"/>
  <c r="Y48" i="5"/>
  <c r="AC48" i="5"/>
  <c r="Q52" i="5"/>
  <c r="Z49" i="5"/>
  <c r="O55" i="5"/>
  <c r="Y55" i="5"/>
  <c r="AC67" i="5"/>
  <c r="R45" i="5"/>
  <c r="AA48" i="5"/>
  <c r="AB55" i="5"/>
  <c r="N48" i="5"/>
  <c r="P28" i="5"/>
  <c r="R29" i="5"/>
  <c r="O31" i="5"/>
  <c r="O32" i="5"/>
  <c r="Q74" i="5"/>
  <c r="O77" i="5"/>
  <c r="Y86" i="5"/>
  <c r="Q90" i="5"/>
  <c r="Q92" i="5"/>
  <c r="AB93" i="5"/>
  <c r="AC96" i="5"/>
  <c r="V113" i="5"/>
  <c r="P118" i="5"/>
  <c r="O64" i="5"/>
  <c r="AC55" i="5"/>
  <c r="T72" i="5"/>
  <c r="Z67" i="5"/>
  <c r="AA56" i="5"/>
  <c r="AA67" i="5"/>
  <c r="Y50" i="5"/>
  <c r="X46" i="5"/>
  <c r="O28" i="5"/>
  <c r="V66" i="5"/>
  <c r="U21" i="5"/>
  <c r="AB24" i="5"/>
  <c r="AB33" i="5"/>
  <c r="Q42" i="5"/>
  <c r="T74" i="5"/>
  <c r="V78" i="5"/>
  <c r="V86" i="5"/>
  <c r="U88" i="5"/>
  <c r="N92" i="5"/>
  <c r="O99" i="5"/>
  <c r="U109" i="5"/>
  <c r="X43" i="5"/>
  <c r="R71" i="5"/>
  <c r="X49" i="5"/>
  <c r="P50" i="5"/>
  <c r="T51" i="5"/>
  <c r="Z48" i="5"/>
  <c r="N50" i="5"/>
  <c r="R54" i="5"/>
  <c r="W70" i="5"/>
  <c r="X68" i="5"/>
  <c r="Q50" i="5"/>
  <c r="T54" i="5"/>
  <c r="X70" i="5"/>
  <c r="Z22" i="5"/>
  <c r="W48" i="5"/>
  <c r="T25" i="5"/>
  <c r="R50" i="5"/>
  <c r="AA52" i="5"/>
  <c r="Y56" i="5"/>
  <c r="W71" i="5"/>
  <c r="AB47" i="5"/>
  <c r="X23" i="5"/>
  <c r="AC44" i="5"/>
  <c r="S50" i="5"/>
  <c r="AC52" i="5"/>
  <c r="P55" i="5"/>
  <c r="V64" i="5"/>
  <c r="V70" i="5"/>
  <c r="Y43" i="5"/>
  <c r="Z66" i="5"/>
  <c r="W72" i="5"/>
  <c r="AB44" i="5"/>
  <c r="T66" i="5"/>
  <c r="S52" i="5"/>
  <c r="O70" i="5"/>
  <c r="N56" i="5"/>
  <c r="N64" i="5"/>
  <c r="X20" i="5"/>
  <c r="Z70" i="5"/>
  <c r="N44" i="5"/>
  <c r="S45" i="5"/>
  <c r="P48" i="5"/>
  <c r="N24" i="5"/>
  <c r="R27" i="5"/>
  <c r="X26" i="5"/>
  <c r="V28" i="5"/>
  <c r="X31" i="5"/>
  <c r="P32" i="5"/>
  <c r="AB73" i="5"/>
  <c r="P77" i="5"/>
  <c r="V88" i="5"/>
  <c r="T90" i="5"/>
  <c r="V94" i="5"/>
  <c r="U96" i="5"/>
  <c r="AB106" i="5"/>
  <c r="W113" i="5"/>
  <c r="AB118" i="5"/>
  <c r="AA66" i="5"/>
  <c r="AC69" i="5"/>
  <c r="S66" i="5"/>
  <c r="S54" i="5"/>
  <c r="Y65" i="5"/>
  <c r="R52" i="5"/>
  <c r="U72" i="5"/>
  <c r="Z64" i="5"/>
  <c r="Y69" i="5"/>
  <c r="U52" i="5"/>
  <c r="AB56" i="5"/>
  <c r="AA71" i="5"/>
  <c r="O67" i="5"/>
  <c r="AB69" i="5"/>
  <c r="AC26" i="5"/>
  <c r="AC51" i="5"/>
  <c r="AA55" i="5"/>
  <c r="U70" i="5"/>
  <c r="Z46" i="5"/>
  <c r="P31" i="5"/>
  <c r="Z68" i="5"/>
  <c r="AB48" i="5"/>
  <c r="N51" i="5"/>
  <c r="T70" i="5"/>
  <c r="V20" i="5"/>
  <c r="Q45" i="5"/>
  <c r="S26" i="5"/>
  <c r="U53" i="5"/>
  <c r="S46" i="5"/>
  <c r="U24" i="5"/>
  <c r="Y49" i="5"/>
  <c r="AB50" i="5"/>
  <c r="Y68" i="5"/>
  <c r="AC54" i="5"/>
  <c r="P65" i="5"/>
  <c r="AB67" i="5"/>
  <c r="V53" i="5"/>
  <c r="Z72" i="5"/>
  <c r="O44" i="5"/>
  <c r="T45" i="5"/>
  <c r="T21" i="5"/>
  <c r="AA23" i="5"/>
  <c r="V25" i="5"/>
  <c r="Z31" i="5"/>
  <c r="S32" i="5"/>
  <c r="U34" i="5"/>
  <c r="P75" i="5"/>
  <c r="AB74" i="5"/>
  <c r="AA85" i="5"/>
  <c r="AB91" i="5"/>
  <c r="V97" i="5"/>
  <c r="N107" i="5"/>
  <c r="O110" i="5"/>
  <c r="N70" i="5"/>
  <c r="Q69" i="5"/>
  <c r="V48" i="5"/>
  <c r="Z54" i="5"/>
  <c r="Z69" i="5"/>
  <c r="V50" i="5"/>
  <c r="N53" i="5"/>
  <c r="U20" i="5"/>
  <c r="X48" i="5"/>
  <c r="X51" i="5"/>
  <c r="AC64" i="5"/>
  <c r="R44" i="5"/>
  <c r="AA68" i="5"/>
  <c r="AA44" i="5"/>
  <c r="Q24" i="5"/>
  <c r="S51" i="5"/>
  <c r="N55" i="5"/>
  <c r="P20" i="5"/>
  <c r="Q30" i="5"/>
  <c r="N68" i="5"/>
  <c r="X72" i="5"/>
  <c r="N52" i="5"/>
  <c r="O65" i="5"/>
  <c r="AC23" i="5"/>
  <c r="O68" i="5"/>
  <c r="AC68" i="5"/>
  <c r="N49" i="5"/>
  <c r="X66" i="5"/>
  <c r="O49" i="5"/>
  <c r="T50" i="5"/>
  <c r="Q51" i="5"/>
  <c r="AB68" i="5"/>
  <c r="S70" i="5"/>
  <c r="U55" i="5"/>
  <c r="O56" i="5"/>
  <c r="P64" i="5"/>
  <c r="Q65" i="5"/>
  <c r="W20" i="5"/>
  <c r="AC70" i="5"/>
  <c r="Z43" i="5"/>
  <c r="V46" i="5"/>
  <c r="Q48" i="5"/>
  <c r="P24" i="5"/>
  <c r="AA25" i="5"/>
  <c r="Z26" i="5"/>
  <c r="O27" i="5"/>
  <c r="AA28" i="5"/>
  <c r="W30" i="5"/>
  <c r="S74" i="5"/>
  <c r="Q77" i="5"/>
  <c r="AC78" i="5"/>
  <c r="Z89" i="5"/>
  <c r="U94" i="5"/>
  <c r="P97" i="5"/>
  <c r="AA114" i="5"/>
  <c r="X117" i="5"/>
  <c r="R108" i="5"/>
  <c r="AC109" i="5"/>
  <c r="O113" i="5"/>
  <c r="AA116" i="5"/>
  <c r="O116" i="5"/>
  <c r="Z118" i="5"/>
  <c r="AC120" i="5"/>
  <c r="S110" i="5"/>
  <c r="R111" i="5"/>
  <c r="S115" i="5"/>
  <c r="U108" i="5"/>
  <c r="AA112" i="5"/>
  <c r="Y114" i="5"/>
  <c r="N119" i="5"/>
  <c r="X120" i="5"/>
  <c r="AB75" i="5"/>
  <c r="AA78" i="5"/>
  <c r="AB86" i="5"/>
  <c r="Y87" i="5"/>
  <c r="O89" i="5"/>
  <c r="T89" i="5"/>
  <c r="X91" i="5"/>
  <c r="X93" i="5"/>
  <c r="V95" i="5"/>
  <c r="AC98" i="5"/>
  <c r="AA99" i="5"/>
  <c r="AB108" i="5"/>
  <c r="T110" i="5"/>
  <c r="N113" i="5"/>
  <c r="N116" i="5"/>
  <c r="AA33" i="5"/>
  <c r="V32" i="5"/>
  <c r="N74" i="5"/>
  <c r="R76" i="5"/>
  <c r="AB85" i="5"/>
  <c r="Q87" i="5"/>
  <c r="O92" i="5"/>
  <c r="V96" i="5"/>
  <c r="AC97" i="5"/>
  <c r="Y107" i="5"/>
  <c r="P113" i="5"/>
  <c r="AC112" i="5"/>
  <c r="Y113" i="5"/>
  <c r="Q119" i="5"/>
  <c r="AC119" i="5"/>
  <c r="O42" i="5"/>
  <c r="Y74" i="5"/>
  <c r="W75" i="5"/>
  <c r="V76" i="5"/>
  <c r="AB78" i="5"/>
  <c r="N88" i="5"/>
  <c r="U90" i="5"/>
  <c r="AB89" i="5"/>
  <c r="Z92" i="5"/>
  <c r="X94" i="5"/>
  <c r="Z96" i="5"/>
  <c r="Z97" i="5"/>
  <c r="Y97" i="5"/>
  <c r="Z106" i="5"/>
  <c r="O108" i="5"/>
  <c r="Z107" i="5"/>
  <c r="AA109" i="5"/>
  <c r="AB116" i="5"/>
  <c r="V118" i="5"/>
  <c r="P33" i="5"/>
  <c r="N42" i="5"/>
  <c r="AC73" i="5"/>
  <c r="Z85" i="5"/>
  <c r="Z86" i="5"/>
  <c r="V90" i="5"/>
  <c r="V92" i="5"/>
  <c r="Q96" i="5"/>
  <c r="Y111" i="5"/>
  <c r="T111" i="5"/>
  <c r="AB114" i="5"/>
  <c r="AB119" i="5"/>
  <c r="Y77" i="5"/>
  <c r="P87" i="5"/>
  <c r="R87" i="5"/>
  <c r="Z90" i="5"/>
  <c r="AB92" i="5"/>
  <c r="V93" i="5"/>
  <c r="O97" i="5"/>
  <c r="X97" i="5"/>
  <c r="R97" i="5"/>
  <c r="P106" i="5"/>
  <c r="R107" i="5"/>
  <c r="T108" i="5"/>
  <c r="Y109" i="5"/>
  <c r="Z116" i="5"/>
  <c r="V117" i="5"/>
  <c r="R119" i="5"/>
  <c r="O114" i="5"/>
  <c r="R109" i="5"/>
  <c r="AC116" i="5"/>
  <c r="Y117" i="5"/>
  <c r="Q120" i="5"/>
  <c r="S111" i="5"/>
  <c r="X111" i="5"/>
  <c r="V114" i="5"/>
  <c r="Y108" i="5"/>
  <c r="X108" i="5"/>
  <c r="N110" i="5"/>
  <c r="S116" i="5"/>
  <c r="AC117" i="5"/>
  <c r="W119" i="5"/>
  <c r="W106" i="5"/>
  <c r="AA107" i="5"/>
  <c r="R110" i="5"/>
  <c r="AB112" i="5"/>
  <c r="V112" i="5"/>
  <c r="AC114" i="5"/>
  <c r="X95" i="5"/>
  <c r="U97" i="5"/>
  <c r="T99" i="5"/>
  <c r="S107" i="5"/>
  <c r="T112" i="5"/>
  <c r="N115" i="5"/>
  <c r="W116" i="5"/>
  <c r="R118" i="5"/>
  <c r="Z119" i="5"/>
  <c r="T94" i="5"/>
  <c r="W95" i="5"/>
  <c r="AC106" i="5"/>
  <c r="W108" i="5"/>
  <c r="S109" i="5"/>
  <c r="AA113" i="5"/>
  <c r="O115" i="5"/>
  <c r="AA86" i="5"/>
  <c r="S87" i="5"/>
  <c r="AC90" i="5"/>
  <c r="AA92" i="5"/>
  <c r="Q95" i="5"/>
  <c r="P96" i="5"/>
  <c r="O98" i="5"/>
  <c r="O106" i="5"/>
  <c r="N111" i="5"/>
  <c r="W111" i="5"/>
  <c r="N117" i="5"/>
  <c r="U118" i="5"/>
  <c r="S120" i="5"/>
  <c r="Y78" i="5"/>
  <c r="U89" i="5"/>
  <c r="U93" i="5"/>
  <c r="Q97" i="5"/>
  <c r="R106" i="5"/>
  <c r="O107" i="5"/>
  <c r="N109" i="5"/>
  <c r="Q110" i="5"/>
  <c r="S113" i="5"/>
  <c r="R114" i="5"/>
  <c r="W87" i="5"/>
  <c r="O91" i="5"/>
  <c r="Y91" i="5"/>
  <c r="T93" i="5"/>
  <c r="X96" i="5"/>
  <c r="AB95" i="5"/>
  <c r="Q98" i="5"/>
  <c r="P111" i="5"/>
  <c r="W112" i="5"/>
  <c r="Q117" i="5"/>
  <c r="AB117" i="5"/>
  <c r="V120" i="5"/>
  <c r="X42" i="5"/>
  <c r="P85" i="5"/>
  <c r="Y89" i="5"/>
  <c r="Q94" i="5"/>
  <c r="U106" i="5"/>
  <c r="R99" i="5"/>
  <c r="O109" i="5"/>
  <c r="V110" i="5"/>
  <c r="R113" i="5"/>
  <c r="S114" i="5"/>
  <c r="O117" i="5"/>
  <c r="T31" i="5"/>
  <c r="AC49" i="5"/>
  <c r="Y42" i="5"/>
  <c r="AA73" i="5"/>
  <c r="AC74" i="5"/>
  <c r="AA76" i="5"/>
  <c r="S78" i="5"/>
  <c r="Q86" i="5"/>
  <c r="Z87" i="5"/>
  <c r="P91" i="5"/>
  <c r="T91" i="5"/>
  <c r="AA93" i="5"/>
  <c r="AA95" i="5"/>
  <c r="R96" i="5"/>
  <c r="W98" i="5"/>
  <c r="P107" i="5"/>
  <c r="P110" i="5"/>
  <c r="Z112" i="5"/>
  <c r="X115" i="5"/>
  <c r="S117" i="5"/>
  <c r="AA119" i="5"/>
  <c r="W31" i="5"/>
  <c r="N33" i="5"/>
  <c r="AB77" i="5"/>
  <c r="W66" i="5"/>
  <c r="U54" i="5"/>
  <c r="Y54" i="5"/>
  <c r="Y20" i="5"/>
  <c r="R49" i="5"/>
  <c r="V72" i="5"/>
  <c r="AA70" i="5"/>
  <c r="Y44" i="5"/>
  <c r="Q46" i="5"/>
  <c r="V45" i="5"/>
  <c r="Q21" i="5"/>
  <c r="S22" i="5"/>
  <c r="AB23" i="5"/>
  <c r="S23" i="5"/>
  <c r="Z25" i="5"/>
  <c r="U26" i="5"/>
  <c r="AC27" i="5"/>
  <c r="X28" i="5"/>
  <c r="S29" i="5"/>
  <c r="Y31" i="5"/>
  <c r="U31" i="5"/>
  <c r="Y32" i="5"/>
  <c r="Y34" i="5"/>
  <c r="T78" i="5"/>
  <c r="AB87" i="5"/>
  <c r="R89" i="5"/>
  <c r="P94" i="5"/>
  <c r="Y94" i="5"/>
  <c r="X99" i="5"/>
  <c r="P109" i="5"/>
  <c r="W110" i="5"/>
  <c r="X110" i="5"/>
  <c r="T114" i="5"/>
  <c r="X113" i="5"/>
  <c r="AB115" i="5"/>
  <c r="Z34" i="5"/>
  <c r="X87" i="5"/>
  <c r="X67" i="5"/>
  <c r="T52" i="5"/>
  <c r="W69" i="5"/>
  <c r="R64" i="5"/>
  <c r="X71" i="5"/>
  <c r="AC65" i="5"/>
  <c r="AA50" i="5"/>
  <c r="O53" i="5"/>
  <c r="U68" i="5"/>
  <c r="R56" i="5"/>
  <c r="U65" i="5"/>
  <c r="T43" i="5"/>
  <c r="V47" i="5"/>
  <c r="W67" i="5"/>
  <c r="Q67" i="5"/>
  <c r="AA49" i="5"/>
  <c r="U51" i="5"/>
  <c r="Q54" i="5"/>
  <c r="X69" i="5"/>
  <c r="W55" i="5"/>
  <c r="U64" i="5"/>
  <c r="Z20" i="5"/>
  <c r="AB70" i="5"/>
  <c r="AA42" i="5"/>
  <c r="P74" i="5"/>
  <c r="V75" i="5"/>
  <c r="AB76" i="5"/>
  <c r="AA77" i="5"/>
  <c r="U85" i="5"/>
  <c r="W88" i="5"/>
  <c r="S89" i="5"/>
  <c r="Q91" i="5"/>
  <c r="S92" i="5"/>
  <c r="AA96" i="5"/>
  <c r="X98" i="5"/>
  <c r="S97" i="5"/>
  <c r="S106" i="5"/>
  <c r="X109" i="5"/>
  <c r="Q112" i="5"/>
  <c r="N118" i="5"/>
  <c r="U119" i="5"/>
  <c r="N114" i="5"/>
  <c r="Z114" i="5"/>
  <c r="AC115" i="5"/>
  <c r="V116" i="5"/>
  <c r="O119" i="5"/>
  <c r="T117" i="5"/>
  <c r="W120" i="5"/>
  <c r="Y120" i="5"/>
  <c r="T107" i="5"/>
  <c r="AC107" i="5"/>
  <c r="O111" i="5"/>
  <c r="U110" i="5"/>
  <c r="Q113" i="5"/>
  <c r="R112" i="5"/>
  <c r="Q114" i="5"/>
  <c r="X114" i="5"/>
  <c r="U116" i="5"/>
  <c r="P117" i="5"/>
  <c r="P119" i="5"/>
  <c r="Z117" i="5"/>
  <c r="T120" i="5"/>
  <c r="Z120" i="5"/>
  <c r="T119" i="5"/>
  <c r="P120" i="5"/>
  <c r="O118" i="5"/>
  <c r="AC118" i="5"/>
  <c r="X119" i="5"/>
  <c r="S119" i="5"/>
  <c r="T118" i="5"/>
  <c r="Q118" i="5"/>
  <c r="O120" i="5"/>
  <c r="V119" i="5"/>
  <c r="AB111" i="5"/>
  <c r="T113" i="5"/>
  <c r="P115" i="5"/>
  <c r="W115" i="5"/>
  <c r="T116" i="5"/>
  <c r="AA118" i="5"/>
  <c r="X118" i="5"/>
  <c r="R120" i="5"/>
  <c r="N120" i="5"/>
  <c r="X45" i="5"/>
  <c r="V21" i="5"/>
  <c r="S25" i="5"/>
  <c r="N30" i="5"/>
  <c r="Z33" i="5"/>
  <c r="V42" i="5"/>
  <c r="O74" i="5"/>
  <c r="W73" i="5"/>
  <c r="U76" i="5"/>
  <c r="N77" i="5"/>
  <c r="V77" i="5"/>
  <c r="W78" i="5"/>
  <c r="V85" i="5"/>
  <c r="T85" i="5"/>
  <c r="AC87" i="5"/>
  <c r="U87" i="5"/>
  <c r="AA89" i="5"/>
  <c r="N91" i="5"/>
  <c r="P92" i="5"/>
  <c r="O94" i="5"/>
  <c r="AC94" i="5"/>
  <c r="N96" i="5"/>
  <c r="U95" i="5"/>
  <c r="T98" i="5"/>
  <c r="AB97" i="5"/>
  <c r="W99" i="5"/>
  <c r="Q107" i="5"/>
  <c r="Z108" i="5"/>
  <c r="P108" i="5"/>
  <c r="W109" i="5"/>
  <c r="Y110" i="5"/>
  <c r="Z111" i="5"/>
  <c r="X112" i="5"/>
  <c r="U113" i="5"/>
  <c r="Q115" i="5"/>
  <c r="P116" i="5"/>
  <c r="R115" i="5"/>
  <c r="S118" i="5"/>
  <c r="AA117" i="5"/>
  <c r="U120" i="5"/>
  <c r="AA120" i="5"/>
  <c r="X44" i="5"/>
  <c r="P45" i="5"/>
  <c r="N47" i="5"/>
  <c r="O48" i="5"/>
  <c r="P23" i="5"/>
  <c r="R24" i="5"/>
  <c r="X24" i="5"/>
  <c r="W26" i="5"/>
  <c r="Q28" i="5"/>
  <c r="O30" i="5"/>
  <c r="Z30" i="5"/>
  <c r="Q32" i="5"/>
  <c r="V33" i="5"/>
  <c r="V34" i="5"/>
  <c r="X92" i="5"/>
  <c r="T27" i="5"/>
  <c r="W28" i="5"/>
  <c r="S28" i="5"/>
  <c r="Q31" i="5"/>
  <c r="S30" i="5"/>
  <c r="T32" i="5"/>
  <c r="AC33" i="5"/>
  <c r="S34" i="5"/>
  <c r="Q34" i="5"/>
  <c r="V73" i="5"/>
  <c r="O75" i="5"/>
  <c r="Z76" i="5"/>
  <c r="X75" i="5"/>
  <c r="R77" i="5"/>
  <c r="N85" i="5"/>
  <c r="N86" i="5"/>
  <c r="X85" i="5"/>
  <c r="T87" i="5"/>
  <c r="AB88" i="5"/>
  <c r="N90" i="5"/>
  <c r="AA90" i="5"/>
  <c r="W92" i="5"/>
  <c r="AA91" i="5"/>
  <c r="R94" i="5"/>
  <c r="N95" i="5"/>
  <c r="T96" i="5"/>
  <c r="O96" i="5"/>
  <c r="S98" i="5"/>
  <c r="W97" i="5"/>
  <c r="S99" i="5"/>
  <c r="V106" i="5"/>
  <c r="AC108" i="5"/>
  <c r="Q108" i="5"/>
  <c r="Z109" i="5"/>
  <c r="AA110" i="5"/>
  <c r="P112" i="5"/>
  <c r="AA111" i="5"/>
  <c r="Z113" i="5"/>
  <c r="U114" i="5"/>
  <c r="Q116" i="5"/>
  <c r="AA115" i="5"/>
  <c r="U117" i="5"/>
  <c r="Y118" i="5"/>
  <c r="Y119" i="5"/>
  <c r="AB120" i="5"/>
  <c r="I16" i="5"/>
  <c r="I17" i="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<sst xmlns="http://schemas.openxmlformats.org/spreadsheetml/2006/main" count="72" uniqueCount="54">
  <si>
    <t>Q жид-
кости</t>
  </si>
  <si>
    <t>Обводненность</t>
  </si>
  <si>
    <t>T вх в насос</t>
  </si>
  <si>
    <t>p вх насос</t>
  </si>
  <si>
    <t>Q нефти</t>
  </si>
  <si>
    <t>ГФ</t>
  </si>
  <si>
    <r>
      <t>Na</t>
    </r>
    <r>
      <rPr>
        <vertAlign val="superscript"/>
        <sz val="8"/>
        <rFont val="Tahoma"/>
        <family val="2"/>
        <charset val="204"/>
      </rPr>
      <t>+</t>
    </r>
    <r>
      <rPr>
        <sz val="8"/>
        <rFont val="Tahoma"/>
        <family val="2"/>
        <charset val="204"/>
      </rPr>
      <t>+K</t>
    </r>
    <r>
      <rPr>
        <vertAlign val="superscript"/>
        <sz val="8"/>
        <rFont val="Tahoma"/>
        <family val="2"/>
        <charset val="204"/>
      </rPr>
      <t>+</t>
    </r>
  </si>
  <si>
    <r>
      <t>Ca</t>
    </r>
    <r>
      <rPr>
        <vertAlign val="superscript"/>
        <sz val="8"/>
        <rFont val="Tahoma"/>
        <family val="2"/>
        <charset val="204"/>
      </rPr>
      <t>2+</t>
    </r>
  </si>
  <si>
    <r>
      <t>Mg</t>
    </r>
    <r>
      <rPr>
        <vertAlign val="superscript"/>
        <sz val="8"/>
        <rFont val="Tahoma"/>
        <family val="2"/>
        <charset val="204"/>
      </rPr>
      <t>2+</t>
    </r>
  </si>
  <si>
    <r>
      <t>Ba</t>
    </r>
    <r>
      <rPr>
        <vertAlign val="superscript"/>
        <sz val="8"/>
        <rFont val="Tahoma"/>
        <family val="2"/>
        <charset val="204"/>
      </rPr>
      <t>2+</t>
    </r>
  </si>
  <si>
    <r>
      <t>Sr</t>
    </r>
    <r>
      <rPr>
        <vertAlign val="superscript"/>
        <sz val="8"/>
        <rFont val="Tahoma"/>
        <family val="2"/>
        <charset val="204"/>
      </rPr>
      <t>2+</t>
    </r>
  </si>
  <si>
    <r>
      <t>Cl</t>
    </r>
    <r>
      <rPr>
        <vertAlign val="superscript"/>
        <sz val="8"/>
        <rFont val="Tahoma"/>
        <family val="2"/>
        <charset val="204"/>
      </rPr>
      <t>-</t>
    </r>
  </si>
  <si>
    <r>
      <t>SO</t>
    </r>
    <r>
      <rPr>
        <vertAlign val="subscript"/>
        <sz val="8"/>
        <rFont val="Tahoma"/>
        <family val="2"/>
        <charset val="204"/>
      </rPr>
      <t>4</t>
    </r>
    <r>
      <rPr>
        <vertAlign val="superscript"/>
        <sz val="8"/>
        <rFont val="Tahoma"/>
        <family val="2"/>
        <charset val="204"/>
      </rPr>
      <t>2-</t>
    </r>
  </si>
  <si>
    <r>
      <t>HCO</t>
    </r>
    <r>
      <rPr>
        <vertAlign val="subscript"/>
        <sz val="8"/>
        <rFont val="Tahoma"/>
        <family val="2"/>
        <charset val="204"/>
      </rPr>
      <t>3</t>
    </r>
    <r>
      <rPr>
        <vertAlign val="superscript"/>
        <sz val="8"/>
        <rFont val="Tahoma"/>
        <family val="2"/>
        <charset val="204"/>
      </rPr>
      <t>-</t>
    </r>
  </si>
  <si>
    <r>
      <t>Мольн.доля СО</t>
    </r>
    <r>
      <rPr>
        <vertAlign val="subscript"/>
        <sz val="8"/>
        <rFont val="Tahoma"/>
        <family val="2"/>
        <charset val="204"/>
      </rPr>
      <t>2</t>
    </r>
    <r>
      <rPr>
        <sz val="8"/>
        <rFont val="Tahoma"/>
        <family val="2"/>
      </rPr>
      <t xml:space="preserve"> в газе</t>
    </r>
  </si>
  <si>
    <t>Тип отложения</t>
  </si>
  <si>
    <t>индекс насыщения, SI</t>
  </si>
  <si>
    <t>P</t>
  </si>
  <si>
    <t>T</t>
  </si>
  <si>
    <t>Карта опасности отложений карбоната кальция CaCO3</t>
  </si>
  <si>
    <t>Карта опасности отложений карбоната кальция CaCO3 при наличии газовой фазы</t>
  </si>
  <si>
    <t>Карта опасности отложений сульфата бария</t>
  </si>
  <si>
    <t>Карта опасности отложений сульфата кальция</t>
  </si>
  <si>
    <t>Упражнения по работе с макросами Unifloc VBA</t>
  </si>
  <si>
    <t>версия</t>
  </si>
  <si>
    <t>Date</t>
  </si>
  <si>
    <t>Version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</si>
  <si>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</si>
  <si>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</si>
  <si>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</si>
  <si>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</si>
  <si>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</si>
  <si>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</si>
  <si>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</si>
  <si>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</si>
  <si>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Расчет прогнозной опасности отложения солей по методу Оддо Томсона</t>
  </si>
  <si>
    <t>Анализ воды</t>
  </si>
  <si>
    <t>мг/л</t>
  </si>
  <si>
    <t>Анализ газа</t>
  </si>
  <si>
    <t>Термобарические условия</t>
  </si>
  <si>
    <t>Параметры потока</t>
  </si>
  <si>
    <t>м3/сут</t>
  </si>
  <si>
    <t>м3/м3</t>
  </si>
  <si>
    <t>Уровень солевой опасности</t>
  </si>
  <si>
    <t>ионы</t>
  </si>
  <si>
    <t>д.е.</t>
  </si>
  <si>
    <t>атм</t>
  </si>
  <si>
    <t>С</t>
  </si>
  <si>
    <t>Типы отложений</t>
  </si>
  <si>
    <t>карбонат кальция CaCo3 с газовой фазой</t>
  </si>
  <si>
    <t>карбонат кальция CaCo3 без газовой фазы</t>
  </si>
  <si>
    <t>сульфат кальция гипс  CaSO4*2H2O</t>
  </si>
  <si>
    <t>сульфат бария BaSO4</t>
  </si>
  <si>
    <t>сульфат магния MgSO4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</si>
</sst>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000"/>
  </numFmts>
  <fonts count="12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8"/>
      <name val="Arial Cyr"/>
      <charset val="204"/>
    </font>
    <font>
      <sz val="8"/>
      <name val="Tahoma"/>
      <family val="2"/>
      <charset val="204"/>
    </font>
    <font>
      <vertAlign val="superscript"/>
      <sz val="8"/>
      <name val="Tahoma"/>
      <family val="2"/>
      <charset val="204"/>
    </font>
    <font>
      <sz val="10"/>
      <name val="Helv"/>
    </font>
    <font>
      <sz val="8"/>
      <name val="Tahoma"/>
      <family val="2"/>
    </font>
    <font>
      <vertAlign val="subscript"/>
      <sz val="8"/>
      <name val="Tahoma"/>
      <family val="2"/>
      <charset val="204"/>
    </font>
    <font>
      <sz val="8"/>
      <name val="Arial Cyr"/>
      <family val="2"/>
      <charset val="204"/>
    </font>
    <font>
      <b/>
      <sz val="10"/>
      <name val="Arial Cyr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2" fillId="0" borderId="0"/>
    <xf numFmtId="0" fontId="1" fillId="0" borderId="0"/>
  </cellStyleXfs>
  <cellXfs count="80">
    <xf numFmtId="0" fontId="0" fillId="0" borderId="0" xfId="0"/>
    <xf numFmtId="2" fontId="7" fillId="2" borderId="1" xfId="0" applyNumberFormat="1" applyFont="1" applyFill="1" applyBorder="1" applyAlignment="1">
      <alignment horizontal="center" vertical="center" wrapText="1"/>
    </xf>
    <xf numFmtId="166" fontId="4" fillId="0" borderId="2" xfId="3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" fontId="7" fillId="4" borderId="1" xfId="4" applyNumberFormat="1" applyFont="1" applyFill="1" applyBorder="1" applyAlignment="1">
      <alignment horizontal="center" vertical="center" wrapText="1"/>
    </xf>
    <xf numFmtId="165" fontId="9" fillId="2" borderId="1" xfId="0" applyNumberFormat="1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1" fontId="4" fillId="2" borderId="1" xfId="4" applyNumberFormat="1" applyFont="1" applyFill="1" applyBorder="1" applyAlignment="1" applyProtection="1">
      <alignment horizontal="center" vertical="center"/>
      <protection locked="0"/>
    </xf>
    <xf numFmtId="0" fontId="4" fillId="2" borderId="1" xfId="3" applyFont="1" applyFill="1" applyBorder="1" applyAlignment="1" applyProtection="1">
      <alignment horizontal="center" vertical="center"/>
      <protection locked="0"/>
    </xf>
    <xf numFmtId="164" fontId="4" fillId="2" borderId="1" xfId="3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2" fontId="4" fillId="4" borderId="1" xfId="4" applyNumberFormat="1" applyFont="1" applyFill="1" applyBorder="1" applyAlignment="1" applyProtection="1">
      <alignment horizontal="center" vertical="center"/>
      <protection locked="0"/>
    </xf>
    <xf numFmtId="165" fontId="4" fillId="4" borderId="1" xfId="3" applyNumberFormat="1" applyFont="1" applyFill="1" applyBorder="1" applyAlignment="1" applyProtection="1">
      <alignment horizontal="center" vertical="center"/>
      <protection locked="0"/>
    </xf>
    <xf numFmtId="2" fontId="4" fillId="3" borderId="1" xfId="0" applyNumberFormat="1" applyFont="1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left"/>
      <protection locked="0"/>
    </xf>
    <xf numFmtId="166" fontId="4" fillId="0" borderId="0" xfId="3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165" fontId="4" fillId="0" borderId="4" xfId="0" applyNumberFormat="1" applyFont="1" applyBorder="1" applyAlignment="1" applyProtection="1">
      <alignment horizontal="center"/>
    </xf>
    <xf numFmtId="1" fontId="4" fillId="0" borderId="4" xfId="0" applyNumberFormat="1" applyFont="1" applyBorder="1" applyAlignment="1" applyProtection="1">
      <alignment horizontal="center"/>
    </xf>
    <xf numFmtId="1" fontId="4" fillId="0" borderId="5" xfId="0" applyNumberFormat="1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</xf>
    <xf numFmtId="165" fontId="4" fillId="0" borderId="7" xfId="0" applyNumberFormat="1" applyFont="1" applyBorder="1" applyAlignment="1" applyProtection="1">
      <alignment horizontal="center"/>
    </xf>
    <xf numFmtId="0" fontId="4" fillId="0" borderId="8" xfId="0" applyFont="1" applyBorder="1" applyAlignment="1" applyProtection="1">
      <alignment horizontal="center"/>
      <protection locked="0"/>
    </xf>
    <xf numFmtId="165" fontId="4" fillId="0" borderId="9" xfId="0" applyNumberFormat="1" applyFont="1" applyBorder="1" applyAlignment="1" applyProtection="1">
      <alignment horizontal="center"/>
    </xf>
    <xf numFmtId="165" fontId="4" fillId="0" borderId="10" xfId="0" applyNumberFormat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165" fontId="4" fillId="0" borderId="3" xfId="0" applyNumberFormat="1" applyFont="1" applyBorder="1" applyAlignment="1" applyProtection="1">
      <alignment horizontal="center"/>
    </xf>
    <xf numFmtId="165" fontId="4" fillId="0" borderId="5" xfId="0" applyNumberFormat="1" applyFont="1" applyBorder="1" applyAlignment="1" applyProtection="1">
      <alignment horizontal="center"/>
    </xf>
    <xf numFmtId="165" fontId="4" fillId="0" borderId="6" xfId="0" applyNumberFormat="1" applyFont="1" applyBorder="1" applyAlignment="1" applyProtection="1">
      <alignment horizontal="center"/>
    </xf>
    <xf numFmtId="165" fontId="4" fillId="0" borderId="8" xfId="0" applyNumberFormat="1" applyFont="1" applyBorder="1" applyAlignment="1" applyProtection="1">
      <alignment horizontal="center"/>
    </xf>
    <xf numFmtId="0" fontId="10" fillId="0" borderId="0" xfId="0" applyFont="1"/>
    <xf numFmtId="0" fontId="0" fillId="5" borderId="11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1" xfId="0" applyFill="1" applyBorder="1" applyAlignment="1">
      <alignment horizontal="left" vertical="top"/>
    </xf>
    <xf numFmtId="0" fontId="0" fillId="6" borderId="12" xfId="0" applyFill="1" applyBorder="1"/>
    <xf numFmtId="0" fontId="0" fillId="6" borderId="13" xfId="0" applyFill="1" applyBorder="1"/>
    <xf numFmtId="0" fontId="11" fillId="5" borderId="1" xfId="0" applyFont="1" applyFill="1" applyBorder="1" applyAlignment="1">
      <alignment horizontal="left"/>
    </xf>
    <xf numFmtId="166" fontId="4" fillId="0" borderId="17" xfId="3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2" fontId="7" fillId="3" borderId="8" xfId="0" applyNumberFormat="1" applyFont="1" applyFill="1" applyBorder="1" applyAlignment="1">
      <alignment horizontal="center" vertical="center" wrapText="1"/>
    </xf>
    <xf numFmtId="2" fontId="7" fillId="3" borderId="9" xfId="0" applyNumberFormat="1" applyFont="1" applyFill="1" applyBorder="1" applyAlignment="1">
      <alignment horizontal="center" vertical="center" wrapText="1"/>
    </xf>
    <xf numFmtId="2" fontId="7" fillId="3" borderId="10" xfId="0" applyNumberFormat="1" applyFont="1" applyFill="1" applyBorder="1" applyAlignment="1">
      <alignment horizontal="center" vertical="center" wrapText="1"/>
    </xf>
    <xf numFmtId="0" fontId="0" fillId="5" borderId="15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0" xfId="0" applyFill="1" applyBorder="1" applyAlignment="1">
      <alignment horizontal="left" vertical="top"/>
    </xf>
    <xf numFmtId="0" fontId="0" fillId="5" borderId="1" xfId="0" applyFill="1" applyBorder="1" applyAlignment="1">
      <alignment horizontal="left" vertical="top"/>
    </xf>
    <xf numFmtId="0" fontId="0" fillId="6" borderId="1" xfId="0" applyFill="1" applyBorder="1" applyAlignment="1">
      <alignment horizontal="left" vertical="top"/>
    </xf>
    <xf numFmtId="14" fontId="0" fillId="6" borderId="11" xfId="0" applyNumberFormat="1" applyFill="1" applyBorder="1" applyAlignment="1">
      <alignment horizontal="center" vertical="top"/>
    </xf>
    <xf numFmtId="14" fontId="0" fillId="6" borderId="12" xfId="0" applyNumberFormat="1" applyFill="1" applyBorder="1" applyAlignment="1">
      <alignment horizontal="center" vertical="top"/>
    </xf>
    <xf numFmtId="2" fontId="7" fillId="2" borderId="3" xfId="0" applyNumberFormat="1" applyFont="1" applyFill="1" applyBorder="1" applyAlignment="1">
      <alignment horizontal="center" vertical="center" wrapText="1"/>
    </xf>
    <xf numFmtId="2" fontId="7" fillId="2" borderId="4" xfId="0" applyNumberFormat="1" applyFont="1" applyFill="1" applyBorder="1" applyAlignment="1">
      <alignment horizontal="center" vertical="center" wrapText="1"/>
    </xf>
    <xf numFmtId="2" fontId="7" fillId="2" borderId="5" xfId="0" applyNumberFormat="1" applyFont="1" applyFill="1" applyBorder="1" applyAlignment="1">
      <alignment horizontal="center" vertical="center" wrapText="1"/>
    </xf>
    <xf numFmtId="0" fontId="0" fillId="7" borderId="12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0" fillId="6" borderId="14" xfId="0" applyFill="1" applyBorder="1" applyAlignment="1">
      <alignment horizontal="left"/>
    </xf>
    <xf numFmtId="0" fontId="0" fillId="6" borderId="1" xfId="0" applyFill="1" applyBorder="1" applyAlignment="1">
      <alignment horizontal="left"/>
    </xf>
  </cellXfs>
  <cellStyles count="5">
    <cellStyle name="_Анализ динамики ионного состава" xfId="1"/>
    <cellStyle name="_Майский регион УДЭ - март" xfId="2"/>
    <cellStyle name="Normal_Sheet2" xfId="3"/>
    <cellStyle name="Обычный" xfId="0" builtinId="0"/>
    <cellStyle name="Стиль 1" xfId="4"/>
  </cellStyles>
  <dxfs count="21"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scale_SI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C121"/>
  <sheetViews>
    <sheetView tabSelected="1" zoomScale="85" zoomScaleNormal="85" workbookViewId="0">
      <pane ySplit="12" topLeftCell="A13" activePane="bottomLeft" state="frozen"/>
      <selection pane="bottomLeft" activeCell="H28" sqref="H28"/>
    </sheetView>
  </sheetViews>
  <sheetFormatPr defaultRowHeight="12.75" x14ac:dyDescent="0.2"/>
  <cols>
    <col min="1" max="1" width="16.7109375" style="10" customWidth="1"/>
    <col min="2" max="2" width="12" style="10" customWidth="1"/>
    <col min="3" max="3" width="13.5703125" style="10" customWidth="1"/>
    <col min="4" max="5" width="7.140625" style="11" customWidth="1"/>
    <col min="6" max="7" width="10.5703125" style="11" customWidth="1"/>
    <col min="8" max="11" width="7.140625" style="11" customWidth="1"/>
    <col min="12" max="12" width="7.140625" style="10" customWidth="1"/>
    <col min="13" max="18" width="5.28515625" style="10" customWidth="1"/>
    <col min="19" max="19" width="5.28515625" style="16" customWidth="1"/>
    <col min="20" max="20" width="5.28515625" style="17" customWidth="1"/>
    <col min="21" max="21" width="5.28515625" style="2" customWidth="1"/>
    <col min="22" max="29" width="5.28515625" customWidth="1"/>
    <col min="30" max="40" width="4" customWidth="1"/>
  </cols>
  <sheetData>
    <row r="1" spans="1:29" x14ac:dyDescent="0.2">
      <c r="A1" s="42" t="s">
        <v>23</v>
      </c>
      <c r="B1"/>
      <c r="C1"/>
      <c r="D1"/>
      <c r="E1"/>
      <c r="F1" t="s">
        <v>24</v>
      </c>
      <c r="G1" t="str">
        <f>[1]!unf_version()</f>
        <v>7.50</v>
      </c>
      <c r="H1" s="43" t="s">
        <v>25</v>
      </c>
      <c r="I1" s="71">
        <v>44303</v>
      </c>
      <c r="J1" s="72"/>
      <c r="K1" s="44"/>
      <c r="L1" s="45"/>
      <c r="M1"/>
      <c r="N1"/>
      <c r="O1"/>
      <c r="P1"/>
      <c r="Q1"/>
      <c r="R1"/>
      <c r="S1"/>
      <c r="T1"/>
      <c r="U1"/>
    </row>
    <row r="2" spans="1:29" x14ac:dyDescent="0.2">
      <c r="A2" t="s">
        <v>35</v>
      </c>
      <c r="B2"/>
      <c r="C2"/>
      <c r="D2"/>
      <c r="E2"/>
      <c r="F2"/>
      <c r="G2"/>
      <c r="H2" s="43" t="s">
        <v>26</v>
      </c>
      <c r="I2" s="46">
        <v>7.27</v>
      </c>
      <c r="J2" s="47"/>
      <c r="K2" s="47"/>
      <c r="L2" s="48"/>
      <c r="M2"/>
      <c r="N2"/>
      <c r="O2"/>
      <c r="P2"/>
      <c r="Q2"/>
      <c r="R2"/>
      <c r="S2"/>
      <c r="T2"/>
      <c r="U2"/>
    </row>
    <row r="3" spans="1:29" ht="15" x14ac:dyDescent="0.25">
      <c r="A3" s="49" t="s">
        <v>27</v>
      </c>
      <c r="B3" s="76" t="s">
        <v>28</v>
      </c>
      <c r="C3" s="76"/>
      <c r="D3" s="76"/>
      <c r="E3" s="77"/>
      <c r="F3"/>
      <c r="G3"/>
      <c r="H3" s="49" t="s">
        <v>27</v>
      </c>
      <c r="I3" s="78" t="s">
        <v>28</v>
      </c>
      <c r="J3" s="78"/>
      <c r="K3" s="78"/>
      <c r="L3" s="78"/>
      <c r="M3"/>
      <c r="N3"/>
      <c r="O3"/>
      <c r="P3"/>
      <c r="Q3"/>
      <c r="R3"/>
      <c r="S3"/>
      <c r="T3"/>
      <c r="U3"/>
    </row>
    <row r="4" spans="1:29" ht="15" x14ac:dyDescent="0.25">
      <c r="A4" s="49" t="s">
        <v>29</v>
      </c>
      <c r="B4" s="76" t="s">
        <v>30</v>
      </c>
      <c r="C4" s="76"/>
      <c r="D4" s="76"/>
      <c r="E4" s="77"/>
      <c r="F4"/>
      <c r="G4"/>
      <c r="H4" s="49" t="s">
        <v>29</v>
      </c>
      <c r="I4" s="79" t="s">
        <v>30</v>
      </c>
      <c r="J4" s="79"/>
      <c r="K4" s="79"/>
      <c r="L4" s="79"/>
      <c r="M4"/>
      <c r="N4"/>
      <c r="O4"/>
      <c r="P4"/>
      <c r="Q4"/>
      <c r="R4"/>
      <c r="S4"/>
      <c r="T4"/>
      <c r="U4"/>
    </row>
    <row r="5" spans="1:29" ht="15" x14ac:dyDescent="0.25">
      <c r="A5" s="49" t="s">
        <v>31</v>
      </c>
      <c r="B5" s="76" t="s">
        <v>32</v>
      </c>
      <c r="C5" s="76"/>
      <c r="D5" s="76"/>
      <c r="E5" s="77"/>
      <c r="F5"/>
      <c r="G5"/>
      <c r="H5" s="49" t="s">
        <v>31</v>
      </c>
      <c r="I5" s="79" t="s">
        <v>32</v>
      </c>
      <c r="J5" s="79"/>
      <c r="K5" s="79"/>
      <c r="L5" s="79"/>
      <c r="M5"/>
      <c r="N5"/>
      <c r="O5"/>
      <c r="P5"/>
      <c r="Q5"/>
      <c r="R5"/>
      <c r="S5"/>
      <c r="T5"/>
      <c r="U5"/>
    </row>
    <row r="6" spans="1:29" x14ac:dyDescent="0.2">
      <c r="A6" s="57" t="s">
        <v>33</v>
      </c>
      <c r="B6" s="60" t="s">
        <v>34</v>
      </c>
      <c r="C6" s="61"/>
      <c r="D6" s="61"/>
      <c r="E6" s="62"/>
      <c r="F6"/>
      <c r="G6"/>
      <c r="H6" s="69" t="s">
        <v>33</v>
      </c>
      <c r="I6" s="70" t="s">
        <v>34</v>
      </c>
      <c r="J6" s="70"/>
      <c r="K6" s="70"/>
      <c r="L6" s="70"/>
      <c r="M6"/>
      <c r="N6"/>
      <c r="O6"/>
      <c r="P6"/>
      <c r="Q6"/>
      <c r="R6"/>
      <c r="S6"/>
      <c r="T6"/>
      <c r="U6"/>
    </row>
    <row r="7" spans="1:29" x14ac:dyDescent="0.2">
      <c r="A7" s="58"/>
      <c r="B7" s="63"/>
      <c r="C7" s="64"/>
      <c r="D7" s="64"/>
      <c r="E7" s="65"/>
      <c r="F7"/>
      <c r="G7"/>
      <c r="H7" s="69"/>
      <c r="I7" s="70"/>
      <c r="J7" s="70"/>
      <c r="K7" s="70"/>
      <c r="L7" s="70"/>
      <c r="M7"/>
      <c r="N7"/>
      <c r="O7"/>
      <c r="P7"/>
      <c r="Q7"/>
      <c r="R7"/>
      <c r="S7"/>
      <c r="T7"/>
      <c r="U7"/>
    </row>
    <row r="8" spans="1:29" x14ac:dyDescent="0.2">
      <c r="A8" s="59"/>
      <c r="B8" s="66"/>
      <c r="C8" s="67"/>
      <c r="D8" s="67"/>
      <c r="E8" s="68"/>
      <c r="F8"/>
      <c r="G8"/>
      <c r="H8" s="69"/>
      <c r="I8" s="70"/>
      <c r="J8" s="70"/>
      <c r="K8" s="70"/>
      <c r="L8" s="70"/>
      <c r="M8"/>
      <c r="N8"/>
      <c r="O8"/>
      <c r="P8"/>
      <c r="Q8"/>
      <c r="R8"/>
      <c r="S8"/>
      <c r="T8"/>
      <c r="U8"/>
    </row>
    <row r="9" spans="1:29" x14ac:dyDescent="0.2">
      <c r="U9" s="19"/>
    </row>
    <row r="10" spans="1:29" x14ac:dyDescent="0.2">
      <c r="U10" s="19"/>
    </row>
    <row r="11" spans="1:29" x14ac:dyDescent="0.2">
      <c r="N11" s="18"/>
      <c r="U11" s="19"/>
    </row>
    <row r="13" spans="1:29" x14ac:dyDescent="0.2">
      <c r="B13" s="10" t="s">
        <v>36</v>
      </c>
    </row>
    <row r="14" spans="1:29" x14ac:dyDescent="0.2">
      <c r="B14" s="10" t="s">
        <v>44</v>
      </c>
      <c r="C14" s="10" t="s">
        <v>37</v>
      </c>
    </row>
    <row r="15" spans="1:29" x14ac:dyDescent="0.2">
      <c r="B15" s="3" t="s">
        <v>6</v>
      </c>
      <c r="C15" s="5">
        <f>82900+390</f>
        <v>83290</v>
      </c>
      <c r="F15" s="73" t="s">
        <v>15</v>
      </c>
      <c r="G15" s="74"/>
      <c r="H15" s="75"/>
      <c r="I15" s="8">
        <v>1</v>
      </c>
      <c r="L15"/>
      <c r="M15"/>
      <c r="N15"/>
      <c r="O15"/>
      <c r="P15"/>
      <c r="Q15"/>
      <c r="R15"/>
      <c r="S15"/>
      <c r="T15"/>
      <c r="U15"/>
    </row>
    <row r="16" spans="1:29" x14ac:dyDescent="0.2">
      <c r="B16" s="3" t="s">
        <v>7</v>
      </c>
      <c r="C16" s="5">
        <v>2560</v>
      </c>
      <c r="F16" s="51" t="s">
        <v>16</v>
      </c>
      <c r="G16" s="52"/>
      <c r="H16" s="53"/>
      <c r="I16" s="14" cm="1">
        <f t="array" ref="I16">SI(P_,T_,q_liq,fw,C32,NaK,Ca2_,Mg2_,Ba2_,Sr2_,Cl,SO4_,HCO3_,CO2_mol,mode)</f>
        <v>-1.9711333436517093</v>
      </c>
      <c r="L16" s="10">
        <v>1</v>
      </c>
      <c r="M16" s="20" t="s">
        <v>19</v>
      </c>
      <c r="N16" s="11"/>
      <c r="O16" s="11"/>
      <c r="P16" s="11"/>
      <c r="Q16" s="11"/>
      <c r="R16" s="11"/>
      <c r="S16" s="11"/>
      <c r="T16" s="11"/>
      <c r="U16" s="10"/>
      <c r="V16" s="10"/>
      <c r="W16" s="10"/>
      <c r="X16" s="10"/>
      <c r="Y16" s="10"/>
      <c r="Z16" s="10"/>
      <c r="AA16" s="10"/>
      <c r="AB16" s="16"/>
      <c r="AC16" s="17"/>
    </row>
    <row r="17" spans="2:29" x14ac:dyDescent="0.2">
      <c r="B17" s="3" t="s">
        <v>8</v>
      </c>
      <c r="C17" s="5">
        <v>1240</v>
      </c>
      <c r="F17" s="54" t="s">
        <v>43</v>
      </c>
      <c r="G17" s="55"/>
      <c r="H17" s="56"/>
      <c r="I17" s="15" t="str">
        <f>IF(I16&lt;=0,"низкая",IF(AND(I16&gt;0,(I16&lt;=0.5)),"средняя",IF(AND(I16&gt;0.5,(I16&lt;=1)),"высокая","сверхвысокая")))</f>
        <v>низкая</v>
      </c>
      <c r="M17" s="11"/>
      <c r="N17" s="11"/>
      <c r="O17" s="11">
        <v>1.46</v>
      </c>
      <c r="P17" s="11"/>
      <c r="Q17" s="11"/>
      <c r="R17" s="11"/>
      <c r="S17" s="11"/>
      <c r="T17" s="11"/>
      <c r="U17" s="10"/>
      <c r="V17" s="10"/>
      <c r="W17" s="10"/>
      <c r="X17" s="10"/>
      <c r="Y17" s="10"/>
      <c r="Z17" s="10"/>
      <c r="AA17" s="10"/>
      <c r="AB17" s="16"/>
      <c r="AC17" s="17"/>
    </row>
    <row r="18" spans="2:29" x14ac:dyDescent="0.2">
      <c r="B18" s="3" t="s">
        <v>9</v>
      </c>
      <c r="C18" s="6">
        <v>84</v>
      </c>
      <c r="F18" s="10" t="s">
        <v>48</v>
      </c>
      <c r="G18" s="10"/>
      <c r="L18" s="32"/>
      <c r="M18" s="22"/>
      <c r="N18" s="22" t="s">
        <v>17</v>
      </c>
      <c r="O18" s="22"/>
      <c r="P18" s="22"/>
      <c r="Q18" s="22"/>
      <c r="R18" s="22"/>
      <c r="S18" s="22"/>
      <c r="T18" s="22"/>
      <c r="U18" s="33"/>
      <c r="V18" s="33"/>
      <c r="W18" s="33"/>
      <c r="X18" s="33"/>
      <c r="Y18" s="33"/>
      <c r="Z18" s="33"/>
      <c r="AA18" s="33"/>
      <c r="AB18" s="34"/>
      <c r="AC18" s="35"/>
    </row>
    <row r="19" spans="2:29" x14ac:dyDescent="0.2">
      <c r="B19" s="3" t="s">
        <v>10</v>
      </c>
      <c r="C19" s="6">
        <v>0</v>
      </c>
      <c r="F19" s="10">
        <v>1</v>
      </c>
      <c r="G19" s="10" t="s">
        <v>50</v>
      </c>
      <c r="L19" s="36"/>
      <c r="M19" s="21"/>
      <c r="N19" s="22">
        <v>1</v>
      </c>
      <c r="O19" s="22">
        <f t="shared" ref="O19:AC19" si="0">N19*$O$17</f>
        <v>1.46</v>
      </c>
      <c r="P19" s="23">
        <f t="shared" si="0"/>
        <v>2.1315999999999997</v>
      </c>
      <c r="Q19" s="24">
        <f t="shared" si="0"/>
        <v>3.1121359999999996</v>
      </c>
      <c r="R19" s="24">
        <f t="shared" si="0"/>
        <v>4.5437185599999994</v>
      </c>
      <c r="S19" s="24">
        <f t="shared" si="0"/>
        <v>6.6338290975999987</v>
      </c>
      <c r="T19" s="24">
        <f t="shared" si="0"/>
        <v>9.6853904824959987</v>
      </c>
      <c r="U19" s="24">
        <f t="shared" si="0"/>
        <v>14.140670104444158</v>
      </c>
      <c r="V19" s="24">
        <f t="shared" si="0"/>
        <v>20.645378352488471</v>
      </c>
      <c r="W19" s="24">
        <f t="shared" si="0"/>
        <v>30.142252394633168</v>
      </c>
      <c r="X19" s="24">
        <f t="shared" si="0"/>
        <v>44.007688496164427</v>
      </c>
      <c r="Y19" s="24">
        <f t="shared" si="0"/>
        <v>64.251225204400058</v>
      </c>
      <c r="Z19" s="24">
        <f t="shared" si="0"/>
        <v>93.80678879842408</v>
      </c>
      <c r="AA19" s="24">
        <f t="shared" si="0"/>
        <v>136.95791164569914</v>
      </c>
      <c r="AB19" s="24">
        <f t="shared" si="0"/>
        <v>199.95855100272075</v>
      </c>
      <c r="AC19" s="25">
        <f t="shared" si="0"/>
        <v>291.93948446397229</v>
      </c>
    </row>
    <row r="20" spans="2:29" x14ac:dyDescent="0.2">
      <c r="B20" s="3" t="s">
        <v>11</v>
      </c>
      <c r="C20" s="5">
        <v>162300</v>
      </c>
      <c r="F20" s="10">
        <v>2</v>
      </c>
      <c r="G20" s="10" t="s">
        <v>49</v>
      </c>
      <c r="L20" s="26" t="s">
        <v>18</v>
      </c>
      <c r="M20" s="26">
        <v>1</v>
      </c>
      <c r="N20" s="38">
        <f t="array" ref="N20">[1]!unf_fa_scale_SI(N$19,$M20,q_liq,fw,rp_m3m3,NaK,Ca2_,Mg2_,Ba2_,Sr2_,Cl,SO4_,HCO3_,CO2_mol,$L$16)</f>
        <v>-0.18352276803661807</v>
      </c>
      <c r="O20" s="23">
        <f t="array" ref="O20">[1]!unf_fa_scale_SI(O$19,$M20,q_liq,fw,rp_m3m3,NaK,Ca2_,Mg2_,Ba2_,Sr2_,Cl,SO4_,HCO3_,CO2_mol,$L$16)</f>
        <v>-0.35132407627973339</v>
      </c>
      <c r="P20" s="23">
        <f t="array" ref="P20">[1]!unf_fa_scale_SI(P$19,$M20,q_liq,fw,rp_m3m3,NaK,Ca2_,Mg2_,Ba2_,Sr2_,Cl,SO4_,HCO3_,CO2_mol,$L$16)</f>
        <v>-0.51960129169922165</v>
      </c>
      <c r="Q20" s="23">
        <f t="array" ref="Q20">[1]!unf_fa_scale_SI(Q$19,$M20,q_liq,fw,rp_m3m3,NaK,Ca2_,Mg2_,Ba2_,Sr2_,Cl,SO4_,HCO3_,CO2_mol,$L$16)</f>
        <v>-0.68834811363057802</v>
      </c>
      <c r="R20" s="23">
        <f t="array" ref="R20">[1]!unf_fa_scale_SI(R$19,$M20,q_liq,fw,rp_m3m3,NaK,Ca2_,Mg2_,Ba2_,Sr2_,Cl,SO4_,HCO3_,CO2_mol,$L$16)</f>
        <v>-0.85751437884380866</v>
      </c>
      <c r="S20" s="23">
        <f t="array" ref="S20">[1]!unf_fa_scale_SI(S$19,$M20,q_liq,fw,rp_m3m3,NaK,Ca2_,Mg2_,Ba2_,Sr2_,Cl,SO4_,HCO3_,CO2_mol,$L$16)</f>
        <v>-1.0269833269347417</v>
      </c>
      <c r="T20" s="23">
        <f t="array" ref="T20">[1]!unf_fa_scale_SI(T$19,$M20,q_liq,fw,rp_m3m3,NaK,Ca2_,Mg2_,Ba2_,Sr2_,Cl,SO4_,HCO3_,CO2_mol,$L$16)</f>
        <v>-1.1965438875261796</v>
      </c>
      <c r="U20" s="23">
        <f t="array" ref="U20">[1]!unf_fa_scale_SI(U$19,$M20,q_liq,fw,rp_m3m3,NaK,Ca2_,Mg2_,Ba2_,Sr2_,Cl,SO4_,HCO3_,CO2_mol,$L$16)</f>
        <v>-1.3658626286626958</v>
      </c>
      <c r="V20" s="23">
        <f t="array" ref="V20">[1]!unf_fa_scale_SI(V$19,$M20,q_liq,fw,rp_m3m3,NaK,Ca2_,Mg2_,Ba2_,Sr2_,Cl,SO4_,HCO3_,CO2_mol,$L$16)</f>
        <v>-1.534468395771788</v>
      </c>
      <c r="W20" s="23">
        <f t="array" ref="W20">[1]!unf_fa_scale_SI(W$19,$M20,q_liq,fw,rp_m3m3,NaK,Ca2_,Mg2_,Ba2_,Sr2_,Cl,SO4_,HCO3_,CO2_mol,$L$16)</f>
        <v>-1.7017786320804038</v>
      </c>
      <c r="X20" s="23">
        <f t="array" ref="X20">[1]!unf_fa_scale_SI(X$19,$M20,q_liq,fw,rp_m3m3,NaK,Ca2_,Mg2_,Ba2_,Sr2_,Cl,SO4_,HCO3_,CO2_mol,$L$16)</f>
        <v>-1.8672224252717748</v>
      </c>
      <c r="Y20" s="23">
        <f t="array" ref="Y20">[1]!unf_fa_scale_SI(Y$19,$M20,q_liq,fw,rp_m3m3,NaK,Ca2_,Mg2_,Ba2_,Sr2_,Cl,SO4_,HCO3_,CO2_mol,$L$16)</f>
        <v>-2.0305491244991627</v>
      </c>
      <c r="Z20" s="23">
        <f t="array" ref="Z20">[1]!unf_fa_scale_SI(Z$19,$M20,q_liq,fw,rp_m3m3,NaK,Ca2_,Mg2_,Ba2_,Sr2_,Cl,SO4_,HCO3_,CO2_mol,$L$16)</f>
        <v>-2.1924381882842834</v>
      </c>
      <c r="AA20" s="23">
        <f t="array" ref="AA20">[1]!unf_fa_scale_SI(AA$19,$M20,q_liq,fw,rp_m3m3,NaK,Ca2_,Mg2_,Ba2_,Sr2_,Cl,SO4_,HCO3_,CO2_mol,$L$16)</f>
        <v>-2.3555139863607941</v>
      </c>
      <c r="AB20" s="23">
        <f t="array" ref="AB20">[1]!unf_fa_scale_SI(AB$19,$M20,q_liq,fw,rp_m3m3,NaK,Ca2_,Mg2_,Ba2_,Sr2_,Cl,SO4_,HCO3_,CO2_mol,$L$16)</f>
        <v>-2.5257756673788663</v>
      </c>
      <c r="AC20" s="39">
        <f t="array" ref="AC20">[1]!unf_fa_scale_SI(AC$19,$M20,q_liq,fw,rp_m3m3,NaK,Ca2_,Mg2_,Ba2_,Sr2_,Cl,SO4_,HCO3_,CO2_mol,$L$16)</f>
        <v>-2.7141988796766201</v>
      </c>
    </row>
    <row r="21" spans="2:29" x14ac:dyDescent="0.2">
      <c r="B21" s="3" t="s">
        <v>12</v>
      </c>
      <c r="C21" s="6">
        <v>4900</v>
      </c>
      <c r="F21" s="10">
        <v>3</v>
      </c>
      <c r="G21" s="10" t="s">
        <v>51</v>
      </c>
      <c r="L21" s="36"/>
      <c r="M21" s="26">
        <v>5</v>
      </c>
      <c r="N21" s="40">
        <f t="array" ref="N21">[1]!unf_fa_scale_SI(N$19,$M21,q_liq,fw,rp_m3m3,NaK,Ca2_,Mg2_,Ba2_,Sr2_,Cl,SO4_,HCO3_,CO2_mol,$L$16)</f>
        <v>-8.2612884100407735E-2</v>
      </c>
      <c r="O21" s="27">
        <f t="array" ref="O21">[1]!unf_fa_scale_SI(O$19,$M21,q_liq,fw,rp_m3m3,NaK,Ca2_,Mg2_,Ba2_,Sr2_,Cl,SO4_,HCO3_,CO2_mol,$L$16)</f>
        <v>-0.25089281641769784</v>
      </c>
      <c r="P21" s="27">
        <f t="array" ref="P21">[1]!unf_fa_scale_SI(P$19,$M21,q_liq,fw,rp_m3m3,NaK,Ca2_,Mg2_,Ba2_,Sr2_,Cl,SO4_,HCO3_,CO2_mol,$L$16)</f>
        <v>-0.41983897281390409</v>
      </c>
      <c r="Q21" s="27">
        <f t="array" ref="Q21">[1]!unf_fa_scale_SI(Q$19,$M21,q_liq,fw,rp_m3m3,NaK,Ca2_,Mg2_,Ba2_,Sr2_,Cl,SO4_,HCO3_,CO2_mol,$L$16)</f>
        <v>-0.58952448052388018</v>
      </c>
      <c r="R21" s="27">
        <f t="array" ref="R21">[1]!unf_fa_scale_SI(R$19,$M21,q_liq,fw,rp_m3m3,NaK,Ca2_,Mg2_,Ba2_,Sr2_,Cl,SO4_,HCO3_,CO2_mol,$L$16)</f>
        <v>-0.76001146196985436</v>
      </c>
      <c r="S21" s="27">
        <f t="array" ref="S21">[1]!unf_fa_scale_SI(S$19,$M21,q_liq,fw,rp_m3m3,NaK,Ca2_,Mg2_,Ba2_,Sr2_,Cl,SO4_,HCO3_,CO2_mol,$L$16)</f>
        <v>-0.93134054709427483</v>
      </c>
      <c r="T21" s="27">
        <f t="array" ref="T21">[1]!unf_fa_scale_SI(T$19,$M21,q_liq,fw,rp_m3m3,NaK,Ca2_,Mg2_,Ba2_,Sr2_,Cl,SO4_,HCO3_,CO2_mol,$L$16)</f>
        <v>-1.1035182631015208</v>
      </c>
      <c r="U21" s="27">
        <f t="array" ref="U21">[1]!unf_fa_scale_SI(U$19,$M21,q_liq,fw,rp_m3m3,NaK,Ca2_,Mg2_,Ba2_,Sr2_,Cl,SO4_,HCO3_,CO2_mol,$L$16)</f>
        <v>-1.2765055675019616</v>
      </c>
      <c r="V21" s="27">
        <f t="array" ref="V21">[1]!unf_fa_scale_SI(V$19,$M21,q_liq,fw,rp_m3m3,NaK,Ca2_,Mg2_,Ba2_,Sr2_,Cl,SO4_,HCO3_,CO2_mol,$L$16)</f>
        <v>-1.4502163031946336</v>
      </c>
      <c r="W21" s="27">
        <f t="array" ref="W21">[1]!unf_fa_scale_SI(W$19,$M21,q_liq,fw,rp_m3m3,NaK,Ca2_,Mg2_,Ba2_,Sr2_,Cl,SO4_,HCO3_,CO2_mol,$L$16)</f>
        <v>-1.6245449461134469</v>
      </c>
      <c r="X21" s="27">
        <f t="array" ref="X21">[1]!unf_fa_scale_SI(X$19,$M21,q_liq,fw,rp_m3m3,NaK,Ca2_,Mg2_,Ba2_,Sr2_,Cl,SO4_,HCO3_,CO2_mol,$L$16)</f>
        <v>-1.7994604976343829</v>
      </c>
      <c r="Y21" s="27">
        <f t="array" ref="Y21">[1]!unf_fa_scale_SI(Y$19,$M21,q_liq,fw,rp_m3m3,NaK,Ca2_,Mg2_,Ba2_,Sr2_,Cl,SO4_,HCO3_,CO2_mol,$L$16)</f>
        <v>-1.9752254613251208</v>
      </c>
      <c r="Z21" s="27">
        <f t="array" ref="Z21">[1]!unf_fa_scale_SI(Z$19,$M21,q_liq,fw,rp_m3m3,NaK,Ca2_,Mg2_,Ba2_,Sr2_,Cl,SO4_,HCO3_,CO2_mol,$L$16)</f>
        <v>-2.1528095966945551</v>
      </c>
      <c r="AA21" s="27">
        <f t="array" ref="AA21">[1]!unf_fa_scale_SI(AA$19,$M21,q_liq,fw,rp_m3m3,NaK,Ca2_,Mg2_,Ba2_,Sr2_,Cl,SO4_,HCO3_,CO2_mol,$L$16)</f>
        <v>-2.3345215656602147</v>
      </c>
      <c r="AB21" s="27">
        <f t="array" ref="AB21">[1]!unf_fa_scale_SI(AB$19,$M21,q_liq,fw,rp_m3m3,NaK,Ca2_,Mg2_,Ba2_,Sr2_,Cl,SO4_,HCO3_,CO2_mol,$L$16)</f>
        <v>-2.5246878141549165</v>
      </c>
      <c r="AC21" s="28">
        <f t="array" ref="AC21">[1]!unf_fa_scale_SI(AC$19,$M21,q_liq,fw,rp_m3m3,NaK,Ca2_,Mg2_,Ba2_,Sr2_,Cl,SO4_,HCO3_,CO2_mol,$L$16)</f>
        <v>-2.7297735687087523</v>
      </c>
    </row>
    <row r="22" spans="2:29" x14ac:dyDescent="0.2">
      <c r="B22" s="3" t="s">
        <v>13</v>
      </c>
      <c r="C22" s="5">
        <v>100</v>
      </c>
      <c r="F22" s="10">
        <v>4</v>
      </c>
      <c r="G22" s="10" t="s">
        <v>52</v>
      </c>
      <c r="L22" s="36"/>
      <c r="M22" s="26">
        <v>10</v>
      </c>
      <c r="N22" s="40">
        <f t="array" ref="N22">[1]!unf_fa_scale_SI(N$19,$M22,q_liq,fw,rp_m3m3,NaK,Ca2_,Mg2_,Ba2_,Sr2_,Cl,SO4_,HCO3_,CO2_mol,$L$16)</f>
        <v>4.3752602427713921E-2</v>
      </c>
      <c r="O22" s="27">
        <f t="array" ref="O22">[1]!unf_fa_scale_SI(O$19,$M22,q_liq,fw,rp_m3m3,NaK,Ca2_,Mg2_,Ba2_,Sr2_,Cl,SO4_,HCO3_,CO2_mol,$L$16)</f>
        <v>-0.12496618156181508</v>
      </c>
      <c r="P22" s="27">
        <f t="array" ref="P22">[1]!unf_fa_scale_SI(P$19,$M22,q_liq,fw,rp_m3m3,NaK,Ca2_,Mg2_,Ba2_,Sr2_,Cl,SO4_,HCO3_,CO2_mol,$L$16)</f>
        <v>-0.29452122839539507</v>
      </c>
      <c r="Q22" s="27">
        <f t="array" ref="Q22">[1]!unf_fa_scale_SI(Q$19,$M22,q_liq,fw,rp_m3m3,NaK,Ca2_,Mg2_,Ba2_,Sr2_,Cl,SO4_,HCO3_,CO2_mol,$L$16)</f>
        <v>-0.46505550679669527</v>
      </c>
      <c r="R22" s="27">
        <f t="array" ref="R22">[1]!unf_fa_scale_SI(R$19,$M22,q_liq,fw,rp_m3m3,NaK,Ca2_,Mg2_,Ba2_,Sr2_,Cl,SO4_,HCO3_,CO2_mol,$L$16)</f>
        <v>-0.63672954311446306</v>
      </c>
      <c r="S22" s="27">
        <f t="array" ref="S22">[1]!unf_fa_scale_SI(S$19,$M22,q_liq,fw,rp_m3m3,NaK,Ca2_,Mg2_,Ba2_,Sr2_,Cl,SO4_,HCO3_,CO2_mol,$L$16)</f>
        <v>-0.80972138525410697</v>
      </c>
      <c r="T22" s="27">
        <f t="array" ref="T22">[1]!unf_fa_scale_SI(T$19,$M22,q_liq,fw,rp_m3m3,NaK,Ca2_,Mg2_,Ba2_,Sr2_,Cl,SO4_,HCO3_,CO2_mol,$L$16)</f>
        <v>-0.98422660200337697</v>
      </c>
      <c r="U22" s="27">
        <f t="array" ref="U22">[1]!unf_fa_scale_SI(U$19,$M22,q_liq,fw,rp_m3m3,NaK,Ca2_,Mg2_,Ba2_,Sr2_,Cl,SO4_,HCO3_,CO2_mol,$L$16)</f>
        <v>-1.1604598354140907</v>
      </c>
      <c r="V22" s="27">
        <f t="array" ref="V22">[1]!unf_fa_scale_SI(V$19,$M22,q_liq,fw,rp_m3m3,NaK,Ca2_,Mg2_,Ba2_,Sr2_,Cl,SO4_,HCO3_,CO2_mol,$L$16)</f>
        <v>-1.3386614569641861</v>
      </c>
      <c r="W22" s="27">
        <f t="array" ref="W22">[1]!unf_fa_scale_SI(W$19,$M22,q_liq,fw,rp_m3m3,NaK,Ca2_,Mg2_,Ba2_,Sr2_,Cl,SO4_,HCO3_,CO2_mol,$L$16)</f>
        <v>-1.5191162202145958</v>
      </c>
      <c r="X22" s="27">
        <f t="array" ref="X22">[1]!unf_fa_scale_SI(X$19,$M22,q_liq,fw,rp_m3m3,NaK,Ca2_,Mg2_,Ba2_,Sr2_,Cl,SO4_,HCO3_,CO2_mol,$L$16)</f>
        <v>-1.7021945925454136</v>
      </c>
      <c r="Y22" s="27">
        <f t="array" ref="Y22">[1]!unf_fa_scale_SI(Y$19,$M22,q_liq,fw,rp_m3m3,NaK,Ca2_,Mg2_,Ba2_,Sr2_,Cl,SO4_,HCO3_,CO2_mol,$L$16)</f>
        <v>-1.8884264682030492</v>
      </c>
      <c r="Z22" s="27">
        <f t="array" ref="Z22">[1]!unf_fa_scale_SI(Z$19,$M22,q_liq,fw,rp_m3m3,NaK,Ca2_,Mg2_,Ba2_,Sr2_,Cl,SO4_,HCO3_,CO2_mol,$L$16)</f>
        <v>-2.0785949610805594</v>
      </c>
      <c r="AA22" s="27">
        <f t="array" ref="AA22">[1]!unf_fa_scale_SI(AA$19,$M22,q_liq,fw,rp_m3m3,NaK,Ca2_,Mg2_,Ba2_,Sr2_,Cl,SO4_,HCO3_,CO2_mol,$L$16)</f>
        <v>-2.2737633551476848</v>
      </c>
      <c r="AB22" s="27">
        <f t="array" ref="AB22">[1]!unf_fa_scale_SI(AB$19,$M22,q_liq,fw,rp_m3m3,NaK,Ca2_,Mg2_,Ba2_,Sr2_,Cl,SO4_,HCO3_,CO2_mol,$L$16)</f>
        <v>-2.4750198917582655</v>
      </c>
      <c r="AC22" s="28">
        <f t="array" ref="AC22">[1]!unf_fa_scale_SI(AC$19,$M22,q_liq,fw,rp_m3m3,NaK,Ca2_,Mg2_,Ba2_,Sr2_,Cl,SO4_,HCO3_,CO2_mol,$L$16)</f>
        <v>-2.6828467705003942</v>
      </c>
    </row>
    <row r="23" spans="2:29" x14ac:dyDescent="0.2">
      <c r="B23" s="10" t="s">
        <v>38</v>
      </c>
      <c r="C23" s="10" t="s">
        <v>45</v>
      </c>
      <c r="F23" s="10">
        <v>5</v>
      </c>
      <c r="G23" s="10" t="s">
        <v>53</v>
      </c>
      <c r="L23" s="36"/>
      <c r="M23" s="26">
        <v>15</v>
      </c>
      <c r="N23" s="40">
        <f t="array" ref="N23">[1]!unf_fa_scale_SI(N$19,$M23,q_liq,fw,rp_m3m3,NaK,Ca2_,Mg2_,Ba2_,Sr2_,Cl,SO4_,HCO3_,CO2_mol,$L$16)</f>
        <v>0.1701566243385888</v>
      </c>
      <c r="O23" s="27">
        <f t="array" ref="O23">[1]!unf_fa_scale_SI(O$19,$M23,q_liq,fw,rp_m3m3,NaK,Ca2_,Mg2_,Ba2_,Sr2_,Cl,SO4_,HCO3_,CO2_mol,$L$16)</f>
        <v>1.0837321827401533E-3</v>
      </c>
      <c r="P23" s="27">
        <f t="array" ref="P23">[1]!unf_fa_scale_SI(P$19,$M23,q_liq,fw,rp_m3m3,NaK,Ca2_,Mg2_,Ba2_,Sr2_,Cl,SO4_,HCO3_,CO2_mol,$L$16)</f>
        <v>-0.16896090009312958</v>
      </c>
      <c r="Q23" s="27">
        <f t="array" ref="Q23">[1]!unf_fa_scale_SI(Q$19,$M23,q_liq,fw,rp_m3m3,NaK,Ca2_,Mg2_,Ba2_,Sr2_,Cl,SO4_,HCO3_,CO2_mol,$L$16)</f>
        <v>-0.34017545654297887</v>
      </c>
      <c r="R23" s="27">
        <f t="array" ref="R23">[1]!unf_fa_scale_SI(R$19,$M23,q_liq,fw,rp_m3m3,NaK,Ca2_,Mg2_,Ba2_,Sr2_,Cl,SO4_,HCO3_,CO2_mol,$L$16)</f>
        <v>-0.51279814158078318</v>
      </c>
      <c r="S23" s="27">
        <f t="array" ref="S23">[1]!unf_fa_scale_SI(S$19,$M23,q_liq,fw,rp_m3m3,NaK,Ca2_,Mg2_,Ba2_,Sr2_,Cl,SO4_,HCO3_,CO2_mol,$L$16)</f>
        <v>-0.68711528866695648</v>
      </c>
      <c r="T23" s="27">
        <f t="array" ref="T23">[1]!unf_fa_scale_SI(T$19,$M23,q_liq,fw,rp_m3m3,NaK,Ca2_,Mg2_,Ba2_,Sr2_,Cl,SO4_,HCO3_,CO2_mol,$L$16)</f>
        <v>-0.8634710484008159</v>
      </c>
      <c r="U23" s="27">
        <f t="array" ref="U23">[1]!unf_fa_scale_SI(U$19,$M23,q_liq,fw,rp_m3m3,NaK,Ca2_,Mg2_,Ba2_,Sr2_,Cl,SO4_,HCO3_,CO2_mol,$L$16)</f>
        <v>-1.0422784819637414</v>
      </c>
      <c r="V23" s="27">
        <f t="array" ref="V23">[1]!unf_fa_scale_SI(V$19,$M23,q_liq,fw,rp_m3m3,NaK,Ca2_,Mg2_,Ba2_,Sr2_,Cl,SO4_,HCO3_,CO2_mol,$L$16)</f>
        <v>-1.2240305457665532</v>
      </c>
      <c r="W23" s="27">
        <f t="array" ref="W23">[1]!unf_fa_scale_SI(W$19,$M23,q_liq,fw,rp_m3m3,NaK,Ca2_,Mg2_,Ba2_,Sr2_,Cl,SO4_,HCO3_,CO2_mol,$L$16)</f>
        <v>-1.409305312301623</v>
      </c>
      <c r="X23" s="27">
        <f t="array" ref="X23">[1]!unf_fa_scale_SI(X$19,$M23,q_liq,fw,rp_m3m3,NaK,Ca2_,Mg2_,Ba2_,Sr2_,Cl,SO4_,HCO3_,CO2_mol,$L$16)</f>
        <v>-1.5987482849639743</v>
      </c>
      <c r="Y23" s="27">
        <f t="array" ref="Y23">[1]!unf_fa_scale_SI(Y$19,$M23,q_liq,fw,rp_m3m3,NaK,Ca2_,Mg2_,Ba2_,Sr2_,Cl,SO4_,HCO3_,CO2_mol,$L$16)</f>
        <v>-1.7929861671527036</v>
      </c>
      <c r="Z23" s="27">
        <f t="array" ref="Z23">[1]!unf_fa_scale_SI(Z$19,$M23,q_liq,fw,rp_m3m3,NaK,Ca2_,Mg2_,Ba2_,Sr2_,Cl,SO4_,HCO3_,CO2_mol,$L$16)</f>
        <v>-1.9923680227249547</v>
      </c>
      <c r="AA23" s="27">
        <f t="array" ref="AA23">[1]!unf_fa_scale_SI(AA$19,$M23,q_liq,fw,rp_m3m3,NaK,Ca2_,Mg2_,Ba2_,Sr2_,Cl,SO4_,HCO3_,CO2_mol,$L$16)</f>
        <v>-2.1963623088646052</v>
      </c>
      <c r="AB23" s="27">
        <f t="array" ref="AB23">[1]!unf_fa_scale_SI(AB$19,$M23,q_liq,fw,rp_m3m3,NaK,Ca2_,Mg2_,Ba2_,Sr2_,Cl,SO4_,HCO3_,CO2_mol,$L$16)</f>
        <v>-2.4025975893400795</v>
      </c>
      <c r="AC23" s="28">
        <f t="array" ref="AC23">[1]!unf_fa_scale_SI(AC$19,$M23,q_liq,fw,rp_m3m3,NaK,Ca2_,Mg2_,Ba2_,Sr2_,Cl,SO4_,HCO3_,CO2_mol,$L$16)</f>
        <v>-2.606768187404803</v>
      </c>
    </row>
    <row r="24" spans="2:29" ht="22.5" x14ac:dyDescent="0.2">
      <c r="B24" s="1" t="s">
        <v>14</v>
      </c>
      <c r="C24" s="1">
        <v>0.01</v>
      </c>
      <c r="L24" s="36"/>
      <c r="M24" s="26">
        <v>20</v>
      </c>
      <c r="N24" s="40">
        <f t="array" ref="N24">[1]!unf_fa_scale_SI(N$19,$M24,q_liq,fw,rp_m3m3,NaK,Ca2_,Mg2_,Ba2_,Sr2_,Cl,SO4_,HCO3_,CO2_mol,$L$16)</f>
        <v>0.29651828836392147</v>
      </c>
      <c r="O24" s="27">
        <f t="array" ref="O24">[1]!unf_fa_scale_SI(O$19,$M24,q_liq,fw,rp_m3m3,NaK,Ca2_,Mg2_,Ba2_,Sr2_,Cl,SO4_,HCO3_,CO2_mol,$L$16)</f>
        <v>0.12714321180968205</v>
      </c>
      <c r="P24" s="27">
        <f t="array" ref="P24">[1]!unf_fa_scale_SI(P$19,$M24,q_liq,fw,rp_m3m3,NaK,Ca2_,Mg2_,Ba2_,Sr2_,Cl,SO4_,HCO3_,CO2_mol,$L$16)</f>
        <v>-4.3318581833674749E-2</v>
      </c>
      <c r="Q24" s="27">
        <f t="array" ref="Q24">[1]!unf_fa_scale_SI(Q$19,$M24,q_liq,fw,rp_m3m3,NaK,Ca2_,Mg2_,Ba2_,Sr2_,Cl,SO4_,HCO3_,CO2_mol,$L$16)</f>
        <v>-0.21511198999838174</v>
      </c>
      <c r="R24" s="27">
        <f t="array" ref="R24">[1]!unf_fa_scale_SI(R$19,$M24,q_liq,fw,rp_m3m3,NaK,Ca2_,Mg2_,Ba2_,Sr2_,Cl,SO4_,HCO3_,CO2_mol,$L$16)</f>
        <v>-0.38854090383967765</v>
      </c>
      <c r="S24" s="27">
        <f t="array" ref="S24">[1]!unf_fa_scale_SI(S$19,$M24,q_liq,fw,rp_m3m3,NaK,Ca2_,Mg2_,Ba2_,Sr2_,Cl,SO4_,HCO3_,CO2_mol,$L$16)</f>
        <v>-0.56398317488407246</v>
      </c>
      <c r="T24" s="27">
        <f t="array" ref="T24">[1]!unf_fa_scale_SI(T$19,$M24,q_liq,fw,rp_m3m3,NaK,Ca2_,Mg2_,Ba2_,Sr2_,Cl,SO4_,HCO3_,CO2_mol,$L$16)</f>
        <v>-0.7419083964486175</v>
      </c>
      <c r="U24" s="27">
        <f t="array" ref="U24">[1]!unf_fa_scale_SI(U$19,$M24,q_liq,fw,rp_m3m3,NaK,Ca2_,Mg2_,Ba2_,Sr2_,Cl,SO4_,HCO3_,CO2_mol,$L$16)</f>
        <v>-0.92289671226580205</v>
      </c>
      <c r="V24" s="27">
        <f t="array" ref="V24">[1]!unf_fa_scale_SI(V$19,$M24,q_liq,fw,rp_m3m3,NaK,Ca2_,Mg2_,Ba2_,Sr2_,Cl,SO4_,HCO3_,CO2_mol,$L$16)</f>
        <v>-1.1076522517076008</v>
      </c>
      <c r="W24" s="27">
        <f t="array" ref="W24">[1]!unf_fa_scale_SI(W$19,$M24,q_liq,fw,rp_m3m3,NaK,Ca2_,Mg2_,Ba2_,Sr2_,Cl,SO4_,HCO3_,CO2_mol,$L$16)</f>
        <v>-1.2969930746412799</v>
      </c>
      <c r="X24" s="27">
        <f t="array" ref="X24">[1]!unf_fa_scale_SI(X$19,$M24,q_liq,fw,rp_m3m3,NaK,Ca2_,Mg2_,Ba2_,Sr2_,Cl,SO4_,HCO3_,CO2_mol,$L$16)</f>
        <v>-1.4917717993805542</v>
      </c>
      <c r="Y24" s="27">
        <f t="array" ref="Y24">[1]!unf_fa_scale_SI(Y$19,$M24,q_liq,fw,rp_m3m3,NaK,Ca2_,Mg2_,Ba2_,Sr2_,Cl,SO4_,HCO3_,CO2_mol,$L$16)</f>
        <v>-1.6926224008022781</v>
      </c>
      <c r="Z24" s="27">
        <f t="array" ref="Z24">[1]!unf_fa_scale_SI(Z$19,$M24,q_liq,fw,rp_m3m3,NaK,Ca2_,Mg2_,Ba2_,Sr2_,Cl,SO4_,HCO3_,CO2_mol,$L$16)</f>
        <v>-1.8993338224300351</v>
      </c>
      <c r="AA24" s="27">
        <f t="array" ref="AA24">[1]!unf_fa_scale_SI(AA$19,$M24,q_liq,fw,rp_m3m3,NaK,Ca2_,Mg2_,Ba2_,Sr2_,Cl,SO4_,HCO3_,CO2_mol,$L$16)</f>
        <v>-2.1096314426569847</v>
      </c>
      <c r="AB24" s="27">
        <f t="array" ref="AB24">[1]!unf_fa_scale_SI(AB$19,$M24,q_liq,fw,rp_m3m3,NaK,Ca2_,Mg2_,Ba2_,Sr2_,Cl,SO4_,HCO3_,CO2_mol,$L$16)</f>
        <v>-2.3177955452621872</v>
      </c>
      <c r="AC24" s="28">
        <f t="array" ref="AC24">[1]!unf_fa_scale_SI(AC$19,$M24,q_liq,fw,rp_m3m3,NaK,Ca2_,Mg2_,Ba2_,Sr2_,Cl,SO4_,HCO3_,CO2_mol,$L$16)</f>
        <v>-2.5161055802150156</v>
      </c>
    </row>
    <row r="25" spans="2:29" x14ac:dyDescent="0.2">
      <c r="B25" s="10" t="s">
        <v>39</v>
      </c>
      <c r="L25" s="36"/>
      <c r="M25" s="26">
        <v>25</v>
      </c>
      <c r="N25" s="40">
        <f t="array" ref="N25">[1]!unf_fa_scale_SI(N$19,$M25,q_liq,fw,rp_m3m3,NaK,Ca2_,Mg2_,Ba2_,Sr2_,Cl,SO4_,HCO3_,CO2_mol,$L$16)</f>
        <v>0.42279773671580761</v>
      </c>
      <c r="O25" s="27">
        <f t="array" ref="O25">[1]!unf_fa_scale_SI(O$19,$M25,q_liq,fw,rp_m3m3,NaK,Ca2_,Mg2_,Ba2_,Sr2_,Cl,SO4_,HCO3_,CO2_mol,$L$16)</f>
        <v>0.25315701561722609</v>
      </c>
      <c r="P25" s="27">
        <f t="array" ref="P25">[1]!unf_fa_scale_SI(P$19,$M25,q_liq,fw,rp_m3m3,NaK,Ca2_,Mg2_,Ba2_,Sr2_,Cl,SO4_,HCO3_,CO2_mol,$L$16)</f>
        <v>8.232869909374467E-2</v>
      </c>
      <c r="Q25" s="27">
        <f t="array" ref="Q25">[1]!unf_fa_scale_SI(Q$19,$M25,q_liq,fw,rp_m3m3,NaK,Ca2_,Mg2_,Ba2_,Sr2_,Cl,SO4_,HCO3_,CO2_mol,$L$16)</f>
        <v>-8.9973063702141379E-2</v>
      </c>
      <c r="R25" s="27">
        <f t="array" ref="R25">[1]!unf_fa_scale_SI(R$19,$M25,q_liq,fw,rp_m3m3,NaK,Ca2_,Mg2_,Ba2_,Sr2_,Cl,SO4_,HCO3_,CO2_mol,$L$16)</f>
        <v>-0.26410975605460457</v>
      </c>
      <c r="S25" s="27">
        <f t="array" ref="S25">[1]!unf_fa_scale_SI(S$19,$M25,q_liq,fw,rp_m3m3,NaK,Ca2_,Mg2_,Ba2_,Sr2_,Cl,SO4_,HCO3_,CO2_mol,$L$16)</f>
        <v>-0.44053947588377745</v>
      </c>
      <c r="T25" s="27">
        <f t="array" ref="T25">[1]!unf_fa_scale_SI(T$19,$M25,q_liq,fw,rp_m3m3,NaK,Ca2_,Mg2_,Ba2_,Sr2_,Cl,SO4_,HCO3_,CO2_mol,$L$16)</f>
        <v>-0.61984178725446304</v>
      </c>
      <c r="U25" s="27">
        <f t="array" ref="U25">[1]!unf_fa_scale_SI(U$19,$M25,q_liq,fw,rp_m3m3,NaK,Ca2_,Mg2_,Ba2_,Sr2_,Cl,SO4_,HCO3_,CO2_mol,$L$16)</f>
        <v>-0.80274312285499372</v>
      </c>
      <c r="V25" s="27">
        <f t="array" ref="V25">[1]!unf_fa_scale_SI(V$19,$M25,q_liq,fw,rp_m3m3,NaK,Ca2_,Mg2_,Ba2_,Sr2_,Cl,SO4_,HCO3_,CO2_mol,$L$16)</f>
        <v>-0.99013163043268371</v>
      </c>
      <c r="W25" s="27">
        <f t="array" ref="W25">[1]!unf_fa_scale_SI(W$19,$M25,q_liq,fw,rp_m3m3,NaK,Ca2_,Mg2_,Ba2_,Sr2_,Cl,SO4_,HCO3_,CO2_mol,$L$16)</f>
        <v>-1.1830310424455246</v>
      </c>
      <c r="X25" s="27">
        <f t="array" ref="X25">[1]!unf_fa_scale_SI(X$19,$M25,q_liq,fw,rp_m3m3,NaK,Ca2_,Mg2_,Ba2_,Sr2_,Cl,SO4_,HCO3_,CO2_mol,$L$16)</f>
        <v>-1.3824585861052259</v>
      </c>
      <c r="Y25" s="27">
        <f t="array" ref="Y25">[1]!unf_fa_scale_SI(Y$19,$M25,q_liq,fw,rp_m3m3,NaK,Ca2_,Mg2_,Ba2_,Sr2_,Cl,SO4_,HCO3_,CO2_mol,$L$16)</f>
        <v>-1.5890012424918418</v>
      </c>
      <c r="Z25" s="27">
        <f t="array" ref="Z25">[1]!unf_fa_scale_SI(Z$19,$M25,q_liq,fw,rp_m3m3,NaK,Ca2_,Mg2_,Ba2_,Sr2_,Cl,SO4_,HCO3_,CO2_mol,$L$16)</f>
        <v>-1.8018149515462514</v>
      </c>
      <c r="AA25" s="27">
        <f t="array" ref="AA25">[1]!unf_fa_scale_SI(AA$19,$M25,q_liq,fw,rp_m3m3,NaK,Ca2_,Mg2_,Ba2_,Sr2_,Cl,SO4_,HCO3_,CO2_mol,$L$16)</f>
        <v>-2.0168211521693054</v>
      </c>
      <c r="AB25" s="27">
        <f t="array" ref="AB25">[1]!unf_fa_scale_SI(AB$19,$M25,q_liq,fw,rp_m3m3,NaK,Ca2_,Mg2_,Ba2_,Sr2_,Cl,SO4_,HCO3_,CO2_mol,$L$16)</f>
        <v>-2.2251820942851723</v>
      </c>
      <c r="AC25" s="28">
        <f t="array" ref="AC25">[1]!unf_fa_scale_SI(AC$19,$M25,q_liq,fw,rp_m3m3,NaK,Ca2_,Mg2_,Ba2_,Sr2_,Cl,SO4_,HCO3_,CO2_mol,$L$16)</f>
        <v>-2.4169779118680741</v>
      </c>
    </row>
    <row r="26" spans="2:29" x14ac:dyDescent="0.2">
      <c r="B26" s="4" t="s">
        <v>3</v>
      </c>
      <c r="C26" s="12">
        <v>150</v>
      </c>
      <c r="D26" s="12" t="s">
        <v>46</v>
      </c>
      <c r="L26" s="36"/>
      <c r="M26" s="26">
        <v>30</v>
      </c>
      <c r="N26" s="40">
        <f t="array" ref="N26">[1]!unf_fa_scale_SI(N$19,$M26,q_liq,fw,rp_m3m3,NaK,Ca2_,Mg2_,Ba2_,Sr2_,Cl,SO4_,HCO3_,CO2_mol,$L$16)</f>
        <v>0.54897121558646556</v>
      </c>
      <c r="O26" s="27">
        <f t="array" ref="O26">[1]!unf_fa_scale_SI(O$19,$M26,q_liq,fw,rp_m3m3,NaK,Ca2_,Mg2_,Ba2_,Sr2_,Cl,SO4_,HCO3_,CO2_mol,$L$16)</f>
        <v>0.3790925639434351</v>
      </c>
      <c r="P26" s="27">
        <f t="array" ref="P26">[1]!unf_fa_scale_SI(P$19,$M26,q_liq,fw,rp_m3m3,NaK,Ca2_,Mg2_,Ba2_,Sr2_,Cl,SO4_,HCO3_,CO2_mol,$L$16)</f>
        <v>0.207935951181447</v>
      </c>
      <c r="Q26" s="27">
        <f t="array" ref="Q26">[1]!unf_fa_scale_SI(Q$19,$M26,q_liq,fw,rp_m3m3,NaK,Ca2_,Mg2_,Ba2_,Sr2_,Cl,SO4_,HCO3_,CO2_mol,$L$16)</f>
        <v>3.5178818939699381E-2</v>
      </c>
      <c r="R26" s="27">
        <f t="array" ref="R26">[1]!unf_fa_scale_SI(R$19,$M26,q_liq,fw,rp_m3m3,NaK,Ca2_,Mg2_,Ba2_,Sr2_,Cl,SO4_,HCO3_,CO2_mol,$L$16)</f>
        <v>-0.13959195833081889</v>
      </c>
      <c r="S26" s="27">
        <f t="array" ref="S26">[1]!unf_fa_scale_SI(S$19,$M26,q_liq,fw,rp_m3m3,NaK,Ca2_,Mg2_,Ba2_,Sr2_,Cl,SO4_,HCO3_,CO2_mol,$L$16)</f>
        <v>-0.31690646778330173</v>
      </c>
      <c r="T26" s="27">
        <f t="array" ref="T26">[1]!unf_fa_scale_SI(T$19,$M26,q_liq,fw,rp_m3m3,NaK,Ca2_,Mg2_,Ba2_,Sr2_,Cl,SO4_,HCO3_,CO2_mol,$L$16)</f>
        <v>-0.49744296137114746</v>
      </c>
      <c r="U26" s="27">
        <f t="array" ref="U26">[1]!unf_fa_scale_SI(U$19,$M26,q_liq,fw,rp_m3m3,NaK,Ca2_,Mg2_,Ba2_,Sr2_,Cl,SO4_,HCO3_,CO2_mol,$L$16)</f>
        <v>-0.68205910080541388</v>
      </c>
      <c r="V26" s="27">
        <f t="array" ref="V26">[1]!unf_fa_scale_SI(V$19,$M26,q_liq,fw,rp_m3m3,NaK,Ca2_,Mg2_,Ba2_,Sr2_,Cl,SO4_,HCO3_,CO2_mol,$L$16)</f>
        <v>-0.87180760824852699</v>
      </c>
      <c r="W26" s="27">
        <f t="array" ref="W26">[1]!unf_fa_scale_SI(W$19,$M26,q_liq,fw,rp_m3m3,NaK,Ca2_,Mg2_,Ba2_,Sr2_,Cl,SO4_,HCO3_,CO2_mol,$L$16)</f>
        <v>-1.0678937968888049</v>
      </c>
      <c r="X26" s="27">
        <f t="array" ref="X26">[1]!unf_fa_scale_SI(X$19,$M26,q_liq,fw,rp_m3m3,NaK,Ca2_,Mg2_,Ba2_,Sr2_,Cl,SO4_,HCO3_,CO2_mol,$L$16)</f>
        <v>-1.2714706007041001</v>
      </c>
      <c r="Y26" s="27">
        <f t="array" ref="Y26">[1]!unf_fa_scale_SI(Y$19,$M26,q_liq,fw,rp_m3m3,NaK,Ca2_,Mg2_,Ba2_,Sr2_,Cl,SO4_,HCO3_,CO2_mol,$L$16)</f>
        <v>-1.4830426397303804</v>
      </c>
      <c r="Z26" s="27">
        <f t="array" ref="Z26">[1]!unf_fa_scale_SI(Z$19,$M26,q_liq,fw,rp_m3m3,NaK,Ca2_,Mg2_,Ba2_,Sr2_,Cl,SO4_,HCO3_,CO2_mol,$L$16)</f>
        <v>-1.7010885511749518</v>
      </c>
      <c r="AA26" s="27">
        <f t="array" ref="AA26">[1]!unf_fa_scale_SI(AA$19,$M26,q_liq,fw,rp_m3m3,NaK,Ca2_,Mg2_,Ba2_,Sr2_,Cl,SO4_,HCO3_,CO2_mol,$L$16)</f>
        <v>-1.9197104648584511</v>
      </c>
      <c r="AB26" s="27">
        <f t="array" ref="AB26">[1]!unf_fa_scale_SI(AB$19,$M26,q_liq,fw,rp_m3m3,NaK,Ca2_,Mg2_,Ba2_,Sr2_,Cl,SO4_,HCO3_,CO2_mol,$L$16)</f>
        <v>-2.1272237550974107</v>
      </c>
      <c r="AC26" s="28">
        <f t="array" ref="AC26">[1]!unf_fa_scale_SI(AC$19,$M26,q_liq,fw,rp_m3m3,NaK,Ca2_,Mg2_,Ba2_,Sr2_,Cl,SO4_,HCO3_,CO2_mol,$L$16)</f>
        <v>-2.3125064419955268</v>
      </c>
    </row>
    <row r="27" spans="2:29" x14ac:dyDescent="0.2">
      <c r="B27" s="4" t="s">
        <v>2</v>
      </c>
      <c r="C27" s="13">
        <v>30</v>
      </c>
      <c r="D27" s="12" t="s">
        <v>47</v>
      </c>
      <c r="L27" s="36"/>
      <c r="M27" s="26">
        <v>35</v>
      </c>
      <c r="N27" s="40">
        <f t="array" ref="N27">[1]!unf_fa_scale_SI(N$19,$M27,q_liq,fw,rp_m3m3,NaK,Ca2_,Mg2_,Ba2_,Sr2_,Cl,SO4_,HCO3_,CO2_mol,$L$16)</f>
        <v>0.67502300463884224</v>
      </c>
      <c r="O27" s="27">
        <f t="array" ref="O27">[1]!unf_fa_scale_SI(O$19,$M27,q_liq,fw,rp_m3m3,NaK,Ca2_,Mg2_,Ba2_,Sr2_,Cl,SO4_,HCO3_,CO2_mol,$L$16)</f>
        <v>0.50492846505337197</v>
      </c>
      <c r="P27" s="27">
        <f t="array" ref="P27">[1]!unf_fa_scale_SI(P$19,$M27,q_liq,fw,rp_m3m3,NaK,Ca2_,Mg2_,Ba2_,Sr2_,Cl,SO4_,HCO3_,CO2_mol,$L$16)</f>
        <v>0.33347385162817444</v>
      </c>
      <c r="Q27" s="27">
        <f t="array" ref="Q27">[1]!unf_fa_scale_SI(Q$19,$M27,q_liq,fw,rp_m3m3,NaK,Ca2_,Mg2_,Ba2_,Sr2_,Cl,SO4_,HCO3_,CO2_mol,$L$16)</f>
        <v>0.16030320195161496</v>
      </c>
      <c r="R27" s="27">
        <f t="array" ref="R27">[1]!unf_fa_scale_SI(R$19,$M27,q_liq,fw,rp_m3m3,NaK,Ca2_,Mg2_,Ba2_,Sr2_,Cl,SO4_,HCO3_,CO2_mol,$L$16)</f>
        <v>-1.5043633114331462E-2</v>
      </c>
      <c r="S27" s="27">
        <f t="array" ref="S27">[1]!unf_fa_scale_SI(S$19,$M27,q_liq,fw,rp_m3m3,NaK,Ca2_,Mg2_,Ba2_,Sr2_,Cl,SO4_,HCO3_,CO2_mol,$L$16)</f>
        <v>-0.19316233794379467</v>
      </c>
      <c r="T27" s="27">
        <f t="array" ref="T27">[1]!unf_fa_scale_SI(T$19,$M27,q_liq,fw,rp_m3m3,NaK,Ca2_,Mg2_,Ba2_,Sr2_,Cl,SO4_,HCO3_,CO2_mol,$L$16)</f>
        <v>-0.37482115184911791</v>
      </c>
      <c r="U27" s="27">
        <f t="array" ref="U27">[1]!unf_fa_scale_SI(U$19,$M27,q_liq,fw,rp_m3m3,NaK,Ca2_,Mg2_,Ba2_,Sr2_,Cl,SO4_,HCO3_,CO2_mol,$L$16)</f>
        <v>-0.56099742386908724</v>
      </c>
      <c r="V27" s="27">
        <f t="array" ref="V27">[1]!unf_fa_scale_SI(V$19,$M27,q_liq,fw,rp_m3m3,NaK,Ca2_,Mg2_,Ba2_,Sr2_,Cl,SO4_,HCO3_,CO2_mol,$L$16)</f>
        <v>-0.75289371070852018</v>
      </c>
      <c r="W27" s="27">
        <f t="array" ref="W27">[1]!unf_fa_scale_SI(W$19,$M27,q_liq,fw,rp_m3m3,NaK,Ca2_,Mg2_,Ba2_,Sr2_,Cl,SO4_,HCO3_,CO2_mol,$L$16)</f>
        <v>-0.9518790102488891</v>
      </c>
      <c r="X27" s="27">
        <f t="array" ref="X27">[1]!unf_fa_scale_SI(X$19,$M27,q_liq,fw,rp_m3m3,NaK,Ca2_,Mg2_,Ba2_,Sr2_,Cl,SO4_,HCO3_,CO2_mol,$L$16)</f>
        <v>-1.159221263474739</v>
      </c>
      <c r="Y27" s="27">
        <f t="array" ref="Y27">[1]!unf_fa_scale_SI(Y$19,$M27,q_liq,fw,rp_m3m3,NaK,Ca2_,Mg2_,Ba2_,Sr2_,Cl,SO4_,HCO3_,CO2_mol,$L$16)</f>
        <v>-1.3753187549167216</v>
      </c>
      <c r="Z27" s="27">
        <f t="array" ref="Z27">[1]!unf_fa_scale_SI(Z$19,$M27,q_liq,fw,rp_m3m3,NaK,Ca2_,Mg2_,Ba2_,Sr2_,Cl,SO4_,HCO3_,CO2_mol,$L$16)</f>
        <v>-1.597945732858189</v>
      </c>
      <c r="AA27" s="27">
        <f t="array" ref="AA27">[1]!unf_fa_scale_SI(AA$19,$M27,q_liq,fw,rp_m3m3,NaK,Ca2_,Mg2_,Ba2_,Sr2_,Cl,SO4_,HCO3_,CO2_mol,$L$16)</f>
        <v>-1.8193955308155307</v>
      </c>
      <c r="AB27" s="27">
        <f t="array" ref="AB27">[1]!unf_fa_scale_SI(AB$19,$M27,q_liq,fw,rp_m3m3,NaK,Ca2_,Mg2_,Ba2_,Sr2_,Cl,SO4_,HCO3_,CO2_mol,$L$16)</f>
        <v>-2.0254146143229961</v>
      </c>
      <c r="AC27" s="28">
        <f t="array" ref="AC27">[1]!unf_fa_scale_SI(AC$19,$M27,q_liq,fw,rp_m3m3,NaK,Ca2_,Mg2_,Ba2_,Sr2_,Cl,SO4_,HCO3_,CO2_mol,$L$16)</f>
        <v>-2.204469944367434</v>
      </c>
    </row>
    <row r="28" spans="2:29" x14ac:dyDescent="0.2">
      <c r="B28" s="10" t="s">
        <v>40</v>
      </c>
      <c r="L28" s="36"/>
      <c r="M28" s="26">
        <v>40</v>
      </c>
      <c r="N28" s="40">
        <f t="array" ref="N28">[1]!unf_fa_scale_SI(N$19,$M28,q_liq,fw,rp_m3m3,NaK,Ca2_,Mg2_,Ba2_,Sr2_,Cl,SO4_,HCO3_,CO2_mol,$L$16)</f>
        <v>0.80094197697652281</v>
      </c>
      <c r="O28" s="27">
        <f t="array" ref="O28">[1]!unf_fa_scale_SI(O$19,$M28,q_liq,fw,rp_m3m3,NaK,Ca2_,Mg2_,Ba2_,Sr2_,Cl,SO4_,HCO3_,CO2_mol,$L$16)</f>
        <v>0.63064967006393069</v>
      </c>
      <c r="P28" s="27">
        <f t="array" ref="P28">[1]!unf_fa_scale_SI(P$19,$M28,q_liq,fw,rp_m3m3,NaK,Ca2_,Mg2_,Ba2_,Sr2_,Cl,SO4_,HCO3_,CO2_mol,$L$16)</f>
        <v>0.45892189195893052</v>
      </c>
      <c r="Q28" s="27">
        <f t="array" ref="Q28">[1]!unf_fa_scale_SI(Q$19,$M28,q_liq,fw,rp_m3m3,NaK,Ca2_,Mg2_,Ba2_,Sr2_,Cl,SO4_,HCO3_,CO2_mol,$L$16)</f>
        <v>0.28537194506364527</v>
      </c>
      <c r="R28" s="27">
        <f t="array" ref="R28">[1]!unf_fa_scale_SI(R$19,$M28,q_liq,fw,rp_m3m3,NaK,Ca2_,Mg2_,Ba2_,Sr2_,Cl,SO4_,HCO3_,CO2_mol,$L$16)</f>
        <v>0.10949638125136087</v>
      </c>
      <c r="S28" s="27">
        <f t="array" ref="S28">[1]!unf_fa_scale_SI(S$19,$M28,q_liq,fw,rp_m3m3,NaK,Ca2_,Mg2_,Ba2_,Sr2_,Cl,SO4_,HCO3_,CO2_mol,$L$16)</f>
        <v>-6.9360938164349739E-2</v>
      </c>
      <c r="T28" s="27">
        <f t="array" ref="T28">[1]!unf_fa_scale_SI(T$19,$M28,q_liq,fw,rp_m3m3,NaK,Ca2_,Mg2_,Ba2_,Sr2_,Cl,SO4_,HCO3_,CO2_mol,$L$16)</f>
        <v>-0.25205126268967948</v>
      </c>
      <c r="U28" s="27">
        <f t="array" ref="U28">[1]!unf_fa_scale_SI(U$19,$M28,q_liq,fw,rp_m3m3,NaK,Ca2_,Mg2_,Ba2_,Sr2_,Cl,SO4_,HCO3_,CO2_mol,$L$16)</f>
        <v>-0.43966242434822556</v>
      </c>
      <c r="V28" s="27">
        <f t="array" ref="V28">[1]!unf_fa_scale_SI(V$19,$M28,q_liq,fw,rp_m3m3,NaK,Ca2_,Mg2_,Ba2_,Sr2_,Cl,SO4_,HCO3_,CO2_mol,$L$16)</f>
        <v>-0.63353518112984319</v>
      </c>
      <c r="W28" s="27">
        <f t="array" ref="W28">[1]!unf_fa_scale_SI(W$19,$M28,q_liq,fw,rp_m3m3,NaK,Ca2_,Mg2_,Ba2_,Sr2_,Cl,SO4_,HCO3_,CO2_mol,$L$16)</f>
        <v>-0.83518838208129009</v>
      </c>
      <c r="X28" s="27">
        <f t="array" ref="X28">[1]!unf_fa_scale_SI(X$19,$M28,q_liq,fw,rp_m3m3,NaK,Ca2_,Mg2_,Ba2_,Sr2_,Cl,SO4_,HCO3_,CO2_mol,$L$16)</f>
        <v>-1.0459896207052439</v>
      </c>
      <c r="Y28" s="27">
        <f t="array" ref="Y28">[1]!unf_fa_scale_SI(Y$19,$M28,q_liq,fw,rp_m3m3,NaK,Ca2_,Mg2_,Ba2_,Sr2_,Cl,SO4_,HCO3_,CO2_mol,$L$16)</f>
        <v>-1.2662142860708994</v>
      </c>
      <c r="Z28" s="27">
        <f t="array" ref="Z28">[1]!unf_fa_scale_SI(Z$19,$M28,q_liq,fw,rp_m3m3,NaK,Ca2_,Mg2_,Ba2_,Sr2_,Cl,SO4_,HCO3_,CO2_mol,$L$16)</f>
        <v>-1.4929162936485121</v>
      </c>
      <c r="AA28" s="27">
        <f t="array" ref="AA28">[1]!unf_fa_scale_SI(AA$19,$M28,q_liq,fw,rp_m3m3,NaK,Ca2_,Mg2_,Ba2_,Sr2_,Cl,SO4_,HCO3_,CO2_mol,$L$16)</f>
        <v>-1.7166060695195162</v>
      </c>
      <c r="AB28" s="27">
        <f t="array" ref="AB28">[1]!unf_fa_scale_SI(AB$19,$M28,q_liq,fw,rp_m3m3,NaK,Ca2_,Mg2_,Ba2_,Sr2_,Cl,SO4_,HCO3_,CO2_mol,$L$16)</f>
        <v>-1.9207299772213251</v>
      </c>
      <c r="AC28" s="28">
        <f t="array" ref="AC28">[1]!unf_fa_scale_SI(AC$19,$M28,q_liq,fw,rp_m3m3,NaK,Ca2_,Mg2_,Ba2_,Sr2_,Cl,SO4_,HCO3_,CO2_mol,$L$16)</f>
        <v>-2.0939597377487291</v>
      </c>
    </row>
    <row r="29" spans="2:29" ht="21" x14ac:dyDescent="0.2">
      <c r="B29" s="1" t="s">
        <v>0</v>
      </c>
      <c r="C29" s="8">
        <v>30</v>
      </c>
      <c r="D29" s="8" t="s">
        <v>41</v>
      </c>
      <c r="L29" s="36"/>
      <c r="M29" s="26">
        <v>45</v>
      </c>
      <c r="N29" s="40">
        <f t="array" ref="N29">[1]!unf_fa_scale_SI(N$19,$M29,q_liq,fw,rp_m3m3,NaK,Ca2_,Mg2_,Ba2_,Sr2_,Cl,SO4_,HCO3_,CO2_mol,$L$16)</f>
        <v>0.92671987671348222</v>
      </c>
      <c r="O29" s="27">
        <f t="array" ref="O29">[1]!unf_fa_scale_SI(O$19,$M29,q_liq,fw,rp_m3m3,NaK,Ca2_,Mg2_,Ba2_,Sr2_,Cl,SO4_,HCO3_,CO2_mol,$L$16)</f>
        <v>0.75624506695857419</v>
      </c>
      <c r="P29" s="27">
        <f t="array" ref="P29">[1]!unf_fa_scale_SI(P$19,$M29,q_liq,fw,rp_m3m3,NaK,Ca2_,Mg2_,Ba2_,Sr2_,Cl,SO4_,HCO3_,CO2_mol,$L$16)</f>
        <v>0.58426499927408904</v>
      </c>
      <c r="Q29" s="27">
        <f t="array" ref="Q29">[1]!unf_fa_scale_SI(Q$19,$M29,q_liq,fw,rp_m3m3,NaK,Ca2_,Mg2_,Ba2_,Sr2_,Cl,SO4_,HCO3_,CO2_mol,$L$16)</f>
        <v>0.41036445788187387</v>
      </c>
      <c r="R29" s="27">
        <f t="array" ref="R29">[1]!unf_fa_scale_SI(R$19,$M29,q_liq,fw,rp_m3m3,NaK,Ca2_,Mg2_,Ba2_,Sr2_,Cl,SO4_,HCO3_,CO2_mol,$L$16)</f>
        <v>0.23399978510118805</v>
      </c>
      <c r="S29" s="27">
        <f t="array" ref="S29">[1]!unf_fa_scale_SI(S$19,$M29,q_liq,fw,rp_m3m3,NaK,Ca2_,Mg2_,Ba2_,Sr2_,Cl,SO4_,HCO3_,CO2_mol,$L$16)</f>
        <v>5.4458645793886838E-2</v>
      </c>
      <c r="T29" s="27">
        <f t="array" ref="T29">[1]!unf_fa_scale_SI(T$19,$M29,q_liq,fw,rp_m3m3,NaK,Ca2_,Mg2_,Ba2_,Sr2_,Cl,SO4_,HCO3_,CO2_mol,$L$16)</f>
        <v>-0.12918745962340669</v>
      </c>
      <c r="U29" s="27">
        <f t="array" ref="U29">[1]!unf_fa_scale_SI(U$19,$M29,q_liq,fw,rp_m3m3,NaK,Ca2_,Mg2_,Ba2_,Sr2_,Cl,SO4_,HCO3_,CO2_mol,$L$16)</f>
        <v>-0.31812928512881894</v>
      </c>
      <c r="V29" s="27">
        <f t="array" ref="V29">[1]!unf_fa_scale_SI(V$19,$M29,q_liq,fw,rp_m3m3,NaK,Ca2_,Mg2_,Ba2_,Sr2_,Cl,SO4_,HCO3_,CO2_mol,$L$16)</f>
        <v>-0.51383632755376973</v>
      </c>
      <c r="W29" s="27">
        <f t="array" ref="W29">[1]!unf_fa_scale_SI(W$19,$M29,q_liq,fw,rp_m3m3,NaK,Ca2_,Mg2_,Ba2_,Sr2_,Cl,SO4_,HCO3_,CO2_mol,$L$16)</f>
        <v>-0.71796627035117744</v>
      </c>
      <c r="X29" s="27">
        <f t="array" ref="X29">[1]!unf_fa_scale_SI(X$19,$M29,q_liq,fw,rp_m3m3,NaK,Ca2_,Mg2_,Ba2_,Sr2_,Cl,SO4_,HCO3_,CO2_mol,$L$16)</f>
        <v>-0.93197468469151079</v>
      </c>
      <c r="Y29" s="27">
        <f t="array" ref="Y29">[1]!unf_fa_scale_SI(Y$19,$M29,q_liq,fw,rp_m3m3,NaK,Ca2_,Mg2_,Ba2_,Sr2_,Cl,SO4_,HCO3_,CO2_mol,$L$16)</f>
        <v>-1.156002595034159</v>
      </c>
      <c r="Z29" s="27">
        <f t="array" ref="Z29">[1]!unf_fa_scale_SI(Z$19,$M29,q_liq,fw,rp_m3m3,NaK,Ca2_,Mg2_,Ba2_,Sr2_,Cl,SO4_,HCO3_,CO2_mol,$L$16)</f>
        <v>-1.3863752167719989</v>
      </c>
      <c r="AA29" s="27">
        <f t="array" ref="AA29">[1]!unf_fa_scale_SI(AA$19,$M29,q_liq,fw,rp_m3m3,NaK,Ca2_,Mg2_,Ba2_,Sr2_,Cl,SO4_,HCO3_,CO2_mol,$L$16)</f>
        <v>-1.6118552030065196</v>
      </c>
      <c r="AB29" s="27">
        <f t="array" ref="AB29">[1]!unf_fa_scale_SI(AB$19,$M29,q_liq,fw,rp_m3m3,NaK,Ca2_,Mg2_,Ba2_,Sr2_,Cl,SO4_,HCO3_,CO2_mol,$L$16)</f>
        <v>-1.8138410561211249</v>
      </c>
      <c r="AC29" s="28">
        <f t="array" ref="AC29">[1]!unf_fa_scale_SI(AC$19,$M29,q_liq,fw,rp_m3m3,NaK,Ca2_,Mg2_,Ba2_,Sr2_,Cl,SO4_,HCO3_,CO2_mol,$L$16)</f>
        <v>-1.9816823224472835</v>
      </c>
    </row>
    <row r="30" spans="2:29" x14ac:dyDescent="0.2">
      <c r="B30" s="1" t="s">
        <v>4</v>
      </c>
      <c r="C30" s="7">
        <v>2</v>
      </c>
      <c r="D30" s="8" t="s">
        <v>41</v>
      </c>
      <c r="L30" s="36"/>
      <c r="M30" s="26">
        <v>50</v>
      </c>
      <c r="N30" s="40">
        <f t="array" ref="N30">[1]!unf_fa_scale_SI(N$19,$M30,q_liq,fw,rp_m3m3,NaK,Ca2_,Mg2_,Ba2_,Sr2_,Cl,SO4_,HCO3_,CO2_mol,$L$16)</f>
        <v>1.0523503591875125</v>
      </c>
      <c r="O30" s="27">
        <f t="array" ref="O30">[1]!unf_fa_scale_SI(O$19,$M30,q_liq,fw,rp_m3m3,NaK,Ca2_,Mg2_,Ba2_,Sr2_,Cl,SO4_,HCO3_,CO2_mol,$L$16)</f>
        <v>0.88170614942986414</v>
      </c>
      <c r="P30" s="27">
        <f t="array" ref="P30">[1]!unf_fa_scale_SI(P$19,$M30,q_liq,fw,rp_m3m3,NaK,Ca2_,Mg2_,Ba2_,Sr2_,Cl,SO4_,HCO3_,CO2_mol,$L$16)</f>
        <v>0.70949167893618603</v>
      </c>
      <c r="Q30" s="27">
        <f t="array" ref="Q30">[1]!unf_fa_scale_SI(Q$19,$M30,q_liq,fw,rp_m3m3,NaK,Ca2_,Mg2_,Ba2_,Sr2_,Cl,SO4_,HCO3_,CO2_mol,$L$16)</f>
        <v>0.53526509525562616</v>
      </c>
      <c r="R30" s="27">
        <f t="array" ref="R30">[1]!unf_fa_scale_SI(R$19,$M30,q_liq,fw,rp_m3m3,NaK,Ca2_,Mg2_,Ba2_,Sr2_,Cl,SO4_,HCO3_,CO2_mol,$L$16)</f>
        <v>0.3584451499495846</v>
      </c>
      <c r="S30" s="27">
        <f t="array" ref="S30">[1]!unf_fa_scale_SI(S$19,$M30,q_liq,fw,rp_m3m3,NaK,Ca2_,Mg2_,Ba2_,Sr2_,Cl,SO4_,HCO3_,CO2_mol,$L$16)</f>
        <v>0.17826691507864173</v>
      </c>
      <c r="T30" s="27">
        <f t="array" ref="T30">[1]!unf_fa_scale_SI(T$19,$M30,q_liq,fw,rp_m3m3,NaK,Ca2_,Mg2_,Ba2_,Sr2_,Cl,SO4_,HCO3_,CO2_mol,$L$16)</f>
        <v>-6.2704957038282744E-3</v>
      </c>
      <c r="U30" s="27">
        <f t="array" ref="U30">[1]!unf_fa_scale_SI(U$19,$M30,q_liq,fw,rp_m3m3,NaK,Ca2_,Mg2_,Ba2_,Sr2_,Cl,SO4_,HCO3_,CO2_mol,$L$16)</f>
        <v>-0.19645440291259925</v>
      </c>
      <c r="V30" s="27">
        <f t="array" ref="V30">[1]!unf_fa_scale_SI(V$19,$M30,q_liq,fw,rp_m3m3,NaK,Ca2_,Mg2_,Ba2_,Sr2_,Cl,SO4_,HCO3_,CO2_mol,$L$16)</f>
        <v>-0.39387516240999992</v>
      </c>
      <c r="W30" s="27">
        <f t="array" ref="W30">[1]!unf_fa_scale_SI(W$19,$M30,q_liq,fw,rp_m3m3,NaK,Ca2_,Mg2_,Ba2_,Sr2_,Cl,SO4_,HCO3_,CO2_mol,$L$16)</f>
        <v>-0.60032031169733746</v>
      </c>
      <c r="X30" s="27">
        <f t="array" ref="X30">[1]!unf_fa_scale_SI(X$19,$M30,q_liq,fw,rp_m3m3,NaK,Ca2_,Mg2_,Ba2_,Sr2_,Cl,SO4_,HCO3_,CO2_mol,$L$16)</f>
        <v>-0.81732436292197819</v>
      </c>
      <c r="Y30" s="27">
        <f t="array" ref="Y30">[1]!unf_fa_scale_SI(Y$19,$M30,q_liq,fw,rp_m3m3,NaK,Ca2_,Mg2_,Ba2_,Sr2_,Cl,SO4_,HCO3_,CO2_mol,$L$16)</f>
        <v>-1.044886142274452</v>
      </c>
      <c r="Z30" s="27">
        <f t="array" ref="Z30">[1]!unf_fa_scale_SI(Z$19,$M30,q_liq,fw,rp_m3m3,NaK,Ca2_,Mg2_,Ba2_,Sr2_,Cl,SO4_,HCO3_,CO2_mol,$L$16)</f>
        <v>-1.2785991329442379</v>
      </c>
      <c r="AA30" s="27">
        <f t="array" ref="AA30">[1]!unf_fa_scale_SI(AA$19,$M30,q_liq,fw,rp_m3m3,NaK,Ca2_,Mg2_,Ba2_,Sr2_,Cl,SO4_,HCO3_,CO2_mol,$L$16)</f>
        <v>-1.5055188093056551</v>
      </c>
      <c r="AB30" s="27">
        <f t="array" ref="AB30">[1]!unf_fa_scale_SI(AB$19,$M30,q_liq,fw,rp_m3m3,NaK,Ca2_,Mg2_,Ba2_,Sr2_,Cl,SO4_,HCO3_,CO2_mol,$L$16)</f>
        <v>-1.705228430277262</v>
      </c>
      <c r="AC30" s="28">
        <f t="array" ref="AC30">[1]!unf_fa_scale_SI(AC$19,$M30,q_liq,fw,rp_m3m3,NaK,Ca2_,Mg2_,Ba2_,Sr2_,Cl,SO4_,HCO3_,CO2_mol,$L$16)</f>
        <v>-1.8681144495701736</v>
      </c>
    </row>
    <row r="31" spans="2:29" ht="21" x14ac:dyDescent="0.2">
      <c r="B31" s="1" t="s">
        <v>1</v>
      </c>
      <c r="C31" s="7">
        <f>(q_liq-qo)/(q_liq)*100</f>
        <v>93.333333333333329</v>
      </c>
      <c r="L31" s="36"/>
      <c r="M31" s="26">
        <v>55</v>
      </c>
      <c r="N31" s="40">
        <f t="array" ref="N31">[1]!unf_fa_scale_SI(N$19,$M31,q_liq,fw,rp_m3m3,NaK,Ca2_,Mg2_,Ba2_,Sr2_,Cl,SO4_,HCO3_,CO2_mol,$L$16)</f>
        <v>1.1778284135388943</v>
      </c>
      <c r="O31" s="27">
        <f t="array" ref="O31">[1]!unf_fa_scale_SI(O$19,$M31,q_liq,fw,rp_m3m3,NaK,Ca2_,Mg2_,Ba2_,Sr2_,Cl,SO4_,HCO3_,CO2_mol,$L$16)</f>
        <v>1.0070262209257936</v>
      </c>
      <c r="P31" s="27">
        <f t="array" ref="P31">[1]!unf_fa_scale_SI(P$19,$M31,q_liq,fw,rp_m3m3,NaK,Ca2_,Mg2_,Ba2_,Sr2_,Cl,SO4_,HCO3_,CO2_mol,$L$16)</f>
        <v>0.83459291023491233</v>
      </c>
      <c r="Q31" s="27">
        <f t="array" ref="Q31">[1]!unf_fa_scale_SI(Q$19,$M31,q_liq,fw,rp_m3m3,NaK,Ca2_,Mg2_,Ba2_,Sr2_,Cl,SO4_,HCO3_,CO2_mol,$L$16)</f>
        <v>0.66006161648982231</v>
      </c>
      <c r="R31" s="27">
        <f t="array" ref="R31">[1]!unf_fa_scale_SI(R$19,$M31,q_liq,fw,rp_m3m3,NaK,Ca2_,Mg2_,Ba2_,Sr2_,Cl,SO4_,HCO3_,CO2_mol,$L$16)</f>
        <v>0.48281575892555995</v>
      </c>
      <c r="S31" s="27">
        <f t="array" ref="S31">[1]!unf_fa_scale_SI(S$19,$M31,q_liq,fw,rp_m3m3,NaK,Ca2_,Mg2_,Ba2_,Sr2_,Cl,SO4_,HCO3_,CO2_mol,$L$16)</f>
        <v>0.30204092063962551</v>
      </c>
      <c r="T31" s="27">
        <f t="array" ref="T31">[1]!unf_fa_scale_SI(T$19,$M31,q_liq,fw,rp_m3m3,NaK,Ca2_,Mg2_,Ba2_,Sr2_,Cl,SO4_,HCO3_,CO2_mol,$L$16)</f>
        <v>0.11666800871613578</v>
      </c>
      <c r="U31" s="27">
        <f t="array" ref="U31">[1]!unf_fa_scale_SI(U$19,$M31,q_liq,fw,rp_m3m3,NaK,Ca2_,Mg2_,Ba2_,Sr2_,Cl,SO4_,HCO3_,CO2_mol,$L$16)</f>
        <v>-7.4681422888176738E-2</v>
      </c>
      <c r="V31" s="27">
        <f t="array" ref="V31">[1]!unf_fa_scale_SI(V$19,$M31,q_liq,fw,rp_m3m3,NaK,Ca2_,Mg2_,Ba2_,Sr2_,Cl,SO4_,HCO3_,CO2_mol,$L$16)</f>
        <v>-0.27371190192635297</v>
      </c>
      <c r="W31" s="27">
        <f t="array" ref="W31">[1]!unf_fa_scale_SI(W$19,$M31,q_liq,fw,rp_m3m3,NaK,Ca2_,Mg2_,Ba2_,Sr2_,Cl,SO4_,HCO3_,CO2_mol,$L$16)</f>
        <v>-0.48233336044480901</v>
      </c>
      <c r="X31" s="27">
        <f t="array" ref="X31">[1]!unf_fa_scale_SI(X$19,$M31,q_liq,fw,rp_m3m3,NaK,Ca2_,Mg2_,Ba2_,Sr2_,Cl,SO4_,HCO3_,CO2_mol,$L$16)</f>
        <v>-0.70215216640835609</v>
      </c>
      <c r="Y31" s="27">
        <f t="array" ref="Y31">[1]!unf_fa_scale_SI(Y$19,$M31,q_liq,fw,rp_m3m3,NaK,Ca2_,Mg2_,Ba2_,Sr2_,Cl,SO4_,HCO3_,CO2_mol,$L$16)</f>
        <v>-0.93301978887249004</v>
      </c>
      <c r="Z31" s="27">
        <f t="array" ref="Z31">[1]!unf_fa_scale_SI(Z$19,$M31,q_liq,fw,rp_m3m3,NaK,Ca2_,Mg2_,Ba2_,Sr2_,Cl,SO4_,HCO3_,CO2_mol,$L$16)</f>
        <v>-1.1697987997163495</v>
      </c>
      <c r="AA31" s="27">
        <f t="array" ref="AA31">[1]!unf_fa_scale_SI(AA$19,$M31,q_liq,fw,rp_m3m3,NaK,Ca2_,Mg2_,Ba2_,Sr2_,Cl,SO4_,HCO3_,CO2_mol,$L$16)</f>
        <v>-1.3978811195249039</v>
      </c>
      <c r="AB31" s="27">
        <f t="array" ref="AB31">[1]!unf_fa_scale_SI(AB$19,$M31,q_liq,fw,rp_m3m3,NaK,Ca2_,Mg2_,Ba2_,Sr2_,Cl,SO4_,HCO3_,CO2_mol,$L$16)</f>
        <v>-1.5952469891826919</v>
      </c>
      <c r="AC31" s="28">
        <f t="array" ref="AC31">[1]!unf_fa_scale_SI(AC$19,$M31,q_liq,fw,rp_m3m3,NaK,Ca2_,Mg2_,Ba2_,Sr2_,Cl,SO4_,HCO3_,CO2_mol,$L$16)</f>
        <v>-1.7535887599433571</v>
      </c>
    </row>
    <row r="32" spans="2:29" x14ac:dyDescent="0.2">
      <c r="B32" s="1" t="s">
        <v>5</v>
      </c>
      <c r="C32" s="9">
        <v>400</v>
      </c>
      <c r="D32" s="8" t="s">
        <v>42</v>
      </c>
      <c r="L32" s="36"/>
      <c r="M32" s="26">
        <v>60</v>
      </c>
      <c r="N32" s="40">
        <f t="array" ref="N32">[1]!unf_fa_scale_SI(N$19,$M32,q_liq,fw,rp_m3m3,NaK,Ca2_,Mg2_,Ba2_,Sr2_,Cl,SO4_,HCO3_,CO2_mol,$L$16)</f>
        <v>1.303149994645435</v>
      </c>
      <c r="O32" s="27">
        <f t="array" ref="O32">[1]!unf_fa_scale_SI(O$19,$M32,q_liq,fw,rp_m3m3,NaK,Ca2_,Mg2_,Ba2_,Sr2_,Cl,SO4_,HCO3_,CO2_mol,$L$16)</f>
        <v>1.1321998899513994</v>
      </c>
      <c r="P32" s="27">
        <f t="array" ref="P32">[1]!unf_fa_scale_SI(P$19,$M32,q_liq,fw,rp_m3m3,NaK,Ca2_,Mg2_,Ba2_,Sr2_,Cl,SO4_,HCO3_,CO2_mol,$L$16)</f>
        <v>0.95956144956712319</v>
      </c>
      <c r="Q32" s="27">
        <f t="array" ref="Q32">[1]!unf_fa_scale_SI(Q$19,$M32,q_liq,fw,rp_m3m3,NaK,Ca2_,Mg2_,Ba2_,Sr2_,Cl,SO4_,HCO3_,CO2_mol,$L$16)</f>
        <v>0.78474421748573842</v>
      </c>
      <c r="R32" s="27">
        <f t="array" ref="R32">[1]!unf_fa_scale_SI(R$19,$M32,q_liq,fw,rp_m3m3,NaK,Ca2_,Mg2_,Ba2_,Sr2_,Cl,SO4_,HCO3_,CO2_mol,$L$16)</f>
        <v>0.60709825575525289</v>
      </c>
      <c r="S32" s="27">
        <f t="array" ref="S32">[1]!unf_fa_scale_SI(S$19,$M32,q_liq,fw,rp_m3m3,NaK,Ca2_,Mg2_,Ba2_,Sr2_,Cl,SO4_,HCO3_,CO2_mol,$L$16)</f>
        <v>0.42576237023531216</v>
      </c>
      <c r="T32" s="27">
        <f t="array" ref="T32">[1]!unf_fa_scale_SI(T$19,$M32,q_liq,fw,rp_m3m3,NaK,Ca2_,Mg2_,Ba2_,Sr2_,Cl,SO4_,HCO3_,CO2_mol,$L$16)</f>
        <v>0.23960290721841271</v>
      </c>
      <c r="U32" s="27">
        <f t="array" ref="U32">[1]!unf_fa_scale_SI(U$19,$M32,q_liq,fw,rp_m3m3,NaK,Ca2_,Mg2_,Ba2_,Sr2_,Cl,SO4_,HCO3_,CO2_mol,$L$16)</f>
        <v>4.7155023790931706E-2</v>
      </c>
      <c r="V32" s="27">
        <f t="array" ref="V32">[1]!unf_fa_scale_SI(V$19,$M32,q_liq,fw,rp_m3m3,NaK,Ca2_,Mg2_,Ba2_,Sr2_,Cl,SO4_,HCO3_,CO2_mol,$L$16)</f>
        <v>-0.15339421559919789</v>
      </c>
      <c r="W32" s="27">
        <f t="array" ref="W32">[1]!unf_fa_scale_SI(W$19,$M32,q_liq,fw,rp_m3m3,NaK,Ca2_,Mg2_,Ba2_,Sr2_,Cl,SO4_,HCO3_,CO2_mol,$L$16)</f>
        <v>-0.36407084378565746</v>
      </c>
      <c r="X32" s="27">
        <f t="array" ref="X32">[1]!unf_fa_scale_SI(X$19,$M32,q_liq,fw,rp_m3m3,NaK,Ca2_,Mg2_,Ba2_,Sr2_,Cl,SO4_,HCO3_,CO2_mol,$L$16)</f>
        <v>-0.58654747907413918</v>
      </c>
      <c r="Y32" s="27">
        <f t="array" ref="Y32">[1]!unf_fa_scale_SI(Y$19,$M32,q_liq,fw,rp_m3m3,NaK,Ca2_,Mg2_,Ba2_,Sr2_,Cl,SO4_,HCO3_,CO2_mol,$L$16)</f>
        <v>-0.82052508853656936</v>
      </c>
      <c r="Z32" s="27">
        <f t="array" ref="Z32">[1]!unf_fa_scale_SI(Z$19,$M32,q_liq,fw,rp_m3m3,NaK,Ca2_,Mg2_,Ba2_,Sr2_,Cl,SO4_,HCO3_,CO2_mol,$L$16)</f>
        <v>-1.060138987803916</v>
      </c>
      <c r="AA32" s="27">
        <f t="array" ref="AA32">[1]!unf_fa_scale_SI(AA$19,$M32,q_liq,fw,rp_m3m3,NaK,Ca2_,Mg2_,Ba2_,Sr2_,Cl,SO4_,HCO3_,CO2_mol,$L$16)</f>
        <v>-1.2891626006996326</v>
      </c>
      <c r="AB32" s="27">
        <f t="array" ref="AB32">[1]!unf_fa_scale_SI(AB$19,$M32,q_liq,fw,rp_m3m3,NaK,Ca2_,Mg2_,Ba2_,Sr2_,Cl,SO4_,HCO3_,CO2_mol,$L$16)</f>
        <v>-1.4841654236302182</v>
      </c>
      <c r="AC32" s="28">
        <f t="array" ref="AC32">[1]!unf_fa_scale_SI(AC$19,$M32,q_liq,fw,rp_m3m3,NaK,Ca2_,Mg2_,Ba2_,Sr2_,Cl,SO4_,HCO3_,CO2_mol,$L$16)</f>
        <v>-1.6383438682401075</v>
      </c>
    </row>
    <row r="33" spans="12:29" x14ac:dyDescent="0.2">
      <c r="L33" s="36"/>
      <c r="M33" s="26">
        <v>65</v>
      </c>
      <c r="N33" s="40">
        <f t="array" ref="N33">[1]!unf_fa_scale_SI(N$19,$M33,q_liq,fw,rp_m3m3,NaK,Ca2_,Mg2_,Ba2_,Sr2_,Cl,SO4_,HCO3_,CO2_mol,$L$16)</f>
        <v>1.428311777631045</v>
      </c>
      <c r="O33" s="27">
        <f t="array" ref="O33">[1]!unf_fa_scale_SI(O$19,$M33,q_liq,fw,rp_m3m3,NaK,Ca2_,Mg2_,Ba2_,Sr2_,Cl,SO4_,HCO3_,CO2_mol,$L$16)</f>
        <v>1.2572227349737373</v>
      </c>
      <c r="P33" s="27">
        <f t="array" ref="P33">[1]!unf_fa_scale_SI(P$19,$M33,q_liq,fw,rp_m3m3,NaK,Ca2_,Mg2_,Ba2_,Sr2_,Cl,SO4_,HCO3_,CO2_mol,$L$16)</f>
        <v>1.0843913697519862</v>
      </c>
      <c r="Q33" s="27">
        <f t="array" ref="Q33">[1]!unf_fa_scale_SI(Q$19,$M33,q_liq,fw,rp_m3m3,NaK,Ca2_,Mg2_,Ba2_,Sr2_,Cl,SO4_,HCO3_,CO2_mol,$L$16)</f>
        <v>0.90930489338971765</v>
      </c>
      <c r="R33" s="27">
        <f t="array" ref="R33">[1]!unf_fa_scale_SI(R$19,$M33,q_liq,fw,rp_m3m3,NaK,Ca2_,Mg2_,Ba2_,Sr2_,Cl,SO4_,HCO3_,CO2_mol,$L$16)</f>
        <v>0.7312817583167377</v>
      </c>
      <c r="S33" s="27">
        <f t="array" ref="S33">[1]!unf_fa_scale_SI(S$19,$M33,q_liq,fw,rp_m3m3,NaK,Ca2_,Mg2_,Ba2_,Sr2_,Cl,SO4_,HCO3_,CO2_mol,$L$16)</f>
        <v>0.54941639048543567</v>
      </c>
      <c r="T33" s="27">
        <f t="array" ref="T33">[1]!unf_fa_scale_SI(T$19,$M33,q_liq,fw,rp_m3m3,NaK,Ca2_,Mg2_,Ba2_,Sr2_,Cl,SO4_,HCO3_,CO2_mol,$L$16)</f>
        <v>0.36251379382085314</v>
      </c>
      <c r="U33" s="27">
        <f t="array" ref="U33">[1]!unf_fa_scale_SI(U$19,$M33,q_liq,fw,rp_m3m3,NaK,Ca2_,Mg2_,Ba2_,Sr2_,Cl,SO4_,HCO3_,CO2_mol,$L$16)</f>
        <v>0.16902688990065665</v>
      </c>
      <c r="V33" s="27">
        <f t="array" ref="V33">[1]!unf_fa_scale_SI(V$19,$M33,q_liq,fw,rp_m3m3,NaK,Ca2_,Mg2_,Ba2_,Sr2_,Cl,SO4_,HCO3_,CO2_mol,$L$16)</f>
        <v>-3.2960630739895296E-2</v>
      </c>
      <c r="W33" s="27">
        <f t="array" ref="W33">[1]!unf_fa_scale_SI(W$19,$M33,q_liq,fw,rp_m3m3,NaK,Ca2_,Mg2_,Ba2_,Sr2_,Cl,SO4_,HCO3_,CO2_mol,$L$16)</f>
        <v>-0.24558552074116966</v>
      </c>
      <c r="X33" s="27">
        <f t="array" ref="X33">[1]!unf_fa_scale_SI(X$19,$M33,q_liq,fw,rp_m3m3,NaK,Ca2_,Mg2_,Ba2_,Sr2_,Cl,SO4_,HCO3_,CO2_mol,$L$16)</f>
        <v>-0.47058218771004934</v>
      </c>
      <c r="Y33" s="27">
        <f t="array" ref="Y33">[1]!unf_fa_scale_SI(Y$19,$M33,q_liq,fw,rp_m3m3,NaK,Ca2_,Mg2_,Ba2_,Sr2_,Cl,SO4_,HCO3_,CO2_mol,$L$16)</f>
        <v>-0.70749949620874042</v>
      </c>
      <c r="Z33" s="27">
        <f t="array" ref="Z33">[1]!unf_fa_scale_SI(Z$19,$M33,q_liq,fw,rp_m3m3,NaK,Ca2_,Mg2_,Ba2_,Sr2_,Cl,SO4_,HCO3_,CO2_mol,$L$16)</f>
        <v>-0.94975127269774906</v>
      </c>
      <c r="AA33" s="27">
        <f t="array" ref="AA33">[1]!unf_fa_scale_SI(AA$19,$M33,q_liq,fw,rp_m3m3,NaK,Ca2_,Mg2_,Ba2_,Sr2_,Cl,SO4_,HCO3_,CO2_mol,$L$16)</f>
        <v>-1.1795378652011783</v>
      </c>
      <c r="AB33" s="27">
        <f t="array" ref="AB33">[1]!unf_fa_scale_SI(AB$19,$M33,q_liq,fw,rp_m3m3,NaK,Ca2_,Mg2_,Ba2_,Sr2_,Cl,SO4_,HCO3_,CO2_mol,$L$16)</f>
        <v>-1.3721914074094006</v>
      </c>
      <c r="AC33" s="28">
        <f t="array" ref="AC33">[1]!unf_fa_scale_SI(AC$19,$M33,q_liq,fw,rp_m3m3,NaK,Ca2_,Mg2_,Ba2_,Sr2_,Cl,SO4_,HCO3_,CO2_mol,$L$16)</f>
        <v>-1.5225550197575048</v>
      </c>
    </row>
    <row r="34" spans="12:29" x14ac:dyDescent="0.2">
      <c r="L34" s="37"/>
      <c r="M34" s="29">
        <v>70</v>
      </c>
      <c r="N34" s="41">
        <f t="array" ref="N34">[1]!unf_fa_scale_SI(N$19,$M34,q_liq,fw,rp_m3m3,NaK,Ca2_,Mg2_,Ba2_,Sr2_,Cl,SO4_,HCO3_,CO2_mol,$L$16)</f>
        <v>1.5533109880315104</v>
      </c>
      <c r="O34" s="30">
        <f t="array" ref="O34">[1]!unf_fa_scale_SI(O$19,$M34,q_liq,fw,rp_m3m3,NaK,Ca2_,Mg2_,Ba2_,Sr2_,Cl,SO4_,HCO3_,CO2_mol,$L$16)</f>
        <v>1.3820910735128946</v>
      </c>
      <c r="P34" s="30">
        <f t="array" ref="P34">[1]!unf_fa_scale_SI(P$19,$M34,q_liq,fw,rp_m3m3,NaK,Ca2_,Mg2_,Ba2_,Sr2_,Cl,SO4_,HCO3_,CO2_mol,$L$16)</f>
        <v>1.2090777437639988</v>
      </c>
      <c r="Q34" s="30">
        <f t="array" ref="Q34">[1]!unf_fa_scale_SI(Q$19,$M34,q_liq,fw,rp_m3m3,NaK,Ca2_,Mg2_,Ba2_,Sr2_,Cl,SO4_,HCO3_,CO2_mol,$L$16)</f>
        <v>1.0337370025667443</v>
      </c>
      <c r="R34" s="30">
        <f t="array" ref="R34">[1]!unf_fa_scale_SI(R$19,$M34,q_liq,fw,rp_m3m3,NaK,Ca2_,Mg2_,Ba2_,Sr2_,Cl,SO4_,HCO3_,CO2_mol,$L$16)</f>
        <v>0.85535725415806474</v>
      </c>
      <c r="S34" s="30">
        <f t="array" ref="S34">[1]!unf_fa_scale_SI(S$19,$M34,q_liq,fw,rp_m3m3,NaK,Ca2_,Mg2_,Ba2_,Sr2_,Cl,SO4_,HCO3_,CO2_mol,$L$16)</f>
        <v>0.67299068519672978</v>
      </c>
      <c r="T34" s="30">
        <f t="array" ref="T34">[1]!unf_fa_scale_SI(T$19,$M34,q_liq,fw,rp_m3m3,NaK,Ca2_,Mg2_,Ba2_,Sr2_,Cl,SO4_,HCO3_,CO2_mol,$L$16)</f>
        <v>0.48538382758932547</v>
      </c>
      <c r="U34" s="30">
        <f t="array" ref="U34">[1]!unf_fa_scale_SI(U$19,$M34,q_liq,fw,rp_m3m3,NaK,Ca2_,Mg2_,Ba2_,Sr2_,Cl,SO4_,HCO3_,CO2_mol,$L$16)</f>
        <v>0.29091106856579679</v>
      </c>
      <c r="V34" s="30">
        <f t="array" ref="V34">[1]!unf_fa_scale_SI(V$19,$M34,q_liq,fw,rp_m3m3,NaK,Ca2_,Mg2_,Ba2_,Sr2_,Cl,SO4_,HCO3_,CO2_mol,$L$16)</f>
        <v>8.7557170269728243E-2</v>
      </c>
      <c r="W34" s="30">
        <f t="array" ref="W34">[1]!unf_fa_scale_SI(W$19,$M34,q_liq,fw,rp_m3m3,NaK,Ca2_,Mg2_,Ba2_,Sr2_,Cl,SO4_,HCO3_,CO2_mol,$L$16)</f>
        <v>-0.12692068627445893</v>
      </c>
      <c r="X34" s="30">
        <f t="array" ref="X34">[1]!unf_fa_scale_SI(X$19,$M34,q_liq,fw,rp_m3m3,NaK,Ca2_,Mg2_,Ba2_,Sr2_,Cl,SO4_,HCO3_,CO2_mol,$L$16)</f>
        <v>-0.35431513657304964</v>
      </c>
      <c r="Y34" s="30">
        <f t="array" ref="Y34">[1]!unf_fa_scale_SI(Y$19,$M34,q_liq,fw,rp_m3m3,NaK,Ca2_,Mg2_,Ba2_,Sr2_,Cl,SO4_,HCO3_,CO2_mol,$L$16)</f>
        <v>-0.5940225434949562</v>
      </c>
      <c r="Z34" s="30">
        <f t="array" ref="Z34">[1]!unf_fa_scale_SI(Z$19,$M34,q_liq,fw,rp_m3m3,NaK,Ca2_,Mg2_,Ba2_,Sr2_,Cl,SO4_,HCO3_,CO2_mol,$L$16)</f>
        <v>-0.83874259885254099</v>
      </c>
      <c r="AA34" s="30">
        <f t="array" ref="AA34">[1]!unf_fa_scale_SI(AA$19,$M34,q_liq,fw,rp_m3m3,NaK,Ca2_,Mg2_,Ba2_,Sr2_,Cl,SO4_,HCO3_,CO2_mol,$L$16)</f>
        <v>-1.0691476415264882</v>
      </c>
      <c r="AB34" s="30">
        <f t="array" ref="AB34">[1]!unf_fa_scale_SI(AB$19,$M34,q_liq,fw,rp_m3m3,NaK,Ca2_,Mg2_,Ba2_,Sr2_,Cl,SO4_,HCO3_,CO2_mol,$L$16)</f>
        <v>-1.2594882814274586</v>
      </c>
      <c r="AC34" s="31">
        <f t="array" ref="AC34">[1]!unf_fa_scale_SI(AC$19,$M34,q_liq,fw,rp_m3m3,NaK,Ca2_,Mg2_,Ba2_,Sr2_,Cl,SO4_,HCO3_,CO2_mol,$L$16)</f>
        <v>-1.4063535700903185</v>
      </c>
    </row>
    <row r="35" spans="12:29" x14ac:dyDescent="0.2">
      <c r="M35" s="11"/>
      <c r="N35" s="11"/>
      <c r="O35" s="11"/>
      <c r="P35" s="11"/>
      <c r="Q35" s="11"/>
      <c r="R35" s="11"/>
      <c r="S35" s="11"/>
      <c r="T35" s="11"/>
      <c r="U35" s="10"/>
      <c r="V35" s="10"/>
      <c r="W35" s="10"/>
      <c r="X35" s="10"/>
      <c r="Y35" s="10"/>
      <c r="Z35" s="10"/>
      <c r="AA35" s="10"/>
      <c r="AB35" s="16"/>
      <c r="AC35" s="17"/>
    </row>
    <row r="36" spans="12:29" x14ac:dyDescent="0.2">
      <c r="M36" s="11"/>
      <c r="N36" s="11"/>
      <c r="O36" s="11"/>
      <c r="P36" s="11"/>
      <c r="Q36" s="11"/>
      <c r="R36" s="11"/>
      <c r="S36" s="11"/>
      <c r="T36" s="11"/>
      <c r="U36" s="10"/>
      <c r="V36" s="10"/>
      <c r="W36" s="10"/>
      <c r="X36" s="10"/>
      <c r="Y36" s="10"/>
      <c r="Z36" s="10"/>
      <c r="AA36" s="10"/>
      <c r="AB36" s="16"/>
      <c r="AC36" s="17"/>
    </row>
    <row r="37" spans="12:29" x14ac:dyDescent="0.2">
      <c r="M37" s="11"/>
      <c r="N37" s="11"/>
      <c r="O37" s="11"/>
      <c r="P37" s="11"/>
      <c r="Q37" s="11"/>
      <c r="R37" s="11"/>
      <c r="S37" s="11"/>
      <c r="T37" s="11"/>
      <c r="U37" s="10"/>
      <c r="V37" s="10"/>
      <c r="W37" s="10"/>
      <c r="X37" s="10"/>
      <c r="Y37" s="10"/>
      <c r="Z37" s="10"/>
      <c r="AA37" s="10"/>
      <c r="AB37" s="16"/>
      <c r="AC37" s="17"/>
    </row>
    <row r="38" spans="12:29" x14ac:dyDescent="0.2">
      <c r="L38" s="10">
        <v>2</v>
      </c>
      <c r="M38" s="20" t="s">
        <v>20</v>
      </c>
      <c r="N38" s="11"/>
      <c r="O38" s="11"/>
      <c r="P38" s="11"/>
      <c r="Q38" s="11"/>
      <c r="R38" s="11"/>
      <c r="S38" s="11"/>
      <c r="T38" s="11"/>
      <c r="U38" s="10"/>
      <c r="V38" s="10"/>
      <c r="W38" s="10"/>
      <c r="X38" s="10"/>
      <c r="Y38" s="10"/>
      <c r="Z38" s="10"/>
      <c r="AA38" s="10"/>
      <c r="AB38" s="16"/>
      <c r="AC38" s="17"/>
    </row>
    <row r="39" spans="12:29" x14ac:dyDescent="0.2">
      <c r="M39" s="11"/>
      <c r="N39" s="11"/>
      <c r="O39" s="11">
        <v>1.4</v>
      </c>
      <c r="P39" s="11"/>
      <c r="Q39" s="11"/>
      <c r="R39" s="11"/>
      <c r="S39" s="11"/>
      <c r="T39" s="11"/>
      <c r="U39" s="10"/>
      <c r="V39" s="10"/>
      <c r="W39" s="10"/>
      <c r="X39" s="10"/>
      <c r="Y39" s="10"/>
      <c r="Z39" s="10"/>
      <c r="AA39" s="10"/>
      <c r="AB39" s="16"/>
      <c r="AC39" s="17"/>
    </row>
    <row r="40" spans="12:29" x14ac:dyDescent="0.2">
      <c r="L40" s="32"/>
      <c r="M40" s="22"/>
      <c r="N40" s="22" t="s">
        <v>17</v>
      </c>
      <c r="O40" s="22"/>
      <c r="P40" s="22"/>
      <c r="Q40" s="22"/>
      <c r="R40" s="22"/>
      <c r="S40" s="22"/>
      <c r="T40" s="22"/>
      <c r="U40" s="33"/>
      <c r="V40" s="33"/>
      <c r="W40" s="33"/>
      <c r="X40" s="33"/>
      <c r="Y40" s="33"/>
      <c r="Z40" s="33"/>
      <c r="AA40" s="33"/>
      <c r="AB40" s="34"/>
      <c r="AC40" s="35"/>
    </row>
    <row r="41" spans="12:29" x14ac:dyDescent="0.2">
      <c r="L41" s="36"/>
      <c r="M41" s="21"/>
      <c r="N41" s="22">
        <v>1</v>
      </c>
      <c r="O41" s="22">
        <f t="shared" ref="O41:AC41" si="1">N41*$O$17</f>
        <v>1.46</v>
      </c>
      <c r="P41" s="23">
        <f t="shared" si="1"/>
        <v>2.1315999999999997</v>
      </c>
      <c r="Q41" s="24">
        <f t="shared" si="1"/>
        <v>3.1121359999999996</v>
      </c>
      <c r="R41" s="24">
        <f t="shared" si="1"/>
        <v>4.5437185599999994</v>
      </c>
      <c r="S41" s="24">
        <f t="shared" si="1"/>
        <v>6.6338290975999987</v>
      </c>
      <c r="T41" s="24">
        <f t="shared" si="1"/>
        <v>9.6853904824959987</v>
      </c>
      <c r="U41" s="24">
        <f t="shared" si="1"/>
        <v>14.140670104444158</v>
      </c>
      <c r="V41" s="24">
        <f t="shared" si="1"/>
        <v>20.645378352488471</v>
      </c>
      <c r="W41" s="24">
        <f t="shared" si="1"/>
        <v>30.142252394633168</v>
      </c>
      <c r="X41" s="24">
        <f t="shared" si="1"/>
        <v>44.007688496164427</v>
      </c>
      <c r="Y41" s="24">
        <f t="shared" si="1"/>
        <v>64.251225204400058</v>
      </c>
      <c r="Z41" s="24">
        <f t="shared" si="1"/>
        <v>93.80678879842408</v>
      </c>
      <c r="AA41" s="24">
        <f t="shared" si="1"/>
        <v>136.95791164569914</v>
      </c>
      <c r="AB41" s="24">
        <f t="shared" si="1"/>
        <v>199.95855100272075</v>
      </c>
      <c r="AC41" s="25">
        <f t="shared" si="1"/>
        <v>291.93948446397229</v>
      </c>
    </row>
    <row r="42" spans="12:29" x14ac:dyDescent="0.2">
      <c r="L42" s="26" t="s">
        <v>18</v>
      </c>
      <c r="M42" s="26">
        <v>1</v>
      </c>
      <c r="N42" s="38">
        <f t="array" ref="N42">[1]!unf_fa_scale_SI(N$41,$M42,q_liq,fw,rp_m3m3,NaK,Ca2_,Mg2_,Ba2_,Sr2_,Cl,SO4_,HCO3_,CO2_mol,$L$38)</f>
        <v>-0.1247824381469866</v>
      </c>
      <c r="O42" s="23">
        <f t="array" ref="O42">[1]!unf_fa_scale_SI(O$41,$M42,q_liq,fw,rp_m3m3,NaK,Ca2_,Mg2_,Ba2_,Sr2_,Cl,SO4_,HCO3_,CO2_mol,$L$38)</f>
        <v>-0.2925874104925012</v>
      </c>
      <c r="P42" s="23">
        <f t="array" ref="P42">[1]!unf_fa_scale_SI(P$41,$M42,q_liq,fw,rp_m3m3,NaK,Ca2_,Mg2_,Ba2_,Sr2_,Cl,SO4_,HCO3_,CO2_mol,$L$38)</f>
        <v>-0.46086997550149461</v>
      </c>
      <c r="Q42" s="23">
        <f t="array" ref="Q42">[1]!unf_fa_scale_SI(Q$41,$M42,q_liq,fw,rp_m3m3,NaK,Ca2_,Mg2_,Ba2_,Sr2_,Cl,SO4_,HCO3_,CO2_mol,$L$38)</f>
        <v>-0.6296246078335257</v>
      </c>
      <c r="R42" s="23">
        <f t="array" ref="R42">[1]!unf_fa_scale_SI(R$41,$M42,q_liq,fw,rp_m3m3,NaK,Ca2_,Mg2_,Ba2_,Sr2_,Cl,SO4_,HCO3_,CO2_mol,$L$38)</f>
        <v>-0.79880227623174416</v>
      </c>
      <c r="S42" s="23">
        <f t="array" ref="S42">[1]!unf_fa_scale_SI(S$41,$M42,q_liq,fw,rp_m3m3,NaK,Ca2_,Mg2_,Ba2_,Sr2_,Cl,SO4_,HCO3_,CO2_mol,$L$38)</f>
        <v>-0.96828787297275798</v>
      </c>
      <c r="T42" s="23">
        <f t="array" ref="T42">[1]!unf_fa_scale_SI(T$41,$M42,q_liq,fw,rp_m3m3,NaK,Ca2_,Mg2_,Ba2_,Sr2_,Cl,SO4_,HCO3_,CO2_mol,$L$38)</f>
        <v>-1.1378727405933124</v>
      </c>
      <c r="U42" s="23">
        <f t="array" ref="U42">[1]!unf_fa_scale_SI(U$41,$M42,q_liq,fw,rp_m3m3,NaK,Ca2_,Mg2_,Ba2_,Sr2_,Cl,SO4_,HCO3_,CO2_mol,$L$38)</f>
        <v>-1.3072269699923422</v>
      </c>
      <c r="V42" s="23">
        <f t="array" ref="V42">[1]!unf_fa_scale_SI(V$41,$M42,q_liq,fw,rp_m3m3,NaK,Ca2_,Mg2_,Ba2_,Sr2_,Cl,SO4_,HCO3_,CO2_mol,$L$38)</f>
        <v>-1.4758845499647009</v>
      </c>
      <c r="W42" s="23">
        <f t="array" ref="W42">[1]!unf_fa_scale_SI(W$41,$M42,q_liq,fw,rp_m3m3,NaK,Ca2_,Mg2_,Ba2_,Sr2_,Cl,SO4_,HCO3_,CO2_mol,$L$38)</f>
        <v>-1.6432704330536871</v>
      </c>
      <c r="X42" s="23">
        <f t="array" ref="X42">[1]!unf_fa_scale_SI(X$41,$M42,q_liq,fw,rp_m3m3,NaK,Ca2_,Mg2_,Ba2_,Sr2_,Cl,SO4_,HCO3_,CO2_mol,$L$38)</f>
        <v>-1.8088246705443989</v>
      </c>
      <c r="Y42" s="23">
        <f t="array" ref="Y42">[1]!unf_fa_scale_SI(Y$41,$M42,q_liq,fw,rp_m3m3,NaK,Ca2_,Mg2_,Ba2_,Sr2_,Cl,SO4_,HCO3_,CO2_mol,$L$38)</f>
        <v>-1.9723126184488231</v>
      </c>
      <c r="Z42" s="23">
        <f t="array" ref="Z42">[1]!unf_fa_scale_SI(Z$41,$M42,q_liq,fw,rp_m3m3,NaK,Ca2_,Mg2_,Ba2_,Sr2_,Cl,SO4_,HCO3_,CO2_mol,$L$38)</f>
        <v>-2.134437105302418</v>
      </c>
      <c r="AA42" s="23">
        <f t="array" ref="AA42">[1]!unf_fa_scale_SI(AA$41,$M42,q_liq,fw,rp_m3m3,NaK,Ca2_,Mg2_,Ba2_,Sr2_,Cl,SO4_,HCO3_,CO2_mol,$L$38)</f>
        <v>-2.2978566210589011</v>
      </c>
      <c r="AB42" s="23">
        <f t="array" ref="AB42">[1]!unf_fa_scale_SI(AB$41,$M42,q_liq,fw,rp_m3m3,NaK,Ca2_,Mg2_,Ba2_,Sr2_,Cl,SO4_,HCO3_,CO2_mol,$L$38)</f>
        <v>-2.4686201298897346</v>
      </c>
      <c r="AC42" s="39">
        <f t="array" ref="AC42">[1]!unf_fa_scale_SI(AC$41,$M42,q_liq,fw,rp_m3m3,NaK,Ca2_,Mg2_,Ba2_,Sr2_,Cl,SO4_,HCO3_,CO2_mol,$L$38)</f>
        <v>-2.6577760107941173</v>
      </c>
    </row>
    <row r="43" spans="12:29" x14ac:dyDescent="0.2">
      <c r="L43" s="36"/>
      <c r="M43" s="26">
        <v>5</v>
      </c>
      <c r="N43" s="40">
        <f t="array" ref="N43">[1]!unf_fa_scale_SI(N$41,$M43,q_liq,fw,rp_m3m3,NaK,Ca2_,Mg2_,Ba2_,Sr2_,Cl,SO4_,HCO3_,CO2_mol,$L$38)</f>
        <v>-2.2509114164977365E-2</v>
      </c>
      <c r="O43" s="27">
        <f t="array" ref="O43">[1]!unf_fa_scale_SI(O$41,$M43,q_liq,fw,rp_m3m3,NaK,Ca2_,Mg2_,Ba2_,Sr2_,Cl,SO4_,HCO3_,CO2_mol,$L$38)</f>
        <v>-0.19079271058466762</v>
      </c>
      <c r="P43" s="27">
        <f t="array" ref="P43">[1]!unf_fa_scale_SI(P$41,$M43,q_liq,fw,rp_m3m3,NaK,Ca2_,Mg2_,Ba2_,Sr2_,Cl,SO4_,HCO3_,CO2_mol,$L$38)</f>
        <v>-0.35974421657037814</v>
      </c>
      <c r="Q43" s="27">
        <f t="array" ref="Q43">[1]!unf_fa_scale_SI(Q$41,$M43,q_liq,fw,rp_m3m3,NaK,Ca2_,Mg2_,Ba2_,Sr2_,Cl,SO4_,HCO3_,CO2_mol,$L$38)</f>
        <v>-0.52943753468103039</v>
      </c>
      <c r="R43" s="27">
        <f t="array" ref="R43">[1]!unf_fa_scale_SI(R$41,$M43,q_liq,fw,rp_m3m3,NaK,Ca2_,Mg2_,Ba2_,Sr2_,Cl,SO4_,HCO3_,CO2_mol,$L$38)</f>
        <v>-0.69993591931199106</v>
      </c>
      <c r="S43" s="27">
        <f t="array" ref="S43">[1]!unf_fa_scale_SI(S$41,$M43,q_liq,fw,rp_m3m3,NaK,Ca2_,Mg2_,Ba2_,Sr2_,Cl,SO4_,HCO3_,CO2_mol,$L$38)</f>
        <v>-0.87128165308649186</v>
      </c>
      <c r="T43" s="27">
        <f t="array" ref="T43">[1]!unf_fa_scale_SI(T$41,$M43,q_liq,fw,rp_m3m3,NaK,Ca2_,Mg2_,Ba2_,Sr2_,Cl,SO4_,HCO3_,CO2_mol,$L$38)</f>
        <v>-1.0434836761228552</v>
      </c>
      <c r="U43" s="27">
        <f t="array" ref="U43">[1]!unf_fa_scale_SI(U$41,$M43,q_liq,fw,rp_m3m3,NaK,Ca2_,Mg2_,Ba2_,Sr2_,Cl,SO4_,HCO3_,CO2_mol,$L$38)</f>
        <v>-1.2165064687858087</v>
      </c>
      <c r="V43" s="27">
        <f t="array" ref="V43">[1]!unf_fa_scale_SI(V$41,$M43,q_liq,fw,rp_m3m3,NaK,Ca2_,Mg2_,Ba2_,Sr2_,Cl,SO4_,HCO3_,CO2_mol,$L$38)</f>
        <v>-1.390269017341748</v>
      </c>
      <c r="W43" s="27">
        <f t="array" ref="W43">[1]!unf_fa_scale_SI(W$41,$M43,q_liq,fw,rp_m3m3,NaK,Ca2_,Mg2_,Ba2_,Sr2_,Cl,SO4_,HCO3_,CO2_mol,$L$38)</f>
        <v>-1.5646733070409309</v>
      </c>
      <c r="X43" s="27">
        <f t="array" ref="X43">[1]!unf_fa_scale_SI(X$41,$M43,q_liq,fw,rp_m3m3,NaK,Ca2_,Mg2_,Ba2_,Sr2_,Cl,SO4_,HCO3_,CO2_mol,$L$38)</f>
        <v>-1.7396993028612084</v>
      </c>
      <c r="Y43" s="27">
        <f t="array" ref="Y43">[1]!unf_fa_scale_SI(Y$41,$M43,q_liq,fw,rp_m3m3,NaK,Ca2_,Mg2_,Ba2_,Sr2_,Cl,SO4_,HCO3_,CO2_mol,$L$38)</f>
        <v>-1.9156255152289838</v>
      </c>
      <c r="Z43" s="27">
        <f t="array" ref="Z43">[1]!unf_fa_scale_SI(Z$41,$M43,q_liq,fw,rp_m3m3,NaK,Ca2_,Mg2_,Ba2_,Sr2_,Cl,SO4_,HCO3_,CO2_mol,$L$38)</f>
        <v>-2.0934450736668917</v>
      </c>
      <c r="AA43" s="27">
        <f t="array" ref="AA43">[1]!unf_fa_scale_SI(AA$41,$M43,q_liq,fw,rp_m3m3,NaK,Ca2_,Mg2_,Ba2_,Sr2_,Cl,SO4_,HCO3_,CO2_mol,$L$38)</f>
        <v>-2.2755007603125246</v>
      </c>
      <c r="AB43" s="27">
        <f t="array" ref="AB43">[1]!unf_fa_scale_SI(AB$41,$M43,q_liq,fw,rp_m3m3,NaK,Ca2_,Mg2_,Ba2_,Sr2_,Cl,SO4_,HCO3_,CO2_mol,$L$38)</f>
        <v>-2.4661688366199859</v>
      </c>
      <c r="AC43" s="28">
        <f t="array" ref="AC43">[1]!unf_fa_scale_SI(AC$41,$M43,q_liq,fw,rp_m3m3,NaK,Ca2_,Mg2_,Ba2_,Sr2_,Cl,SO4_,HCO3_,CO2_mol,$L$38)</f>
        <v>-2.6719872597804506</v>
      </c>
    </row>
    <row r="44" spans="12:29" x14ac:dyDescent="0.2">
      <c r="L44" s="36"/>
      <c r="M44" s="26">
        <v>10</v>
      </c>
      <c r="N44" s="40">
        <f t="array" ref="N44">[1]!unf_fa_scale_SI(N$41,$M44,q_liq,fw,rp_m3m3,NaK,Ca2_,Mg2_,Ba2_,Sr2_,Cl,SO4_,HCO3_,CO2_mol,$L$38)</f>
        <v>0.1055924568203923</v>
      </c>
      <c r="O44" s="27">
        <f t="array" ref="O44">[1]!unf_fa_scale_SI(O$41,$M44,q_liq,fw,rp_m3m3,NaK,Ca2_,Mg2_,Ba2_,Sr2_,Cl,SO4_,HCO3_,CO2_mol,$L$38)</f>
        <v>-6.3129991271536415E-2</v>
      </c>
      <c r="P44" s="27">
        <f t="array" ref="P44">[1]!unf_fa_scale_SI(P$41,$M44,q_liq,fw,rp_m3m3,NaK,Ca2_,Mg2_,Ba2_,Sr2_,Cl,SO4_,HCO3_,CO2_mol,$L$38)</f>
        <v>-0.23269038769462114</v>
      </c>
      <c r="Q44" s="27">
        <f t="array" ref="Q44">[1]!unf_fa_scale_SI(Q$41,$M44,q_liq,fw,rp_m3m3,NaK,Ca2_,Mg2_,Ba2_,Sr2_,Cl,SO4_,HCO3_,CO2_mol,$L$38)</f>
        <v>-0.40323247649659644</v>
      </c>
      <c r="R44" s="27">
        <f t="array" ref="R44">[1]!unf_fa_scale_SI(R$41,$M44,q_liq,fw,rp_m3m3,NaK,Ca2_,Mg2_,Ba2_,Sr2_,Cl,SO4_,HCO3_,CO2_mol,$L$38)</f>
        <v>-0.57491791599935038</v>
      </c>
      <c r="S44" s="27">
        <f t="array" ref="S44">[1]!unf_fa_scale_SI(S$41,$M44,q_liq,fw,rp_m3m3,NaK,Ca2_,Mg2_,Ba2_,Sr2_,Cl,SO4_,HCO3_,CO2_mol,$L$38)</f>
        <v>-0.74792640678907596</v>
      </c>
      <c r="T44" s="27">
        <f t="array" ref="T44">[1]!unf_fa_scale_SI(T$41,$M44,q_liq,fw,rp_m3m3,NaK,Ca2_,Mg2_,Ba2_,Sr2_,Cl,SO4_,HCO3_,CO2_mol,$L$38)</f>
        <v>-0.92245593056746344</v>
      </c>
      <c r="U44" s="27">
        <f t="array" ref="U44">[1]!unf_fa_scale_SI(U$41,$M44,q_liq,fw,rp_m3m3,NaK,Ca2_,Mg2_,Ba2_,Sr2_,Cl,SO4_,HCO3_,CO2_mol,$L$38)</f>
        <v>-1.0987246522406897</v>
      </c>
      <c r="V44" s="27">
        <f t="array" ref="V44">[1]!unf_fa_scale_SI(V$41,$M44,q_liq,fw,rp_m3m3,NaK,Ca2_,Mg2_,Ba2_,Sr2_,Cl,SO4_,HCO3_,CO2_mol,$L$38)</f>
        <v>-1.2769780866540508</v>
      </c>
      <c r="W44" s="27">
        <f t="array" ref="W44">[1]!unf_fa_scale_SI(W$41,$M44,q_liq,fw,rp_m3m3,NaK,Ca2_,Mg2_,Ba2_,Sr2_,Cl,SO4_,HCO3_,CO2_mol,$L$38)</f>
        <v>-1.4575084966848317</v>
      </c>
      <c r="X44" s="27">
        <f t="array" ref="X44">[1]!unf_fa_scale_SI(X$41,$M44,q_liq,fw,rp_m3m3,NaK,Ca2_,Mg2_,Ba2_,Sr2_,Cl,SO4_,HCO3_,CO2_mol,$L$38)</f>
        <v>-1.6406973133149911</v>
      </c>
      <c r="Y44" s="27">
        <f t="array" ref="Y44">[1]!unf_fa_scale_SI(Y$41,$M44,q_liq,fw,rp_m3m3,NaK,Ca2_,Mg2_,Ba2_,Sr2_,Cl,SO4_,HCO3_,CO2_mol,$L$38)</f>
        <v>-1.8270904376496633</v>
      </c>
      <c r="Z44" s="27">
        <f t="array" ref="Z44">[1]!unf_fa_scale_SI(Z$41,$M44,q_liq,fw,rp_m3m3,NaK,Ca2_,Mg2_,Ba2_,Sr2_,Cl,SO4_,HCO3_,CO2_mol,$L$38)</f>
        <v>-2.017494353595648</v>
      </c>
      <c r="AA44" s="27">
        <f t="array" ref="AA44">[1]!unf_fa_scale_SI(AA$41,$M44,q_liq,fw,rp_m3m3,NaK,Ca2_,Mg2_,Ba2_,Sr2_,Cl,SO4_,HCO3_,CO2_mol,$L$38)</f>
        <v>-2.2130064653427457</v>
      </c>
      <c r="AB44" s="27">
        <f t="array" ref="AB44">[1]!unf_fa_scale_SI(AB$41,$M44,q_liq,fw,rp_m3m3,NaK,Ca2_,Mg2_,Ba2_,Sr2_,Cl,SO4_,HCO3_,CO2_mol,$L$38)</f>
        <v>-2.414764829766086</v>
      </c>
      <c r="AC44" s="28">
        <f t="array" ref="AC44">[1]!unf_fa_scale_SI(AC$41,$M44,q_liq,fw,rp_m3m3,NaK,Ca2_,Mg2_,Ba2_,Sr2_,Cl,SO4_,HCO3_,CO2_mol,$L$38)</f>
        <v>-2.6233243771148453</v>
      </c>
    </row>
    <row r="45" spans="12:29" x14ac:dyDescent="0.2">
      <c r="L45" s="36"/>
      <c r="M45" s="26">
        <v>15</v>
      </c>
      <c r="N45" s="40">
        <f t="array" ref="N45">[1]!unf_fa_scale_SI(N$41,$M45,q_liq,fw,rp_m3m3,NaK,Ca2_,Mg2_,Ba2_,Sr2_,Cl,SO4_,HCO3_,CO2_mol,$L$38)</f>
        <v>0.23376787918851602</v>
      </c>
      <c r="O45" s="27">
        <f t="array" ref="O45">[1]!unf_fa_scale_SI(O$41,$M45,q_liq,fw,rp_m3m3,NaK,Ca2_,Mg2_,Ba2_,Sr2_,Cl,SO4_,HCO3_,CO2_mol,$L$38)</f>
        <v>6.4691322930267234E-2</v>
      </c>
      <c r="P45" s="27">
        <f t="array" ref="P45">[1]!unf_fa_scale_SI(P$41,$M45,q_liq,fw,rp_m3m3,NaK,Ca2_,Mg2_,Ba2_,Sr2_,Cl,SO4_,HCO3_,CO2_mol,$L$38)</f>
        <v>-0.10535865893510633</v>
      </c>
      <c r="Q45" s="27">
        <f t="array" ref="Q45">[1]!unf_fa_scale_SI(Q$41,$M45,q_liq,fw,rp_m3m3,NaK,Ca2_,Mg2_,Ba2_,Sr2_,Cl,SO4_,HCO3_,CO2_mol,$L$38)</f>
        <v>-0.27658102578563204</v>
      </c>
      <c r="R45" s="27">
        <f t="array" ref="R45">[1]!unf_fa_scale_SI(R$41,$M45,q_liq,fw,rp_m3m3,NaK,Ca2_,Mg2_,Ba2_,Sr2_,Cl,SO4_,HCO3_,CO2_mol,$L$38)</f>
        <v>-0.44921511400842284</v>
      </c>
      <c r="S45" s="27">
        <f t="array" ref="S45">[1]!unf_fa_scale_SI(S$41,$M45,q_liq,fw,rp_m3m3,NaK,Ca2_,Mg2_,Ba2_,Sr2_,Cl,SO4_,HCO3_,CO2_mol,$L$38)</f>
        <v>-0.62354890974467747</v>
      </c>
      <c r="T45" s="27">
        <f t="array" ref="T45">[1]!unf_fa_scale_SI(T$41,$M45,q_liq,fw,rp_m3m3,NaK,Ca2_,Mg2_,Ba2_,Sr2_,Cl,SO4_,HCO3_,CO2_mol,$L$38)</f>
        <v>-0.79992897650765438</v>
      </c>
      <c r="U45" s="27">
        <f t="array" ref="U45">[1]!unf_fa_scale_SI(U$41,$M45,q_liq,fw,rp_m3m3,NaK,Ca2_,Mg2_,Ba2_,Sr2_,Cl,SO4_,HCO3_,CO2_mol,$L$38)</f>
        <v>-0.97877189833309119</v>
      </c>
      <c r="V45" s="27">
        <f t="array" ref="V45">[1]!unf_fa_scale_SI(V$41,$M45,q_liq,fw,rp_m3m3,NaK,Ca2_,Mg2_,Ba2_,Sr2_,Cl,SO4_,HCO3_,CO2_mol,$L$38)</f>
        <v>-1.1605757749991699</v>
      </c>
      <c r="W45" s="27">
        <f t="array" ref="W45">[1]!unf_fa_scale_SI(W$41,$M45,q_liq,fw,rp_m3m3,NaK,Ca2_,Mg2_,Ba2_,Sr2_,Cl,SO4_,HCO3_,CO2_mol,$L$38)</f>
        <v>-1.345926188314611</v>
      </c>
      <c r="X45" s="27">
        <f t="array" ref="X45">[1]!unf_fa_scale_SI(X$41,$M45,q_liq,fw,rp_m3m3,NaK,Ca2_,Mg2_,Ba2_,Sr2_,Cl,SO4_,HCO3_,CO2_mol,$L$38)</f>
        <v>-1.5354796052763029</v>
      </c>
      <c r="Y45" s="27">
        <f t="array" ref="Y45">[1]!unf_fa_scale_SI(Y$41,$M45,q_liq,fw,rp_m3m3,NaK,Ca2_,Mg2_,Ba2_,Sr2_,Cl,SO4_,HCO3_,CO2_mol,$L$38)</f>
        <v>-1.7298787361420698</v>
      </c>
      <c r="Z45" s="27">
        <f t="array" ref="Z45">[1]!unf_fa_scale_SI(Z$41,$M45,q_liq,fw,rp_m3m3,NaK,Ca2_,Mg2_,Ba2_,Sr2_,Cl,SO4_,HCO3_,CO2_mol,$L$38)</f>
        <v>-1.9294960147827944</v>
      </c>
      <c r="AA45" s="27">
        <f t="array" ref="AA45">[1]!unf_fa_scale_SI(AA$41,$M45,q_liq,fw,rp_m3m3,NaK,Ca2_,Mg2_,Ba2_,Sr2_,Cl,SO4_,HCO3_,CO2_mol,$L$38)</f>
        <v>-2.1338340186024181</v>
      </c>
      <c r="AB45" s="27">
        <f t="array" ref="AB45">[1]!unf_fa_scale_SI(AB$41,$M45,q_liq,fw,rp_m3m3,NaK,Ca2_,Mg2_,Ba2_,Sr2_,Cl,SO4_,HCO3_,CO2_mol,$L$38)</f>
        <v>-2.3405711268906519</v>
      </c>
      <c r="AC45" s="28">
        <f t="array" ref="AC45">[1]!unf_fa_scale_SI(AC$41,$M45,q_liq,fw,rp_m3m3,NaK,Ca2_,Mg2_,Ba2_,Sr2_,Cl,SO4_,HCO3_,CO2_mol,$L$38)</f>
        <v>-2.5454743935620061</v>
      </c>
    </row>
    <row r="46" spans="12:29" x14ac:dyDescent="0.2">
      <c r="L46" s="36"/>
      <c r="M46" s="26">
        <v>20</v>
      </c>
      <c r="N46" s="40">
        <f t="array" ref="N46">[1]!unf_fa_scale_SI(N$41,$M46,q_liq,fw,rp_m3m3,NaK,Ca2_,Mg2_,Ba2_,Sr2_,Cl,SO4_,HCO3_,CO2_mol,$L$38)</f>
        <v>0.36193625967109622</v>
      </c>
      <c r="O46" s="27">
        <f t="array" ref="O46">[1]!unf_fa_scale_SI(O$41,$M46,q_liq,fw,rp_m3m3,NaK,Ca2_,Mg2_,Ba2_,Sr2_,Cl,SO4_,HCO3_,CO2_mol,$L$38)</f>
        <v>0.19255751901445703</v>
      </c>
      <c r="P46" s="27">
        <f t="array" ref="P46">[1]!unf_fa_scale_SI(P$41,$M46,q_liq,fw,rp_m3m3,NaK,Ca2_,Mg2_,Ba2_,Sr2_,Cl,SO4_,HCO3_,CO2_mol,$L$38)</f>
        <v>2.2090375781596422E-2</v>
      </c>
      <c r="Q46" s="27">
        <f t="array" ref="Q46">[1]!unf_fa_scale_SI(Q$41,$M46,q_liq,fw,rp_m3m3,NaK,Ca2_,Mg2_,Ba2_,Sr2_,Cl,SO4_,HCO3_,CO2_mol,$L$38)</f>
        <v>-0.14971084278378613</v>
      </c>
      <c r="R46" s="27">
        <f t="array" ref="R46">[1]!unf_fa_scale_SI(R$41,$M46,q_liq,fw,rp_m3m3,NaK,Ca2_,Mg2_,Ba2_,Sr2_,Cl,SO4_,HCO3_,CO2_mol,$L$38)</f>
        <v>-0.32315115981006892</v>
      </c>
      <c r="S46" s="27">
        <f t="array" ref="S46">[1]!unf_fa_scale_SI(S$41,$M46,q_liq,fw,rp_m3m3,NaK,Ca2_,Mg2_,Ba2_,Sr2_,Cl,SO4_,HCO3_,CO2_mol,$L$38)</f>
        <v>-0.49861007950454495</v>
      </c>
      <c r="T46" s="27">
        <f t="array" ref="T46">[1]!unf_fa_scale_SI(T$41,$M46,q_liq,fw,rp_m3m3,NaK,Ca2_,Mg2_,Ba2_,Sr2_,Cl,SO4_,HCO3_,CO2_mol,$L$38)</f>
        <v>-0.67655960809820714</v>
      </c>
      <c r="U46" s="27">
        <f t="array" ref="U46">[1]!unf_fa_scale_SI(U$41,$M46,q_liq,fw,rp_m3m3,NaK,Ca2_,Mg2_,Ba2_,Sr2_,Cl,SO4_,HCO3_,CO2_mol,$L$38)</f>
        <v>-0.85758341217790435</v>
      </c>
      <c r="V46" s="27">
        <f t="array" ref="V46">[1]!unf_fa_scale_SI(V$41,$M46,q_liq,fw,rp_m3m3,NaK,Ca2_,Mg2_,Ba2_,Sr2_,Cl,SO4_,HCO3_,CO2_mol,$L$38)</f>
        <v>-1.0423907644829713</v>
      </c>
      <c r="W46" s="27">
        <f t="array" ref="W46">[1]!unf_fa_scale_SI(W$41,$M46,q_liq,fw,rp_m3m3,NaK,Ca2_,Mg2_,Ba2_,Sr2_,Cl,SO4_,HCO3_,CO2_mol,$L$38)</f>
        <v>-1.2318072341970199</v>
      </c>
      <c r="X46" s="27">
        <f t="array" ref="X46">[1]!unf_fa_scale_SI(X$41,$M46,q_liq,fw,rp_m3m3,NaK,Ca2_,Mg2_,Ba2_,Sr2_,Cl,SO4_,HCO3_,CO2_mol,$L$38)</f>
        <v>-1.426696403235634</v>
      </c>
      <c r="Y46" s="27">
        <f t="array" ref="Y46">[1]!unf_fa_scale_SI(Y$41,$M46,q_liq,fw,rp_m3m3,NaK,Ca2_,Mg2_,Ba2_,Sr2_,Cl,SO4_,HCO3_,CO2_mol,$L$38)</f>
        <v>-1.6277082533343963</v>
      </c>
      <c r="Z46" s="27">
        <f t="array" ref="Z46">[1]!unf_fa_scale_SI(Z$41,$M46,q_liq,fw,rp_m3m3,NaK,Ca2_,Mg2_,Ba2_,Sr2_,Cl,SO4_,HCO3_,CO2_mol,$L$38)</f>
        <v>-1.834655098030626</v>
      </c>
      <c r="AA46" s="27">
        <f t="array" ref="AA46">[1]!unf_fa_scale_SI(AA$41,$M46,q_liq,fw,rp_m3m3,NaK,Ca2_,Mg2_,Ba2_,Sr2_,Cl,SO4_,HCO3_,CO2_mol,$L$38)</f>
        <v>-2.0452964359375478</v>
      </c>
      <c r="AB46" s="27">
        <f t="array" ref="AB46">[1]!unf_fa_scale_SI(AB$41,$M46,q_liq,fw,rp_m3m3,NaK,Ca2_,Mg2_,Ba2_,Sr2_,Cl,SO4_,HCO3_,CO2_mol,$L$38)</f>
        <v>-2.2539623663555117</v>
      </c>
      <c r="AC46" s="28">
        <f t="array" ref="AC46">[1]!unf_fa_scale_SI(AC$41,$M46,q_liq,fw,rp_m3m3,NaK,Ca2_,Mg2_,Ba2_,Sr2_,Cl,SO4_,HCO3_,CO2_mol,$L$38)</f>
        <v>-2.453005069914969</v>
      </c>
    </row>
    <row r="47" spans="12:29" x14ac:dyDescent="0.2">
      <c r="L47" s="36"/>
      <c r="M47" s="26">
        <v>25</v>
      </c>
      <c r="N47" s="40">
        <f t="array" ref="N47">[1]!unf_fa_scale_SI(N$41,$M47,q_liq,fw,rp_m3m3,NaK,Ca2_,Mg2_,Ba2_,Sr2_,Cl,SO4_,HCO3_,CO2_mol,$L$38)</f>
        <v>0.4900577404802306</v>
      </c>
      <c r="O47" s="27">
        <f t="array" ref="O47">[1]!unf_fa_scale_SI(O$41,$M47,q_liq,fw,rp_m3m3,NaK,Ca2_,Mg2_,Ba2_,Sr2_,Cl,SO4_,HCO3_,CO2_mol,$L$38)</f>
        <v>0.32041335527924936</v>
      </c>
      <c r="P47" s="27">
        <f t="array" ref="P47">[1]!unf_fa_scale_SI(P$41,$M47,q_liq,fw,rp_m3m3,NaK,Ca2_,Mg2_,Ba2_,Sr2_,Cl,SO4_,HCO3_,CO2_mol,$L$38)</f>
        <v>0.14957968916626416</v>
      </c>
      <c r="Q47" s="27">
        <f t="array" ref="Q47">[1]!unf_fa_scale_SI(Q$41,$M47,q_liq,fw,rp_m3m3,NaK,Ca2_,Mg2_,Ba2_,Sr2_,Cl,SO4_,HCO3_,CO2_mol,$L$38)</f>
        <v>-2.2729884030297888E-2</v>
      </c>
      <c r="R47" s="27">
        <f t="array" ref="R47">[1]!unf_fa_scale_SI(R$41,$M47,q_liq,fw,rp_m3m3,NaK,Ca2_,Mg2_,Ba2_,Sr2_,Cl,SO4_,HCO3_,CO2_mol,$L$38)</f>
        <v>-0.19687797956774758</v>
      </c>
      <c r="S47" s="27">
        <f t="array" ref="S47">[1]!unf_fa_scale_SI(S$41,$M47,q_liq,fw,rp_m3m3,NaK,Ca2_,Mg2_,Ba2_,Sr2_,Cl,SO4_,HCO3_,CO2_mol,$L$38)</f>
        <v>-0.37332434804700082</v>
      </c>
      <c r="T47" s="27">
        <f t="array" ref="T47">[1]!unf_fa_scale_SI(T$41,$M47,q_liq,fw,rp_m3m3,NaK,Ca2_,Mg2_,Ba2_,Sr2_,Cl,SO4_,HCO3_,CO2_mol,$L$38)</f>
        <v>-0.55265096644680434</v>
      </c>
      <c r="U47" s="27">
        <f t="array" ref="U47">[1]!unf_fa_scale_SI(U$41,$M47,q_liq,fw,rp_m3m3,NaK,Ca2_,Mg2_,Ba2_,Sr2_,Cl,SO4_,HCO3_,CO2_mol,$L$38)</f>
        <v>-0.73558779030984722</v>
      </c>
      <c r="V47" s="27">
        <f t="array" ref="V47">[1]!unf_fa_scale_SI(V$41,$M47,q_liq,fw,rp_m3m3,NaK,Ca2_,Mg2_,Ba2_,Sr2_,Cl,SO4_,HCO3_,CO2_mol,$L$38)</f>
        <v>-0.92302811075080415</v>
      </c>
      <c r="W47" s="27">
        <f t="array" ref="W47">[1]!unf_fa_scale_SI(W$41,$M47,q_liq,fw,rp_m3m3,NaK,Ca2_,Mg2_,Ba2_,Sr2_,Cl,SO4_,HCO3_,CO2_mol,$L$38)</f>
        <v>-1.1160031695440158</v>
      </c>
      <c r="X47" s="27">
        <f t="array" ref="X47">[1]!unf_fa_scale_SI(X$41,$M47,q_liq,fw,rp_m3m3,NaK,Ca2_,Mg2_,Ba2_,Sr2_,Cl,SO4_,HCO3_,CO2_mol,$L$38)</f>
        <v>-1.3155411575030578</v>
      </c>
      <c r="Y47" s="27">
        <f t="array" ref="Y47">[1]!unf_fa_scale_SI(Y$41,$M47,q_liq,fw,rp_m3m3,NaK,Ca2_,Mg2_,Ba2_,Sr2_,Cl,SO4_,HCO3_,CO2_mol,$L$38)</f>
        <v>-1.5222450625667121</v>
      </c>
      <c r="Z47" s="27">
        <f t="array" ref="Z47">[1]!unf_fa_scale_SI(Z$41,$M47,q_liq,fw,rp_m3m3,NaK,Ca2_,Mg2_,Ba2_,Sr2_,Cl,SO4_,HCO3_,CO2_mol,$L$38)</f>
        <v>-1.7352941946895934</v>
      </c>
      <c r="AA47" s="27">
        <f t="array" ref="AA47">[1]!unf_fa_scale_SI(AA$41,$M47,q_liq,fw,rp_m3m3,NaK,Ca2_,Mg2_,Ba2_,Sr2_,Cl,SO4_,HCO3_,CO2_mol,$L$38)</f>
        <v>-1.9506441129926224</v>
      </c>
      <c r="AB47" s="27">
        <f t="array" ref="AB47">[1]!unf_fa_scale_SI(AB$41,$M47,q_liq,fw,rp_m3m3,NaK,Ca2_,Mg2_,Ba2_,Sr2_,Cl,SO4_,HCO3_,CO2_mol,$L$38)</f>
        <v>-2.1595068829212472</v>
      </c>
      <c r="AC47" s="28">
        <f t="array" ref="AC47">[1]!unf_fa_scale_SI(AC$41,$M47,q_liq,fw,rp_m3m3,NaK,Ca2_,Mg2_,Ba2_,Sr2_,Cl,SO4_,HCO3_,CO2_mol,$L$38)</f>
        <v>-2.3520353691107796</v>
      </c>
    </row>
    <row r="48" spans="12:29" x14ac:dyDescent="0.2">
      <c r="L48" s="36"/>
      <c r="M48" s="26">
        <v>30</v>
      </c>
      <c r="N48" s="40">
        <f t="array" ref="N48">[1]!unf_fa_scale_SI(N$41,$M48,q_liq,fw,rp_m3m3,NaK,Ca2_,Mg2_,Ba2_,Sr2_,Cl,SO4_,HCO3_,CO2_mol,$L$38)</f>
        <v>0.61810856780813717</v>
      </c>
      <c r="O48" s="27">
        <f t="array" ref="O48">[1]!unf_fa_scale_SI(O$41,$M48,q_liq,fw,rp_m3m3,NaK,Ca2_,Mg2_,Ba2_,Sr2_,Cl,SO4_,HCO3_,CO2_mol,$L$38)</f>
        <v>0.44822625206270755</v>
      </c>
      <c r="P48" s="27">
        <f t="array" ref="P48">[1]!unf_fa_scale_SI(P$41,$M48,q_liq,fw,rp_m3m3,NaK,Ca2_,Mg2_,Ba2_,Sr2_,Cl,SO4_,HCO3_,CO2_mol,$L$38)</f>
        <v>0.27706428971121427</v>
      </c>
      <c r="Q48" s="27">
        <f t="array" ref="Q48">[1]!unf_fa_scale_SI(Q$41,$M48,q_liq,fw,rp_m3m3,NaK,Ca2_,Mg2_,Ba2_,Sr2_,Cl,SO4_,HCO3_,CO2_mol,$L$38)</f>
        <v>0.10429934706879203</v>
      </c>
      <c r="R48" s="27">
        <f t="array" ref="R48">[1]!unf_fa_scale_SI(R$41,$M48,q_liq,fw,rp_m3m3,NaK,Ca2_,Mg2_,Ba2_,Sr2_,Cl,SO4_,HCO3_,CO2_mol,$L$38)</f>
        <v>-7.048283338671317E-2</v>
      </c>
      <c r="S48" s="27">
        <f t="array" ref="S48">[1]!unf_fa_scale_SI(S$41,$M48,q_liq,fw,rp_m3m3,NaK,Ca2_,Mg2_,Ba2_,Sr2_,Cl,SO4_,HCO3_,CO2_mol,$L$38)</f>
        <v>-0.2478139914892768</v>
      </c>
      <c r="T48" s="27">
        <f t="array" ref="T48">[1]!unf_fa_scale_SI(T$41,$M48,q_liq,fw,rp_m3m3,NaK,Ca2_,Mg2_,Ba2_,Sr2_,Cl,SO4_,HCO3_,CO2_mol,$L$38)</f>
        <v>-0.42837479210623958</v>
      </c>
      <c r="U48" s="27">
        <f t="array" ref="U48">[1]!unf_fa_scale_SI(U$41,$M48,q_liq,fw,rp_m3m3,NaK,Ca2_,Mg2_,Ba2_,Sr2_,Cl,SO4_,HCO3_,CO2_mol,$L$38)</f>
        <v>-0.61302641980301875</v>
      </c>
      <c r="V48" s="27">
        <f t="array" ref="V48">[1]!unf_fa_scale_SI(V$41,$M48,q_liq,fw,rp_m3m3,NaK,Ca2_,Mg2_,Ba2_,Sr2_,Cl,SO4_,HCO3_,CO2_mol,$L$38)</f>
        <v>-0.80282674010939925</v>
      </c>
      <c r="W48" s="27">
        <f t="array" ref="W48">[1]!unf_fa_scale_SI(W$41,$M48,q_liq,fw,rp_m3m3,NaK,Ca2_,Mg2_,Ba2_,Sr2_,Cl,SO4_,HCO3_,CO2_mol,$L$38)</f>
        <v>-0.99898857553004838</v>
      </c>
      <c r="X48" s="27">
        <f t="array" ref="X48">[1]!unf_fa_scale_SI(X$41,$M48,q_liq,fw,rp_m3m3,NaK,Ca2_,Mg2_,Ba2_,Sr2_,Cl,SO4_,HCO3_,CO2_mol,$L$38)</f>
        <v>-1.2026758236446833</v>
      </c>
      <c r="Y48" s="27">
        <f t="array" ref="Y48">[1]!unf_fa_scale_SI(Y$41,$M48,q_liq,fw,rp_m3m3,NaK,Ca2_,Mg2_,Ba2_,Sr2_,Cl,SO4_,HCO3_,CO2_mol,$L$38)</f>
        <v>-1.4144091113480011</v>
      </c>
      <c r="Z48" s="27">
        <f t="array" ref="Z48">[1]!unf_fa_scale_SI(Z$41,$M48,q_liq,fw,rp_m3m3,NaK,Ca2_,Mg2_,Ba2_,Sr2_,Cl,SO4_,HCO3_,CO2_mol,$L$38)</f>
        <v>-1.6326904458610478</v>
      </c>
      <c r="AA48" s="27">
        <f t="array" ref="AA48">[1]!unf_fa_scale_SI(AA$41,$M48,q_liq,fw,rp_m3m3,NaK,Ca2_,Mg2_,Ba2_,Sr2_,Cl,SO4_,HCO3_,CO2_mol,$L$38)</f>
        <v>-1.8516560772245185</v>
      </c>
      <c r="AB48" s="27">
        <f t="array" ref="AB48">[1]!unf_fa_scale_SI(AB$41,$M48,q_liq,fw,rp_m3m3,NaK,Ca2_,Mg2_,Ba2_,Sr2_,Cl,SO4_,HCO3_,CO2_mol,$L$38)</f>
        <v>-2.0596711952762377</v>
      </c>
      <c r="AC48" s="28">
        <f t="array" ref="AC48">[1]!unf_fa_scale_SI(AC$41,$M48,q_liq,fw,rp_m3m3,NaK,Ca2_,Mg2_,Ba2_,Sr2_,Cl,SO4_,HCO3_,CO2_mol,$L$38)</f>
        <v>-2.2456865507809844</v>
      </c>
    </row>
    <row r="49" spans="12:29" x14ac:dyDescent="0.2">
      <c r="L49" s="36"/>
      <c r="M49" s="26">
        <v>35</v>
      </c>
      <c r="N49" s="40">
        <f t="array" ref="N49">[1]!unf_fa_scale_SI(N$41,$M49,q_liq,fw,rp_m3m3,NaK,Ca2_,Mg2_,Ba2_,Sr2_,Cl,SO4_,HCO3_,CO2_mol,$L$38)</f>
        <v>0.74607302131776254</v>
      </c>
      <c r="O49" s="27">
        <f t="array" ref="O49">[1]!unf_fa_scale_SI(O$41,$M49,q_liq,fw,rp_m3m3,NaK,Ca2_,Mg2_,Ba2_,Sr2_,Cl,SO4_,HCO3_,CO2_mol,$L$38)</f>
        <v>0.57597481762989211</v>
      </c>
      <c r="P49" s="27">
        <f t="array" ref="P49">[1]!unf_fa_scale_SI(P$41,$M49,q_liq,fw,rp_m3m3,NaK,Ca2_,Mg2_,Ba2_,Sr2_,Cl,SO4_,HCO3_,CO2_mol,$L$38)</f>
        <v>0.40451485461519127</v>
      </c>
      <c r="Q49" s="27">
        <f t="array" ref="Q49">[1]!unf_fa_scale_SI(Q$41,$M49,q_liq,fw,rp_m3m3,NaK,Ca2_,Mg2_,Ba2_,Sr2_,Cl,SO4_,HCO3_,CO2_mol,$L$38)</f>
        <v>0.2313363945379549</v>
      </c>
      <c r="R49" s="27">
        <f t="array" ref="R49">[1]!unf_fa_scale_SI(R$41,$M49,q_liq,fw,rp_m3m3,NaK,Ca2_,Mg2_,Ba2_,Sr2_,Cl,SO4_,HCO3_,CO2_mol,$L$38)</f>
        <v>5.5978156287021581E-2</v>
      </c>
      <c r="S49" s="27">
        <f t="array" ref="S49">[1]!unf_fa_scale_SI(S$41,$M49,q_liq,fw,rp_m3m3,NaK,Ca2_,Mg2_,Ba2_,Sr2_,Cl,SO4_,HCO3_,CO2_mol,$L$38)</f>
        <v>-0.12215719719252199</v>
      </c>
      <c r="T49" s="27">
        <f t="array" ref="T49">[1]!unf_fa_scale_SI(T$41,$M49,q_liq,fw,rp_m3m3,NaK,Ca2_,Mg2_,Ba2_,Sr2_,Cl,SO4_,HCO3_,CO2_mol,$L$38)</f>
        <v>-0.30384031812696138</v>
      </c>
      <c r="U49" s="27">
        <f t="array" ref="U49">[1]!unf_fa_scale_SI(U$41,$M49,q_liq,fw,rp_m3m3,NaK,Ca2_,Mg2_,Ba2_,Sr2_,Cl,SO4_,HCO3_,CO2_mol,$L$38)</f>
        <v>-0.49005207840944381</v>
      </c>
      <c r="V49" s="27">
        <f t="array" ref="V49">[1]!unf_fa_scale_SI(V$41,$M49,q_liq,fw,rp_m3m3,NaK,Ca2_,Mg2_,Ba2_,Sr2_,Cl,SO4_,HCO3_,CO2_mol,$L$38)</f>
        <v>-0.68200017811214508</v>
      </c>
      <c r="W49" s="27">
        <f t="array" ref="W49">[1]!unf_fa_scale_SI(W$41,$M49,q_liq,fw,rp_m3m3,NaK,Ca2_,Mg2_,Ba2_,Sr2_,Cl,SO4_,HCO3_,CO2_mol,$L$38)</f>
        <v>-0.88106112443288398</v>
      </c>
      <c r="X49" s="27">
        <f t="array" ref="X49">[1]!unf_fa_scale_SI(X$41,$M49,q_liq,fw,rp_m3m3,NaK,Ca2_,Mg2_,Ba2_,Sr2_,Cl,SO4_,HCO3_,CO2_mol,$L$38)</f>
        <v>-1.0885138219580743</v>
      </c>
      <c r="Y49" s="27">
        <f t="array" ref="Y49">[1]!unf_fa_scale_SI(Y$41,$M49,q_liq,fw,rp_m3m3,NaK,Ca2_,Mg2_,Ba2_,Sr2_,Cl,SO4_,HCO3_,CO2_mol,$L$38)</f>
        <v>-1.3047725620770927</v>
      </c>
      <c r="Z49" s="27">
        <f t="array" ref="Z49">[1]!unf_fa_scale_SI(Z$41,$M49,q_liq,fw,rp_m3m3,NaK,Ca2_,Mg2_,Ba2_,Sr2_,Cl,SO4_,HCO3_,CO2_mol,$L$38)</f>
        <v>-1.5276349630870354</v>
      </c>
      <c r="AA49" s="27">
        <f t="array" ref="AA49">[1]!unf_fa_scale_SI(AA$41,$M49,q_liq,fw,rp_m3m3,NaK,Ca2_,Mg2_,Ba2_,Sr2_,Cl,SO4_,HCO3_,CO2_mol,$L$38)</f>
        <v>-1.7494284787243504</v>
      </c>
      <c r="AB49" s="27">
        <f t="array" ref="AB49">[1]!unf_fa_scale_SI(AB$41,$M49,q_liq,fw,rp_m3m3,NaK,Ca2_,Mg2_,Ba2_,Sr2_,Cl,SO4_,HCO3_,CO2_mol,$L$38)</f>
        <v>-1.9559493900445761</v>
      </c>
      <c r="AC49" s="28">
        <f t="array" ref="AC49">[1]!unf_fa_scale_SI(AC$41,$M49,q_liq,fw,rp_m3m3,NaK,Ca2_,Mg2_,Ba2_,Sr2_,Cl,SO4_,HCO3_,CO2_mol,$L$38)</f>
        <v>-2.1357373886956421</v>
      </c>
    </row>
    <row r="50" spans="12:29" x14ac:dyDescent="0.2">
      <c r="L50" s="36"/>
      <c r="M50" s="26">
        <v>40</v>
      </c>
      <c r="N50" s="40">
        <f t="array" ref="N50">[1]!unf_fa_scale_SI(N$41,$M50,q_liq,fw,rp_m3m3,NaK,Ca2_,Mg2_,Ba2_,Sr2_,Cl,SO4_,HCO3_,CO2_mol,$L$38)</f>
        <v>0.87393997411269042</v>
      </c>
      <c r="O50" s="27">
        <f t="array" ref="O50">[1]!unf_fa_scale_SI(O$41,$M50,q_liq,fw,rp_m3m3,NaK,Ca2_,Mg2_,Ba2_,Sr2_,Cl,SO4_,HCO3_,CO2_mol,$L$38)</f>
        <v>0.70364400309769948</v>
      </c>
      <c r="P50" s="27">
        <f t="array" ref="P50">[1]!unf_fa_scale_SI(P$41,$M50,q_liq,fw,rp_m3m3,NaK,Ca2_,Mg2_,Ba2_,Sr2_,Cl,SO4_,HCO3_,CO2_mol,$L$38)</f>
        <v>0.53191087540319459</v>
      </c>
      <c r="Q50" s="27">
        <f t="array" ref="Q50">[1]!unf_fa_scale_SI(Q$41,$M50,q_liq,fw,rp_m3m3,NaK,Ca2_,Mg2_,Ba2_,Sr2_,Cl,SO4_,HCO3_,CO2_mol,$L$38)</f>
        <v>0.3583531181072343</v>
      </c>
      <c r="R50" s="27">
        <f t="array" ref="R50">[1]!unf_fa_scale_SI(R$41,$M50,q_liq,fw,rp_m3m3,NaK,Ca2_,Mg2_,Ba2_,Sr2_,Cl,SO4_,HCO3_,CO2_mol,$L$38)</f>
        <v>0.18246615110996339</v>
      </c>
      <c r="S50" s="27">
        <f t="array" ref="S50">[1]!unf_fa_scale_SI(S$41,$M50,q_liq,fw,rp_m3m3,NaK,Ca2_,Mg2_,Ba2_,Sr2_,Cl,SO4_,HCO3_,CO2_mol,$L$38)</f>
        <v>3.5921830441706919E-3</v>
      </c>
      <c r="T50" s="27">
        <f t="array" ref="T50">[1]!unf_fa_scale_SI(T$41,$M50,q_liq,fw,rp_m3m3,NaK,Ca2_,Mg2_,Ba2_,Sr2_,Cl,SO4_,HCO3_,CO2_mol,$L$38)</f>
        <v>-0.17912244851027564</v>
      </c>
      <c r="U50" s="27">
        <f t="array" ref="U50">[1]!unf_fa_scale_SI(U$41,$M50,q_liq,fw,rp_m3m3,NaK,Ca2_,Mg2_,Ba2_,Sr2_,Cl,SO4_,HCO3_,CO2_mol,$L$38)</f>
        <v>-0.36676909843133393</v>
      </c>
      <c r="V50" s="27">
        <f t="array" ref="V50">[1]!unf_fa_scale_SI(V$41,$M50,q_liq,fw,rp_m3m3,NaK,Ca2_,Mg2_,Ba2_,Sr2_,Cl,SO4_,HCO3_,CO2_mol,$L$38)</f>
        <v>-0.56069366807621945</v>
      </c>
      <c r="W50" s="27">
        <f t="array" ref="W50">[1]!unf_fa_scale_SI(W$41,$M50,q_liq,fw,rp_m3m3,NaK,Ca2_,Mg2_,Ba2_,Sr2_,Cl,SO4_,HCO3_,CO2_mol,$L$38)</f>
        <v>-0.76242251580803633</v>
      </c>
      <c r="X50" s="27">
        <f t="array" ref="X50">[1]!unf_fa_scale_SI(X$41,$M50,q_liq,fw,rp_m3m3,NaK,Ca2_,Mg2_,Ba2_,Sr2_,Cl,SO4_,HCO3_,CO2_mol,$L$38)</f>
        <v>-0.97333419873133054</v>
      </c>
      <c r="Y50" s="27">
        <f t="array" ref="Y50">[1]!unf_fa_scale_SI(Y$41,$M50,q_liq,fw,rp_m3m3,NaK,Ca2_,Mg2_,Ba2_,Sr2_,Cl,SO4_,HCO3_,CO2_mol,$L$38)</f>
        <v>-1.193720112774024</v>
      </c>
      <c r="Z50" s="27">
        <f t="array" ref="Z50">[1]!unf_fa_scale_SI(Z$41,$M50,q_liq,fw,rp_m3m3,NaK,Ca2_,Mg2_,Ba2_,Sr2_,Cl,SO4_,HCO3_,CO2_mol,$L$38)</f>
        <v>-1.4206575434201103</v>
      </c>
      <c r="AA50" s="27">
        <f t="array" ref="AA50">[1]!unf_fa_scale_SI(AA$41,$M50,q_liq,fw,rp_m3m3,NaK,Ca2_,Mg2_,Ba2_,Sr2_,Cl,SO4_,HCO3_,CO2_mol,$L$38)</f>
        <v>-1.6446910369710876</v>
      </c>
      <c r="AB50" s="27">
        <f t="array" ref="AB50">[1]!unf_fa_scale_SI(AB$41,$M50,q_liq,fw,rp_m3m3,NaK,Ca2_,Mg2_,Ba2_,Sr2_,Cl,SO4_,HCO3_,CO2_mol,$L$38)</f>
        <v>-1.8493167724856552</v>
      </c>
      <c r="AC50" s="28">
        <f t="array" ref="AC50">[1]!unf_fa_scale_SI(AC$41,$M50,q_liq,fw,rp_m3m3,NaK,Ca2_,Mg2_,Ba2_,Sr2_,Cl,SO4_,HCO3_,CO2_mol,$L$38)</f>
        <v>-2.0232792016196894</v>
      </c>
    </row>
    <row r="51" spans="12:29" x14ac:dyDescent="0.2">
      <c r="L51" s="36"/>
      <c r="M51" s="26">
        <v>45</v>
      </c>
      <c r="N51" s="40">
        <f t="array" ref="N51">[1]!unf_fa_scale_SI(N$41,$M51,q_liq,fw,rp_m3m3,NaK,Ca2_,Mg2_,Ba2_,Sr2_,Cl,SO4_,HCO3_,CO2_mol,$L$38)</f>
        <v>1.0017011703068988</v>
      </c>
      <c r="O51" s="27">
        <f t="array" ref="O51">[1]!unf_fa_scale_SI(O$41,$M51,q_liq,fw,rp_m3m3,NaK,Ca2_,Mg2_,Ba2_,Sr2_,Cl,SO4_,HCO3_,CO2_mol,$L$38)</f>
        <v>0.83122269644959068</v>
      </c>
      <c r="P51" s="27">
        <f t="array" ref="P51">[1]!unf_fa_scale_SI(P$41,$M51,q_liq,fw,rp_m3m3,NaK,Ca2_,Mg2_,Ba2_,Sr2_,Cl,SO4_,HCO3_,CO2_mol,$L$38)</f>
        <v>0.65923727917560215</v>
      </c>
      <c r="Q51" s="27">
        <f t="array" ref="Q51">[1]!unf_fa_scale_SI(Q$41,$M51,q_liq,fw,rp_m3m3,NaK,Ca2_,Mg2_,Ba2_,Sr2_,Cl,SO4_,HCO3_,CO2_mol,$L$38)</f>
        <v>0.48532892738271055</v>
      </c>
      <c r="R51" s="27">
        <f t="array" ref="R51">[1]!unf_fa_scale_SI(R$41,$M51,q_liq,fw,rp_m3m3,NaK,Ca2_,Mg2_,Ba2_,Sr2_,Cl,SO4_,HCO3_,CO2_mol,$L$38)</f>
        <v>0.30895285141703827</v>
      </c>
      <c r="S51" s="27">
        <f t="array" ref="S51">[1]!unf_fa_scale_SI(S$41,$M51,q_liq,fw,rp_m3m3,NaK,Ca2_,Mg2_,Ba2_,Sr2_,Cl,SO4_,HCO3_,CO2_mol,$L$38)</f>
        <v>0.12939506345965585</v>
      </c>
      <c r="T51" s="27">
        <f t="array" ref="T51">[1]!unf_fa_scale_SI(T$41,$M51,q_liq,fw,rp_m3m3,NaK,Ca2_,Mg2_,Ba2_,Sr2_,Cl,SO4_,HCO3_,CO2_mol,$L$38)</f>
        <v>-5.4275348986755186E-2</v>
      </c>
      <c r="U51" s="27">
        <f t="array" ref="U51">[1]!unf_fa_scale_SI(U$41,$M51,q_liq,fw,rp_m3m3,NaK,Ca2_,Mg2_,Ba2_,Sr2_,Cl,SO4_,HCO3_,CO2_mol,$L$38)</f>
        <v>-0.24325266275467877</v>
      </c>
      <c r="V51" s="27">
        <f t="array" ref="V51">[1]!unf_fa_scale_SI(V$41,$M51,q_liq,fw,rp_m3m3,NaK,Ca2_,Mg2_,Ba2_,Sr2_,Cl,SO4_,HCO3_,CO2_mol,$L$38)</f>
        <v>-0.43901151804289779</v>
      </c>
      <c r="W51" s="27">
        <f t="array" ref="W51">[1]!unf_fa_scale_SI(W$41,$M51,q_liq,fw,rp_m3m3,NaK,Ca2_,Mg2_,Ba2_,Sr2_,Cl,SO4_,HCO3_,CO2_mol,$L$38)</f>
        <v>-0.64321710762067508</v>
      </c>
      <c r="X51" s="27">
        <f t="array" ref="X51">[1]!unf_fa_scale_SI(X$41,$M51,q_liq,fw,rp_m3m3,NaK,Ca2_,Mg2_,Ba2_,Sr2_,Cl,SO4_,HCO3_,CO2_mol,$L$38)</f>
        <v>-0.85733596626034958</v>
      </c>
      <c r="Y51" s="27">
        <f t="array" ref="Y51">[1]!unf_fa_scale_SI(Y$41,$M51,q_liq,fw,rp_m3m3,NaK,Ca2_,Mg2_,Ba2_,Sr2_,Cl,SO4_,HCO3_,CO2_mol,$L$38)</f>
        <v>-1.0815251252800351</v>
      </c>
      <c r="Z51" s="27">
        <f t="array" ref="Z51">[1]!unf_fa_scale_SI(Z$41,$M51,q_liq,fw,rp_m3m3,NaK,Ca2_,Mg2_,Ba2_,Sr2_,Cl,SO4_,HCO3_,CO2_mol,$L$38)</f>
        <v>-1.3121331700863494</v>
      </c>
      <c r="AA51" s="27">
        <f t="array" ref="AA51">[1]!unf_fa_scale_SI(AA$41,$M51,q_liq,fw,rp_m3m3,NaK,Ca2_,Mg2_,Ba2_,Sr2_,Cl,SO4_,HCO3_,CO2_mol,$L$38)</f>
        <v>-1.5379568740008434</v>
      </c>
      <c r="AB51" s="27">
        <f t="array" ref="AB51">[1]!unf_fa_scale_SI(AB$41,$M51,q_liq,fw,rp_m3m3,NaK,Ca2_,Mg2_,Ba2_,Sr2_,Cl,SO4_,HCO3_,CO2_mol,$L$38)</f>
        <v>-1.7404445549282082</v>
      </c>
      <c r="AC51" s="28">
        <f t="array" ref="AC51">[1]!unf_fa_scale_SI(AC$41,$M51,q_liq,fw,rp_m3m3,NaK,Ca2_,Mg2_,Ba2_,Sr2_,Cl,SO4_,HCO3_,CO2_mol,$L$38)</f>
        <v>-1.9090184898609965</v>
      </c>
    </row>
    <row r="52" spans="12:29" x14ac:dyDescent="0.2">
      <c r="L52" s="36"/>
      <c r="M52" s="26">
        <v>50</v>
      </c>
      <c r="N52" s="40">
        <f t="array" ref="N52">[1]!unf_fa_scale_SI(N$41,$M52,q_liq,fw,rp_m3m3,NaK,Ca2_,Mg2_,Ba2_,Sr2_,Cl,SO4_,HCO3_,CO2_mol,$L$38)</f>
        <v>1.1293502652381775</v>
      </c>
      <c r="O52" s="27">
        <f t="array" ref="O52">[1]!unf_fa_scale_SI(O$41,$M52,q_liq,fw,rp_m3m3,NaK,Ca2_,Mg2_,Ba2_,Sr2_,Cl,SO4_,HCO3_,CO2_mol,$L$38)</f>
        <v>0.95870239137812907</v>
      </c>
      <c r="P52" s="27">
        <f t="array" ref="P52">[1]!unf_fa_scale_SI(P$41,$M52,q_liq,fw,rp_m3m3,NaK,Ca2_,Mg2_,Ba2_,Sr2_,Cl,SO4_,HCO3_,CO2_mol,$L$38)</f>
        <v>0.7864825712949467</v>
      </c>
      <c r="Q52" s="27">
        <f t="array" ref="Q52">[1]!unf_fa_scale_SI(Q$41,$M52,q_liq,fw,rp_m3m3,NaK,Ca2_,Mg2_,Ba2_,Sr2_,Cl,SO4_,HCO3_,CO2_mol,$L$38)</f>
        <v>0.61224817721371128</v>
      </c>
      <c r="R52" s="27">
        <f t="array" ref="R52">[1]!unf_fa_scale_SI(R$41,$M52,q_liq,fw,rp_m3m3,NaK,Ca2_,Mg2_,Ba2_,Sr2_,Cl,SO4_,HCO3_,CO2_mol,$L$38)</f>
        <v>0.43541682872268378</v>
      </c>
      <c r="S52" s="27">
        <f t="array" ref="S52">[1]!unf_fa_scale_SI(S$41,$M52,q_liq,fw,rp_m3m3,NaK,Ca2_,Mg2_,Ba2_,Sr2_,Cl,SO4_,HCO3_,CO2_mol,$L$38)</f>
        <v>0.25522194520165881</v>
      </c>
      <c r="T52" s="27">
        <f t="array" ref="T52">[1]!unf_fa_scale_SI(T$41,$M52,q_liq,fw,rp_m3m3,NaK,Ca2_,Mg2_,Ba2_,Sr2_,Cl,SO4_,HCO3_,CO2_mol,$L$38)</f>
        <v>7.0660227390071759E-2</v>
      </c>
      <c r="U52" s="27">
        <f t="array" ref="U52">[1]!unf_fa_scale_SI(U$41,$M52,q_liq,fw,rp_m3m3,NaK,Ca2_,Mg2_,Ba2_,Sr2_,Cl,SO4_,HCO3_,CO2_mol,$L$38)</f>
        <v>-0.11955916808121099</v>
      </c>
      <c r="V52" s="27">
        <f t="array" ref="V52">[1]!unf_fa_scale_SI(V$41,$M52,q_liq,fw,rp_m3m3,NaK,Ca2_,Mg2_,Ba2_,Sr2_,Cl,SO4_,HCO3_,CO2_mol,$L$38)</f>
        <v>-0.3170317404418786</v>
      </c>
      <c r="W52" s="27">
        <f t="array" ref="W52">[1]!unf_fa_scale_SI(W$41,$M52,q_liq,fw,rp_m3m3,NaK,Ca2_,Mg2_,Ba2_,Sr2_,Cl,SO4_,HCO3_,CO2_mol,$L$38)</f>
        <v>-0.52355253650958666</v>
      </c>
      <c r="X52" s="27">
        <f t="array" ref="X52">[1]!unf_fa_scale_SI(X$41,$M52,q_liq,fw,rp_m3m3,NaK,Ca2_,Mg2_,Ba2_,Sr2_,Cl,SO4_,HCO3_,CO2_mol,$L$38)</f>
        <v>-0.74066703203356898</v>
      </c>
      <c r="Y52" s="27">
        <f t="array" ref="Y52">[1]!unf_fa_scale_SI(Y$41,$M52,q_liq,fw,rp_m3m3,NaK,Ca2_,Mg2_,Ba2_,Sr2_,Cl,SO4_,HCO3_,CO2_mol,$L$38)</f>
        <v>-0.96839006006307848</v>
      </c>
      <c r="Z52" s="27">
        <f t="array" ref="Z52">[1]!unf_fa_scale_SI(Z$41,$M52,q_liq,fw,rp_m3m3,NaK,Ca2_,Mg2_,Ba2_,Sr2_,Cl,SO4_,HCO3_,CO2_mol,$L$38)</f>
        <v>-1.2023384738013407</v>
      </c>
      <c r="AA52" s="27">
        <f t="array" ref="AA52">[1]!unf_fa_scale_SI(AA$41,$M52,q_liq,fw,rp_m3m3,NaK,Ca2_,Mg2_,Ba2_,Sr2_,Cl,SO4_,HCO3_,CO2_mol,$L$38)</f>
        <v>-1.4296018678427302</v>
      </c>
      <c r="AB52" s="27">
        <f t="array" ref="AB52">[1]!unf_fa_scale_SI(AB$41,$M52,q_liq,fw,rp_m3m3,NaK,Ca2_,Mg2_,Ba2_,Sr2_,Cl,SO4_,HCO3_,CO2_mol,$L$38)</f>
        <v>-1.6298133166270958</v>
      </c>
      <c r="AC52" s="28">
        <f t="array" ref="AC52">[1]!unf_fa_scale_SI(AC$41,$M52,q_liq,fw,rp_m3m3,NaK,Ca2_,Mg2_,Ba2_,Sr2_,Cl,SO4_,HCO3_,CO2_mol,$L$38)</f>
        <v>-1.7934320045266381</v>
      </c>
    </row>
    <row r="53" spans="12:29" x14ac:dyDescent="0.2">
      <c r="L53" s="36"/>
      <c r="M53" s="26">
        <v>55</v>
      </c>
      <c r="N53" s="40">
        <f t="array" ref="N53">[1]!unf_fa_scale_SI(N$41,$M53,q_liq,fw,rp_m3m3,NaK,Ca2_,Mg2_,Ba2_,Sr2_,Cl,SO4_,HCO3_,CO2_mol,$L$38)</f>
        <v>1.2568822480468074</v>
      </c>
      <c r="O53" s="27">
        <f t="array" ref="O53">[1]!unf_fa_scale_SI(O$41,$M53,q_liq,fw,rp_m3m3,NaK,Ca2_,Mg2_,Ba2_,Sr2_,Cl,SO4_,HCO3_,CO2_mol,$L$38)</f>
        <v>1.0860763913313065</v>
      </c>
      <c r="P53" s="27">
        <f t="array" ref="P53">[1]!unf_fa_scale_SI(P$41,$M53,q_liq,fw,rp_m3m3,NaK,Ca2_,Mg2_,Ba2_,Sr2_,Cl,SO4_,HCO3_,CO2_mol,$L$38)</f>
        <v>0.91363773105092194</v>
      </c>
      <c r="Q53" s="27">
        <f t="array" ref="Q53">[1]!unf_fa_scale_SI(Q$41,$M53,q_liq,fw,rp_m3m3,NaK,Ca2_,Mg2_,Ba2_,Sr2_,Cl,SO4_,HCO3_,CO2_mol,$L$38)</f>
        <v>0.73909862690515593</v>
      </c>
      <c r="R53" s="27">
        <f t="array" ref="R53">[1]!unf_fa_scale_SI(R$41,$M53,q_liq,fw,rp_m3m3,NaK,Ca2_,Mg2_,Ba2_,Sr2_,Cl,SO4_,HCO3_,CO2_mol,$L$38)</f>
        <v>0.56184136615590707</v>
      </c>
      <c r="S53" s="27">
        <f t="array" ref="S53">[1]!unf_fa_scale_SI(S$41,$M53,q_liq,fw,rp_m3m3,NaK,Ca2_,Mg2_,Ba2_,Sr2_,Cl,SO4_,HCO3_,CO2_mol,$L$38)</f>
        <v>0.38104987921989192</v>
      </c>
      <c r="T53" s="27">
        <f t="array" ref="T53">[1]!unf_fa_scale_SI(T$41,$M53,q_liq,fw,rp_m3m3,NaK,Ca2_,Mg2_,Ba2_,Sr2_,Cl,SO4_,HCO3_,CO2_mol,$L$38)</f>
        <v>0.19565266026728337</v>
      </c>
      <c r="U53" s="27">
        <f t="array" ref="U53">[1]!unf_fa_scale_SI(U$41,$M53,q_liq,fw,rp_m3m3,NaK,Ca2_,Mg2_,Ba2_,Sr2_,Cl,SO4_,HCO3_,CO2_mol,$L$38)</f>
        <v>4.267740400459105E-3</v>
      </c>
      <c r="V53" s="27">
        <f t="array" ref="V53">[1]!unf_fa_scale_SI(V$41,$M53,q_liq,fw,rp_m3m3,NaK,Ca2_,Mg2_,Ba2_,Sr2_,Cl,SO4_,HCO3_,CO2_mol,$L$38)</f>
        <v>-0.19481455150098323</v>
      </c>
      <c r="W53" s="27">
        <f t="array" ref="W53">[1]!unf_fa_scale_SI(W$41,$M53,q_liq,fw,rp_m3m3,NaK,Ca2_,Mg2_,Ba2_,Sr2_,Cl,SO4_,HCO3_,CO2_mol,$L$38)</f>
        <v>-0.40351165679980922</v>
      </c>
      <c r="X53" s="27">
        <f t="array" ref="X53">[1]!unf_fa_scale_SI(X$41,$M53,q_liq,fw,rp_m3m3,NaK,Ca2_,Mg2_,Ba2_,Sr2_,Cl,SO4_,HCO3_,CO2_mol,$L$38)</f>
        <v>-0.62344090706269839</v>
      </c>
      <c r="Y53" s="27">
        <f t="array" ref="Y53">[1]!unf_fa_scale_SI(Y$41,$M53,q_liq,fw,rp_m3m3,NaK,Ca2_,Mg2_,Ba2_,Sr2_,Cl,SO4_,HCO3_,CO2_mol,$L$38)</f>
        <v>-0.85446977820386982</v>
      </c>
      <c r="Z53" s="27">
        <f t="array" ref="Z53">[1]!unf_fa_scale_SI(Z$41,$M53,q_liq,fw,rp_m3m3,NaK,Ca2_,Mg2_,Ba2_,Sr2_,Cl,SO4_,HCO3_,CO2_mol,$L$38)</f>
        <v>-1.0914842121162029</v>
      </c>
      <c r="AA53" s="27">
        <f t="array" ref="AA53">[1]!unf_fa_scale_SI(AA$41,$M53,q_liq,fw,rp_m3m3,NaK,Ca2_,Mg2_,Ba2_,Sr2_,Cl,SO4_,HCO3_,CO2_mol,$L$38)</f>
        <v>-1.3199102496047306</v>
      </c>
      <c r="AB53" s="27">
        <f t="array" ref="AB53">[1]!unf_fa_scale_SI(AB$41,$M53,q_liq,fw,rp_m3m3,NaK,Ca2_,Mg2_,Ba2_,Sr2_,Cl,SO4_,HCO3_,CO2_mol,$L$38)</f>
        <v>-1.517777947075279</v>
      </c>
      <c r="AC53" s="28">
        <f t="array" ref="AC53">[1]!unf_fa_scale_SI(AC$41,$M53,q_liq,fw,rp_m3m3,NaK,Ca2_,Mg2_,Ba2_,Sr2_,Cl,SO4_,HCO3_,CO2_mol,$L$38)</f>
        <v>-1.6768523864425731</v>
      </c>
    </row>
    <row r="54" spans="12:29" x14ac:dyDescent="0.2">
      <c r="L54" s="36"/>
      <c r="M54" s="26">
        <v>60</v>
      </c>
      <c r="N54" s="40">
        <f t="array" ref="N54">[1]!unf_fa_scale_SI(N$41,$M54,q_liq,fw,rp_m3m3,NaK,Ca2_,Mg2_,Ba2_,Sr2_,Cl,SO4_,HCO3_,CO2_mol,$L$38)</f>
        <v>1.3842930736105965</v>
      </c>
      <c r="O54" s="27">
        <f t="array" ref="O54">[1]!unf_fa_scale_SI(O$41,$M54,q_liq,fw,rp_m3m3,NaK,Ca2_,Mg2_,Ba2_,Sr2_,Cl,SO4_,HCO3_,CO2_mol,$L$38)</f>
        <v>1.2133393048141607</v>
      </c>
      <c r="P54" s="27">
        <f t="array" ref="P54">[1]!unf_fa_scale_SI(P$41,$M54,q_liq,fw,rp_m3m3,NaK,Ca2_,Mg2_,Ba2_,Sr2_,Cl,SO4_,HCO3_,CO2_mol,$L$38)</f>
        <v>1.0406955148403811</v>
      </c>
      <c r="Q54" s="27">
        <f t="array" ref="Q54">[1]!unf_fa_scale_SI(Q$41,$M54,q_liq,fw,rp_m3m3,NaK,Ca2_,Mg2_,Ba2_,Sr2_,Cl,SO4_,HCO3_,CO2_mol,$L$38)</f>
        <v>0.8658704723583196</v>
      </c>
      <c r="R54" s="27">
        <f t="array" ref="R54">[1]!unf_fa_scale_SI(R$41,$M54,q_liq,fw,rp_m3m3,NaK,Ca2_,Mg2_,Ba2_,Sr2_,Cl,SO4_,HCO3_,CO2_mol,$L$38)</f>
        <v>0.68821310744284803</v>
      </c>
      <c r="S54" s="27">
        <f t="array" ref="S54">[1]!unf_fa_scale_SI(S$41,$M54,q_liq,fw,rp_m3m3,NaK,Ca2_,Mg2_,Ba2_,Sr2_,Cl,SO4_,HCO3_,CO2_mol,$L$38)</f>
        <v>0.50686057327282696</v>
      </c>
      <c r="T54" s="27">
        <f t="array" ref="T54">[1]!unf_fa_scale_SI(T$41,$M54,q_liq,fw,rp_m3m3,NaK,Ca2_,Mg2_,Ba2_,Sr2_,Cl,SO4_,HCO3_,CO2_mol,$L$38)</f>
        <v>0.32067680322681047</v>
      </c>
      <c r="U54" s="27">
        <f t="array" ref="U54">[1]!unf_fa_scale_SI(U$41,$M54,q_liq,fw,rp_m3m3,NaK,Ca2_,Mg2_,Ba2_,Sr2_,Cl,SO4_,HCO3_,CO2_mol,$L$38)</f>
        <v>0.12819343153681598</v>
      </c>
      <c r="V54" s="27">
        <f t="array" ref="V54">[1]!unf_fa_scale_SI(V$41,$M54,q_liq,fw,rp_m3m3,NaK,Ca2_,Mg2_,Ba2_,Sr2_,Cl,SO4_,HCO3_,CO2_mol,$L$38)</f>
        <v>-7.2407620716580107E-2</v>
      </c>
      <c r="W54" s="27">
        <f t="array" ref="W54">[1]!unf_fa_scale_SI(W$41,$M54,q_liq,fw,rp_m3m3,NaK,Ca2_,Mg2_,Ba2_,Sr2_,Cl,SO4_,HCO3_,CO2_mol,$L$38)</f>
        <v>-0.28315989568340971</v>
      </c>
      <c r="X54" s="27">
        <f t="array" ref="X54">[1]!unf_fa_scale_SI(X$41,$M54,q_liq,fw,rp_m3m3,NaK,Ca2_,Mg2_,Ba2_,Sr2_,Cl,SO4_,HCO3_,CO2_mol,$L$38)</f>
        <v>-0.50574697527123302</v>
      </c>
      <c r="Y54" s="27">
        <f t="array" ref="Y54">[1]!unf_fa_scale_SI(Y$41,$M54,q_liq,fw,rp_m3m3,NaK,Ca2_,Mg2_,Ba2_,Sr2_,Cl,SO4_,HCO3_,CO2_mol,$L$38)</f>
        <v>-0.73988583341070069</v>
      </c>
      <c r="Z54" s="27">
        <f t="array" ref="Z54">[1]!unf_fa_scale_SI(Z$41,$M54,q_liq,fw,rp_m3m3,NaK,Ca2_,Mg2_,Ba2_,Sr2_,Cl,SO4_,HCO3_,CO2_mol,$L$38)</f>
        <v>-0.97973515574652226</v>
      </c>
      <c r="AA54" s="27">
        <f t="array" ref="AA54">[1]!unf_fa_scale_SI(AA$41,$M54,q_liq,fw,rp_m3m3,NaK,Ca2_,Mg2_,Ba2_,Sr2_,Cl,SO4_,HCO3_,CO2_mol,$L$38)</f>
        <v>-1.2091024863222117</v>
      </c>
      <c r="AB54" s="27">
        <f t="array" ref="AB54">[1]!unf_fa_scale_SI(AB$41,$M54,q_liq,fw,rp_m3m3,NaK,Ca2_,Mg2_,Ba2_,Sr2_,Cl,SO4_,HCO3_,CO2_mol,$L$38)</f>
        <v>-1.404607137065556</v>
      </c>
      <c r="AC54" s="28">
        <f t="array" ref="AC54">[1]!unf_fa_scale_SI(AC$41,$M54,q_liq,fw,rp_m3m3,NaK,Ca2_,Mg2_,Ba2_,Sr2_,Cl,SO4_,HCO3_,CO2_mol,$L$38)</f>
        <v>-1.559518250282075</v>
      </c>
    </row>
    <row r="55" spans="12:29" x14ac:dyDescent="0.2">
      <c r="L55" s="36"/>
      <c r="M55" s="26">
        <v>65</v>
      </c>
      <c r="N55" s="40">
        <f t="array" ref="N55">[1]!unf_fa_scale_SI(N$41,$M55,q_liq,fw,rp_m3m3,NaK,Ca2_,Mg2_,Ba2_,Sr2_,Cl,SO4_,HCO3_,CO2_mol,$L$38)</f>
        <v>1.5115794170534544</v>
      </c>
      <c r="O55" s="27">
        <f t="array" ref="O55">[1]!unf_fa_scale_SI(O$41,$M55,q_liq,fw,rp_m3m3,NaK,Ca2_,Mg2_,Ba2_,Sr2_,Cl,SO4_,HCO3_,CO2_mol,$L$38)</f>
        <v>1.3404867102937466</v>
      </c>
      <c r="P55" s="27">
        <f t="array" ref="P55">[1]!unf_fa_scale_SI(P$41,$M55,q_liq,fw,rp_m3m3,NaK,Ca2_,Mg2_,Ba2_,Sr2_,Cl,SO4_,HCO3_,CO2_mol,$L$38)</f>
        <v>1.1676499954824922</v>
      </c>
      <c r="Q55" s="27">
        <f t="array" ref="Q55">[1]!unf_fa_scale_SI(Q$41,$M55,q_liq,fw,rp_m3m3,NaK,Ca2_,Mg2_,Ba2_,Sr2_,Cl,SO4_,HCO3_,CO2_mol,$L$38)</f>
        <v>0.99255570871954812</v>
      </c>
      <c r="R55" s="27">
        <f t="array" ref="R55">[1]!unf_fa_scale_SI(R$41,$M55,q_liq,fw,rp_m3m3,NaK,Ca2_,Mg2_,Ba2_,Sr2_,Cl,SO4_,HCO3_,CO2_mol,$L$38)</f>
        <v>0.81452117046158168</v>
      </c>
      <c r="S55" s="27">
        <f t="array" ref="S55">[1]!unf_fa_scale_SI(S$41,$M55,q_liq,fw,rp_m3m3,NaK,Ca2_,Mg2_,Ba2_,Sr2_,Cl,SO4_,HCO3_,CO2_mol,$L$38)</f>
        <v>0.63263915398019888</v>
      </c>
      <c r="T55" s="27">
        <f t="array" ref="T55">[1]!unf_fa_scale_SI(T$41,$M55,q_liq,fw,rp_m3m3,NaK,Ca2_,Mg2_,Ba2_,Sr2_,Cl,SO4_,HCO3_,CO2_mol,$L$38)</f>
        <v>0.44571225028649886</v>
      </c>
      <c r="U55" s="27">
        <f t="array" ref="U55">[1]!unf_fa_scale_SI(U$41,$M55,q_liq,fw,rp_m3m3,NaK,Ca2_,Mg2_,Ba2_,Sr2_,Cl,SO4_,HCO3_,CO2_mol,$L$38)</f>
        <v>0.25218985810379013</v>
      </c>
      <c r="V55" s="27">
        <f t="array" ref="V55">[1]!unf_fa_scale_SI(V$41,$M55,q_liq,fw,rp_m3m3,NaK,Ca2_,Mg2_,Ba2_,Sr2_,Cl,SO4_,HCO3_,CO2_mol,$L$38)</f>
        <v>5.0150524599971283E-2</v>
      </c>
      <c r="W55" s="27">
        <f t="array" ref="W55">[1]!unf_fa_scale_SI(W$41,$M55,q_liq,fw,rp_m3m3,NaK,Ca2_,Mg2_,Ba2_,Sr2_,Cl,SO4_,HCO3_,CO2_mol,$L$38)</f>
        <v>-0.1625500121816735</v>
      </c>
      <c r="X55" s="27">
        <f t="array" ref="X55">[1]!unf_fa_scale_SI(X$41,$M55,q_liq,fw,rp_m3m3,NaK,Ca2_,Mg2_,Ba2_,Sr2_,Cl,SO4_,HCO3_,CO2_mol,$L$38)</f>
        <v>-0.38765712344989389</v>
      </c>
      <c r="Y55" s="27">
        <f t="array" ref="Y55">[1]!unf_fa_scale_SI(Y$41,$M55,q_liq,fw,rp_m3m3,NaK,Ca2_,Mg2_,Ba2_,Sr2_,Cl,SO4_,HCO3_,CO2_mol,$L$38)</f>
        <v>-0.62473568062562335</v>
      </c>
      <c r="Z55" s="27">
        <f t="array" ref="Z55">[1]!unf_fa_scale_SI(Z$41,$M55,q_liq,fw,rp_m3m3,NaK,Ca2_,Mg2_,Ba2_,Sr2_,Cl,SO4_,HCO3_,CO2_mol,$L$38)</f>
        <v>-0.86722288018310556</v>
      </c>
      <c r="AA55" s="27">
        <f t="array" ref="AA55">[1]!unf_fa_scale_SI(AA$41,$M55,q_liq,fw,rp_m3m3,NaK,Ca2_,Mg2_,Ba2_,Sr2_,Cl,SO4_,HCO3_,CO2_mol,$L$38)</f>
        <v>-1.0973531903665072</v>
      </c>
      <c r="AB55" s="27">
        <f t="array" ref="AB55">[1]!unf_fa_scale_SI(AB$41,$M55,q_liq,fw,rp_m3m3,NaK,Ca2_,Mg2_,Ba2_,Sr2_,Cl,SO4_,HCO3_,CO2_mol,$L$38)</f>
        <v>-1.29050856038749</v>
      </c>
      <c r="AC55" s="28">
        <f t="array" ref="AC55">[1]!unf_fa_scale_SI(AC$41,$M55,q_liq,fw,rp_m3m3,NaK,Ca2_,Mg2_,Ba2_,Sr2_,Cl,SO4_,HCO3_,CO2_mol,$L$38)</f>
        <v>-1.441604841342224</v>
      </c>
    </row>
    <row r="56" spans="12:29" x14ac:dyDescent="0.2">
      <c r="L56" s="37"/>
      <c r="M56" s="29">
        <v>70</v>
      </c>
      <c r="N56" s="41">
        <f t="array" ref="N56">[1]!unf_fa_scale_SI(N$41,$M56,q_liq,fw,rp_m3m3,NaK,Ca2_,Mg2_,Ba2_,Sr2_,Cl,SO4_,HCO3_,CO2_mol,$L$38)</f>
        <v>1.6387385039111682</v>
      </c>
      <c r="O56" s="30">
        <f t="array" ref="O56">[1]!unf_fa_scale_SI(O$41,$M56,q_liq,fw,rp_m3m3,NaK,Ca2_,Mg2_,Ba2_,Sr2_,Cl,SO4_,HCO3_,CO2_mol,$L$38)</f>
        <v>1.4675149252901523</v>
      </c>
      <c r="P56" s="30">
        <f t="array" ref="P56">[1]!unf_fa_scale_SI(P$41,$M56,q_liq,fw,rp_m3m3,NaK,Ca2_,Mg2_,Ba2_,Sr2_,Cl,SO4_,HCO3_,CO2_mol,$L$38)</f>
        <v>1.2944962459517526</v>
      </c>
      <c r="Q56" s="30">
        <f t="array" ref="Q56">[1]!unf_fa_scale_SI(Q$41,$M56,q_liq,fw,rp_m3m3,NaK,Ca2_,Mg2_,Ba2_,Sr2_,Cl,SO4_,HCO3_,CO2_mol,$L$38)</f>
        <v>1.119147694353823</v>
      </c>
      <c r="R56" s="30">
        <f t="array" ref="R56">[1]!unf_fa_scale_SI(R$41,$M56,q_liq,fw,rp_m3m3,NaK,Ca2_,Mg2_,Ba2_,Sr2_,Cl,SO4_,HCO3_,CO2_mol,$L$38)</f>
        <v>0.94075654276015708</v>
      </c>
      <c r="S56" s="30">
        <f t="array" ref="S56">[1]!unf_fa_scale_SI(S$41,$M56,q_liq,fw,rp_m3m3,NaK,Ca2_,Mg2_,Ba2_,Sr2_,Cl,SO4_,HCO3_,CO2_mol,$L$38)</f>
        <v>0.75837332514874134</v>
      </c>
      <c r="T56" s="30">
        <f t="array" ref="T56">[1]!unf_fa_scale_SI(T$41,$M56,q_liq,fw,rp_m3m3,NaK,Ca2_,Mg2_,Ba2_,Sr2_,Cl,SO4_,HCO3_,CO2_mol,$L$38)</f>
        <v>0.57074216051221949</v>
      </c>
      <c r="U56" s="30">
        <f t="array" ref="U56">[1]!unf_fa_scale_SI(U$41,$M56,q_liq,fw,rp_m3m3,NaK,Ca2_,Mg2_,Ba2_,Sr2_,Cl,SO4_,HCO3_,CO2_mol,$L$38)</f>
        <v>0.37623391322617772</v>
      </c>
      <c r="V56" s="30">
        <f t="array" ref="V56">[1]!unf_fa_scale_SI(V$41,$M56,q_liq,fw,rp_m3m3,NaK,Ca2_,Mg2_,Ba2_,Sr2_,Cl,SO4_,HCO3_,CO2_mol,$L$38)</f>
        <v>0.17282820206684224</v>
      </c>
      <c r="W56" s="30">
        <f t="array" ref="W56">[1]!unf_fa_scale_SI(W$41,$M56,q_liq,fw,rp_m3m3,NaK,Ca2_,Mg2_,Ba2_,Sr2_,Cl,SO4_,HCO3_,CO2_mol,$L$38)</f>
        <v>-4.1725301257714446E-2</v>
      </c>
      <c r="X56" s="30">
        <f t="array" ref="X56">[1]!unf_fa_scale_SI(X$41,$M56,q_liq,fw,rp_m3m3,NaK,Ca2_,Mg2_,Ba2_,Sr2_,Cl,SO4_,HCO3_,CO2_mol,$L$38)</f>
        <v>-0.26923019585564589</v>
      </c>
      <c r="Y56" s="30">
        <f t="array" ref="Y56">[1]!unf_fa_scale_SI(Y$41,$M56,q_liq,fw,rp_m3m3,NaK,Ca2_,Mg2_,Ba2_,Sr2_,Cl,SO4_,HCO3_,CO2_mol,$L$38)</f>
        <v>-0.50909885145459077</v>
      </c>
      <c r="Z56" s="30">
        <f t="array" ref="Z56">[1]!unf_fa_scale_SI(Z$41,$M56,q_liq,fw,rp_m3m3,NaK,Ca2_,Mg2_,Ba2_,Sr2_,Cl,SO4_,HCO3_,CO2_mol,$L$38)</f>
        <v>-0.75405432988065002</v>
      </c>
      <c r="AA56" s="30">
        <f t="array" ref="AA56">[1]!unf_fa_scale_SI(AA$41,$M56,q_liq,fw,rp_m3m3,NaK,Ca2_,Mg2_,Ba2_,Sr2_,Cl,SO4_,HCO3_,CO2_mol,$L$38)</f>
        <v>-0.98480309023456958</v>
      </c>
      <c r="AB56" s="30">
        <f t="array" ref="AB56">[1]!unf_fa_scale_SI(AB$41,$M56,q_liq,fw,rp_m3m3,NaK,Ca2_,Mg2_,Ba2_,Sr2_,Cl,SO4_,HCO3_,CO2_mol,$L$38)</f>
        <v>-1.1756455579482996</v>
      </c>
      <c r="AC56" s="31">
        <f t="array" ref="AC56">[1]!unf_fa_scale_SI(AC$41,$M56,q_liq,fw,rp_m3m3,NaK,Ca2_,Mg2_,Ba2_,Sr2_,Cl,SO4_,HCO3_,CO2_mol,$L$38)</f>
        <v>-1.3232435152177893</v>
      </c>
    </row>
    <row r="57" spans="12:29" x14ac:dyDescent="0.2">
      <c r="M57" s="11"/>
      <c r="N57" s="11"/>
      <c r="O57" s="11"/>
      <c r="P57" s="11"/>
      <c r="Q57" s="11"/>
      <c r="R57" s="11"/>
      <c r="S57" s="11"/>
      <c r="T57" s="11"/>
      <c r="U57" s="10"/>
      <c r="V57" s="10"/>
      <c r="W57" s="10"/>
      <c r="X57" s="10"/>
      <c r="Y57" s="10"/>
      <c r="Z57" s="10"/>
      <c r="AA57" s="10"/>
      <c r="AB57" s="16"/>
      <c r="AC57" s="17"/>
    </row>
    <row r="58" spans="12:29" x14ac:dyDescent="0.2">
      <c r="M58" s="11"/>
      <c r="N58" s="11"/>
      <c r="O58" s="11"/>
      <c r="P58" s="11"/>
      <c r="Q58" s="11"/>
      <c r="R58" s="11"/>
      <c r="S58" s="11"/>
      <c r="T58" s="11"/>
      <c r="U58" s="10"/>
      <c r="V58" s="10"/>
      <c r="W58" s="10"/>
      <c r="X58" s="10"/>
      <c r="Y58" s="10"/>
      <c r="Z58" s="10"/>
      <c r="AA58" s="10"/>
      <c r="AB58" s="16"/>
      <c r="AC58" s="17"/>
    </row>
    <row r="59" spans="12:29" x14ac:dyDescent="0.2">
      <c r="M59" s="11"/>
      <c r="N59" s="11"/>
      <c r="O59" s="11"/>
      <c r="P59" s="11"/>
      <c r="Q59" s="11"/>
      <c r="R59" s="11"/>
      <c r="S59" s="11"/>
      <c r="T59" s="11"/>
      <c r="U59" s="10"/>
      <c r="V59" s="10"/>
      <c r="W59" s="10"/>
      <c r="X59" s="10"/>
      <c r="Y59" s="10"/>
      <c r="Z59" s="10"/>
      <c r="AA59" s="10"/>
      <c r="AB59" s="16"/>
      <c r="AC59" s="17"/>
    </row>
    <row r="60" spans="12:29" x14ac:dyDescent="0.2">
      <c r="L60" s="10">
        <v>3</v>
      </c>
      <c r="M60" s="20" t="s">
        <v>22</v>
      </c>
      <c r="N60" s="11"/>
      <c r="O60" s="11"/>
      <c r="P60" s="11"/>
      <c r="Q60" s="11"/>
      <c r="R60" s="11"/>
      <c r="S60" s="11"/>
      <c r="T60" s="11"/>
      <c r="U60" s="10"/>
      <c r="V60" s="10"/>
      <c r="W60" s="10"/>
      <c r="X60" s="10"/>
      <c r="Y60" s="10"/>
      <c r="Z60" s="10"/>
      <c r="AA60" s="10"/>
      <c r="AB60" s="16"/>
      <c r="AC60" s="17"/>
    </row>
    <row r="61" spans="12:29" x14ac:dyDescent="0.2">
      <c r="M61" s="11"/>
      <c r="N61" s="11"/>
      <c r="O61" s="11">
        <v>1.4</v>
      </c>
      <c r="P61" s="11"/>
      <c r="Q61" s="11"/>
      <c r="R61" s="11"/>
      <c r="S61" s="11"/>
      <c r="T61" s="11"/>
      <c r="U61" s="10"/>
      <c r="V61" s="10"/>
      <c r="W61" s="10"/>
      <c r="X61" s="10"/>
      <c r="Y61" s="10"/>
      <c r="Z61" s="10"/>
      <c r="AA61" s="10"/>
      <c r="AB61" s="16"/>
      <c r="AC61" s="17"/>
    </row>
    <row r="62" spans="12:29" x14ac:dyDescent="0.2">
      <c r="L62" s="32"/>
      <c r="M62" s="22"/>
      <c r="N62" s="22" t="s">
        <v>17</v>
      </c>
      <c r="O62" s="22"/>
      <c r="P62" s="22"/>
      <c r="Q62" s="22"/>
      <c r="R62" s="22"/>
      <c r="S62" s="22"/>
      <c r="T62" s="22"/>
      <c r="U62" s="33"/>
      <c r="V62" s="33"/>
      <c r="W62" s="33"/>
      <c r="X62" s="33"/>
      <c r="Y62" s="33"/>
      <c r="Z62" s="33"/>
      <c r="AA62" s="33"/>
      <c r="AB62" s="34"/>
      <c r="AC62" s="35"/>
    </row>
    <row r="63" spans="12:29" x14ac:dyDescent="0.2">
      <c r="L63" s="36"/>
      <c r="M63" s="21"/>
      <c r="N63" s="22">
        <v>1</v>
      </c>
      <c r="O63" s="22">
        <f t="shared" ref="O63:AC63" si="2">N63*$O$17</f>
        <v>1.46</v>
      </c>
      <c r="P63" s="23">
        <f t="shared" si="2"/>
        <v>2.1315999999999997</v>
      </c>
      <c r="Q63" s="24">
        <f t="shared" si="2"/>
        <v>3.1121359999999996</v>
      </c>
      <c r="R63" s="24">
        <f t="shared" si="2"/>
        <v>4.5437185599999994</v>
      </c>
      <c r="S63" s="24">
        <f t="shared" si="2"/>
        <v>6.6338290975999987</v>
      </c>
      <c r="T63" s="24">
        <f t="shared" si="2"/>
        <v>9.6853904824959987</v>
      </c>
      <c r="U63" s="24">
        <f t="shared" si="2"/>
        <v>14.140670104444158</v>
      </c>
      <c r="V63" s="24">
        <f t="shared" si="2"/>
        <v>20.645378352488471</v>
      </c>
      <c r="W63" s="24">
        <f t="shared" si="2"/>
        <v>30.142252394633168</v>
      </c>
      <c r="X63" s="24">
        <f t="shared" si="2"/>
        <v>44.007688496164427</v>
      </c>
      <c r="Y63" s="24">
        <f t="shared" si="2"/>
        <v>64.251225204400058</v>
      </c>
      <c r="Z63" s="24">
        <f t="shared" si="2"/>
        <v>93.80678879842408</v>
      </c>
      <c r="AA63" s="24">
        <f t="shared" si="2"/>
        <v>136.95791164569914</v>
      </c>
      <c r="AB63" s="24">
        <f t="shared" si="2"/>
        <v>199.95855100272075</v>
      </c>
      <c r="AC63" s="25">
        <f t="shared" si="2"/>
        <v>291.93948446397229</v>
      </c>
    </row>
    <row r="64" spans="12:29" x14ac:dyDescent="0.2">
      <c r="L64" s="26" t="s">
        <v>18</v>
      </c>
      <c r="M64" s="26">
        <v>1</v>
      </c>
      <c r="N64" s="38">
        <f t="array" ref="N64">[1]!unf_fa_scale_SI(N$41,$M64,q_liq,fw,rp_m3m3,NaK,Ca2_,Mg2_,Ba2_,Sr2_,Cl,SO4_,HCO3_,CO2_mol,$L$60)</f>
        <v>0.99670865632244654</v>
      </c>
      <c r="O64" s="23">
        <f t="array" ref="O64">[1]!unf_fa_scale_SI(O$41,$M64,q_liq,fw,rp_m3m3,NaK,Ca2_,Mg2_,Ba2_,Sr2_,Cl,SO4_,HCO3_,CO2_mol,$L$60)</f>
        <v>0.82894287678653145</v>
      </c>
      <c r="P64" s="23">
        <f t="array" ref="P64">[1]!unf_fa_scale_SI(P$41,$M64,q_liq,fw,rp_m3m3,NaK,Ca2_,Mg2_,Ba2_,Sr2_,Cl,SO4_,HCO3_,CO2_mol,$L$60)</f>
        <v>0.66071753327955496</v>
      </c>
      <c r="Q64" s="23">
        <f t="array" ref="Q64">[1]!unf_fa_scale_SI(Q$41,$M64,q_liq,fw,rp_m3m3,NaK,Ca2_,Mg2_,Ba2_,Sr2_,Cl,SO4_,HCO3_,CO2_mol,$L$60)</f>
        <v>0.49204644434046663</v>
      </c>
      <c r="R64" s="23">
        <f t="array" ref="R64">[1]!unf_fa_scale_SI(R$41,$M64,q_liq,fw,rp_m3m3,NaK,Ca2_,Mg2_,Ba2_,Sr2_,Cl,SO4_,HCO3_,CO2_mol,$L$60)</f>
        <v>0.32299074929594651</v>
      </c>
      <c r="S64" s="23">
        <f t="array" ref="S64">[1]!unf_fa_scale_SI(S$41,$M64,q_liq,fw,rp_m3m3,NaK,Ca2_,Mg2_,Ba2_,Sr2_,Cl,SO4_,HCO3_,CO2_mol,$L$60)</f>
        <v>0.15368323365133005</v>
      </c>
      <c r="T64" s="23">
        <f t="array" ref="T64">[1]!unf_fa_scale_SI(T$41,$M64,q_liq,fw,rp_m3m3,NaK,Ca2_,Mg2_,Ba2_,Sr2_,Cl,SO4_,HCO3_,CO2_mol,$L$60)</f>
        <v>-1.564163556848322E-2</v>
      </c>
      <c r="U64" s="23">
        <f t="array" ref="U64">[1]!unf_fa_scale_SI(U$41,$M64,q_liq,fw,rp_m3m3,NaK,Ca2_,Mg2_,Ba2_,Sr2_,Cl,SO4_,HCO3_,CO2_mol,$L$60)</f>
        <v>-0.18461626730243055</v>
      </c>
      <c r="V64" s="23">
        <f t="array" ref="V64">[1]!unf_fa_scale_SI(V$41,$M64,q_liq,fw,rp_m3m3,NaK,Ca2_,Mg2_,Ba2_,Sr2_,Cl,SO4_,HCO3_,CO2_mol,$L$60)</f>
        <v>-0.35271963468376955</v>
      </c>
      <c r="W64" s="23">
        <f t="array" ref="W64">[1]!unf_fa_scale_SI(W$41,$M64,q_liq,fw,rp_m3m3,NaK,Ca2_,Mg2_,Ba2_,Sr2_,Cl,SO4_,HCO3_,CO2_mol,$L$60)</f>
        <v>-0.51929636738986817</v>
      </c>
      <c r="X64" s="23">
        <f t="array" ref="X64">[1]!unf_fa_scale_SI(X$41,$M64,q_liq,fw,rp_m3m3,NaK,Ca2_,Mg2_,Ba2_,Sr2_,Cl,SO4_,HCO3_,CO2_mol,$L$60)</f>
        <v>-0.68366924532156126</v>
      </c>
      <c r="Y64" s="23">
        <f t="array" ref="Y64">[1]!unf_fa_scale_SI(Y$41,$M64,q_liq,fw,rp_m3m3,NaK,Ca2_,Mg2_,Ba2_,Sr2_,Cl,SO4_,HCO3_,CO2_mol,$L$60)</f>
        <v>-0.84543240826981914</v>
      </c>
      <c r="Z64" s="23">
        <f t="array" ref="Z64">[1]!unf_fa_scale_SI(Z$41,$M64,q_liq,fw,rp_m3m3,NaK,Ca2_,Mg2_,Ba2_,Sr2_,Cl,SO4_,HCO3_,CO2_mol,$L$60)</f>
        <v>-1.005038709087412</v>
      </c>
      <c r="AA64" s="23">
        <f t="array" ref="AA64">[1]!unf_fa_scale_SI(AA$41,$M64,q_liq,fw,rp_m3m3,NaK,Ca2_,Mg2_,Ba2_,Sr2_,Cl,SO4_,HCO3_,CO2_mol,$L$60)</f>
        <v>-1.1647816732313303</v>
      </c>
      <c r="AB64" s="23">
        <f t="array" ref="AB64">[1]!unf_fa_scale_SI(AB$41,$M64,q_liq,fw,rp_m3m3,NaK,Ca2_,Mg2_,Ba2_,Sr2_,Cl,SO4_,HCO3_,CO2_mol,$L$60)</f>
        <v>-1.3301774167078193</v>
      </c>
      <c r="AC64" s="39">
        <f t="array" ref="AC64">[1]!unf_fa_scale_SI(AC$41,$M64,q_liq,fw,rp_m3m3,NaK,Ca2_,Mg2_,Ba2_,Sr2_,Cl,SO4_,HCO3_,CO2_mol,$L$60)</f>
        <v>-1.5114963601948617</v>
      </c>
    </row>
    <row r="65" spans="12:29" x14ac:dyDescent="0.2">
      <c r="L65" s="36"/>
      <c r="M65" s="26">
        <v>5</v>
      </c>
      <c r="N65" s="40">
        <f t="array" ref="N65">[1]!unf_fa_scale_SI(N$41,$M65,q_liq,fw,rp_m3m3,NaK,Ca2_,Mg2_,Ba2_,Sr2_,Cl,SO4_,HCO3_,CO2_mol,$L$60)</f>
        <v>0.96663788479005319</v>
      </c>
      <c r="O65" s="27">
        <f t="array" ref="O65">[1]!unf_fa_scale_SI(O$41,$M65,q_liq,fw,rp_m3m3,NaK,Ca2_,Mg2_,Ba2_,Sr2_,Cl,SO4_,HCO3_,CO2_mol,$L$60)</f>
        <v>0.79839348117996312</v>
      </c>
      <c r="P65" s="27">
        <f t="array" ref="P65">[1]!unf_fa_scale_SI(P$41,$M65,q_liq,fw,rp_m3m3,NaK,Ca2_,Mg2_,Ba2_,Sr2_,Cl,SO4_,HCO3_,CO2_mol,$L$60)</f>
        <v>0.62949919669626864</v>
      </c>
      <c r="Q65" s="27">
        <f t="array" ref="Q65">[1]!unf_fa_scale_SI(Q$41,$M65,q_liq,fw,rp_m3m3,NaK,Ca2_,Mg2_,Ba2_,Sr2_,Cl,SO4_,HCO3_,CO2_mol,$L$60)</f>
        <v>0.45988942197856053</v>
      </c>
      <c r="R65" s="27">
        <f t="array" ref="R65">[1]!unf_fa_scale_SI(R$41,$M65,q_liq,fw,rp_m3m3,NaK,Ca2_,Mg2_,Ba2_,Sr2_,Cl,SO4_,HCO3_,CO2_mol,$L$60)</f>
        <v>0.28951301070129709</v>
      </c>
      <c r="S65" s="27">
        <f t="array" ref="S65">[1]!unf_fa_scale_SI(S$41,$M65,q_liq,fw,rp_m3m3,NaK,Ca2_,Mg2_,Ba2_,Sr2_,Cl,SO4_,HCO3_,CO2_mol,$L$60)</f>
        <v>0.11834535802319412</v>
      </c>
      <c r="T65" s="27">
        <f t="array" ref="T65">[1]!unf_fa_scale_SI(T$41,$M65,q_liq,fw,rp_m3m3,NaK,Ca2_,Mg2_,Ba2_,Sr2_,Cl,SO4_,HCO3_,CO2_mol,$L$60)</f>
        <v>-5.3596666612428567E-2</v>
      </c>
      <c r="U65" s="27">
        <f t="array" ref="U65">[1]!unf_fa_scale_SI(U$41,$M65,q_liq,fw,rp_m3m3,NaK,Ca2_,Mg2_,Ba2_,Sr2_,Cl,SO4_,HCO3_,CO2_mol,$L$60)</f>
        <v>-0.22623986161029941</v>
      </c>
      <c r="V65" s="27">
        <f t="array" ref="V65">[1]!unf_fa_scale_SI(V$41,$M65,q_liq,fw,rp_m3m3,NaK,Ca2_,Mg2_,Ba2_,Sr2_,Cl,SO4_,HCO3_,CO2_mol,$L$60)</f>
        <v>-0.39944819757521943</v>
      </c>
      <c r="W65" s="27">
        <f t="array" ref="W65">[1]!unf_fa_scale_SI(W$41,$M65,q_liq,fw,rp_m3m3,NaK,Ca2_,Mg2_,Ba2_,Sr2_,Cl,SO4_,HCO3_,CO2_mol,$L$60)</f>
        <v>-0.57304333689151365</v>
      </c>
      <c r="X65" s="27">
        <f t="array" ref="X65">[1]!unf_fa_scale_SI(X$41,$M65,q_liq,fw,rp_m3m3,NaK,Ca2_,Mg2_,Ba2_,Sr2_,Cl,SO4_,HCO3_,CO2_mol,$L$60)</f>
        <v>-0.74688797315277189</v>
      </c>
      <c r="Y65" s="27">
        <f t="array" ref="Y65">[1]!unf_fa_scale_SI(Y$41,$M65,q_liq,fw,rp_m3m3,NaK,Ca2_,Mg2_,Ba2_,Sr2_,Cl,SO4_,HCO3_,CO2_mol,$L$60)</f>
        <v>-0.9210894005643816</v>
      </c>
      <c r="Z65" s="27">
        <f t="array" ref="Z65">[1]!unf_fa_scale_SI(Z$41,$M65,q_liq,fw,rp_m3m3,NaK,Ca2_,Mg2_,Ba2_,Sr2_,Cl,SO4_,HCO3_,CO2_mol,$L$60)</f>
        <v>-1.0963907729662878</v>
      </c>
      <c r="AA65" s="27">
        <f t="array" ref="AA65">[1]!unf_fa_scale_SI(AA$41,$M65,q_liq,fw,rp_m3m3,NaK,Ca2_,Mg2_,Ba2_,Sr2_,Cl,SO4_,HCO3_,CO2_mol,$L$60)</f>
        <v>-1.2747699079993557</v>
      </c>
      <c r="AB65" s="27">
        <f t="array" ref="AB65">[1]!unf_fa_scale_SI(AB$41,$M65,q_liq,fw,rp_m3m3,NaK,Ca2_,Mg2_,Ba2_,Sr2_,Cl,SO4_,HCO3_,CO2_mol,$L$60)</f>
        <v>-1.4600702189524739</v>
      </c>
      <c r="AC65" s="28">
        <f t="array" ref="AC65">[1]!unf_fa_scale_SI(AC$41,$M65,q_liq,fw,rp_m3m3,NaK,Ca2_,Mg2_,Ba2_,Sr2_,Cl,SO4_,HCO3_,CO2_mol,$L$60)</f>
        <v>-1.6580517046955974</v>
      </c>
    </row>
    <row r="66" spans="12:29" x14ac:dyDescent="0.2">
      <c r="L66" s="36"/>
      <c r="M66" s="26">
        <v>10</v>
      </c>
      <c r="N66" s="40">
        <f t="array" ref="N66">[1]!unf_fa_scale_SI(N$41,$M66,q_liq,fw,rp_m3m3,NaK,Ca2_,Mg2_,Ba2_,Sr2_,Cl,SO4_,HCO3_,CO2_mol,$L$60)</f>
        <v>0.93076339978242073</v>
      </c>
      <c r="O66" s="27">
        <f t="array" ref="O66">[1]!unf_fa_scale_SI(O$41,$M66,q_liq,fw,rp_m3m3,NaK,Ca2_,Mg2_,Ba2_,Sr2_,Cl,SO4_,HCO3_,CO2_mol,$L$60)</f>
        <v>0.76208014450009198</v>
      </c>
      <c r="P66" s="27">
        <f t="array" ref="P66">[1]!unf_fa_scale_SI(P$41,$M66,q_liq,fw,rp_m3m3,NaK,Ca2_,Mg2_,Ba2_,Sr2_,Cl,SO4_,HCO3_,CO2_mol,$L$60)</f>
        <v>0.59257696957902328</v>
      </c>
      <c r="Q66" s="27">
        <f t="array" ref="Q66">[1]!unf_fa_scale_SI(Q$41,$M66,q_liq,fw,rp_m3m3,NaK,Ca2_,Mg2_,Ba2_,Sr2_,Cl,SO4_,HCO3_,CO2_mol,$L$60)</f>
        <v>0.42211842416999112</v>
      </c>
      <c r="R66" s="27">
        <f t="array" ref="R66">[1]!unf_fa_scale_SI(R$41,$M66,q_liq,fw,rp_m3m3,NaK,Ca2_,Mg2_,Ba2_,Sr2_,Cl,SO4_,HCO3_,CO2_mol,$L$60)</f>
        <v>0.25055495802093408</v>
      </c>
      <c r="S66" s="27">
        <f t="array" ref="S66">[1]!unf_fa_scale_SI(S$41,$M66,q_liq,fw,rp_m3m3,NaK,Ca2_,Mg2_,Ba2_,Sr2_,Cl,SO4_,HCO3_,CO2_mol,$L$60)</f>
        <v>7.7724548327607029E-2</v>
      </c>
      <c r="T66" s="27">
        <f t="array" ref="T66">[1]!unf_fa_scale_SI(T$41,$M66,q_liq,fw,rp_m3m3,NaK,Ca2_,Mg2_,Ba2_,Sr2_,Cl,SO4_,HCO3_,CO2_mol,$L$60)</f>
        <v>-9.6544977050039033E-2</v>
      </c>
      <c r="U66" s="27">
        <f t="array" ref="U66">[1]!unf_fa_scale_SI(U$41,$M66,q_liq,fw,rp_m3m3,NaK,Ca2_,Mg2_,Ba2_,Sr2_,Cl,SO4_,HCO3_,CO2_mol,$L$60)</f>
        <v>-0.272434101058183</v>
      </c>
      <c r="V66" s="27">
        <f t="array" ref="V66">[1]!unf_fa_scale_SI(V$41,$M66,q_liq,fw,rp_m3m3,NaK,Ca2_,Mg2_,Ba2_,Sr2_,Cl,SO4_,HCO3_,CO2_mol,$L$60)</f>
        <v>-0.45013332288052588</v>
      </c>
      <c r="W66" s="27">
        <f t="array" ref="W66">[1]!unf_fa_scale_SI(W$41,$M66,q_liq,fw,rp_m3m3,NaK,Ca2_,Mg2_,Ba2_,Sr2_,Cl,SO4_,HCO3_,CO2_mol,$L$60)</f>
        <v>-0.62985458252841642</v>
      </c>
      <c r="X66" s="27">
        <f t="array" ref="X66">[1]!unf_fa_scale_SI(X$41,$M66,q_liq,fw,rp_m3m3,NaK,Ca2_,Mg2_,Ba2_,Sr2_,Cl,SO4_,HCO3_,CO2_mol,$L$60)</f>
        <v>-0.81186203959955849</v>
      </c>
      <c r="Y66" s="27">
        <f t="array" ref="Y66">[1]!unf_fa_scale_SI(Y$41,$M66,q_liq,fw,rp_m3m3,NaK,Ca2_,Mg2_,Ba2_,Sr2_,Cl,SO4_,HCO3_,CO2_mol,$L$60)</f>
        <v>-0.99653037897806451</v>
      </c>
      <c r="Z66" s="27">
        <f t="array" ref="Z66">[1]!unf_fa_scale_SI(Z$41,$M66,q_liq,fw,rp_m3m3,NaK,Ca2_,Mg2_,Ba2_,Sr2_,Cl,SO4_,HCO3_,CO2_mol,$L$60)</f>
        <v>-1.1844161088880447</v>
      </c>
      <c r="AA66" s="27">
        <f t="array" ref="AA66">[1]!unf_fa_scale_SI(AA$41,$M66,q_liq,fw,rp_m3m3,NaK,Ca2_,Mg2_,Ba2_,Sr2_,Cl,SO4_,HCO3_,CO2_mol,$L$60)</f>
        <v>-1.3762516690225797</v>
      </c>
      <c r="AB66" s="27">
        <f t="array" ref="AB66">[1]!unf_fa_scale_SI(AB$41,$M66,q_liq,fw,rp_m3m3,NaK,Ca2_,Mg2_,Ba2_,Sr2_,Cl,SO4_,HCO3_,CO2_mol,$L$60)</f>
        <v>-1.5726422680915773</v>
      </c>
      <c r="AC66" s="28">
        <f t="array" ref="AC66">[1]!unf_fa_scale_SI(AC$41,$M66,q_liq,fw,rp_m3m3,NaK,Ca2_,Mg2_,Ba2_,Sr2_,Cl,SO4_,HCO3_,CO2_mol,$L$60)</f>
        <v>-1.7733648780229936</v>
      </c>
    </row>
    <row r="67" spans="12:29" x14ac:dyDescent="0.2">
      <c r="L67" s="36"/>
      <c r="M67" s="26">
        <v>15</v>
      </c>
      <c r="N67" s="40">
        <f t="array" ref="N67">[1]!unf_fa_scale_SI(N$41,$M67,q_liq,fw,rp_m3m3,NaK,Ca2_,Mg2_,Ba2_,Sr2_,Cl,SO4_,HCO3_,CO2_mol,$L$60)</f>
        <v>0.89657839215754143</v>
      </c>
      <c r="O67" s="27">
        <f t="array" ref="O67">[1]!unf_fa_scale_SI(O$41,$M67,q_liq,fw,rp_m3m3,NaK,Ca2_,Mg2_,Ba2_,Sr2_,Cl,SO4_,HCO3_,CO2_mol,$L$60)</f>
        <v>0.72754102870889237</v>
      </c>
      <c r="P67" s="27">
        <f t="array" ref="P67">[1]!unf_fa_scale_SI(P$41,$M67,q_liq,fw,rp_m3m3,NaK,Ca2_,Mg2_,Ba2_,Sr2_,Cl,SO4_,HCO3_,CO2_mol,$L$60)</f>
        <v>0.55754826834553506</v>
      </c>
      <c r="Q67" s="27">
        <f t="array" ref="Q67">[1]!unf_fa_scale_SI(Q$41,$M67,q_liq,fw,rp_m3m3,NaK,Ca2_,Mg2_,Ba2_,Sr2_,Cl,SO4_,HCO3_,CO2_mol,$L$60)</f>
        <v>0.38640944488795298</v>
      </c>
      <c r="R67" s="27">
        <f t="array" ref="R67">[1]!unf_fa_scale_SI(R$41,$M67,q_liq,fw,rp_m3m3,NaK,Ca2_,Mg2_,Ba2_,Sr2_,Cl,SO4_,HCO3_,CO2_mol,$L$60)</f>
        <v>0.21389733001885897</v>
      </c>
      <c r="S67" s="27">
        <f t="array" ref="S67">[1]!unf_fa_scale_SI(S$41,$M67,q_liq,fw,rp_m3m3,NaK,Ca2_,Mg2_,Ba2_,Sr2_,Cl,SO4_,HCO3_,CO2_mol,$L$60)</f>
        <v>3.9741615379002948E-2</v>
      </c>
      <c r="T67" s="27">
        <f t="array" ref="T67">[1]!unf_fa_scale_SI(T$41,$M67,q_liq,fw,rp_m3m3,NaK,Ca2_,Mg2_,Ba2_,Sr2_,Cl,SO4_,HCO3_,CO2_mol,$L$60)</f>
        <v>-0.13637845298323276</v>
      </c>
      <c r="U67" s="27">
        <f t="array" ref="U67">[1]!unf_fa_scale_SI(U$41,$M67,q_liq,fw,rp_m3m3,NaK,Ca2_,Mg2_,Ba2_,Sr2_,Cl,SO4_,HCO3_,CO2_mol,$L$60)</f>
        <v>-0.31484177714358846</v>
      </c>
      <c r="V67" s="27">
        <f t="array" ref="V67">[1]!unf_fa_scale_SI(V$41,$M67,q_liq,fw,rp_m3m3,NaK,Ca2_,Mg2_,Ba2_,Sr2_,Cl,SO4_,HCO3_,CO2_mol,$L$60)</f>
        <v>-0.49609144121864729</v>
      </c>
      <c r="W67" s="27">
        <f t="array" ref="W67">[1]!unf_fa_scale_SI(W$41,$M67,q_liq,fw,rp_m3m3,NaK,Ca2_,Mg2_,Ba2_,Sr2_,Cl,SO4_,HCO3_,CO2_mol,$L$60)</f>
        <v>-0.68063270415119881</v>
      </c>
      <c r="X67" s="27">
        <f t="array" ref="X67">[1]!unf_fa_scale_SI(X$41,$M67,q_liq,fw,rp_m3m3,NaK,Ca2_,Mg2_,Ba2_,Sr2_,Cl,SO4_,HCO3_,CO2_mol,$L$60)</f>
        <v>-0.86900476155387252</v>
      </c>
      <c r="Y67" s="27">
        <f t="array" ref="Y67">[1]!unf_fa_scale_SI(Y$41,$M67,q_liq,fw,rp_m3m3,NaK,Ca2_,Mg2_,Ba2_,Sr2_,Cl,SO4_,HCO3_,CO2_mol,$L$60)</f>
        <v>-1.0616791074634726</v>
      </c>
      <c r="Z67" s="27">
        <f t="array" ref="Z67">[1]!unf_fa_scale_SI(Z$41,$M67,q_liq,fw,rp_m3m3,NaK,Ca2_,Mg2_,Ba2_,Sr2_,Cl,SO4_,HCO3_,CO2_mol,$L$60)</f>
        <v>-1.2587782000681953</v>
      </c>
      <c r="AA67" s="27">
        <f t="array" ref="AA67">[1]!unf_fa_scale_SI(AA$41,$M67,q_liq,fw,rp_m3m3,NaK,Ca2_,Mg2_,Ba2_,Sr2_,Cl,SO4_,HCO3_,CO2_mol,$L$60)</f>
        <v>-1.4594396522752544</v>
      </c>
      <c r="AB67" s="27">
        <f t="array" ref="AB67">[1]!unf_fa_scale_SI(AB$41,$M67,q_liq,fw,rp_m3m3,NaK,Ca2_,Mg2_,Ba2_,Sr2_,Cl,SO4_,HCO3_,CO2_mol,$L$60)</f>
        <v>-1.6608089952091452</v>
      </c>
      <c r="AC67" s="28">
        <f t="array" ref="AC67">[1]!unf_fa_scale_SI(AC$41,$M67,q_liq,fw,rp_m3m3,NaK,Ca2_,Mg2_,Ba2_,Sr2_,Cl,SO4_,HCO3_,CO2_mol,$L$60)</f>
        <v>-1.8578753244631563</v>
      </c>
    </row>
    <row r="68" spans="12:29" x14ac:dyDescent="0.2">
      <c r="L68" s="36"/>
      <c r="M68" s="26">
        <v>20</v>
      </c>
      <c r="N68" s="40">
        <f t="array" ref="N68">[1]!unf_fa_scale_SI(N$41,$M68,q_liq,fw,rp_m3m3,NaK,Ca2_,Mg2_,Ba2_,Sr2_,Cl,SO4_,HCO3_,CO2_mol,$L$60)</f>
        <v>0.86400196864711976</v>
      </c>
      <c r="O68" s="27">
        <f t="array" ref="O68">[1]!unf_fa_scale_SI(O$41,$M68,q_liq,fw,rp_m3m3,NaK,Ca2_,Mg2_,Ba2_,Sr2_,Cl,SO4_,HCO3_,CO2_mol,$L$60)</f>
        <v>0.69466242080007989</v>
      </c>
      <c r="P68" s="27">
        <f t="array" ref="P68">[1]!unf_fa_scale_SI(P$41,$M68,q_liq,fw,rp_m3m3,NaK,Ca2_,Mg2_,Ba2_,Sr2_,Cl,SO4_,HCO3_,CO2_mol,$L$60)</f>
        <v>0.52425249906923532</v>
      </c>
      <c r="Q68" s="27">
        <f t="array" ref="Q68">[1]!unf_fa_scale_SI(Q$41,$M68,q_liq,fw,rp_m3m3,NaK,Ca2_,Mg2_,Ba2_,Sr2_,Cl,SO4_,HCO3_,CO2_mol,$L$60)</f>
        <v>0.35253482389679569</v>
      </c>
      <c r="R68" s="27">
        <f t="array" ref="R68">[1]!unf_fa_scale_SI(R$41,$M68,q_liq,fw,rp_m3m3,NaK,Ca2_,Mg2_,Ba2_,Sr2_,Cl,SO4_,HCO3_,CO2_mol,$L$60)</f>
        <v>0.17921648022421077</v>
      </c>
      <c r="S68" s="27">
        <f t="array" ref="S68">[1]!unf_fa_scale_SI(S$41,$M68,q_liq,fw,rp_m3m3,NaK,Ca2_,Mg2_,Ba2_,Sr2_,Cl,SO4_,HCO3_,CO2_mol,$L$60)</f>
        <v>3.935641626133024E-3</v>
      </c>
      <c r="T68" s="27">
        <f t="array" ref="T68">[1]!unf_fa_scale_SI(T$41,$M68,q_liq,fw,rp_m3m3,NaK,Ca2_,Mg2_,Ba2_,Sr2_,Cl,SO4_,HCO3_,CO2_mol,$L$60)</f>
        <v>-0.17375388856678808</v>
      </c>
      <c r="U68" s="27">
        <f t="array" ref="U68">[1]!unf_fa_scale_SI(U$41,$M68,q_liq,fw,rp_m3m3,NaK,Ca2_,Mg2_,Ba2_,Sr2_,Cl,SO4_,HCO3_,CO2_mol,$L$60)</f>
        <v>-0.35439809498140307</v>
      </c>
      <c r="V68" s="27">
        <f t="array" ref="V68">[1]!unf_fa_scale_SI(V$41,$M68,q_liq,fw,rp_m3m3,NaK,Ca2_,Mg2_,Ba2_,Sr2_,Cl,SO4_,HCO3_,CO2_mol,$L$60)</f>
        <v>-0.53865123469544973</v>
      </c>
      <c r="W68" s="27">
        <f t="array" ref="W68">[1]!unf_fa_scale_SI(W$41,$M68,q_liq,fw,rp_m3m3,NaK,Ca2_,Mg2_,Ba2_,Sr2_,Cl,SO4_,HCO3_,CO2_mol,$L$60)</f>
        <v>-0.7272585540266101</v>
      </c>
      <c r="X68" s="27">
        <f t="array" ref="X68">[1]!unf_fa_scale_SI(X$41,$M68,q_liq,fw,rp_m3m3,NaK,Ca2_,Mg2_,Ba2_,Sr2_,Cl,SO4_,HCO3_,CO2_mol,$L$60)</f>
        <v>-0.92096636350620664</v>
      </c>
      <c r="Y68" s="27">
        <f t="array" ref="Y68">[1]!unf_fa_scale_SI(Y$41,$M68,q_liq,fw,rp_m3m3,NaK,Ca2_,Mg2_,Ba2_,Sr2_,Cl,SO4_,HCO3_,CO2_mol,$L$60)</f>
        <v>-1.120253428648802</v>
      </c>
      <c r="Z68" s="27">
        <f t="array" ref="Z68">[1]!unf_fa_scale_SI(Z$41,$M68,q_liq,fw,rp_m3m3,NaK,Ca2_,Mg2_,Ba2_,Sr2_,Cl,SO4_,HCO3_,CO2_mol,$L$60)</f>
        <v>-1.3246820873090299</v>
      </c>
      <c r="AA68" s="27">
        <f t="array" ref="AA68">[1]!unf_fa_scale_SI(AA$41,$M68,q_liq,fw,rp_m3m3,NaK,Ca2_,Mg2_,Ba2_,Sr2_,Cl,SO4_,HCO3_,CO2_mol,$L$60)</f>
        <v>-1.5316468736033877</v>
      </c>
      <c r="AB68" s="27">
        <f t="array" ref="AB68">[1]!unf_fa_scale_SI(AB$41,$M68,q_liq,fw,rp_m3m3,NaK,Ca2_,Mg2_,Ba2_,Sr2_,Cl,SO4_,HCO3_,CO2_mol,$L$60)</f>
        <v>-1.734945038667008</v>
      </c>
      <c r="AC68" s="28">
        <f t="array" ref="AC68">[1]!unf_fa_scale_SI(AC$41,$M68,q_liq,fw,rp_m3m3,NaK,Ca2_,Mg2_,Ba2_,Sr2_,Cl,SO4_,HCO3_,CO2_mol,$L$60)</f>
        <v>-1.9261508048091232</v>
      </c>
    </row>
    <row r="69" spans="12:29" x14ac:dyDescent="0.2">
      <c r="L69" s="36"/>
      <c r="M69" s="26">
        <v>25</v>
      </c>
      <c r="N69" s="40">
        <f t="array" ref="N69">[1]!unf_fa_scale_SI(N$41,$M69,q_liq,fw,rp_m3m3,NaK,Ca2_,Mg2_,Ba2_,Sr2_,Cl,SO4_,HCO3_,CO2_mol,$L$60)</f>
        <v>0.83299427146325122</v>
      </c>
      <c r="O69" s="27">
        <f t="array" ref="O69">[1]!unf_fa_scale_SI(O$41,$M69,q_liq,fw,rp_m3m3,NaK,Ca2_,Mg2_,Ba2_,Sr2_,Cl,SO4_,HCO3_,CO2_mol,$L$60)</f>
        <v>0.66338907907186928</v>
      </c>
      <c r="P69" s="27">
        <f t="array" ref="P69">[1]!unf_fa_scale_SI(P$41,$M69,q_liq,fw,rp_m3m3,NaK,Ca2_,Mg2_,Ba2_,Sr2_,Cl,SO4_,HCO3_,CO2_mol,$L$60)</f>
        <v>0.49261263446090003</v>
      </c>
      <c r="Q69" s="27">
        <f t="array" ref="Q69">[1]!unf_fa_scale_SI(Q$41,$M69,q_liq,fw,rp_m3m3,NaK,Ca2_,Mg2_,Ba2_,Sr2_,Cl,SO4_,HCO3_,CO2_mol,$L$60)</f>
        <v>0.32038660465728225</v>
      </c>
      <c r="R69" s="27">
        <f t="array" ref="R69">[1]!unf_fa_scale_SI(R$41,$M69,q_liq,fw,rp_m3m3,NaK,Ca2_,Mg2_,Ba2_,Sr2_,Cl,SO4_,HCO3_,CO2_mol,$L$60)</f>
        <v>0.14636048247352934</v>
      </c>
      <c r="S69" s="27">
        <f t="array" ref="S69">[1]!unf_fa_scale_SI(S$41,$M69,q_liq,fw,rp_m3m3,NaK,Ca2_,Mg2_,Ba2_,Sr2_,Cl,SO4_,HCO3_,CO2_mol,$L$60)</f>
        <v>-2.9907804909325597E-2</v>
      </c>
      <c r="T69" s="27">
        <f t="array" ref="T69">[1]!unf_fa_scale_SI(T$41,$M69,q_liq,fw,rp_m3m3,NaK,Ca2_,Mg2_,Ba2_,Sr2_,Cl,SO4_,HCO3_,CO2_mol,$L$60)</f>
        <v>-0.20897442490838819</v>
      </c>
      <c r="U69" s="27">
        <f t="array" ref="U69">[1]!unf_fa_scale_SI(U$41,$M69,q_liq,fw,rp_m3m3,NaK,Ca2_,Mg2_,Ba2_,Sr2_,Cl,SO4_,HCO3_,CO2_mol,$L$60)</f>
        <v>-0.39153165110634874</v>
      </c>
      <c r="V69" s="27">
        <f t="array" ref="V69">[1]!unf_fa_scale_SI(V$41,$M69,q_liq,fw,rp_m3m3,NaK,Ca2_,Mg2_,Ba2_,Sr2_,Cl,SO4_,HCO3_,CO2_mol,$L$60)</f>
        <v>-0.57841775895628622</v>
      </c>
      <c r="W69" s="27">
        <f t="array" ref="W69">[1]!unf_fa_scale_SI(W$41,$M69,q_liq,fw,rp_m3m3,NaK,Ca2_,Mg2_,Ba2_,Sr2_,Cl,SO4_,HCO3_,CO2_mol,$L$60)</f>
        <v>-0.77058366736660933</v>
      </c>
      <c r="X69" s="27">
        <f t="array" ref="X69">[1]!unf_fa_scale_SI(X$41,$M69,q_liq,fw,rp_m3m3,NaK,Ca2_,Mg2_,Ba2_,Sr2_,Cl,SO4_,HCO3_,CO2_mol,$L$60)</f>
        <v>-0.96894029576663265</v>
      </c>
      <c r="Y69" s="27">
        <f t="array" ref="Y69">[1]!unf_fa_scale_SI(Y$41,$M69,q_liq,fw,rp_m3m3,NaK,Ca2_,Mg2_,Ba2_,Sr2_,Cl,SO4_,HCO3_,CO2_mol,$L$60)</f>
        <v>-1.1739194158741204</v>
      </c>
      <c r="Z69" s="27">
        <f t="array" ref="Z69">[1]!unf_fa_scale_SI(Z$41,$M69,q_liq,fw,rp_m3m3,NaK,Ca2_,Mg2_,Ba2_,Sr2_,Cl,SO4_,HCO3_,CO2_mol,$L$60)</f>
        <v>-1.3844503619610007</v>
      </c>
      <c r="AA69" s="27">
        <f t="array" ref="AA69">[1]!unf_fa_scale_SI(AA$41,$M69,q_liq,fw,rp_m3m3,NaK,Ca2_,Mg2_,Ba2_,Sr2_,Cl,SO4_,HCO3_,CO2_mol,$L$60)</f>
        <v>-1.5961237286514638</v>
      </c>
      <c r="AB69" s="27">
        <f t="array" ref="AB69">[1]!unf_fa_scale_SI(AB$41,$M69,q_liq,fw,rp_m3m3,NaK,Ca2_,Mg2_,Ba2_,Sr2_,Cl,SO4_,HCO3_,CO2_mol,$L$60)</f>
        <v>-1.7996187332257463</v>
      </c>
      <c r="AC69" s="28">
        <f t="array" ref="AC69">[1]!unf_fa_scale_SI(AC$41,$M69,q_liq,fw,rp_m3m3,NaK,Ca2_,Mg2_,Ba2_,Sr2_,Cl,SO4_,HCO3_,CO2_mol,$L$60)</f>
        <v>-1.9843102819979357</v>
      </c>
    </row>
    <row r="70" spans="12:29" x14ac:dyDescent="0.2">
      <c r="L70" s="36"/>
      <c r="M70" s="26">
        <v>30</v>
      </c>
      <c r="N70" s="40">
        <f t="array" ref="N70">[1]!unf_fa_scale_SI(N$41,$M70,q_liq,fw,rp_m3m3,NaK,Ca2_,Mg2_,Ba2_,Sr2_,Cl,SO4_,HCO3_,CO2_mol,$L$60)</f>
        <v>0.80353154679815453</v>
      </c>
      <c r="O70" s="27">
        <f t="array" ref="O70">[1]!unf_fa_scale_SI(O$41,$M70,q_liq,fw,rp_m3m3,NaK,Ca2_,Mg2_,Ba2_,Sr2_,Cl,SO4_,HCO3_,CO2_mol,$L$60)</f>
        <v>0.63368842386232482</v>
      </c>
      <c r="P70" s="27">
        <f t="array" ref="P70">[1]!unf_fa_scale_SI(P$41,$M70,q_liq,fw,rp_m3m3,NaK,Ca2_,Mg2_,Ba2_,Sr2_,Cl,SO4_,HCO3_,CO2_mol,$L$60)</f>
        <v>0.46258368301284841</v>
      </c>
      <c r="Q70" s="27">
        <f t="array" ref="Q70">[1]!unf_fa_scale_SI(Q$41,$M70,q_liq,fw,rp_m3m3,NaK,Ca2_,Mg2_,Ba2_,Sr2_,Cl,SO4_,HCO3_,CO2_mol,$L$60)</f>
        <v>0.28990228376336841</v>
      </c>
      <c r="R70" s="27">
        <f t="array" ref="R70">[1]!unf_fa_scale_SI(R$41,$M70,q_liq,fw,rp_m3m3,NaK,Ca2_,Mg2_,Ba2_,Sr2_,Cl,SO4_,HCO3_,CO2_mol,$L$60)</f>
        <v>0.11524207666156111</v>
      </c>
      <c r="S70" s="27">
        <f t="array" ref="S70">[1]!unf_fa_scale_SI(S$41,$M70,q_liq,fw,rp_m3m3,NaK,Ca2_,Mg2_,Ba2_,Sr2_,Cl,SO4_,HCO3_,CO2_mol,$L$60)</f>
        <v>-6.191100034460445E-2</v>
      </c>
      <c r="T70" s="27">
        <f t="array" ref="T70">[1]!unf_fa_scale_SI(T$41,$M70,q_liq,fw,rp_m3m3,NaK,Ca2_,Mg2_,Ba2_,Sr2_,Cl,SO4_,HCO3_,CO2_mol,$L$60)</f>
        <v>-0.24221180256082658</v>
      </c>
      <c r="U70" s="27">
        <f t="array" ref="U70">[1]!unf_fa_scale_SI(U$41,$M70,q_liq,fw,rp_m3m3,NaK,Ca2_,Mg2_,Ba2_,Sr2_,Cl,SO4_,HCO3_,CO2_mol,$L$60)</f>
        <v>-0.42648383259252381</v>
      </c>
      <c r="V70" s="27">
        <f t="array" ref="V70">[1]!unf_fa_scale_SI(V$41,$M70,q_liq,fw,rp_m3m3,NaK,Ca2_,Mg2_,Ba2_,Sr2_,Cl,SO4_,HCO3_,CO2_mol,$L$60)</f>
        <v>-0.61572994030788397</v>
      </c>
      <c r="W70" s="27">
        <f t="array" ref="W70">[1]!unf_fa_scale_SI(W$41,$M70,q_liq,fw,rp_m3m3,NaK,Ca2_,Mg2_,Ba2_,Sr2_,Cl,SO4_,HCO3_,CO2_mol,$L$60)</f>
        <v>-0.81108262534564313</v>
      </c>
      <c r="X70" s="27">
        <f t="array" ref="X70">[1]!unf_fa_scale_SI(X$41,$M70,q_liq,fw,rp_m3m3,NaK,Ca2_,Mg2_,Ba2_,Sr2_,Cl,SO4_,HCO3_,CO2_mol,$L$60)</f>
        <v>-1.0135885139012617</v>
      </c>
      <c r="Y70" s="27">
        <f t="array" ref="Y70">[1]!unf_fa_scale_SI(Y$41,$M70,q_liq,fw,rp_m3m3,NaK,Ca2_,Mg2_,Ba2_,Sr2_,Cl,SO4_,HCO3_,CO2_mol,$L$60)</f>
        <v>-1.2235970166484125</v>
      </c>
      <c r="Z70" s="27">
        <f t="array" ref="Z70">[1]!unf_fa_scale_SI(Z$41,$M70,q_liq,fw,rp_m3m3,NaK,Ca2_,Mg2_,Ba2_,Sr2_,Cl,SO4_,HCO3_,CO2_mol,$L$60)</f>
        <v>-1.4393601651254562</v>
      </c>
      <c r="AA70" s="27">
        <f t="array" ref="AA70">[1]!unf_fa_scale_SI(AA$41,$M70,q_liq,fw,rp_m3m3,NaK,Ca2_,Mg2_,Ba2_,Sr2_,Cl,SO4_,HCO3_,CO2_mol,$L$60)</f>
        <v>-1.6546492448763632</v>
      </c>
      <c r="AB70" s="27">
        <f t="array" ref="AB70">[1]!unf_fa_scale_SI(AB$41,$M70,q_liq,fw,rp_m3m3,NaK,Ca2_,Mg2_,Ba2_,Sr2_,Cl,SO4_,HCO3_,CO2_mol,$L$60)</f>
        <v>-1.8572965975737392</v>
      </c>
      <c r="AC70" s="28">
        <f t="array" ref="AC70">[1]!unf_fa_scale_SI(AC$41,$M70,q_liq,fw,rp_m3m3,NaK,Ca2_,Mg2_,Ba2_,Sr2_,Cl,SO4_,HCO3_,CO2_mol,$L$60)</f>
        <v>-2.0354750156611447</v>
      </c>
    </row>
    <row r="71" spans="12:29" x14ac:dyDescent="0.2">
      <c r="L71" s="36"/>
      <c r="M71" s="26">
        <v>35</v>
      </c>
      <c r="N71" s="40">
        <f t="array" ref="N71">[1]!unf_fa_scale_SI(N$41,$M71,q_liq,fw,rp_m3m3,NaK,Ca2_,Mg2_,Ba2_,Sr2_,Cl,SO4_,HCO3_,CO2_mol,$L$60)</f>
        <v>0.77559807431477723</v>
      </c>
      <c r="O71" s="27">
        <f t="array" ref="O71">[1]!unf_fa_scale_SI(O$41,$M71,q_liq,fw,rp_m3m3,NaK,Ca2_,Mg2_,Ba2_,Sr2_,Cl,SO4_,HCO3_,CO2_mol,$L$60)</f>
        <v>0.60553906343650721</v>
      </c>
      <c r="P71" s="27">
        <f t="array" ref="P71">[1]!unf_fa_scale_SI(P$41,$M71,q_liq,fw,rp_m3m3,NaK,Ca2_,Mg2_,Ba2_,Sr2_,Cl,SO4_,HCO3_,CO2_mol,$L$60)</f>
        <v>0.4341363219238219</v>
      </c>
      <c r="Q71" s="27">
        <f t="array" ref="Q71">[1]!unf_fa_scale_SI(Q$41,$M71,q_liq,fw,rp_m3m3,NaK,Ca2_,Mg2_,Ba2_,Sr2_,Cl,SO4_,HCO3_,CO2_mol,$L$60)</f>
        <v>0.26104140523952957</v>
      </c>
      <c r="R71" s="27">
        <f t="array" ref="R71">[1]!unf_fa_scale_SI(R$41,$M71,q_liq,fw,rp_m3m3,NaK,Ca2_,Mg2_,Ba2_,Sr2_,Cl,SO4_,HCO3_,CO2_mol,$L$60)</f>
        <v>8.5805140342293695E-2</v>
      </c>
      <c r="S71" s="27">
        <f t="array" ref="S71">[1]!unf_fa_scale_SI(S$41,$M71,q_liq,fw,rp_m3m3,NaK,Ca2_,Mg2_,Ba2_,Sr2_,Cl,SO4_,HCO3_,CO2_mol,$L$60)</f>
        <v>-9.215213204085182E-2</v>
      </c>
      <c r="T71" s="27">
        <f t="array" ref="T71">[1]!unf_fa_scale_SI(T$41,$M71,q_liq,fw,rp_m3m3,NaK,Ca2_,Mg2_,Ba2_,Sr2_,Cl,SO4_,HCO3_,CO2_mol,$L$60)</f>
        <v>-0.27357525457455145</v>
      </c>
      <c r="U71" s="27">
        <f t="array" ref="U71">[1]!unf_fa_scale_SI(U$41,$M71,q_liq,fw,rp_m3m3,NaK,Ca2_,Mg2_,Ba2_,Sr2_,Cl,SO4_,HCO3_,CO2_mol,$L$60)</f>
        <v>-0.45940741719195111</v>
      </c>
      <c r="V71" s="27">
        <f t="array" ref="V71">[1]!unf_fa_scale_SI(V$41,$M71,q_liq,fw,rp_m3m3,NaK,Ca2_,Mg2_,Ba2_,Sr2_,Cl,SO4_,HCO3_,CO2_mol,$L$60)</f>
        <v>-0.65080130430363192</v>
      </c>
      <c r="W71" s="27">
        <f t="array" ref="W71">[1]!unf_fa_scale_SI(W$41,$M71,q_liq,fw,rp_m3m3,NaK,Ca2_,Mg2_,Ba2_,Sr2_,Cl,SO4_,HCO3_,CO2_mol,$L$60)</f>
        <v>-0.84905310024148217</v>
      </c>
      <c r="X71" s="27">
        <f t="array" ref="X71">[1]!unf_fa_scale_SI(X$41,$M71,q_liq,fw,rp_m3m3,NaK,Ca2_,Mg2_,Ba2_,Sr2_,Cl,SO4_,HCO3_,CO2_mol,$L$60)</f>
        <v>-1.0553244382076548</v>
      </c>
      <c r="Y71" s="27">
        <f t="array" ref="Y71">[1]!unf_fa_scale_SI(Y$41,$M71,q_liq,fw,rp_m3m3,NaK,Ca2_,Mg2_,Ba2_,Sr2_,Cl,SO4_,HCO3_,CO2_mol,$L$60)</f>
        <v>-1.2698583933705079</v>
      </c>
      <c r="Z71" s="27">
        <f t="array" ref="Z71">[1]!unf_fa_scale_SI(Z$41,$M71,q_liq,fw,rp_m3m3,NaK,Ca2_,Mg2_,Ba2_,Sr2_,Cl,SO4_,HCO3_,CO2_mol,$L$60)</f>
        <v>-1.4902026083444475</v>
      </c>
      <c r="AA71" s="27">
        <f t="array" ref="AA71">[1]!unf_fa_scale_SI(AA$41,$M71,q_liq,fw,rp_m3m3,NaK,Ca2_,Mg2_,Ba2_,Sr2_,Cl,SO4_,HCO3_,CO2_mol,$L$60)</f>
        <v>-1.7083195723691966</v>
      </c>
      <c r="AB71" s="27">
        <f t="array" ref="AB71">[1]!unf_fa_scale_SI(AB$41,$M71,q_liq,fw,rp_m3m3,NaK,Ca2_,Mg2_,Ba2_,Sr2_,Cl,SO4_,HCO3_,CO2_mol,$L$60)</f>
        <v>-1.9094727183350797</v>
      </c>
      <c r="AC71" s="28">
        <f t="array" ref="AC71">[1]!unf_fa_scale_SI(AC$41,$M71,q_liq,fw,rp_m3m3,NaK,Ca2_,Mg2_,Ba2_,Sr2_,Cl,SO4_,HCO3_,CO2_mol,$L$60)</f>
        <v>-2.0814237795688051</v>
      </c>
    </row>
    <row r="72" spans="12:29" x14ac:dyDescent="0.2">
      <c r="L72" s="36"/>
      <c r="M72" s="26">
        <v>40</v>
      </c>
      <c r="N72" s="40">
        <f t="array" ref="N72">[1]!unf_fa_scale_SI(N$41,$M72,q_liq,fw,rp_m3m3,NaK,Ca2_,Mg2_,Ba2_,Sr2_,Cl,SO4_,HCO3_,CO2_mol,$L$60)</f>
        <v>0.74918272711670286</v>
      </c>
      <c r="O72" s="27">
        <f t="array" ref="O72">[1]!unf_fa_scale_SI(O$41,$M72,q_liq,fw,rp_m3m3,NaK,Ca2_,Mg2_,Ba2_,Sr2_,Cl,SO4_,HCO3_,CO2_mol,$L$60)</f>
        <v>0.57892594891131144</v>
      </c>
      <c r="P72" s="27">
        <f t="array" ref="P72">[1]!unf_fa_scale_SI(P$41,$M72,q_liq,fw,rp_m3m3,NaK,Ca2_,Mg2_,Ba2_,Sr2_,Cl,SO4_,HCO3_,CO2_mol,$L$60)</f>
        <v>0.40725004271882265</v>
      </c>
      <c r="Q72" s="27">
        <f t="array" ref="Q72">[1]!unf_fa_scale_SI(Q$41,$M72,q_liq,fw,rp_m3m3,NaK,Ca2_,Mg2_,Ba2_,Sr2_,Cl,SO4_,HCO3_,CO2_mol,$L$60)</f>
        <v>0.23377582881580522</v>
      </c>
      <c r="R72" s="27">
        <f t="array" ref="R72">[1]!unf_fa_scale_SI(R$41,$M72,q_liq,fw,rp_m3m3,NaK,Ca2_,Mg2_,Ba2_,Sr2_,Cl,SO4_,HCO3_,CO2_mol,$L$60)</f>
        <v>5.8010835172231767E-2</v>
      </c>
      <c r="S72" s="27">
        <f t="array" ref="S72">[1]!unf_fa_scale_SI(S$41,$M72,q_liq,fw,rp_m3m3,NaK,Ca2_,Mg2_,Ba2_,Sr2_,Cl,SO4_,HCO3_,CO2_mol,$L$60)</f>
        <v>-0.12068505179716177</v>
      </c>
      <c r="T72" s="27">
        <f t="array" ref="T72">[1]!unf_fa_scale_SI(T$41,$M72,q_liq,fw,rp_m3m3,NaK,Ca2_,Mg2_,Ba2_,Sr2_,Cl,SO4_,HCO3_,CO2_mol,$L$60)</f>
        <v>-0.30313968495086802</v>
      </c>
      <c r="U72" s="27">
        <f t="array" ref="U72">[1]!unf_fa_scale_SI(U$41,$M72,q_liq,fw,rp_m3m3,NaK,Ca2_,Mg2_,Ba2_,Sr2_,Cl,SO4_,HCO3_,CO2_mol,$L$60)</f>
        <v>-0.49040673720684363</v>
      </c>
      <c r="V72" s="27">
        <f t="array" ref="V72">[1]!unf_fa_scale_SI(V$41,$M72,q_liq,fw,rp_m3m3,NaK,Ca2_,Mg2_,Ba2_,Sr2_,Cl,SO4_,HCO3_,CO2_mol,$L$60)</f>
        <v>-0.68377709426070932</v>
      </c>
      <c r="W72" s="27">
        <f t="array" ref="W72">[1]!unf_fa_scale_SI(W$41,$M72,q_liq,fw,rp_m3m3,NaK,Ca2_,Mg2_,Ba2_,Sr2_,Cl,SO4_,HCO3_,CO2_mol,$L$60)</f>
        <v>-0.88469679160963732</v>
      </c>
      <c r="X72" s="27">
        <f t="array" ref="X72">[1]!unf_fa_scale_SI(X$41,$M72,q_liq,fw,rp_m3m3,NaK,Ca2_,Mg2_,Ba2_,Sr2_,Cl,SO4_,HCO3_,CO2_mol,$L$60)</f>
        <v>-1.094427114973914</v>
      </c>
      <c r="Y72" s="27">
        <f t="array" ref="Y72">[1]!unf_fa_scale_SI(Y$41,$M72,q_liq,fw,rp_m3m3,NaK,Ca2_,Mg2_,Ba2_,Sr2_,Cl,SO4_,HCO3_,CO2_mol,$L$60)</f>
        <v>-1.3130882440604403</v>
      </c>
      <c r="Z72" s="27">
        <f t="array" ref="Z72">[1]!unf_fa_scale_SI(Z$41,$M72,q_liq,fw,rp_m3m3,NaK,Ca2_,Mg2_,Ba2_,Sr2_,Cl,SO4_,HCO3_,CO2_mol,$L$60)</f>
        <v>-1.5375074886705247</v>
      </c>
      <c r="AA72" s="27">
        <f t="array" ref="AA72">[1]!unf_fa_scale_SI(AA$41,$M72,q_liq,fw,rp_m3m3,NaK,Ca2_,Mg2_,Ba2_,Sr2_,Cl,SO4_,HCO3_,CO2_mol,$L$60)</f>
        <v>-1.7578644306089366</v>
      </c>
      <c r="AB72" s="27">
        <f t="array" ref="AB72">[1]!unf_fa_scale_SI(AB$41,$M72,q_liq,fw,rp_m3m3,NaK,Ca2_,Mg2_,Ba2_,Sr2_,Cl,SO4_,HCO3_,CO2_mol,$L$60)</f>
        <v>-1.9571224007691628</v>
      </c>
      <c r="AC72" s="28">
        <f t="array" ref="AC72">[1]!unf_fa_scale_SI(AC$41,$M72,q_liq,fw,rp_m3m3,NaK,Ca2_,Mg2_,Ba2_,Sr2_,Cl,SO4_,HCO3_,CO2_mol,$L$60)</f>
        <v>-2.1232478924858551</v>
      </c>
    </row>
    <row r="73" spans="12:29" x14ac:dyDescent="0.2">
      <c r="L73" s="36"/>
      <c r="M73" s="26">
        <v>45</v>
      </c>
      <c r="N73" s="40">
        <f t="array" ref="N73">[1]!unf_fa_scale_SI(N$41,$M73,q_liq,fw,rp_m3m3,NaK,Ca2_,Mg2_,Ba2_,Sr2_,Cl,SO4_,HCO3_,CO2_mol,$L$60)</f>
        <v>0.72427724931790871</v>
      </c>
      <c r="O73" s="27">
        <f t="array" ref="O73">[1]!unf_fa_scale_SI(O$41,$M73,q_liq,fw,rp_m3m3,NaK,Ca2_,Mg2_,Ba2_,Sr2_,Cl,SO4_,HCO3_,CO2_mol,$L$60)</f>
        <v>0.55383796827020071</v>
      </c>
      <c r="P73" s="27">
        <f t="array" ref="P73">[1]!unf_fa_scale_SI(P$41,$M73,q_liq,fw,rp_m3m3,NaK,Ca2_,Mg2_,Ba2_,Sr2_,Cl,SO4_,HCO3_,CO2_mol,$L$60)</f>
        <v>0.38190977249822755</v>
      </c>
      <c r="Q73" s="27">
        <f t="array" ref="Q73">[1]!unf_fa_scale_SI(Q$41,$M73,q_liq,fw,rp_m3m3,NaK,Ca2_,Mg2_,Ba2_,Sr2_,Cl,SO4_,HCO3_,CO2_mol,$L$60)</f>
        <v>0.20808496409827948</v>
      </c>
      <c r="R73" s="27">
        <f t="array" ref="R73">[1]!unf_fa_scale_SI(R$41,$M73,q_liq,fw,rp_m3m3,NaK,Ca2_,Mg2_,Ba2_,Sr2_,Cl,SO4_,HCO3_,CO2_mol,$L$60)</f>
        <v>3.1830861486304651E-2</v>
      </c>
      <c r="S73" s="27">
        <f t="array" ref="S73">[1]!unf_fa_scale_SI(S$41,$M73,q_liq,fw,rp_m3m3,NaK,Ca2_,Mg2_,Ba2_,Sr2_,Cl,SO4_,HCO3_,CO2_mol,$L$60)</f>
        <v>-0.14754884537467972</v>
      </c>
      <c r="T73" s="27">
        <f t="array" ref="T73">[1]!unf_fa_scale_SI(T$41,$M73,q_liq,fw,rp_m3m3,NaK,Ca2_,Mg2_,Ba2_,Sr2_,Cl,SO4_,HCO3_,CO2_mol,$L$60)</f>
        <v>-0.33095925942034932</v>
      </c>
      <c r="U73" s="27">
        <f t="array" ref="U73">[1]!unf_fa_scale_SI(U$41,$M73,q_liq,fw,rp_m3m3,NaK,Ca2_,Mg2_,Ba2_,Sr2_,Cl,SO4_,HCO3_,CO2_mol,$L$60)</f>
        <v>-0.51955697552319091</v>
      </c>
      <c r="V73" s="27">
        <f t="array" ref="V73">[1]!unf_fa_scale_SI(V$41,$M73,q_liq,fw,rp_m3m3,NaK,Ca2_,Mg2_,Ba2_,Sr2_,Cl,SO4_,HCO3_,CO2_mol,$L$60)</f>
        <v>-0.71476161822039064</v>
      </c>
      <c r="W73" s="27">
        <f t="array" ref="W73">[1]!unf_fa_scale_SI(W$41,$M73,q_liq,fw,rp_m3m3,NaK,Ca2_,Mg2_,Ba2_,Sr2_,Cl,SO4_,HCO3_,CO2_mol,$L$60)</f>
        <v>-0.91815805741527856</v>
      </c>
      <c r="X73" s="27">
        <f t="array" ref="X73">[1]!unf_fa_scale_SI(X$41,$M73,q_liq,fw,rp_m3m3,NaK,Ca2_,Mg2_,Ba2_,Sr2_,Cl,SO4_,HCO3_,CO2_mol,$L$60)</f>
        <v>-1.1310955564959355</v>
      </c>
      <c r="Y73" s="27">
        <f t="array" ref="Y73">[1]!unf_fa_scale_SI(Y$41,$M73,q_liq,fw,rp_m3m3,NaK,Ca2_,Mg2_,Ba2_,Sr2_,Cl,SO4_,HCO3_,CO2_mol,$L$60)</f>
        <v>-1.3535599305594539</v>
      </c>
      <c r="Z73" s="27">
        <f t="array" ref="Z73">[1]!unf_fa_scale_SI(Z$41,$M73,q_liq,fw,rp_m3m3,NaK,Ca2_,Mg2_,Ba2_,Sr2_,Cl,SO4_,HCO3_,CO2_mol,$L$60)</f>
        <v>-1.5816497893297661</v>
      </c>
      <c r="AA73" s="27">
        <f t="array" ref="AA73">[1]!unf_fa_scale_SI(AA$41,$M73,q_liq,fw,rp_m3m3,NaK,Ca2_,Mg2_,Ba2_,Sr2_,Cl,SO4_,HCO3_,CO2_mol,$L$60)</f>
        <v>-1.803796941631695</v>
      </c>
      <c r="AB73" s="27">
        <f t="array" ref="AB73">[1]!unf_fa_scale_SI(AB$41,$M73,q_liq,fw,rp_m3m3,NaK,Ca2_,Mg2_,Ba2_,Sr2_,Cl,SO4_,HCO3_,CO2_mol,$L$60)</f>
        <v>-2.0009168572047162</v>
      </c>
      <c r="AC73" s="28">
        <f t="array" ref="AC73">[1]!unf_fa_scale_SI(AC$41,$M73,q_liq,fw,rp_m3m3,NaK,Ca2_,Mg2_,Ba2_,Sr2_,Cl,SO4_,HCO3_,CO2_mol,$L$60)</f>
        <v>-2.1616538547201638</v>
      </c>
    </row>
    <row r="74" spans="12:29" x14ac:dyDescent="0.2">
      <c r="L74" s="36"/>
      <c r="M74" s="26">
        <v>50</v>
      </c>
      <c r="N74" s="40">
        <f t="array" ref="N74">[1]!unf_fa_scale_SI(N$41,$M74,q_liq,fw,rp_m3m3,NaK,Ca2_,Mg2_,Ba2_,Sr2_,Cl,SO4_,HCO3_,CO2_mol,$L$60)</f>
        <v>0.7008752962561845</v>
      </c>
      <c r="O74" s="27">
        <f t="array" ref="O74">[1]!unf_fa_scale_SI(O$41,$M74,q_liq,fw,rp_m3m3,NaK,Ca2_,Mg2_,Ba2_,Sr2_,Cl,SO4_,HCO3_,CO2_mol,$L$60)</f>
        <v>0.53026661520573615</v>
      </c>
      <c r="P74" s="27">
        <f t="array" ref="P74">[1]!unf_fa_scale_SI(P$41,$M74,q_liq,fw,rp_m3m3,NaK,Ca2_,Mg2_,Ba2_,Sr2_,Cl,SO4_,HCO3_,CO2_mol,$L$60)</f>
        <v>0.35810401662456981</v>
      </c>
      <c r="Q74" s="27">
        <f t="array" ref="Q74">[1]!unf_fa_scale_SI(Q$41,$M74,q_liq,fw,rp_m3m3,NaK,Ca2_,Mg2_,Ba2_,Sr2_,Cl,SO4_,HCO3_,CO2_mol,$L$60)</f>
        <v>0.18395316593627753</v>
      </c>
      <c r="R74" s="27">
        <f t="array" ref="R74">[1]!unf_fa_scale_SI(R$41,$M74,q_liq,fw,rp_m3m3,NaK,Ca2_,Mg2_,Ba2_,Sr2_,Cl,SO4_,HCO3_,CO2_mol,$L$60)</f>
        <v>7.2437907989467698E-3</v>
      </c>
      <c r="S74" s="27">
        <f t="array" ref="S74">[1]!unf_fa_scale_SI(S$41,$M74,q_liq,fw,rp_m3m3,NaK,Ca2_,Mg2_,Ba2_,Sr2_,Cl,SO4_,HCO3_,CO2_mol,$L$60)</f>
        <v>-0.17277301162567948</v>
      </c>
      <c r="T74" s="27">
        <f t="array" ref="T74">[1]!unf_fa_scale_SI(T$41,$M74,q_liq,fw,rp_m3m3,NaK,Ca2_,Mg2_,Ba2_,Sr2_,Cl,SO4_,HCO3_,CO2_mol,$L$60)</f>
        <v>-0.35707473103652509</v>
      </c>
      <c r="U74" s="27">
        <f t="array" ref="U74">[1]!unf_fa_scale_SI(U$41,$M74,q_liq,fw,rp_m3m3,NaK,Ca2_,Mg2_,Ba2_,Sr2_,Cl,SO4_,HCO3_,CO2_mol,$L$60)</f>
        <v>-0.54691452884272651</v>
      </c>
      <c r="V74" s="27">
        <f t="array" ref="V74">[1]!unf_fa_scale_SI(V$41,$M74,q_liq,fw,rp_m3m3,NaK,Ca2_,Mg2_,Ba2_,Sr2_,Cl,SO4_,HCO3_,CO2_mol,$L$60)</f>
        <v>-0.74383288861237462</v>
      </c>
      <c r="W74" s="27">
        <f t="array" ref="W74">[1]!unf_fa_scale_SI(W$41,$M74,q_liq,fw,rp_m3m3,NaK,Ca2_,Mg2_,Ba2_,Sr2_,Cl,SO4_,HCO3_,CO2_mol,$L$60)</f>
        <v>-0.94954453429719288</v>
      </c>
      <c r="X74" s="27">
        <f t="array" ref="X74">[1]!unf_fa_scale_SI(X$41,$M74,q_liq,fw,rp_m3m3,NaK,Ca2_,Mg2_,Ba2_,Sr2_,Cl,SO4_,HCO3_,CO2_mol,$L$60)</f>
        <v>-1.165477670262157</v>
      </c>
      <c r="Y74" s="27">
        <f t="array" ref="Y74">[1]!unf_fa_scale_SI(Y$41,$M74,q_liq,fw,rp_m3m3,NaK,Ca2_,Mg2_,Ba2_,Sr2_,Cl,SO4_,HCO3_,CO2_mol,$L$60)</f>
        <v>-1.3914759133355015</v>
      </c>
      <c r="Z74" s="27">
        <f t="array" ref="Z74">[1]!unf_fa_scale_SI(Z$41,$M74,q_liq,fw,rp_m3m3,NaK,Ca2_,Mg2_,Ba2_,Sr2_,Cl,SO4_,HCO3_,CO2_mol,$L$60)</f>
        <v>-1.6229061410377592</v>
      </c>
      <c r="AA74" s="27">
        <f t="array" ref="AA74">[1]!unf_fa_scale_SI(AA$41,$M74,q_liq,fw,rp_m3m3,NaK,Ca2_,Mg2_,Ba2_,Sr2_,Cl,SO4_,HCO3_,CO2_mol,$L$60)</f>
        <v>-1.8464929834665855</v>
      </c>
      <c r="AB74" s="27">
        <f t="array" ref="AB74">[1]!unf_fa_scale_SI(AB$41,$M74,q_liq,fw,rp_m3m3,NaK,Ca2_,Mg2_,Ba2_,Sr2_,Cl,SO4_,HCO3_,CO2_mol,$L$60)</f>
        <v>-2.041336666896608</v>
      </c>
      <c r="AC74" s="28">
        <f t="array" ref="AC74">[1]!unf_fa_scale_SI(AC$41,$M74,q_liq,fw,rp_m3m3,NaK,Ca2_,Mg2_,Ba2_,Sr2_,Cl,SO4_,HCO3_,CO2_mol,$L$60)</f>
        <v>-2.197118417378809</v>
      </c>
    </row>
    <row r="75" spans="12:29" x14ac:dyDescent="0.2">
      <c r="L75" s="36"/>
      <c r="M75" s="26">
        <v>55</v>
      </c>
      <c r="N75" s="40">
        <f t="array" ref="N75">[1]!unf_fa_scale_SI(N$41,$M75,q_liq,fw,rp_m3m3,NaK,Ca2_,Mg2_,Ba2_,Sr2_,Cl,SO4_,HCO3_,CO2_mol,$L$60)</f>
        <v>0.67897185707181162</v>
      </c>
      <c r="O75" s="27">
        <f t="array" ref="O75">[1]!unf_fa_scale_SI(O$41,$M75,q_liq,fw,rp_m3m3,NaK,Ca2_,Mg2_,Ba2_,Sr2_,Cl,SO4_,HCO3_,CO2_mol,$L$60)</f>
        <v>0.50820519316591095</v>
      </c>
      <c r="P75" s="27">
        <f t="array" ref="P75">[1]!unf_fa_scale_SI(P$41,$M75,q_liq,fw,rp_m3m3,NaK,Ca2_,Mg2_,Ba2_,Sr2_,Cl,SO4_,HCO3_,CO2_mol,$L$60)</f>
        <v>0.33582375438754186</v>
      </c>
      <c r="Q75" s="27">
        <f t="array" ref="Q75">[1]!unf_fa_scale_SI(Q$41,$M75,q_liq,fw,rp_m3m3,NaK,Ca2_,Mg2_,Ba2_,Sr2_,Cl,SO4_,HCO3_,CO2_mol,$L$60)</f>
        <v>0.16136819363471988</v>
      </c>
      <c r="R75" s="27">
        <f t="array" ref="R75">[1]!unf_fa_scale_SI(R$41,$M75,q_liq,fw,rp_m3m3,NaK,Ca2_,Mg2_,Ba2_,Sr2_,Cl,SO4_,HCO3_,CO2_mol,$L$60)</f>
        <v>-1.5767093760832407E-2</v>
      </c>
      <c r="S75" s="27">
        <f t="array" ref="S75">[1]!unf_fa_scale_SI(S$41,$M75,q_liq,fw,rp_m3m3,NaK,Ca2_,Mg2_,Ba2_,Sr2_,Cl,SO4_,HCO3_,CO2_mol,$L$60)</f>
        <v>-0.19638049960044934</v>
      </c>
      <c r="T75" s="27">
        <f t="array" ref="T75">[1]!unf_fa_scale_SI(T$41,$M75,q_liq,fw,rp_m3m3,NaK,Ca2_,Mg2_,Ba2_,Sr2_,Cl,SO4_,HCO3_,CO2_mol,$L$60)</f>
        <v>-0.38151772015231622</v>
      </c>
      <c r="U75" s="27">
        <f t="array" ref="U75">[1]!unf_fa_scale_SI(U$41,$M75,q_liq,fw,rp_m3m3,NaK,Ca2_,Mg2_,Ba2_,Sr2_,Cl,SO4_,HCO3_,CO2_mol,$L$60)</f>
        <v>-0.57252304235405849</v>
      </c>
      <c r="V75" s="27">
        <f t="array" ref="V75">[1]!unf_fa_scale_SI(V$41,$M75,q_liq,fw,rp_m3m3,NaK,Ca2_,Mg2_,Ba2_,Sr2_,Cl,SO4_,HCO3_,CO2_mol,$L$60)</f>
        <v>-0.77105112166448142</v>
      </c>
      <c r="W75" s="27">
        <f t="array" ref="W75">[1]!unf_fa_scale_SI(W$41,$M75,q_liq,fw,rp_m3m3,NaK,Ca2_,Mg2_,Ba2_,Sr2_,Cl,SO4_,HCO3_,CO2_mol,$L$60)</f>
        <v>-0.97893907658041912</v>
      </c>
      <c r="X75" s="27">
        <f t="array" ref="X75">[1]!unf_fa_scale_SI(X$41,$M75,q_liq,fw,rp_m3m3,NaK,Ca2_,Mg2_,Ba2_,Sr2_,Cl,SO4_,HCO3_,CO2_mol,$L$60)</f>
        <v>-1.1976869672842891</v>
      </c>
      <c r="Y75" s="27">
        <f t="array" ref="Y75">[1]!unf_fa_scale_SI(Y$41,$M75,q_liq,fw,rp_m3m3,NaK,Ca2_,Mg2_,Ba2_,Sr2_,Cl,SO4_,HCO3_,CO2_mol,$L$60)</f>
        <v>-1.4269910534692933</v>
      </c>
      <c r="Z75" s="27">
        <f t="array" ref="Z75">[1]!unf_fa_scale_SI(Z$41,$M75,q_liq,fw,rp_m3m3,NaK,Ca2_,Mg2_,Ba2_,Sr2_,Cl,SO4_,HCO3_,CO2_mol,$L$60)</f>
        <v>-1.6614873013456251</v>
      </c>
      <c r="AA75" s="27">
        <f t="array" ref="AA75">[1]!unf_fa_scale_SI(AA$41,$M75,q_liq,fw,rp_m3m3,NaK,Ca2_,Mg2_,Ba2_,Sr2_,Cl,SO4_,HCO3_,CO2_mol,$L$60)</f>
        <v>-1.8862367872215882</v>
      </c>
      <c r="AB75" s="27">
        <f t="array" ref="AB75">[1]!unf_fa_scale_SI(AB$41,$M75,q_liq,fw,rp_m3m3,NaK,Ca2_,Mg2_,Ba2_,Sr2_,Cl,SO4_,HCO3_,CO2_mol,$L$60)</f>
        <v>-2.0787367193377921</v>
      </c>
      <c r="AC75" s="28">
        <f t="array" ref="AC75">[1]!unf_fa_scale_SI(AC$41,$M75,q_liq,fw,rp_m3m3,NaK,Ca2_,Mg2_,Ba2_,Sr2_,Cl,SO4_,HCO3_,CO2_mol,$L$60)</f>
        <v>-2.2299742212877454</v>
      </c>
    </row>
    <row r="76" spans="12:29" x14ac:dyDescent="0.2">
      <c r="L76" s="36"/>
      <c r="M76" s="26">
        <v>60</v>
      </c>
      <c r="N76" s="40">
        <f t="array" ref="N76">[1]!unf_fa_scale_SI(N$41,$M76,q_liq,fw,rp_m3m3,NaK,Ca2_,Mg2_,Ba2_,Sr2_,Cl,SO4_,HCO3_,CO2_mol,$L$60)</f>
        <v>0.65856288664259832</v>
      </c>
      <c r="O76" s="27">
        <f t="array" ref="O76">[1]!unf_fa_scale_SI(O$41,$M76,q_liq,fw,rp_m3m3,NaK,Ca2_,Mg2_,Ba2_,Sr2_,Cl,SO4_,HCO3_,CO2_mol,$L$60)</f>
        <v>0.4876483106557632</v>
      </c>
      <c r="P76" s="27">
        <f t="array" ref="P76">[1]!unf_fa_scale_SI(P$41,$M76,q_liq,fw,rp_m3m3,NaK,Ca2_,Mg2_,Ba2_,Sr2_,Cl,SO4_,HCO3_,CO2_mol,$L$60)</f>
        <v>0.31506174218399852</v>
      </c>
      <c r="Q76" s="27">
        <f t="array" ref="Q76">[1]!unf_fa_scale_SI(Q$41,$M76,q_liq,fw,rp_m3m3,NaK,Ca2_,Mg2_,Ba2_,Sr2_,Cl,SO4_,HCO3_,CO2_mol,$L$60)</f>
        <v>0.14032024309488134</v>
      </c>
      <c r="R76" s="27">
        <f t="array" ref="R76">[1]!unf_fa_scale_SI(R$41,$M76,q_liq,fw,rp_m3m3,NaK,Ca2_,Mg2_,Ba2_,Sr2_,Cl,SO4_,HCO3_,CO2_mol,$L$60)</f>
        <v>-3.7215148466893888E-2</v>
      </c>
      <c r="S76" s="27">
        <f t="array" ref="S76">[1]!unf_fa_scale_SI(S$41,$M76,q_liq,fw,rp_m3m3,NaK,Ca2_,Mg2_,Ba2_,Sr2_,Cl,SO4_,HCO3_,CO2_mol,$L$60)</f>
        <v>-0.2183896015405169</v>
      </c>
      <c r="T76" s="27">
        <f t="array" ref="T76">[1]!unf_fa_scale_SI(T$41,$M76,q_liq,fw,rp_m3m3,NaK,Ca2_,Mg2_,Ba2_,Sr2_,Cl,SO4_,HCO3_,CO2_mol,$L$60)</f>
        <v>-0.40431337318579297</v>
      </c>
      <c r="U76" s="27">
        <f t="array" ref="U76">[1]!unf_fa_scale_SI(U$41,$M76,q_liq,fw,rp_m3m3,NaK,Ca2_,Mg2_,Ba2_,Sr2_,Cl,SO4_,HCO3_,CO2_mol,$L$60)</f>
        <v>-0.59641714721070382</v>
      </c>
      <c r="V76" s="27">
        <f t="array" ref="V76">[1]!unf_fa_scale_SI(V$41,$M76,q_liq,fw,rp_m3m3,NaK,Ca2_,Mg2_,Ba2_,Sr2_,Cl,SO4_,HCO3_,CO2_mol,$L$60)</f>
        <v>-0.79646398687308051</v>
      </c>
      <c r="W76" s="27">
        <f t="array" ref="W76">[1]!unf_fa_scale_SI(W$41,$M76,q_liq,fw,rp_m3m3,NaK,Ca2_,Mg2_,Ba2_,Sr2_,Cl,SO4_,HCO3_,CO2_mol,$L$60)</f>
        <v>-1.0064071114570212</v>
      </c>
      <c r="X76" s="27">
        <f t="array" ref="X76">[1]!unf_fa_scale_SI(X$41,$M76,q_liq,fw,rp_m3m3,NaK,Ca2_,Mg2_,Ba2_,Sr2_,Cl,SO4_,HCO3_,CO2_mol,$L$60)</f>
        <v>-1.2278128314858257</v>
      </c>
      <c r="Y76" s="27">
        <f t="array" ref="Y76">[1]!unf_fa_scale_SI(Y$41,$M76,q_liq,fw,rp_m3m3,NaK,Ca2_,Mg2_,Ba2_,Sr2_,Cl,SO4_,HCO3_,CO2_mol,$L$60)</f>
        <v>-1.4602269046691272</v>
      </c>
      <c r="Z76" s="27">
        <f t="array" ref="Z76">[1]!unf_fa_scale_SI(Z$41,$M76,q_liq,fw,rp_m3m3,NaK,Ca2_,Mg2_,Ba2_,Sr2_,Cl,SO4_,HCO3_,CO2_mol,$L$60)</f>
        <v>-1.6975580409689457</v>
      </c>
      <c r="AA76" s="27">
        <f t="array" ref="AA76">[1]!unf_fa_scale_SI(AA$41,$M76,q_liq,fw,rp_m3m3,NaK,Ca2_,Mg2_,Ba2_,Sr2_,Cl,SO4_,HCO3_,CO2_mol,$L$60)</f>
        <v>-1.9232488199320714</v>
      </c>
      <c r="AB76" s="27">
        <f t="array" ref="AB76">[1]!unf_fa_scale_SI(AB$41,$M76,q_liq,fw,rp_m3m3,NaK,Ca2_,Mg2_,Ba2_,Sr2_,Cl,SO4_,HCO3_,CO2_mol,$L$60)</f>
        <v>-2.1133857053210727</v>
      </c>
      <c r="AC76" s="28">
        <f t="array" ref="AC76">[1]!unf_fa_scale_SI(AC$41,$M76,q_liq,fw,rp_m3m3,NaK,Ca2_,Mg2_,Ba2_,Sr2_,Cl,SO4_,HCO3_,CO2_mol,$L$60)</f>
        <v>-2.2604598811202496</v>
      </c>
    </row>
    <row r="77" spans="12:29" x14ac:dyDescent="0.2">
      <c r="L77" s="36"/>
      <c r="M77" s="26">
        <v>65</v>
      </c>
      <c r="N77" s="40">
        <f t="array" ref="N77">[1]!unf_fa_scale_SI(N$41,$M77,q_liq,fw,rp_m3m3,NaK,Ca2_,Mg2_,Ba2_,Sr2_,Cl,SO4_,HCO3_,CO2_mol,$L$60)</f>
        <v>0.6396450600924537</v>
      </c>
      <c r="O77" s="27">
        <f t="array" ref="O77">[1]!unf_fa_scale_SI(O$41,$M77,q_liq,fw,rp_m3m3,NaK,Ca2_,Mg2_,Ba2_,Sr2_,Cl,SO4_,HCO3_,CO2_mol,$L$60)</f>
        <v>0.46859154614234555</v>
      </c>
      <c r="P77" s="27">
        <f t="array" ref="P77">[1]!unf_fa_scale_SI(P$41,$M77,q_liq,fw,rp_m3m3,NaK,Ca2_,Mg2_,Ba2_,Sr2_,Cl,SO4_,HCO3_,CO2_mol,$L$60)</f>
        <v>0.29581205283310696</v>
      </c>
      <c r="Q77" s="27">
        <f t="array" ref="Q77">[1]!unf_fa_scale_SI(Q$41,$M77,q_liq,fw,rp_m3m3,NaK,Ca2_,Mg2_,Ba2_,Sr2_,Cl,SO4_,HCO3_,CO2_mol,$L$60)</f>
        <v>0.12080130946310641</v>
      </c>
      <c r="R77" s="27">
        <f t="array" ref="R77">[1]!unf_fa_scale_SI(R$41,$M77,q_liq,fw,rp_m3m3,NaK,Ca2_,Mg2_,Ba2_,Sr2_,Cl,SO4_,HCO3_,CO2_mol,$L$60)</f>
        <v>-5.7111255441163244E-2</v>
      </c>
      <c r="S77" s="27">
        <f t="array" ref="S77">[1]!unf_fa_scale_SI(S$41,$M77,q_liq,fw,rp_m3m3,NaK,Ca2_,Mg2_,Ba2_,Sr2_,Cl,SO4_,HCO3_,CO2_mol,$L$60)</f>
        <v>-0.23881519082614777</v>
      </c>
      <c r="T77" s="27">
        <f t="array" ref="T77">[1]!unf_fa_scale_SI(T$41,$M77,q_liq,fw,rp_m3m3,NaK,Ca2_,Mg2_,Ba2_,Sr2_,Cl,SO4_,HCO3_,CO2_mol,$L$60)</f>
        <v>-0.42548209611910626</v>
      </c>
      <c r="U77" s="27">
        <f t="array" ref="U77">[1]!unf_fa_scale_SI(U$41,$M77,q_liq,fw,rp_m3m3,NaK,Ca2_,Mg2_,Ba2_,Sr2_,Cl,SO4_,HCO3_,CO2_mol,$L$60)</f>
        <v>-0.61862489063673354</v>
      </c>
      <c r="V77" s="27">
        <f t="array" ref="V77">[1]!unf_fa_scale_SI(V$41,$M77,q_liq,fw,rp_m3m3,NaK,Ca2_,Mg2_,Ba2_,Sr2_,Cl,SO4_,HCO3_,CO2_mol,$L$60)</f>
        <v>-0.820110011549533</v>
      </c>
      <c r="W77" s="27">
        <f t="array" ref="W77">[1]!unf_fa_scale_SI(W$41,$M77,q_liq,fw,rp_m3m3,NaK,Ca2_,Mg2_,Ba2_,Sr2_,Cl,SO4_,HCO3_,CO2_mol,$L$60)</f>
        <v>-1.0320013979482883</v>
      </c>
      <c r="X77" s="27">
        <f t="array" ref="X77">[1]!unf_fa_scale_SI(X$41,$M77,q_liq,fw,rp_m3m3,NaK,Ca2_,Mg2_,Ba2_,Sr2_,Cl,SO4_,HCO3_,CO2_mol,$L$60)</f>
        <v>-1.2559271496574911</v>
      </c>
      <c r="Y77" s="27">
        <f t="array" ref="Y77">[1]!unf_fa_scale_SI(Y$41,$M77,q_liq,fw,rp_m3m3,NaK,Ca2_,Mg2_,Ba2_,Sr2_,Cl,SO4_,HCO3_,CO2_mol,$L$60)</f>
        <v>-1.4912809218770526</v>
      </c>
      <c r="Z77" s="27">
        <f t="array" ref="Z77">[1]!unf_fa_scale_SI(Z$41,$M77,q_liq,fw,rp_m3m3,NaK,Ca2_,Mg2_,Ba2_,Sr2_,Cl,SO4_,HCO3_,CO2_mol,$L$60)</f>
        <v>-1.7312499353985333</v>
      </c>
      <c r="AA77" s="27">
        <f t="array" ref="AA77">[1]!unf_fa_scale_SI(AA$41,$M77,q_liq,fw,rp_m3m3,NaK,Ca2_,Mg2_,Ba2_,Sr2_,Cl,SO4_,HCO3_,CO2_mol,$L$60)</f>
        <v>-1.9577036939693704</v>
      </c>
      <c r="AB77" s="27">
        <f t="array" ref="AB77">[1]!unf_fa_scale_SI(AB$41,$M77,q_liq,fw,rp_m3m3,NaK,Ca2_,Mg2_,Ba2_,Sr2_,Cl,SO4_,HCO3_,CO2_mol,$L$60)</f>
        <v>-2.1454912986360095</v>
      </c>
      <c r="AC77" s="28">
        <f t="array" ref="AC77">[1]!unf_fa_scale_SI(AC$41,$M77,q_liq,fw,rp_m3m3,NaK,Ca2_,Mg2_,Ba2_,Sr2_,Cl,SO4_,HCO3_,CO2_mol,$L$60)</f>
        <v>-2.2887506421734023</v>
      </c>
    </row>
    <row r="78" spans="12:29" x14ac:dyDescent="0.2">
      <c r="L78" s="37"/>
      <c r="M78" s="29">
        <v>70</v>
      </c>
      <c r="N78" s="41">
        <f t="array" ref="N78">[1]!unf_fa_scale_SI(N$41,$M78,q_liq,fw,rp_m3m3,NaK,Ca2_,Mg2_,Ba2_,Sr2_,Cl,SO4_,HCO3_,CO2_mol,$L$60)</f>
        <v>0.62221560295716449</v>
      </c>
      <c r="O78" s="30">
        <f t="array" ref="O78">[1]!unf_fa_scale_SI(O$41,$M78,q_liq,fw,rp_m3m3,NaK,Ca2_,Mg2_,Ba2_,Sr2_,Cl,SO4_,HCO3_,CO2_mol,$L$60)</f>
        <v>0.45103121714574879</v>
      </c>
      <c r="P78" s="30">
        <f t="array" ref="P78">[1]!unf_fa_scale_SI(P$41,$M78,q_liq,fw,rp_m3m3,NaK,Ca2_,Mg2_,Ba2_,Sr2_,Cl,SO4_,HCO3_,CO2_mol,$L$60)</f>
        <v>0.27806975930936517</v>
      </c>
      <c r="Q78" s="30">
        <f t="array" ref="Q78">[1]!unf_fa_scale_SI(Q$41,$M78,q_liq,fw,rp_m3m3,NaK,Ca2_,Mg2_,Ba2_,Sr2_,Cl,SO4_,HCO3_,CO2_mol,$L$60)</f>
        <v>0.10280475110437848</v>
      </c>
      <c r="R78" s="30">
        <f t="array" ref="R78">[1]!unf_fa_scale_SI(R$41,$M78,q_liq,fw,rp_m3m3,NaK,Ca2_,Mg2_,Ba2_,Sr2_,Cl,SO4_,HCO3_,CO2_mol,$L$60)</f>
        <v>-7.5464427135590539E-2</v>
      </c>
      <c r="S78" s="30">
        <f t="array" ref="S78">[1]!unf_fa_scale_SI(S$41,$M78,q_liq,fw,rp_m3m3,NaK,Ca2_,Mg2_,Ba2_,Sr2_,Cl,SO4_,HCO3_,CO2_mol,$L$60)</f>
        <v>-0.257669563650608</v>
      </c>
      <c r="T78" s="30">
        <f t="array" ref="T78">[1]!unf_fa_scale_SI(T$41,$M78,q_liq,fw,rp_m3m3,NaK,Ca2_,Mg2_,Ba2_,Sr2_,Cl,SO4_,HCO3_,CO2_mol,$L$60)</f>
        <v>-0.44504072988638865</v>
      </c>
      <c r="U78" s="30">
        <f t="array" ref="U78">[1]!unf_fa_scale_SI(U$41,$M78,q_liq,fw,rp_m3m3,NaK,Ca2_,Mg2_,Ba2_,Sr2_,Cl,SO4_,HCO3_,CO2_mol,$L$60)</f>
        <v>-0.63916937950734787</v>
      </c>
      <c r="V78" s="30">
        <f t="array" ref="V78">[1]!unf_fa_scale_SI(V$41,$M78,q_liq,fw,rp_m3m3,NaK,Ca2_,Mg2_,Ba2_,Sr2_,Cl,SO4_,HCO3_,CO2_mol,$L$60)</f>
        <v>-0.84202087807566406</v>
      </c>
      <c r="W78" s="30">
        <f t="array" ref="W78">[1]!unf_fa_scale_SI(W$41,$M78,q_liq,fw,rp_m3m3,NaK,Ca2_,Mg2_,Ba2_,Sr2_,Cl,SO4_,HCO3_,CO2_mol,$L$60)</f>
        <v>-1.0557652310173313</v>
      </c>
      <c r="X78" s="30">
        <f t="array" ref="X78">[1]!unf_fa_scale_SI(X$41,$M78,q_liq,fw,rp_m3m3,NaK,Ca2_,Mg2_,Ba2_,Sr2_,Cl,SO4_,HCO3_,CO2_mol,$L$60)</f>
        <v>-1.282088766056245</v>
      </c>
      <c r="Y78" s="30">
        <f t="array" ref="Y78">[1]!unf_fa_scale_SI(Y$41,$M78,q_liq,fw,rp_m3m3,NaK,Ca2_,Mg2_,Ba2_,Sr2_,Cl,SO4_,HCO3_,CO2_mol,$L$60)</f>
        <v>-1.5202326366990235</v>
      </c>
      <c r="Z78" s="30">
        <f t="array" ref="Z78">[1]!unf_fa_scale_SI(Z$41,$M78,q_liq,fw,rp_m3m3,NaK,Ca2_,Mg2_,Ba2_,Sr2_,Cl,SO4_,HCO3_,CO2_mol,$L$60)</f>
        <v>-1.7626699290890793</v>
      </c>
      <c r="AA78" s="30">
        <f t="array" ref="AA78">[1]!unf_fa_scale_SI(AA$41,$M78,q_liq,fw,rp_m3m3,NaK,Ca2_,Mg2_,Ba2_,Sr2_,Cl,SO4_,HCO3_,CO2_mol,$L$60)</f>
        <v>-1.9897421378304347</v>
      </c>
      <c r="AB78" s="30">
        <f t="array" ref="AB78">[1]!unf_fa_scale_SI(AB$41,$M78,q_liq,fw,rp_m3m3,NaK,Ca2_,Mg2_,Ba2_,Sr2_,Cl,SO4_,HCO3_,CO2_mol,$L$60)</f>
        <v>-2.175216840189822</v>
      </c>
      <c r="AC78" s="31">
        <f t="array" ref="AC78">[1]!unf_fa_scale_SI(AC$41,$M78,q_liq,fw,rp_m3m3,NaK,Ca2_,Mg2_,Ba2_,Sr2_,Cl,SO4_,HCO3_,CO2_mol,$L$60)</f>
        <v>-2.3149778600419699</v>
      </c>
    </row>
    <row r="79" spans="12:29" x14ac:dyDescent="0.2">
      <c r="M79" s="11"/>
      <c r="N79" s="11"/>
      <c r="O79" s="11"/>
      <c r="P79" s="11"/>
      <c r="Q79" s="11"/>
      <c r="R79" s="11"/>
      <c r="S79" s="11"/>
      <c r="T79" s="11"/>
      <c r="U79" s="10"/>
      <c r="V79" s="10"/>
      <c r="W79" s="10"/>
      <c r="X79" s="10"/>
      <c r="Y79" s="10"/>
      <c r="Z79" s="10"/>
      <c r="AA79" s="10"/>
      <c r="AB79" s="16"/>
      <c r="AC79" s="17"/>
    </row>
    <row r="80" spans="12:29" x14ac:dyDescent="0.2">
      <c r="M80" s="11"/>
      <c r="N80" s="11"/>
      <c r="O80" s="11"/>
      <c r="P80" s="11"/>
      <c r="Q80" s="11"/>
      <c r="R80" s="11"/>
      <c r="S80" s="11"/>
      <c r="T80" s="11"/>
      <c r="U80" s="10"/>
      <c r="V80" s="10"/>
      <c r="W80" s="10"/>
      <c r="X80" s="10"/>
      <c r="Y80" s="10"/>
      <c r="Z80" s="10"/>
      <c r="AA80" s="10"/>
      <c r="AB80" s="16"/>
      <c r="AC80" s="17"/>
    </row>
    <row r="81" spans="12:29" x14ac:dyDescent="0.2">
      <c r="L81" s="10">
        <v>4</v>
      </c>
      <c r="M81" s="20" t="s">
        <v>21</v>
      </c>
      <c r="N81" s="11"/>
      <c r="O81" s="11"/>
      <c r="P81" s="11"/>
      <c r="Q81" s="11"/>
      <c r="R81" s="11"/>
      <c r="S81" s="11"/>
      <c r="T81" s="11"/>
      <c r="U81" s="10"/>
      <c r="V81" s="10"/>
      <c r="W81" s="10"/>
      <c r="X81" s="10"/>
      <c r="Y81" s="10"/>
      <c r="Z81" s="10"/>
      <c r="AA81" s="10"/>
      <c r="AB81" s="16"/>
      <c r="AC81" s="17"/>
    </row>
    <row r="82" spans="12:29" x14ac:dyDescent="0.2">
      <c r="M82" s="11"/>
      <c r="N82" s="11"/>
      <c r="O82" s="11">
        <v>1.4</v>
      </c>
      <c r="P82" s="11"/>
      <c r="Q82" s="11"/>
      <c r="R82" s="11"/>
      <c r="S82" s="11"/>
      <c r="T82" s="11"/>
      <c r="U82" s="10"/>
      <c r="V82" s="10"/>
      <c r="W82" s="10"/>
      <c r="X82" s="10"/>
      <c r="Y82" s="10"/>
      <c r="Z82" s="10"/>
      <c r="AA82" s="10"/>
      <c r="AB82" s="16"/>
      <c r="AC82" s="17"/>
    </row>
    <row r="83" spans="12:29" x14ac:dyDescent="0.2">
      <c r="L83" s="32"/>
      <c r="M83" s="22"/>
      <c r="N83" s="22" t="s">
        <v>17</v>
      </c>
      <c r="O83" s="22"/>
      <c r="P83" s="22"/>
      <c r="Q83" s="22"/>
      <c r="R83" s="22"/>
      <c r="S83" s="22"/>
      <c r="T83" s="22"/>
      <c r="U83" s="33"/>
      <c r="V83" s="33"/>
      <c r="W83" s="33"/>
      <c r="X83" s="33"/>
      <c r="Y83" s="33"/>
      <c r="Z83" s="33"/>
      <c r="AA83" s="33"/>
      <c r="AB83" s="34"/>
      <c r="AC83" s="35"/>
    </row>
    <row r="84" spans="12:29" x14ac:dyDescent="0.2">
      <c r="L84" s="36"/>
      <c r="M84" s="21"/>
      <c r="N84" s="22">
        <v>1</v>
      </c>
      <c r="O84" s="22">
        <f t="shared" ref="O84:AC84" si="3">N84*$O$17</f>
        <v>1.46</v>
      </c>
      <c r="P84" s="23">
        <f t="shared" si="3"/>
        <v>2.1315999999999997</v>
      </c>
      <c r="Q84" s="24">
        <f t="shared" si="3"/>
        <v>3.1121359999999996</v>
      </c>
      <c r="R84" s="24">
        <f t="shared" si="3"/>
        <v>4.5437185599999994</v>
      </c>
      <c r="S84" s="24">
        <f t="shared" si="3"/>
        <v>6.6338290975999987</v>
      </c>
      <c r="T84" s="24">
        <f t="shared" si="3"/>
        <v>9.6853904824959987</v>
      </c>
      <c r="U84" s="24">
        <f t="shared" si="3"/>
        <v>14.140670104444158</v>
      </c>
      <c r="V84" s="24">
        <f t="shared" si="3"/>
        <v>20.645378352488471</v>
      </c>
      <c r="W84" s="24">
        <f t="shared" si="3"/>
        <v>30.142252394633168</v>
      </c>
      <c r="X84" s="24">
        <f t="shared" si="3"/>
        <v>44.007688496164427</v>
      </c>
      <c r="Y84" s="24">
        <f t="shared" si="3"/>
        <v>64.251225204400058</v>
      </c>
      <c r="Z84" s="24">
        <f t="shared" si="3"/>
        <v>93.80678879842408</v>
      </c>
      <c r="AA84" s="24">
        <f t="shared" si="3"/>
        <v>136.95791164569914</v>
      </c>
      <c r="AB84" s="24">
        <f t="shared" si="3"/>
        <v>199.95855100272075</v>
      </c>
      <c r="AC84" s="25">
        <f t="shared" si="3"/>
        <v>291.93948446397229</v>
      </c>
    </row>
    <row r="85" spans="12:29" x14ac:dyDescent="0.2">
      <c r="L85" s="26" t="s">
        <v>18</v>
      </c>
      <c r="M85" s="26">
        <v>1</v>
      </c>
      <c r="N85" s="38">
        <f t="array" ref="N85">[1]!unf_fa_scale_SI(N$41,$M85,q_liq,fw,rp_m3m3,NaK,Ca2_,Mg2_,Ba2_,Sr2_,Cl,SO4_,HCO3_,CO2_mol,$L$81)</f>
        <v>4.594265352824082</v>
      </c>
      <c r="O85" s="23">
        <f t="array" ref="O85">[1]!unf_fa_scale_SI(O$41,$M85,q_liq,fw,rp_m3m3,NaK,Ca2_,Mg2_,Ba2_,Sr2_,Cl,SO4_,HCO3_,CO2_mol,$L$81)</f>
        <v>4.4265173049265689</v>
      </c>
      <c r="P85" s="23">
        <f t="array" ref="P85">[1]!unf_fa_scale_SI(P$41,$M85,q_liq,fw,rp_m3m3,NaK,Ca2_,Mg2_,Ba2_,Sr2_,Cl,SO4_,HCO3_,CO2_mol,$L$81)</f>
        <v>4.2583178496116547</v>
      </c>
      <c r="Q85" s="23">
        <f t="array" ref="Q85">[1]!unf_fa_scale_SI(Q$41,$M85,q_liq,fw,rp_m3m3,NaK,Ca2_,Mg2_,Ba2_,Sr2_,Cl,SO4_,HCO3_,CO2_mol,$L$81)</f>
        <v>4.0896845574329825</v>
      </c>
      <c r="R85" s="23">
        <f t="array" ref="R85">[1]!unf_fa_scale_SI(R$41,$M85,q_liq,fw,rp_m3m3,NaK,Ca2_,Mg2_,Ba2_,Sr2_,Cl,SO4_,HCO3_,CO2_mol,$L$81)</f>
        <v>3.9206840456586649</v>
      </c>
      <c r="S85" s="23">
        <f t="array" ref="S85">[1]!unf_fa_scale_SI(S$41,$M85,q_liq,fw,rp_m3m3,NaK,Ca2_,Mg2_,Ba2_,Sr2_,Cl,SO4_,HCO3_,CO2_mol,$L$81)</f>
        <v>3.7514570975885464</v>
      </c>
      <c r="T85" s="23">
        <f t="array" ref="T85">[1]!unf_fa_scale_SI(T$41,$M85,q_liq,fw,rp_m3m3,NaK,Ca2_,Mg2_,Ba2_,Sr2_,Cl,SO4_,HCO3_,CO2_mol,$L$81)</f>
        <v>3.5822498570274979</v>
      </c>
      <c r="U85" s="23">
        <f t="array" ref="U85">[1]!unf_fa_scale_SI(U$41,$M85,q_liq,fw,rp_m3m3,NaK,Ca2_,Mg2_,Ba2_,Sr2_,Cl,SO4_,HCO3_,CO2_mol,$L$81)</f>
        <v>3.4134469631353506</v>
      </c>
      <c r="V85" s="23">
        <f t="array" ref="V85">[1]!unf_fa_scale_SI(V$41,$M85,q_liq,fw,rp_m3m3,NaK,Ca2_,Mg2_,Ba2_,Sr2_,Cl,SO4_,HCO3_,CO2_mol,$L$81)</f>
        <v>3.2455943330030381</v>
      </c>
      <c r="W85" s="23">
        <f t="array" ref="W85">[1]!unf_fa_scale_SI(W$41,$M85,q_liq,fw,rp_m3m3,NaK,Ca2_,Mg2_,Ba2_,Sr2_,Cl,SO4_,HCO3_,CO2_mol,$L$81)</f>
        <v>3.0793836766805152</v>
      </c>
      <c r="X85" s="23">
        <f t="array" ref="X85">[1]!unf_fa_scale_SI(X$41,$M85,q_liq,fw,rp_m3m3,NaK,Ca2_,Mg2_,Ba2_,Sr2_,Cl,SO4_,HCO3_,CO2_mol,$L$81)</f>
        <v>2.9155452702688445</v>
      </c>
      <c r="Y85" s="23">
        <f t="array" ref="Y85">[1]!unf_fa_scale_SI(Y$41,$M85,q_liq,fw,rp_m3m3,NaK,Ca2_,Mg2_,Ba2_,Sr2_,Cl,SO4_,HCO3_,CO2_mol,$L$81)</f>
        <v>2.754562435739822</v>
      </c>
      <c r="Z85" s="23">
        <f t="array" ref="Z85">[1]!unf_fa_scale_SI(Z$41,$M85,q_liq,fw,rp_m3m3,NaK,Ca2_,Mg2_,Ba2_,Sr2_,Cl,SO4_,HCO3_,CO2_mol,$L$81)</f>
        <v>2.5960954144143082</v>
      </c>
      <c r="AA85" s="23">
        <f t="array" ref="AA85">[1]!unf_fa_scale_SI(AA$41,$M85,q_liq,fw,rp_m3m3,NaK,Ca2_,Mg2_,Ba2_,Sr2_,Cl,SO4_,HCO3_,CO2_mol,$L$81)</f>
        <v>2.4380157983288298</v>
      </c>
      <c r="AB85" s="23">
        <f t="array" ref="AB85">[1]!unf_fa_scale_SI(AB$41,$M85,q_liq,fw,rp_m3m3,NaK,Ca2_,Mg2_,Ba2_,Sr2_,Cl,SO4_,HCO3_,CO2_mol,$L$81)</f>
        <v>2.275048543017661</v>
      </c>
      <c r="AC85" s="39">
        <f t="array" ref="AC85">[1]!unf_fa_scale_SI(AC$41,$M85,q_liq,fw,rp_m3m3,NaK,Ca2_,Mg2_,Ba2_,Sr2_,Cl,SO4_,HCO3_,CO2_mol,$L$81)</f>
        <v>2.0972751922519874</v>
      </c>
    </row>
    <row r="86" spans="12:29" x14ac:dyDescent="0.2">
      <c r="L86" s="36"/>
      <c r="M86" s="26">
        <v>5</v>
      </c>
      <c r="N86" s="40">
        <f t="array" ref="N86">[1]!unf_fa_scale_SI(N$41,$M86,q_liq,fw,rp_m3m3,NaK,Ca2_,Mg2_,Ba2_,Sr2_,Cl,SO4_,HCO3_,CO2_mol,$L$81)</f>
        <v>4.591642965505617</v>
      </c>
      <c r="O86" s="27">
        <f t="array" ref="O86">[1]!unf_fa_scale_SI(O$41,$M86,q_liq,fw,rp_m3m3,NaK,Ca2_,Mg2_,Ba2_,Sr2_,Cl,SO4_,HCO3_,CO2_mol,$L$81)</f>
        <v>4.4234162935339274</v>
      </c>
      <c r="P86" s="27">
        <f t="array" ref="P86">[1]!unf_fa_scale_SI(P$41,$M86,q_liq,fw,rp_m3m3,NaK,Ca2_,Mg2_,Ba2_,Sr2_,Cl,SO4_,HCO3_,CO2_mol,$L$81)</f>
        <v>4.254547897242297</v>
      </c>
      <c r="Q86" s="27">
        <f t="array" ref="Q86">[1]!unf_fa_scale_SI(Q$41,$M86,q_liq,fw,rp_m3m3,NaK,Ca2_,Mg2_,Ba2_,Sr2_,Cl,SO4_,HCO3_,CO2_mol,$L$81)</f>
        <v>4.0849759192850019</v>
      </c>
      <c r="R86" s="27">
        <f t="array" ref="R86">[1]!unf_fa_scale_SI(R$41,$M86,q_liq,fw,rp_m3m3,NaK,Ca2_,Mg2_,Ba2_,Sr2_,Cl,SO4_,HCO3_,CO2_mol,$L$81)</f>
        <v>3.9146546912779421</v>
      </c>
      <c r="S86" s="27">
        <f t="array" ref="S86">[1]!unf_fa_scale_SI(S$41,$M86,q_liq,fw,rp_m3m3,NaK,Ca2_,Mg2_,Ba2_,Sr2_,Cl,SO4_,HCO3_,CO2_mol,$L$81)</f>
        <v>3.7435676061743361</v>
      </c>
      <c r="T86" s="27">
        <f t="array" ref="T86">[1]!unf_fa_scale_SI(T$41,$M86,q_liq,fw,rp_m3m3,NaK,Ca2_,Mg2_,Ba2_,Sr2_,Cl,SO4_,HCO3_,CO2_mol,$L$81)</f>
        <v>3.5717432101974804</v>
      </c>
      <c r="U86" s="27">
        <f t="array" ref="U86">[1]!unf_fa_scale_SI(U$41,$M86,q_liq,fw,rp_m3m3,NaK,Ca2_,Mg2_,Ba2_,Sr2_,Cl,SO4_,HCO3_,CO2_mol,$L$81)</f>
        <v>3.3992717530414076</v>
      </c>
      <c r="V86" s="27">
        <f t="array" ref="V86">[1]!unf_fa_scale_SI(V$41,$M86,q_liq,fw,rp_m3m3,NaK,Ca2_,Mg2_,Ba2_,Sr2_,Cl,SO4_,HCO3_,CO2_mol,$L$81)</f>
        <v>3.2263141543255127</v>
      </c>
      <c r="W86" s="27">
        <f t="array" ref="W86">[1]!unf_fa_scale_SI(W$41,$M86,q_liq,fw,rp_m3m3,NaK,Ca2_,Mg2_,Ba2_,Sr2_,Cl,SO4_,HCO3_,CO2_mol,$L$81)</f>
        <v>3.0530850913927967</v>
      </c>
      <c r="X86" s="27">
        <f t="array" ref="X86">[1]!unf_fa_scale_SI(X$41,$M86,q_liq,fw,rp_m3m3,NaK,Ca2_,Mg2_,Ba2_,Sr2_,Cl,SO4_,HCO3_,CO2_mol,$L$81)</f>
        <v>2.879774926651562</v>
      </c>
      <c r="Y86" s="27">
        <f t="array" ref="Y86">[1]!unf_fa_scale_SI(Y$41,$M86,q_liq,fw,rp_m3m3,NaK,Ca2_,Mg2_,Ba2_,Sr2_,Cl,SO4_,HCO3_,CO2_mol,$L$81)</f>
        <v>2.7063538276591874</v>
      </c>
      <c r="Z86" s="27">
        <f t="array" ref="Z86">[1]!unf_fa_scale_SI(Z$41,$M86,q_liq,fw,rp_m3m3,NaK,Ca2_,Mg2_,Ba2_,Sr2_,Cl,SO4_,HCO3_,CO2_mol,$L$81)</f>
        <v>2.532191734749361</v>
      </c>
      <c r="AA86" s="27">
        <f t="array" ref="AA86">[1]!unf_fa_scale_SI(AA$41,$M86,q_liq,fw,rp_m3m3,NaK,Ca2_,Mg2_,Ba2_,Sr2_,Cl,SO4_,HCO3_,CO2_mol,$L$81)</f>
        <v>2.3554759477747309</v>
      </c>
      <c r="AB86" s="27">
        <f t="array" ref="AB86">[1]!unf_fa_scale_SI(AB$41,$M86,q_liq,fw,rp_m3m3,NaK,Ca2_,Mg2_,Ba2_,Sr2_,Cl,SO4_,HCO3_,CO2_mol,$L$81)</f>
        <v>2.1726041249869343</v>
      </c>
      <c r="AC86" s="28">
        <f t="array" ref="AC86">[1]!unf_fa_scale_SI(AC$41,$M86,q_liq,fw,rp_m3m3,NaK,Ca2_,Mg2_,Ba2_,Sr2_,Cl,SO4_,HCO3_,CO2_mol,$L$81)</f>
        <v>1.9781682319651788</v>
      </c>
    </row>
    <row r="87" spans="12:29" x14ac:dyDescent="0.2">
      <c r="L87" s="36"/>
      <c r="M87" s="26">
        <v>10</v>
      </c>
      <c r="N87" s="40">
        <f t="array" ref="N87">[1]!unf_fa_scale_SI(N$41,$M87,q_liq,fw,rp_m3m3,NaK,Ca2_,Mg2_,Ba2_,Sr2_,Cl,SO4_,HCO3_,CO2_mol,$L$81)</f>
        <v>4.5904611025653939</v>
      </c>
      <c r="O87" s="27">
        <f t="array" ref="O87">[1]!unf_fa_scale_SI(O$41,$M87,q_liq,fw,rp_m3m3,NaK,Ca2_,Mg2_,Ba2_,Sr2_,Cl,SO4_,HCO3_,CO2_mol,$L$81)</f>
        <v>4.4217955789214649</v>
      </c>
      <c r="P87" s="27">
        <f t="array" ref="P87">[1]!unf_fa_scale_SI(P$41,$M87,q_liq,fw,rp_m3m3,NaK,Ca2_,Mg2_,Ba2_,Sr2_,Cl,SO4_,HCO3_,CO2_mol,$L$81)</f>
        <v>4.2523182921924612</v>
      </c>
      <c r="Q87" s="27">
        <f t="array" ref="Q87">[1]!unf_fa_scale_SI(Q$41,$M87,q_liq,fw,rp_m3m3,NaK,Ca2_,Mg2_,Ba2_,Sr2_,Cl,SO4_,HCO3_,CO2_mol,$L$81)</f>
        <v>4.0818975435438407</v>
      </c>
      <c r="R87" s="27">
        <f t="array" ref="R87">[1]!unf_fa_scale_SI(R$41,$M87,q_liq,fw,rp_m3m3,NaK,Ca2_,Mg2_,Ba2_,Sr2_,Cl,SO4_,HCO3_,CO2_mol,$L$81)</f>
        <v>3.9103892606649868</v>
      </c>
      <c r="S87" s="27">
        <f t="array" ref="S87">[1]!unf_fa_scale_SI(S$41,$M87,q_liq,fw,rp_m3m3,NaK,Ca2_,Mg2_,Ba2_,Sr2_,Cl,SO4_,HCO3_,CO2_mol,$L$81)</f>
        <v>3.7376394185461574</v>
      </c>
      <c r="T87" s="27">
        <f t="array" ref="T87">[1]!unf_fa_scale_SI(T$41,$M87,q_liq,fw,rp_m3m3,NaK,Ca2_,Mg2_,Ba2_,Sr2_,Cl,SO4_,HCO3_,CO2_mol,$L$81)</f>
        <v>3.5634875218272786</v>
      </c>
      <c r="U87" s="27">
        <f t="array" ref="U87">[1]!unf_fa_scale_SI(U$41,$M87,q_liq,fw,rp_m3m3,NaK,Ca2_,Mg2_,Ba2_,Sr2_,Cl,SO4_,HCO3_,CO2_mol,$L$81)</f>
        <v>3.3877701356609329</v>
      </c>
      <c r="V87" s="27">
        <f t="array" ref="V87">[1]!unf_fa_scale_SI(V$41,$M87,q_liq,fw,rp_m3m3,NaK,Ca2_,Mg2_,Ba2_,Sr2_,Cl,SO4_,HCO3_,CO2_mol,$L$81)</f>
        <v>3.2103216510876162</v>
      </c>
      <c r="W87" s="27">
        <f t="array" ref="W87">[1]!unf_fa_scale_SI(W$41,$M87,q_liq,fw,rp_m3m3,NaK,Ca2_,Mg2_,Ba2_,Sr2_,Cl,SO4_,HCO3_,CO2_mol,$L$81)</f>
        <v>3.030966467823303</v>
      </c>
      <c r="X87" s="27">
        <f t="array" ref="X87">[1]!unf_fa_scale_SI(X$41,$M87,q_liq,fw,rp_m3m3,NaK,Ca2_,Mg2_,Ba2_,Sr2_,Cl,SO4_,HCO3_,CO2_mol,$L$81)</f>
        <v>2.849493482272182</v>
      </c>
      <c r="Y87" s="27">
        <f t="array" ref="Y87">[1]!unf_fa_scale_SI(Y$41,$M87,q_liq,fw,rp_m3m3,NaK,Ca2_,Mg2_,Ba2_,Sr2_,Cl,SO4_,HCO3_,CO2_mol,$L$81)</f>
        <v>2.6656054713129134</v>
      </c>
      <c r="Z87" s="27">
        <f t="array" ref="Z87">[1]!unf_fa_scale_SI(Z$41,$M87,q_liq,fw,rp_m3m3,NaK,Ca2_,Mg2_,Ba2_,Sr2_,Cl,SO4_,HCO3_,CO2_mol,$L$81)</f>
        <v>2.4788590208950136</v>
      </c>
      <c r="AA87" s="27">
        <f t="array" ref="AA87">[1]!unf_fa_scale_SI(AA$41,$M87,q_liq,fw,rp_m3m3,NaK,Ca2_,Mg2_,Ba2_,Sr2_,Cl,SO4_,HCO3_,CO2_mol,$L$81)</f>
        <v>2.2886868088189161</v>
      </c>
      <c r="AB87" s="27">
        <f t="array" ref="AB87">[1]!unf_fa_scale_SI(AB$41,$M87,q_liq,fw,rp_m3m3,NaK,Ca2_,Mg2_,Ba2_,Sr2_,Cl,SO4_,HCO3_,CO2_mol,$L$81)</f>
        <v>2.0947246979152396</v>
      </c>
      <c r="AC87" s="28">
        <f t="array" ref="AC87">[1]!unf_fa_scale_SI(AC$41,$M87,q_liq,fw,rp_m3m3,NaK,Ca2_,Mg2_,Ba2_,Sr2_,Cl,SO4_,HCO3_,CO2_mol,$L$81)</f>
        <v>1.8975476807051912</v>
      </c>
    </row>
    <row r="88" spans="12:29" x14ac:dyDescent="0.2">
      <c r="L88" s="36"/>
      <c r="M88" s="26">
        <v>15</v>
      </c>
      <c r="N88" s="40">
        <f t="array" ref="N88">[1]!unf_fa_scale_SI(N$41,$M88,q_liq,fw,rp_m3m3,NaK,Ca2_,Mg2_,Ba2_,Sr2_,Cl,SO4_,HCO3_,CO2_mol,$L$81)</f>
        <v>4.5913933190079224</v>
      </c>
      <c r="O88" s="27">
        <f t="array" ref="O88">[1]!unf_fa_scale_SI(O$41,$M88,q_liq,fw,rp_m3m3,NaK,Ca2_,Mg2_,Ba2_,Sr2_,Cl,SO4_,HCO3_,CO2_mol,$L$81)</f>
        <v>4.4223736871976751</v>
      </c>
      <c r="P88" s="27">
        <f t="array" ref="P88">[1]!unf_fa_scale_SI(P$41,$M88,q_liq,fw,rp_m3m3,NaK,Ca2_,Mg2_,Ba2_,Sr2_,Cl,SO4_,HCO3_,CO2_mol,$L$81)</f>
        <v>4.2524068150263812</v>
      </c>
      <c r="Q88" s="27">
        <f t="array" ref="Q88">[1]!unf_fa_scale_SI(Q$41,$M88,q_liq,fw,rp_m3m3,NaK,Ca2_,Mg2_,Ba2_,Sr2_,Cl,SO4_,HCO3_,CO2_mol,$L$81)</f>
        <v>4.0813057883292121</v>
      </c>
      <c r="R88" s="27">
        <f t="array" ref="R88">[1]!unf_fa_scale_SI(R$41,$M88,q_liq,fw,rp_m3m3,NaK,Ca2_,Mg2_,Ba2_,Sr2_,Cl,SO4_,HCO3_,CO2_mol,$L$81)</f>
        <v>3.9088488567303212</v>
      </c>
      <c r="S88" s="27">
        <f t="array" ref="S88">[1]!unf_fa_scale_SI(S$41,$M88,q_liq,fw,rp_m3m3,NaK,Ca2_,Mg2_,Ba2_,Sr2_,Cl,SO4_,HCO3_,CO2_mol,$L$81)</f>
        <v>3.734773709664962</v>
      </c>
      <c r="T88" s="27">
        <f t="array" ref="T88">[1]!unf_fa_scale_SI(T$41,$M88,q_liq,fw,rp_m3m3,NaK,Ca2_,Mg2_,Ba2_,Sr2_,Cl,SO4_,HCO3_,CO2_mol,$L$81)</f>
        <v>3.5587712699614933</v>
      </c>
      <c r="U88" s="27">
        <f t="array" ref="U88">[1]!unf_fa_scale_SI(U$41,$M88,q_liq,fw,rp_m3m3,NaK,Ca2_,Mg2_,Ba2_,Sr2_,Cl,SO4_,HCO3_,CO2_mol,$L$81)</f>
        <v>3.3804796836429372</v>
      </c>
      <c r="V88" s="27">
        <f t="array" ref="V88">[1]!unf_fa_scale_SI(V$41,$M88,q_liq,fw,rp_m3m3,NaK,Ca2_,Mg2_,Ba2_,Sr2_,Cl,SO4_,HCO3_,CO2_mol,$L$81)</f>
        <v>3.1994807568169019</v>
      </c>
      <c r="W88" s="27">
        <f t="array" ref="W88">[1]!unf_fa_scale_SI(W$41,$M88,q_liq,fw,rp_m3m3,NaK,Ca2_,Mg2_,Ba2_,Sr2_,Cl,SO4_,HCO3_,CO2_mol,$L$81)</f>
        <v>3.0153055702679286</v>
      </c>
      <c r="X88" s="27">
        <f t="array" ref="X88">[1]!unf_fa_scale_SI(X$41,$M88,q_liq,fw,rp_m3m3,NaK,Ca2_,Mg2_,Ba2_,Sr2_,Cl,SO4_,HCO3_,CO2_mol,$L$81)</f>
        <v>2.8274679843852777</v>
      </c>
      <c r="Y88" s="27">
        <f t="array" ref="Y88">[1]!unf_fa_scale_SI(Y$41,$M88,q_liq,fw,rp_m3m3,NaK,Ca2_,Mg2_,Ba2_,Sr2_,Cl,SO4_,HCO3_,CO2_mol,$L$81)</f>
        <v>2.6355739668949116</v>
      </c>
      <c r="Z88" s="27">
        <f t="array" ref="Z88">[1]!unf_fa_scale_SI(Z$41,$M88,q_liq,fw,rp_m3m3,NaK,Ca2_,Mg2_,Ba2_,Sr2_,Cl,SO4_,HCO3_,CO2_mol,$L$81)</f>
        <v>2.4396141537822711</v>
      </c>
      <c r="AA88" s="27">
        <f t="array" ref="AA88">[1]!unf_fa_scale_SI(AA$41,$M88,q_liq,fw,rp_m3m3,NaK,Ca2_,Mg2_,Ba2_,Sr2_,Cl,SO4_,HCO3_,CO2_mol,$L$81)</f>
        <v>2.2406160496336502</v>
      </c>
      <c r="AB88" s="27">
        <f t="array" ref="AB88">[1]!unf_fa_scale_SI(AB$41,$M88,q_liq,fw,rp_m3m3,NaK,Ca2_,Mg2_,Ba2_,Sr2_,Cl,SO4_,HCO3_,CO2_mol,$L$81)</f>
        <v>2.0416751948650802</v>
      </c>
      <c r="AC88" s="28">
        <f t="array" ref="AC88">[1]!unf_fa_scale_SI(AC$41,$M88,q_liq,fw,rp_m3m3,NaK,Ca2_,Mg2_,Ba2_,Sr2_,Cl,SO4_,HCO3_,CO2_mol,$L$81)</f>
        <v>1.8481544583324372</v>
      </c>
    </row>
    <row r="89" spans="12:29" x14ac:dyDescent="0.2">
      <c r="L89" s="36"/>
      <c r="M89" s="26">
        <v>20</v>
      </c>
      <c r="N89" s="40">
        <f t="array" ref="N89">[1]!unf_fa_scale_SI(N$41,$M89,q_liq,fw,rp_m3m3,NaK,Ca2_,Mg2_,Ba2_,Sr2_,Cl,SO4_,HCO3_,CO2_mol,$L$81)</f>
        <v>4.5943587215649107</v>
      </c>
      <c r="O89" s="27">
        <f t="array" ref="O89">[1]!unf_fa_scale_SI(O$41,$M89,q_liq,fw,rp_m3m3,NaK,Ca2_,Mg2_,Ba2_,Sr2_,Cl,SO4_,HCO3_,CO2_mol,$L$81)</f>
        <v>4.4250369053562704</v>
      </c>
      <c r="P89" s="27">
        <f t="array" ref="P89">[1]!unf_fa_scale_SI(P$41,$M89,q_liq,fw,rp_m3m3,NaK,Ca2_,Mg2_,Ba2_,Sr2_,Cl,SO4_,HCO3_,CO2_mol,$L$81)</f>
        <v>4.2546528718174894</v>
      </c>
      <c r="Q89" s="27">
        <f t="array" ref="Q89">[1]!unf_fa_scale_SI(Q$41,$M89,q_liq,fw,rp_m3m3,NaK,Ca2_,Mg2_,Ba2_,Sr2_,Cl,SO4_,HCO3_,CO2_mol,$L$81)</f>
        <v>4.0829729934054644</v>
      </c>
      <c r="R89" s="27">
        <f t="array" ref="R89">[1]!unf_fa_scale_SI(R$41,$M89,q_liq,fw,rp_m3m3,NaK,Ca2_,Mg2_,Ba2_,Sr2_,Cl,SO4_,HCO3_,CO2_mol,$L$81)</f>
        <v>3.9097098330030833</v>
      </c>
      <c r="S89" s="27">
        <f t="array" ref="S89">[1]!unf_fa_scale_SI(S$41,$M89,q_liq,fw,rp_m3m3,NaK,Ca2_,Mg2_,Ba2_,Sr2_,Cl,SO4_,HCO3_,CO2_mol,$L$81)</f>
        <v>3.7345095619795026</v>
      </c>
      <c r="T89" s="27">
        <f t="array" ref="T89">[1]!unf_fa_scale_SI(T$41,$M89,q_liq,fw,rp_m3m3,NaK,Ca2_,Mg2_,Ba2_,Sr2_,Cl,SO4_,HCO3_,CO2_mol,$L$81)</f>
        <v>3.5569376604453482</v>
      </c>
      <c r="U89" s="27">
        <f t="array" ref="U89">[1]!unf_fa_scale_SI(U$41,$M89,q_liq,fw,rp_m3m3,NaK,Ca2_,Mg2_,Ba2_,Sr2_,Cl,SO4_,HCO3_,CO2_mol,$L$81)</f>
        <v>3.3764651918725321</v>
      </c>
      <c r="V89" s="27">
        <f t="array" ref="V89">[1]!unf_fa_scale_SI(V$41,$M89,q_liq,fw,rp_m3m3,NaK,Ca2_,Mg2_,Ba2_,Sr2_,Cl,SO4_,HCO3_,CO2_mol,$L$81)</f>
        <v>3.1924627894075095</v>
      </c>
      <c r="W89" s="27">
        <f t="array" ref="W89">[1]!unf_fa_scale_SI(W$41,$M89,q_liq,fw,rp_m3m3,NaK,Ca2_,Mg2_,Ba2_,Sr2_,Cl,SO4_,HCO3_,CO2_mol,$L$81)</f>
        <v>3.0042215464599278</v>
      </c>
      <c r="X89" s="27">
        <f t="array" ref="X89">[1]!unf_fa_scale_SI(X$41,$M89,q_liq,fw,rp_m3m3,NaK,Ca2_,Mg2_,Ba2_,Sr2_,Cl,SO4_,HCO3_,CO2_mol,$L$81)</f>
        <v>2.811048208500353</v>
      </c>
      <c r="Y89" s="27">
        <f t="array" ref="Y89">[1]!unf_fa_scale_SI(Y$41,$M89,q_liq,fw,rp_m3m3,NaK,Ca2_,Mg2_,Ba2_,Sr2_,Cl,SO4_,HCO3_,CO2_mol,$L$81)</f>
        <v>2.6125414717769915</v>
      </c>
      <c r="Z89" s="27">
        <f t="array" ref="Z89">[1]!unf_fa_scale_SI(Z$41,$M89,q_liq,fw,rp_m3m3,NaK,Ca2_,Mg2_,Ba2_,Sr2_,Cl,SO4_,HCO3_,CO2_mol,$L$81)</f>
        <v>2.4092520926088459</v>
      </c>
      <c r="AA89" s="27">
        <f t="array" ref="AA89">[1]!unf_fa_scale_SI(AA$41,$M89,q_liq,fw,rp_m3m3,NaK,Ca2_,Mg2_,Ba2_,Sr2_,Cl,SO4_,HCO3_,CO2_mol,$L$81)</f>
        <v>2.2039506543729268</v>
      </c>
      <c r="AB89" s="27">
        <f t="array" ref="AB89">[1]!unf_fa_scale_SI(AB$41,$M89,q_liq,fw,rp_m3m3,NaK,Ca2_,Mg2_,Ba2_,Sr2_,Cl,SO4_,HCO3_,CO2_mol,$L$81)</f>
        <v>2.0030809774746268</v>
      </c>
      <c r="AC89" s="28">
        <f t="array" ref="AC89">[1]!unf_fa_scale_SI(AC$41,$M89,q_liq,fw,rp_m3m3,NaK,Ca2_,Mg2_,Ba2_,Sr2_,Cl,SO4_,HCO3_,CO2_mol,$L$81)</f>
        <v>1.8154208040538793</v>
      </c>
    </row>
    <row r="90" spans="12:29" x14ac:dyDescent="0.2">
      <c r="L90" s="36"/>
      <c r="M90" s="26">
        <v>25</v>
      </c>
      <c r="N90" s="40">
        <f t="array" ref="N90">[1]!unf_fa_scale_SI(N$41,$M90,q_liq,fw,rp_m3m3,NaK,Ca2_,Mg2_,Ba2_,Sr2_,Cl,SO4_,HCO3_,CO2_mol,$L$81)</f>
        <v>4.5993174524484495</v>
      </c>
      <c r="O90" s="27">
        <f t="array" ref="O90">[1]!unf_fa_scale_SI(O$41,$M90,q_liq,fw,rp_m3m3,NaK,Ca2_,Mg2_,Ba2_,Sr2_,Cl,SO4_,HCO3_,CO2_mol,$L$81)</f>
        <v>4.4297299916954689</v>
      </c>
      <c r="P90" s="27">
        <f t="array" ref="P90">[1]!unf_fa_scale_SI(P$41,$M90,q_liq,fw,rp_m3m3,NaK,Ca2_,Mg2_,Ba2_,Sr2_,Cl,SO4_,HCO3_,CO2_mol,$L$81)</f>
        <v>4.2589794352765633</v>
      </c>
      <c r="Q90" s="27">
        <f t="array" ref="Q90">[1]!unf_fa_scale_SI(Q$41,$M90,q_liq,fw,rp_m3m3,NaK,Ca2_,Mg2_,Ba2_,Sr2_,Cl,SO4_,HCO3_,CO2_mol,$L$81)</f>
        <v>4.0867912022333588</v>
      </c>
      <c r="R90" s="27">
        <f t="array" ref="R90">[1]!unf_fa_scale_SI(R$41,$M90,q_liq,fw,rp_m3m3,NaK,Ca2_,Mg2_,Ba2_,Sr2_,Cl,SO4_,HCO3_,CO2_mol,$L$81)</f>
        <v>3.912820263319809</v>
      </c>
      <c r="S90" s="27">
        <f t="array" ref="S90">[1]!unf_fa_scale_SI(S$41,$M90,q_liq,fw,rp_m3m3,NaK,Ca2_,Mg2_,Ba2_,Sr2_,Cl,SO4_,HCO3_,CO2_mol,$L$81)</f>
        <v>3.7366325435114516</v>
      </c>
      <c r="T90" s="27">
        <f t="array" ref="T90">[1]!unf_fa_scale_SI(T$41,$M90,q_liq,fw,rp_m3m3,NaK,Ca2_,Mg2_,Ba2_,Sr2_,Cl,SO4_,HCO3_,CO2_mol,$L$81)</f>
        <v>3.5576835521711545</v>
      </c>
      <c r="U90" s="27">
        <f t="array" ref="U90">[1]!unf_fa_scale_SI(U$41,$M90,q_liq,fw,rp_m3m3,NaK,Ca2_,Mg2_,Ba2_,Sr2_,Cl,SO4_,HCO3_,CO2_mol,$L$81)</f>
        <v>3.3752980638149936</v>
      </c>
      <c r="V90" s="27">
        <f t="array" ref="V90">[1]!unf_fa_scale_SI(V$41,$M90,q_liq,fw,rp_m3m3,NaK,Ca2_,Mg2_,Ba2_,Sr2_,Cl,SO4_,HCO3_,CO2_mol,$L$81)</f>
        <v>3.1886626932140829</v>
      </c>
      <c r="W90" s="27">
        <f t="array" ref="W90">[1]!unf_fa_scale_SI(W$41,$M90,q_liq,fw,rp_m3m3,NaK,Ca2_,Mg2_,Ba2_,Sr2_,Cl,SO4_,HCO3_,CO2_mol,$L$81)</f>
        <v>2.9968628611873371</v>
      </c>
      <c r="X90" s="27">
        <f t="array" ref="X90">[1]!unf_fa_scale_SI(X$41,$M90,q_liq,fw,rp_m3m3,NaK,Ca2_,Mg2_,Ba2_,Sr2_,Cl,SO4_,HCO3_,CO2_mol,$L$81)</f>
        <v>2.7990407043073362</v>
      </c>
      <c r="Y90" s="27">
        <f t="array" ref="Y90">[1]!unf_fa_scale_SI(Y$41,$M90,q_liq,fw,rp_m3m3,NaK,Ca2_,Mg2_,Ba2_,Sr2_,Cl,SO4_,HCO3_,CO2_mol,$L$81)</f>
        <v>2.5948419126190818</v>
      </c>
      <c r="Z90" s="27">
        <f t="array" ref="Z90">[1]!unf_fa_scale_SI(Z$41,$M90,q_liq,fw,rp_m3m3,NaK,Ca2_,Mg2_,Ba2_,Sr2_,Cl,SO4_,HCO3_,CO2_mol,$L$81)</f>
        <v>2.3854502460242828</v>
      </c>
      <c r="AA90" s="27">
        <f t="array" ref="AA90">[1]!unf_fa_scale_SI(AA$41,$M90,q_liq,fw,rp_m3m3,NaK,Ca2_,Mg2_,Ba2_,Sr2_,Cl,SO4_,HCO3_,CO2_mol,$L$81)</f>
        <v>2.1754402273922593</v>
      </c>
      <c r="AB90" s="27">
        <f t="array" ref="AB90">[1]!unf_fa_scale_SI(AB$41,$M90,q_liq,fw,rp_m3m3,NaK,Ca2_,Mg2_,Ba2_,Sr2_,Cl,SO4_,HCO3_,CO2_mol,$L$81)</f>
        <v>1.9743737109832975</v>
      </c>
      <c r="AC90" s="28">
        <f t="array" ref="AC90">[1]!unf_fa_scale_SI(AC$41,$M90,q_liq,fw,rp_m3m3,NaK,Ca2_,Mg2_,Ba2_,Sr2_,Cl,SO4_,HCO3_,CO2_mol,$L$81)</f>
        <v>1.7932277549324751</v>
      </c>
    </row>
    <row r="91" spans="12:29" x14ac:dyDescent="0.2">
      <c r="L91" s="36"/>
      <c r="M91" s="26">
        <v>30</v>
      </c>
      <c r="N91" s="40">
        <f t="array" ref="N91">[1]!unf_fa_scale_SI(N$41,$M91,q_liq,fw,rp_m3m3,NaK,Ca2_,Mg2_,Ba2_,Sr2_,Cl,SO4_,HCO3_,CO2_mol,$L$81)</f>
        <v>4.6062457578507638</v>
      </c>
      <c r="O91" s="27">
        <f t="array" ref="O91">[1]!unf_fa_scale_SI(O$41,$M91,q_liq,fw,rp_m3m3,NaK,Ca2_,Mg2_,Ba2_,Sr2_,Cl,SO4_,HCO3_,CO2_mol,$L$81)</f>
        <v>4.4364203665533344</v>
      </c>
      <c r="P91" s="27">
        <f t="array" ref="P91">[1]!unf_fa_scale_SI(P$41,$M91,q_liq,fw,rp_m3m3,NaK,Ca2_,Mg2_,Ba2_,Sr2_,Cl,SO4_,HCO3_,CO2_mol,$L$81)</f>
        <v>4.2653415138959216</v>
      </c>
      <c r="Q91" s="27">
        <f t="array" ref="Q91">[1]!unf_fa_scale_SI(Q$41,$M91,q_liq,fw,rp_m3m3,NaK,Ca2_,Mg2_,Ba2_,Sr2_,Cl,SO4_,HCO3_,CO2_mol,$L$81)</f>
        <v>4.0926979114068542</v>
      </c>
      <c r="R91" s="27">
        <f t="array" ref="R91">[1]!unf_fa_scale_SI(R$41,$M91,q_liq,fw,rp_m3m3,NaK,Ca2_,Mg2_,Ba2_,Sr2_,Cl,SO4_,HCO3_,CO2_mol,$L$81)</f>
        <v>3.9180928875752508</v>
      </c>
      <c r="S91" s="27">
        <f t="array" ref="S91">[1]!unf_fa_scale_SI(S$41,$M91,q_liq,fw,rp_m3m3,NaK,Ca2_,Mg2_,Ba2_,Sr2_,Cl,SO4_,HCO3_,CO2_mol,$L$81)</f>
        <v>3.7410203781435816</v>
      </c>
      <c r="T91" s="27">
        <f t="array" ref="T91">[1]!unf_fa_scale_SI(T$41,$M91,q_liq,fw,rp_m3m3,NaK,Ca2_,Mg2_,Ba2_,Sr2_,Cl,SO4_,HCO3_,CO2_mol,$L$81)</f>
        <v>3.5608372045861256</v>
      </c>
      <c r="U91" s="27">
        <f t="array" ref="U91">[1]!unf_fa_scale_SI(U$41,$M91,q_liq,fw,rp_m3m3,NaK,Ca2_,Mg2_,Ba2_,Sr2_,Cl,SO4_,HCO3_,CO2_mol,$L$81)</f>
        <v>3.3767369123962276</v>
      </c>
      <c r="V91" s="27">
        <f t="array" ref="V91">[1]!unf_fa_scale_SI(V$41,$M91,q_liq,fw,rp_m3m3,NaK,Ca2_,Mg2_,Ba2_,Sr2_,Cl,SO4_,HCO3_,CO2_mol,$L$81)</f>
        <v>3.1877415419298942</v>
      </c>
      <c r="W91" s="27">
        <f t="array" ref="W91">[1]!unf_fa_scale_SI(W$41,$M91,q_liq,fw,rp_m3m3,NaK,Ca2_,Mg2_,Ba2_,Sr2_,Cl,SO4_,HCO3_,CO2_mol,$L$81)</f>
        <v>2.9927549332757111</v>
      </c>
      <c r="X91" s="27">
        <f t="array" ref="X91">[1]!unf_fa_scale_SI(X$41,$M91,q_liq,fw,rp_m3m3,NaK,Ca2_,Mg2_,Ba2_,Sr2_,Cl,SO4_,HCO3_,CO2_mol,$L$81)</f>
        <v>2.7907835162401153</v>
      </c>
      <c r="Y91" s="27">
        <f t="array" ref="Y91">[1]!unf_fa_scale_SI(Y$41,$M91,q_liq,fw,rp_m3m3,NaK,Ca2_,Mg2_,Ba2_,Sr2_,Cl,SO4_,HCO3_,CO2_mol,$L$81)</f>
        <v>2.5815553419121984</v>
      </c>
      <c r="Z91" s="27">
        <f t="array" ref="Z91">[1]!unf_fa_scale_SI(Z$41,$M91,q_liq,fw,rp_m3m3,NaK,Ca2_,Mg2_,Ba2_,Sr2_,Cl,SO4_,HCO3_,CO2_mol,$L$81)</f>
        <v>2.3669314729272366</v>
      </c>
      <c r="AA91" s="27">
        <f t="array" ref="AA91">[1]!unf_fa_scale_SI(AA$41,$M91,q_liq,fw,rp_m3m3,NaK,Ca2_,Mg2_,Ba2_,Sr2_,Cl,SO4_,HCO3_,CO2_mol,$L$81)</f>
        <v>2.1533057412347678</v>
      </c>
      <c r="AB91" s="27">
        <f t="array" ref="AB91">[1]!unf_fa_scale_SI(AB$41,$M91,q_liq,fw,rp_m3m3,NaK,Ca2_,Mg2_,Ba2_,Sr2_,Cl,SO4_,HCO3_,CO2_mol,$L$81)</f>
        <v>1.9530868767027134</v>
      </c>
      <c r="AC91" s="28">
        <f t="array" ref="AC91">[1]!unf_fa_scale_SI(AC$41,$M91,q_liq,fw,rp_m3m3,NaK,Ca2_,Mg2_,Ba2_,Sr2_,Cl,SO4_,HCO3_,CO2_mol,$L$81)</f>
        <v>1.7784540513366758</v>
      </c>
    </row>
    <row r="92" spans="12:29" x14ac:dyDescent="0.2">
      <c r="L92" s="36"/>
      <c r="M92" s="26">
        <v>35</v>
      </c>
      <c r="N92" s="40">
        <f t="array" ref="N92">[1]!unf_fa_scale_SI(N$41,$M92,q_liq,fw,rp_m3m3,NaK,Ca2_,Mg2_,Ba2_,Sr2_,Cl,SO4_,HCO3_,CO2_mol,$L$81)</f>
        <v>4.6151279174347932</v>
      </c>
      <c r="O92" s="27">
        <f t="array" ref="O92">[1]!unf_fa_scale_SI(O$41,$M92,q_liq,fw,rp_m3m3,NaK,Ca2_,Mg2_,Ba2_,Sr2_,Cl,SO4_,HCO3_,CO2_mol,$L$81)</f>
        <v>4.4450866381949252</v>
      </c>
      <c r="P92" s="27">
        <f t="array" ref="P92">[1]!unf_fa_scale_SI(P$41,$M92,q_liq,fw,rp_m3m3,NaK,Ca2_,Mg2_,Ba2_,Sr2_,Cl,SO4_,HCO3_,CO2_mol,$L$81)</f>
        <v>4.2737097848743018</v>
      </c>
      <c r="Q92" s="27">
        <f t="array" ref="Q92">[1]!unf_fa_scale_SI(Q$41,$M92,q_liq,fw,rp_m3m3,NaK,Ca2_,Mg2_,Ba2_,Sr2_,Cl,SO4_,HCO3_,CO2_mol,$L$81)</f>
        <v>4.1006526649504247</v>
      </c>
      <c r="R92" s="27">
        <f t="array" ref="R92">[1]!unf_fa_scale_SI(R$41,$M92,q_liq,fw,rp_m3m3,NaK,Ca2_,Mg2_,Ba2_,Sr2_,Cl,SO4_,HCO3_,CO2_mol,$L$81)</f>
        <v>3.9254715833233922</v>
      </c>
      <c r="S92" s="27">
        <f t="array" ref="S92">[1]!unf_fa_scale_SI(S$41,$M92,q_liq,fw,rp_m3m3,NaK,Ca2_,Mg2_,Ba2_,Sr2_,Cl,SO4_,HCO3_,CO2_mol,$L$81)</f>
        <v>3.7475948785147439</v>
      </c>
      <c r="T92" s="27">
        <f t="array" ref="T92">[1]!unf_fa_scale_SI(T$41,$M92,q_liq,fw,rp_m3m3,NaK,Ca2_,Mg2_,Ba2_,Sr2_,Cl,SO4_,HCO3_,CO2_mol,$L$81)</f>
        <v>3.56628938463981</v>
      </c>
      <c r="U92" s="27">
        <f t="array" ref="U92">[1]!unf_fa_scale_SI(U$41,$M92,q_liq,fw,rp_m3m3,NaK,Ca2_,Mg2_,Ba2_,Sr2_,Cl,SO4_,HCO3_,CO2_mol,$L$81)</f>
        <v>3.3806289598642101</v>
      </c>
      <c r="V92" s="27">
        <f t="array" ref="V92">[1]!unf_fa_scale_SI(V$41,$M92,q_liq,fw,rp_m3m3,NaK,Ca2_,Mg2_,Ba2_,Sr2_,Cl,SO4_,HCO3_,CO2_mol,$L$81)</f>
        <v>3.1894858100015542</v>
      </c>
      <c r="W92" s="27">
        <f t="array" ref="W92">[1]!unf_fa_scale_SI(W$41,$M92,q_liq,fw,rp_m3m3,NaK,Ca2_,Mg2_,Ba2_,Sr2_,Cl,SO4_,HCO3_,CO2_mol,$L$81)</f>
        <v>2.9916000904472808</v>
      </c>
      <c r="X92" s="27">
        <f t="array" ref="X92">[1]!unf_fa_scale_SI(X$41,$M92,q_liq,fw,rp_m3m3,NaK,Ca2_,Mg2_,Ba2_,Sr2_,Cl,SO4_,HCO3_,CO2_mol,$L$81)</f>
        <v>2.7858632240011323</v>
      </c>
      <c r="Y92" s="27">
        <f t="array" ref="Y92">[1]!unf_fa_scale_SI(Y$41,$M92,q_liq,fw,rp_m3m3,NaK,Ca2_,Mg2_,Ba2_,Sr2_,Cl,SO4_,HCO3_,CO2_mol,$L$81)</f>
        <v>2.5721095972575139</v>
      </c>
      <c r="Z92" s="27">
        <f t="array" ref="Z92">[1]!unf_fa_scale_SI(Z$41,$M92,q_liq,fw,rp_m3m3,NaK,Ca2_,Mg2_,Ba2_,Sr2_,Cl,SO4_,HCO3_,CO2_mol,$L$81)</f>
        <v>2.3529046617756544</v>
      </c>
      <c r="AA92" s="27">
        <f t="array" ref="AA92">[1]!unf_fa_scale_SI(AA$41,$M92,q_liq,fw,rp_m3m3,NaK,Ca2_,Mg2_,Ba2_,Sr2_,Cl,SO4_,HCO3_,CO2_mol,$L$81)</f>
        <v>2.136451045809344</v>
      </c>
      <c r="AB92" s="27">
        <f t="array" ref="AB92">[1]!unf_fa_scale_SI(AB$41,$M92,q_liq,fw,rp_m3m3,NaK,Ca2_,Mg2_,Ba2_,Sr2_,Cl,SO4_,HCO3_,CO2_mol,$L$81)</f>
        <v>1.9377263880087809</v>
      </c>
      <c r="AC92" s="28">
        <f t="array" ref="AC92">[1]!unf_fa_scale_SI(AC$41,$M92,q_liq,fw,rp_m3m3,NaK,Ca2_,Mg2_,Ba2_,Sr2_,Cl,SO4_,HCO3_,CO2_mol,$L$81)</f>
        <v>1.769320919496425</v>
      </c>
    </row>
    <row r="93" spans="12:29" x14ac:dyDescent="0.2">
      <c r="L93" s="36"/>
      <c r="M93" s="26">
        <v>40</v>
      </c>
      <c r="N93" s="40">
        <f t="array" ref="N93">[1]!unf_fa_scale_SI(N$41,$M93,q_liq,fw,rp_m3m3,NaK,Ca2_,Mg2_,Ba2_,Sr2_,Cl,SO4_,HCO3_,CO2_mol,$L$81)</f>
        <v>4.6259528043041298</v>
      </c>
      <c r="O93" s="27">
        <f t="array" ref="O93">[1]!unf_fa_scale_SI(O$41,$M93,q_liq,fw,rp_m3m3,NaK,Ca2_,Mg2_,Ba2_,Sr2_,Cl,SO4_,HCO3_,CO2_mol,$L$81)</f>
        <v>4.4557137577371391</v>
      </c>
      <c r="P93" s="27">
        <f t="array" ref="P93">[1]!unf_fa_scale_SI(P$41,$M93,q_liq,fw,rp_m3m3,NaK,Ca2_,Mg2_,Ba2_,Sr2_,Cl,SO4_,HCO3_,CO2_mol,$L$81)</f>
        <v>4.2840637397367116</v>
      </c>
      <c r="Q93" s="27">
        <f t="array" ref="Q93">[1]!unf_fa_scale_SI(Q$41,$M93,q_liq,fw,rp_m3m3,NaK,Ca2_,Mg2_,Ba2_,Sr2_,Cl,SO4_,HCO3_,CO2_mol,$L$81)</f>
        <v>4.1106273225941097</v>
      </c>
      <c r="R93" s="27">
        <f t="array" ref="R93">[1]!unf_fa_scale_SI(R$41,$M93,q_liq,fw,rp_m3m3,NaK,Ca2_,Mg2_,Ba2_,Sr2_,Cl,SO4_,HCO3_,CO2_mol,$L$81)</f>
        <v>3.9349175122207383</v>
      </c>
      <c r="S93" s="27">
        <f t="array" ref="S93">[1]!unf_fa_scale_SI(S$41,$M93,q_liq,fw,rp_m3m3,NaK,Ca2_,Mg2_,Ba2_,Sr2_,Cl,SO4_,HCO3_,CO2_mol,$L$81)</f>
        <v>3.7563021928258413</v>
      </c>
      <c r="T93" s="27">
        <f t="array" ref="T93">[1]!unf_fa_scale_SI(T$41,$M93,q_liq,fw,rp_m3m3,NaK,Ca2_,Mg2_,Ba2_,Sr2_,Cl,SO4_,HCO3_,CO2_mol,$L$81)</f>
        <v>3.5739651883309014</v>
      </c>
      <c r="U93" s="27">
        <f t="array" ref="U93">[1]!unf_fa_scale_SI(U$41,$M93,q_liq,fw,rp_m3m3,NaK,Ca2_,Mg2_,Ba2_,Sr2_,Cl,SO4_,HCO3_,CO2_mol,$L$81)</f>
        <v>3.3868698739167256</v>
      </c>
      <c r="V93" s="27">
        <f t="array" ref="V93">[1]!unf_fa_scale_SI(V$41,$M93,q_liq,fw,rp_m3m3,NaK,Ca2_,Mg2_,Ba2_,Sr2_,Cl,SO4_,HCO3_,CO2_mol,$L$81)</f>
        <v>3.1937502541118858</v>
      </c>
      <c r="W93" s="27">
        <f t="array" ref="W93">[1]!unf_fa_scale_SI(W$41,$M93,q_liq,fw,rp_m3m3,NaK,Ca2_,Mg2_,Ba2_,Sr2_,Cl,SO4_,HCO3_,CO2_mol,$L$81)</f>
        <v>2.9931966331465345</v>
      </c>
      <c r="X93" s="27">
        <f t="array" ref="X93">[1]!unf_fa_scale_SI(X$41,$M93,q_liq,fw,rp_m3m3,NaK,Ca2_,Mg2_,Ba2_,Sr2_,Cl,SO4_,HCO3_,CO2_mol,$L$81)</f>
        <v>2.7840007813022813</v>
      </c>
      <c r="Y93" s="27">
        <f t="array" ref="Y93">[1]!unf_fa_scale_SI(Y$41,$M93,q_liq,fw,rp_m3m3,NaK,Ca2_,Mg2_,Ba2_,Sr2_,Cl,SO4_,HCO3_,CO2_mol,$L$81)</f>
        <v>2.5661199806349888</v>
      </c>
      <c r="Z93" s="27">
        <f t="array" ref="Z93">[1]!unf_fa_scale_SI(Z$41,$M93,q_liq,fw,rp_m3m3,NaK,Ca2_,Mg2_,Ba2_,Sr2_,Cl,SO4_,HCO3_,CO2_mol,$L$81)</f>
        <v>2.3428400155169857</v>
      </c>
      <c r="AA93" s="27">
        <f t="array" ref="AA93">[1]!unf_fa_scale_SI(AA$41,$M93,q_liq,fw,rp_m3m3,NaK,Ca2_,Mg2_,Ba2_,Sr2_,Cl,SO4_,HCO3_,CO2_mol,$L$81)</f>
        <v>2.1241464216370121</v>
      </c>
      <c r="AB93" s="27">
        <f t="array" ref="AB93">[1]!unf_fa_scale_SI(AB$41,$M93,q_liq,fw,rp_m3m3,NaK,Ca2_,Mg2_,Ba2_,Sr2_,Cl,SO4_,HCO3_,CO2_mol,$L$81)</f>
        <v>1.9273169396421084</v>
      </c>
      <c r="AC93" s="28">
        <f t="array" ref="AC93">[1]!unf_fa_scale_SI(AC$41,$M93,q_liq,fw,rp_m3m3,NaK,Ca2_,Mg2_,Ba2_,Sr2_,Cl,SO4_,HCO3_,CO2_mol,$L$81)</f>
        <v>1.7647370406467839</v>
      </c>
    </row>
    <row r="94" spans="12:29" x14ac:dyDescent="0.2">
      <c r="L94" s="36"/>
      <c r="M94" s="26">
        <v>45</v>
      </c>
      <c r="N94" s="40">
        <f t="array" ref="N94">[1]!unf_fa_scale_SI(N$41,$M94,q_liq,fw,rp_m3m3,NaK,Ca2_,Mg2_,Ba2_,Sr2_,Cl,SO4_,HCO3_,CO2_mol,$L$81)</f>
        <v>4.6387121625727437</v>
      </c>
      <c r="O94" s="27">
        <f t="array" ref="O94">[1]!unf_fa_scale_SI(O$41,$M94,q_liq,fw,rp_m3m3,NaK,Ca2_,Mg2_,Ba2_,Sr2_,Cl,SO4_,HCO3_,CO2_mol,$L$81)</f>
        <v>4.4682906131634352</v>
      </c>
      <c r="P94" s="27">
        <f t="array" ref="P94">[1]!unf_fa_scale_SI(P$41,$M94,q_liq,fw,rp_m3m3,NaK,Ca2_,Mg2_,Ba2_,Sr2_,Cl,SO4_,HCO3_,CO2_mol,$L$81)</f>
        <v>4.2963883055835259</v>
      </c>
      <c r="Q94" s="27">
        <f t="array" ref="Q94">[1]!unf_fa_scale_SI(Q$41,$M94,q_liq,fw,rp_m3m3,NaK,Ca2_,Mg2_,Ba2_,Sr2_,Cl,SO4_,HCO3_,CO2_mol,$L$81)</f>
        <v>4.1226012939439931</v>
      </c>
      <c r="R94" s="27">
        <f t="array" ref="R94">[1]!unf_fa_scale_SI(R$41,$M94,q_liq,fw,rp_m3m3,NaK,Ca2_,Mg2_,Ba2_,Sr2_,Cl,SO4_,HCO3_,CO2_mol,$L$81)</f>
        <v>3.9464023746022212</v>
      </c>
      <c r="S94" s="27">
        <f t="array" ref="S94">[1]!unf_fa_scale_SI(S$41,$M94,q_liq,fw,rp_m3m3,NaK,Ca2_,Mg2_,Ba2_,Sr2_,Cl,SO4_,HCO3_,CO2_mol,$L$81)</f>
        <v>3.7671032353157328</v>
      </c>
      <c r="T94" s="27">
        <f t="array" ref="T94">[1]!unf_fa_scale_SI(T$41,$M94,q_liq,fw,rp_m3m3,NaK,Ca2_,Mg2_,Ba2_,Sr2_,Cl,SO4_,HCO3_,CO2_mol,$L$81)</f>
        <v>3.583810449928829</v>
      </c>
      <c r="U94" s="27">
        <f t="array" ref="U94">[1]!unf_fa_scale_SI(U$41,$M94,q_liq,fw,rp_m3m3,NaK,Ca2_,Mg2_,Ba2_,Sr2_,Cl,SO4_,HCO3_,CO2_mol,$L$81)</f>
        <v>3.3953844716677866</v>
      </c>
      <c r="V94" s="27">
        <f t="array" ref="V94">[1]!unf_fa_scale_SI(V$41,$M94,q_liq,fw,rp_m3m3,NaK,Ca2_,Mg2_,Ba2_,Sr2_,Cl,SO4_,HCO3_,CO2_mol,$L$81)</f>
        <v>3.2004305662196133</v>
      </c>
      <c r="W94" s="27">
        <f t="array" ref="W94">[1]!unf_fa_scale_SI(W$41,$M94,q_liq,fw,rp_m3m3,NaK,Ca2_,Mg2_,Ba2_,Sr2_,Cl,SO4_,HCO3_,CO2_mol,$L$81)</f>
        <v>2.9974002034083034</v>
      </c>
      <c r="X94" s="27">
        <f t="array" ref="X94">[1]!unf_fa_scale_SI(X$41,$M94,q_liq,fw,rp_m3m3,NaK,Ca2_,Mg2_,Ba2_,Sr2_,Cl,SO4_,HCO3_,CO2_mol,$L$81)</f>
        <v>2.7849971758476686</v>
      </c>
      <c r="Y94" s="27">
        <f t="array" ref="Y94">[1]!unf_fa_scale_SI(Y$41,$M94,q_liq,fw,rp_m3m3,NaK,Ca2_,Mg2_,Ba2_,Sr2_,Cl,SO4_,HCO3_,CO2_mol,$L$81)</f>
        <v>2.563313130203384</v>
      </c>
      <c r="Z94" s="27">
        <f t="array" ref="Z94">[1]!unf_fa_scale_SI(Z$41,$M94,q_liq,fw,rp_m3m3,NaK,Ca2_,Mg2_,Ba2_,Sr2_,Cl,SO4_,HCO3_,CO2_mol,$L$81)</f>
        <v>2.3363625509251529</v>
      </c>
      <c r="AA94" s="27">
        <f t="array" ref="AA94">[1]!unf_fa_scale_SI(AA$41,$M94,q_liq,fw,rp_m3m3,NaK,Ca2_,Mg2_,Ba2_,Sr2_,Cl,SO4_,HCO3_,CO2_mol,$L$81)</f>
        <v>2.1158787466816626</v>
      </c>
      <c r="AB94" s="27">
        <f t="array" ref="AB94">[1]!unf_fa_scale_SI(AB$41,$M94,q_liq,fw,rp_m3m3,NaK,Ca2_,Mg2_,Ba2_,Sr2_,Cl,SO4_,HCO3_,CO2_mol,$L$81)</f>
        <v>1.9211873192739626</v>
      </c>
      <c r="AC94" s="28">
        <f t="array" ref="AC94">[1]!unf_fa_scale_SI(AC$41,$M94,q_liq,fw,rp_m3m3,NaK,Ca2_,Mg2_,Ba2_,Sr2_,Cl,SO4_,HCO3_,CO2_mol,$L$81)</f>
        <v>1.7639959144798842</v>
      </c>
    </row>
    <row r="95" spans="12:29" x14ac:dyDescent="0.2">
      <c r="L95" s="36"/>
      <c r="M95" s="26">
        <v>50</v>
      </c>
      <c r="N95" s="40">
        <f t="array" ref="N95">[1]!unf_fa_scale_SI(N$41,$M95,q_liq,fw,rp_m3m3,NaK,Ca2_,Mg2_,Ba2_,Sr2_,Cl,SO4_,HCO3_,CO2_mol,$L$81)</f>
        <v>4.6533996475784276</v>
      </c>
      <c r="O95" s="27">
        <f t="array" ref="O95">[1]!unf_fa_scale_SI(O$41,$M95,q_liq,fw,rp_m3m3,NaK,Ca2_,Mg2_,Ba2_,Sr2_,Cl,SO4_,HCO3_,CO2_mol,$L$81)</f>
        <v>4.4828086981663793</v>
      </c>
      <c r="P95" s="27">
        <f t="array" ref="P95">[1]!unf_fa_scale_SI(P$41,$M95,q_liq,fw,rp_m3m3,NaK,Ca2_,Mg2_,Ba2_,Sr2_,Cl,SO4_,HCO3_,CO2_mol,$L$81)</f>
        <v>4.310671987777277</v>
      </c>
      <c r="Q95" s="27">
        <f t="array" ref="Q95">[1]!unf_fa_scale_SI(Q$41,$M95,q_liq,fw,rp_m3m3,NaK,Ca2_,Mg2_,Ba2_,Sr2_,Cl,SO4_,HCO3_,CO2_mol,$L$81)</f>
        <v>4.1365589338493995</v>
      </c>
      <c r="R95" s="27">
        <f t="array" ref="R95">[1]!unf_fa_scale_SI(R$41,$M95,q_liq,fw,rp_m3m3,NaK,Ca2_,Mg2_,Ba2_,Sr2_,Cl,SO4_,HCO3_,CO2_mol,$L$81)</f>
        <v>3.9599047419822702</v>
      </c>
      <c r="S95" s="27">
        <f t="array" ref="S95">[1]!unf_fa_scale_SI(S$41,$M95,q_liq,fw,rp_m3m3,NaK,Ca2_,Mg2_,Ba2_,Sr2_,Cl,SO4_,HCO3_,CO2_mol,$L$81)</f>
        <v>3.7799685071321418</v>
      </c>
      <c r="T95" s="27">
        <f t="array" ref="T95">[1]!unf_fa_scale_SI(T$41,$M95,q_liq,fw,rp_m3m3,NaK,Ca2_,Mg2_,Ba2_,Sr2_,Cl,SO4_,HCO3_,CO2_mol,$L$81)</f>
        <v>3.5957844163800621</v>
      </c>
      <c r="U95" s="27">
        <f t="array" ref="U95">[1]!unf_fa_scale_SI(U$41,$M95,q_liq,fw,rp_m3m3,NaK,Ca2_,Mg2_,Ba2_,Sr2_,Cl,SO4_,HCO3_,CO2_mol,$L$81)</f>
        <v>3.4061163564156614</v>
      </c>
      <c r="V95" s="27">
        <f t="array" ref="V95">[1]!unf_fa_scale_SI(V$41,$M95,q_liq,fw,rp_m3m3,NaK,Ca2_,Mg2_,Ba2_,Sr2_,Cl,SO4_,HCO3_,CO2_mol,$L$81)</f>
        <v>3.2094487338950364</v>
      </c>
      <c r="W95" s="27">
        <f t="array" ref="W95">[1]!unf_fa_scale_SI(W$41,$M95,q_liq,fw,rp_m3m3,NaK,Ca2_,Mg2_,Ba2_,Sr2_,Cl,SO4_,HCO3_,CO2_mol,$L$81)</f>
        <v>3.0041031645937961</v>
      </c>
      <c r="X95" s="27">
        <f t="array" ref="X95">[1]!unf_fa_scale_SI(X$41,$M95,q_liq,fw,rp_m3m3,NaK,Ca2_,Mg2_,Ba2_,Sr2_,Cl,SO4_,HCO3_,CO2_mol,$L$81)</f>
        <v>2.7887045001488557</v>
      </c>
      <c r="Y95" s="27">
        <f t="array" ref="Y95">[1]!unf_fa_scale_SI(Y$41,$M95,q_liq,fw,rp_m3m3,NaK,Ca2_,Mg2_,Ba2_,Sr2_,Cl,SO4_,HCO3_,CO2_mol,$L$81)</f>
        <v>2.5634865854947453</v>
      </c>
      <c r="Z95" s="27">
        <f t="array" ref="Z95">[1]!unf_fa_scale_SI(Z$41,$M95,q_liq,fw,rp_m3m3,NaK,Ca2_,Mg2_,Ba2_,Sr2_,Cl,SO4_,HCO3_,CO2_mol,$L$81)</f>
        <v>2.3331956372845681</v>
      </c>
      <c r="AA95" s="27">
        <f t="array" ref="AA95">[1]!unf_fa_scale_SI(AA$41,$M95,q_liq,fw,rp_m3m3,NaK,Ca2_,Mg2_,Ba2_,Sr2_,Cl,SO4_,HCO3_,CO2_mol,$L$81)</f>
        <v>2.1112721429141823</v>
      </c>
      <c r="AB95" s="27">
        <f t="array" ref="AB95">[1]!unf_fa_scale_SI(AB$41,$M95,q_liq,fw,rp_m3m3,NaK,Ca2_,Mg2_,Ba2_,Sr2_,Cl,SO4_,HCO3_,CO2_mol,$L$81)</f>
        <v>1.9188569476494797</v>
      </c>
      <c r="AC95" s="28">
        <f t="array" ref="AC95">[1]!unf_fa_scale_SI(AC$41,$M95,q_liq,fw,rp_m3m3,NaK,Ca2_,Mg2_,Ba2_,Sr2_,Cl,SO4_,HCO3_,CO2_mol,$L$81)</f>
        <v>1.7666207898886475</v>
      </c>
    </row>
    <row r="96" spans="12:29" x14ac:dyDescent="0.2">
      <c r="L96" s="36"/>
      <c r="M96" s="26">
        <v>55</v>
      </c>
      <c r="N96" s="40">
        <f t="array" ref="N96">[1]!unf_fa_scale_SI(N$41,$M96,q_liq,fw,rp_m3m3,NaK,Ca2_,Mg2_,Ba2_,Sr2_,Cl,SO4_,HCO3_,CO2_mol,$L$81)</f>
        <v>4.6700102484614634</v>
      </c>
      <c r="O96" s="27">
        <f t="array" ref="O96">[1]!unf_fa_scale_SI(O$41,$M96,q_liq,fw,rp_m3m3,NaK,Ca2_,Mg2_,Ba2_,Sr2_,Cl,SO4_,HCO3_,CO2_mol,$L$81)</f>
        <v>4.4992613161939632</v>
      </c>
      <c r="P96" s="27">
        <f t="array" ref="P96">[1]!unf_fa_scale_SI(P$41,$M96,q_liq,fw,rp_m3m3,NaK,Ca2_,Mg2_,Ba2_,Sr2_,Cl,SO4_,HCO3_,CO2_mol,$L$81)</f>
        <v>4.3269057656076582</v>
      </c>
      <c r="Q96" s="27">
        <f t="array" ref="Q96">[1]!unf_fa_scale_SI(Q$41,$M96,q_liq,fw,rp_m3m3,NaK,Ca2_,Mg2_,Ba2_,Sr2_,Cl,SO4_,HCO3_,CO2_mol,$L$81)</f>
        <v>4.1524880016152492</v>
      </c>
      <c r="R96" s="27">
        <f t="array" ref="R96">[1]!unf_fa_scale_SI(R$41,$M96,q_liq,fw,rp_m3m3,NaK,Ca2_,Mg2_,Ba2_,Sr2_,Cl,SO4_,HCO3_,CO2_mol,$L$81)</f>
        <v>3.9754078974899008</v>
      </c>
      <c r="S96" s="27">
        <f t="array" ref="S96">[1]!unf_fa_scale_SI(S$41,$M96,q_liq,fw,rp_m3m3,NaK,Ca2_,Mg2_,Ba2_,Sr2_,Cl,SO4_,HCO3_,CO2_mol,$L$81)</f>
        <v>3.7948750592247817</v>
      </c>
      <c r="T96" s="27">
        <f t="array" ref="T96">[1]!unf_fa_scale_SI(T$41,$M96,q_liq,fw,rp_m3m3,NaK,Ca2_,Mg2_,Ba2_,Sr2_,Cl,SO4_,HCO3_,CO2_mol,$L$81)</f>
        <v>3.6098554673316796</v>
      </c>
      <c r="U96" s="27">
        <f t="array" ref="U96">[1]!unf_fa_scale_SI(U$41,$M96,q_liq,fw,rp_m3m3,NaK,Ca2_,Mg2_,Ba2_,Sr2_,Cl,SO4_,HCO3_,CO2_mol,$L$81)</f>
        <v>3.4190218829717365</v>
      </c>
      <c r="V96" s="27">
        <f t="array" ref="V96">[1]!unf_fa_scale_SI(V$41,$M96,q_liq,fw,rp_m3m3,NaK,Ca2_,Mg2_,Ba2_,Sr2_,Cl,SO4_,HCO3_,CO2_mol,$L$81)</f>
        <v>3.2207445409103395</v>
      </c>
      <c r="W96" s="27">
        <f t="array" ref="W96">[1]!unf_fa_scale_SI(W$41,$M96,q_liq,fw,rp_m3m3,NaK,Ca2_,Mg2_,Ba2_,Sr2_,Cl,SO4_,HCO3_,CO2_mol,$L$81)</f>
        <v>3.0132226623779799</v>
      </c>
      <c r="X96" s="27">
        <f t="array" ref="X96">[1]!unf_fa_scale_SI(X$41,$M96,q_liq,fw,rp_m3m3,NaK,Ca2_,Mg2_,Ba2_,Sr2_,Cl,SO4_,HCO3_,CO2_mol,$L$81)</f>
        <v>2.7950092431941327</v>
      </c>
      <c r="Y96" s="27">
        <f t="array" ref="Y96">[1]!unf_fa_scale_SI(Y$41,$M96,q_liq,fw,rp_m3m3,NaK,Ca2_,Mg2_,Ba2_,Sr2_,Cl,SO4_,HCO3_,CO2_mol,$L$81)</f>
        <v>2.5664854854283616</v>
      </c>
      <c r="Z96" s="27">
        <f t="array" ref="Z96">[1]!unf_fa_scale_SI(Z$41,$M96,q_liq,fw,rp_m3m3,NaK,Ca2_,Mg2_,Ba2_,Sr2_,Cl,SO4_,HCO3_,CO2_mol,$L$81)</f>
        <v>2.3331285170441118</v>
      </c>
      <c r="AA96" s="27">
        <f t="array" ref="AA96">[1]!unf_fa_scale_SI(AA$41,$M96,q_liq,fw,rp_m3m3,NaK,Ca2_,Mg2_,Ba2_,Sr2_,Cl,SO4_,HCO3_,CO2_mol,$L$81)</f>
        <v>2.1100423792265879</v>
      </c>
      <c r="AB96" s="27">
        <f t="array" ref="AB96">[1]!unf_fa_scale_SI(AB$41,$M96,q_liq,fw,rp_m3m3,NaK,Ca2_,Mg2_,Ba2_,Sr2_,Cl,SO4_,HCO3_,CO2_mol,$L$81)</f>
        <v>1.9199709352757044</v>
      </c>
      <c r="AC96" s="28">
        <f t="array" ref="AC96">[1]!unf_fa_scale_SI(AC$41,$M96,q_liq,fw,rp_m3m3,NaK,Ca2_,Mg2_,Ba2_,Sr2_,Cl,SO4_,HCO3_,CO2_mol,$L$81)</f>
        <v>1.7722790260471186</v>
      </c>
    </row>
    <row r="97" spans="12:29" x14ac:dyDescent="0.2">
      <c r="L97" s="36"/>
      <c r="M97" s="26">
        <v>60</v>
      </c>
      <c r="N97" s="40">
        <f t="array" ref="N97">[1]!unf_fa_scale_SI(N$41,$M97,q_liq,fw,rp_m3m3,NaK,Ca2_,Mg2_,Ba2_,Sr2_,Cl,SO4_,HCO3_,CO2_mol,$L$81)</f>
        <v>4.6885399200996583</v>
      </c>
      <c r="O97" s="27">
        <f t="array" ref="O97">[1]!unf_fa_scale_SI(O$41,$M97,q_liq,fw,rp_m3m3,NaK,Ca2_,Mg2_,Ba2_,Sr2_,Cl,SO4_,HCO3_,CO2_mol,$L$81)</f>
        <v>4.5176430757512245</v>
      </c>
      <c r="P97" s="27">
        <f t="array" ref="P97">[1]!unf_fa_scale_SI(P$41,$M97,q_liq,fw,rp_m3m3,NaK,Ca2_,Mg2_,Ba2_,Sr2_,Cl,SO4_,HCO3_,CO2_mol,$L$81)</f>
        <v>4.3450823954715228</v>
      </c>
      <c r="Q97" s="27">
        <f t="array" ref="Q97">[1]!unf_fa_scale_SI(Q$41,$M97,q_liq,fw,rp_m3m3,NaK,Ca2_,Mg2_,Ba2_,Sr2_,Cl,SO4_,HCO3_,CO2_mol,$L$81)</f>
        <v>4.1703786931428199</v>
      </c>
      <c r="R97" s="27">
        <f t="array" ref="R97">[1]!unf_fa_scale_SI(R$41,$M97,q_liq,fw,rp_m3m3,NaK,Ca2_,Mg2_,Ba2_,Sr2_,Cl,SO4_,HCO3_,CO2_mol,$L$81)</f>
        <v>3.9928984848512488</v>
      </c>
      <c r="S97" s="27">
        <f t="array" ref="S97">[1]!unf_fa_scale_SI(S$41,$M97,q_liq,fw,rp_m3m3,NaK,Ca2_,Mg2_,Ba2_,Sr2_,Cl,SO4_,HCO3_,CO2_mol,$L$81)</f>
        <v>3.8118045993521217</v>
      </c>
      <c r="T97" s="27">
        <f t="array" ref="T97">[1]!unf_fa_scale_SI(T$41,$M97,q_liq,fw,rp_m3m3,NaK,Ca2_,Mg2_,Ba2_,Sr2_,Cl,SO4_,HCO3_,CO2_mol,$L$81)</f>
        <v>3.6259984563656125</v>
      </c>
      <c r="U97" s="27">
        <f t="array" ref="U97">[1]!unf_fa_scale_SI(U$41,$M97,q_liq,fw,rp_m3m3,NaK,Ca2_,Mg2_,Ba2_,Sr2_,Cl,SO4_,HCO3_,CO2_mol,$L$81)</f>
        <v>3.4340664201824995</v>
      </c>
      <c r="V97" s="27">
        <f t="array" ref="V97">[1]!unf_fa_scale_SI(V$41,$M97,q_liq,fw,rp_m3m3,NaK,Ca2_,Mg2_,Ba2_,Sr2_,Cl,SO4_,HCO3_,CO2_mol,$L$81)</f>
        <v>3.2342703177691496</v>
      </c>
      <c r="W97" s="27">
        <f t="array" ref="W97">[1]!unf_fa_scale_SI(W$41,$M97,q_liq,fw,rp_m3m3,NaK,Ca2_,Mg2_,Ba2_,Sr2_,Cl,SO4_,HCO3_,CO2_mol,$L$81)</f>
        <v>3.0246932695687856</v>
      </c>
      <c r="X97" s="27">
        <f t="array" ref="X97">[1]!unf_fa_scale_SI(X$41,$M97,q_liq,fw,rp_m3m3,NaK,Ca2_,Mg2_,Ba2_,Sr2_,Cl,SO4_,HCO3_,CO2_mol,$L$81)</f>
        <v>2.8038220210600033</v>
      </c>
      <c r="Y97" s="27">
        <f t="array" ref="Y97">[1]!unf_fa_scale_SI(Y$41,$M97,q_liq,fw,rp_m3m3,NaK,Ca2_,Mg2_,Ba2_,Sr2_,Cl,SO4_,HCO3_,CO2_mol,$L$81)</f>
        <v>2.5721882762959374</v>
      </c>
      <c r="Z97" s="27">
        <f t="array" ref="Z97">[1]!unf_fa_scale_SI(Z$41,$M97,q_liq,fw,rp_m3m3,NaK,Ca2_,Mg2_,Ba2_,Sr2_,Cl,SO4_,HCO3_,CO2_mol,$L$81)</f>
        <v>2.3359964194881999</v>
      </c>
      <c r="AA97" s="27">
        <f t="array" ref="AA97">[1]!unf_fa_scale_SI(AA$41,$M97,q_liq,fw,rp_m3m3,NaK,Ca2_,Mg2_,Ba2_,Sr2_,Cl,SO4_,HCO3_,CO2_mol,$L$81)</f>
        <v>2.1119689885835133</v>
      </c>
      <c r="AB97" s="27">
        <f t="array" ref="AB97">[1]!unf_fa_scale_SI(AB$41,$M97,q_liq,fw,rp_m3m3,NaK,Ca2_,Mg2_,Ba2_,Sr2_,Cl,SO4_,HCO3_,CO2_mol,$L$81)</f>
        <v>1.9242605913598321</v>
      </c>
      <c r="AC97" s="28">
        <f t="array" ref="AC97">[1]!unf_fa_scale_SI(AC$41,$M97,q_liq,fw,rp_m3m3,NaK,Ca2_,Mg2_,Ba2_,Sr2_,Cl,SO4_,HCO3_,CO2_mol,$L$81)</f>
        <v>1.780732008282023</v>
      </c>
    </row>
    <row r="98" spans="12:29" x14ac:dyDescent="0.2">
      <c r="L98" s="36"/>
      <c r="M98" s="26">
        <v>65</v>
      </c>
      <c r="N98" s="40">
        <f t="array" ref="N98">[1]!unf_fa_scale_SI(N$41,$M98,q_liq,fw,rp_m3m3,NaK,Ca2_,Mg2_,Ba2_,Sr2_,Cl,SO4_,HCO3_,CO2_mol,$L$81)</f>
        <v>4.7089853376169231</v>
      </c>
      <c r="O98" s="27">
        <f t="array" ref="O98">[1]!unf_fa_scale_SI(O$41,$M98,q_liq,fw,rp_m3m3,NaK,Ca2_,Mg2_,Ba2_,Sr2_,Cl,SO4_,HCO3_,CO2_mol,$L$81)</f>
        <v>4.537949555305218</v>
      </c>
      <c r="P98" s="27">
        <f t="array" ref="P98">[1]!unf_fa_scale_SI(P$41,$M98,q_liq,fw,rp_m3m3,NaK,Ca2_,Mg2_,Ba2_,Sr2_,Cl,SO4_,HCO3_,CO2_mol,$L$81)</f>
        <v>4.365195950188042</v>
      </c>
      <c r="Q98" s="27">
        <f t="array" ref="Q98">[1]!unf_fa_scale_SI(Q$41,$M98,q_liq,fw,rp_m3m3,NaK,Ca2_,Mg2_,Ba2_,Sr2_,Cl,SO4_,HCO3_,CO2_mol,$L$81)</f>
        <v>4.1902230035784545</v>
      </c>
      <c r="R98" s="27">
        <f t="array" ref="R98">[1]!unf_fa_scale_SI(R$41,$M98,q_liq,fw,rp_m3m3,NaK,Ca2_,Mg2_,Ba2_,Sr2_,Cl,SO4_,HCO3_,CO2_mol,$L$81)</f>
        <v>4.0123656219443884</v>
      </c>
      <c r="S98" s="27">
        <f t="array" ref="S98">[1]!unf_fa_scale_SI(S$41,$M98,q_liq,fw,rp_m3m3,NaK,Ca2_,Mg2_,Ba2_,Sr2_,Cl,SO4_,HCO3_,CO2_mol,$L$81)</f>
        <v>3.8307422541339</v>
      </c>
      <c r="T98" s="27">
        <f t="array" ref="T98">[1]!unf_fa_scale_SI(T$41,$M98,q_liq,fw,rp_m3m3,NaK,Ca2_,Mg2_,Ba2_,Sr2_,Cl,SO4_,HCO3_,CO2_mol,$L$81)</f>
        <v>3.6441929774997095</v>
      </c>
      <c r="U98" s="27">
        <f t="array" ref="U98">[1]!unf_fa_scale_SI(U$41,$M98,q_liq,fw,rp_m3m3,NaK,Ca2_,Mg2_,Ba2_,Sr2_,Cl,SO4_,HCO3_,CO2_mol,$L$81)</f>
        <v>3.4512219208238792</v>
      </c>
      <c r="V98" s="27">
        <f t="array" ref="V98">[1]!unf_fa_scale_SI(V$41,$M98,q_liq,fw,rp_m3m3,NaK,Ca2_,Mg2_,Ba2_,Sr2_,Cl,SO4_,HCO3_,CO2_mol,$L$81)</f>
        <v>3.2499875371601052</v>
      </c>
      <c r="W98" s="27">
        <f t="array" ref="W98">[1]!unf_fa_scale_SI(W$41,$M98,q_liq,fw,rp_m3m3,NaK,Ca2_,Mg2_,Ba2_,Sr2_,Cl,SO4_,HCO3_,CO2_mol,$L$81)</f>
        <v>3.0384622271449291</v>
      </c>
      <c r="X98" s="27">
        <f t="array" ref="X98">[1]!unf_fa_scale_SI(X$41,$M98,q_liq,fw,rp_m3m3,NaK,Ca2_,Mg2_,Ba2_,Sr2_,Cl,SO4_,HCO3_,CO2_mol,$L$81)</f>
        <v>2.8150709469557493</v>
      </c>
      <c r="Y98" s="27">
        <f t="array" ref="Y98">[1]!unf_fa_scale_SI(Y$41,$M98,q_liq,fw,rp_m3m3,NaK,Ca2_,Mg2_,Ba2_,Sr2_,Cl,SO4_,HCO3_,CO2_mol,$L$81)</f>
        <v>2.5804975031554203</v>
      </c>
      <c r="Z98" s="27">
        <f t="array" ref="Z98">[1]!unf_fa_scale_SI(Z$41,$M98,q_liq,fw,rp_m3m3,NaK,Ca2_,Mg2_,Ba2_,Sr2_,Cl,SO4_,HCO3_,CO2_mol,$L$81)</f>
        <v>2.3416677691260204</v>
      </c>
      <c r="AA98" s="27">
        <f t="array" ref="AA98">[1]!unf_fa_scale_SI(AA$41,$M98,q_liq,fw,rp_m3m3,NaK,Ca2_,Mg2_,Ba2_,Sr2_,Cl,SO4_,HCO3_,CO2_mol,$L$81)</f>
        <v>2.1168773586136225</v>
      </c>
      <c r="AB98" s="27">
        <f t="array" ref="AB98">[1]!unf_fa_scale_SI(AB$41,$M98,q_liq,fw,rp_m3m3,NaK,Ca2_,Mg2_,Ba2_,Sr2_,Cl,SO4_,HCO3_,CO2_mol,$L$81)</f>
        <v>1.9315182421123045</v>
      </c>
      <c r="AC98" s="28">
        <f t="array" ref="AC98">[1]!unf_fa_scale_SI(AC$41,$M98,q_liq,fw,rp_m3m3,NaK,Ca2_,Mg2_,Ba2_,Sr2_,Cl,SO4_,HCO3_,CO2_mol,$L$81)</f>
        <v>1.7918044912962796</v>
      </c>
    </row>
    <row r="99" spans="12:29" x14ac:dyDescent="0.2">
      <c r="L99" s="37"/>
      <c r="M99" s="29">
        <v>70</v>
      </c>
      <c r="N99" s="41">
        <f t="array" ref="N99">[1]!unf_fa_scale_SI(N$41,$M99,q_liq,fw,rp_m3m3,NaK,Ca2_,Mg2_,Ba2_,Sr2_,Cl,SO4_,HCO3_,CO2_mol,$L$81)</f>
        <v>4.7313437265490421</v>
      </c>
      <c r="O99" s="30">
        <f t="array" ref="O99">[1]!unf_fa_scale_SI(O$41,$M99,q_liq,fw,rp_m3m3,NaK,Ca2_,Mg2_,Ba2_,Sr2_,Cl,SO4_,HCO3_,CO2_mol,$L$81)</f>
        <v>4.5601770723760282</v>
      </c>
      <c r="P99" s="30">
        <f t="array" ref="P99">[1]!unf_fa_scale_SI(P$41,$M99,q_liq,fw,rp_m3m3,NaK,Ca2_,Mg2_,Ba2_,Sr2_,Cl,SO4_,HCO3_,CO2_mol,$L$81)</f>
        <v>4.3872415027317082</v>
      </c>
      <c r="Q99" s="30">
        <f t="array" ref="Q99">[1]!unf_fa_scale_SI(Q$41,$M99,q_liq,fw,rp_m3m3,NaK,Ca2_,Mg2_,Ba2_,Sr2_,Cl,SO4_,HCO3_,CO2_mol,$L$81)</f>
        <v>4.2120142912871366</v>
      </c>
      <c r="R99" s="30">
        <f t="array" ref="R99">[1]!unf_fa_scale_SI(R$41,$M99,q_liq,fw,rp_m3m3,NaK,Ca2_,Mg2_,Ba2_,Sr2_,Cl,SO4_,HCO3_,CO2_mol,$L$81)</f>
        <v>4.03380029631737</v>
      </c>
      <c r="S99" s="30">
        <f t="array" ref="S99">[1]!unf_fa_scale_SI(S$41,$M99,q_liq,fw,rp_m3m3,NaK,Ca2_,Mg2_,Ba2_,Sr2_,Cl,SO4_,HCO3_,CO2_mol,$L$81)</f>
        <v>3.85167572737685</v>
      </c>
      <c r="T99" s="30">
        <f t="array" ref="T99">[1]!unf_fa_scale_SI(T$41,$M99,q_liq,fw,rp_m3m3,NaK,Ca2_,Mg2_,Ba2_,Sr2_,Cl,SO4_,HCO3_,CO2_mol,$L$81)</f>
        <v>3.6644221897998341</v>
      </c>
      <c r="U99" s="30">
        <f t="array" ref="U99">[1]!unf_fa_scale_SI(U$41,$M99,q_liq,fw,rp_m3m3,NaK,Ca2_,Mg2_,Ba2_,Sr2_,Cl,SO4_,HCO3_,CO2_mol,$L$81)</f>
        <v>3.4704652780206753</v>
      </c>
      <c r="V99" s="30">
        <f t="array" ref="V99">[1]!unf_fa_scale_SI(V$41,$M99,q_liq,fw,rp_m3m3,NaK,Ca2_,Mg2_,Ba2_,Sr2_,Cl,SO4_,HCO3_,CO2_mol,$L$81)</f>
        <v>3.2678645167013829</v>
      </c>
      <c r="W99" s="30">
        <f t="array" ref="W99">[1]!unf_fa_scale_SI(W$41,$M99,q_liq,fw,rp_m3m3,NaK,Ca2_,Mg2_,Ba2_,Sr2_,Cl,SO4_,HCO3_,CO2_mol,$L$81)</f>
        <v>3.054486240143294</v>
      </c>
      <c r="X99" s="30">
        <f t="array" ref="X99">[1]!unf_fa_scale_SI(X$41,$M99,q_liq,fw,rp_m3m3,NaK,Ca2_,Mg2_,Ba2_,Sr2_,Cl,SO4_,HCO3_,CO2_mol,$L$81)</f>
        <v>2.8286971766244027</v>
      </c>
      <c r="Y99" s="30">
        <f t="array" ref="Y99">[1]!unf_fa_scale_SI(Y$41,$M99,q_liq,fw,rp_m3m3,NaK,Ca2_,Mg2_,Ba2_,Sr2_,Cl,SO4_,HCO3_,CO2_mol,$L$81)</f>
        <v>2.5913336344008582</v>
      </c>
      <c r="Z99" s="30">
        <f t="array" ref="Z99">[1]!unf_fa_scale_SI(Z$41,$M99,q_liq,fw,rp_m3m3,NaK,Ca2_,Mg2_,Ba2_,Sr2_,Cl,SO4_,HCO3_,CO2_mol,$L$81)</f>
        <v>2.3500356215028835</v>
      </c>
      <c r="AA99" s="30">
        <f t="array" ref="AA99">[1]!unf_fa_scale_SI(AA$41,$M99,q_liq,fw,rp_m3m3,NaK,Ca2_,Mg2_,Ba2_,Sr2_,Cl,SO4_,HCO3_,CO2_mol,$L$81)</f>
        <v>2.1246267608199667</v>
      </c>
      <c r="AB99" s="30">
        <f t="array" ref="AB99">[1]!unf_fa_scale_SI(AB$41,$M99,q_liq,fw,rp_m3m3,NaK,Ca2_,Mg2_,Ba2_,Sr2_,Cl,SO4_,HCO3_,CO2_mol,$L$81)</f>
        <v>1.9415805466259015</v>
      </c>
      <c r="AC99" s="31">
        <f t="array" ref="AC99">[1]!unf_fa_scale_SI(AC$41,$M99,q_liq,fw,rp_m3m3,NaK,Ca2_,Mg2_,Ba2_,Sr2_,Cl,SO4_,HCO3_,CO2_mol,$L$81)</f>
        <v>1.805365119495121</v>
      </c>
    </row>
    <row r="100" spans="12:29" x14ac:dyDescent="0.2">
      <c r="M100" s="11"/>
      <c r="N100" s="11"/>
      <c r="O100" s="11"/>
      <c r="P100" s="11"/>
      <c r="Q100" s="11"/>
      <c r="R100" s="11"/>
      <c r="S100" s="11"/>
      <c r="T100" s="11"/>
      <c r="U100" s="10"/>
      <c r="V100" s="10"/>
      <c r="W100" s="10"/>
      <c r="X100" s="10"/>
      <c r="Y100" s="10"/>
      <c r="Z100" s="10"/>
      <c r="AA100" s="10"/>
      <c r="AB100" s="16"/>
      <c r="AC100" s="17"/>
    </row>
    <row r="101" spans="12:29" x14ac:dyDescent="0.2">
      <c r="M101" s="11"/>
      <c r="N101" s="11"/>
      <c r="O101" s="11"/>
      <c r="P101" s="11"/>
      <c r="Q101" s="11"/>
      <c r="R101" s="11"/>
      <c r="S101" s="11"/>
      <c r="T101" s="11"/>
      <c r="U101" s="10"/>
      <c r="V101" s="10"/>
      <c r="W101" s="10"/>
      <c r="X101" s="10"/>
      <c r="Y101" s="10"/>
      <c r="Z101" s="10"/>
      <c r="AA101" s="10"/>
      <c r="AB101" s="16"/>
      <c r="AC101" s="17"/>
    </row>
    <row r="102" spans="12:29" x14ac:dyDescent="0.2">
      <c r="L102" s="10">
        <v>5</v>
      </c>
      <c r="M102" s="20" t="s">
        <v>21</v>
      </c>
      <c r="N102" s="11"/>
      <c r="O102" s="11"/>
      <c r="P102" s="11"/>
      <c r="Q102" s="11"/>
      <c r="R102" s="11"/>
      <c r="S102" s="11"/>
      <c r="T102" s="11"/>
      <c r="U102" s="10"/>
      <c r="V102" s="10"/>
      <c r="W102" s="10"/>
      <c r="X102" s="10"/>
      <c r="Y102" s="10"/>
      <c r="Z102" s="10"/>
      <c r="AA102" s="10"/>
      <c r="AB102" s="16"/>
      <c r="AC102" s="17"/>
    </row>
    <row r="103" spans="12:29" x14ac:dyDescent="0.2">
      <c r="M103" s="11"/>
      <c r="N103" s="11"/>
      <c r="O103" s="11">
        <v>1.4</v>
      </c>
      <c r="P103" s="11"/>
      <c r="Q103" s="11"/>
      <c r="R103" s="11"/>
      <c r="S103" s="11"/>
      <c r="T103" s="11"/>
      <c r="U103" s="10"/>
      <c r="V103" s="10"/>
      <c r="W103" s="10"/>
      <c r="X103" s="10"/>
      <c r="Y103" s="10"/>
      <c r="Z103" s="10"/>
      <c r="AA103" s="10"/>
      <c r="AB103" s="16"/>
      <c r="AC103" s="17"/>
    </row>
    <row r="104" spans="12:29" x14ac:dyDescent="0.2">
      <c r="L104" s="32"/>
      <c r="M104" s="22"/>
      <c r="N104" s="22" t="s">
        <v>17</v>
      </c>
      <c r="O104" s="22"/>
      <c r="P104" s="22"/>
      <c r="Q104" s="22"/>
      <c r="R104" s="22"/>
      <c r="S104" s="22"/>
      <c r="T104" s="22"/>
      <c r="U104" s="33"/>
      <c r="V104" s="33"/>
      <c r="W104" s="33"/>
      <c r="X104" s="33"/>
      <c r="Y104" s="33"/>
      <c r="Z104" s="33"/>
      <c r="AA104" s="33"/>
      <c r="AB104" s="34"/>
      <c r="AC104" s="35"/>
    </row>
    <row r="105" spans="12:29" x14ac:dyDescent="0.2">
      <c r="L105" s="36"/>
      <c r="M105" s="21"/>
      <c r="N105" s="22">
        <v>1</v>
      </c>
      <c r="O105" s="22">
        <f t="shared" ref="O105:AC105" si="4">N105*$O$17</f>
        <v>1.46</v>
      </c>
      <c r="P105" s="23">
        <f t="shared" si="4"/>
        <v>2.1315999999999997</v>
      </c>
      <c r="Q105" s="24">
        <f t="shared" si="4"/>
        <v>3.1121359999999996</v>
      </c>
      <c r="R105" s="24">
        <f t="shared" si="4"/>
        <v>4.5437185599999994</v>
      </c>
      <c r="S105" s="24">
        <f t="shared" si="4"/>
        <v>6.6338290975999987</v>
      </c>
      <c r="T105" s="24">
        <f t="shared" si="4"/>
        <v>9.6853904824959987</v>
      </c>
      <c r="U105" s="24">
        <f t="shared" si="4"/>
        <v>14.140670104444158</v>
      </c>
      <c r="V105" s="24">
        <f t="shared" si="4"/>
        <v>20.645378352488471</v>
      </c>
      <c r="W105" s="24">
        <f t="shared" si="4"/>
        <v>30.142252394633168</v>
      </c>
      <c r="X105" s="24">
        <f t="shared" si="4"/>
        <v>44.007688496164427</v>
      </c>
      <c r="Y105" s="24">
        <f t="shared" si="4"/>
        <v>64.251225204400058</v>
      </c>
      <c r="Z105" s="24">
        <f t="shared" si="4"/>
        <v>93.80678879842408</v>
      </c>
      <c r="AA105" s="24">
        <f t="shared" si="4"/>
        <v>136.95791164569914</v>
      </c>
      <c r="AB105" s="24">
        <f t="shared" si="4"/>
        <v>199.95855100272075</v>
      </c>
      <c r="AC105" s="25">
        <f t="shared" si="4"/>
        <v>291.93948446397229</v>
      </c>
    </row>
    <row r="106" spans="12:29" x14ac:dyDescent="0.2">
      <c r="L106" s="26" t="s">
        <v>18</v>
      </c>
      <c r="M106" s="26">
        <v>1</v>
      </c>
      <c r="N106" s="38">
        <f t="array" ref="N106">[1]!unf_fa_scale_SI(N$41,$M106,q_liq,fw,rp_m3m3,NaK,Ca2_,Mg2_,Ba2_,Sr2_,Cl,SO4_,HCO3_,CO2_mol,$L$102)</f>
        <v>-1.9677983606121205</v>
      </c>
      <c r="O106" s="23">
        <f t="array" ref="O106">[1]!unf_fa_scale_SI(O$41,$M106,q_liq,fw,rp_m3m3,NaK,Ca2_,Mg2_,Ba2_,Sr2_,Cl,SO4_,HCO3_,CO2_mol,$L$102)</f>
        <v>-2.1352496881886758</v>
      </c>
      <c r="P106" s="23">
        <f t="array" ref="P106">[1]!unf_fa_scale_SI(P$41,$M106,q_liq,fw,rp_m3m3,NaK,Ca2_,Mg2_,Ba2_,Sr2_,Cl,SO4_,HCO3_,CO2_mol,$L$102)</f>
        <v>-2.3030159318349872</v>
      </c>
      <c r="Q106" s="23">
        <f t="array" ref="Q106">[1]!unf_fa_scale_SI(Q$41,$M106,q_liq,fw,rp_m3m3,NaK,Ca2_,Mg2_,Ba2_,Sr2_,Cl,SO4_,HCO3_,CO2_mol,$L$102)</f>
        <v>-2.4710167349775025</v>
      </c>
      <c r="R106" s="23">
        <f t="array" ref="R106">[1]!unf_fa_scale_SI(R$41,$M106,q_liq,fw,rp_m3m3,NaK,Ca2_,Mg2_,Ba2_,Sr2_,Cl,SO4_,HCO3_,CO2_mol,$L$102)</f>
        <v>-2.6390938127590298</v>
      </c>
      <c r="S106" s="23">
        <f t="array" ref="S106">[1]!unf_fa_scale_SI(S$41,$M106,q_liq,fw,rp_m3m3,NaK,Ca2_,Mg2_,Ba2_,Sr2_,Cl,SO4_,HCO3_,CO2_mol,$L$102)</f>
        <v>-2.8069725471996732</v>
      </c>
      <c r="T106" s="23">
        <f t="array" ref="T106">[1]!unf_fa_scale_SI(T$41,$M106,q_liq,fw,rp_m3m3,NaK,Ca2_,Mg2_,Ba2_,Sr2_,Cl,SO4_,HCO3_,CO2_mol,$L$102)</f>
        <v>-2.974211395861686</v>
      </c>
      <c r="U106" s="23">
        <f t="array" ref="U106">[1]!unf_fa_scale_SI(U$41,$M106,q_liq,fw,rp_m3m3,NaK,Ca2_,Mg2_,Ba2_,Sr2_,Cl,SO4_,HCO3_,CO2_mol,$L$102)</f>
        <v>-3.1401404375812456</v>
      </c>
      <c r="V106" s="23">
        <f t="array" ref="V106">[1]!unf_fa_scale_SI(V$41,$M106,q_liq,fw,rp_m3m3,NaK,Ca2_,Mg2_,Ba2_,Sr2_,Cl,SO4_,HCO3_,CO2_mol,$L$102)</f>
        <v>-3.3037972435415783</v>
      </c>
      <c r="W106" s="23">
        <f t="array" ref="W106">[1]!unf_fa_scale_SI(W$41,$M106,q_liq,fw,rp_m3m3,NaK,Ca2_,Mg2_,Ba2_,Sr2_,Cl,SO4_,HCO3_,CO2_mol,$L$102)</f>
        <v>-3.4638819965730088</v>
      </c>
      <c r="X106" s="23">
        <f t="array" ref="X106">[1]!unf_fa_scale_SI(X$41,$M106,q_liq,fw,rp_m3m3,NaK,Ca2_,Mg2_,Ba2_,Sr2_,Cl,SO4_,HCO3_,CO2_mol,$L$102)</f>
        <v>-3.6187765841796855</v>
      </c>
      <c r="Y106" s="23">
        <f t="array" ref="Y106">[1]!unf_fa_scale_SI(Y$41,$M106,q_liq,fw,rp_m3m3,NaK,Ca2_,Mg2_,Ba2_,Sr2_,Cl,SO4_,HCO3_,CO2_mol,$L$102)</f>
        <v>-3.76670144325342</v>
      </c>
      <c r="Z106" s="23">
        <f t="array" ref="Z106">[1]!unf_fa_scale_SI(Z$41,$M106,q_liq,fw,rp_m3m3,NaK,Ca2_,Mg2_,Ba2_,Sr2_,Cl,SO4_,HCO3_,CO2_mol,$L$102)</f>
        <v>-3.9061038204142084</v>
      </c>
      <c r="AA106" s="23">
        <f t="array" ref="AA106">[1]!unf_fa_scale_SI(AA$41,$M106,q_liq,fw,rp_m3m3,NaK,Ca2_,Mg2_,Ba2_,Sr2_,Cl,SO4_,HCO3_,CO2_mol,$L$102)</f>
        <v>-4.0363490560191932</v>
      </c>
      <c r="AB106" s="23">
        <f t="array" ref="AB106">[1]!unf_fa_scale_SI(AB$41,$M106,q_liq,fw,rp_m3m3,NaK,Ca2_,Mg2_,Ba2_,Sr2_,Cl,SO4_,HCO3_,CO2_mol,$L$102)</f>
        <v>-4.1586781158288391</v>
      </c>
      <c r="AC106" s="39">
        <f t="array" ref="AC106">[1]!unf_fa_scale_SI(AC$41,$M106,q_liq,fw,rp_m3m3,NaK,Ca2_,Mg2_,Ba2_,Sr2_,Cl,SO4_,HCO3_,CO2_mol,$L$102)</f>
        <v>-4.277119701162289</v>
      </c>
    </row>
    <row r="107" spans="12:29" x14ac:dyDescent="0.2">
      <c r="L107" s="36"/>
      <c r="M107" s="26">
        <v>5</v>
      </c>
      <c r="N107" s="40">
        <f t="array" ref="N107">[1]!unf_fa_scale_SI(N$41,$M107,q_liq,fw,rp_m3m3,NaK,Ca2_,Mg2_,Ba2_,Sr2_,Cl,SO4_,HCO3_,CO2_mol,$L$102)</f>
        <v>-1.9633033063826679</v>
      </c>
      <c r="O107" s="27">
        <f t="array" ref="O107">[1]!unf_fa_scale_SI(O$41,$M107,q_liq,fw,rp_m3m3,NaK,Ca2_,Mg2_,Ba2_,Sr2_,Cl,SO4_,HCO3_,CO2_mol,$L$102)</f>
        <v>-2.1312332580333986</v>
      </c>
      <c r="P107" s="27">
        <f t="array" ref="P107">[1]!unf_fa_scale_SI(P$41,$M107,q_liq,fw,rp_m3m3,NaK,Ca2_,Mg2_,Ba2_,Sr2_,Cl,SO4_,HCO3_,CO2_mol,$L$102)</f>
        <v>-2.2996684426564271</v>
      </c>
      <c r="Q107" s="27">
        <f t="array" ref="Q107">[1]!unf_fa_scale_SI(Q$41,$M107,q_liq,fw,rp_m3m3,NaK,Ca2_,Mg2_,Ba2_,Sr2_,Cl,SO4_,HCO3_,CO2_mol,$L$102)</f>
        <v>-2.4686079315775635</v>
      </c>
      <c r="R107" s="27">
        <f t="array" ref="R107">[1]!unf_fa_scale_SI(R$41,$M107,q_liq,fw,rp_m3m3,NaK,Ca2_,Mg2_,Ba2_,Sr2_,Cl,SO4_,HCO3_,CO2_mol,$L$102)</f>
        <v>-2.638005725591833</v>
      </c>
      <c r="S107" s="27">
        <f t="array" ref="S107">[1]!unf_fa_scale_SI(S$41,$M107,q_liq,fw,rp_m3m3,NaK,Ca2_,Mg2_,Ba2_,Sr2_,Cl,SO4_,HCO3_,CO2_mol,$L$102)</f>
        <v>-2.807744597065962</v>
      </c>
      <c r="T107" s="27">
        <f t="array" ref="T107">[1]!unf_fa_scale_SI(T$41,$M107,q_liq,fw,rp_m3m3,NaK,Ca2_,Mg2_,Ba2_,Sr2_,Cl,SO4_,HCO3_,CO2_mol,$L$102)</f>
        <v>-2.9776006011437857</v>
      </c>
      <c r="U107" s="27">
        <f t="array" ref="U107">[1]!unf_fa_scale_SI(U$41,$M107,q_liq,fw,rp_m3m3,NaK,Ca2_,Mg2_,Ba2_,Sr2_,Cl,SO4_,HCO3_,CO2_mol,$L$102)</f>
        <v>-3.147198206127269</v>
      </c>
      <c r="V107" s="27">
        <f t="array" ref="V107">[1]!unf_fa_scale_SI(V$41,$M107,q_liq,fw,rp_m3m3,NaK,Ca2_,Mg2_,Ba2_,Sr2_,Cl,SO4_,HCO3_,CO2_mol,$L$102)</f>
        <v>-3.3159599806711824</v>
      </c>
      <c r="W107" s="27">
        <f t="array" ref="W107">[1]!unf_fa_scale_SI(W$41,$M107,q_liq,fw,rp_m3m3,NaK,Ca2_,Mg2_,Ba2_,Sr2_,Cl,SO4_,HCO3_,CO2_mol,$L$102)</f>
        <v>-3.4830631403128094</v>
      </c>
      <c r="X107" s="27">
        <f t="array" ref="X107">[1]!unf_fa_scale_SI(X$41,$M107,q_liq,fw,rp_m3m3,NaK,Ca2_,Mg2_,Ba2_,Sr2_,Cl,SO4_,HCO3_,CO2_mol,$L$102)</f>
        <v>-3.6474294862490519</v>
      </c>
      <c r="Y107" s="27">
        <f t="array" ref="Y107">[1]!unf_fa_scale_SI(Y$41,$M107,q_liq,fw,rp_m3m3,NaK,Ca2_,Mg2_,Ba2_,Sr2_,Cl,SO4_,HCO3_,CO2_mol,$L$102)</f>
        <v>-3.8077926097861368</v>
      </c>
      <c r="Z107" s="27">
        <f t="array" ref="Z107">[1]!unf_fa_scale_SI(Z$41,$M107,q_liq,fw,rp_m3m3,NaK,Ca2_,Mg2_,Ba2_,Sr2_,Cl,SO4_,HCO3_,CO2_mol,$L$102)</f>
        <v>-3.9628900585312397</v>
      </c>
      <c r="AA107" s="27">
        <f t="array" ref="AA107">[1]!unf_fa_scale_SI(AA$41,$M107,q_liq,fw,rp_m3m3,NaK,Ca2_,Mg2_,Ba2_,Sr2_,Cl,SO4_,HCO3_,CO2_mol,$L$102)</f>
        <v>-4.1117714650253729</v>
      </c>
      <c r="AB107" s="27">
        <f t="array" ref="AB107">[1]!unf_fa_scale_SI(AB$41,$M107,q_liq,fw,rp_m3m3,NaK,Ca2_,Mg2_,Ba2_,Sr2_,Cl,SO4_,HCO3_,CO2_mol,$L$102)</f>
        <v>-4.2540050923116466</v>
      </c>
      <c r="AC107" s="28">
        <f t="array" ref="AC107">[1]!unf_fa_scale_SI(AC$41,$M107,q_liq,fw,rp_m3m3,NaK,Ca2_,Mg2_,Ba2_,Sr2_,Cl,SO4_,HCO3_,CO2_mol,$L$102)</f>
        <v>-4.3891092199011785</v>
      </c>
    </row>
    <row r="108" spans="12:29" x14ac:dyDescent="0.2">
      <c r="L108" s="36"/>
      <c r="M108" s="26">
        <v>10</v>
      </c>
      <c r="N108" s="40">
        <f t="array" ref="N108">[1]!unf_fa_scale_SI(N$41,$M108,q_liq,fw,rp_m3m3,NaK,Ca2_,Mg2_,Ba2_,Sr2_,Cl,SO4_,HCO3_,CO2_mol,$L$102)</f>
        <v>-1.9566231099879936</v>
      </c>
      <c r="O108" s="27">
        <f t="array" ref="O108">[1]!unf_fa_scale_SI(O$41,$M108,q_liq,fw,rp_m3m3,NaK,Ca2_,Mg2_,Ba2_,Sr2_,Cl,SO4_,HCO3_,CO2_mol,$L$102)</f>
        <v>-2.1249919133109625</v>
      </c>
      <c r="P108" s="27">
        <f t="array" ref="P108">[1]!unf_fa_scale_SI(P$41,$M108,q_liq,fw,rp_m3m3,NaK,Ca2_,Mg2_,Ba2_,Sr2_,Cl,SO4_,HCO3_,CO2_mol,$L$102)</f>
        <v>-2.2940359883713644</v>
      </c>
      <c r="Q108" s="27">
        <f t="array" ref="Q108">[1]!unf_fa_scale_SI(Q$41,$M108,q_liq,fw,rp_m3m3,NaK,Ca2_,Mg2_,Ba2_,Sr2_,Cl,SO4_,HCO3_,CO2_mol,$L$102)</f>
        <v>-2.4638242479838262</v>
      </c>
      <c r="R108" s="27">
        <f t="array" ref="R108">[1]!unf_fa_scale_SI(R$41,$M108,q_liq,fw,rp_m3m3,NaK,Ca2_,Mg2_,Ba2_,Sr2_,Cl,SO4_,HCO3_,CO2_mol,$L$102)</f>
        <v>-2.6344090968698879</v>
      </c>
      <c r="S108" s="27">
        <f t="array" ref="S108">[1]!unf_fa_scale_SI(S$41,$M108,q_liq,fw,rp_m3m3,NaK,Ca2_,Mg2_,Ba2_,Sr2_,Cl,SO4_,HCO3_,CO2_mol,$L$102)</f>
        <v>-2.8058107253592421</v>
      </c>
      <c r="T108" s="27">
        <f t="array" ref="T108">[1]!unf_fa_scale_SI(T$41,$M108,q_liq,fw,rp_m3m3,NaK,Ca2_,Mg2_,Ba2_,Sr2_,Cl,SO4_,HCO3_,CO2_mol,$L$102)</f>
        <v>-2.9779942301790889</v>
      </c>
      <c r="U108" s="27">
        <f t="array" ref="U108">[1]!unf_fa_scale_SI(U$41,$M108,q_liq,fw,rp_m3m3,NaK,Ca2_,Mg2_,Ba2_,Sr2_,Cl,SO4_,HCO3_,CO2_mol,$L$102)</f>
        <v>-3.1508377641728451</v>
      </c>
      <c r="V108" s="27">
        <f t="array" ref="V108">[1]!unf_fa_scale_SI(V$41,$M108,q_liq,fw,rp_m3m3,NaK,Ca2_,Mg2_,Ba2_,Sr2_,Cl,SO4_,HCO3_,CO2_mol,$L$102)</f>
        <v>-3.324090424574182</v>
      </c>
      <c r="W108" s="27">
        <f t="array" ref="W108">[1]!unf_fa_scale_SI(W$41,$M108,q_liq,fw,rp_m3m3,NaK,Ca2_,Mg2_,Ba2_,Sr2_,Cl,SO4_,HCO3_,CO2_mol,$L$102)</f>
        <v>-3.4973197045474045</v>
      </c>
      <c r="X108" s="27">
        <f t="array" ref="X108">[1]!unf_fa_scale_SI(X$41,$M108,q_liq,fw,rp_m3m3,NaK,Ca2_,Mg2_,Ba2_,Sr2_,Cl,SO4_,HCO3_,CO2_mol,$L$102)</f>
        <v>-3.6698488712935298</v>
      </c>
      <c r="Y108" s="27">
        <f t="array" ref="Y108">[1]!unf_fa_scale_SI(Y$41,$M108,q_liq,fw,rp_m3m3,NaK,Ca2_,Mg2_,Ba2_,Sr2_,Cl,SO4_,HCO3_,CO2_mol,$L$102)</f>
        <v>-3.8406789067975122</v>
      </c>
      <c r="Z108" s="27">
        <f t="array" ref="Z108">[1]!unf_fa_scale_SI(Z$41,$M108,q_liq,fw,rp_m3m3,NaK,Ca2_,Mg2_,Ba2_,Sr2_,Cl,SO4_,HCO3_,CO2_mol,$L$102)</f>
        <v>-4.0083607130506902</v>
      </c>
      <c r="AA108" s="27">
        <f t="array" ref="AA108">[1]!unf_fa_scale_SI(AA$41,$M108,q_liq,fw,rp_m3m3,NaK,Ca2_,Mg2_,Ba2_,Sr2_,Cl,SO4_,HCO3_,CO2_mol,$L$102)</f>
        <v>-4.1706985446462905</v>
      </c>
      <c r="AB108" s="27">
        <f t="array" ref="AB108">[1]!unf_fa_scale_SI(AB$41,$M108,q_liq,fw,rp_m3m3,NaK,Ca2_,Mg2_,Ba2_,Sr2_,Cl,SO4_,HCO3_,CO2_mol,$L$102)</f>
        <v>-4.3240224600484432</v>
      </c>
      <c r="AC108" s="28">
        <f t="array" ref="AC108">[1]!unf_fa_scale_SI(AC$41,$M108,q_liq,fw,rp_m3m3,NaK,Ca2_,Mg2_,Ba2_,Sr2_,Cl,SO4_,HCO3_,CO2_mol,$L$102)</f>
        <v>-4.4618677118262688</v>
      </c>
    </row>
    <row r="109" spans="12:29" x14ac:dyDescent="0.2">
      <c r="L109" s="36"/>
      <c r="M109" s="26">
        <v>15</v>
      </c>
      <c r="N109" s="40">
        <f t="array" ref="N109">[1]!unf_fa_scale_SI(N$41,$M109,q_liq,fw,rp_m3m3,NaK,Ca2_,Mg2_,Ba2_,Sr2_,Cl,SO4_,HCO3_,CO2_mol,$L$102)</f>
        <v>-1.9489785482105662</v>
      </c>
      <c r="O109" s="27">
        <f t="array" ref="O109">[1]!unf_fa_scale_SI(O$41,$M109,q_liq,fw,rp_m3m3,NaK,Ca2_,Mg2_,Ba2_,Sr2_,Cl,SO4_,HCO3_,CO2_mol,$L$102)</f>
        <v>-2.1177014596998545</v>
      </c>
      <c r="P109" s="27">
        <f t="array" ref="P109">[1]!unf_fa_scale_SI(P$41,$M109,q_liq,fw,rp_m3m3,NaK,Ca2_,Mg2_,Ba2_,Sr2_,Cl,SO4_,HCO3_,CO2_mol,$L$102)</f>
        <v>-2.2872351202025465</v>
      </c>
      <c r="Q109" s="27">
        <f t="array" ref="Q109">[1]!unf_fa_scale_SI(Q$41,$M109,q_liq,fw,rp_m3m3,NaK,Ca2_,Mg2_,Ba2_,Sr2_,Cl,SO4_,HCO3_,CO2_mol,$L$102)</f>
        <v>-2.4577036578635569</v>
      </c>
      <c r="R109" s="27">
        <f t="array" ref="R109">[1]!unf_fa_scale_SI(R$41,$M109,q_liq,fw,rp_m3m3,NaK,Ca2_,Mg2_,Ba2_,Sr2_,Cl,SO4_,HCO3_,CO2_mol,$L$102)</f>
        <v>-2.6292371554696556</v>
      </c>
      <c r="S109" s="27">
        <f t="array" ref="S109">[1]!unf_fa_scale_SI(S$41,$M109,q_liq,fw,rp_m3m3,NaK,Ca2_,Mg2_,Ba2_,Sr2_,Cl,SO4_,HCO3_,CO2_mol,$L$102)</f>
        <v>-2.8019640889055397</v>
      </c>
      <c r="T109" s="27">
        <f t="array" ref="T109">[1]!unf_fa_scale_SI(T$41,$M109,q_liq,fw,rp_m3m3,NaK,Ca2_,Mg2_,Ba2_,Sr2_,Cl,SO4_,HCO3_,CO2_mol,$L$102)</f>
        <v>-2.9759981367099764</v>
      </c>
      <c r="U109" s="27">
        <f t="array" ref="U109">[1]!unf_fa_scale_SI(U$41,$M109,q_liq,fw,rp_m3m3,NaK,Ca2_,Mg2_,Ba2_,Sr2_,Cl,SO4_,HCO3_,CO2_mol,$L$102)</f>
        <v>-3.151415870855943</v>
      </c>
      <c r="V109" s="27">
        <f t="array" ref="V109">[1]!unf_fa_scale_SI(V$41,$M109,q_liq,fw,rp_m3m3,NaK,Ca2_,Mg2_,Ba2_,Sr2_,Cl,SO4_,HCO3_,CO2_mol,$L$102)</f>
        <v>-3.3282189735099967</v>
      </c>
      <c r="W109" s="27">
        <f t="array" ref="W109">[1]!unf_fa_scale_SI(W$41,$M109,q_liq,fw,rp_m3m3,NaK,Ca2_,Mg2_,Ba2_,Sr2_,Cl,SO4_,HCO3_,CO2_mol,$L$102)</f>
        <v>-3.5062682567678793</v>
      </c>
      <c r="X109" s="27">
        <f t="array" ref="X109">[1]!unf_fa_scale_SI(X$41,$M109,q_liq,fw,rp_m3m3,NaK,Ca2_,Mg2_,Ba2_,Sr2_,Cl,SO4_,HCO3_,CO2_mol,$L$102)</f>
        <v>-3.685162023845538</v>
      </c>
      <c r="Y109" s="27">
        <f t="array" ref="Y109">[1]!unf_fa_scale_SI(Y$41,$M109,q_liq,fw,rp_m3m3,NaK,Ca2_,Mg2_,Ba2_,Sr2_,Cl,SO4_,HCO3_,CO2_mol,$L$102)</f>
        <v>-3.8639980658806143</v>
      </c>
      <c r="Z109" s="27">
        <f t="array" ref="Z109">[1]!unf_fa_scale_SI(Z$41,$M109,q_liq,fw,rp_m3m3,NaK,Ca2_,Mg2_,Ba2_,Sr2_,Cl,SO4_,HCO3_,CO2_mol,$L$102)</f>
        <v>-4.0408932348285331</v>
      </c>
      <c r="AA109" s="27">
        <f t="array" ref="AA109">[1]!unf_fa_scale_SI(AA$41,$M109,q_liq,fw,rp_m3m3,NaK,Ca2_,Mg2_,Ba2_,Sr2_,Cl,SO4_,HCO3_,CO2_mol,$L$102)</f>
        <v>-4.2120569584966576</v>
      </c>
      <c r="AB109" s="27">
        <f t="array" ref="AB109">[1]!unf_fa_scale_SI(AB$41,$M109,q_liq,fw,rp_m3m3,NaK,Ca2_,Mg2_,Ba2_,Sr2_,Cl,SO4_,HCO3_,CO2_mol,$L$102)</f>
        <v>-4.3703596177637047</v>
      </c>
      <c r="AC109" s="28">
        <f t="array" ref="AC109">[1]!unf_fa_scale_SI(AC$41,$M109,q_liq,fw,rp_m3m3,NaK,Ca2_,Mg2_,Ba2_,Sr2_,Cl,SO4_,HCO3_,CO2_mol,$L$102)</f>
        <v>-4.5045485888641243</v>
      </c>
    </row>
    <row r="110" spans="12:29" x14ac:dyDescent="0.2">
      <c r="L110" s="36"/>
      <c r="M110" s="26">
        <v>20</v>
      </c>
      <c r="N110" s="40">
        <f t="array" ref="N110">[1]!unf_fa_scale_SI(N$41,$M110,q_liq,fw,rp_m3m3,NaK,Ca2_,Mg2_,Ba2_,Sr2_,Cl,SO4_,HCO3_,CO2_mol,$L$102)</f>
        <v>-1.9404505143186801</v>
      </c>
      <c r="O110" s="27">
        <f t="array" ref="O110">[1]!unf_fa_scale_SI(O$41,$M110,q_liq,fw,rp_m3m3,NaK,Ca2_,Mg2_,Ba2_,Sr2_,Cl,SO4_,HCO3_,CO2_mol,$L$102)</f>
        <v>-2.1094756102063608</v>
      </c>
      <c r="P110" s="27">
        <f t="array" ref="P110">[1]!unf_fa_scale_SI(P$41,$M110,q_liq,fw,rp_m3m3,NaK,Ca2_,Mg2_,Ba2_,Sr2_,Cl,SO4_,HCO3_,CO2_mol,$L$102)</f>
        <v>-2.2794264320765389</v>
      </c>
      <c r="Q110" s="27">
        <f t="array" ref="Q110">[1]!unf_fa_scale_SI(Q$41,$M110,q_liq,fw,rp_m3m3,NaK,Ca2_,Mg2_,Ba2_,Sr2_,Cl,SO4_,HCO3_,CO2_mol,$L$102)</f>
        <v>-2.4504738214524071</v>
      </c>
      <c r="R110" s="27">
        <f t="array" ref="R110">[1]!unf_fa_scale_SI(R$41,$M110,q_liq,fw,rp_m3m3,NaK,Ca2_,Mg2_,Ba2_,Sr2_,Cl,SO4_,HCO3_,CO2_mol,$L$102)</f>
        <v>-2.6228135478619983</v>
      </c>
      <c r="S110" s="27">
        <f t="array" ref="S110">[1]!unf_fa_scale_SI(S$41,$M110,q_liq,fw,rp_m3m3,NaK,Ca2_,Mg2_,Ba2_,Sr2_,Cl,SO4_,HCO3_,CO2_mol,$L$102)</f>
        <v>-2.7966656052561039</v>
      </c>
      <c r="T110" s="27">
        <f t="array" ref="T110">[1]!unf_fa_scale_SI(T$41,$M110,q_liq,fw,rp_m3m3,NaK,Ca2_,Mg2_,Ba2_,Sr2_,Cl,SO4_,HCO3_,CO2_mol,$L$102)</f>
        <v>-2.9722691148912244</v>
      </c>
      <c r="U110" s="27">
        <f t="array" ref="U110">[1]!unf_fa_scale_SI(U$41,$M110,q_liq,fw,rp_m3m3,NaK,Ca2_,Mg2_,Ba2_,Sr2_,Cl,SO4_,HCO3_,CO2_mol,$L$102)</f>
        <v>-3.1498677312914509</v>
      </c>
      <c r="V110" s="27">
        <f t="array" ref="V110">[1]!unf_fa_scale_SI(V$41,$M110,q_liq,fw,rp_m3m3,NaK,Ca2_,Mg2_,Ba2_,Sr2_,Cl,SO4_,HCO3_,CO2_mol,$L$102)</f>
        <v>-3.3296743095844921</v>
      </c>
      <c r="W110" s="27">
        <f t="array" ref="W110">[1]!unf_fa_scale_SI(W$41,$M110,q_liq,fw,rp_m3m3,NaK,Ca2_,Mg2_,Ba2_,Sr2_,Cl,SO4_,HCO3_,CO2_mol,$L$102)</f>
        <v>-3.5117896492409848</v>
      </c>
      <c r="X110" s="27">
        <f t="array" ref="X110">[1]!unf_fa_scale_SI(X$41,$M110,q_liq,fw,rp_m3m3,NaK,Ca2_,Mg2_,Ba2_,Sr2_,Cl,SO4_,HCO3_,CO2_mol,$L$102)</f>
        <v>-3.6960191683955657</v>
      </c>
      <c r="Y110" s="27">
        <f t="array" ref="Y110">[1]!unf_fa_scale_SI(Y$41,$M110,q_liq,fw,rp_m3m3,NaK,Ca2_,Mg2_,Ba2_,Sr2_,Cl,SO4_,HCO3_,CO2_mol,$L$102)</f>
        <v>-3.8814679296636374</v>
      </c>
      <c r="Z110" s="27">
        <f t="array" ref="Z110">[1]!unf_fa_scale_SI(Z$41,$M110,q_liq,fw,rp_m3m3,NaK,Ca2_,Mg2_,Ba2_,Sr2_,Cl,SO4_,HCO3_,CO2_mol,$L$102)</f>
        <v>-4.0656926646670595</v>
      </c>
      <c r="AA110" s="27">
        <f t="array" ref="AA110">[1]!unf_fa_scale_SI(AA$41,$M110,q_liq,fw,rp_m3m3,NaK,Ca2_,Mg2_,Ba2_,Sr2_,Cl,SO4_,HCO3_,CO2_mol,$L$102)</f>
        <v>-4.2431597224224831</v>
      </c>
      <c r="AB110" s="27">
        <f t="array" ref="AB110">[1]!unf_fa_scale_SI(AB$41,$M110,q_liq,fw,rp_m3m3,NaK,Ca2_,Mg2_,Ba2_,Sr2_,Cl,SO4_,HCO3_,CO2_mol,$L$102)</f>
        <v>-4.4033912038192611</v>
      </c>
      <c r="AC110" s="28">
        <f t="array" ref="AC110">[1]!unf_fa_scale_SI(AC$41,$M110,q_liq,fw,rp_m3m3,NaK,Ca2_,Mg2_,Ba2_,Sr2_,Cl,SO4_,HCO3_,CO2_mol,$L$102)</f>
        <v>-4.5317196118077838</v>
      </c>
    </row>
    <row r="111" spans="12:29" x14ac:dyDescent="0.2">
      <c r="L111" s="36"/>
      <c r="M111" s="26">
        <v>25</v>
      </c>
      <c r="N111" s="40">
        <f t="array" ref="N111">[1]!unf_fa_scale_SI(N$41,$M111,q_liq,fw,rp_m3m3,NaK,Ca2_,Mg2_,Ba2_,Sr2_,Cl,SO4_,HCO3_,CO2_mol,$L$102)</f>
        <v>-1.931078866100242</v>
      </c>
      <c r="O111" s="27">
        <f t="array" ref="O111">[1]!unf_fa_scale_SI(O$41,$M111,q_liq,fw,rp_m3m3,NaK,Ca2_,Mg2_,Ba2_,Sr2_,Cl,SO4_,HCO3_,CO2_mol,$L$102)</f>
        <v>-2.1003696065322637</v>
      </c>
      <c r="P111" s="27">
        <f t="array" ref="P111">[1]!unf_fa_scale_SI(P$41,$M111,q_liq,fw,rp_m3m3,NaK,Ca2_,Mg2_,Ba2_,Sr2_,Cl,SO4_,HCO3_,CO2_mol,$L$102)</f>
        <v>-2.2706869512825674</v>
      </c>
      <c r="Q111" s="27">
        <f t="array" ref="Q111">[1]!unf_fa_scale_SI(Q$41,$M111,q_liq,fw,rp_m3m3,NaK,Ca2_,Mg2_,Ba2_,Sr2_,Cl,SO4_,HCO3_,CO2_mol,$L$102)</f>
        <v>-2.4422426952896132</v>
      </c>
      <c r="R111" s="27">
        <f t="array" ref="R111">[1]!unf_fa_scale_SI(R$41,$M111,q_liq,fw,rp_m3m3,NaK,Ca2_,Mg2_,Ba2_,Sr2_,Cl,SO4_,HCO3_,CO2_mol,$L$102)</f>
        <v>-2.6152902002103713</v>
      </c>
      <c r="S111" s="27">
        <f t="array" ref="S111">[1]!unf_fa_scale_SI(S$41,$M111,q_liq,fw,rp_m3m3,NaK,Ca2_,Mg2_,Ba2_,Sr2_,Cl,SO4_,HCO3_,CO2_mol,$L$102)</f>
        <v>-2.7901297063892536</v>
      </c>
      <c r="T111" s="27">
        <f t="array" ref="T111">[1]!unf_fa_scale_SI(T$41,$M111,q_liq,fw,rp_m3m3,NaK,Ca2_,Mg2_,Ba2_,Sr2_,Cl,SO4_,HCO3_,CO2_mol,$L$102)</f>
        <v>-2.9671103058305168</v>
      </c>
      <c r="U111" s="27">
        <f t="array" ref="U111">[1]!unf_fa_scale_SI(U$41,$M111,q_liq,fw,rp_m3m3,NaK,Ca2_,Mg2_,Ba2_,Sr2_,Cl,SO4_,HCO3_,CO2_mol,$L$102)</f>
        <v>-3.14662194201409</v>
      </c>
      <c r="V111" s="27">
        <f t="array" ref="V111">[1]!unf_fa_scale_SI(V$41,$M111,q_liq,fw,rp_m3m3,NaK,Ca2_,Mg2_,Ba2_,Sr2_,Cl,SO4_,HCO3_,CO2_mol,$L$102)</f>
        <v>-3.329061488443021</v>
      </c>
      <c r="W111" s="27">
        <f t="array" ref="W111">[1]!unf_fa_scale_SI(W$41,$M111,q_liq,fw,rp_m3m3,NaK,Ca2_,Mg2_,Ba2_,Sr2_,Cl,SO4_,HCO3_,CO2_mol,$L$102)</f>
        <v>-3.514735417178676</v>
      </c>
      <c r="X111" s="27">
        <f t="array" ref="X111">[1]!unf_fa_scale_SI(X$41,$M111,q_liq,fw,rp_m3m3,NaK,Ca2_,Mg2_,Ba2_,Sr2_,Cl,SO4_,HCO3_,CO2_mol,$L$102)</f>
        <v>-3.703613755253683</v>
      </c>
      <c r="Y111" s="27">
        <f t="array" ref="Y111">[1]!unf_fa_scale_SI(Y$41,$M111,q_liq,fw,rp_m3m3,NaK,Ca2_,Mg2_,Ba2_,Sr2_,Cl,SO4_,HCO3_,CO2_mol,$L$102)</f>
        <v>-3.8947545714866476</v>
      </c>
      <c r="Z111" s="27">
        <f t="array" ref="Z111">[1]!unf_fa_scale_SI(Z$41,$M111,q_liq,fw,rp_m3m3,NaK,Ca2_,Mg2_,Ba2_,Sr2_,Cl,SO4_,HCO3_,CO2_mol,$L$102)</f>
        <v>-4.0850815939167253</v>
      </c>
      <c r="AA111" s="27">
        <f t="array" ref="AA111">[1]!unf_fa_scale_SI(AA$41,$M111,q_liq,fw,rp_m3m3,NaK,Ca2_,Mg2_,Ba2_,Sr2_,Cl,SO4_,HCO3_,CO2_mol,$L$102)</f>
        <v>-4.2672572320682525</v>
      </c>
      <c r="AB111" s="27">
        <f t="array" ref="AB111">[1]!unf_fa_scale_SI(AB$41,$M111,q_liq,fw,rp_m3m3,NaK,Ca2_,Mg2_,Ba2_,Sr2_,Cl,SO4_,HCO3_,CO2_mol,$L$102)</f>
        <v>-4.4276855529756913</v>
      </c>
      <c r="AC111" s="28">
        <f t="array" ref="AC111">[1]!unf_fa_scale_SI(AC$41,$M111,q_liq,fw,rp_m3m3,NaK,Ca2_,Mg2_,Ba2_,Sr2_,Cl,SO4_,HCO3_,CO2_mol,$L$102)</f>
        <v>-4.5494997435942901</v>
      </c>
    </row>
    <row r="112" spans="12:29" x14ac:dyDescent="0.2">
      <c r="L112" s="36"/>
      <c r="M112" s="26">
        <v>30</v>
      </c>
      <c r="N112" s="40">
        <f t="array" ref="N112">[1]!unf_fa_scale_SI(N$41,$M112,q_liq,fw,rp_m3m3,NaK,Ca2_,Mg2_,Ba2_,Sr2_,Cl,SO4_,HCO3_,CO2_mol,$L$102)</f>
        <v>-1.9208873573630316</v>
      </c>
      <c r="O112" s="27">
        <f t="array" ref="O112">[1]!unf_fa_scale_SI(O$41,$M112,q_liq,fw,rp_m3m3,NaK,Ca2_,Mg2_,Ba2_,Sr2_,Cl,SO4_,HCO3_,CO2_mol,$L$102)</f>
        <v>-2.0904160283395012</v>
      </c>
      <c r="P112" s="27">
        <f t="array" ref="P112">[1]!unf_fa_scale_SI(P$41,$M112,q_liq,fw,rp_m3m3,NaK,Ca2_,Mg2_,Ba2_,Sr2_,Cl,SO4_,HCO3_,CO2_mol,$L$102)</f>
        <v>-2.2610616693283121</v>
      </c>
      <c r="Q112" s="27">
        <f t="array" ref="Q112">[1]!unf_fa_scale_SI(Q$41,$M112,q_liq,fw,rp_m3m3,NaK,Ca2_,Mg2_,Ba2_,Sr2_,Cl,SO4_,HCO3_,CO2_mol,$L$102)</f>
        <v>-2.43307278278122</v>
      </c>
      <c r="R112" s="27">
        <f t="array" ref="R112">[1]!unf_fa_scale_SI(R$41,$M112,q_liq,fw,rp_m3m3,NaK,Ca2_,Mg2_,Ba2_,Sr2_,Cl,SO4_,HCO3_,CO2_mol,$L$102)</f>
        <v>-2.6067543726200326</v>
      </c>
      <c r="S112" s="27">
        <f t="array" ref="S112">[1]!unf_fa_scale_SI(S$41,$M112,q_liq,fw,rp_m3m3,NaK,Ca2_,Mg2_,Ba2_,Sr2_,Cl,SO4_,HCO3_,CO2_mol,$L$102)</f>
        <v>-2.7824786684222267</v>
      </c>
      <c r="T112" s="27">
        <f t="array" ref="T112">[1]!unf_fa_scale_SI(T$41,$M112,q_liq,fw,rp_m3m3,NaK,Ca2_,Mg2_,Ba2_,Sr2_,Cl,SO4_,HCO3_,CO2_mol,$L$102)</f>
        <v>-2.9606934500806488</v>
      </c>
      <c r="U112" s="27">
        <f t="array" ref="U112">[1]!unf_fa_scale_SI(U$41,$M112,q_liq,fw,rp_m3m3,NaK,Ca2_,Mg2_,Ba2_,Sr2_,Cl,SO4_,HCO3_,CO2_mol,$L$102)</f>
        <v>-3.141919890097959</v>
      </c>
      <c r="V112" s="27">
        <f t="array" ref="V112">[1]!unf_fa_scale_SI(V$41,$M112,q_liq,fw,rp_m3m3,NaK,Ca2_,Mg2_,Ba2_,Sr2_,Cl,SO4_,HCO3_,CO2_mol,$L$102)</f>
        <v>-3.3267194363923127</v>
      </c>
      <c r="W112" s="27">
        <f t="array" ref="W112">[1]!unf_fa_scale_SI(W$41,$M112,q_liq,fw,rp_m3m3,NaK,Ca2_,Mg2_,Ba2_,Sr2_,Cl,SO4_,HCO3_,CO2_mol,$L$102)</f>
        <v>-3.5155801417554033</v>
      </c>
      <c r="X112" s="27">
        <f t="array" ref="X112">[1]!unf_fa_scale_SI(X$41,$M112,q_liq,fw,rp_m3m3,NaK,Ca2_,Mg2_,Ba2_,Sr2_,Cl,SO4_,HCO3_,CO2_mol,$L$102)</f>
        <v>-3.7086077399860051</v>
      </c>
      <c r="Y112" s="27">
        <f t="array" ref="Y112">[1]!unf_fa_scale_SI(Y$41,$M112,q_liq,fw,rp_m3m3,NaK,Ca2_,Mg2_,Ba2_,Sr2_,Cl,SO4_,HCO3_,CO2_mol,$L$102)</f>
        <v>-3.9047779388586341</v>
      </c>
      <c r="Z112" s="27">
        <f t="array" ref="Z112">[1]!unf_fa_scale_SI(Z$41,$M112,q_liq,fw,rp_m3m3,NaK,Ca2_,Mg2_,Ba2_,Sr2_,Cl,SO4_,HCO3_,CO2_mol,$L$102)</f>
        <v>-4.1003371636788719</v>
      </c>
      <c r="AA112" s="27">
        <f t="array" ref="AA112">[1]!unf_fa_scale_SI(AA$41,$M112,q_liq,fw,rp_m3m3,NaK,Ca2_,Mg2_,Ba2_,Sr2_,Cl,SO4_,HCO3_,CO2_mol,$L$102)</f>
        <v>-4.2861285148908452</v>
      </c>
      <c r="AB112" s="27">
        <f t="array" ref="AB112">[1]!unf_fa_scale_SI(AB$41,$M112,q_liq,fw,rp_m3m3,NaK,Ca2_,Mg2_,Ba2_,Sr2_,Cl,SO4_,HCO3_,CO2_mol,$L$102)</f>
        <v>-4.4457091839213776</v>
      </c>
      <c r="AC112" s="28">
        <f t="array" ref="AC112">[1]!unf_fa_scale_SI(AC$41,$M112,q_liq,fw,rp_m3m3,NaK,Ca2_,Mg2_,Ba2_,Sr2_,Cl,SO4_,HCO3_,CO2_mol,$L$102)</f>
        <v>-4.5610102438551907</v>
      </c>
    </row>
    <row r="113" spans="12:29" x14ac:dyDescent="0.2">
      <c r="L113" s="36"/>
      <c r="M113" s="26">
        <v>35</v>
      </c>
      <c r="N113" s="40">
        <f t="array" ref="N113">[1]!unf_fa_scale_SI(N$41,$M113,q_liq,fw,rp_m3m3,NaK,Ca2_,Mg2_,Ba2_,Sr2_,Cl,SO4_,HCO3_,CO2_mol,$L$102)</f>
        <v>-1.9098917084441018</v>
      </c>
      <c r="O113" s="27">
        <f t="array" ref="O113">[1]!unf_fa_scale_SI(O$41,$M113,q_liq,fw,rp_m3m3,NaK,Ca2_,Mg2_,Ba2_,Sr2_,Cl,SO4_,HCO3_,CO2_mol,$L$102)</f>
        <v>-2.0796362673630115</v>
      </c>
      <c r="P113" s="27">
        <f t="array" ref="P113">[1]!unf_fa_scale_SI(P$41,$M113,q_liq,fw,rp_m3m3,NaK,Ca2_,Mg2_,Ba2_,Sr2_,Cl,SO4_,HCO3_,CO2_mol,$L$102)</f>
        <v>-2.2505799090150314</v>
      </c>
      <c r="Q113" s="27">
        <f t="array" ref="Q113">[1]!unf_fa_scale_SI(Q$41,$M113,q_liq,fw,rp_m3m3,NaK,Ca2_,Mg2_,Ba2_,Sr2_,Cl,SO4_,HCO3_,CO2_mol,$L$102)</f>
        <v>-2.4230045399027524</v>
      </c>
      <c r="R113" s="27">
        <f t="array" ref="R113">[1]!unf_fa_scale_SI(R$41,$M113,q_liq,fw,rp_m3m3,NaK,Ca2_,Mg2_,Ba2_,Sr2_,Cl,SO4_,HCO3_,CO2_mol,$L$102)</f>
        <v>-2.5972621875369928</v>
      </c>
      <c r="S113" s="27">
        <f t="array" ref="S113">[1]!unf_fa_scale_SI(S$41,$M113,q_liq,fw,rp_m3m3,NaK,Ca2_,Mg2_,Ba2_,Sr2_,Cl,SO4_,HCO3_,CO2_mol,$L$102)</f>
        <v>-2.7737906787161659</v>
      </c>
      <c r="T113" s="27">
        <f t="array" ref="T113">[1]!unf_fa_scale_SI(T$41,$M113,q_liq,fw,rp_m3m3,NaK,Ca2_,Mg2_,Ba2_,Sr2_,Cl,SO4_,HCO3_,CO2_mol,$L$102)</f>
        <v>-2.9531277806920659</v>
      </c>
      <c r="U113" s="27">
        <f t="array" ref="U113">[1]!unf_fa_scale_SI(U$41,$M113,q_liq,fw,rp_m3m3,NaK,Ca2_,Mg2_,Ba2_,Sr2_,Cl,SO4_,HCO3_,CO2_mol,$L$102)</f>
        <v>-3.1359143532950782</v>
      </c>
      <c r="V113" s="27">
        <f t="array" ref="V113">[1]!unf_fa_scale_SI(V$41,$M113,q_liq,fw,rp_m3m3,NaK,Ca2_,Mg2_,Ba2_,Sr2_,Cl,SO4_,HCO3_,CO2_mol,$L$102)</f>
        <v>-3.3228616789857526</v>
      </c>
      <c r="W113" s="27">
        <f t="array" ref="W113">[1]!unf_fa_scale_SI(W$41,$M113,q_liq,fw,rp_m3m3,NaK,Ca2_,Mg2_,Ba2_,Sr2_,Cl,SO4_,HCO3_,CO2_mol,$L$102)</f>
        <v>-3.5146214952489352</v>
      </c>
      <c r="X113" s="27">
        <f t="array" ref="X113">[1]!unf_fa_scale_SI(X$41,$M113,q_liq,fw,rp_m3m3,NaK,Ca2_,Mg2_,Ba2_,Sr2_,Cl,SO4_,HCO3_,CO2_mol,$L$102)</f>
        <v>-3.7114145428900915</v>
      </c>
      <c r="Y113" s="27">
        <f t="array" ref="Y113">[1]!unf_fa_scale_SI(Y$41,$M113,q_liq,fw,rp_m3m3,NaK,Ca2_,Mg2_,Ba2_,Sr2_,Cl,SO4_,HCO3_,CO2_mol,$L$102)</f>
        <v>-3.9121101941784211</v>
      </c>
      <c r="Z113" s="27">
        <f t="array" ref="Z113">[1]!unf_fa_scale_SI(Z$41,$M113,q_liq,fw,rp_m3m3,NaK,Ca2_,Mg2_,Ba2_,Sr2_,Cl,SO4_,HCO3_,CO2_mol,$L$102)</f>
        <v>-4.1122504854955562</v>
      </c>
      <c r="AA113" s="27">
        <f t="array" ref="AA113">[1]!unf_fa_scale_SI(AA$41,$M113,q_liq,fw,rp_m3m3,NaK,Ca2_,Mg2_,Ba2_,Sr2_,Cl,SO4_,HCO3_,CO2_mol,$L$102)</f>
        <v>-4.3008697209813711</v>
      </c>
      <c r="AB113" s="27">
        <f t="array" ref="AB113">[1]!unf_fa_scale_SI(AB$41,$M113,q_liq,fw,rp_m3m3,NaK,Ca2_,Mg2_,Ba2_,Sr2_,Cl,SO4_,HCO3_,CO2_mol,$L$102)</f>
        <v>-4.4589561832804101</v>
      </c>
      <c r="AC113" s="28">
        <f t="array" ref="AC113">[1]!unf_fa_scale_SI(AC$41,$M113,q_liq,fw,rp_m3m3,NaK,Ca2_,Mg2_,Ba2_,Sr2_,Cl,SO4_,HCO3_,CO2_mol,$L$102)</f>
        <v>-4.5680298863605433</v>
      </c>
    </row>
    <row r="114" spans="12:29" x14ac:dyDescent="0.2">
      <c r="L114" s="36"/>
      <c r="M114" s="26">
        <v>40</v>
      </c>
      <c r="N114" s="40">
        <f t="array" ref="N114">[1]!unf_fa_scale_SI(N$41,$M114,q_liq,fw,rp_m3m3,NaK,Ca2_,Mg2_,Ba2_,Sr2_,Cl,SO4_,HCO3_,CO2_mol,$L$102)</f>
        <v>-1.8981030462398696</v>
      </c>
      <c r="O114" s="27">
        <f t="array" ref="O114">[1]!unf_fa_scale_SI(O$41,$M114,q_liq,fw,rp_m3m3,NaK,Ca2_,Mg2_,Ba2_,Sr2_,Cl,SO4_,HCO3_,CO2_mol,$L$102)</f>
        <v>-2.0680453724859005</v>
      </c>
      <c r="P114" s="27">
        <f t="array" ref="P114">[1]!unf_fa_scale_SI(P$41,$M114,q_liq,fw,rp_m3m3,NaK,Ca2_,Mg2_,Ba2_,Sr2_,Cl,SO4_,HCO3_,CO2_mol,$L$102)</f>
        <v>-2.2392621788177234</v>
      </c>
      <c r="Q114" s="27">
        <f t="array" ref="Q114">[1]!unf_fa_scale_SI(Q$41,$M114,q_liq,fw,rp_m3m3,NaK,Ca2_,Mg2_,Ba2_,Sr2_,Cl,SO4_,HCO3_,CO2_mol,$L$102)</f>
        <v>-2.4120661069241693</v>
      </c>
      <c r="R114" s="27">
        <f t="array" ref="R114">[1]!unf_fa_scale_SI(R$41,$M114,q_liq,fw,rp_m3m3,NaK,Ca2_,Mg2_,Ba2_,Sr2_,Cl,SO4_,HCO3_,CO2_mol,$L$102)</f>
        <v>-2.5868524833047486</v>
      </c>
      <c r="S114" s="27">
        <f t="array" ref="S114">[1]!unf_fa_scale_SI(S$41,$M114,q_liq,fw,rp_m3m3,NaK,Ca2_,Mg2_,Ba2_,Sr2_,Cl,SO4_,HCO3_,CO2_mol,$L$102)</f>
        <v>-2.7641195890701686</v>
      </c>
      <c r="T114" s="27">
        <f t="array" ref="T114">[1]!unf_fa_scale_SI(T$41,$M114,q_liq,fw,rp_m3m3,NaK,Ca2_,Mg2_,Ba2_,Sr2_,Cl,SO4_,HCO3_,CO2_mol,$L$102)</f>
        <v>-2.9444882016660765</v>
      </c>
      <c r="U114" s="27">
        <f t="array" ref="U114">[1]!unf_fa_scale_SI(U$41,$M114,q_liq,fw,rp_m3m3,NaK,Ca2_,Mg2_,Ba2_,Sr2_,Cl,SO4_,HCO3_,CO2_mol,$L$102)</f>
        <v>-3.1287096639076646</v>
      </c>
      <c r="V114" s="27">
        <f t="array" ref="V114">[1]!unf_fa_scale_SI(V$41,$M114,q_liq,fw,rp_m3m3,NaK,Ca2_,Mg2_,Ba2_,Sr2_,Cl,SO4_,HCO3_,CO2_mol,$L$102)</f>
        <v>-3.3176334595405228</v>
      </c>
      <c r="W114" s="27">
        <f t="array" ref="W114">[1]!unf_fa_scale_SI(W$41,$M114,q_liq,fw,rp_m3m3,NaK,Ca2_,Mg2_,Ba2_,Sr2_,Cl,SO4_,HCO3_,CO2_mol,$L$102)</f>
        <v>-3.5120611772147834</v>
      </c>
      <c r="X114" s="27">
        <f t="array" ref="X114">[1]!unf_fa_scale_SI(X$41,$M114,q_liq,fw,rp_m3m3,NaK,Ca2_,Mg2_,Ba2_,Sr2_,Cl,SO4_,HCO3_,CO2_mol,$L$102)</f>
        <v>-3.7123132102540444</v>
      </c>
      <c r="Y114" s="27">
        <f t="array" ref="Y114">[1]!unf_fa_scale_SI(Y$41,$M114,q_liq,fw,rp_m3m3,NaK,Ca2_,Mg2_,Ba2_,Sr2_,Cl,SO4_,HCO3_,CO2_mol,$L$102)</f>
        <v>-3.9171360354660463</v>
      </c>
      <c r="Z114" s="27">
        <f t="array" ref="Z114">[1]!unf_fa_scale_SI(Z$41,$M114,q_liq,fw,rp_m3m3,NaK,Ca2_,Mg2_,Ba2_,Sr2_,Cl,SO4_,HCO3_,CO2_mol,$L$102)</f>
        <v>-4.1213513564193258</v>
      </c>
      <c r="AA114" s="27">
        <f t="array" ref="AA114">[1]!unf_fa_scale_SI(AA$41,$M114,q_liq,fw,rp_m3m3,NaK,Ca2_,Mg2_,Ba2_,Sr2_,Cl,SO4_,HCO3_,CO2_mol,$L$102)</f>
        <v>-4.3122105698188049</v>
      </c>
      <c r="AB114" s="27">
        <f t="array" ref="AB114">[1]!unf_fa_scale_SI(AB$41,$M114,q_liq,fw,rp_m3m3,NaK,Ca2_,Mg2_,Ba2_,Sr2_,Cl,SO4_,HCO3_,CO2_mol,$L$102)</f>
        <v>-4.4684018563121866</v>
      </c>
      <c r="AC114" s="28">
        <f t="array" ref="AC114">[1]!unf_fa_scale_SI(AC$41,$M114,q_liq,fw,rp_m3m3,NaK,Ca2_,Mg2_,Ba2_,Sr2_,Cl,SO4_,HCO3_,CO2_mol,$L$102)</f>
        <v>-4.5716499898752874</v>
      </c>
    </row>
    <row r="115" spans="12:29" x14ac:dyDescent="0.2">
      <c r="L115" s="36"/>
      <c r="M115" s="26">
        <v>45</v>
      </c>
      <c r="N115" s="40">
        <f t="array" ref="N115">[1]!unf_fa_scale_SI(N$41,$M115,q_liq,fw,rp_m3m3,NaK,Ca2_,Mg2_,Ba2_,Sr2_,Cl,SO4_,HCO3_,CO2_mol,$L$102)</f>
        <v>-1.8855296266363568</v>
      </c>
      <c r="O115" s="27">
        <f t="array" ref="O115">[1]!unf_fa_scale_SI(O$41,$M115,q_liq,fw,rp_m3m3,NaK,Ca2_,Mg2_,Ba2_,Sr2_,Cl,SO4_,HCO3_,CO2_mol,$L$102)</f>
        <v>-2.0556544557247047</v>
      </c>
      <c r="P115" s="27">
        <f t="array" ref="P115">[1]!unf_fa_scale_SI(P$41,$M115,q_liq,fw,rp_m3m3,NaK,Ca2_,Mg2_,Ba2_,Sr2_,Cl,SO4_,HCO3_,CO2_mol,$L$102)</f>
        <v>-2.2271235516360122</v>
      </c>
      <c r="Q115" s="27">
        <f t="array" ref="Q115">[1]!unf_fa_scale_SI(Q$41,$M115,q_liq,fw,rp_m3m3,NaK,Ca2_,Mg2_,Ba2_,Sr2_,Cl,SO4_,HCO3_,CO2_mol,$L$102)</f>
        <v>-2.4002780742393881</v>
      </c>
      <c r="R115" s="27">
        <f t="array" ref="R115">[1]!unf_fa_scale_SI(R$41,$M115,q_liq,fw,rp_m3m3,NaK,Ca2_,Mg2_,Ba2_,Sr2_,Cl,SO4_,HCO3_,CO2_mol,$L$102)</f>
        <v>-2.5755535595883678</v>
      </c>
      <c r="S115" s="27">
        <f t="array" ref="S115">[1]!unf_fa_scale_SI(S$41,$M115,q_liq,fw,rp_m3m3,NaK,Ca2_,Mg2_,Ba2_,Sr2_,Cl,SO4_,HCO3_,CO2_mol,$L$102)</f>
        <v>-2.7535044852453812</v>
      </c>
      <c r="T115" s="27">
        <f t="array" ref="T115">[1]!unf_fa_scale_SI(T$41,$M115,q_liq,fw,rp_m3m3,NaK,Ca2_,Mg2_,Ba2_,Sr2_,Cl,SO4_,HCO3_,CO2_mol,$L$102)</f>
        <v>-2.934828878733251</v>
      </c>
      <c r="U115" s="27">
        <f t="array" ref="U115">[1]!unf_fa_scale_SI(U$41,$M115,q_liq,fw,rp_m3m3,NaK,Ca2_,Mg2_,Ba2_,Sr2_,Cl,SO4_,HCO3_,CO2_mol,$L$102)</f>
        <v>-3.120381004821704</v>
      </c>
      <c r="V115" s="27">
        <f t="array" ref="V115">[1]!unf_fa_scale_SI(V$41,$M115,q_liq,fw,rp_m3m3,NaK,Ca2_,Mg2_,Ba2_,Sr2_,Cl,SO4_,HCO3_,CO2_mol,$L$102)</f>
        <v>-3.3111390860978975</v>
      </c>
      <c r="W115" s="27">
        <f t="array" ref="W115">[1]!unf_fa_scale_SI(W$41,$M115,q_liq,fw,rp_m3m3,NaK,Ca2_,Mg2_,Ba2_,Sr2_,Cl,SO4_,HCO3_,CO2_mol,$L$102)</f>
        <v>-3.5080435456181167</v>
      </c>
      <c r="X115" s="27">
        <f t="array" ref="X115">[1]!unf_fa_scale_SI(X$41,$M115,q_liq,fw,rp_m3m3,NaK,Ca2_,Mg2_,Ba2_,Sr2_,Cl,SO4_,HCO3_,CO2_mol,$L$102)</f>
        <v>-3.7115027543737575</v>
      </c>
      <c r="Y115" s="27">
        <f t="array" ref="Y115">[1]!unf_fa_scale_SI(Y$41,$M115,q_liq,fw,rp_m3m3,NaK,Ca2_,Mg2_,Ba2_,Sr2_,Cl,SO4_,HCO3_,CO2_mol,$L$102)</f>
        <v>-3.9201288245627524</v>
      </c>
      <c r="Z115" s="27">
        <f t="array" ref="Z115">[1]!unf_fa_scale_SI(Z$41,$M115,q_liq,fw,rp_m3m3,NaK,Ca2_,Mg2_,Ba2_,Sr2_,Cl,SO4_,HCO3_,CO2_mol,$L$102)</f>
        <v>-4.1280147596762617</v>
      </c>
      <c r="AA115" s="27">
        <f t="array" ref="AA115">[1]!unf_fa_scale_SI(AA$41,$M115,q_liq,fw,rp_m3m3,NaK,Ca2_,Mg2_,Ba2_,Sr2_,Cl,SO4_,HCO3_,CO2_mol,$L$102)</f>
        <v>-4.3206641834392574</v>
      </c>
      <c r="AB115" s="27">
        <f t="array" ref="AB115">[1]!unf_fa_scale_SI(AB$41,$M115,q_liq,fw,rp_m3m3,NaK,Ca2_,Mg2_,Ba2_,Sr2_,Cl,SO4_,HCO3_,CO2_mol,$L$102)</f>
        <v>-4.4747174153454345</v>
      </c>
      <c r="AC115" s="28">
        <f t="array" ref="AC115">[1]!unf_fa_scale_SI(AC$41,$M115,q_liq,fw,rp_m3m3,NaK,Ca2_,Mg2_,Ba2_,Sr2_,Cl,SO4_,HCO3_,CO2_mol,$L$102)</f>
        <v>-4.5725770547072884</v>
      </c>
    </row>
    <row r="116" spans="12:29" x14ac:dyDescent="0.2">
      <c r="L116" s="36"/>
      <c r="M116" s="26">
        <v>50</v>
      </c>
      <c r="N116" s="40">
        <f t="array" ref="N116">[1]!unf_fa_scale_SI(N$41,$M116,q_liq,fw,rp_m3m3,NaK,Ca2_,Mg2_,Ba2_,Sr2_,Cl,SO4_,HCO3_,CO2_mol,$L$102)</f>
        <v>-1.8721777942957734</v>
      </c>
      <c r="O116" s="27">
        <f t="array" ref="O116">[1]!unf_fa_scale_SI(O$41,$M116,q_liq,fw,rp_m3m3,NaK,Ca2_,Mg2_,Ba2_,Sr2_,Cl,SO4_,HCO3_,CO2_mol,$L$102)</f>
        <v>-2.0424720233868618</v>
      </c>
      <c r="P116" s="27">
        <f t="array" ref="P116">[1]!unf_fa_scale_SI(P$41,$M116,q_liq,fw,rp_m3m3,NaK,Ca2_,Mg2_,Ba2_,Sr2_,Cl,SO4_,HCO3_,CO2_mol,$L$102)</f>
        <v>-2.2141755221073622</v>
      </c>
      <c r="Q116" s="27">
        <f t="array" ref="Q116">[1]!unf_fa_scale_SI(Q$41,$M116,q_liq,fw,rp_m3m3,NaK,Ca2_,Mg2_,Ba2_,Sr2_,Cl,SO4_,HCO3_,CO2_mol,$L$102)</f>
        <v>-2.3876560869990837</v>
      </c>
      <c r="R116" s="27">
        <f t="array" ref="R116">[1]!unf_fa_scale_SI(R$41,$M116,q_liq,fw,rp_m3m3,NaK,Ca2_,Mg2_,Ba2_,Sr2_,Cl,SO4_,HCO3_,CO2_mol,$L$102)</f>
        <v>-2.5633868448734192</v>
      </c>
      <c r="S116" s="27">
        <f t="array" ref="S116">[1]!unf_fa_scale_SI(S$41,$M116,q_liq,fw,rp_m3m3,NaK,Ca2_,Mg2_,Ba2_,Sr2_,Cl,SO4_,HCO3_,CO2_mol,$L$102)</f>
        <v>-2.7419748660940724</v>
      </c>
      <c r="T116" s="27">
        <f t="array" ref="T116">[1]!unf_fa_scale_SI(T$41,$M116,q_liq,fw,rp_m3m3,NaK,Ca2_,Mg2_,Ba2_,Sr2_,Cl,SO4_,HCO3_,CO2_mol,$L$102)</f>
        <v>-2.9241905649471183</v>
      </c>
      <c r="U116" s="27">
        <f t="array" ref="U116">[1]!unf_fa_scale_SI(U$41,$M116,q_liq,fw,rp_m3m3,NaK,Ca2_,Mg2_,Ba2_,Sr2_,Cl,SO4_,HCO3_,CO2_mol,$L$102)</f>
        <v>-3.110984772738933</v>
      </c>
      <c r="V116" s="27">
        <f t="array" ref="V116">[1]!unf_fa_scale_SI(V$41,$M116,q_liq,fw,rp_m3m3,NaK,Ca2_,Mg2_,Ba2_,Sr2_,Cl,SO4_,HCO3_,CO2_mol,$L$102)</f>
        <v>-3.3034565710875747</v>
      </c>
      <c r="W116" s="27">
        <f t="array" ref="W116">[1]!unf_fa_scale_SI(W$41,$M116,q_liq,fw,rp_m3m3,NaK,Ca2_,Mg2_,Ba2_,Sr2_,Cl,SO4_,HCO3_,CO2_mol,$L$102)</f>
        <v>-3.5026762370977242</v>
      </c>
      <c r="X116" s="27">
        <f t="array" ref="X116">[1]!unf_fa_scale_SI(X$41,$M116,q_liq,fw,rp_m3m3,NaK,Ca2_,Mg2_,Ba2_,Sr2_,Cl,SO4_,HCO3_,CO2_mol,$L$102)</f>
        <v>-3.7091310827376724</v>
      </c>
      <c r="Y116" s="27">
        <f t="array" ref="Y116">[1]!unf_fa_scale_SI(Y$41,$M116,q_liq,fw,rp_m3m3,NaK,Ca2_,Mg2_,Ba2_,Sr2_,Cl,SO4_,HCO3_,CO2_mol,$L$102)</f>
        <v>-3.921291021936494</v>
      </c>
      <c r="Z116" s="27">
        <f t="array" ref="Z116">[1]!unf_fa_scale_SI(Z$41,$M116,q_liq,fw,rp_m3m3,NaK,Ca2_,Mg2_,Ba2_,Sr2_,Cl,SO4_,HCO3_,CO2_mol,$L$102)</f>
        <v>-4.1325173259819481</v>
      </c>
      <c r="AA116" s="27">
        <f t="array" ref="AA116">[1]!unf_fa_scale_SI(AA$41,$M116,q_liq,fw,rp_m3m3,NaK,Ca2_,Mg2_,Ba2_,Sr2_,Cl,SO4_,HCO3_,CO2_mol,$L$102)</f>
        <v>-4.3266064398718393</v>
      </c>
      <c r="AB116" s="27">
        <f t="array" ref="AB116">[1]!unf_fa_scale_SI(AB$41,$M116,q_liq,fw,rp_m3m3,NaK,Ca2_,Mg2_,Ba2_,Sr2_,Cl,SO4_,HCO3_,CO2_mol,$L$102)</f>
        <v>-4.4783834396350182</v>
      </c>
      <c r="AC116" s="28">
        <f t="array" ref="AC116">[1]!unf_fa_scale_SI(AC$41,$M116,q_liq,fw,rp_m3m3,NaK,Ca2_,Mg2_,Ba2_,Sr2_,Cl,SO4_,HCO3_,CO2_mol,$L$102)</f>
        <v>-4.5712878319636276</v>
      </c>
    </row>
    <row r="117" spans="12:29" x14ac:dyDescent="0.2">
      <c r="L117" s="36"/>
      <c r="M117" s="26">
        <v>55</v>
      </c>
      <c r="N117" s="40">
        <f t="array" ref="N117">[1]!unf_fa_scale_SI(N$41,$M117,q_liq,fw,rp_m3m3,NaK,Ca2_,Mg2_,Ba2_,Sr2_,Cl,SO4_,HCO3_,CO2_mol,$L$102)</f>
        <v>-1.8580525600778395</v>
      </c>
      <c r="O117" s="27">
        <f t="array" ref="O117">[1]!unf_fa_scale_SI(O$41,$M117,q_liq,fw,rp_m3m3,NaK,Ca2_,Mg2_,Ba2_,Sr2_,Cl,SO4_,HCO3_,CO2_mol,$L$102)</f>
        <v>-2.0285047720243798</v>
      </c>
      <c r="P117" s="27">
        <f t="array" ref="P117">[1]!unf_fa_scale_SI(P$41,$M117,q_liq,fw,rp_m3m3,NaK,Ca2_,Mg2_,Ba2_,Sr2_,Cl,SO4_,HCO3_,CO2_mol,$L$102)</f>
        <v>-2.2004271109420839</v>
      </c>
      <c r="Q117" s="27">
        <f t="array" ref="Q117">[1]!unf_fa_scale_SI(Q$41,$M117,q_liq,fw,rp_m3m3,NaK,Ca2_,Mg2_,Ba2_,Sr2_,Cl,SO4_,HCO3_,CO2_mol,$L$102)</f>
        <v>-2.3742123858983333</v>
      </c>
      <c r="R117" s="27">
        <f t="array" ref="R117">[1]!unf_fa_scale_SI(R$41,$M117,q_liq,fw,rp_m3m3,NaK,Ca2_,Mg2_,Ba2_,Sr2_,Cl,SO4_,HCO3_,CO2_mol,$L$102)</f>
        <v>-2.5503690560308914</v>
      </c>
      <c r="S117" s="27">
        <f t="array" ref="S117">[1]!unf_fa_scale_SI(S$41,$M117,q_liq,fw,rp_m3m3,NaK,Ca2_,Mg2_,Ba2_,Sr2_,Cl,SO4_,HCO3_,CO2_mol,$L$102)</f>
        <v>-2.7295536806665353</v>
      </c>
      <c r="T117" s="27">
        <f t="array" ref="T117">[1]!unf_fa_scale_SI(T$41,$M117,q_liq,fw,rp_m3m3,NaK,Ca2_,Mg2_,Ba2_,Sr2_,Cl,SO4_,HCO3_,CO2_mol,$L$102)</f>
        <v>-2.9126048806606035</v>
      </c>
      <c r="U117" s="27">
        <f t="array" ref="U117">[1]!unf_fa_scale_SI(U$41,$M117,q_liq,fw,rp_m3m3,NaK,Ca2_,Mg2_,Ba2_,Sr2_,Cl,SO4_,HCO3_,CO2_mol,$L$102)</f>
        <v>-3.1005646128479589</v>
      </c>
      <c r="V117" s="27">
        <f t="array" ref="V117">[1]!unf_fa_scale_SI(V$41,$M117,q_liq,fw,rp_m3m3,NaK,Ca2_,Mg2_,Ba2_,Sr2_,Cl,SO4_,HCO3_,CO2_mol,$L$102)</f>
        <v>-3.2946461307373744</v>
      </c>
      <c r="W117" s="27">
        <f t="array" ref="W117">[1]!unf_fa_scale_SI(W$41,$M117,q_liq,fw,rp_m3m3,NaK,Ca2_,Mg2_,Ba2_,Sr2_,Cl,SO4_,HCO3_,CO2_mol,$L$102)</f>
        <v>-3.4960421059786433</v>
      </c>
      <c r="X117" s="27">
        <f t="array" ref="X117">[1]!unf_fa_scale_SI(X$41,$M117,q_liq,fw,rp_m3m3,NaK,Ca2_,Mg2_,Ba2_,Sr2_,Cl,SO4_,HCO3_,CO2_mol,$L$102)</f>
        <v>-3.7053117063574983</v>
      </c>
      <c r="Y117" s="27">
        <f t="array" ref="Y117">[1]!unf_fa_scale_SI(Y$41,$M117,q_liq,fw,rp_m3m3,NaK,Ca2_,Mg2_,Ba2_,Sr2_,Cl,SO4_,HCO3_,CO2_mol,$L$102)</f>
        <v>-3.9207774886679796</v>
      </c>
      <c r="Z117" s="27">
        <f t="array" ref="Z117">[1]!unf_fa_scale_SI(Z$41,$M117,q_liq,fw,rp_m3m3,NaK,Ca2_,Mg2_,Ba2_,Sr2_,Cl,SO4_,HCO3_,CO2_mol,$L$102)</f>
        <v>-4.1350698128875054</v>
      </c>
      <c r="AA117" s="27">
        <f t="array" ref="AA117">[1]!unf_fa_scale_SI(AA$41,$M117,q_liq,fw,rp_m3m3,NaK,Ca2_,Mg2_,Ba2_,Sr2_,Cl,SO4_,HCO3_,CO2_mol,$L$102)</f>
        <v>-4.3303215702245348</v>
      </c>
      <c r="AB117" s="27">
        <f t="array" ref="AB117">[1]!unf_fa_scale_SI(AB$41,$M117,q_liq,fw,rp_m3m3,NaK,Ca2_,Mg2_,Ba2_,Sr2_,Cl,SO4_,HCO3_,CO2_mol,$L$102)</f>
        <v>-4.4797548186738956</v>
      </c>
      <c r="AC117" s="28">
        <f t="array" ref="AC117">[1]!unf_fa_scale_SI(AC$41,$M117,q_liq,fw,rp_m3m3,NaK,Ca2_,Mg2_,Ba2_,Sr2_,Cl,SO4_,HCO3_,CO2_mol,$L$102)</f>
        <v>-4.5681149624702568</v>
      </c>
    </row>
    <row r="118" spans="12:29" x14ac:dyDescent="0.2">
      <c r="L118" s="36"/>
      <c r="M118" s="26">
        <v>60</v>
      </c>
      <c r="N118" s="40">
        <f t="array" ref="N118">[1]!unf_fa_scale_SI(N$41,$M118,q_liq,fw,rp_m3m3,NaK,Ca2_,Mg2_,Ba2_,Sr2_,Cl,SO4_,HCO3_,CO2_mol,$L$102)</f>
        <v>-1.8431579691047457</v>
      </c>
      <c r="O118" s="27">
        <f t="array" ref="O118">[1]!unf_fa_scale_SI(O$41,$M118,q_liq,fw,rp_m3m3,NaK,Ca2_,Mg2_,Ba2_,Sr2_,Cl,SO4_,HCO3_,CO2_mol,$L$102)</f>
        <v>-2.0137580931322212</v>
      </c>
      <c r="P118" s="27">
        <f t="array" ref="P118">[1]!unf_fa_scale_SI(P$41,$M118,q_liq,fw,rp_m3m3,NaK,Ca2_,Mg2_,Ba2_,Sr2_,Cl,SO4_,HCO3_,CO2_mol,$L$102)</f>
        <v>-2.1858855617433193</v>
      </c>
      <c r="Q118" s="27">
        <f t="array" ref="Q118">[1]!unf_fa_scale_SI(Q$41,$M118,q_liq,fw,rp_m3m3,NaK,Ca2_,Mg2_,Ba2_,Sr2_,Cl,SO4_,HCO3_,CO2_mol,$L$102)</f>
        <v>-2.3599567750358652</v>
      </c>
      <c r="R118" s="27">
        <f t="array" ref="R118">[1]!unf_fa_scale_SI(R$41,$M118,q_liq,fw,rp_m3m3,NaK,Ca2_,Mg2_,Ba2_,Sr2_,Cl,SO4_,HCO3_,CO2_mol,$L$102)</f>
        <v>-2.5365135493346447</v>
      </c>
      <c r="S118" s="27">
        <f t="array" ref="S118">[1]!unf_fa_scale_SI(S$41,$M118,q_liq,fw,rp_m3m3,NaK,Ca2_,Mg2_,Ba2_,Sr2_,Cl,SO4_,HCO3_,CO2_mol,$L$102)</f>
        <v>-2.7162592212042966</v>
      </c>
      <c r="T118" s="27">
        <f t="array" ref="T118">[1]!unf_fa_scale_SI(T$41,$M118,q_liq,fw,rp_m3m3,NaK,Ca2_,Mg2_,Ba2_,Sr2_,Cl,SO4_,HCO3_,CO2_mol,$L$102)</f>
        <v>-2.900096972291772</v>
      </c>
      <c r="U118" s="27">
        <f t="array" ref="U118">[1]!unf_fa_scale_SI(U$41,$M118,q_liq,fw,rp_m3m3,NaK,Ca2_,Mg2_,Ba2_,Sr2_,Cl,SO4_,HCO3_,CO2_mol,$L$102)</f>
        <v>-3.0891551563022954</v>
      </c>
      <c r="V118" s="27">
        <f t="array" ref="V118">[1]!unf_fa_scale_SI(V$41,$M118,q_liq,fw,rp_m3m3,NaK,Ca2_,Mg2_,Ba2_,Sr2_,Cl,SO4_,HCO3_,CO2_mol,$L$102)</f>
        <v>-3.2847554345436674</v>
      </c>
      <c r="W118" s="27">
        <f t="array" ref="W118">[1]!unf_fa_scale_SI(W$41,$M118,q_liq,fw,rp_m3m3,NaK,Ca2_,Mg2_,Ba2_,Sr2_,Cl,SO4_,HCO3_,CO2_mol,$L$102)</f>
        <v>-3.4882065794529389</v>
      </c>
      <c r="X118" s="27">
        <f t="array" ref="X118">[1]!unf_fa_scale_SI(X$41,$M118,q_liq,fw,rp_m3m3,NaK,Ca2_,Mg2_,Ba2_,Sr2_,Cl,SO4_,HCO3_,CO2_mol,$L$102)</f>
        <v>-3.7001340091567272</v>
      </c>
      <c r="Y118" s="27">
        <f t="array" ref="Y118">[1]!unf_fa_scale_SI(Y$41,$M118,q_liq,fw,rp_m3m3,NaK,Ca2_,Mg2_,Ba2_,Sr2_,Cl,SO4_,HCO3_,CO2_mol,$L$102)</f>
        <v>-3.9187097784655052</v>
      </c>
      <c r="Z118" s="27">
        <f t="array" ref="Z118">[1]!unf_fa_scale_SI(Z$41,$M118,q_liq,fw,rp_m3m3,NaK,Ca2_,Mg2_,Ba2_,Sr2_,Cl,SO4_,HCO3_,CO2_mol,$L$102)</f>
        <v>-4.1358369911085209</v>
      </c>
      <c r="AA118" s="27">
        <f t="array" ref="AA118">[1]!unf_fa_scale_SI(AA$41,$M118,q_liq,fw,rp_m3m3,NaK,Ca2_,Mg2_,Ba2_,Sr2_,Cl,SO4_,HCO3_,CO2_mol,$L$102)</f>
        <v>-4.3320300415327111</v>
      </c>
      <c r="AB118" s="27">
        <f t="array" ref="AB118">[1]!unf_fa_scale_SI(AB$41,$M118,q_liq,fw,rp_m3m3,NaK,Ca2_,Mg2_,Ba2_,Sr2_,Cl,SO4_,HCO3_,CO2_mol,$L$102)</f>
        <v>-4.4791002432548694</v>
      </c>
      <c r="AC118" s="28">
        <f t="array" ref="AC118">[1]!unf_fa_scale_SI(AC$41,$M118,q_liq,fw,rp_m3m3,NaK,Ca2_,Mg2_,Ba2_,Sr2_,Cl,SO4_,HCO3_,CO2_mol,$L$102)</f>
        <v>-4.5632970609004548</v>
      </c>
    </row>
    <row r="119" spans="12:29" x14ac:dyDescent="0.2">
      <c r="L119" s="36"/>
      <c r="M119" s="26">
        <v>65</v>
      </c>
      <c r="N119" s="40">
        <f t="array" ref="N119">[1]!unf_fa_scale_SI(N$41,$M119,q_liq,fw,rp_m3m3,NaK,Ca2_,Mg2_,Ba2_,Sr2_,Cl,SO4_,HCO3_,CO2_mol,$L$102)</f>
        <v>-1.8274973462525832</v>
      </c>
      <c r="O119" s="27">
        <f t="array" ref="O119">[1]!unf_fa_scale_SI(O$41,$M119,q_liq,fw,rp_m3m3,NaK,Ca2_,Mg2_,Ba2_,Sr2_,Cl,SO4_,HCO3_,CO2_mol,$L$102)</f>
        <v>-1.998236408243331</v>
      </c>
      <c r="P119" s="27">
        <f t="array" ref="P119">[1]!unf_fa_scale_SI(P$41,$M119,q_liq,fw,rp_m3m3,NaK,Ca2_,Mg2_,Ba2_,Sr2_,Cl,SO4_,HCO3_,CO2_mol,$L$102)</f>
        <v>-2.1705568016919043</v>
      </c>
      <c r="Q119" s="27">
        <f t="array" ref="Q119">[1]!unf_fa_scale_SI(Q$41,$M119,q_liq,fw,rp_m3m3,NaK,Ca2_,Mg2_,Ba2_,Sr2_,Cl,SO4_,HCO3_,CO2_mol,$L$102)</f>
        <v>-2.3448972592653332</v>
      </c>
      <c r="R119" s="27">
        <f t="array" ref="R119">[1]!unf_fa_scale_SI(R$41,$M119,q_liq,fw,rp_m3m3,NaK,Ca2_,Mg2_,Ba2_,Sr2_,Cl,SO4_,HCO3_,CO2_mol,$L$102)</f>
        <v>-2.5218312069066071</v>
      </c>
      <c r="S119" s="27">
        <f t="array" ref="S119">[1]!unf_fa_scale_SI(S$41,$M119,q_liq,fw,rp_m3m3,NaK,Ca2_,Mg2_,Ba2_,Sr2_,Cl,SO4_,HCO3_,CO2_mol,$L$102)</f>
        <v>-2.7021063610876199</v>
      </c>
      <c r="T119" s="27">
        <f t="array" ref="T119">[1]!unf_fa_scale_SI(T$41,$M119,q_liq,fw,rp_m3m3,NaK,Ca2_,Mg2_,Ba2_,Sr2_,Cl,SO4_,HCO3_,CO2_mol,$L$102)</f>
        <v>-2.8866872458227784</v>
      </c>
      <c r="U119" s="27">
        <f t="array" ref="U119">[1]!unf_fa_scale_SI(U$41,$M119,q_liq,fw,rp_m3m3,NaK,Ca2_,Mg2_,Ba2_,Sr2_,Cl,SO4_,HCO3_,CO2_mol,$L$102)</f>
        <v>-3.0767844503260191</v>
      </c>
      <c r="V119" s="27">
        <f t="array" ref="V119">[1]!unf_fa_scale_SI(V$41,$M119,q_liq,fw,rp_m3m3,NaK,Ca2_,Mg2_,Ba2_,Sr2_,Cl,SO4_,HCO3_,CO2_mol,$L$102)</f>
        <v>-3.2738230098178116</v>
      </c>
      <c r="W119" s="27">
        <f t="array" ref="W119">[1]!unf_fa_scale_SI(W$41,$M119,q_liq,fw,rp_m3m3,NaK,Ca2_,Mg2_,Ba2_,Sr2_,Cl,SO4_,HCO3_,CO2_mol,$L$102)</f>
        <v>-3.4792224165418988</v>
      </c>
      <c r="X119" s="27">
        <f t="array" ref="X119">[1]!unf_fa_scale_SI(X$41,$M119,q_liq,fw,rp_m3m3,NaK,Ca2_,Mg2_,Ba2_,Sr2_,Cl,SO4_,HCO3_,CO2_mol,$L$102)</f>
        <v>-3.6936698779260846</v>
      </c>
      <c r="Y119" s="27">
        <f t="array" ref="Y119">[1]!unf_fa_scale_SI(Y$41,$M119,q_liq,fw,rp_m3m3,NaK,Ca2_,Mg2_,Ba2_,Sr2_,Cl,SO4_,HCO3_,CO2_mol,$L$102)</f>
        <v>-3.9151853462711239</v>
      </c>
      <c r="Z119" s="27">
        <f t="array" ref="Z119">[1]!unf_fa_scale_SI(Z$41,$M119,q_liq,fw,rp_m3m3,NaK,Ca2_,Mg2_,Ba2_,Sr2_,Cl,SO4_,HCO3_,CO2_mol,$L$102)</f>
        <v>-4.1349504361358003</v>
      </c>
      <c r="AA119" s="27">
        <f t="array" ref="AA119">[1]!unf_fa_scale_SI(AA$41,$M119,q_liq,fw,rp_m3m3,NaK,Ca2_,Mg2_,Ba2_,Sr2_,Cl,SO4_,HCO3_,CO2_mol,$L$102)</f>
        <v>-4.3319064661677027</v>
      </c>
      <c r="AB119" s="27">
        <f t="array" ref="AB119">[1]!unf_fa_scale_SI(AB$41,$M119,q_liq,fw,rp_m3m3,NaK,Ca2_,Mg2_,Ba2_,Sr2_,Cl,SO4_,HCO3_,CO2_mol,$L$102)</f>
        <v>-4.4766273871674995</v>
      </c>
      <c r="AC119" s="28">
        <f t="array" ref="AC119">[1]!unf_fa_scale_SI(AC$41,$M119,q_liq,fw,rp_m3m3,NaK,Ca2_,Mg2_,Ba2_,Sr2_,Cl,SO4_,HCO3_,CO2_mol,$L$102)</f>
        <v>-4.5570093725512999</v>
      </c>
    </row>
    <row r="120" spans="12:29" x14ac:dyDescent="0.2">
      <c r="L120" s="37"/>
      <c r="M120" s="29">
        <v>70</v>
      </c>
      <c r="N120" s="41">
        <f t="array" ref="N120">[1]!unf_fa_scale_SI(N$41,$M120,q_liq,fw,rp_m3m3,NaK,Ca2_,Mg2_,Ba2_,Sr2_,Cl,SO4_,HCO3_,CO2_mol,$L$102)</f>
        <v>-1.811073465985565</v>
      </c>
      <c r="O120" s="30">
        <f t="array" ref="O120">[1]!unf_fa_scale_SI(O$41,$M120,q_liq,fw,rp_m3m3,NaK,Ca2_,Mg2_,Ba2_,Sr2_,Cl,SO4_,HCO3_,CO2_mol,$L$102)</f>
        <v>-1.9819433998376208</v>
      </c>
      <c r="P120" s="30">
        <f t="array" ref="P120">[1]!unf_fa_scale_SI(P$41,$M120,q_liq,fw,rp_m3m3,NaK,Ca2_,Mg2_,Ba2_,Sr2_,Cl,SO4_,HCO3_,CO2_mol,$L$102)</f>
        <v>-2.1544457578133391</v>
      </c>
      <c r="Q120" s="30">
        <f t="array" ref="Q120">[1]!unf_fa_scale_SI(Q$41,$M120,q_liq,fw,rp_m3m3,NaK,Ca2_,Mg2_,Ba2_,Sr2_,Cl,SO4_,HCO3_,CO2_mol,$L$102)</f>
        <v>-2.3290404802217539</v>
      </c>
      <c r="R120" s="30">
        <f t="array" ref="R120">[1]!unf_fa_scale_SI(R$41,$M120,q_liq,fw,rp_m3m3,NaK,Ca2_,Mg2_,Ba2_,Sr2_,Cl,SO4_,HCO3_,CO2_mol,$L$102)</f>
        <v>-2.5063310411987292</v>
      </c>
      <c r="S120" s="30">
        <f t="array" ref="S120">[1]!unf_fa_scale_SI(S$41,$M120,q_liq,fw,rp_m3m3,NaK,Ca2_,Mg2_,Ba2_,Sr2_,Cl,SO4_,HCO3_,CO2_mol,$L$102)</f>
        <v>-2.6871073965097736</v>
      </c>
      <c r="T120" s="30">
        <f t="array" ref="T120">[1]!unf_fa_scale_SI(T$41,$M120,q_liq,fw,rp_m3m3,NaK,Ca2_,Mg2_,Ba2_,Sr2_,Cl,SO4_,HCO3_,CO2_mol,$L$102)</f>
        <v>-2.8723925421877539</v>
      </c>
      <c r="U120" s="30">
        <f t="array" ref="U120">[1]!unf_fa_scale_SI(U$41,$M120,q_liq,fw,rp_m3m3,NaK,Ca2_,Mg2_,Ba2_,Sr2_,Cl,SO4_,HCO3_,CO2_mol,$L$102)</f>
        <v>-3.0634756017943268</v>
      </c>
      <c r="V120" s="30">
        <f t="array" ref="V120">[1]!unf_fa_scale_SI(V$41,$M120,q_liq,fw,rp_m3m3,NaK,Ca2_,Mg2_,Ba2_,Sr2_,Cl,SO4_,HCO3_,CO2_mol,$L$102)</f>
        <v>-3.2618805389416359</v>
      </c>
      <c r="W120" s="30">
        <f t="array" ref="W120">[1]!unf_fa_scale_SI(W$41,$M120,q_liq,fw,rp_m3m3,NaK,Ca2_,Mg2_,Ba2_,Sr2_,Cl,SO4_,HCO3_,CO2_mol,$L$102)</f>
        <v>-3.4691329122086358</v>
      </c>
      <c r="X120" s="30">
        <f t="array" ref="X120">[1]!unf_fa_scale_SI(X$41,$M120,q_liq,fw,rp_m3m3,NaK,Ca2_,Mg2_,Ba2_,Sr2_,Cl,SO4_,HCO3_,CO2_mol,$L$102)</f>
        <v>-3.6859781569225323</v>
      </c>
      <c r="Y120" s="30">
        <f t="array" ref="Y120">[1]!unf_fa_scale_SI(Y$41,$M120,q_liq,fw,rp_m3m3,NaK,Ca2_,Mg2_,Ba2_,Sr2_,Cl,SO4_,HCO3_,CO2_mol,$L$102)</f>
        <v>-3.910283723690787</v>
      </c>
      <c r="Z120" s="30">
        <f t="array" ref="Z120">[1]!unf_fa_scale_SI(Z$41,$M120,q_liq,fw,rp_m3m3,NaK,Ca2_,Mg2_,Ba2_,Sr2_,Cl,SO4_,HCO3_,CO2_mol,$L$102)</f>
        <v>-4.13251709242404</v>
      </c>
      <c r="AA120" s="30">
        <f t="array" ref="AA120">[1]!unf_fa_scale_SI(AA$41,$M120,q_liq,fw,rp_m3m3,NaK,Ca2_,Mg2_,Ba2_,Sr2_,Cl,SO4_,HCO3_,CO2_mol,$L$102)</f>
        <v>-4.3300915726264613</v>
      </c>
      <c r="AB120" s="30">
        <f t="array" ref="AB120">[1]!unf_fa_scale_SI(AB$41,$M120,q_liq,fw,rp_m3m3,NaK,Ca2_,Mg2_,Ba2_,Sr2_,Cl,SO4_,HCO3_,CO2_mol,$L$102)</f>
        <v>-4.4724995913190035</v>
      </c>
      <c r="AC120" s="31">
        <f t="array" ref="AC120">[1]!unf_fa_scale_SI(AC$41,$M120,q_liq,fw,rp_m3m3,NaK,Ca2_,Mg2_,Ba2_,Sr2_,Cl,SO4_,HCO3_,CO2_mol,$L$102)</f>
        <v>-4.5493832530175595</v>
      </c>
    </row>
    <row r="121" spans="12:29" x14ac:dyDescent="0.2">
      <c r="U121" s="50"/>
    </row>
  </sheetData>
  <mergeCells count="14">
    <mergeCell ref="I6:L8"/>
    <mergeCell ref="I1:J1"/>
    <mergeCell ref="F15:H15"/>
    <mergeCell ref="B3:E3"/>
    <mergeCell ref="I3:L3"/>
    <mergeCell ref="B4:E4"/>
    <mergeCell ref="I4:L4"/>
    <mergeCell ref="B5:E5"/>
    <mergeCell ref="I5:L5"/>
    <mergeCell ref="F16:H16"/>
    <mergeCell ref="F17:H17"/>
    <mergeCell ref="A6:A8"/>
    <mergeCell ref="B6:E8"/>
    <mergeCell ref="H6:H8"/>
  </mergeCells>
  <phoneticPr fontId="3" type="noConversion"/>
  <conditionalFormatting sqref="N20:AC34">
    <cfRule type="cellIs" dxfId="20" priority="27" stopIfTrue="1" operator="greaterThan">
      <formula>1</formula>
    </cfRule>
    <cfRule type="cellIs" dxfId="19" priority="28" stopIfTrue="1" operator="between">
      <formula>0.5</formula>
      <formula>1</formula>
    </cfRule>
    <cfRule type="cellIs" dxfId="18" priority="29" stopIfTrue="1" operator="lessThan">
      <formula>0.5</formula>
    </cfRule>
  </conditionalFormatting>
  <conditionalFormatting sqref="N42:AC56">
    <cfRule type="cellIs" dxfId="17" priority="12" stopIfTrue="1" operator="greaterThan">
      <formula>1</formula>
    </cfRule>
    <cfRule type="cellIs" dxfId="16" priority="13" stopIfTrue="1" operator="between">
      <formula>0.5</formula>
      <formula>1</formula>
    </cfRule>
    <cfRule type="cellIs" dxfId="15" priority="14" stopIfTrue="1" operator="lessThan">
      <formula>0.5</formula>
    </cfRule>
  </conditionalFormatting>
  <conditionalFormatting sqref="N64:AC78">
    <cfRule type="cellIs" dxfId="14" priority="9" stopIfTrue="1" operator="greaterThan">
      <formula>1</formula>
    </cfRule>
    <cfRule type="cellIs" dxfId="13" priority="10" stopIfTrue="1" operator="between">
      <formula>0.5</formula>
      <formula>1</formula>
    </cfRule>
    <cfRule type="cellIs" dxfId="12" priority="11" stopIfTrue="1" operator="lessThan">
      <formula>0.5</formula>
    </cfRule>
  </conditionalFormatting>
  <conditionalFormatting sqref="N85:AC99">
    <cfRule type="cellIs" dxfId="11" priority="6" stopIfTrue="1" operator="greaterThan">
      <formula>1</formula>
    </cfRule>
    <cfRule type="cellIs" dxfId="10" priority="7" stopIfTrue="1" operator="between">
      <formula>0.5</formula>
      <formula>1</formula>
    </cfRule>
    <cfRule type="cellIs" dxfId="9" priority="8" stopIfTrue="1" operator="lessThan">
      <formula>0.5</formula>
    </cfRule>
  </conditionalFormatting>
  <conditionalFormatting sqref="N106:AC120">
    <cfRule type="cellIs" dxfId="8" priority="3" stopIfTrue="1" operator="greaterThan">
      <formula>1</formula>
    </cfRule>
    <cfRule type="cellIs" dxfId="7" priority="4" stopIfTrue="1" operator="between">
      <formula>0.5</formula>
      <formula>1</formula>
    </cfRule>
    <cfRule type="cellIs" dxfId="6" priority="5" stopIfTrue="1" operator="lessThan">
      <formula>0.5</formula>
    </cfRule>
  </conditionalFormatting>
  <conditionalFormatting sqref="C26">
    <cfRule type="expression" dxfId="5" priority="60" stopIfTrue="1">
      <formula>IF(#REF!&lt;&gt;"ФОН",n_calc(#REF!,C17,#REF!,C27,C24,C29,#REF!,#REF!,C31,,,#REF!,#REF!,,(C20-#REF!)*(1+#REF!/C18))&gt;10000,FALSE)</formula>
    </cfRule>
    <cfRule type="expression" dxfId="4" priority="61" stopIfTrue="1">
      <formula>IF(#REF!&lt;&gt;"ФОН",n_calc(#REF!,C17,#REF!,C27,C24,C29,#REF!,#REF!,C31,,,#REF!,#REF!)+1&gt;0.75,FALSE)</formula>
    </cfRule>
  </conditionalFormatting>
  <conditionalFormatting sqref="C30">
    <cfRule type="expression" dxfId="3" priority="62" stopIfTrue="1">
      <formula>AND(C30&lt;=1,C32="в работе")</formula>
    </cfRule>
  </conditionalFormatting>
  <conditionalFormatting sqref="C31">
    <cfRule type="expression" dxfId="2" priority="63" stopIfTrue="1">
      <formula>AND(C31&gt;98,C32="в работе")</formula>
    </cfRule>
  </conditionalFormatting>
  <conditionalFormatting sqref="D26:D27">
    <cfRule type="expression" dxfId="1" priority="1" stopIfTrue="1">
      <formula>IF(#REF!&lt;&gt;"ФОН",n_calc(#REF!,D17,#REF!,D27,D24,D29,#REF!,#REF!,D31,,,#REF!,#REF!,,(D20-#REF!)*(1+#REF!/D18))&gt;10000,FALSE)</formula>
    </cfRule>
    <cfRule type="expression" dxfId="0" priority="2" stopIfTrue="1">
      <formula>IF(#REF!&lt;&gt;"ФОН",n_calc(#REF!,D17,#REF!,D27,D24,D29,#REF!,#REF!,D31,,,#REF!,#REF!)+1&gt;0.75,FALSE)</formula>
    </cfRule>
  </conditionalFormatting>
  <pageMargins left="0.17" right="0.22" top="0.74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16</vt:i4>
      </vt:variant>
    </vt:vector>
  </HeadingPairs>
  <TitlesOfParts>
    <vt:vector size="17" baseType="lpstr">
      <vt:lpstr>карты</vt:lpstr>
      <vt:lpstr>Ba2_</vt:lpstr>
      <vt:lpstr>Ca2_</vt:lpstr>
      <vt:lpstr>Cl</vt:lpstr>
      <vt:lpstr>CO2_mol</vt:lpstr>
      <vt:lpstr>fw</vt:lpstr>
      <vt:lpstr>HCO3_</vt:lpstr>
      <vt:lpstr>Mg2_</vt:lpstr>
      <vt:lpstr>mode</vt:lpstr>
      <vt:lpstr>NaK</vt:lpstr>
      <vt:lpstr>P_</vt:lpstr>
      <vt:lpstr>q_liq</vt:lpstr>
      <vt:lpstr>qo</vt:lpstr>
      <vt:lpstr>rp_m3m3</vt:lpstr>
      <vt:lpstr>SO4_</vt:lpstr>
      <vt:lpstr>Sr2_</vt:lpstr>
      <vt:lpstr>T_</vt:lpstr>
    </vt:vector>
  </TitlesOfParts>
  <Company>NGT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rnt</cp:lastModifiedBy>
  <cp:lastPrinted>2009-07-09T11:23:53Z</cp:lastPrinted>
  <dcterms:created xsi:type="dcterms:W3CDTF">2008-07-03T09:51:37Z</dcterms:created>
  <dcterms:modified xsi:type="dcterms:W3CDTF">2025-02-28T05:20:06Z</dcterms:modified>
</cp:coreProperties>
</file>