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E:\unifloc\unifloc_vba\examples\"/>
    </mc:Choice>
  </mc:AlternateContent>
  <xr:revisionPtr revIDLastSave="0" documentId="13_ncr:1_{693DAF3C-705F-4091-AF39-1198311B88BB}" xr6:coauthVersionLast="47" xr6:coauthVersionMax="47" xr10:uidLastSave="{00000000-0000-0000-0000-000000000000}"/>
  <bookViews>
    <workbookView xWindow="-120" yWindow="-120" windowWidth="38640" windowHeight="21390" tabRatio="645" xr2:uid="{00000000-000D-0000-FFFF-FFFF00000000}"/>
  </bookViews>
  <sheets>
    <sheet name="карты" sheetId="5" r:id="rId1"/>
  </sheets>
  <functionGroups builtInGroupCount="19"/>
  <externalReferences>
    <externalReference r:id="rId2"/>
  </externalReferences>
  <definedNames>
    <definedName name="__MAIN__">#REF!</definedName>
    <definedName name="__qryOilWellOP__">#REF!</definedName>
    <definedName name="_xlnm._FilterDatabase" localSheetId="0" hidden="1">карты!#REF!</definedName>
    <definedName name="Ba2_">карты!$C$18</definedName>
    <definedName name="Bo">#REF!</definedName>
    <definedName name="Bw">#REF!</definedName>
    <definedName name="Ca2_">карты!$C$16</definedName>
    <definedName name="Cl">карты!$C$20</definedName>
    <definedName name="co2_fug">карты!#REF!</definedName>
    <definedName name="CO2_mol">карты!$C$24</definedName>
    <definedName name="co2_mol_pt">карты!#REF!</definedName>
    <definedName name="co2_pp">карты!#REF!</definedName>
    <definedName name="co2_wat">карты!#REF!</definedName>
    <definedName name="Dcas">#REF!</definedName>
    <definedName name="Dtub">#REF!</definedName>
    <definedName name="fw">карты!$C$31</definedName>
    <definedName name="GOR">#REF!</definedName>
    <definedName name="H">#REF!</definedName>
    <definedName name="HCO3_">карты!$C$22</definedName>
    <definedName name="Hdin">#REF!</definedName>
    <definedName name="Hperf">#REF!</definedName>
    <definedName name="Hpump">#REF!</definedName>
    <definedName name="Mg2_">карты!$C$17</definedName>
    <definedName name="mode">карты!$I$15</definedName>
    <definedName name="mu">карты!#REF!</definedName>
    <definedName name="NaK">карты!$C$15</definedName>
    <definedName name="P_">карты!$C$26</definedName>
    <definedName name="p_psi">карты!#REF!</definedName>
    <definedName name="Pb">#REF!</definedName>
    <definedName name="Pbuf">#REF!</definedName>
    <definedName name="Pf">#REF!</definedName>
    <definedName name="Pr">#REF!</definedName>
    <definedName name="q_liq">карты!$C$29</definedName>
    <definedName name="qg_mscfd">карты!#REF!</definedName>
    <definedName name="Ql">#REF!</definedName>
    <definedName name="qo">карты!$C$30</definedName>
    <definedName name="qo_bpd">карты!#REF!</definedName>
    <definedName name="qryOilWellOp__ORG_NAME">#REF!</definedName>
    <definedName name="Qw">#REF!</definedName>
    <definedName name="qw_bpd">карты!#REF!</definedName>
    <definedName name="ro_o">#REF!</definedName>
    <definedName name="ro_w">#REF!</definedName>
    <definedName name="rp_m3m3">карты!$C$32</definedName>
    <definedName name="SO4_">карты!$C$21</definedName>
    <definedName name="Sr2_">карты!$C$19</definedName>
    <definedName name="T">#REF!</definedName>
    <definedName name="T_">карты!$C$27</definedName>
    <definedName name="t_F">карты!#REF!</definedName>
    <definedName name="Tres">#REF!</definedName>
    <definedName name="Udl">#REF!</definedName>
    <definedName name="wc">#REF!</definedName>
    <definedName name="_xlnm.Extract" localSheetId="0">карты!#REF!</definedName>
    <definedName name="_xlnm.Criteria" localSheetId="0">карты!#REF!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63" i="5" l="1"/>
  <c r="AN63" i="5" s="1"/>
  <c r="AO63" i="5" s="1"/>
  <c r="AP63" i="5" s="1"/>
  <c r="AQ63" i="5" s="1"/>
  <c r="AR63" i="5" s="1"/>
  <c r="AS63" i="5" s="1"/>
  <c r="AT63" i="5" s="1"/>
  <c r="AU63" i="5" s="1"/>
  <c r="AV63" i="5" s="1"/>
  <c r="AW63" i="5" s="1"/>
  <c r="AX63" i="5" s="1"/>
  <c r="AY63" i="5" s="1"/>
  <c r="AZ63" i="5" s="1"/>
  <c r="AL63" i="5"/>
  <c r="O105" i="5"/>
  <c r="P105" i="5" s="1"/>
  <c r="Q105" i="5" s="1"/>
  <c r="R105" i="5" s="1"/>
  <c r="S105" i="5" s="1"/>
  <c r="T105" i="5" s="1"/>
  <c r="U105" i="5" s="1"/>
  <c r="V105" i="5" s="1"/>
  <c r="W105" i="5" s="1"/>
  <c r="X105" i="5" s="1"/>
  <c r="Y105" i="5" s="1"/>
  <c r="Z105" i="5" s="1"/>
  <c r="AA105" i="5" s="1"/>
  <c r="AB105" i="5" s="1"/>
  <c r="AC105" i="5" s="1"/>
  <c r="O84" i="5"/>
  <c r="P84" i="5" s="1"/>
  <c r="Q84" i="5" s="1"/>
  <c r="R84" i="5" s="1"/>
  <c r="S84" i="5" s="1"/>
  <c r="T84" i="5" s="1"/>
  <c r="U84" i="5" s="1"/>
  <c r="V84" i="5" s="1"/>
  <c r="W84" i="5" s="1"/>
  <c r="X84" i="5" s="1"/>
  <c r="Y84" i="5" s="1"/>
  <c r="Z84" i="5" s="1"/>
  <c r="AA84" i="5" s="1"/>
  <c r="AB84" i="5" s="1"/>
  <c r="AC84" i="5" s="1"/>
  <c r="O63" i="5"/>
  <c r="P63" i="5" s="1"/>
  <c r="Q63" i="5" s="1"/>
  <c r="R63" i="5" s="1"/>
  <c r="S63" i="5" s="1"/>
  <c r="T63" i="5" s="1"/>
  <c r="U63" i="5" s="1"/>
  <c r="V63" i="5" s="1"/>
  <c r="W63" i="5" s="1"/>
  <c r="X63" i="5" s="1"/>
  <c r="Y63" i="5" s="1"/>
  <c r="Z63" i="5" s="1"/>
  <c r="AA63" i="5" s="1"/>
  <c r="AB63" i="5" s="1"/>
  <c r="AC63" i="5" s="1"/>
  <c r="O41" i="5"/>
  <c r="P41" i="5" s="1"/>
  <c r="Q41" i="5" s="1"/>
  <c r="R41" i="5" s="1"/>
  <c r="S41" i="5" s="1"/>
  <c r="T41" i="5" s="1"/>
  <c r="U41" i="5" s="1"/>
  <c r="V41" i="5" s="1"/>
  <c r="W41" i="5" s="1"/>
  <c r="X41" i="5" s="1"/>
  <c r="Y41" i="5" s="1"/>
  <c r="Z41" i="5" s="1"/>
  <c r="AA41" i="5" s="1"/>
  <c r="AB41" i="5" s="1"/>
  <c r="AC41" i="5" s="1"/>
  <c r="O19" i="5"/>
  <c r="P19" i="5" s="1"/>
  <c r="Q19" i="5" s="1"/>
  <c r="R19" i="5" s="1"/>
  <c r="S19" i="5" s="1"/>
  <c r="T19" i="5" s="1"/>
  <c r="U19" i="5" s="1"/>
  <c r="V19" i="5" s="1"/>
  <c r="W19" i="5" s="1"/>
  <c r="X19" i="5" s="1"/>
  <c r="Y19" i="5" s="1"/>
  <c r="Z19" i="5" s="1"/>
  <c r="AA19" i="5" s="1"/>
  <c r="AB19" i="5" s="1"/>
  <c r="AC19" i="5" s="1"/>
  <c r="C31" i="5"/>
  <c r="AQ65" i="5" a="1"/>
  <c r="AS66" i="5" a="1"/>
  <c r="AU67" i="5" a="1"/>
  <c r="AK68" i="5" a="1"/>
  <c r="AQ68" i="5" a="1"/>
  <c r="AW68" i="5" a="1"/>
  <c r="AM69" i="5" a="1"/>
  <c r="AO70" i="5" a="1"/>
  <c r="AU70" i="5" a="1"/>
  <c r="AR65" i="5" a="1"/>
  <c r="AT66" i="5" a="1"/>
  <c r="AP67" i="5" a="1"/>
  <c r="AL68" i="5" a="1"/>
  <c r="AX68" i="5" a="1"/>
  <c r="AT69" i="5" a="1"/>
  <c r="AP70" i="5" a="1"/>
  <c r="AV70" i="5" a="1"/>
  <c r="AL71" i="5" a="1"/>
  <c r="AR71" i="5" a="1"/>
  <c r="AX71" i="5" a="1"/>
  <c r="AN72" i="5" a="1"/>
  <c r="AT72" i="5" a="1"/>
  <c r="AZ72" i="5" a="1"/>
  <c r="AP73" i="5" a="1"/>
  <c r="AV73" i="5" a="1"/>
  <c r="AL74" i="5" a="1"/>
  <c r="AR74" i="5" a="1"/>
  <c r="AX74" i="5" a="1"/>
  <c r="AN75" i="5" a="1"/>
  <c r="AV76" i="5" a="1"/>
  <c r="AX77" i="5" a="1"/>
  <c r="AN78" i="5" a="1"/>
  <c r="AT78" i="5" a="1"/>
  <c r="AR70" i="5" a="1"/>
  <c r="AV72" i="5" a="1"/>
  <c r="AP75" i="5" a="1"/>
  <c r="AL65" i="5" a="1"/>
  <c r="AX65" i="5" a="1"/>
  <c r="AN66" i="5" a="1"/>
  <c r="AZ66" i="5" a="1"/>
  <c r="AV67" i="5" a="1"/>
  <c r="AR68" i="5" a="1"/>
  <c r="AN69" i="5" a="1"/>
  <c r="AZ69" i="5" a="1"/>
  <c r="AT75" i="5" a="1"/>
  <c r="AZ75" i="5" a="1"/>
  <c r="AP76" i="5" a="1"/>
  <c r="AL77" i="5" a="1"/>
  <c r="AR77" i="5" a="1"/>
  <c r="AZ78" i="5" a="1"/>
  <c r="AL73" i="5" a="1"/>
  <c r="AO69" i="5" a="1"/>
  <c r="AK70" i="5" a="1"/>
  <c r="AW70" i="5" a="1"/>
  <c r="AS71" i="5" a="1"/>
  <c r="AY71" i="5" a="1"/>
  <c r="AU72" i="5" a="1"/>
  <c r="AQ73" i="5" a="1"/>
  <c r="AS74" i="5" a="1"/>
  <c r="AO75" i="5" a="1"/>
  <c r="AK76" i="5" a="1"/>
  <c r="AW76" i="5" a="1"/>
  <c r="AM77" i="5" a="1"/>
  <c r="AS77" i="5" a="1"/>
  <c r="AO78" i="5" a="1"/>
  <c r="AX70" i="5" a="1"/>
  <c r="AN74" i="5" a="1"/>
  <c r="AR76" i="5" a="1"/>
  <c r="AM65" i="5" a="1"/>
  <c r="AS65" i="5" a="1"/>
  <c r="AY65" i="5" a="1"/>
  <c r="AO66" i="5" a="1"/>
  <c r="AU66" i="5" a="1"/>
  <c r="AK67" i="5" a="1"/>
  <c r="AQ67" i="5" a="1"/>
  <c r="AW67" i="5" a="1"/>
  <c r="AM68" i="5" a="1"/>
  <c r="AS68" i="5" a="1"/>
  <c r="AY68" i="5" a="1"/>
  <c r="AU69" i="5" a="1"/>
  <c r="AQ70" i="5" a="1"/>
  <c r="AM71" i="5" a="1"/>
  <c r="AO72" i="5" a="1"/>
  <c r="AK73" i="5" a="1"/>
  <c r="AW73" i="5" a="1"/>
  <c r="AM74" i="5" a="1"/>
  <c r="AY74" i="5" a="1"/>
  <c r="AU75" i="5" a="1"/>
  <c r="AQ76" i="5" a="1"/>
  <c r="AY77" i="5" a="1"/>
  <c r="AU78" i="5" a="1"/>
  <c r="AX76" i="5" a="1"/>
  <c r="AV78" i="5" a="1"/>
  <c r="AP66" i="5" a="1"/>
  <c r="AV66" i="5" a="1"/>
  <c r="AL67" i="5" a="1"/>
  <c r="AR67" i="5" a="1"/>
  <c r="AL70" i="5" a="1"/>
  <c r="AN71" i="5" a="1"/>
  <c r="AP72" i="5" a="1"/>
  <c r="AT74" i="5" a="1"/>
  <c r="AN77" i="5" a="1"/>
  <c r="AN65" i="5" a="1"/>
  <c r="AT65" i="5" a="1"/>
  <c r="AZ65" i="5" a="1"/>
  <c r="AX67" i="5" a="1"/>
  <c r="AN68" i="5" a="1"/>
  <c r="AT68" i="5" a="1"/>
  <c r="AZ68" i="5" a="1"/>
  <c r="AP69" i="5" a="1"/>
  <c r="AV69" i="5" a="1"/>
  <c r="AU65" i="5" a="1"/>
  <c r="AQ66" i="5" a="1"/>
  <c r="AM67" i="5" a="1"/>
  <c r="AY67" i="5" a="1"/>
  <c r="AU68" i="5" a="1"/>
  <c r="AM70" i="5" a="1"/>
  <c r="AY70" i="5" a="1"/>
  <c r="AK72" i="5" a="1"/>
  <c r="AQ72" i="5" a="1"/>
  <c r="AM73" i="5" a="1"/>
  <c r="AY73" i="5" a="1"/>
  <c r="AO74" i="5" a="1"/>
  <c r="AK75" i="5" a="1"/>
  <c r="AW75" i="5" a="1"/>
  <c r="AM76" i="5" a="1"/>
  <c r="AY76" i="5" a="1"/>
  <c r="AO77" i="5" a="1"/>
  <c r="AK78" i="5" a="1"/>
  <c r="AQ78" i="5" a="1"/>
  <c r="AN73" i="5" a="1"/>
  <c r="AP74" i="5" a="1"/>
  <c r="AR75" i="5" a="1"/>
  <c r="AT76" i="5" a="1"/>
  <c r="AL78" i="5" a="1"/>
  <c r="AU76" i="5" a="1"/>
  <c r="AQ77" i="5" a="1"/>
  <c r="AZ71" i="5" a="1"/>
  <c r="AZ74" i="5" a="1"/>
  <c r="AT77" i="5" a="1"/>
  <c r="AO65" i="5" a="1"/>
  <c r="AK66" i="5" a="1"/>
  <c r="AW66" i="5" a="1"/>
  <c r="AS67" i="5" a="1"/>
  <c r="AO68" i="5" a="1"/>
  <c r="AK69" i="5" a="1"/>
  <c r="AQ69" i="5" a="1"/>
  <c r="AW69" i="5" a="1"/>
  <c r="AS70" i="5" a="1"/>
  <c r="AO71" i="5" a="1"/>
  <c r="AU71" i="5" a="1"/>
  <c r="AW72" i="5" a="1"/>
  <c r="AS73" i="5" a="1"/>
  <c r="AU74" i="5" a="1"/>
  <c r="AQ75" i="5" a="1"/>
  <c r="AS76" i="5" a="1"/>
  <c r="AU77" i="5" a="1"/>
  <c r="AW78" i="5" a="1"/>
  <c r="AR72" i="5" a="1"/>
  <c r="AT73" i="5" a="1"/>
  <c r="AL75" i="5" a="1"/>
  <c r="AN76" i="5" a="1"/>
  <c r="AV77" i="5" a="1"/>
  <c r="AX78" i="5" a="1"/>
  <c r="AK77" i="5" a="1"/>
  <c r="AW77" i="5" a="1"/>
  <c r="AY78" i="5" a="1"/>
  <c r="AX73" i="5" a="1"/>
  <c r="AL76" i="5" a="1"/>
  <c r="AP78" i="5" a="1"/>
  <c r="AP65" i="5" a="1"/>
  <c r="AV65" i="5" a="1"/>
  <c r="AL66" i="5" a="1"/>
  <c r="AR66" i="5" a="1"/>
  <c r="AX66" i="5" a="1"/>
  <c r="AN67" i="5" a="1"/>
  <c r="AT67" i="5" a="1"/>
  <c r="AZ67" i="5" a="1"/>
  <c r="AP68" i="5" a="1"/>
  <c r="AV68" i="5" a="1"/>
  <c r="AL69" i="5" a="1"/>
  <c r="AR69" i="5" a="1"/>
  <c r="AX69" i="5" a="1"/>
  <c r="AN70" i="5" a="1"/>
  <c r="AT70" i="5" a="1"/>
  <c r="AZ70" i="5" a="1"/>
  <c r="AP71" i="5" a="1"/>
  <c r="AV71" i="5" a="1"/>
  <c r="AL72" i="5" a="1"/>
  <c r="AX72" i="5" a="1"/>
  <c r="AZ73" i="5" a="1"/>
  <c r="AV74" i="5" a="1"/>
  <c r="AX75" i="5" a="1"/>
  <c r="AZ76" i="5" a="1"/>
  <c r="AP77" i="5" a="1"/>
  <c r="AR78" i="5" a="1"/>
  <c r="AM78" i="5" a="1"/>
  <c r="AR73" i="5" a="1"/>
  <c r="AK65" i="5" a="1"/>
  <c r="AW65" i="5" a="1"/>
  <c r="AM66" i="5" a="1"/>
  <c r="AY66" i="5" a="1"/>
  <c r="AO67" i="5" a="1"/>
  <c r="AS69" i="5" a="1"/>
  <c r="AY69" i="5" a="1"/>
  <c r="AK71" i="5" a="1"/>
  <c r="AQ71" i="5" a="1"/>
  <c r="AW71" i="5" a="1"/>
  <c r="AM72" i="5" a="1"/>
  <c r="AS72" i="5" a="1"/>
  <c r="AY72" i="5" a="1"/>
  <c r="AO73" i="5" a="1"/>
  <c r="AU73" i="5" a="1"/>
  <c r="AK74" i="5" a="1"/>
  <c r="AQ74" i="5" a="1"/>
  <c r="AW74" i="5" a="1"/>
  <c r="AM75" i="5" a="1"/>
  <c r="AS75" i="5" a="1"/>
  <c r="AY75" i="5" a="1"/>
  <c r="AO76" i="5" a="1"/>
  <c r="AS78" i="5" a="1"/>
  <c r="AT71" i="5" a="1"/>
  <c r="AV75" i="5" a="1"/>
  <c r="AZ77" i="5" a="1"/>
  <c r="AL64" i="5" a="1"/>
  <c r="AR64" i="5" a="1"/>
  <c r="AX64" i="5" a="1"/>
  <c r="AM64" i="5" a="1"/>
  <c r="AN64" i="5" a="1"/>
  <c r="AT64" i="5" a="1"/>
  <c r="AZ64" i="5" a="1"/>
  <c r="AO64" i="5" a="1"/>
  <c r="AU64" i="5" a="1"/>
  <c r="AP64" i="5" a="1"/>
  <c r="AV64" i="5" a="1"/>
  <c r="AW64" i="5" a="1"/>
  <c r="AY64" i="5" a="1"/>
  <c r="AQ64" i="5" a="1"/>
  <c r="AS64" i="5" a="1"/>
  <c r="AK64" i="5" a="1"/>
  <c r="Y113" i="5" a="1"/>
  <c r="X112" i="5" a="1"/>
  <c r="S112" i="5" a="1"/>
  <c r="AB112" i="5" a="1"/>
  <c r="X113" i="5" a="1"/>
  <c r="O114" i="5" a="1"/>
  <c r="V112" i="5" a="1"/>
  <c r="R112" i="5" a="1"/>
  <c r="T113" i="5" a="1"/>
  <c r="Z113" i="5" a="1"/>
  <c r="S114" i="5" a="1"/>
  <c r="P113" i="5" a="1"/>
  <c r="Q114" i="5" a="1"/>
  <c r="N114" i="5" a="1"/>
  <c r="R113" i="5" a="1"/>
  <c r="U113" i="5" a="1"/>
  <c r="R114" i="5" a="1"/>
  <c r="Z109" i="5" a="1"/>
  <c r="AC109" i="5" a="1"/>
  <c r="AB113" i="5" a="1"/>
  <c r="AC113" i="5" a="1"/>
  <c r="AA113" i="5" a="1"/>
  <c r="O113" i="5" a="1"/>
  <c r="AC112" i="5" a="1"/>
  <c r="P114" i="5" a="1"/>
  <c r="S113" i="5" a="1"/>
  <c r="W112" i="5" a="1"/>
  <c r="W113" i="5" a="1"/>
  <c r="U112" i="5" a="1"/>
  <c r="T114" i="5" a="1"/>
  <c r="AA112" i="5" a="1"/>
  <c r="P110" i="5" a="1"/>
  <c r="Y110" i="5" a="1"/>
  <c r="R108" i="5" a="1"/>
  <c r="T111" i="5" a="1"/>
  <c r="Z110" i="5" a="1"/>
  <c r="AA107" i="5" a="1"/>
  <c r="X98" i="5" a="1"/>
  <c r="Z106" i="5" a="1"/>
  <c r="N107" i="5" a="1"/>
  <c r="Y98" i="5" a="1"/>
  <c r="Z97" i="5" a="1"/>
  <c r="X94" i="5" a="1"/>
  <c r="AC96" i="5" a="1"/>
  <c r="Y94" i="5" a="1"/>
  <c r="X96" i="5" a="1"/>
  <c r="W96" i="5" a="1"/>
  <c r="O91" i="5" a="1"/>
  <c r="S92" i="5" a="1"/>
  <c r="N94" i="5" a="1"/>
  <c r="AB92" i="5" a="1"/>
  <c r="AA90" i="5" a="1"/>
  <c r="W89" i="5" a="1"/>
  <c r="AA88" i="5" a="1"/>
  <c r="P88" i="5" a="1"/>
  <c r="O88" i="5" a="1"/>
  <c r="Z88" i="5" a="1"/>
  <c r="T78" i="5" a="1"/>
  <c r="O77" i="5" a="1"/>
  <c r="X76" i="5" a="1"/>
  <c r="AB78" i="5" a="1"/>
  <c r="S78" i="5" a="1"/>
  <c r="AC85" i="5" a="1"/>
  <c r="AB75" i="5" a="1"/>
  <c r="AC74" i="5" a="1"/>
  <c r="U72" i="5" a="1"/>
  <c r="P76" i="5" a="1"/>
  <c r="Q69" i="5" a="1"/>
  <c r="T70" i="5" a="1"/>
  <c r="U70" i="5" a="1"/>
  <c r="Z69" i="5" a="1"/>
  <c r="Z68" i="5" a="1"/>
  <c r="AB67" i="5" a="1"/>
  <c r="T64" i="5" a="1"/>
  <c r="AB64" i="5" a="1"/>
  <c r="W67" i="5" a="1"/>
  <c r="S54" i="5" a="1"/>
  <c r="W50" i="5" a="1"/>
  <c r="AA49" i="5" a="1"/>
  <c r="U49" i="5" a="1"/>
  <c r="X48" i="5" a="1"/>
  <c r="U47" i="5" a="1"/>
  <c r="Y46" i="5" a="1"/>
  <c r="T47" i="5" a="1"/>
  <c r="T48" i="5" a="1"/>
  <c r="Z48" i="5" a="1"/>
  <c r="W46" i="5" a="1"/>
  <c r="AB47" i="5" a="1"/>
  <c r="P47" i="5" a="1"/>
  <c r="P49" i="5" a="1"/>
  <c r="R48" i="5" a="1"/>
  <c r="T112" i="5" a="1"/>
  <c r="AB108" i="5" a="1"/>
  <c r="W110" i="5" a="1"/>
  <c r="N112" i="5" a="1"/>
  <c r="S111" i="5" a="1"/>
  <c r="W108" i="5" a="1"/>
  <c r="Y107" i="5" a="1"/>
  <c r="Q107" i="5" a="1"/>
  <c r="P108" i="5" a="1"/>
  <c r="W106" i="5" a="1"/>
  <c r="P107" i="5" a="1"/>
  <c r="Q96" i="5" a="1"/>
  <c r="T94" i="5" a="1"/>
  <c r="T96" i="5" a="1"/>
  <c r="U96" i="5" a="1"/>
  <c r="T95" i="5" a="1"/>
  <c r="AB96" i="5" a="1"/>
  <c r="AA92" i="5" a="1"/>
  <c r="R93" i="5" a="1"/>
  <c r="Z93" i="5" a="1"/>
  <c r="T92" i="5" a="1"/>
  <c r="AC93" i="5" a="1"/>
  <c r="Y86" i="5" a="1"/>
  <c r="O89" i="5" a="1"/>
  <c r="R87" i="5" a="1"/>
  <c r="AB87" i="5" a="1"/>
  <c r="Q88" i="5" a="1"/>
  <c r="Y85" i="5" a="1"/>
  <c r="Z78" i="5" a="1"/>
  <c r="Y77" i="5" a="1"/>
  <c r="T76" i="5" a="1"/>
  <c r="N78" i="5" a="1"/>
  <c r="AB85" i="5" a="1"/>
  <c r="AA75" i="5" a="1"/>
  <c r="S74" i="5" a="1"/>
  <c r="T72" i="5" a="1"/>
  <c r="W72" i="5" a="1"/>
  <c r="Z74" i="5" a="1"/>
  <c r="AB68" i="5" a="1"/>
  <c r="W69" i="5" a="1"/>
  <c r="O107" i="5" a="1"/>
  <c r="O108" i="5" a="1"/>
  <c r="AB106" i="5" a="1"/>
  <c r="AB98" i="5" a="1"/>
  <c r="U77" i="5" a="1"/>
  <c r="Y75" i="5" a="1"/>
  <c r="R72" i="5" a="1"/>
  <c r="Y68" i="5" a="1"/>
  <c r="S68" i="5" a="1"/>
  <c r="AB70" i="5" a="1"/>
  <c r="W68" i="5" a="1"/>
  <c r="Z67" i="5" a="1"/>
  <c r="X65" i="5" a="1"/>
  <c r="N67" i="5" a="1"/>
  <c r="W66" i="5" a="1"/>
  <c r="O68" i="5" a="1"/>
  <c r="O67" i="5" a="1"/>
  <c r="N55" i="5" a="1"/>
  <c r="P64" i="5" a="1"/>
  <c r="AC49" i="5" a="1"/>
  <c r="W52" i="5" a="1"/>
  <c r="O52" i="5" a="1"/>
  <c r="O51" i="5" a="1"/>
  <c r="V113" i="5" a="1"/>
  <c r="X110" i="5" a="1"/>
  <c r="V109" i="5" a="1"/>
  <c r="AC108" i="5" a="1"/>
  <c r="Y108" i="5" a="1"/>
  <c r="AC111" i="5" a="1"/>
  <c r="W107" i="5" a="1"/>
  <c r="O95" i="5" a="1"/>
  <c r="U94" i="5" a="1"/>
  <c r="S94" i="5" a="1"/>
  <c r="R95" i="5" a="1"/>
  <c r="R94" i="5" a="1"/>
  <c r="N98" i="5" a="1"/>
  <c r="W92" i="5" a="1"/>
  <c r="V92" i="5" a="1"/>
  <c r="S91" i="5" a="1"/>
  <c r="O92" i="5" a="1"/>
  <c r="AA93" i="5" a="1"/>
  <c r="R89" i="5" a="1"/>
  <c r="AB88" i="5" a="1"/>
  <c r="P87" i="5" a="1"/>
  <c r="AA87" i="5" a="1"/>
  <c r="V87" i="5" a="1"/>
  <c r="V85" i="5" a="1"/>
  <c r="W78" i="5" a="1"/>
  <c r="Z85" i="5" a="1"/>
  <c r="W77" i="5" a="1"/>
  <c r="W85" i="5" a="1"/>
  <c r="AA74" i="5" a="1"/>
  <c r="Z73" i="5" a="1"/>
  <c r="X72" i="5" a="1"/>
  <c r="N69" i="5" a="1"/>
  <c r="R70" i="5" a="1"/>
  <c r="X70" i="5" a="1"/>
  <c r="T69" i="5" a="1"/>
  <c r="V67" i="5" a="1"/>
  <c r="U64" i="5" a="1"/>
  <c r="AC65" i="5" a="1"/>
  <c r="Z65" i="5" a="1"/>
  <c r="T65" i="5" a="1"/>
  <c r="N56" i="5" a="1"/>
  <c r="X54" i="5" a="1"/>
  <c r="W56" i="5" a="1"/>
  <c r="P54" i="5" a="1"/>
  <c r="X56" i="5" a="1"/>
  <c r="S56" i="5" a="1"/>
  <c r="V54" i="5" a="1"/>
  <c r="AC53" i="5" a="1"/>
  <c r="AB52" i="5" a="1"/>
  <c r="W51" i="5" a="1"/>
  <c r="T50" i="5" a="1"/>
  <c r="R52" i="5" a="1"/>
  <c r="Q113" i="5" a="1"/>
  <c r="R110" i="5" a="1"/>
  <c r="S109" i="5" a="1"/>
  <c r="AB111" i="5" a="1"/>
  <c r="X109" i="5" a="1"/>
  <c r="AA111" i="5" a="1"/>
  <c r="X99" i="5" a="1"/>
  <c r="AC98" i="5" a="1"/>
  <c r="AC107" i="5" a="1"/>
  <c r="V106" i="5" a="1"/>
  <c r="Y106" i="5" a="1"/>
  <c r="U95" i="5" a="1"/>
  <c r="V94" i="5" a="1"/>
  <c r="P98" i="5" a="1"/>
  <c r="N96" i="5" a="1"/>
  <c r="AC95" i="5" a="1"/>
  <c r="AA97" i="5" a="1"/>
  <c r="Z91" i="5" a="1"/>
  <c r="T90" i="5" a="1"/>
  <c r="Y90" i="5" a="1"/>
  <c r="N92" i="5" a="1"/>
  <c r="Y93" i="5" a="1"/>
  <c r="X87" i="5" a="1"/>
  <c r="Z87" i="5" a="1"/>
  <c r="T86" i="5" a="1"/>
  <c r="AC87" i="5" a="1"/>
  <c r="P90" i="5" a="1"/>
  <c r="P85" i="5" a="1"/>
  <c r="T85" i="5" a="1"/>
  <c r="Q86" i="5" a="1"/>
  <c r="Q78" i="5" a="1"/>
  <c r="U76" i="5" a="1"/>
  <c r="O75" i="5" a="1"/>
  <c r="X75" i="5" a="1"/>
  <c r="R74" i="5" a="1"/>
  <c r="O73" i="5" a="1"/>
  <c r="S72" i="5" a="1"/>
  <c r="AB73" i="5" a="1"/>
  <c r="Z70" i="5" a="1"/>
  <c r="U68" i="5" a="1"/>
  <c r="O78" i="5" a="1"/>
  <c r="X74" i="5" a="1"/>
  <c r="AA73" i="5" a="1"/>
  <c r="Y70" i="5" a="1"/>
  <c r="V71" i="5" a="1"/>
  <c r="AC71" i="5" a="1"/>
  <c r="W71" i="5" a="1"/>
  <c r="X67" i="5" a="1"/>
  <c r="V66" i="5" a="1"/>
  <c r="R67" i="5" a="1"/>
  <c r="AA66" i="5" a="1"/>
  <c r="N68" i="5" a="1"/>
  <c r="AA65" i="5" a="1"/>
  <c r="Q54" i="5" a="1"/>
  <c r="U55" i="5" a="1"/>
  <c r="P56" i="5" a="1"/>
  <c r="AC54" i="5" a="1"/>
  <c r="O55" i="5" a="1"/>
  <c r="S52" i="5" a="1"/>
  <c r="Y49" i="5" a="1"/>
  <c r="U51" i="5" a="1"/>
  <c r="N51" i="5" a="1"/>
  <c r="P53" i="5" a="1"/>
  <c r="AA47" i="5" a="1"/>
  <c r="N42" i="5" a="1"/>
  <c r="U44" i="5" a="1"/>
  <c r="O45" i="5" a="1"/>
  <c r="N44" i="5" a="1"/>
  <c r="AA42" i="5" a="1"/>
  <c r="AB44" i="5" a="1"/>
  <c r="Y34" i="5" a="1"/>
  <c r="Z32" i="5" a="1"/>
  <c r="AC33" i="5" a="1"/>
  <c r="Q32" i="5" a="1"/>
  <c r="X33" i="5" a="1"/>
  <c r="N113" i="5" a="1"/>
  <c r="Y109" i="5" a="1"/>
  <c r="U108" i="5" a="1"/>
  <c r="P111" i="5" a="1"/>
  <c r="T110" i="5" a="1"/>
  <c r="Z111" i="5" a="1"/>
  <c r="O99" i="5" a="1"/>
  <c r="S98" i="5" a="1"/>
  <c r="X107" i="5" a="1"/>
  <c r="Q106" i="5" a="1"/>
  <c r="V99" i="5" a="1"/>
  <c r="X97" i="5" a="1"/>
  <c r="X95" i="5" a="1"/>
  <c r="U97" i="5" a="1"/>
  <c r="AC97" i="5" a="1"/>
  <c r="W94" i="5" a="1"/>
  <c r="T91" i="5" a="1"/>
  <c r="X91" i="5" a="1"/>
  <c r="Y92" i="5" a="1"/>
  <c r="W93" i="5" a="1"/>
  <c r="AB91" i="5" a="1"/>
  <c r="X93" i="5" a="1"/>
  <c r="Y88" i="5" a="1"/>
  <c r="T87" i="5" a="1"/>
  <c r="X89" i="5" a="1"/>
  <c r="N88" i="5" a="1"/>
  <c r="U88" i="5" a="1"/>
  <c r="R85" i="5" a="1"/>
  <c r="AC78" i="5" a="1"/>
  <c r="X77" i="5" a="1"/>
  <c r="S85" i="5" a="1"/>
  <c r="O76" i="5" a="1"/>
  <c r="W75" i="5" a="1"/>
  <c r="AA72" i="5" a="1"/>
  <c r="Y73" i="5" a="1"/>
  <c r="AA68" i="5" a="1"/>
  <c r="V69" i="5" a="1"/>
  <c r="Q71" i="5" a="1"/>
  <c r="S70" i="5" a="1"/>
  <c r="U67" i="5" a="1"/>
  <c r="W65" i="5" a="1"/>
  <c r="W64" i="5" a="1"/>
  <c r="S66" i="5" a="1"/>
  <c r="R64" i="5" a="1"/>
  <c r="Y54" i="5" a="1"/>
  <c r="O64" i="5" a="1"/>
  <c r="AB56" i="5" a="1"/>
  <c r="Q56" i="5" a="1"/>
  <c r="U53" i="5" a="1"/>
  <c r="X50" i="5" a="1"/>
  <c r="AA50" i="5" a="1"/>
  <c r="T52" i="5" a="1"/>
  <c r="N52" i="5" a="1"/>
  <c r="Z49" i="5" a="1"/>
  <c r="AC52" i="5" a="1"/>
  <c r="Q47" i="5" a="1"/>
  <c r="AB45" i="5" a="1"/>
  <c r="X46" i="5" a="1"/>
  <c r="T45" i="5" a="1"/>
  <c r="N46" i="5" a="1"/>
  <c r="S45" i="5" a="1"/>
  <c r="X47" i="5" a="1"/>
  <c r="Q46" i="5" a="1"/>
  <c r="AA46" i="5" a="1"/>
  <c r="V43" i="5" a="1"/>
  <c r="W34" i="5" a="1"/>
  <c r="Y42" i="5" a="1"/>
  <c r="O43" i="5" a="1"/>
  <c r="Y112" i="5" a="1"/>
  <c r="X108" i="5" a="1"/>
  <c r="N110" i="5" a="1"/>
  <c r="AB110" i="5" a="1"/>
  <c r="T109" i="5" a="1"/>
  <c r="Y111" i="5" a="1"/>
  <c r="T107" i="5" a="1"/>
  <c r="W99" i="5" a="1"/>
  <c r="Z107" i="5" a="1"/>
  <c r="AA99" i="5" a="1"/>
  <c r="R98" i="5" a="1"/>
  <c r="S96" i="5" a="1"/>
  <c r="AA95" i="5" a="1"/>
  <c r="Y95" i="5" a="1"/>
  <c r="AB97" i="5" a="1"/>
  <c r="W95" i="5" a="1"/>
  <c r="P93" i="5" a="1"/>
  <c r="Q91" i="5" a="1"/>
  <c r="Q94" i="5" a="1"/>
  <c r="N93" i="5" a="1"/>
  <c r="AA91" i="5" a="1"/>
  <c r="W91" i="5" a="1"/>
  <c r="S88" i="5" a="1"/>
  <c r="V86" i="5" a="1"/>
  <c r="T89" i="5" a="1"/>
  <c r="Y87" i="5" a="1"/>
  <c r="O90" i="5" a="1"/>
  <c r="S77" i="5" a="1"/>
  <c r="V78" i="5" a="1"/>
  <c r="AA85" i="5" a="1"/>
  <c r="R77" i="5" a="1"/>
  <c r="W76" i="5" a="1"/>
  <c r="N76" i="5" a="1"/>
  <c r="R75" i="5" a="1"/>
  <c r="P74" i="5" a="1"/>
  <c r="W74" i="5" a="1"/>
  <c r="AB72" i="5" a="1"/>
  <c r="Z72" i="5" a="1"/>
  <c r="P69" i="5" a="1"/>
  <c r="V68" i="5" a="1"/>
  <c r="Y66" i="5" a="1"/>
  <c r="AA67" i="5" a="1"/>
  <c r="V53" i="5" a="1"/>
  <c r="T54" i="5" a="1"/>
  <c r="S55" i="5" a="1"/>
  <c r="AA54" i="5" a="1"/>
  <c r="AA56" i="5" a="1"/>
  <c r="V56" i="5" a="1"/>
  <c r="O56" i="5" a="1"/>
  <c r="Z53" i="5" a="1"/>
  <c r="AC51" i="5" a="1"/>
  <c r="V50" i="5" a="1"/>
  <c r="AB49" i="5" a="1"/>
  <c r="P52" i="5" a="1"/>
  <c r="S50" i="5" a="1"/>
  <c r="AB51" i="5" a="1"/>
  <c r="W49" i="5" a="1"/>
  <c r="V49" i="5" a="1"/>
  <c r="Q53" i="5" a="1"/>
  <c r="R51" i="5" a="1"/>
  <c r="W47" i="5" a="1"/>
  <c r="X45" i="5" a="1"/>
  <c r="O46" i="5" a="1"/>
  <c r="S46" i="5" a="1"/>
  <c r="AC45" i="5" a="1"/>
  <c r="AC46" i="5" a="1"/>
  <c r="O48" i="5" a="1"/>
  <c r="V47" i="5" a="1"/>
  <c r="AA45" i="5" a="1"/>
  <c r="AC47" i="5" a="1"/>
  <c r="Q44" i="5" a="1"/>
  <c r="Z42" i="5" a="1"/>
  <c r="U34" i="5" a="1"/>
  <c r="W42" i="5" a="1"/>
  <c r="S43" i="5" a="1"/>
  <c r="W44" i="5" a="1"/>
  <c r="V33" i="5" a="1"/>
  <c r="R31" i="5" a="1"/>
  <c r="W30" i="5" a="1"/>
  <c r="T31" i="5" a="1"/>
  <c r="AC30" i="5" a="1"/>
  <c r="W29" i="5" a="1"/>
  <c r="Z28" i="5" a="1"/>
  <c r="Z112" i="5" a="1"/>
  <c r="Q109" i="5" a="1"/>
  <c r="O112" i="5" a="1"/>
  <c r="O110" i="5" a="1"/>
  <c r="AA108" i="5" a="1"/>
  <c r="X111" i="5" a="1"/>
  <c r="R107" i="5" a="1"/>
  <c r="U99" i="5" a="1"/>
  <c r="R106" i="5" a="1"/>
  <c r="S106" i="5" a="1"/>
  <c r="S107" i="5" a="1"/>
  <c r="W97" i="5" a="1"/>
  <c r="S97" i="5" a="1"/>
  <c r="N97" i="5" a="1"/>
  <c r="P95" i="5" a="1"/>
  <c r="Z94" i="5" a="1"/>
  <c r="R92" i="5" a="1"/>
  <c r="N91" i="5" a="1"/>
  <c r="P94" i="5" a="1"/>
  <c r="Z90" i="5" a="1"/>
  <c r="AB90" i="5" a="1"/>
  <c r="Z92" i="5" a="1"/>
  <c r="U89" i="5" a="1"/>
  <c r="U87" i="5" a="1"/>
  <c r="AC88" i="5" a="1"/>
  <c r="Q87" i="5" a="1"/>
  <c r="N90" i="5" a="1"/>
  <c r="N77" i="5" a="1"/>
  <c r="R78" i="5" a="1"/>
  <c r="Y78" i="5" a="1"/>
  <c r="X85" i="5" a="1"/>
  <c r="N85" i="5" a="1"/>
  <c r="V75" i="5" a="1"/>
  <c r="N73" i="5" a="1"/>
  <c r="W73" i="5" a="1"/>
  <c r="V74" i="5" a="1"/>
  <c r="V72" i="5" a="1"/>
  <c r="Z75" i="5" a="1"/>
  <c r="W70" i="5" a="1"/>
  <c r="T68" i="5" a="1"/>
  <c r="AA71" i="5" a="1"/>
  <c r="S69" i="5" a="1"/>
  <c r="U71" i="5" a="1"/>
  <c r="P70" i="5" a="1"/>
  <c r="AB71" i="5" a="1"/>
  <c r="P71" i="5" a="1"/>
  <c r="AB65" i="5" a="1"/>
  <c r="T67" i="5" a="1"/>
  <c r="AC67" i="5" a="1"/>
  <c r="X64" i="5" a="1"/>
  <c r="O65" i="5" a="1"/>
  <c r="N65" i="5" a="1"/>
  <c r="V65" i="5" a="1"/>
  <c r="U65" i="5" a="1"/>
  <c r="V55" i="5" a="1"/>
  <c r="N64" i="5" a="1"/>
  <c r="W55" i="5" a="1"/>
  <c r="X49" i="5" a="1"/>
  <c r="V44" i="5" a="1"/>
  <c r="T44" i="5" a="1"/>
  <c r="N45" i="5" a="1"/>
  <c r="AB43" i="5" a="1"/>
  <c r="O42" i="5" a="1"/>
  <c r="V31" i="5" a="1"/>
  <c r="AC31" i="5" a="1"/>
  <c r="AB33" i="5" a="1"/>
  <c r="S34" i="5" a="1"/>
  <c r="S31" i="5" a="1"/>
  <c r="T26" i="5" a="1"/>
  <c r="X28" i="5" a="1"/>
  <c r="Q111" i="5" a="1"/>
  <c r="R109" i="5" a="1"/>
  <c r="Q112" i="5" a="1"/>
  <c r="V108" i="5" a="1"/>
  <c r="AA109" i="5" a="1"/>
  <c r="W111" i="5" a="1"/>
  <c r="AC99" i="5" a="1"/>
  <c r="AC106" i="5" a="1"/>
  <c r="V107" i="5" a="1"/>
  <c r="U106" i="5" a="1"/>
  <c r="P106" i="5" a="1"/>
  <c r="AB95" i="5" a="1"/>
  <c r="AA94" i="5" a="1"/>
  <c r="N95" i="5" a="1"/>
  <c r="Y97" i="5" a="1"/>
  <c r="Y96" i="5" a="1"/>
  <c r="AC90" i="5" a="1"/>
  <c r="W90" i="5" a="1"/>
  <c r="V91" i="5" a="1"/>
  <c r="S90" i="5" a="1"/>
  <c r="Y91" i="5" a="1"/>
  <c r="X92" i="5" a="1"/>
  <c r="S89" i="5" a="1"/>
  <c r="S87" i="5" a="1"/>
  <c r="X86" i="5" a="1"/>
  <c r="AB86" i="5" a="1"/>
  <c r="U86" i="5" a="1"/>
  <c r="Y76" i="5" a="1"/>
  <c r="AB77" i="5" a="1"/>
  <c r="Z77" i="5" a="1"/>
  <c r="P78" i="5" a="1"/>
  <c r="U78" i="5" a="1"/>
  <c r="T75" i="5" a="1"/>
  <c r="S75" i="5" a="1"/>
  <c r="S73" i="5" a="1"/>
  <c r="U73" i="5" a="1"/>
  <c r="AC72" i="5" a="1"/>
  <c r="AA69" i="5" a="1"/>
  <c r="Q70" i="5" a="1"/>
  <c r="X68" i="5" a="1"/>
  <c r="Y53" i="5" a="1"/>
  <c r="Z55" i="5" a="1"/>
  <c r="T56" i="5" a="1"/>
  <c r="U54" i="5" a="1"/>
  <c r="W53" i="5" a="1"/>
  <c r="AB54" i="5" a="1"/>
  <c r="X51" i="5" a="1"/>
  <c r="Y51" i="5" a="1"/>
  <c r="Z51" i="5" a="1"/>
  <c r="AA51" i="5" a="1"/>
  <c r="S49" i="5" a="1"/>
  <c r="X52" i="5" a="1"/>
  <c r="U46" i="5" a="1"/>
  <c r="V48" i="5" a="1"/>
  <c r="Y45" i="5" a="1"/>
  <c r="P44" i="5" a="1"/>
  <c r="Q45" i="5" a="1"/>
  <c r="AC44" i="5" a="1"/>
  <c r="R42" i="5" a="1"/>
  <c r="AC34" i="5" a="1"/>
  <c r="AA44" i="5" a="1"/>
  <c r="S44" i="5" a="1"/>
  <c r="AA31" i="5" a="1"/>
  <c r="T33" i="5" a="1"/>
  <c r="P31" i="5" a="1"/>
  <c r="U30" i="5" a="1"/>
  <c r="V32" i="5" a="1"/>
  <c r="AA27" i="5" a="1"/>
  <c r="O28" i="5" a="1"/>
  <c r="Z29" i="5" a="1"/>
  <c r="U110" i="5" a="1"/>
  <c r="N111" i="5" a="1"/>
  <c r="N109" i="5" a="1"/>
  <c r="AB109" i="5" a="1"/>
  <c r="P109" i="5" a="1"/>
  <c r="U111" i="5" a="1"/>
  <c r="AB99" i="5" a="1"/>
  <c r="AA106" i="5" a="1"/>
  <c r="N99" i="5" a="1"/>
  <c r="T98" i="5" a="1"/>
  <c r="Y99" i="5" a="1"/>
  <c r="V95" i="5" a="1"/>
  <c r="P97" i="5" a="1"/>
  <c r="Q97" i="5" a="1"/>
  <c r="T97" i="5" a="1"/>
  <c r="S95" i="5" a="1"/>
  <c r="V93" i="5" a="1"/>
  <c r="V90" i="5" a="1"/>
  <c r="O94" i="5" a="1"/>
  <c r="S93" i="5" a="1"/>
  <c r="R90" i="5" a="1"/>
  <c r="AB89" i="5" a="1"/>
  <c r="N89" i="5" a="1"/>
  <c r="W87" i="5" a="1"/>
  <c r="W86" i="5" a="1"/>
  <c r="Q90" i="5" a="1"/>
  <c r="AC86" i="5" a="1"/>
  <c r="AB76" i="5" a="1"/>
  <c r="P77" i="5" a="1"/>
  <c r="O86" i="5" a="1"/>
  <c r="X78" i="5" a="1"/>
  <c r="P86" i="5" a="1"/>
  <c r="X73" i="5" a="1"/>
  <c r="N74" i="5" a="1"/>
  <c r="N75" i="5" a="1"/>
  <c r="T74" i="5" a="1"/>
  <c r="U75" i="5" a="1"/>
  <c r="R71" i="5" a="1"/>
  <c r="AC69" i="5" a="1"/>
  <c r="Q72" i="5" a="1"/>
  <c r="X71" i="5" a="1"/>
  <c r="O71" i="5" a="1"/>
  <c r="R69" i="5" a="1"/>
  <c r="AB69" i="5" a="1"/>
  <c r="Z71" i="5" a="1"/>
  <c r="S71" i="5" a="1"/>
  <c r="AB66" i="5" a="1"/>
  <c r="P66" i="5" a="1"/>
  <c r="Y67" i="5" a="1"/>
  <c r="Q67" i="5" a="1"/>
  <c r="Y64" i="5" a="1"/>
  <c r="X66" i="5" a="1"/>
  <c r="AA64" i="5" a="1"/>
  <c r="AC64" i="5" a="1"/>
  <c r="Q68" i="5" a="1"/>
  <c r="AC66" i="5" a="1"/>
  <c r="O54" i="5" a="1"/>
  <c r="T55" i="5" a="1"/>
  <c r="W54" i="5" a="1"/>
  <c r="AA53" i="5" a="1"/>
  <c r="AB53" i="5" a="1"/>
  <c r="Q50" i="5" a="1"/>
  <c r="AB50" i="5" a="1"/>
  <c r="Q52" i="5" a="1"/>
  <c r="Z50" i="5" a="1"/>
  <c r="N49" i="5" a="1"/>
  <c r="O47" i="5" a="1"/>
  <c r="AC48" i="5" a="1"/>
  <c r="R49" i="5" a="1"/>
  <c r="AB46" i="5" a="1"/>
  <c r="S47" i="5" a="1"/>
  <c r="U45" i="5" a="1"/>
  <c r="AA48" i="5" a="1"/>
  <c r="X42" i="5" a="1"/>
  <c r="Q42" i="5" a="1"/>
  <c r="P42" i="5" a="1"/>
  <c r="X34" i="5" a="1"/>
  <c r="Q31" i="5" a="1"/>
  <c r="S33" i="5" a="1"/>
  <c r="N31" i="5" a="1"/>
  <c r="R34" i="5" a="1"/>
  <c r="U32" i="5" a="1"/>
  <c r="U29" i="5" a="1"/>
  <c r="R28" i="5" a="1"/>
  <c r="X26" i="5" a="1"/>
  <c r="Y26" i="5" a="1"/>
  <c r="W26" i="5" a="1"/>
  <c r="N30" i="5" a="1"/>
  <c r="W28" i="5" a="1"/>
  <c r="AB29" i="5" a="1"/>
  <c r="V23" i="5" a="1"/>
  <c r="T24" i="5" a="1"/>
  <c r="S108" i="5" a="1"/>
  <c r="AA110" i="5" a="1"/>
  <c r="S110" i="5" a="1"/>
  <c r="U109" i="5" a="1"/>
  <c r="O111" i="5" a="1"/>
  <c r="X106" i="5" a="1"/>
  <c r="Z98" i="5" a="1"/>
  <c r="S99" i="5" a="1"/>
  <c r="AA98" i="5" a="1"/>
  <c r="Z99" i="5" a="1"/>
  <c r="O106" i="5" a="1"/>
  <c r="V97" i="5" a="1"/>
  <c r="Z96" i="5" a="1"/>
  <c r="R96" i="5" a="1"/>
  <c r="P96" i="5" a="1"/>
  <c r="Q98" i="5" a="1"/>
  <c r="T93" i="5" a="1"/>
  <c r="U90" i="5" a="1"/>
  <c r="R91" i="5" a="1"/>
  <c r="Q93" i="5" a="1"/>
  <c r="AC91" i="5" a="1"/>
  <c r="AA89" i="5" a="1"/>
  <c r="O87" i="5" a="1"/>
  <c r="S86" i="5" a="1"/>
  <c r="Q89" i="5" a="1"/>
  <c r="V89" i="5" a="1"/>
  <c r="R86" i="5" a="1"/>
  <c r="Q85" i="5" a="1"/>
  <c r="T77" i="5" a="1"/>
  <c r="R76" i="5" a="1"/>
  <c r="S76" i="5" a="1"/>
  <c r="N86" i="5" a="1"/>
  <c r="Y74" i="5" a="1"/>
  <c r="Q75" i="5" a="1"/>
  <c r="AB74" i="5" a="1"/>
  <c r="O74" i="5" a="1"/>
  <c r="P73" i="5" a="1"/>
  <c r="N71" i="5" a="1"/>
  <c r="N70" i="5" a="1"/>
  <c r="P72" i="5" a="1"/>
  <c r="Q110" i="5" a="1"/>
  <c r="W109" i="5" a="1"/>
  <c r="V111" i="5" a="1"/>
  <c r="Z108" i="5" a="1"/>
  <c r="R111" i="5" a="1"/>
  <c r="N108" i="5" a="1"/>
  <c r="V98" i="5" a="1"/>
  <c r="U107" i="5" a="1"/>
  <c r="R99" i="5" a="1"/>
  <c r="P99" i="5" a="1"/>
  <c r="AA96" i="5" a="1"/>
  <c r="O96" i="5" a="1"/>
  <c r="Z95" i="5" a="1"/>
  <c r="R97" i="5" a="1"/>
  <c r="O98" i="5" a="1"/>
  <c r="Q92" i="5" a="1"/>
  <c r="U93" i="5" a="1"/>
  <c r="U92" i="5" a="1"/>
  <c r="X90" i="5" a="1"/>
  <c r="P91" i="5" a="1"/>
  <c r="Q99" i="5" a="1"/>
  <c r="O109" i="5" a="1"/>
  <c r="AC110" i="5" a="1"/>
  <c r="P112" i="5" a="1"/>
  <c r="T108" i="5" a="1"/>
  <c r="V110" i="5" a="1"/>
  <c r="AB107" i="5" a="1"/>
  <c r="W98" i="5" a="1"/>
  <c r="U98" i="5" a="1"/>
  <c r="T106" i="5" a="1"/>
  <c r="T99" i="5" a="1"/>
  <c r="Q108" i="5" a="1"/>
  <c r="AC94" i="5" a="1"/>
  <c r="Q95" i="5" a="1"/>
  <c r="AB94" i="5" a="1"/>
  <c r="V96" i="5" a="1"/>
  <c r="O97" i="5" a="1"/>
  <c r="P92" i="5" a="1"/>
  <c r="O93" i="5" a="1"/>
  <c r="AB93" i="5" a="1"/>
  <c r="AC92" i="5" a="1"/>
  <c r="U91" i="5" a="1"/>
  <c r="W88" i="5" a="1"/>
  <c r="P89" i="5" a="1"/>
  <c r="R88" i="5" a="1"/>
  <c r="AA86" i="5" a="1"/>
  <c r="N87" i="5" a="1"/>
  <c r="Y89" i="5" a="1"/>
  <c r="V77" i="5" a="1"/>
  <c r="V76" i="5" a="1"/>
  <c r="AC77" i="5" a="1"/>
  <c r="O85" i="5" a="1"/>
  <c r="AA78" i="5" a="1"/>
  <c r="AC75" i="5" a="1"/>
  <c r="Q74" i="5" a="1"/>
  <c r="V73" i="5" a="1"/>
  <c r="T73" i="5" a="1"/>
  <c r="P75" i="5" a="1"/>
  <c r="AA70" i="5" a="1"/>
  <c r="X69" i="5" a="1"/>
  <c r="V70" i="5" a="1"/>
  <c r="R73" i="5" a="1"/>
  <c r="N72" i="5" a="1"/>
  <c r="R68" i="5" a="1"/>
  <c r="T71" i="5" a="1"/>
  <c r="R65" i="5" a="1"/>
  <c r="S64" i="5" a="1"/>
  <c r="Z66" i="5" a="1"/>
  <c r="T66" i="5" a="1"/>
  <c r="V64" i="5" a="1"/>
  <c r="Q66" i="5" a="1"/>
  <c r="P68" i="5" a="1"/>
  <c r="R56" i="5" a="1"/>
  <c r="R55" i="5" a="1"/>
  <c r="X53" i="5" a="1"/>
  <c r="Q64" i="5" a="1"/>
  <c r="AC56" i="5" a="1"/>
  <c r="Y56" i="5" a="1"/>
  <c r="Y55" i="5" a="1"/>
  <c r="Q55" i="5" a="1"/>
  <c r="P55" i="5" a="1"/>
  <c r="V52" i="5" a="1"/>
  <c r="T49" i="5" a="1"/>
  <c r="N50" i="5" a="1"/>
  <c r="Q51" i="5" a="1"/>
  <c r="Y52" i="5" a="1"/>
  <c r="U52" i="5" a="1"/>
  <c r="R50" i="5" a="1"/>
  <c r="S51" i="5" a="1"/>
  <c r="Z89" i="5" a="1"/>
  <c r="Q73" i="5" a="1"/>
  <c r="O66" i="5" a="1"/>
  <c r="T53" i="5" a="1"/>
  <c r="AA52" i="5" a="1"/>
  <c r="W48" i="5" a="1"/>
  <c r="R46" i="5" a="1"/>
  <c r="V42" i="5" a="1"/>
  <c r="P45" i="5" a="1"/>
  <c r="Z44" i="5" a="1"/>
  <c r="AA33" i="5" a="1"/>
  <c r="O31" i="5" a="1"/>
  <c r="Y33" i="5" a="1"/>
  <c r="S28" i="5" a="1"/>
  <c r="AA28" i="5" a="1"/>
  <c r="T29" i="5" a="1"/>
  <c r="N27" i="5" a="1"/>
  <c r="W24" i="5" a="1"/>
  <c r="R24" i="5" a="1"/>
  <c r="Q26" i="5" a="1"/>
  <c r="X24" i="5" a="1"/>
  <c r="AC20" i="5" a="1"/>
  <c r="Z20" i="5" a="1"/>
  <c r="Z22" i="5" a="1"/>
  <c r="AC21" i="5" a="1"/>
  <c r="N20" i="5" a="1"/>
  <c r="S119" i="5" a="1"/>
  <c r="Q119" i="5" a="1"/>
  <c r="Y120" i="5" a="1"/>
  <c r="U115" i="5" a="1"/>
  <c r="P118" i="5" a="1"/>
  <c r="T117" i="5" a="1"/>
  <c r="T115" i="5" a="1"/>
  <c r="W114" i="5" a="1"/>
  <c r="R44" i="5" a="1"/>
  <c r="X44" i="5" a="1"/>
  <c r="AC32" i="5" a="1"/>
  <c r="T30" i="5" a="1"/>
  <c r="Y30" i="5" a="1"/>
  <c r="Q28" i="5" a="1"/>
  <c r="Y28" i="5" a="1"/>
  <c r="T27" i="5" a="1"/>
  <c r="AC29" i="5" a="1"/>
  <c r="AA25" i="5" a="1"/>
  <c r="X20" i="5" a="1"/>
  <c r="S20" i="5" a="1"/>
  <c r="N106" i="5" a="1"/>
  <c r="U118" i="5" a="1"/>
  <c r="P115" i="5" a="1"/>
  <c r="R117" i="5" a="1"/>
  <c r="O116" i="5" a="1"/>
  <c r="R116" i="5" a="1"/>
  <c r="AC116" i="5" a="1"/>
  <c r="S118" i="5" a="1"/>
  <c r="Q34" i="5" a="1"/>
  <c r="W27" i="5" a="1"/>
  <c r="Z26" i="5" a="1"/>
  <c r="Q23" i="5" a="1"/>
  <c r="AC120" i="5" a="1"/>
  <c r="S117" i="5" a="1"/>
  <c r="R118" i="5" a="1"/>
  <c r="AA23" i="5" a="1"/>
  <c r="AA76" i="5" a="1"/>
  <c r="O115" i="5" a="1"/>
  <c r="AA22" i="5" a="1"/>
  <c r="R115" i="5" a="1"/>
  <c r="X88" i="5" a="1"/>
  <c r="U74" i="5" a="1"/>
  <c r="N66" i="5" a="1"/>
  <c r="S53" i="5" a="1"/>
  <c r="Z52" i="5" a="1"/>
  <c r="P46" i="5" a="1"/>
  <c r="N48" i="5" a="1"/>
  <c r="T42" i="5" a="1"/>
  <c r="AA24" i="5" a="1"/>
  <c r="W23" i="5" a="1"/>
  <c r="P26" i="5" a="1"/>
  <c r="N21" i="5" a="1"/>
  <c r="W21" i="5" a="1"/>
  <c r="W120" i="5" a="1"/>
  <c r="S120" i="5" a="1"/>
  <c r="U117" i="5" a="1"/>
  <c r="AA116" i="5" a="1"/>
  <c r="T32" i="5" a="1"/>
  <c r="R30" i="5" a="1"/>
  <c r="AB23" i="5" a="1"/>
  <c r="Y24" i="5" a="1"/>
  <c r="V118" i="5" a="1"/>
  <c r="AC114" i="5" a="1"/>
  <c r="Y115" i="5" a="1"/>
  <c r="Q118" i="5" a="1"/>
  <c r="P21" i="5" a="1"/>
  <c r="N116" i="5" a="1"/>
  <c r="AB25" i="5" a="1"/>
  <c r="V22" i="5" a="1"/>
  <c r="Y119" i="5" a="1"/>
  <c r="W117" i="5" a="1"/>
  <c r="Z86" i="5" a="1"/>
  <c r="AC73" i="5" a="1"/>
  <c r="S65" i="5" a="1"/>
  <c r="N54" i="5" a="1"/>
  <c r="V51" i="5" a="1"/>
  <c r="W45" i="5" a="1"/>
  <c r="Y47" i="5" a="1"/>
  <c r="Z34" i="5" a="1"/>
  <c r="R43" i="5" a="1"/>
  <c r="N43" i="5" a="1"/>
  <c r="W33" i="5" a="1"/>
  <c r="O33" i="5" a="1"/>
  <c r="R32" i="5" a="1"/>
  <c r="U27" i="5" a="1"/>
  <c r="X27" i="5" a="1"/>
  <c r="S27" i="5" a="1"/>
  <c r="V28" i="5" a="1"/>
  <c r="V25" i="5" a="1"/>
  <c r="T23" i="5" a="1"/>
  <c r="X25" i="5" a="1"/>
  <c r="O26" i="5" a="1"/>
  <c r="AB22" i="5" a="1"/>
  <c r="P23" i="5" a="1"/>
  <c r="U20" i="5" a="1"/>
  <c r="AA20" i="5" a="1"/>
  <c r="X119" i="5" a="1"/>
  <c r="R119" i="5" a="1"/>
  <c r="Z120" i="5" a="1"/>
  <c r="AA118" i="5" a="1"/>
  <c r="P117" i="5" a="1"/>
  <c r="O118" i="5" a="1"/>
  <c r="AB115" i="5" a="1"/>
  <c r="W116" i="5" a="1"/>
  <c r="T118" i="5" a="1"/>
  <c r="V120" i="5" a="1"/>
  <c r="AB120" i="5" a="1"/>
  <c r="V115" i="5" a="1"/>
  <c r="U43" i="5" a="1"/>
  <c r="AA30" i="5" a="1"/>
  <c r="V29" i="5" a="1"/>
  <c r="AB20" i="5" a="1"/>
  <c r="U22" i="5" a="1"/>
  <c r="T119" i="5" a="1"/>
  <c r="AC117" i="5" a="1"/>
  <c r="X117" i="5" a="1"/>
  <c r="N25" i="5" a="1"/>
  <c r="Z21" i="5" a="1"/>
  <c r="P120" i="5" a="1"/>
  <c r="S24" i="5" a="1"/>
  <c r="R22" i="5" a="1"/>
  <c r="Q115" i="5" a="1"/>
  <c r="AB114" i="5" a="1"/>
  <c r="T88" i="5" a="1"/>
  <c r="Q76" i="5" a="1"/>
  <c r="S67" i="5" a="1"/>
  <c r="R54" i="5" a="1"/>
  <c r="U50" i="5" a="1"/>
  <c r="Z46" i="5" a="1"/>
  <c r="R47" i="5" a="1"/>
  <c r="AB34" i="5" a="1"/>
  <c r="Z43" i="5" a="1"/>
  <c r="X30" i="5" a="1"/>
  <c r="AB32" i="5" a="1"/>
  <c r="Z30" i="5" a="1"/>
  <c r="O32" i="5" a="1"/>
  <c r="V26" i="5" a="1"/>
  <c r="R27" i="5" a="1"/>
  <c r="S29" i="5" a="1"/>
  <c r="O27" i="5" a="1"/>
  <c r="U25" i="5" a="1"/>
  <c r="N26" i="5" a="1"/>
  <c r="O25" i="5" a="1"/>
  <c r="W25" i="5" a="1"/>
  <c r="N22" i="5" a="1"/>
  <c r="Q21" i="5" a="1"/>
  <c r="X22" i="5" a="1"/>
  <c r="V20" i="5" a="1"/>
  <c r="Z118" i="5" a="1"/>
  <c r="P119" i="5" a="1"/>
  <c r="V117" i="5" a="1"/>
  <c r="S42" i="5" a="1"/>
  <c r="V30" i="5" a="1"/>
  <c r="P25" i="5" a="1"/>
  <c r="W20" i="5" a="1"/>
  <c r="Y22" i="5" a="1"/>
  <c r="AA119" i="5" a="1"/>
  <c r="P116" i="5" a="1"/>
  <c r="Q20" i="5" a="1"/>
  <c r="V114" i="5" a="1"/>
  <c r="V24" i="5" a="1"/>
  <c r="O20" i="5" a="1"/>
  <c r="V88" i="5" a="1"/>
  <c r="AC70" i="5" a="1"/>
  <c r="P67" i="5" a="1"/>
  <c r="X55" i="5" a="1"/>
  <c r="P51" i="5" a="1"/>
  <c r="T46" i="5" a="1"/>
  <c r="V46" i="5" a="1"/>
  <c r="AC89" i="5" a="1"/>
  <c r="O70" i="5" a="1"/>
  <c r="Q65" i="5" a="1"/>
  <c r="Z56" i="5" a="1"/>
  <c r="Y50" i="5" a="1"/>
  <c r="Z47" i="5" a="1"/>
  <c r="Q49" i="5" a="1"/>
  <c r="T43" i="5" a="1"/>
  <c r="AB42" i="5" a="1"/>
  <c r="U33" i="5" a="1"/>
  <c r="AA32" i="5" a="1"/>
  <c r="P32" i="5" a="1"/>
  <c r="N32" i="5" a="1"/>
  <c r="AC26" i="5" a="1"/>
  <c r="Q30" i="5" a="1"/>
  <c r="P28" i="5" a="1"/>
  <c r="AA29" i="5" a="1"/>
  <c r="S23" i="5" a="1"/>
  <c r="AB24" i="5" a="1"/>
  <c r="Z24" i="5" a="1"/>
  <c r="Z23" i="5" a="1"/>
  <c r="O21" i="5" a="1"/>
  <c r="O23" i="5" a="1"/>
  <c r="S21" i="5" a="1"/>
  <c r="P22" i="5" a="1"/>
  <c r="AC118" i="5" a="1"/>
  <c r="W119" i="5" a="1"/>
  <c r="O119" i="5" a="1"/>
  <c r="U120" i="5" a="1"/>
  <c r="V116" i="5" a="1"/>
  <c r="AB116" i="5" a="1"/>
  <c r="O117" i="5" a="1"/>
  <c r="Y114" i="5" a="1"/>
  <c r="U116" i="5" a="1"/>
  <c r="Q24" i="5" a="1"/>
  <c r="Z25" i="5" a="1"/>
  <c r="R20" i="5" a="1"/>
  <c r="T22" i="5" a="1"/>
  <c r="R21" i="5" a="1"/>
  <c r="T120" i="5" a="1"/>
  <c r="AB118" i="5" a="1"/>
  <c r="Q117" i="5" a="1"/>
  <c r="X115" i="5" a="1"/>
  <c r="X114" i="5" a="1"/>
  <c r="Z116" i="5" a="1"/>
  <c r="T116" i="5" a="1"/>
  <c r="S25" i="5" a="1"/>
  <c r="X118" i="5" a="1"/>
  <c r="S115" i="5" a="1"/>
  <c r="AA21" i="5" a="1"/>
  <c r="O120" i="5" a="1"/>
  <c r="G1" i="5"/>
  <c r="AC76" i="5" a="1"/>
  <c r="O72" i="5" a="1"/>
  <c r="U66" i="5" a="1"/>
  <c r="AB55" i="5" a="1"/>
  <c r="P50" i="5" a="1"/>
  <c r="AB48" i="5" a="1"/>
  <c r="O49" i="5" a="1"/>
  <c r="V34" i="5" a="1"/>
  <c r="Q43" i="5" a="1"/>
  <c r="R33" i="5" a="1"/>
  <c r="O34" i="5" a="1"/>
  <c r="W32" i="5" a="1"/>
  <c r="X32" i="5" a="1"/>
  <c r="Z27" i="5" a="1"/>
  <c r="AB28" i="5" a="1"/>
  <c r="V27" i="5" a="1"/>
  <c r="Y29" i="5" a="1"/>
  <c r="R23" i="5" a="1"/>
  <c r="AC23" i="5" a="1"/>
  <c r="Y23" i="5" a="1"/>
  <c r="AC25" i="5" a="1"/>
  <c r="T20" i="5" a="1"/>
  <c r="X21" i="5" a="1"/>
  <c r="Q22" i="5" a="1"/>
  <c r="V21" i="5" a="1"/>
  <c r="V119" i="5" a="1"/>
  <c r="X120" i="5" a="1"/>
  <c r="U119" i="5" a="1"/>
  <c r="W118" i="5" a="1"/>
  <c r="AA115" i="5" a="1"/>
  <c r="N115" i="5" a="1"/>
  <c r="N117" i="5" a="1"/>
  <c r="Y116" i="5" a="1"/>
  <c r="N118" i="5" a="1"/>
  <c r="Y69" i="5" a="1"/>
  <c r="Z64" i="5" a="1"/>
  <c r="AA55" i="5" a="1"/>
  <c r="AC50" i="5" a="1"/>
  <c r="U48" i="5" a="1"/>
  <c r="N47" i="5" a="1"/>
  <c r="P43" i="5" a="1"/>
  <c r="U42" i="5" a="1"/>
  <c r="X31" i="5" a="1"/>
  <c r="N33" i="5" a="1"/>
  <c r="P34" i="5" a="1"/>
  <c r="R29" i="5" a="1"/>
  <c r="AA26" i="5" a="1"/>
  <c r="Y27" i="5" a="1"/>
  <c r="O30" i="5" a="1"/>
  <c r="X29" i="5" a="1"/>
  <c r="O24" i="5" a="1"/>
  <c r="S26" i="5" a="1"/>
  <c r="N23" i="5" a="1"/>
  <c r="AB119" i="5" a="1"/>
  <c r="AA120" i="5" a="1"/>
  <c r="Q77" i="5" a="1"/>
  <c r="U85" i="5" a="1"/>
  <c r="U69" i="5" a="1"/>
  <c r="R66" i="5" a="1"/>
  <c r="AC55" i="5" a="1"/>
  <c r="R53" i="5" a="1"/>
  <c r="S48" i="5" a="1"/>
  <c r="Z45" i="5" a="1"/>
  <c r="Y43" i="5" a="1"/>
  <c r="T34" i="5" a="1"/>
  <c r="Z33" i="5" a="1"/>
  <c r="Y32" i="5" a="1"/>
  <c r="Q33" i="5" a="1"/>
  <c r="Q29" i="5" a="1"/>
  <c r="U26" i="5" a="1"/>
  <c r="P30" i="5" a="1"/>
  <c r="P27" i="5" a="1"/>
  <c r="AC24" i="5" a="1"/>
  <c r="T25" i="5" a="1"/>
  <c r="Y25" i="5" a="1"/>
  <c r="R26" i="5" a="1"/>
  <c r="Q25" i="5" a="1"/>
  <c r="S22" i="5" a="1"/>
  <c r="Y21" i="5" a="1"/>
  <c r="Y20" i="5" a="1"/>
  <c r="U21" i="5" a="1"/>
  <c r="Q120" i="5" a="1"/>
  <c r="N119" i="5" a="1"/>
  <c r="R120" i="5" a="1"/>
  <c r="AC115" i="5" a="1"/>
  <c r="Q116" i="5" a="1"/>
  <c r="AB117" i="5" a="1"/>
  <c r="S116" i="5" a="1"/>
  <c r="O22" i="5" a="1"/>
  <c r="X116" i="5" a="1"/>
  <c r="AA117" i="5" a="1"/>
  <c r="X23" i="5" a="1"/>
  <c r="N120" i="5" a="1"/>
  <c r="Z115" i="5" a="1"/>
  <c r="Z76" i="5" a="1"/>
  <c r="AC68" i="5" a="1"/>
  <c r="P65" i="5" a="1"/>
  <c r="Z54" i="5" a="1"/>
  <c r="O53" i="5" a="1"/>
  <c r="V45" i="5" a="1"/>
  <c r="AA43" i="5" a="1"/>
  <c r="AC43" i="5" a="1"/>
  <c r="AA34" i="5" a="1"/>
  <c r="Z31" i="5" a="1"/>
  <c r="Y31" i="5" a="1"/>
  <c r="N34" i="5" a="1"/>
  <c r="N29" i="5" a="1"/>
  <c r="Q27" i="5" a="1"/>
  <c r="AB26" i="5" a="1"/>
  <c r="O29" i="5" a="1"/>
  <c r="N24" i="5" a="1"/>
  <c r="AA77" i="5" a="1"/>
  <c r="O69" i="5" a="1"/>
  <c r="Y65" i="5" a="1"/>
  <c r="T51" i="5" a="1"/>
  <c r="N53" i="5" a="1"/>
  <c r="Q48" i="5" a="1"/>
  <c r="X43" i="5" a="1"/>
  <c r="AC42" i="5" a="1"/>
  <c r="Y44" i="5" a="1"/>
  <c r="AB30" i="5" a="1"/>
  <c r="U31" i="5" a="1"/>
  <c r="AB31" i="5" a="1"/>
  <c r="AC28" i="5" a="1"/>
  <c r="N28" i="5" a="1"/>
  <c r="P29" i="5" a="1"/>
  <c r="AB27" i="5" a="1"/>
  <c r="P24" i="5" a="1"/>
  <c r="U24" i="5" a="1"/>
  <c r="U23" i="5" a="1"/>
  <c r="R25" i="5" a="1"/>
  <c r="T21" i="5" a="1"/>
  <c r="W22" i="5" a="1"/>
  <c r="AC22" i="5" a="1"/>
  <c r="AB21" i="5" a="1"/>
  <c r="P20" i="5" a="1"/>
  <c r="AC119" i="5" a="1"/>
  <c r="Z119" i="5" a="1"/>
  <c r="Y118" i="5" a="1"/>
  <c r="Z114" i="5" a="1"/>
  <c r="U114" i="5" a="1"/>
  <c r="Z117" i="5" a="1"/>
  <c r="W115" i="5" a="1"/>
  <c r="AA114" i="5" a="1"/>
  <c r="Y117" i="5" a="1"/>
  <c r="Y72" i="5" a="1"/>
  <c r="Y71" i="5" a="1"/>
  <c r="U56" i="5" a="1"/>
  <c r="O50" i="5" a="1"/>
  <c r="Y48" i="5" a="1"/>
  <c r="P48" i="5" a="1"/>
  <c r="W43" i="5" a="1"/>
  <c r="R45" i="5" a="1"/>
  <c r="O44" i="5" a="1"/>
  <c r="S32" i="5" a="1"/>
  <c r="P33" i="5" a="1"/>
  <c r="W31" i="5" a="1"/>
  <c r="T28" i="5" a="1"/>
  <c r="S30" i="5" a="1"/>
  <c r="AC27" i="5" a="1"/>
  <c r="U28" i="5" a="1"/>
  <c r="I16" i="5" a="1"/>
  <c r="AZ77" i="5" l="1"/>
  <c r="AV75" i="5"/>
  <c r="AT71" i="5"/>
  <c r="AS78" i="5"/>
  <c r="AO76" i="5"/>
  <c r="AY75" i="5"/>
  <c r="AS75" i="5"/>
  <c r="AM75" i="5"/>
  <c r="AW74" i="5"/>
  <c r="AQ74" i="5"/>
  <c r="AK74" i="5"/>
  <c r="AU73" i="5"/>
  <c r="AO73" i="5"/>
  <c r="AY72" i="5"/>
  <c r="AS72" i="5"/>
  <c r="AM72" i="5"/>
  <c r="AW71" i="5"/>
  <c r="AQ71" i="5"/>
  <c r="AK71" i="5"/>
  <c r="AY69" i="5"/>
  <c r="AS69" i="5"/>
  <c r="AO67" i="5"/>
  <c r="AY66" i="5"/>
  <c r="AM66" i="5"/>
  <c r="AW65" i="5"/>
  <c r="AK65" i="5"/>
  <c r="AR73" i="5"/>
  <c r="AM78" i="5"/>
  <c r="AR78" i="5"/>
  <c r="AP77" i="5"/>
  <c r="AZ76" i="5"/>
  <c r="AX75" i="5"/>
  <c r="AV74" i="5"/>
  <c r="AZ73" i="5"/>
  <c r="AX72" i="5"/>
  <c r="AL72" i="5"/>
  <c r="AV71" i="5"/>
  <c r="AP71" i="5"/>
  <c r="AZ70" i="5"/>
  <c r="AT70" i="5"/>
  <c r="AN70" i="5"/>
  <c r="AX69" i="5"/>
  <c r="AR69" i="5"/>
  <c r="AL69" i="5"/>
  <c r="AV68" i="5"/>
  <c r="AP68" i="5"/>
  <c r="AZ67" i="5"/>
  <c r="AT67" i="5"/>
  <c r="AN67" i="5"/>
  <c r="AX66" i="5"/>
  <c r="AR66" i="5"/>
  <c r="AL66" i="5"/>
  <c r="AV65" i="5"/>
  <c r="AP65" i="5"/>
  <c r="AP78" i="5"/>
  <c r="AL76" i="5"/>
  <c r="AX73" i="5"/>
  <c r="AY78" i="5"/>
  <c r="AW77" i="5"/>
  <c r="AK77" i="5"/>
  <c r="AX78" i="5"/>
  <c r="AV77" i="5"/>
  <c r="AN76" i="5"/>
  <c r="AL75" i="5"/>
  <c r="AT73" i="5"/>
  <c r="AR72" i="5"/>
  <c r="AW78" i="5"/>
  <c r="AU77" i="5"/>
  <c r="AS76" i="5"/>
  <c r="AQ75" i="5"/>
  <c r="AU74" i="5"/>
  <c r="AS73" i="5"/>
  <c r="AW72" i="5"/>
  <c r="AU71" i="5"/>
  <c r="AO71" i="5"/>
  <c r="AS70" i="5"/>
  <c r="AW69" i="5"/>
  <c r="AQ69" i="5"/>
  <c r="AK69" i="5"/>
  <c r="AO68" i="5"/>
  <c r="AS67" i="5"/>
  <c r="AW66" i="5"/>
  <c r="AK66" i="5"/>
  <c r="AO65" i="5"/>
  <c r="AT77" i="5"/>
  <c r="AZ74" i="5"/>
  <c r="AZ71" i="5"/>
  <c r="AQ77" i="5"/>
  <c r="AU76" i="5"/>
  <c r="AL78" i="5"/>
  <c r="AT76" i="5"/>
  <c r="AR75" i="5"/>
  <c r="AP74" i="5"/>
  <c r="AN73" i="5"/>
  <c r="AQ78" i="5"/>
  <c r="AK78" i="5"/>
  <c r="AO77" i="5"/>
  <c r="AY76" i="5"/>
  <c r="AM76" i="5"/>
  <c r="AW75" i="5"/>
  <c r="AK75" i="5"/>
  <c r="AO74" i="5"/>
  <c r="AY73" i="5"/>
  <c r="AM73" i="5"/>
  <c r="AQ72" i="5"/>
  <c r="AK72" i="5"/>
  <c r="AY70" i="5"/>
  <c r="AM70" i="5"/>
  <c r="AU68" i="5"/>
  <c r="AY67" i="5"/>
  <c r="AM67" i="5"/>
  <c r="AQ66" i="5"/>
  <c r="AU65" i="5"/>
  <c r="AV69" i="5"/>
  <c r="AP69" i="5"/>
  <c r="AZ68" i="5"/>
  <c r="AT68" i="5"/>
  <c r="AN68" i="5"/>
  <c r="AX67" i="5"/>
  <c r="AZ65" i="5"/>
  <c r="AT65" i="5"/>
  <c r="AN65" i="5"/>
  <c r="AN77" i="5"/>
  <c r="AT74" i="5"/>
  <c r="AP72" i="5"/>
  <c r="AN71" i="5"/>
  <c r="AL70" i="5"/>
  <c r="AR67" i="5"/>
  <c r="AL67" i="5"/>
  <c r="AV66" i="5"/>
  <c r="AP66" i="5"/>
  <c r="AV78" i="5"/>
  <c r="AX76" i="5"/>
  <c r="AU78" i="5"/>
  <c r="AY77" i="5"/>
  <c r="AQ76" i="5"/>
  <c r="AU75" i="5"/>
  <c r="AY74" i="5"/>
  <c r="AM74" i="5"/>
  <c r="AW73" i="5"/>
  <c r="AK73" i="5"/>
  <c r="AO72" i="5"/>
  <c r="AM71" i="5"/>
  <c r="AQ70" i="5"/>
  <c r="AU69" i="5"/>
  <c r="AY68" i="5"/>
  <c r="AS68" i="5"/>
  <c r="AM68" i="5"/>
  <c r="AW67" i="5"/>
  <c r="AQ67" i="5"/>
  <c r="AK67" i="5"/>
  <c r="AU66" i="5"/>
  <c r="AO66" i="5"/>
  <c r="AY65" i="5"/>
  <c r="AS65" i="5"/>
  <c r="AM65" i="5"/>
  <c r="AR76" i="5"/>
  <c r="AN74" i="5"/>
  <c r="AX70" i="5"/>
  <c r="AO78" i="5"/>
  <c r="AS77" i="5"/>
  <c r="AM77" i="5"/>
  <c r="AW76" i="5"/>
  <c r="AK76" i="5"/>
  <c r="AO75" i="5"/>
  <c r="AS74" i="5"/>
  <c r="AQ73" i="5"/>
  <c r="AU72" i="5"/>
  <c r="AY71" i="5"/>
  <c r="AS71" i="5"/>
  <c r="AW70" i="5"/>
  <c r="AK70" i="5"/>
  <c r="AO69" i="5"/>
  <c r="AL73" i="5"/>
  <c r="AZ78" i="5"/>
  <c r="AR77" i="5"/>
  <c r="AL77" i="5"/>
  <c r="AP76" i="5"/>
  <c r="AZ75" i="5"/>
  <c r="AT75" i="5"/>
  <c r="AZ69" i="5"/>
  <c r="AN69" i="5"/>
  <c r="AR68" i="5"/>
  <c r="AV67" i="5"/>
  <c r="AZ66" i="5"/>
  <c r="AN66" i="5"/>
  <c r="AX65" i="5"/>
  <c r="AL65" i="5"/>
  <c r="AP75" i="5"/>
  <c r="AV72" i="5"/>
  <c r="AR70" i="5"/>
  <c r="AT78" i="5"/>
  <c r="AN78" i="5"/>
  <c r="AX77" i="5"/>
  <c r="AV76" i="5"/>
  <c r="AN75" i="5"/>
  <c r="AX74" i="5"/>
  <c r="AR74" i="5"/>
  <c r="AL74" i="5"/>
  <c r="AV73" i="5"/>
  <c r="AP73" i="5"/>
  <c r="AZ72" i="5"/>
  <c r="AT72" i="5"/>
  <c r="AN72" i="5"/>
  <c r="AX71" i="5"/>
  <c r="AR71" i="5"/>
  <c r="AL71" i="5"/>
  <c r="AV70" i="5"/>
  <c r="AP70" i="5"/>
  <c r="AT69" i="5"/>
  <c r="AX68" i="5"/>
  <c r="AL68" i="5"/>
  <c r="AP67" i="5"/>
  <c r="AT66" i="5"/>
  <c r="AR65" i="5"/>
  <c r="AU70" i="5"/>
  <c r="AO70" i="5"/>
  <c r="AM69" i="5"/>
  <c r="AW68" i="5"/>
  <c r="AQ68" i="5"/>
  <c r="AK68" i="5"/>
  <c r="AU67" i="5"/>
  <c r="AS66" i="5"/>
  <c r="AQ65" i="5"/>
  <c r="AS64" i="5"/>
  <c r="AQ64" i="5"/>
  <c r="AY64" i="5"/>
  <c r="AW64" i="5"/>
  <c r="AV64" i="5"/>
  <c r="AP64" i="5"/>
  <c r="AU64" i="5"/>
  <c r="AO64" i="5"/>
  <c r="AZ64" i="5"/>
  <c r="AT64" i="5"/>
  <c r="AN64" i="5"/>
  <c r="AM64" i="5"/>
  <c r="AX64" i="5"/>
  <c r="AR64" i="5"/>
  <c r="AL64" i="5"/>
  <c r="AK64" i="5"/>
  <c r="U28" i="5"/>
  <c r="AC27" i="5"/>
  <c r="S30" i="5"/>
  <c r="T28" i="5"/>
  <c r="W31" i="5"/>
  <c r="P33" i="5"/>
  <c r="S32" i="5"/>
  <c r="O44" i="5"/>
  <c r="R45" i="5"/>
  <c r="W43" i="5"/>
  <c r="P48" i="5"/>
  <c r="Y48" i="5"/>
  <c r="O50" i="5"/>
  <c r="U56" i="5"/>
  <c r="Y71" i="5"/>
  <c r="Y72" i="5"/>
  <c r="Y117" i="5"/>
  <c r="AA114" i="5"/>
  <c r="W115" i="5"/>
  <c r="Z117" i="5"/>
  <c r="U114" i="5"/>
  <c r="Z114" i="5"/>
  <c r="Y118" i="5"/>
  <c r="Z119" i="5"/>
  <c r="AC119" i="5"/>
  <c r="P20" i="5"/>
  <c r="AB21" i="5"/>
  <c r="AC22" i="5"/>
  <c r="W22" i="5"/>
  <c r="T21" i="5"/>
  <c r="R25" i="5"/>
  <c r="U23" i="5"/>
  <c r="U24" i="5"/>
  <c r="P24" i="5"/>
  <c r="AB27" i="5"/>
  <c r="P29" i="5"/>
  <c r="N28" i="5"/>
  <c r="AC28" i="5"/>
  <c r="AB31" i="5"/>
  <c r="U31" i="5"/>
  <c r="AB30" i="5"/>
  <c r="Y44" i="5"/>
  <c r="AC42" i="5"/>
  <c r="X43" i="5"/>
  <c r="Q48" i="5"/>
  <c r="N53" i="5"/>
  <c r="T51" i="5"/>
  <c r="Y65" i="5"/>
  <c r="O69" i="5"/>
  <c r="AA77" i="5"/>
  <c r="N24" i="5"/>
  <c r="O29" i="5"/>
  <c r="AB26" i="5"/>
  <c r="Q27" i="5"/>
  <c r="N29" i="5"/>
  <c r="N34" i="5"/>
  <c r="Y31" i="5"/>
  <c r="Z31" i="5"/>
  <c r="AA34" i="5"/>
  <c r="AC43" i="5"/>
  <c r="AA43" i="5"/>
  <c r="V45" i="5"/>
  <c r="O53" i="5"/>
  <c r="Z54" i="5"/>
  <c r="P65" i="5"/>
  <c r="AC68" i="5"/>
  <c r="Z76" i="5"/>
  <c r="Z115" i="5"/>
  <c r="N120" i="5"/>
  <c r="X23" i="5"/>
  <c r="AA117" i="5"/>
  <c r="X116" i="5"/>
  <c r="O22" i="5"/>
  <c r="S116" i="5"/>
  <c r="AB117" i="5"/>
  <c r="Q116" i="5"/>
  <c r="AC115" i="5"/>
  <c r="R120" i="5"/>
  <c r="N119" i="5"/>
  <c r="Q120" i="5"/>
  <c r="U21" i="5"/>
  <c r="Y20" i="5"/>
  <c r="Y21" i="5"/>
  <c r="S22" i="5"/>
  <c r="Q25" i="5"/>
  <c r="R26" i="5"/>
  <c r="Y25" i="5"/>
  <c r="T25" i="5"/>
  <c r="AC24" i="5"/>
  <c r="P27" i="5"/>
  <c r="P30" i="5"/>
  <c r="U26" i="5"/>
  <c r="Q29" i="5"/>
  <c r="Q33" i="5"/>
  <c r="Y32" i="5"/>
  <c r="Z33" i="5"/>
  <c r="T34" i="5"/>
  <c r="Y43" i="5"/>
  <c r="Z45" i="5"/>
  <c r="S48" i="5"/>
  <c r="R53" i="5"/>
  <c r="AC55" i="5"/>
  <c r="R66" i="5"/>
  <c r="U69" i="5"/>
  <c r="U85" i="5"/>
  <c r="Q77" i="5"/>
  <c r="AA120" i="5"/>
  <c r="AB119" i="5"/>
  <c r="N23" i="5"/>
  <c r="S26" i="5"/>
  <c r="O24" i="5"/>
  <c r="X29" i="5"/>
  <c r="O30" i="5"/>
  <c r="Y27" i="5"/>
  <c r="AA26" i="5"/>
  <c r="R29" i="5"/>
  <c r="P34" i="5"/>
  <c r="N33" i="5"/>
  <c r="X31" i="5"/>
  <c r="U42" i="5"/>
  <c r="P43" i="5"/>
  <c r="N47" i="5"/>
  <c r="U48" i="5"/>
  <c r="AC50" i="5"/>
  <c r="AA55" i="5"/>
  <c r="Z64" i="5"/>
  <c r="Y69" i="5"/>
  <c r="N118" i="5"/>
  <c r="Y116" i="5"/>
  <c r="N117" i="5"/>
  <c r="N115" i="5"/>
  <c r="AA115" i="5"/>
  <c r="W118" i="5"/>
  <c r="U119" i="5"/>
  <c r="X120" i="5"/>
  <c r="V119" i="5"/>
  <c r="V21" i="5"/>
  <c r="Q22" i="5"/>
  <c r="X21" i="5"/>
  <c r="T20" i="5"/>
  <c r="AC25" i="5"/>
  <c r="Y23" i="5"/>
  <c r="AC23" i="5"/>
  <c r="R23" i="5"/>
  <c r="Y29" i="5"/>
  <c r="V27" i="5"/>
  <c r="AB28" i="5"/>
  <c r="Z27" i="5"/>
  <c r="X32" i="5"/>
  <c r="W32" i="5"/>
  <c r="O34" i="5"/>
  <c r="R33" i="5"/>
  <c r="Q43" i="5"/>
  <c r="V34" i="5"/>
  <c r="O49" i="5"/>
  <c r="AB48" i="5"/>
  <c r="P50" i="5"/>
  <c r="AB55" i="5"/>
  <c r="U66" i="5"/>
  <c r="O72" i="5"/>
  <c r="AC76" i="5"/>
  <c r="O120" i="5"/>
  <c r="AA21" i="5"/>
  <c r="S115" i="5"/>
  <c r="X118" i="5"/>
  <c r="S25" i="5"/>
  <c r="T116" i="5"/>
  <c r="Z116" i="5"/>
  <c r="X114" i="5"/>
  <c r="X115" i="5"/>
  <c r="Q117" i="5"/>
  <c r="AB118" i="5"/>
  <c r="T120" i="5"/>
  <c r="R21" i="5"/>
  <c r="T22" i="5"/>
  <c r="R20" i="5"/>
  <c r="Z25" i="5"/>
  <c r="Q24" i="5"/>
  <c r="U116" i="5"/>
  <c r="Y114" i="5"/>
  <c r="O117" i="5"/>
  <c r="AB116" i="5"/>
  <c r="V116" i="5"/>
  <c r="U120" i="5"/>
  <c r="O119" i="5"/>
  <c r="W119" i="5"/>
  <c r="AC118" i="5"/>
  <c r="P22" i="5"/>
  <c r="S21" i="5"/>
  <c r="O23" i="5"/>
  <c r="O21" i="5"/>
  <c r="Z23" i="5"/>
  <c r="Z24" i="5"/>
  <c r="AB24" i="5"/>
  <c r="S23" i="5"/>
  <c r="AA29" i="5"/>
  <c r="P28" i="5"/>
  <c r="Q30" i="5"/>
  <c r="AC26" i="5"/>
  <c r="N32" i="5"/>
  <c r="P32" i="5"/>
  <c r="AA32" i="5"/>
  <c r="U33" i="5"/>
  <c r="AB42" i="5"/>
  <c r="T43" i="5"/>
  <c r="Q49" i="5"/>
  <c r="Z47" i="5"/>
  <c r="Y50" i="5"/>
  <c r="Z56" i="5"/>
  <c r="Q65" i="5"/>
  <c r="O70" i="5"/>
  <c r="AC89" i="5"/>
  <c r="V46" i="5"/>
  <c r="T46" i="5"/>
  <c r="P51" i="5"/>
  <c r="X55" i="5"/>
  <c r="P67" i="5"/>
  <c r="AC70" i="5"/>
  <c r="V88" i="5"/>
  <c r="O20" i="5"/>
  <c r="V24" i="5"/>
  <c r="V114" i="5"/>
  <c r="Q20" i="5"/>
  <c r="P116" i="5"/>
  <c r="AA119" i="5"/>
  <c r="Y22" i="5"/>
  <c r="W20" i="5"/>
  <c r="P25" i="5"/>
  <c r="V30" i="5"/>
  <c r="S42" i="5"/>
  <c r="V117" i="5"/>
  <c r="P119" i="5"/>
  <c r="Z118" i="5"/>
  <c r="V20" i="5"/>
  <c r="X22" i="5"/>
  <c r="Q21" i="5"/>
  <c r="N22" i="5"/>
  <c r="W25" i="5"/>
  <c r="O25" i="5"/>
  <c r="N26" i="5"/>
  <c r="U25" i="5"/>
  <c r="O27" i="5"/>
  <c r="S29" i="5"/>
  <c r="R27" i="5"/>
  <c r="V26" i="5"/>
  <c r="O32" i="5"/>
  <c r="Z30" i="5"/>
  <c r="AB32" i="5"/>
  <c r="X30" i="5"/>
  <c r="Z43" i="5"/>
  <c r="AB34" i="5"/>
  <c r="R47" i="5"/>
  <c r="Z46" i="5"/>
  <c r="U50" i="5"/>
  <c r="R54" i="5"/>
  <c r="S67" i="5"/>
  <c r="Q76" i="5"/>
  <c r="T88" i="5"/>
  <c r="AB114" i="5"/>
  <c r="Q115" i="5"/>
  <c r="R22" i="5"/>
  <c r="S24" i="5"/>
  <c r="P120" i="5"/>
  <c r="Z21" i="5"/>
  <c r="N25" i="5"/>
  <c r="X117" i="5"/>
  <c r="AC117" i="5"/>
  <c r="T119" i="5"/>
  <c r="U22" i="5"/>
  <c r="AB20" i="5"/>
  <c r="V29" i="5"/>
  <c r="AA30" i="5"/>
  <c r="U43" i="5"/>
  <c r="V115" i="5"/>
  <c r="AB120" i="5"/>
  <c r="V120" i="5"/>
  <c r="T118" i="5"/>
  <c r="W116" i="5"/>
  <c r="AB115" i="5"/>
  <c r="O118" i="5"/>
  <c r="P117" i="5"/>
  <c r="AA118" i="5"/>
  <c r="Z120" i="5"/>
  <c r="R119" i="5"/>
  <c r="X119" i="5"/>
  <c r="AA20" i="5"/>
  <c r="U20" i="5"/>
  <c r="P23" i="5"/>
  <c r="AB22" i="5"/>
  <c r="O26" i="5"/>
  <c r="X25" i="5"/>
  <c r="T23" i="5"/>
  <c r="V25" i="5"/>
  <c r="V28" i="5"/>
  <c r="S27" i="5"/>
  <c r="X27" i="5"/>
  <c r="U27" i="5"/>
  <c r="R32" i="5"/>
  <c r="O33" i="5"/>
  <c r="W33" i="5"/>
  <c r="N43" i="5"/>
  <c r="R43" i="5"/>
  <c r="Z34" i="5"/>
  <c r="Y47" i="5"/>
  <c r="W45" i="5"/>
  <c r="V51" i="5"/>
  <c r="N54" i="5"/>
  <c r="S65" i="5"/>
  <c r="AC73" i="5"/>
  <c r="Z86" i="5"/>
  <c r="W117" i="5"/>
  <c r="Y119" i="5"/>
  <c r="V22" i="5"/>
  <c r="AB25" i="5"/>
  <c r="N116" i="5"/>
  <c r="P21" i="5"/>
  <c r="Q118" i="5"/>
  <c r="Y115" i="5"/>
  <c r="AC114" i="5"/>
  <c r="V118" i="5"/>
  <c r="Y24" i="5"/>
  <c r="AB23" i="5"/>
  <c r="R30" i="5"/>
  <c r="T32" i="5"/>
  <c r="AA116" i="5"/>
  <c r="U117" i="5"/>
  <c r="S120" i="5"/>
  <c r="W120" i="5"/>
  <c r="W21" i="5"/>
  <c r="N21" i="5"/>
  <c r="P26" i="5"/>
  <c r="W23" i="5"/>
  <c r="AA24" i="5"/>
  <c r="T42" i="5"/>
  <c r="N48" i="5"/>
  <c r="P46" i="5"/>
  <c r="Z52" i="5"/>
  <c r="S53" i="5"/>
  <c r="N66" i="5"/>
  <c r="U74" i="5"/>
  <c r="X88" i="5"/>
  <c r="R115" i="5"/>
  <c r="AA22" i="5"/>
  <c r="O115" i="5"/>
  <c r="AA76" i="5"/>
  <c r="AA23" i="5"/>
  <c r="R118" i="5"/>
  <c r="S117" i="5"/>
  <c r="AC120" i="5"/>
  <c r="Q23" i="5"/>
  <c r="Z26" i="5"/>
  <c r="W27" i="5"/>
  <c r="Q34" i="5"/>
  <c r="S118" i="5"/>
  <c r="AC116" i="5"/>
  <c r="R116" i="5"/>
  <c r="O116" i="5"/>
  <c r="R117" i="5"/>
  <c r="P115" i="5"/>
  <c r="U118" i="5"/>
  <c r="N106" i="5"/>
  <c r="S20" i="5"/>
  <c r="X20" i="5"/>
  <c r="AA25" i="5"/>
  <c r="AC29" i="5"/>
  <c r="T27" i="5"/>
  <c r="Y28" i="5"/>
  <c r="Q28" i="5"/>
  <c r="Y30" i="5"/>
  <c r="T30" i="5"/>
  <c r="AC32" i="5"/>
  <c r="X44" i="5"/>
  <c r="R44" i="5"/>
  <c r="W114" i="5"/>
  <c r="T115" i="5"/>
  <c r="T117" i="5"/>
  <c r="P118" i="5"/>
  <c r="U115" i="5"/>
  <c r="Y120" i="5"/>
  <c r="Q119" i="5"/>
  <c r="S119" i="5"/>
  <c r="N20" i="5"/>
  <c r="AC21" i="5"/>
  <c r="Z22" i="5"/>
  <c r="Z20" i="5"/>
  <c r="AC20" i="5"/>
  <c r="X24" i="5"/>
  <c r="Q26" i="5"/>
  <c r="R24" i="5"/>
  <c r="W24" i="5"/>
  <c r="N27" i="5"/>
  <c r="T29" i="5"/>
  <c r="AA28" i="5"/>
  <c r="S28" i="5"/>
  <c r="Y33" i="5"/>
  <c r="O31" i="5"/>
  <c r="AA33" i="5"/>
  <c r="Z44" i="5"/>
  <c r="P45" i="5"/>
  <c r="V42" i="5"/>
  <c r="R46" i="5"/>
  <c r="W48" i="5"/>
  <c r="AA52" i="5"/>
  <c r="T53" i="5"/>
  <c r="O66" i="5"/>
  <c r="Q73" i="5"/>
  <c r="Z89" i="5"/>
  <c r="S51" i="5"/>
  <c r="R50" i="5"/>
  <c r="U52" i="5"/>
  <c r="Y52" i="5"/>
  <c r="Q51" i="5"/>
  <c r="N50" i="5"/>
  <c r="T49" i="5"/>
  <c r="V52" i="5"/>
  <c r="P55" i="5"/>
  <c r="Q55" i="5"/>
  <c r="Y55" i="5"/>
  <c r="Y56" i="5"/>
  <c r="AC56" i="5"/>
  <c r="Q64" i="5"/>
  <c r="X53" i="5"/>
  <c r="R55" i="5"/>
  <c r="R56" i="5"/>
  <c r="P68" i="5"/>
  <c r="Q66" i="5"/>
  <c r="V64" i="5"/>
  <c r="T66" i="5"/>
  <c r="Z66" i="5"/>
  <c r="S64" i="5"/>
  <c r="R65" i="5"/>
  <c r="T71" i="5"/>
  <c r="R68" i="5"/>
  <c r="N72" i="5"/>
  <c r="R73" i="5"/>
  <c r="V70" i="5"/>
  <c r="X69" i="5"/>
  <c r="AA70" i="5"/>
  <c r="P75" i="5"/>
  <c r="T73" i="5"/>
  <c r="V73" i="5"/>
  <c r="Q74" i="5"/>
  <c r="AC75" i="5"/>
  <c r="AA78" i="5"/>
  <c r="O85" i="5"/>
  <c r="AC77" i="5"/>
  <c r="V76" i="5"/>
  <c r="V77" i="5"/>
  <c r="Y89" i="5"/>
  <c r="N87" i="5"/>
  <c r="AA86" i="5"/>
  <c r="R88" i="5"/>
  <c r="P89" i="5"/>
  <c r="W88" i="5"/>
  <c r="U91" i="5"/>
  <c r="AC92" i="5"/>
  <c r="AB93" i="5"/>
  <c r="O93" i="5"/>
  <c r="P92" i="5"/>
  <c r="O97" i="5"/>
  <c r="V96" i="5"/>
  <c r="AB94" i="5"/>
  <c r="Q95" i="5"/>
  <c r="AC94" i="5"/>
  <c r="Q108" i="5"/>
  <c r="T99" i="5"/>
  <c r="T106" i="5"/>
  <c r="U98" i="5"/>
  <c r="W98" i="5"/>
  <c r="AB107" i="5"/>
  <c r="V110" i="5"/>
  <c r="T108" i="5"/>
  <c r="P112" i="5"/>
  <c r="AC110" i="5"/>
  <c r="O109" i="5"/>
  <c r="Q99" i="5"/>
  <c r="P91" i="5"/>
  <c r="X90" i="5"/>
  <c r="U92" i="5"/>
  <c r="U93" i="5"/>
  <c r="Q92" i="5"/>
  <c r="O98" i="5"/>
  <c r="R97" i="5"/>
  <c r="Z95" i="5"/>
  <c r="O96" i="5"/>
  <c r="AA96" i="5"/>
  <c r="P99" i="5"/>
  <c r="R99" i="5"/>
  <c r="U107" i="5"/>
  <c r="V98" i="5"/>
  <c r="N108" i="5"/>
  <c r="R111" i="5"/>
  <c r="Z108" i="5"/>
  <c r="V111" i="5"/>
  <c r="W109" i="5"/>
  <c r="Q110" i="5"/>
  <c r="P72" i="5"/>
  <c r="N70" i="5"/>
  <c r="N71" i="5"/>
  <c r="P73" i="5"/>
  <c r="O74" i="5"/>
  <c r="AB74" i="5"/>
  <c r="Q75" i="5"/>
  <c r="Y74" i="5"/>
  <c r="N86" i="5"/>
  <c r="S76" i="5"/>
  <c r="R76" i="5"/>
  <c r="T77" i="5"/>
  <c r="Q85" i="5"/>
  <c r="R86" i="5"/>
  <c r="V89" i="5"/>
  <c r="Q89" i="5"/>
  <c r="S86" i="5"/>
  <c r="O87" i="5"/>
  <c r="AA89" i="5"/>
  <c r="AC91" i="5"/>
  <c r="Q93" i="5"/>
  <c r="R91" i="5"/>
  <c r="U90" i="5"/>
  <c r="T93" i="5"/>
  <c r="Q98" i="5"/>
  <c r="P96" i="5"/>
  <c r="R96" i="5"/>
  <c r="Z96" i="5"/>
  <c r="V97" i="5"/>
  <c r="O106" i="5"/>
  <c r="Z99" i="5"/>
  <c r="AA98" i="5"/>
  <c r="S99" i="5"/>
  <c r="Z98" i="5"/>
  <c r="X106" i="5"/>
  <c r="O111" i="5"/>
  <c r="U109" i="5"/>
  <c r="S110" i="5"/>
  <c r="AA110" i="5"/>
  <c r="S108" i="5"/>
  <c r="T24" i="5"/>
  <c r="V23" i="5"/>
  <c r="AB29" i="5"/>
  <c r="W28" i="5"/>
  <c r="N30" i="5"/>
  <c r="W26" i="5"/>
  <c r="Y26" i="5"/>
  <c r="X26" i="5"/>
  <c r="R28" i="5"/>
  <c r="U29" i="5"/>
  <c r="U32" i="5"/>
  <c r="R34" i="5"/>
  <c r="N31" i="5"/>
  <c r="S33" i="5"/>
  <c r="Q31" i="5"/>
  <c r="X34" i="5"/>
  <c r="P42" i="5"/>
  <c r="Q42" i="5"/>
  <c r="X42" i="5"/>
  <c r="AA48" i="5"/>
  <c r="U45" i="5"/>
  <c r="S47" i="5"/>
  <c r="AB46" i="5"/>
  <c r="R49" i="5"/>
  <c r="AC48" i="5"/>
  <c r="O47" i="5"/>
  <c r="N49" i="5"/>
  <c r="Z50" i="5"/>
  <c r="Q52" i="5"/>
  <c r="AB50" i="5"/>
  <c r="Q50" i="5"/>
  <c r="AB53" i="5"/>
  <c r="AA53" i="5"/>
  <c r="W54" i="5"/>
  <c r="T55" i="5"/>
  <c r="O54" i="5"/>
  <c r="AC66" i="5"/>
  <c r="Q68" i="5"/>
  <c r="AC64" i="5"/>
  <c r="AA64" i="5"/>
  <c r="X66" i="5"/>
  <c r="Y64" i="5"/>
  <c r="Q67" i="5"/>
  <c r="Y67" i="5"/>
  <c r="P66" i="5"/>
  <c r="AB66" i="5"/>
  <c r="S71" i="5"/>
  <c r="Z71" i="5"/>
  <c r="AB69" i="5"/>
  <c r="R69" i="5"/>
  <c r="O71" i="5"/>
  <c r="X71" i="5"/>
  <c r="Q72" i="5"/>
  <c r="AC69" i="5"/>
  <c r="R71" i="5"/>
  <c r="U75" i="5"/>
  <c r="T74" i="5"/>
  <c r="N75" i="5"/>
  <c r="N74" i="5"/>
  <c r="X73" i="5"/>
  <c r="P86" i="5"/>
  <c r="X78" i="5"/>
  <c r="O86" i="5"/>
  <c r="P77" i="5"/>
  <c r="AB76" i="5"/>
  <c r="AC86" i="5"/>
  <c r="Q90" i="5"/>
  <c r="W86" i="5"/>
  <c r="W87" i="5"/>
  <c r="N89" i="5"/>
  <c r="AB89" i="5"/>
  <c r="R90" i="5"/>
  <c r="S93" i="5"/>
  <c r="O94" i="5"/>
  <c r="V90" i="5"/>
  <c r="V93" i="5"/>
  <c r="S95" i="5"/>
  <c r="T97" i="5"/>
  <c r="Q97" i="5"/>
  <c r="P97" i="5"/>
  <c r="V95" i="5"/>
  <c r="Y99" i="5"/>
  <c r="T98" i="5"/>
  <c r="N99" i="5"/>
  <c r="AA106" i="5"/>
  <c r="AB99" i="5"/>
  <c r="U111" i="5"/>
  <c r="P109" i="5"/>
  <c r="AB109" i="5"/>
  <c r="N109" i="5"/>
  <c r="N111" i="5"/>
  <c r="U110" i="5"/>
  <c r="Z29" i="5"/>
  <c r="O28" i="5"/>
  <c r="AA27" i="5"/>
  <c r="V32" i="5"/>
  <c r="U30" i="5"/>
  <c r="P31" i="5"/>
  <c r="T33" i="5"/>
  <c r="AA31" i="5"/>
  <c r="S44" i="5"/>
  <c r="AA44" i="5"/>
  <c r="AC34" i="5"/>
  <c r="R42" i="5"/>
  <c r="AC44" i="5"/>
  <c r="Q45" i="5"/>
  <c r="P44" i="5"/>
  <c r="Y45" i="5"/>
  <c r="V48" i="5"/>
  <c r="U46" i="5"/>
  <c r="X52" i="5"/>
  <c r="S49" i="5"/>
  <c r="AA51" i="5"/>
  <c r="Z51" i="5"/>
  <c r="Y51" i="5"/>
  <c r="X51" i="5"/>
  <c r="AB54" i="5"/>
  <c r="W53" i="5"/>
  <c r="U54" i="5"/>
  <c r="T56" i="5"/>
  <c r="Z55" i="5"/>
  <c r="Y53" i="5"/>
  <c r="X68" i="5"/>
  <c r="Q70" i="5"/>
  <c r="AA69" i="5"/>
  <c r="AC72" i="5"/>
  <c r="U73" i="5"/>
  <c r="S73" i="5"/>
  <c r="S75" i="5"/>
  <c r="T75" i="5"/>
  <c r="U78" i="5"/>
  <c r="P78" i="5"/>
  <c r="Z77" i="5"/>
  <c r="AB77" i="5"/>
  <c r="Y76" i="5"/>
  <c r="U86" i="5"/>
  <c r="AB86" i="5"/>
  <c r="X86" i="5"/>
  <c r="S87" i="5"/>
  <c r="S89" i="5"/>
  <c r="X92" i="5"/>
  <c r="Y91" i="5"/>
  <c r="S90" i="5"/>
  <c r="V91" i="5"/>
  <c r="W90" i="5"/>
  <c r="AC90" i="5"/>
  <c r="Y96" i="5"/>
  <c r="Y97" i="5"/>
  <c r="N95" i="5"/>
  <c r="AA94" i="5"/>
  <c r="AB95" i="5"/>
  <c r="P106" i="5"/>
  <c r="U106" i="5"/>
  <c r="V107" i="5"/>
  <c r="AC106" i="5"/>
  <c r="AC99" i="5"/>
  <c r="W111" i="5"/>
  <c r="AA109" i="5"/>
  <c r="V108" i="5"/>
  <c r="Q112" i="5"/>
  <c r="R109" i="5"/>
  <c r="Q111" i="5"/>
  <c r="X28" i="5"/>
  <c r="T26" i="5"/>
  <c r="S31" i="5"/>
  <c r="S34" i="5"/>
  <c r="AB33" i="5"/>
  <c r="AC31" i="5"/>
  <c r="V31" i="5"/>
  <c r="O42" i="5"/>
  <c r="AB43" i="5"/>
  <c r="N45" i="5"/>
  <c r="T44" i="5"/>
  <c r="V44" i="5"/>
  <c r="X49" i="5"/>
  <c r="W55" i="5"/>
  <c r="N64" i="5"/>
  <c r="V55" i="5"/>
  <c r="U65" i="5"/>
  <c r="V65" i="5"/>
  <c r="N65" i="5"/>
  <c r="O65" i="5"/>
  <c r="X64" i="5"/>
  <c r="AC67" i="5"/>
  <c r="T67" i="5"/>
  <c r="AB65" i="5"/>
  <c r="P71" i="5"/>
  <c r="AB71" i="5"/>
  <c r="P70" i="5"/>
  <c r="U71" i="5"/>
  <c r="S69" i="5"/>
  <c r="AA71" i="5"/>
  <c r="T68" i="5"/>
  <c r="W70" i="5"/>
  <c r="Z75" i="5"/>
  <c r="V72" i="5"/>
  <c r="V74" i="5"/>
  <c r="W73" i="5"/>
  <c r="N73" i="5"/>
  <c r="V75" i="5"/>
  <c r="N85" i="5"/>
  <c r="X85" i="5"/>
  <c r="Y78" i="5"/>
  <c r="R78" i="5"/>
  <c r="N77" i="5"/>
  <c r="N90" i="5"/>
  <c r="Q87" i="5"/>
  <c r="AC88" i="5"/>
  <c r="U87" i="5"/>
  <c r="U89" i="5"/>
  <c r="Z92" i="5"/>
  <c r="AB90" i="5"/>
  <c r="Z90" i="5"/>
  <c r="P94" i="5"/>
  <c r="N91" i="5"/>
  <c r="R92" i="5"/>
  <c r="Z94" i="5"/>
  <c r="P95" i="5"/>
  <c r="N97" i="5"/>
  <c r="S97" i="5"/>
  <c r="W97" i="5"/>
  <c r="S107" i="5"/>
  <c r="S106" i="5"/>
  <c r="R106" i="5"/>
  <c r="U99" i="5"/>
  <c r="R107" i="5"/>
  <c r="X111" i="5"/>
  <c r="AA108" i="5"/>
  <c r="O110" i="5"/>
  <c r="O112" i="5"/>
  <c r="Q109" i="5"/>
  <c r="Z112" i="5"/>
  <c r="Z28" i="5"/>
  <c r="W29" i="5"/>
  <c r="AC30" i="5"/>
  <c r="T31" i="5"/>
  <c r="W30" i="5"/>
  <c r="R31" i="5"/>
  <c r="V33" i="5"/>
  <c r="W44" i="5"/>
  <c r="S43" i="5"/>
  <c r="W42" i="5"/>
  <c r="U34" i="5"/>
  <c r="Z42" i="5"/>
  <c r="Q44" i="5"/>
  <c r="AC47" i="5"/>
  <c r="AA45" i="5"/>
  <c r="V47" i="5"/>
  <c r="O48" i="5"/>
  <c r="AC46" i="5"/>
  <c r="AC45" i="5"/>
  <c r="S46" i="5"/>
  <c r="O46" i="5"/>
  <c r="X45" i="5"/>
  <c r="W47" i="5"/>
  <c r="R51" i="5"/>
  <c r="Q53" i="5"/>
  <c r="V49" i="5"/>
  <c r="W49" i="5"/>
  <c r="AB51" i="5"/>
  <c r="S50" i="5"/>
  <c r="P52" i="5"/>
  <c r="AB49" i="5"/>
  <c r="V50" i="5"/>
  <c r="AC51" i="5"/>
  <c r="Z53" i="5"/>
  <c r="O56" i="5"/>
  <c r="V56" i="5"/>
  <c r="AA56" i="5"/>
  <c r="AA54" i="5"/>
  <c r="S55" i="5"/>
  <c r="T54" i="5"/>
  <c r="V53" i="5"/>
  <c r="AA67" i="5"/>
  <c r="Y66" i="5"/>
  <c r="V68" i="5"/>
  <c r="P69" i="5"/>
  <c r="Z72" i="5"/>
  <c r="AB72" i="5"/>
  <c r="W74" i="5"/>
  <c r="P74" i="5"/>
  <c r="R75" i="5"/>
  <c r="N76" i="5"/>
  <c r="W76" i="5"/>
  <c r="R77" i="5"/>
  <c r="AA85" i="5"/>
  <c r="V78" i="5"/>
  <c r="S77" i="5"/>
  <c r="O90" i="5"/>
  <c r="Y87" i="5"/>
  <c r="T89" i="5"/>
  <c r="V86" i="5"/>
  <c r="S88" i="5"/>
  <c r="W91" i="5"/>
  <c r="AA91" i="5"/>
  <c r="N93" i="5"/>
  <c r="Q94" i="5"/>
  <c r="Q91" i="5"/>
  <c r="P93" i="5"/>
  <c r="W95" i="5"/>
  <c r="AB97" i="5"/>
  <c r="Y95" i="5"/>
  <c r="AA95" i="5"/>
  <c r="S96" i="5"/>
  <c r="R98" i="5"/>
  <c r="AA99" i="5"/>
  <c r="Z107" i="5"/>
  <c r="W99" i="5"/>
  <c r="T107" i="5"/>
  <c r="Y111" i="5"/>
  <c r="T109" i="5"/>
  <c r="AB110" i="5"/>
  <c r="N110" i="5"/>
  <c r="X108" i="5"/>
  <c r="Y112" i="5"/>
  <c r="O43" i="5"/>
  <c r="Y42" i="5"/>
  <c r="W34" i="5"/>
  <c r="V43" i="5"/>
  <c r="AA46" i="5"/>
  <c r="Q46" i="5"/>
  <c r="X47" i="5"/>
  <c r="S45" i="5"/>
  <c r="N46" i="5"/>
  <c r="T45" i="5"/>
  <c r="X46" i="5"/>
  <c r="AB45" i="5"/>
  <c r="Q47" i="5"/>
  <c r="AC52" i="5"/>
  <c r="Z49" i="5"/>
  <c r="N52" i="5"/>
  <c r="T52" i="5"/>
  <c r="AA50" i="5"/>
  <c r="X50" i="5"/>
  <c r="U53" i="5"/>
  <c r="Q56" i="5"/>
  <c r="AB56" i="5"/>
  <c r="O64" i="5"/>
  <c r="Y54" i="5"/>
  <c r="R64" i="5"/>
  <c r="S66" i="5"/>
  <c r="W64" i="5"/>
  <c r="W65" i="5"/>
  <c r="U67" i="5"/>
  <c r="S70" i="5"/>
  <c r="Q71" i="5"/>
  <c r="V69" i="5"/>
  <c r="AA68" i="5"/>
  <c r="Y73" i="5"/>
  <c r="AA72" i="5"/>
  <c r="W75" i="5"/>
  <c r="O76" i="5"/>
  <c r="S85" i="5"/>
  <c r="X77" i="5"/>
  <c r="AC78" i="5"/>
  <c r="R85" i="5"/>
  <c r="U88" i="5"/>
  <c r="N88" i="5"/>
  <c r="X89" i="5"/>
  <c r="T87" i="5"/>
  <c r="Y88" i="5"/>
  <c r="X93" i="5"/>
  <c r="AB91" i="5"/>
  <c r="W93" i="5"/>
  <c r="Y92" i="5"/>
  <c r="X91" i="5"/>
  <c r="T91" i="5"/>
  <c r="W94" i="5"/>
  <c r="AC97" i="5"/>
  <c r="U97" i="5"/>
  <c r="X95" i="5"/>
  <c r="X97" i="5"/>
  <c r="V99" i="5"/>
  <c r="Q106" i="5"/>
  <c r="X107" i="5"/>
  <c r="S98" i="5"/>
  <c r="O99" i="5"/>
  <c r="Z111" i="5"/>
  <c r="T110" i="5"/>
  <c r="P111" i="5"/>
  <c r="U108" i="5"/>
  <c r="Y109" i="5"/>
  <c r="N113" i="5"/>
  <c r="X33" i="5"/>
  <c r="Q32" i="5"/>
  <c r="AC33" i="5"/>
  <c r="Z32" i="5"/>
  <c r="Y34" i="5"/>
  <c r="AB44" i="5"/>
  <c r="AA42" i="5"/>
  <c r="N44" i="5"/>
  <c r="O45" i="5"/>
  <c r="U44" i="5"/>
  <c r="N42" i="5"/>
  <c r="AA47" i="5"/>
  <c r="P53" i="5"/>
  <c r="N51" i="5"/>
  <c r="U51" i="5"/>
  <c r="Y49" i="5"/>
  <c r="S52" i="5"/>
  <c r="O55" i="5"/>
  <c r="AC54" i="5"/>
  <c r="P56" i="5"/>
  <c r="U55" i="5"/>
  <c r="Q54" i="5"/>
  <c r="AA65" i="5"/>
  <c r="N68" i="5"/>
  <c r="AA66" i="5"/>
  <c r="R67" i="5"/>
  <c r="V66" i="5"/>
  <c r="X67" i="5"/>
  <c r="W71" i="5"/>
  <c r="AC71" i="5"/>
  <c r="V71" i="5"/>
  <c r="Y70" i="5"/>
  <c r="AA73" i="5"/>
  <c r="X74" i="5"/>
  <c r="O78" i="5"/>
  <c r="U68" i="5"/>
  <c r="Z70" i="5"/>
  <c r="AB73" i="5"/>
  <c r="S72" i="5"/>
  <c r="O73" i="5"/>
  <c r="R74" i="5"/>
  <c r="X75" i="5"/>
  <c r="O75" i="5"/>
  <c r="U76" i="5"/>
  <c r="Q78" i="5"/>
  <c r="Q86" i="5"/>
  <c r="T85" i="5"/>
  <c r="P85" i="5"/>
  <c r="P90" i="5"/>
  <c r="AC87" i="5"/>
  <c r="T86" i="5"/>
  <c r="Z87" i="5"/>
  <c r="X87" i="5"/>
  <c r="Y93" i="5"/>
  <c r="N92" i="5"/>
  <c r="Y90" i="5"/>
  <c r="T90" i="5"/>
  <c r="Z91" i="5"/>
  <c r="AA97" i="5"/>
  <c r="AC95" i="5"/>
  <c r="N96" i="5"/>
  <c r="P98" i="5"/>
  <c r="V94" i="5"/>
  <c r="U95" i="5"/>
  <c r="Y106" i="5"/>
  <c r="V106" i="5"/>
  <c r="AC107" i="5"/>
  <c r="AC98" i="5"/>
  <c r="X99" i="5"/>
  <c r="AA111" i="5"/>
  <c r="X109" i="5"/>
  <c r="AB111" i="5"/>
  <c r="S109" i="5"/>
  <c r="R110" i="5"/>
  <c r="Q113" i="5"/>
  <c r="R52" i="5"/>
  <c r="T50" i="5"/>
  <c r="W51" i="5"/>
  <c r="AB52" i="5"/>
  <c r="AC53" i="5"/>
  <c r="V54" i="5"/>
  <c r="S56" i="5"/>
  <c r="X56" i="5"/>
  <c r="P54" i="5"/>
  <c r="W56" i="5"/>
  <c r="X54" i="5"/>
  <c r="N56" i="5"/>
  <c r="T65" i="5"/>
  <c r="Z65" i="5"/>
  <c r="AC65" i="5"/>
  <c r="U64" i="5"/>
  <c r="V67" i="5"/>
  <c r="T69" i="5"/>
  <c r="X70" i="5"/>
  <c r="R70" i="5"/>
  <c r="N69" i="5"/>
  <c r="X72" i="5"/>
  <c r="Z73" i="5"/>
  <c r="AA74" i="5"/>
  <c r="W85" i="5"/>
  <c r="W77" i="5"/>
  <c r="Z85" i="5"/>
  <c r="W78" i="5"/>
  <c r="V85" i="5"/>
  <c r="V87" i="5"/>
  <c r="AA87" i="5"/>
  <c r="P87" i="5"/>
  <c r="AB88" i="5"/>
  <c r="R89" i="5"/>
  <c r="AA93" i="5"/>
  <c r="O92" i="5"/>
  <c r="S91" i="5"/>
  <c r="V92" i="5"/>
  <c r="W92" i="5"/>
  <c r="N98" i="5"/>
  <c r="R94" i="5"/>
  <c r="R95" i="5"/>
  <c r="S94" i="5"/>
  <c r="U94" i="5"/>
  <c r="O95" i="5"/>
  <c r="W107" i="5"/>
  <c r="AC111" i="5"/>
  <c r="Y108" i="5"/>
  <c r="AC108" i="5"/>
  <c r="V109" i="5"/>
  <c r="X110" i="5"/>
  <c r="V113" i="5"/>
  <c r="O51" i="5"/>
  <c r="O52" i="5"/>
  <c r="W52" i="5"/>
  <c r="AC49" i="5"/>
  <c r="P64" i="5"/>
  <c r="N55" i="5"/>
  <c r="O67" i="5"/>
  <c r="O68" i="5"/>
  <c r="W66" i="5"/>
  <c r="N67" i="5"/>
  <c r="X65" i="5"/>
  <c r="Z67" i="5"/>
  <c r="W68" i="5"/>
  <c r="AB70" i="5"/>
  <c r="S68" i="5"/>
  <c r="Y68" i="5"/>
  <c r="R72" i="5"/>
  <c r="Y75" i="5"/>
  <c r="U77" i="5"/>
  <c r="AB98" i="5"/>
  <c r="AB106" i="5"/>
  <c r="O108" i="5"/>
  <c r="O107" i="5"/>
  <c r="W69" i="5"/>
  <c r="AB68" i="5"/>
  <c r="Z74" i="5"/>
  <c r="W72" i="5"/>
  <c r="T72" i="5"/>
  <c r="S74" i="5"/>
  <c r="AA75" i="5"/>
  <c r="AB85" i="5"/>
  <c r="N78" i="5"/>
  <c r="T76" i="5"/>
  <c r="Y77" i="5"/>
  <c r="Z78" i="5"/>
  <c r="Y85" i="5"/>
  <c r="Q88" i="5"/>
  <c r="AB87" i="5"/>
  <c r="R87" i="5"/>
  <c r="O89" i="5"/>
  <c r="Y86" i="5"/>
  <c r="AC93" i="5"/>
  <c r="T92" i="5"/>
  <c r="Z93" i="5"/>
  <c r="R93" i="5"/>
  <c r="AA92" i="5"/>
  <c r="AB96" i="5"/>
  <c r="T95" i="5"/>
  <c r="U96" i="5"/>
  <c r="T96" i="5"/>
  <c r="T94" i="5"/>
  <c r="Q96" i="5"/>
  <c r="P107" i="5"/>
  <c r="W106" i="5"/>
  <c r="P108" i="5"/>
  <c r="Q107" i="5"/>
  <c r="Y107" i="5"/>
  <c r="W108" i="5"/>
  <c r="S111" i="5"/>
  <c r="N112" i="5"/>
  <c r="W110" i="5"/>
  <c r="AB108" i="5"/>
  <c r="T112" i="5"/>
  <c r="R48" i="5"/>
  <c r="P49" i="5"/>
  <c r="P47" i="5"/>
  <c r="AB47" i="5"/>
  <c r="W46" i="5"/>
  <c r="Z48" i="5"/>
  <c r="T48" i="5"/>
  <c r="T47" i="5"/>
  <c r="Y46" i="5"/>
  <c r="U47" i="5"/>
  <c r="X48" i="5"/>
  <c r="U49" i="5"/>
  <c r="AA49" i="5"/>
  <c r="W50" i="5"/>
  <c r="S54" i="5"/>
  <c r="W67" i="5"/>
  <c r="AB64" i="5"/>
  <c r="T64" i="5"/>
  <c r="AB67" i="5"/>
  <c r="Z68" i="5"/>
  <c r="Z69" i="5"/>
  <c r="U70" i="5"/>
  <c r="T70" i="5"/>
  <c r="Q69" i="5"/>
  <c r="P76" i="5"/>
  <c r="U72" i="5"/>
  <c r="AC74" i="5"/>
  <c r="AB75" i="5"/>
  <c r="AC85" i="5"/>
  <c r="S78" i="5"/>
  <c r="AB78" i="5"/>
  <c r="X76" i="5"/>
  <c r="O77" i="5"/>
  <c r="T78" i="5"/>
  <c r="Z88" i="5"/>
  <c r="O88" i="5"/>
  <c r="P88" i="5"/>
  <c r="AA88" i="5"/>
  <c r="W89" i="5"/>
  <c r="AA90" i="5"/>
  <c r="AB92" i="5"/>
  <c r="N94" i="5"/>
  <c r="S92" i="5"/>
  <c r="O91" i="5"/>
  <c r="W96" i="5"/>
  <c r="X96" i="5"/>
  <c r="Y94" i="5"/>
  <c r="AC96" i="5"/>
  <c r="X94" i="5"/>
  <c r="Z97" i="5"/>
  <c r="Y98" i="5"/>
  <c r="N107" i="5"/>
  <c r="Z106" i="5"/>
  <c r="X98" i="5"/>
  <c r="AA107" i="5"/>
  <c r="Z110" i="5"/>
  <c r="T111" i="5"/>
  <c r="R108" i="5"/>
  <c r="Y110" i="5"/>
  <c r="P110" i="5"/>
  <c r="AA112" i="5"/>
  <c r="T114" i="5"/>
  <c r="U112" i="5"/>
  <c r="W113" i="5"/>
  <c r="W112" i="5"/>
  <c r="S113" i="5"/>
  <c r="P114" i="5"/>
  <c r="AC112" i="5"/>
  <c r="O113" i="5"/>
  <c r="AA113" i="5"/>
  <c r="AC113" i="5"/>
  <c r="AB113" i="5"/>
  <c r="AC109" i="5"/>
  <c r="Z109" i="5"/>
  <c r="R114" i="5"/>
  <c r="U113" i="5"/>
  <c r="R113" i="5"/>
  <c r="N114" i="5"/>
  <c r="Q114" i="5"/>
  <c r="P113" i="5"/>
  <c r="S114" i="5"/>
  <c r="Z113" i="5"/>
  <c r="T113" i="5"/>
  <c r="R112" i="5"/>
  <c r="V112" i="5"/>
  <c r="O114" i="5"/>
  <c r="X113" i="5"/>
  <c r="AB112" i="5"/>
  <c r="S112" i="5"/>
  <c r="X112" i="5"/>
  <c r="Y113" i="5"/>
  <c r="I16" i="5"/>
  <c r="I17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<sst xmlns="http://schemas.openxmlformats.org/spreadsheetml/2006/main" count="75" uniqueCount="55">
  <si>
    <t>Q жид-
кости</t>
  </si>
  <si>
    <t>Обводненность</t>
  </si>
  <si>
    <t>T вх в насос</t>
  </si>
  <si>
    <t>p вх насос</t>
  </si>
  <si>
    <t>Q нефти</t>
  </si>
  <si>
    <t>ГФ</t>
  </si>
  <si>
    <r>
      <t>Na</t>
    </r>
    <r>
      <rPr>
        <vertAlign val="superscript"/>
        <sz val="8"/>
        <rFont val="Tahoma"/>
        <family val="2"/>
        <charset val="204"/>
      </rPr>
      <t>+</t>
    </r>
    <r>
      <rPr>
        <sz val="8"/>
        <rFont val="Tahoma"/>
        <family val="2"/>
        <charset val="204"/>
      </rPr>
      <t>+K</t>
    </r>
    <r>
      <rPr>
        <vertAlign val="superscript"/>
        <sz val="8"/>
        <rFont val="Tahoma"/>
        <family val="2"/>
        <charset val="204"/>
      </rPr>
      <t>+</t>
    </r>
  </si>
  <si>
    <r>
      <t>Ca</t>
    </r>
    <r>
      <rPr>
        <vertAlign val="superscript"/>
        <sz val="8"/>
        <rFont val="Tahoma"/>
        <family val="2"/>
        <charset val="204"/>
      </rPr>
      <t>2+</t>
    </r>
  </si>
  <si>
    <r>
      <t>Mg</t>
    </r>
    <r>
      <rPr>
        <vertAlign val="superscript"/>
        <sz val="8"/>
        <rFont val="Tahoma"/>
        <family val="2"/>
        <charset val="204"/>
      </rPr>
      <t>2+</t>
    </r>
  </si>
  <si>
    <r>
      <t>Ba</t>
    </r>
    <r>
      <rPr>
        <vertAlign val="superscript"/>
        <sz val="8"/>
        <rFont val="Tahoma"/>
        <family val="2"/>
        <charset val="204"/>
      </rPr>
      <t>2+</t>
    </r>
  </si>
  <si>
    <r>
      <t>Sr</t>
    </r>
    <r>
      <rPr>
        <vertAlign val="superscript"/>
        <sz val="8"/>
        <rFont val="Tahoma"/>
        <family val="2"/>
        <charset val="204"/>
      </rPr>
      <t>2+</t>
    </r>
  </si>
  <si>
    <r>
      <t>Cl</t>
    </r>
    <r>
      <rPr>
        <vertAlign val="superscript"/>
        <sz val="8"/>
        <rFont val="Tahoma"/>
        <family val="2"/>
        <charset val="204"/>
      </rPr>
      <t>-</t>
    </r>
  </si>
  <si>
    <r>
      <t>SO</t>
    </r>
    <r>
      <rPr>
        <vertAlign val="subscript"/>
        <sz val="8"/>
        <rFont val="Tahoma"/>
        <family val="2"/>
        <charset val="204"/>
      </rPr>
      <t>4</t>
    </r>
    <r>
      <rPr>
        <vertAlign val="superscript"/>
        <sz val="8"/>
        <rFont val="Tahoma"/>
        <family val="2"/>
        <charset val="204"/>
      </rPr>
      <t>2-</t>
    </r>
  </si>
  <si>
    <r>
      <t>HCO</t>
    </r>
    <r>
      <rPr>
        <vertAlign val="subscript"/>
        <sz val="8"/>
        <rFont val="Tahoma"/>
        <family val="2"/>
        <charset val="204"/>
      </rPr>
      <t>3</t>
    </r>
    <r>
      <rPr>
        <vertAlign val="superscript"/>
        <sz val="8"/>
        <rFont val="Tahoma"/>
        <family val="2"/>
        <charset val="204"/>
      </rPr>
      <t>-</t>
    </r>
  </si>
  <si>
    <r>
      <t>Мольн.доля СО</t>
    </r>
    <r>
      <rPr>
        <vertAlign val="subscript"/>
        <sz val="8"/>
        <rFont val="Tahoma"/>
        <family val="2"/>
        <charset val="204"/>
      </rPr>
      <t>2</t>
    </r>
    <r>
      <rPr>
        <sz val="8"/>
        <rFont val="Tahoma"/>
        <family val="2"/>
      </rPr>
      <t xml:space="preserve"> в газе</t>
    </r>
  </si>
  <si>
    <t>Тип отложения</t>
  </si>
  <si>
    <t>индекс насыщения, SI</t>
  </si>
  <si>
    <t>P</t>
  </si>
  <si>
    <t>T</t>
  </si>
  <si>
    <t>Карта опасности отложений карбоната кальция CaCO3</t>
  </si>
  <si>
    <t>Карта опасности отложений карбоната кальция CaCO3 при наличии газовой фазы</t>
  </si>
  <si>
    <t>Карта опасности отложений сульфата бария</t>
  </si>
  <si>
    <t>Карта опасности отложений сульфата кальция</t>
  </si>
  <si>
    <t>Упражнения по работе с макросами Unifloc VBA</t>
  </si>
  <si>
    <t>версия</t>
  </si>
  <si>
    <t>Date</t>
  </si>
  <si>
    <t>Version</t>
  </si>
  <si>
    <t>Курс</t>
  </si>
  <si>
    <t>РГУ ИРДН 2020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</si>
  <si>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</si>
  <si>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</si>
  <si>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</si>
  <si>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</si>
  <si>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</si>
  <si>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</si>
  <si>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Расчет прогнозной опасности отложения солей по методу Оддо Томсона</t>
  </si>
  <si>
    <t>Анализ воды</t>
  </si>
  <si>
    <t>мг/л</t>
  </si>
  <si>
    <t>Анализ газа</t>
  </si>
  <si>
    <t>Термобарические условия</t>
  </si>
  <si>
    <t>Параметры потока</t>
  </si>
  <si>
    <t>м3/сут</t>
  </si>
  <si>
    <t>м3/м3</t>
  </si>
  <si>
    <t>Уровень солевой опасности</t>
  </si>
  <si>
    <t>ионы</t>
  </si>
  <si>
    <t>д.е.</t>
  </si>
  <si>
    <t>атм</t>
  </si>
  <si>
    <t>С</t>
  </si>
  <si>
    <t>Типы отложений</t>
  </si>
  <si>
    <t>карбонат кальция CaCo3 с газовой фазой</t>
  </si>
  <si>
    <t>карбонат кальция CaCo3 без газовой фазы</t>
  </si>
  <si>
    <t>сульфат кальция гипс  CaSO4*2H2O</t>
  </si>
  <si>
    <t>сульфат бария BaSO4</t>
  </si>
  <si>
    <t>сульфат магния MgSO4</t>
  </si>
  <si>
    <t>Карта опасности отложений сульфат магния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</si>
</sst>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12" x14ac:knownFonts="1">
    <font>
      <sz val="10"/>
      <name val="Arial Cyr"/>
      <charset val="204"/>
    </font>
    <font>
      <sz val="10"/>
      <name val="Arial"/>
      <family val="2"/>
      <charset val="204"/>
    </font>
    <font>
      <sz val="10"/>
      <color indexed="8"/>
      <name val="Arial"/>
      <family val="2"/>
      <charset val="204"/>
    </font>
    <font>
      <sz val="8"/>
      <name val="Arial Cyr"/>
      <charset val="204"/>
    </font>
    <font>
      <sz val="8"/>
      <name val="Tahoma"/>
      <family val="2"/>
      <charset val="204"/>
    </font>
    <font>
      <vertAlign val="superscript"/>
      <sz val="8"/>
      <name val="Tahoma"/>
      <family val="2"/>
      <charset val="204"/>
    </font>
    <font>
      <sz val="10"/>
      <name val="Helv"/>
    </font>
    <font>
      <sz val="8"/>
      <name val="Tahoma"/>
      <family val="2"/>
    </font>
    <font>
      <vertAlign val="subscript"/>
      <sz val="8"/>
      <name val="Tahoma"/>
      <family val="2"/>
      <charset val="204"/>
    </font>
    <font>
      <sz val="8"/>
      <name val="Arial Cyr"/>
      <family val="2"/>
      <charset val="204"/>
    </font>
    <font>
      <b/>
      <sz val="10"/>
      <name val="Arial Cyr"/>
      <charset val="204"/>
    </font>
    <font>
      <sz val="11"/>
      <color theme="1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</borders>
  <cellStyleXfs count="5">
    <xf numFmtId="0" fontId="0" fillId="0" borderId="0"/>
    <xf numFmtId="0" fontId="6" fillId="0" borderId="0"/>
    <xf numFmtId="0" fontId="6" fillId="0" borderId="0"/>
    <xf numFmtId="0" fontId="2" fillId="0" borderId="0"/>
    <xf numFmtId="0" fontId="1" fillId="0" borderId="0"/>
  </cellStyleXfs>
  <cellXfs count="81">
    <xf numFmtId="0" fontId="0" fillId="0" borderId="0" xfId="0"/>
    <xf numFmtId="2" fontId="7" fillId="2" borderId="1" xfId="0" applyNumberFormat="1" applyFont="1" applyFill="1" applyBorder="1" applyAlignment="1">
      <alignment horizontal="center" vertical="center" wrapText="1"/>
    </xf>
    <xf numFmtId="166" fontId="4" fillId="0" borderId="2" xfId="3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2" fontId="7" fillId="4" borderId="1" xfId="4" applyNumberFormat="1" applyFont="1" applyFill="1" applyBorder="1" applyAlignment="1">
      <alignment horizontal="center" vertical="center" wrapText="1"/>
    </xf>
    <xf numFmtId="165" fontId="9" fillId="2" borderId="1" xfId="0" applyNumberFormat="1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1" fontId="4" fillId="2" borderId="1" xfId="4" applyNumberFormat="1" applyFont="1" applyFill="1" applyBorder="1" applyAlignment="1" applyProtection="1">
      <alignment horizontal="center" vertical="center"/>
      <protection locked="0"/>
    </xf>
    <xf numFmtId="0" fontId="4" fillId="2" borderId="1" xfId="3" applyFont="1" applyFill="1" applyBorder="1" applyAlignment="1" applyProtection="1">
      <alignment horizontal="center" vertical="center"/>
      <protection locked="0"/>
    </xf>
    <xf numFmtId="164" fontId="4" fillId="2" borderId="1" xfId="3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2" fontId="4" fillId="4" borderId="1" xfId="4" applyNumberFormat="1" applyFont="1" applyFill="1" applyBorder="1" applyAlignment="1" applyProtection="1">
      <alignment horizontal="center" vertical="center"/>
      <protection locked="0"/>
    </xf>
    <xf numFmtId="165" fontId="4" fillId="4" borderId="1" xfId="3" applyNumberFormat="1" applyFont="1" applyFill="1" applyBorder="1" applyAlignment="1" applyProtection="1">
      <alignment horizontal="center" vertical="center"/>
      <protection locked="0"/>
    </xf>
    <xf numFmtId="2" fontId="4" fillId="3" borderId="1" xfId="0" applyNumberFormat="1" applyFont="1" applyFill="1" applyBorder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left"/>
      <protection locked="0"/>
    </xf>
    <xf numFmtId="166" fontId="4" fillId="0" borderId="0" xfId="3" applyNumberFormat="1" applyFont="1" applyAlignment="1">
      <alignment horizontal="center" vertical="center"/>
    </xf>
    <xf numFmtId="0" fontId="4" fillId="0" borderId="0" xfId="0" applyFont="1" applyAlignment="1" applyProtection="1">
      <alignment horizontal="left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4" xfId="0" applyFont="1" applyBorder="1" applyAlignment="1" applyProtection="1">
      <alignment horizontal="center"/>
      <protection locked="0"/>
    </xf>
    <xf numFmtId="165" fontId="4" fillId="0" borderId="4" xfId="0" applyNumberFormat="1" applyFont="1" applyBorder="1" applyAlignment="1">
      <alignment horizontal="center"/>
    </xf>
    <xf numFmtId="1" fontId="4" fillId="0" borderId="4" xfId="0" applyNumberFormat="1" applyFont="1" applyBorder="1" applyAlignment="1">
      <alignment horizontal="center"/>
    </xf>
    <xf numFmtId="1" fontId="4" fillId="0" borderId="5" xfId="0" applyNumberFormat="1" applyFont="1" applyBorder="1" applyAlignment="1">
      <alignment horizontal="center"/>
    </xf>
    <xf numFmtId="0" fontId="4" fillId="0" borderId="6" xfId="0" applyFont="1" applyBorder="1" applyAlignment="1" applyProtection="1">
      <alignment horizontal="center"/>
      <protection locked="0"/>
    </xf>
    <xf numFmtId="165" fontId="4" fillId="0" borderId="0" xfId="0" applyNumberFormat="1" applyFont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0" fontId="4" fillId="0" borderId="8" xfId="0" applyFont="1" applyBorder="1" applyAlignment="1" applyProtection="1">
      <alignment horizontal="center"/>
      <protection locked="0"/>
    </xf>
    <xf numFmtId="165" fontId="4" fillId="0" borderId="9" xfId="0" applyNumberFormat="1" applyFont="1" applyBorder="1" applyAlignment="1">
      <alignment horizontal="center"/>
    </xf>
    <xf numFmtId="165" fontId="4" fillId="0" borderId="10" xfId="0" applyNumberFormat="1" applyFont="1" applyBorder="1" applyAlignment="1">
      <alignment horizontal="center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4" xfId="0" applyBorder="1" applyAlignment="1" applyProtection="1">
      <alignment horizontal="center"/>
      <protection hidden="1"/>
    </xf>
    <xf numFmtId="0" fontId="0" fillId="0" borderId="5" xfId="0" applyBorder="1" applyProtection="1">
      <protection hidden="1"/>
    </xf>
    <xf numFmtId="0" fontId="0" fillId="0" borderId="6" xfId="0" applyBorder="1" applyProtection="1">
      <protection locked="0"/>
    </xf>
    <xf numFmtId="0" fontId="0" fillId="0" borderId="8" xfId="0" applyBorder="1" applyProtection="1">
      <protection locked="0"/>
    </xf>
    <xf numFmtId="165" fontId="4" fillId="0" borderId="3" xfId="0" applyNumberFormat="1" applyFont="1" applyBorder="1" applyAlignment="1">
      <alignment horizontal="center"/>
    </xf>
    <xf numFmtId="165" fontId="4" fillId="0" borderId="5" xfId="0" applyNumberFormat="1" applyFont="1" applyBorder="1" applyAlignment="1">
      <alignment horizontal="center"/>
    </xf>
    <xf numFmtId="165" fontId="4" fillId="0" borderId="6" xfId="0" applyNumberFormat="1" applyFont="1" applyBorder="1" applyAlignment="1">
      <alignment horizontal="center"/>
    </xf>
    <xf numFmtId="165" fontId="4" fillId="0" borderId="8" xfId="0" applyNumberFormat="1" applyFont="1" applyBorder="1" applyAlignment="1">
      <alignment horizontal="center"/>
    </xf>
    <xf numFmtId="0" fontId="10" fillId="0" borderId="0" xfId="0" applyFont="1"/>
    <xf numFmtId="0" fontId="0" fillId="5" borderId="11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1" xfId="0" applyFill="1" applyBorder="1" applyAlignment="1">
      <alignment horizontal="left" vertical="top"/>
    </xf>
    <xf numFmtId="0" fontId="0" fillId="6" borderId="12" xfId="0" applyFill="1" applyBorder="1"/>
    <xf numFmtId="0" fontId="0" fillId="6" borderId="13" xfId="0" applyFill="1" applyBorder="1"/>
    <xf numFmtId="0" fontId="11" fillId="5" borderId="1" xfId="0" applyFont="1" applyFill="1" applyBorder="1" applyAlignment="1">
      <alignment horizontal="left"/>
    </xf>
    <xf numFmtId="166" fontId="4" fillId="0" borderId="17" xfId="3" applyNumberFormat="1" applyFont="1" applyBorder="1" applyAlignment="1">
      <alignment horizontal="center" vertical="center"/>
    </xf>
    <xf numFmtId="0" fontId="0" fillId="6" borderId="1" xfId="0" applyFill="1" applyBorder="1" applyAlignment="1">
      <alignment horizontal="left" vertical="top"/>
    </xf>
    <xf numFmtId="14" fontId="0" fillId="6" borderId="11" xfId="0" applyNumberFormat="1" applyFill="1" applyBorder="1" applyAlignment="1">
      <alignment horizontal="center" vertical="top"/>
    </xf>
    <xf numFmtId="14" fontId="0" fillId="6" borderId="12" xfId="0" applyNumberFormat="1" applyFill="1" applyBorder="1" applyAlignment="1">
      <alignment horizontal="center" vertical="top"/>
    </xf>
    <xf numFmtId="2" fontId="7" fillId="2" borderId="3" xfId="0" applyNumberFormat="1" applyFont="1" applyFill="1" applyBorder="1" applyAlignment="1">
      <alignment horizontal="center" vertical="center" wrapText="1"/>
    </xf>
    <xf numFmtId="2" fontId="7" fillId="2" borderId="4" xfId="0" applyNumberFormat="1" applyFont="1" applyFill="1" applyBorder="1" applyAlignment="1">
      <alignment horizontal="center" vertical="center" wrapText="1"/>
    </xf>
    <xf numFmtId="2" fontId="7" fillId="2" borderId="5" xfId="0" applyNumberFormat="1" applyFont="1" applyFill="1" applyBorder="1" applyAlignment="1">
      <alignment horizontal="center" vertical="center" wrapText="1"/>
    </xf>
    <xf numFmtId="0" fontId="0" fillId="7" borderId="12" xfId="0" applyFill="1" applyBorder="1" applyAlignment="1">
      <alignment horizontal="left"/>
    </xf>
    <xf numFmtId="0" fontId="0" fillId="7" borderId="13" xfId="0" applyFill="1" applyBorder="1" applyAlignment="1">
      <alignment horizontal="left"/>
    </xf>
    <xf numFmtId="0" fontId="0" fillId="6" borderId="14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4" fillId="3" borderId="6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2" fontId="7" fillId="3" borderId="8" xfId="0" applyNumberFormat="1" applyFont="1" applyFill="1" applyBorder="1" applyAlignment="1">
      <alignment horizontal="center" vertical="center" wrapText="1"/>
    </xf>
    <xf numFmtId="2" fontId="7" fillId="3" borderId="9" xfId="0" applyNumberFormat="1" applyFont="1" applyFill="1" applyBorder="1" applyAlignment="1">
      <alignment horizontal="center" vertical="center" wrapText="1"/>
    </xf>
    <xf numFmtId="2" fontId="7" fillId="3" borderId="10" xfId="0" applyNumberFormat="1" applyFont="1" applyFill="1" applyBorder="1" applyAlignment="1">
      <alignment horizontal="center" vertical="center" wrapText="1"/>
    </xf>
    <xf numFmtId="0" fontId="0" fillId="5" borderId="15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0" xfId="0" applyFill="1" applyBorder="1" applyAlignment="1">
      <alignment horizontal="left" vertical="top"/>
    </xf>
    <xf numFmtId="0" fontId="0" fillId="5" borderId="1" xfId="0" applyFill="1" applyBorder="1" applyAlignment="1">
      <alignment horizontal="left" vertical="top"/>
    </xf>
    <xf numFmtId="165" fontId="4" fillId="0" borderId="0" xfId="0" applyNumberFormat="1" applyFont="1" applyBorder="1" applyAlignment="1">
      <alignment horizontal="center"/>
    </xf>
  </cellXfs>
  <cellStyles count="5">
    <cellStyle name="_Анализ динамики ионного состава" xfId="1" xr:uid="{00000000-0005-0000-0000-000000000000}"/>
    <cellStyle name="_Майский регион УДЭ - март" xfId="2" xr:uid="{00000000-0005-0000-0000-000001000000}"/>
    <cellStyle name="Normal_Sheet2" xfId="3" xr:uid="{00000000-0005-0000-0000-000002000000}"/>
    <cellStyle name="Обычный" xfId="0" builtinId="0"/>
    <cellStyle name="Стиль 1" xfId="4" xr:uid="{00000000-0005-0000-0000-000004000000}"/>
  </cellStyles>
  <dxfs count="24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16"/>
      </font>
      <fill>
        <patternFill>
          <bgColor indexed="26"/>
        </patternFill>
      </fill>
      <border>
        <left/>
        <right/>
        <top/>
        <bottom/>
      </border>
    </dxf>
    <dxf>
      <font>
        <b/>
        <i val="0"/>
        <condense val="0"/>
        <extend val="0"/>
        <color indexed="10"/>
      </font>
      <fill>
        <patternFill>
          <bgColor indexed="4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condense val="0"/>
        <extend val="0"/>
        <color indexed="16"/>
      </font>
      <fill>
        <patternFill>
          <bgColor indexed="26"/>
        </patternFill>
      </fill>
      <border>
        <left/>
        <right/>
        <top/>
        <bottom/>
      </border>
    </dxf>
    <dxf>
      <font>
        <b/>
        <i val="0"/>
        <condense val="0"/>
        <extend val="0"/>
        <color indexed="10"/>
      </font>
      <fill>
        <patternFill>
          <bgColor indexed="4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unf_fa_scale_SI"/>
      <definedName name="unf_fa_scale_SI_old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9">
    <pageSetUpPr fitToPage="1"/>
  </sheetPr>
  <dimension ref="A1:AZ121"/>
  <sheetViews>
    <sheetView tabSelected="1" topLeftCell="A9" zoomScale="85" zoomScaleNormal="85" workbookViewId="0">
      <pane ySplit="7980" activePane="bottomLeft"/>
      <selection activeCell="BA38" sqref="BA38"/>
      <selection pane="bottomLeft" activeCell="BC81" sqref="BC81"/>
    </sheetView>
  </sheetViews>
  <sheetFormatPr defaultRowHeight="12.75" x14ac:dyDescent="0.2"/>
  <cols>
    <col min="1" max="1" width="16.7109375" style="10" customWidth="1"/>
    <col min="2" max="2" width="13.7109375" style="10" customWidth="1"/>
    <col min="3" max="3" width="13.5703125" style="10" customWidth="1"/>
    <col min="4" max="5" width="7.140625" style="11" customWidth="1"/>
    <col min="6" max="7" width="10.5703125" style="11" customWidth="1"/>
    <col min="8" max="11" width="7.140625" style="11" customWidth="1"/>
    <col min="12" max="12" width="7.140625" style="10" customWidth="1"/>
    <col min="13" max="18" width="5.28515625" style="10" customWidth="1"/>
    <col min="19" max="19" width="5.28515625" style="16" customWidth="1"/>
    <col min="20" max="20" width="5.28515625" style="17" customWidth="1"/>
    <col min="21" max="21" width="5.28515625" style="2" customWidth="1"/>
    <col min="22" max="29" width="5.28515625" customWidth="1"/>
    <col min="30" max="33" width="4" customWidth="1"/>
    <col min="34" max="52" width="4.85546875" customWidth="1"/>
  </cols>
  <sheetData>
    <row r="1" spans="1:29" x14ac:dyDescent="0.2">
      <c r="A1" s="42" t="s">
        <v>23</v>
      </c>
      <c r="B1"/>
      <c r="C1"/>
      <c r="D1"/>
      <c r="E1"/>
      <c r="F1" t="s">
        <v>24</v>
      </c>
      <c r="G1" t="str">
        <f>[1]!unf_version()</f>
        <v>7.58</v>
      </c>
      <c r="H1" s="43" t="s">
        <v>25</v>
      </c>
      <c r="I1" s="52">
        <v>44303</v>
      </c>
      <c r="J1" s="53"/>
      <c r="K1" s="44"/>
      <c r="L1" s="45"/>
      <c r="M1"/>
      <c r="N1"/>
      <c r="O1"/>
      <c r="P1"/>
      <c r="Q1"/>
      <c r="R1"/>
      <c r="S1"/>
      <c r="T1"/>
      <c r="U1"/>
    </row>
    <row r="2" spans="1:29" x14ac:dyDescent="0.2">
      <c r="A2" t="s">
        <v>35</v>
      </c>
      <c r="B2"/>
      <c r="C2"/>
      <c r="D2"/>
      <c r="E2"/>
      <c r="F2"/>
      <c r="G2"/>
      <c r="H2" s="43" t="s">
        <v>26</v>
      </c>
      <c r="I2" s="46">
        <v>7.27</v>
      </c>
      <c r="J2" s="47"/>
      <c r="K2" s="47"/>
      <c r="L2" s="48"/>
      <c r="M2"/>
      <c r="N2"/>
      <c r="O2"/>
      <c r="P2"/>
      <c r="Q2"/>
      <c r="R2"/>
      <c r="S2"/>
      <c r="T2"/>
      <c r="U2"/>
    </row>
    <row r="3" spans="1:29" ht="15" x14ac:dyDescent="0.25">
      <c r="A3" s="49" t="s">
        <v>27</v>
      </c>
      <c r="B3" s="57" t="s">
        <v>28</v>
      </c>
      <c r="C3" s="57"/>
      <c r="D3" s="57"/>
      <c r="E3" s="58"/>
      <c r="F3"/>
      <c r="G3"/>
      <c r="H3" s="49" t="s">
        <v>27</v>
      </c>
      <c r="I3" s="59" t="s">
        <v>28</v>
      </c>
      <c r="J3" s="59"/>
      <c r="K3" s="59"/>
      <c r="L3" s="59"/>
      <c r="M3"/>
      <c r="N3"/>
      <c r="O3"/>
      <c r="P3"/>
      <c r="Q3"/>
      <c r="R3"/>
      <c r="S3"/>
      <c r="T3"/>
      <c r="U3"/>
    </row>
    <row r="4" spans="1:29" ht="15" x14ac:dyDescent="0.25">
      <c r="A4" s="49" t="s">
        <v>29</v>
      </c>
      <c r="B4" s="57" t="s">
        <v>30</v>
      </c>
      <c r="C4" s="57"/>
      <c r="D4" s="57"/>
      <c r="E4" s="58"/>
      <c r="F4"/>
      <c r="G4"/>
      <c r="H4" s="49" t="s">
        <v>29</v>
      </c>
      <c r="I4" s="60" t="s">
        <v>30</v>
      </c>
      <c r="J4" s="60"/>
      <c r="K4" s="60"/>
      <c r="L4" s="60"/>
      <c r="M4"/>
      <c r="N4"/>
      <c r="O4"/>
      <c r="P4"/>
      <c r="Q4"/>
      <c r="R4"/>
      <c r="S4"/>
      <c r="T4"/>
      <c r="U4"/>
    </row>
    <row r="5" spans="1:29" ht="15" x14ac:dyDescent="0.25">
      <c r="A5" s="49" t="s">
        <v>31</v>
      </c>
      <c r="B5" s="57" t="s">
        <v>32</v>
      </c>
      <c r="C5" s="57"/>
      <c r="D5" s="57"/>
      <c r="E5" s="58"/>
      <c r="F5"/>
      <c r="G5"/>
      <c r="H5" s="49" t="s">
        <v>31</v>
      </c>
      <c r="I5" s="60" t="s">
        <v>32</v>
      </c>
      <c r="J5" s="60"/>
      <c r="K5" s="60"/>
      <c r="L5" s="60"/>
      <c r="M5"/>
      <c r="N5"/>
      <c r="O5"/>
      <c r="P5"/>
      <c r="Q5"/>
      <c r="R5"/>
      <c r="S5"/>
      <c r="T5"/>
      <c r="U5"/>
    </row>
    <row r="6" spans="1:29" x14ac:dyDescent="0.2">
      <c r="A6" s="67" t="s">
        <v>33</v>
      </c>
      <c r="B6" s="70" t="s">
        <v>34</v>
      </c>
      <c r="C6" s="71"/>
      <c r="D6" s="71"/>
      <c r="E6" s="72"/>
      <c r="F6"/>
      <c r="G6"/>
      <c r="H6" s="79" t="s">
        <v>33</v>
      </c>
      <c r="I6" s="51" t="s">
        <v>34</v>
      </c>
      <c r="J6" s="51"/>
      <c r="K6" s="51"/>
      <c r="L6" s="51"/>
      <c r="M6"/>
      <c r="N6"/>
      <c r="O6"/>
      <c r="P6"/>
      <c r="Q6"/>
      <c r="R6"/>
      <c r="S6"/>
      <c r="T6"/>
      <c r="U6"/>
    </row>
    <row r="7" spans="1:29" x14ac:dyDescent="0.2">
      <c r="A7" s="68"/>
      <c r="B7" s="73"/>
      <c r="C7" s="74"/>
      <c r="D7" s="74"/>
      <c r="E7" s="75"/>
      <c r="F7"/>
      <c r="G7"/>
      <c r="H7" s="79"/>
      <c r="I7" s="51"/>
      <c r="J7" s="51"/>
      <c r="K7" s="51"/>
      <c r="L7" s="51"/>
      <c r="M7"/>
      <c r="N7"/>
      <c r="O7"/>
      <c r="P7"/>
      <c r="Q7"/>
      <c r="R7"/>
      <c r="S7"/>
      <c r="T7"/>
      <c r="U7"/>
    </row>
    <row r="8" spans="1:29" x14ac:dyDescent="0.2">
      <c r="A8" s="69"/>
      <c r="B8" s="76"/>
      <c r="C8" s="77"/>
      <c r="D8" s="77"/>
      <c r="E8" s="78"/>
      <c r="F8"/>
      <c r="G8"/>
      <c r="H8" s="79"/>
      <c r="I8" s="51"/>
      <c r="J8" s="51"/>
      <c r="K8" s="51"/>
      <c r="L8" s="51"/>
      <c r="M8"/>
      <c r="N8"/>
      <c r="O8"/>
      <c r="P8"/>
      <c r="Q8"/>
      <c r="R8"/>
      <c r="S8"/>
      <c r="T8"/>
      <c r="U8"/>
    </row>
    <row r="9" spans="1:29" x14ac:dyDescent="0.2">
      <c r="U9" s="19"/>
    </row>
    <row r="10" spans="1:29" x14ac:dyDescent="0.2">
      <c r="U10" s="19"/>
    </row>
    <row r="11" spans="1:29" x14ac:dyDescent="0.2">
      <c r="N11" s="18"/>
      <c r="U11" s="19"/>
    </row>
    <row r="13" spans="1:29" x14ac:dyDescent="0.2">
      <c r="B13" s="10" t="s">
        <v>36</v>
      </c>
    </row>
    <row r="14" spans="1:29" x14ac:dyDescent="0.2">
      <c r="B14" s="10" t="s">
        <v>44</v>
      </c>
      <c r="C14" s="10" t="s">
        <v>37</v>
      </c>
    </row>
    <row r="15" spans="1:29" x14ac:dyDescent="0.2">
      <c r="B15" s="3" t="s">
        <v>6</v>
      </c>
      <c r="C15" s="5">
        <v>1</v>
      </c>
      <c r="F15" s="54" t="s">
        <v>15</v>
      </c>
      <c r="G15" s="55"/>
      <c r="H15" s="56"/>
      <c r="I15" s="8">
        <v>1</v>
      </c>
      <c r="L15"/>
      <c r="M15"/>
      <c r="N15"/>
      <c r="O15"/>
      <c r="P15"/>
      <c r="Q15"/>
      <c r="R15"/>
      <c r="S15"/>
      <c r="T15"/>
      <c r="U15"/>
    </row>
    <row r="16" spans="1:29" x14ac:dyDescent="0.2">
      <c r="B16" s="3" t="s">
        <v>7</v>
      </c>
      <c r="C16" s="5">
        <v>1</v>
      </c>
      <c r="F16" s="61" t="s">
        <v>16</v>
      </c>
      <c r="G16" s="62"/>
      <c r="H16" s="63"/>
      <c r="I16" s="14" cm="1">
        <f t="array" ref="I16">SI(P_,T_,q_liq,fw,C32,NaK,Ca2_,Mg2_,Ba2_,Sr2_,Cl,SO4_,HCO3_,CO2_mol,mode)</f>
        <v>-8.5872620938209341</v>
      </c>
      <c r="L16" s="10">
        <v>1</v>
      </c>
      <c r="M16" s="20" t="s">
        <v>19</v>
      </c>
      <c r="N16" s="11"/>
      <c r="O16" s="11"/>
      <c r="P16" s="11"/>
      <c r="Q16" s="11"/>
      <c r="R16" s="11"/>
      <c r="S16" s="11"/>
      <c r="T16" s="11"/>
      <c r="U16" s="10"/>
      <c r="V16" s="10"/>
      <c r="W16" s="10"/>
      <c r="X16" s="10"/>
      <c r="Y16" s="10"/>
      <c r="Z16" s="10"/>
      <c r="AA16" s="10"/>
      <c r="AB16" s="16"/>
      <c r="AC16" s="17"/>
    </row>
    <row r="17" spans="2:29" x14ac:dyDescent="0.2">
      <c r="B17" s="3" t="s">
        <v>8</v>
      </c>
      <c r="C17" s="5">
        <v>1</v>
      </c>
      <c r="F17" s="64" t="s">
        <v>43</v>
      </c>
      <c r="G17" s="65"/>
      <c r="H17" s="66"/>
      <c r="I17" s="15" t="str">
        <f>IF(I16&lt;=0,"низкая",IF(AND(I16&gt;0,(I16&lt;=0.5)),"средняя",IF(AND(I16&gt;0.5,(I16&lt;=1)),"высокая","сверхвысокая")))</f>
        <v>низкая</v>
      </c>
      <c r="M17" s="11"/>
      <c r="N17" s="11"/>
      <c r="O17" s="11">
        <v>1.46</v>
      </c>
      <c r="P17" s="11"/>
      <c r="Q17" s="11"/>
      <c r="R17" s="11"/>
      <c r="S17" s="11"/>
      <c r="T17" s="11"/>
      <c r="U17" s="10"/>
      <c r="V17" s="10"/>
      <c r="W17" s="10"/>
      <c r="X17" s="10"/>
      <c r="Y17" s="10"/>
      <c r="Z17" s="10"/>
      <c r="AA17" s="10"/>
      <c r="AB17" s="16"/>
      <c r="AC17" s="17"/>
    </row>
    <row r="18" spans="2:29" x14ac:dyDescent="0.2">
      <c r="B18" s="3" t="s">
        <v>9</v>
      </c>
      <c r="C18" s="6">
        <v>20</v>
      </c>
      <c r="F18" s="10" t="s">
        <v>48</v>
      </c>
      <c r="G18" s="10"/>
      <c r="L18" s="32"/>
      <c r="M18" s="22"/>
      <c r="N18" s="22" t="s">
        <v>17</v>
      </c>
      <c r="O18" s="22"/>
      <c r="P18" s="22"/>
      <c r="Q18" s="22"/>
      <c r="R18" s="22"/>
      <c r="S18" s="22"/>
      <c r="T18" s="22"/>
      <c r="U18" s="33"/>
      <c r="V18" s="33"/>
      <c r="W18" s="33"/>
      <c r="X18" s="33"/>
      <c r="Y18" s="33"/>
      <c r="Z18" s="33"/>
      <c r="AA18" s="33"/>
      <c r="AB18" s="34"/>
      <c r="AC18" s="35"/>
    </row>
    <row r="19" spans="2:29" x14ac:dyDescent="0.2">
      <c r="B19" s="3" t="s">
        <v>10</v>
      </c>
      <c r="C19" s="6">
        <v>0</v>
      </c>
      <c r="F19" s="10">
        <v>1</v>
      </c>
      <c r="G19" s="10" t="s">
        <v>50</v>
      </c>
      <c r="L19" s="36"/>
      <c r="M19" s="21"/>
      <c r="N19" s="22">
        <v>1</v>
      </c>
      <c r="O19" s="22">
        <f t="shared" ref="O19:AC19" si="0">N19*$O$17</f>
        <v>1.46</v>
      </c>
      <c r="P19" s="23">
        <f t="shared" si="0"/>
        <v>2.1315999999999997</v>
      </c>
      <c r="Q19" s="24">
        <f t="shared" si="0"/>
        <v>3.1121359999999996</v>
      </c>
      <c r="R19" s="24">
        <f t="shared" si="0"/>
        <v>4.5437185599999994</v>
      </c>
      <c r="S19" s="24">
        <f t="shared" si="0"/>
        <v>6.6338290975999987</v>
      </c>
      <c r="T19" s="24">
        <f t="shared" si="0"/>
        <v>9.6853904824959987</v>
      </c>
      <c r="U19" s="24">
        <f t="shared" si="0"/>
        <v>14.140670104444158</v>
      </c>
      <c r="V19" s="24">
        <f t="shared" si="0"/>
        <v>20.645378352488471</v>
      </c>
      <c r="W19" s="24">
        <f t="shared" si="0"/>
        <v>30.142252394633168</v>
      </c>
      <c r="X19" s="24">
        <f t="shared" si="0"/>
        <v>44.007688496164427</v>
      </c>
      <c r="Y19" s="24">
        <f t="shared" si="0"/>
        <v>64.251225204400058</v>
      </c>
      <c r="Z19" s="24">
        <f t="shared" si="0"/>
        <v>93.80678879842408</v>
      </c>
      <c r="AA19" s="24">
        <f t="shared" si="0"/>
        <v>136.95791164569914</v>
      </c>
      <c r="AB19" s="24">
        <f t="shared" si="0"/>
        <v>199.95855100272075</v>
      </c>
      <c r="AC19" s="25">
        <f t="shared" si="0"/>
        <v>291.93948446397229</v>
      </c>
    </row>
    <row r="20" spans="2:29" x14ac:dyDescent="0.2">
      <c r="B20" s="3" t="s">
        <v>11</v>
      </c>
      <c r="C20" s="5">
        <v>10</v>
      </c>
      <c r="F20" s="10">
        <v>2</v>
      </c>
      <c r="G20" s="10" t="s">
        <v>49</v>
      </c>
      <c r="L20" s="26" t="s">
        <v>18</v>
      </c>
      <c r="M20" s="26">
        <v>1</v>
      </c>
      <c r="N20" s="38">
        <f t="array" ref="N20">[1]!unf_fa_scale_SI(N$19,$M20,q_liq,fw,rp_m3m3,NaK,Ca2_,Mg2_,Ba2_,Sr2_,Cl,SO4_,HCO3_,CO2_mol,$L$16)</f>
        <v>-6.885202816753778</v>
      </c>
      <c r="O20" s="23">
        <f t="array" ref="O20">[1]!unf_fa_scale_SI(O$19,$M20,q_liq,fw,rp_m3m3,NaK,Ca2_,Mg2_,Ba2_,Sr2_,Cl,SO4_,HCO3_,CO2_mol,$L$16)</f>
        <v>-7.0528494471356442</v>
      </c>
      <c r="P20" s="23">
        <f t="array" ref="P20">[1]!unf_fa_scale_SI(P$19,$M20,q_liq,fw,rp_m3m3,NaK,Ca2_,Mg2_,Ba2_,Sr2_,Cl,SO4_,HCO3_,CO2_mol,$L$16)</f>
        <v>-7.2208988657133135</v>
      </c>
      <c r="Q20" s="23">
        <f t="array" ref="Q20">[1]!unf_fa_scale_SI(Q$19,$M20,q_liq,fw,rp_m3m3,NaK,Ca2_,Mg2_,Ba2_,Sr2_,Cl,SO4_,HCO3_,CO2_mol,$L$16)</f>
        <v>-7.3893102724266502</v>
      </c>
      <c r="R20" s="23">
        <f t="array" ref="R20">[1]!unf_fa_scale_SI(R$19,$M20,q_liq,fw,rp_m3m3,NaK,Ca2_,Mg2_,Ba2_,Sr2_,Cl,SO4_,HCO3_,CO2_mol,$L$16)</f>
        <v>-7.5579832023684173</v>
      </c>
      <c r="S20" s="23">
        <f t="array" ref="S20">[1]!unf_fa_scale_SI(S$19,$M20,q_liq,fw,rp_m3m3,NaK,Ca2_,Mg2_,Ba2_,Sr2_,Cl,SO4_,HCO3_,CO2_mol,$L$16)</f>
        <v>-7.7267283733431071</v>
      </c>
      <c r="T20" s="23">
        <f t="array" ref="T20">[1]!unf_fa_scale_SI(T$19,$M20,q_liq,fw,rp_m3m3,NaK,Ca2_,Mg2_,Ba2_,Sr2_,Cl,SO4_,HCO3_,CO2_mol,$L$16)</f>
        <v>-7.8952320537518341</v>
      </c>
      <c r="U20" s="23">
        <f t="array" ref="U20">[1]!unf_fa_scale_SI(U$19,$M20,q_liq,fw,rp_m3m3,NaK,Ca2_,Mg2_,Ba2_,Sr2_,Cl,SO4_,HCO3_,CO2_mol,$L$16)</f>
        <v>-8.0630196297259271</v>
      </c>
      <c r="V20" s="23">
        <f t="array" ref="V20">[1]!unf_fa_scale_SI(V$19,$M20,q_liq,fw,rp_m3m3,NaK,Ca2_,Mg2_,Ba2_,Sr2_,Cl,SO4_,HCO3_,CO2_mol,$L$16)</f>
        <v>-8.2294343336071076</v>
      </c>
      <c r="W20" s="23">
        <f t="array" ref="W20">[1]!unf_fa_scale_SI(W$19,$M20,q_liq,fw,rp_m3m3,NaK,Ca2_,Mg2_,Ba2_,Sr2_,Cl,SO4_,HCO3_,CO2_mol,$L$16)</f>
        <v>-8.3936659962878721</v>
      </c>
      <c r="X20" s="23">
        <f t="array" ref="X20">[1]!unf_fa_scale_SI(X$19,$M20,q_liq,fw,rp_m3m3,NaK,Ca2_,Mg2_,Ba2_,Sr2_,Cl,SO4_,HCO3_,CO2_mol,$L$16)</f>
        <v>-8.5548933653665493</v>
      </c>
      <c r="Y20" s="23">
        <f t="array" ref="Y20">[1]!unf_fa_scale_SI(Y$19,$M20,q_liq,fw,rp_m3m3,NaK,Ca2_,Mg2_,Ba2_,Sr2_,Cl,SO4_,HCO3_,CO2_mol,$L$16)</f>
        <v>-8.7126349181968425</v>
      </c>
      <c r="Z20" s="23">
        <f t="array" ref="Z20">[1]!unf_fa_scale_SI(Z$19,$M20,q_liq,fw,rp_m3m3,NaK,Ca2_,Mg2_,Ba2_,Sr2_,Cl,SO4_,HCO3_,CO2_mol,$L$16)</f>
        <v>-8.8674140857436061</v>
      </c>
      <c r="AA20" s="23">
        <f t="array" ref="AA20">[1]!unf_fa_scale_SI(AA$19,$M20,q_liq,fw,rp_m3m3,NaK,Ca2_,Mg2_,Ba2_,Sr2_,Cl,SO4_,HCO3_,CO2_mol,$L$16)</f>
        <v>-9.0217993258241194</v>
      </c>
      <c r="AB20" s="23">
        <f t="array" ref="AB20">[1]!unf_fa_scale_SI(AB$19,$M20,q_liq,fw,rp_m3m3,NaK,Ca2_,Mg2_,Ba2_,Sr2_,Cl,SO4_,HCO3_,CO2_mol,$L$16)</f>
        <v>-9.1817526785887207</v>
      </c>
      <c r="AC20" s="39">
        <f t="array" ref="AC20">[1]!unf_fa_scale_SI(AC$19,$M20,q_liq,fw,rp_m3m3,NaK,Ca2_,Mg2_,Ba2_,Sr2_,Cl,SO4_,HCO3_,CO2_mol,$L$16)</f>
        <v>-9.3579869791845169</v>
      </c>
    </row>
    <row r="21" spans="2:29" x14ac:dyDescent="0.2">
      <c r="B21" s="3" t="s">
        <v>12</v>
      </c>
      <c r="C21" s="6">
        <v>1E-3</v>
      </c>
      <c r="F21" s="10">
        <v>3</v>
      </c>
      <c r="G21" s="10" t="s">
        <v>51</v>
      </c>
      <c r="L21" s="36"/>
      <c r="M21" s="26">
        <v>5</v>
      </c>
      <c r="N21" s="40">
        <f t="array" ref="N21">[1]!unf_fa_scale_SI(N$19,$M21,q_liq,fw,rp_m3m3,NaK,Ca2_,Mg2_,Ba2_,Sr2_,Cl,SO4_,HCO3_,CO2_mol,$L$16)</f>
        <v>-6.7818930763346517</v>
      </c>
      <c r="O21" s="27">
        <f t="array" ref="O21">[1]!unf_fa_scale_SI(O$19,$M21,q_liq,fw,rp_m3m3,NaK,Ca2_,Mg2_,Ba2_,Sr2_,Cl,SO4_,HCO3_,CO2_mol,$L$16)</f>
        <v>-6.950019556485449</v>
      </c>
      <c r="P21" s="27">
        <f t="array" ref="P21">[1]!unf_fa_scale_SI(P$19,$M21,q_liq,fw,rp_m3m3,NaK,Ca2_,Mg2_,Ba2_,Sr2_,Cl,SO4_,HCO3_,CO2_mol,$L$16)</f>
        <v>-7.118739163543732</v>
      </c>
      <c r="Q21" s="27">
        <f t="array" ref="Q21">[1]!unf_fa_scale_SI(Q$19,$M21,q_liq,fw,rp_m3m3,NaK,Ca2_,Mg2_,Ba2_,Sr2_,Cl,SO4_,HCO3_,CO2_mol,$L$16)</f>
        <v>-7.2880899342286583</v>
      </c>
      <c r="R21" s="27">
        <f t="array" ref="R21">[1]!unf_fa_scale_SI(R$19,$M21,q_liq,fw,rp_m3m3,NaK,Ca2_,Mg2_,Ba2_,Sr2_,Cl,SO4_,HCO3_,CO2_mol,$L$16)</f>
        <v>-7.4580821655219571</v>
      </c>
      <c r="S21" s="27">
        <f t="array" ref="S21">[1]!unf_fa_scale_SI(S$19,$M21,q_liq,fw,rp_m3m3,NaK,Ca2_,Mg2_,Ba2_,Sr2_,Cl,SO4_,HCO3_,CO2_mol,$L$16)</f>
        <v>-7.6286803776172283</v>
      </c>
      <c r="T21" s="27">
        <f t="array" ref="T21">[1]!unf_fa_scale_SI(T$19,$M21,q_liq,fw,rp_m3m3,NaK,Ca2_,Mg2_,Ba2_,Sr2_,Cl,SO4_,HCO3_,CO2_mol,$L$16)</f>
        <v>-7.7997804456971798</v>
      </c>
      <c r="U21" s="27">
        <f t="array" ref="U21">[1]!unf_fa_scale_SI(U$19,$M21,q_liq,fw,rp_m3m3,NaK,Ca2_,Mg2_,Ba2_,Sr2_,Cl,SO4_,HCO3_,CO2_mol,$L$16)</f>
        <v>-7.9711851135979517</v>
      </c>
      <c r="V21" s="27">
        <f t="array" ref="V21">[1]!unf_fa_scale_SI(V$19,$M21,q_liq,fw,rp_m3m3,NaK,Ca2_,Mg2_,Ba2_,Sr2_,Cl,SO4_,HCO3_,CO2_mol,$L$16)</f>
        <v>-8.1425878606865663</v>
      </c>
      <c r="W21" s="27">
        <f t="array" ref="W21">[1]!unf_fa_scale_SI(W$19,$M21,q_liq,fw,rp_m3m3,NaK,Ca2_,Mg2_,Ba2_,Sr2_,Cl,SO4_,HCO3_,CO2_mol,$L$16)</f>
        <v>-8.3135882181253322</v>
      </c>
      <c r="X21" s="27">
        <f t="array" ref="X21">[1]!unf_fa_scale_SI(X$19,$M21,q_liq,fw,rp_m3m3,NaK,Ca2_,Mg2_,Ba2_,Sr2_,Cl,SO4_,HCO3_,CO2_mol,$L$16)</f>
        <v>-8.483782884234671</v>
      </c>
      <c r="Y21" s="27">
        <f t="array" ref="Y21">[1]!unf_fa_scale_SI(Y$19,$M21,q_liq,fw,rp_m3m3,NaK,Ca2_,Mg2_,Ba2_,Sr2_,Cl,SO4_,HCO3_,CO2_mol,$L$16)</f>
        <v>-8.6530020084369603</v>
      </c>
      <c r="Z21" s="27">
        <f t="array" ref="Z21">[1]!unf_fa_scale_SI(Z$19,$M21,q_liq,fw,rp_m3m3,NaK,Ca2_,Mg2_,Ba2_,Sr2_,Cl,SO4_,HCO3_,CO2_mol,$L$16)</f>
        <v>-8.8217674341464818</v>
      </c>
      <c r="AA21" s="27">
        <f t="array" ref="AA21">[1]!unf_fa_scale_SI(AA$19,$M21,q_liq,fw,rp_m3m3,NaK,Ca2_,Mg2_,Ba2_,Sr2_,Cl,SO4_,HCO3_,CO2_mol,$L$16)</f>
        <v>-8.9919898490024224</v>
      </c>
      <c r="AB21" s="27">
        <f t="array" ref="AB21">[1]!unf_fa_scale_SI(AB$19,$M21,q_liq,fw,rp_m3m3,NaK,Ca2_,Mg2_,Ba2_,Sr2_,Cl,SO4_,HCO3_,CO2_mol,$L$16)</f>
        <v>-9.1677270094568986</v>
      </c>
      <c r="AC21" s="28">
        <f t="array" ref="AC21">[1]!unf_fa_scale_SI(AC$19,$M21,q_liq,fw,rp_m3m3,NaK,Ca2_,Mg2_,Ba2_,Sr2_,Cl,SO4_,HCO3_,CO2_mol,$L$16)</f>
        <v>-9.355490408997948</v>
      </c>
    </row>
    <row r="22" spans="2:29" x14ac:dyDescent="0.2">
      <c r="B22" s="3" t="s">
        <v>13</v>
      </c>
      <c r="C22" s="5">
        <v>1</v>
      </c>
      <c r="F22" s="10">
        <v>4</v>
      </c>
      <c r="G22" s="10" t="s">
        <v>52</v>
      </c>
      <c r="L22" s="36"/>
      <c r="M22" s="26">
        <v>10</v>
      </c>
      <c r="N22" s="40">
        <f t="array" ref="N22">[1]!unf_fa_scale_SI(N$19,$M22,q_liq,fw,rp_m3m3,NaK,Ca2_,Mg2_,Ba2_,Sr2_,Cl,SO4_,HCO3_,CO2_mol,$L$16)</f>
        <v>-6.6525279103197814</v>
      </c>
      <c r="O22" s="27">
        <f t="array" ref="O22">[1]!unf_fa_scale_SI(O$19,$M22,q_liq,fw,rp_m3m3,NaK,Ca2_,Mg2_,Ba2_,Sr2_,Cl,SO4_,HCO3_,CO2_mol,$L$16)</f>
        <v>-6.8210950305704401</v>
      </c>
      <c r="P22" s="27">
        <f t="array" ref="P22">[1]!unf_fa_scale_SI(P$19,$M22,q_liq,fw,rp_m3m3,NaK,Ca2_,Mg2_,Ba2_,Sr2_,Cl,SO4_,HCO3_,CO2_mol,$L$16)</f>
        <v>-6.9904256701317777</v>
      </c>
      <c r="Q22" s="27">
        <f t="array" ref="Q22">[1]!unf_fa_scale_SI(Q$19,$M22,q_liq,fw,rp_m3m3,NaK,Ca2_,Mg2_,Ba2_,Sr2_,Cl,SO4_,HCO3_,CO2_mol,$L$16)</f>
        <v>-7.1606273450904609</v>
      </c>
      <c r="R22" s="27">
        <f t="array" ref="R22">[1]!unf_fa_scale_SI(R$19,$M22,q_liq,fw,rp_m3m3,NaK,Ca2_,Mg2_,Ba2_,Sr2_,Cl,SO4_,HCO3_,CO2_mol,$L$16)</f>
        <v>-7.3318076427176058</v>
      </c>
      <c r="S22" s="27">
        <f t="array" ref="S22">[1]!unf_fa_scale_SI(S$19,$M22,q_liq,fw,rp_m3m3,NaK,Ca2_,Mg2_,Ba2_,Sr2_,Cl,SO4_,HCO3_,CO2_mol,$L$16)</f>
        <v>-7.5040656529840799</v>
      </c>
      <c r="T22" s="27">
        <f t="array" ref="T22">[1]!unf_fa_scale_SI(T$19,$M22,q_liq,fw,rp_m3m3,NaK,Ca2_,Mg2_,Ba2_,Sr2_,Cl,SO4_,HCO3_,CO2_mol,$L$16)</f>
        <v>-7.6774796224560005</v>
      </c>
      <c r="U22" s="27">
        <f t="array" ref="U22">[1]!unf_fa_scale_SI(U$19,$M22,q_liq,fw,rp_m3m3,NaK,Ca2_,Mg2_,Ba2_,Sr2_,Cl,SO4_,HCO3_,CO2_mol,$L$16)</f>
        <v>-7.8520912220663659</v>
      </c>
      <c r="V22" s="27">
        <f t="array" ref="V22">[1]!unf_fa_scale_SI(V$19,$M22,q_liq,fw,rp_m3m3,NaK,Ca2_,Mg2_,Ba2_,Sr2_,Cl,SO4_,HCO3_,CO2_mol,$L$16)</f>
        <v>-8.0278893464726515</v>
      </c>
      <c r="W22" s="27">
        <f t="array" ref="W22">[1]!unf_fa_scale_SI(W$19,$M22,q_liq,fw,rp_m3m3,NaK,Ca2_,Mg2_,Ba2_,Sr2_,Cl,SO4_,HCO3_,CO2_mol,$L$16)</f>
        <v>-8.2048015605904414</v>
      </c>
      <c r="X22" s="27">
        <f t="array" ref="X22">[1]!unf_fa_scale_SI(X$19,$M22,q_liq,fw,rp_m3m3,NaK,Ca2_,Mg2_,Ba2_,Sr2_,Cl,SO4_,HCO3_,CO2_mol,$L$16)</f>
        <v>-8.3827097807526041</v>
      </c>
      <c r="Y22" s="27">
        <f t="array" ref="Y22">[1]!unf_fa_scale_SI(Y$19,$M22,q_liq,fw,rp_m3m3,NaK,Ca2_,Mg2_,Ba2_,Sr2_,Cl,SO4_,HCO3_,CO2_mol,$L$16)</f>
        <v>-8.5615156557451542</v>
      </c>
      <c r="Z22" s="27">
        <f t="array" ref="Z22">[1]!unf_fa_scale_SI(Z$19,$M22,q_liq,fw,rp_m3m3,NaK,Ca2_,Mg2_,Ba2_,Sr2_,Cl,SO4_,HCO3_,CO2_mol,$L$16)</f>
        <v>-8.741278104341232</v>
      </c>
      <c r="AA22" s="27">
        <f t="array" ref="AA22">[1]!unf_fa_scale_SI(AA$19,$M22,q_liq,fw,rp_m3m3,NaK,Ca2_,Mg2_,Ba2_,Sr2_,Cl,SO4_,HCO3_,CO2_mol,$L$16)</f>
        <v>-8.9224077185573361</v>
      </c>
      <c r="AB22" s="27">
        <f t="array" ref="AB22">[1]!unf_fa_scale_SI(AB$19,$M22,q_liq,fw,rp_m3m3,NaK,Ca2_,Mg2_,Ba2_,Sr2_,Cl,SO4_,HCO3_,CO2_mol,$L$16)</f>
        <v>-9.1058433980948141</v>
      </c>
      <c r="AC22" s="28">
        <f t="array" ref="AC22">[1]!unf_fa_scale_SI(AC$19,$M22,q_liq,fw,rp_m3m3,NaK,Ca2_,Mg2_,Ba2_,Sr2_,Cl,SO4_,HCO3_,CO2_mol,$L$16)</f>
        <v>-9.2933017277313521</v>
      </c>
    </row>
    <row r="23" spans="2:29" x14ac:dyDescent="0.2">
      <c r="B23" s="10" t="s">
        <v>38</v>
      </c>
      <c r="C23" s="10" t="s">
        <v>45</v>
      </c>
      <c r="F23" s="10">
        <v>5</v>
      </c>
      <c r="G23" s="10" t="s">
        <v>53</v>
      </c>
      <c r="L23" s="36"/>
      <c r="M23" s="26">
        <v>15</v>
      </c>
      <c r="N23" s="40">
        <f t="array" ref="N23">[1]!unf_fa_scale_SI(N$19,$M23,q_liq,fw,rp_m3m3,NaK,Ca2_,Mg2_,Ba2_,Sr2_,Cl,SO4_,HCO3_,CO2_mol,$L$16)</f>
        <v>-6.5231242044955993</v>
      </c>
      <c r="O23" s="27">
        <f t="array" ref="O23">[1]!unf_fa_scale_SI(O$19,$M23,q_liq,fw,rp_m3m3,NaK,Ca2_,Mg2_,Ba2_,Sr2_,Cl,SO4_,HCO3_,CO2_mol,$L$16)</f>
        <v>-6.6920473238813969</v>
      </c>
      <c r="P23" s="27">
        <f t="array" ref="P23">[1]!unf_fa_scale_SI(P$19,$M23,q_liq,fw,rp_m3m3,NaK,Ca2_,Mg2_,Ba2_,Sr2_,Cl,SO4_,HCO3_,CO2_mol,$L$16)</f>
        <v>-6.8618699524188607</v>
      </c>
      <c r="Q23" s="27">
        <f t="array" ref="Q23">[1]!unf_fa_scale_SI(Q$19,$M23,q_liq,fw,rp_m3m3,NaK,Ca2_,Mg2_,Ba2_,Sr2_,Cl,SO4_,HCO3_,CO2_mol,$L$16)</f>
        <v>-7.0327546523737583</v>
      </c>
      <c r="R23" s="27">
        <f t="array" ref="R23">[1]!unf_fa_scale_SI(R$19,$M23,q_liq,fw,rp_m3m3,NaK,Ca2_,Mg2_,Ba2_,Sr2_,Cl,SO4_,HCO3_,CO2_mol,$L$16)</f>
        <v>-7.2048859834991177</v>
      </c>
      <c r="S23" s="27">
        <f t="array" ref="S23">[1]!unf_fa_scale_SI(S$19,$M23,q_liq,fw,rp_m3m3,NaK,Ca2_,Mg2_,Ba2_,Sr2_,Cl,SO4_,HCO3_,CO2_mol,$L$16)</f>
        <v>-7.3784693208474126</v>
      </c>
      <c r="T23" s="27">
        <f t="array" ref="T23">[1]!unf_fa_scale_SI(T$19,$M23,q_liq,fw,rp_m3m3,NaK,Ca2_,Mg2_,Ba2_,Sr2_,Cl,SO4_,HCO3_,CO2_mol,$L$16)</f>
        <v>-7.5537265450492894</v>
      </c>
      <c r="U23" s="27">
        <f t="array" ref="U23">[1]!unf_fa_scale_SI(U$19,$M23,q_liq,fw,rp_m3m3,NaK,Ca2_,Mg2_,Ba2_,Sr2_,Cl,SO4_,HCO3_,CO2_mol,$L$16)</f>
        <v>-7.7308863828057852</v>
      </c>
      <c r="V23" s="27">
        <f t="array" ref="V23">[1]!unf_fa_scale_SI(V$19,$M23,q_liq,fw,rp_m3m3,NaK,Ca2_,Mg2_,Ba2_,Sr2_,Cl,SO4_,HCO3_,CO2_mol,$L$16)</f>
        <v>-7.9101656018776323</v>
      </c>
      <c r="W23" s="27">
        <f t="array" ref="W23">[1]!unf_fa_scale_SI(W$19,$M23,q_liq,fw,rp_m3m3,NaK,Ca2_,Mg2_,Ba2_,Sr2_,Cl,SO4_,HCO3_,CO2_mol,$L$16)</f>
        <v>-8.0917342028893415</v>
      </c>
      <c r="X23" s="27">
        <f t="array" ref="X23">[1]!unf_fa_scale_SI(X$19,$M23,q_liq,fw,rp_m3m3,NaK,Ca2_,Mg2_,Ba2_,Sr2_,Cl,SO4_,HCO3_,CO2_mol,$L$16)</f>
        <v>-8.2756516104121491</v>
      </c>
      <c r="Y23" s="27">
        <f t="array" ref="Y23">[1]!unf_fa_scale_SI(Y$19,$M23,q_liq,fw,rp_m3m3,NaK,Ca2_,Mg2_,Ba2_,Sr2_,Cl,SO4_,HCO3_,CO2_mol,$L$16)</f>
        <v>-8.4617497850258108</v>
      </c>
      <c r="Z23" s="27">
        <f t="array" ref="Z23">[1]!unf_fa_scale_SI(Z$19,$M23,q_liq,fw,rp_m3m3,NaK,Ca2_,Mg2_,Ba2_,Sr2_,Cl,SO4_,HCO3_,CO2_mol,$L$16)</f>
        <v>-8.6494283806792822</v>
      </c>
      <c r="AA23" s="27">
        <f t="array" ref="AA23">[1]!unf_fa_scale_SI(AA$19,$M23,q_liq,fw,rp_m3m3,NaK,Ca2_,Mg2_,Ba2_,Sr2_,Cl,SO4_,HCO3_,CO2_mol,$L$16)</f>
        <v>-8.8373652456169829</v>
      </c>
      <c r="AB23" s="27">
        <f t="array" ref="AB23">[1]!unf_fa_scale_SI(AB$19,$M23,q_liq,fw,rp_m3m3,NaK,Ca2_,Mg2_,Ba2_,Sr2_,Cl,SO4_,HCO3_,CO2_mol,$L$16)</f>
        <v>-9.0234300104156731</v>
      </c>
      <c r="AC23" s="28">
        <f t="array" ref="AC23">[1]!unf_fa_scale_SI(AC$19,$M23,q_liq,fw,rp_m3m3,NaK,Ca2_,Mg2_,Ba2_,Sr2_,Cl,SO4_,HCO3_,CO2_mol,$L$16)</f>
        <v>-9.2060109686509737</v>
      </c>
    </row>
    <row r="24" spans="2:29" ht="22.5" x14ac:dyDescent="0.2">
      <c r="B24" s="1" t="s">
        <v>14</v>
      </c>
      <c r="C24" s="1">
        <v>0.01</v>
      </c>
      <c r="L24" s="36"/>
      <c r="M24" s="26">
        <v>20</v>
      </c>
      <c r="N24" s="40">
        <f t="array" ref="N24">[1]!unf_fa_scale_SI(N$19,$M24,q_liq,fw,rp_m3m3,NaK,Ca2_,Mg2_,Ba2_,Sr2_,Cl,SO4_,HCO3_,CO2_mol,$L$16)</f>
        <v>-6.3937627956147693</v>
      </c>
      <c r="O24" s="27">
        <f t="array" ref="O24">[1]!unf_fa_scale_SI(O$19,$M24,q_liq,fw,rp_m3m3,NaK,Ca2_,Mg2_,Ba2_,Sr2_,Cl,SO4_,HCO3_,CO2_mol,$L$16)</f>
        <v>-6.5629900274930097</v>
      </c>
      <c r="P24" s="27">
        <f t="array" ref="P24">[1]!unf_fa_scale_SI(P$19,$M24,q_liq,fw,rp_m3m3,NaK,Ca2_,Mg2_,Ba2_,Sr2_,Cl,SO4_,HCO3_,CO2_mol,$L$16)</f>
        <v>-6.7332323440268969</v>
      </c>
      <c r="Q24" s="27">
        <f t="array" ref="Q24">[1]!unf_fa_scale_SI(Q$19,$M24,q_liq,fw,rp_m3m3,NaK,Ca2_,Mg2_,Ba2_,Sr2_,Cl,SO4_,HCO3_,CO2_mol,$L$16)</f>
        <v>-6.9046989646421286</v>
      </c>
      <c r="R24" s="27">
        <f t="array" ref="R24">[1]!unf_fa_scale_SI(R$19,$M24,q_liq,fw,rp_m3m3,NaK,Ca2_,Mg2_,Ba2_,Sr2_,Cl,SO4_,HCO3_,CO2_mol,$L$16)</f>
        <v>-7.0776396722562023</v>
      </c>
      <c r="S24" s="27">
        <f t="array" ref="S24">[1]!unf_fa_scale_SI(S$19,$M24,q_liq,fw,rp_m3m3,NaK,Ca2_,Mg2_,Ba2_,Sr2_,Cl,SO4_,HCO3_,CO2_mol,$L$16)</f>
        <v>-7.2523498668224056</v>
      </c>
      <c r="T24" s="27">
        <f t="array" ref="T24">[1]!unf_fa_scale_SI(T$19,$M24,q_liq,fw,rp_m3m3,NaK,Ca2_,Mg2_,Ba2_,Sr2_,Cl,SO4_,HCO3_,CO2_mol,$L$16)</f>
        <v>-7.4291729615415143</v>
      </c>
      <c r="U24" s="27">
        <f t="array" ref="U24">[1]!unf_fa_scale_SI(U$19,$M24,q_liq,fw,rp_m3m3,NaK,Ca2_,Mg2_,Ba2_,Sr2_,Cl,SO4_,HCO3_,CO2_mol,$L$16)</f>
        <v>-7.6084954573372707</v>
      </c>
      <c r="V24" s="27">
        <f t="array" ref="V24">[1]!unf_fa_scale_SI(V$19,$M24,q_liq,fw,rp_m3m3,NaK,Ca2_,Mg2_,Ba2_,Sr2_,Cl,SO4_,HCO3_,CO2_mol,$L$16)</f>
        <v>-7.7907244733174492</v>
      </c>
      <c r="W24" s="27">
        <f t="array" ref="W24">[1]!unf_fa_scale_SI(W$19,$M24,q_liq,fw,rp_m3m3,NaK,Ca2_,Mg2_,Ba2_,Sr2_,Cl,SO4_,HCO3_,CO2_mol,$L$16)</f>
        <v>-7.9762260282970843</v>
      </c>
      <c r="X24" s="27">
        <f t="array" ref="X24">[1]!unf_fa_scale_SI(X$19,$M24,q_liq,fw,rp_m3m3,NaK,Ca2_,Mg2_,Ba2_,Sr2_,Cl,SO4_,HCO3_,CO2_mol,$L$16)</f>
        <v>-8.1651805206526635</v>
      </c>
      <c r="Y24" s="27">
        <f t="array" ref="Y24">[1]!unf_fa_scale_SI(Y$19,$M24,q_liq,fw,rp_m3m3,NaK,Ca2_,Mg2_,Ba2_,Sr2_,Cl,SO4_,HCO3_,CO2_mol,$L$16)</f>
        <v>-8.3572787606272758</v>
      </c>
      <c r="Z24" s="27">
        <f t="array" ref="Z24">[1]!unf_fa_scale_SI(Z$19,$M24,q_liq,fw,rp_m3m3,NaK,Ca2_,Mg2_,Ba2_,Sr2_,Cl,SO4_,HCO3_,CO2_mol,$L$16)</f>
        <v>-8.5511686256081951</v>
      </c>
      <c r="AA24" s="27">
        <f t="array" ref="AA24">[1]!unf_fa_scale_SI(AA$19,$M24,q_liq,fw,rp_m3m3,NaK,Ca2_,Mg2_,Ba2_,Sr2_,Cl,SO4_,HCO3_,CO2_mol,$L$16)</f>
        <v>-8.7437295816504648</v>
      </c>
      <c r="AB24" s="27">
        <f t="array" ref="AB24">[1]!unf_fa_scale_SI(AB$19,$M24,q_liq,fw,rp_m3m3,NaK,Ca2_,Mg2_,Ba2_,Sr2_,Cl,SO4_,HCO3_,CO2_mol,$L$16)</f>
        <v>-8.9300387677253319</v>
      </c>
      <c r="AC24" s="28">
        <f t="array" ref="AC24">[1]!unf_fa_scale_SI(AC$19,$M24,q_liq,fw,rp_m3m3,NaK,Ca2_,Mg2_,Ba2_,Sr2_,Cl,SO4_,HCO3_,CO2_mol,$L$16)</f>
        <v>-9.1065002520839702</v>
      </c>
    </row>
    <row r="25" spans="2:29" x14ac:dyDescent="0.2">
      <c r="B25" s="10" t="s">
        <v>39</v>
      </c>
      <c r="L25" s="36"/>
      <c r="M25" s="26">
        <v>25</v>
      </c>
      <c r="N25" s="40">
        <f t="array" ref="N25">[1]!unf_fa_scale_SI(N$19,$M25,q_liq,fw,rp_m3m3,NaK,Ca2_,Mg2_,Ba2_,Sr2_,Cl,SO4_,HCO3_,CO2_mol,$L$16)</f>
        <v>-6.2644835170567754</v>
      </c>
      <c r="O25" s="27">
        <f t="array" ref="O25">[1]!unf_fa_scale_SI(O$19,$M25,q_liq,fw,rp_m3m3,NaK,Ca2_,Mg2_,Ba2_,Sr2_,Cl,SO4_,HCO3_,CO2_mol,$L$16)</f>
        <v>-6.4339783285015537</v>
      </c>
      <c r="P25" s="27">
        <f t="array" ref="P25">[1]!unf_fa_scale_SI(P$19,$M25,q_liq,fw,rp_m3m3,NaK,Ca2_,Mg2_,Ba2_,Sr2_,Cl,SO4_,HCO3_,CO2_mol,$L$16)</f>
        <v>-6.6045897532695284</v>
      </c>
      <c r="Q25" s="27">
        <f t="array" ref="Q25">[1]!unf_fa_scale_SI(Q$19,$M25,q_liq,fw,rp_m3m3,NaK,Ca2_,Mg2_,Ba2_,Sr2_,Cl,SO4_,HCO3_,CO2_mol,$L$16)</f>
        <v>-6.7765679834915868</v>
      </c>
      <c r="R25" s="27">
        <f t="array" ref="R25">[1]!unf_fa_scale_SI(R$19,$M25,q_liq,fw,rp_m3m3,NaK,Ca2_,Mg2_,Ba2_,Sr2_,Cl,SO4_,HCO3_,CO2_mol,$L$16)</f>
        <v>-6.9502200952741537</v>
      </c>
      <c r="S25" s="27">
        <f t="array" ref="S25">[1]!unf_fa_scale_SI(S$19,$M25,q_liq,fw,rp_m3m3,NaK,Ca2_,Mg2_,Ba2_,Sr2_,Cl,SO4_,HCO3_,CO2_mol,$L$16)</f>
        <v>-7.1259205911083781</v>
      </c>
      <c r="T25" s="27">
        <f t="array" ref="T25">[1]!unf_fa_scale_SI(T$19,$M25,q_liq,fw,rp_m3m3,NaK,Ca2_,Mg2_,Ba2_,Sr2_,Cl,SO4_,HCO3_,CO2_mol,$L$16)</f>
        <v>-7.3041196658583916</v>
      </c>
      <c r="U25" s="27">
        <f t="array" ref="U25">[1]!unf_fa_scale_SI(U$19,$M25,q_liq,fw,rp_m3m3,NaK,Ca2_,Mg2_,Ba2_,Sr2_,Cl,SO4_,HCO3_,CO2_mol,$L$16)</f>
        <v>-7.4853422401524154</v>
      </c>
      <c r="V25" s="27">
        <f t="array" ref="V25">[1]!unf_fa_scale_SI(V$19,$M25,q_liq,fw,rp_m3m3,NaK,Ca2_,Mg2_,Ba2_,Sr2_,Cl,SO4_,HCO3_,CO2_mol,$L$16)</f>
        <v>-7.6701613714391117</v>
      </c>
      <c r="W25" s="27">
        <f t="array" ref="W25">[1]!unf_fa_scale_SI(W$19,$M25,q_liq,fw,rp_m3m3,NaK,Ca2_,Mg2_,Ba2_,Sr2_,Cl,SO4_,HCO3_,CO2_mol,$L$16)</f>
        <v>-7.8591096750708189</v>
      </c>
      <c r="X25" s="27">
        <f t="array" ref="X25">[1]!unf_fa_scale_SI(X$19,$M25,q_liq,fw,rp_m3m3,NaK,Ca2_,Mg2_,Ba2_,Sr2_,Cl,SO4_,HCO3_,CO2_mol,$L$16)</f>
        <v>-8.0524540831379063</v>
      </c>
      <c r="Y25" s="27">
        <f t="array" ref="Y25">[1]!unf_fa_scale_SI(Y$19,$M25,q_liq,fw,rp_m3m3,NaK,Ca2_,Mg2_,Ba2_,Sr2_,Cl,SO4_,HCO3_,CO2_mol,$L$16)</f>
        <v>-8.249702865623334</v>
      </c>
      <c r="Z25" s="27">
        <f t="array" ref="Z25">[1]!unf_fa_scale_SI(Z$19,$M25,q_liq,fw,rp_m3m3,NaK,Ca2_,Mg2_,Ba2_,Sr2_,Cl,SO4_,HCO3_,CO2_mol,$L$16)</f>
        <v>-8.4487041268910001</v>
      </c>
      <c r="AA25" s="27">
        <f t="array" ref="AA25">[1]!unf_fa_scale_SI(AA$19,$M25,q_liq,fw,rp_m3m3,NaK,Ca2_,Mg2_,Ba2_,Sr2_,Cl,SO4_,HCO3_,CO2_mol,$L$16)</f>
        <v>-8.6445406604103781</v>
      </c>
      <c r="AB25" s="27">
        <f t="array" ref="AB25">[1]!unf_fa_scale_SI(AB$19,$M25,q_liq,fw,rp_m3m3,NaK,Ca2_,Mg2_,Ba2_,Sr2_,Cl,SO4_,HCO3_,CO2_mol,$L$16)</f>
        <v>-8.8298267098372705</v>
      </c>
      <c r="AC25" s="28">
        <f t="array" ref="AC25">[1]!unf_fa_scale_SI(AC$19,$M25,q_liq,fw,rp_m3m3,NaK,Ca2_,Mg2_,Ba2_,Sr2_,Cl,SO4_,HCO3_,CO2_mol,$L$16)</f>
        <v>-9.000042977188409</v>
      </c>
    </row>
    <row r="26" spans="2:29" x14ac:dyDescent="0.2">
      <c r="B26" s="4" t="s">
        <v>3</v>
      </c>
      <c r="C26" s="12">
        <v>150</v>
      </c>
      <c r="D26" s="12" t="s">
        <v>46</v>
      </c>
      <c r="L26" s="36"/>
      <c r="M26" s="26">
        <v>30</v>
      </c>
      <c r="N26" s="40">
        <f t="array" ref="N26">[1]!unf_fa_scale_SI(N$19,$M26,q_liq,fw,rp_m3m3,NaK,Ca2_,Mg2_,Ba2_,Sr2_,Cl,SO4_,HCO3_,CO2_mol,$L$16)</f>
        <v>-6.1353101107478736</v>
      </c>
      <c r="O26" s="27">
        <f t="array" ref="O26">[1]!unf_fa_scale_SI(O$19,$M26,q_liq,fw,rp_m3m3,NaK,Ca2_,Mg2_,Ba2_,Sr2_,Cl,SO4_,HCO3_,CO2_mol,$L$16)</f>
        <v>-6.3050447780812355</v>
      </c>
      <c r="P26" s="27">
        <f t="array" ref="P26">[1]!unf_fa_scale_SI(P$19,$M26,q_liq,fw,rp_m3m3,NaK,Ca2_,Mg2_,Ba2_,Sr2_,Cl,SO4_,HCO3_,CO2_mol,$L$16)</f>
        <v>-6.4759871071561257</v>
      </c>
      <c r="Q26" s="27">
        <f t="array" ref="Q26">[1]!unf_fa_scale_SI(Q$19,$M26,q_liq,fw,rp_m3m3,NaK,Ca2_,Mg2_,Ba2_,Sr2_,Cl,SO4_,HCO3_,CO2_mol,$L$16)</f>
        <v>-6.6484240710176179</v>
      </c>
      <c r="R26" s="27">
        <f t="array" ref="R26">[1]!unf_fa_scale_SI(R$19,$M26,q_liq,fw,rp_m3m3,NaK,Ca2_,Mg2_,Ba2_,Sr2_,Cl,SO4_,HCO3_,CO2_mol,$L$16)</f>
        <v>-6.8227142095317523</v>
      </c>
      <c r="S26" s="27">
        <f t="array" ref="S26">[1]!unf_fa_scale_SI(S$19,$M26,q_liq,fw,rp_m3m3,NaK,Ca2_,Mg2_,Ba2_,Sr2_,Cl,SO4_,HCO3_,CO2_mol,$L$16)</f>
        <v>-6.9993031297471999</v>
      </c>
      <c r="T26" s="27">
        <f t="array" ref="T26">[1]!unf_fa_scale_SI(T$19,$M26,q_liq,fw,rp_m3m3,NaK,Ca2_,Mg2_,Ba2_,Sr2_,Cl,SO4_,HCO3_,CO2_mol,$L$16)</f>
        <v>-7.1787370662157741</v>
      </c>
      <c r="U26" s="27">
        <f t="array" ref="U26">[1]!unf_fa_scale_SI(U$19,$M26,q_liq,fw,rp_m3m3,NaK,Ca2_,Mg2_,Ba2_,Sr2_,Cl,SO4_,HCO3_,CO2_mol,$L$16)</f>
        <v>-7.3616653888229209</v>
      </c>
      <c r="V26" s="27">
        <f t="array" ref="V26">[1]!unf_fa_scale_SI(V$19,$M26,q_liq,fw,rp_m3m3,NaK,Ca2_,Mg2_,Ba2_,Sr2_,Cl,SO4_,HCO3_,CO2_mol,$L$16)</f>
        <v>-7.5488097417427751</v>
      </c>
      <c r="W26" s="27">
        <f t="array" ref="W26">[1]!unf_fa_scale_SI(W$19,$M26,q_liq,fw,rp_m3m3,NaK,Ca2_,Mg2_,Ba2_,Sr2_,Cl,SO4_,HCO3_,CO2_mol,$L$16)</f>
        <v>-7.7408490020412319</v>
      </c>
      <c r="X26" s="27">
        <f t="array" ref="X26">[1]!unf_fa_scale_SI(X$19,$M26,q_liq,fw,rp_m3m3,NaK,Ca2_,Mg2_,Ba2_,Sr2_,Cl,SO4_,HCO3_,CO2_mol,$L$16)</f>
        <v>-7.9381139389644693</v>
      </c>
      <c r="Y26" s="27">
        <f t="array" ref="Y26">[1]!unf_fa_scale_SI(Y$19,$M26,q_liq,fw,rp_m3m3,NaK,Ca2_,Mg2_,Ba2_,Sr2_,Cl,SO4_,HCO3_,CO2_mol,$L$16)</f>
        <v>-8.1399048335708546</v>
      </c>
      <c r="Z26" s="27">
        <f t="array" ref="Z26">[1]!unf_fa_scale_SI(Z$19,$M26,q_liq,fw,rp_m3m3,NaK,Ca2_,Mg2_,Ba2_,Sr2_,Cl,SO4_,HCO3_,CO2_mol,$L$16)</f>
        <v>-8.3432453092446295</v>
      </c>
      <c r="AA26" s="27">
        <f t="array" ref="AA26">[1]!unf_fa_scale_SI(AA$19,$M26,q_liq,fw,rp_m3m3,NaK,Ca2_,Mg2_,Ba2_,Sr2_,Cl,SO4_,HCO3_,CO2_mol,$L$16)</f>
        <v>-8.5414549392126009</v>
      </c>
      <c r="AB26" s="27">
        <f t="array" ref="AB26">[1]!unf_fa_scale_SI(AB$19,$M26,q_liq,fw,rp_m3m3,NaK,Ca2_,Mg2_,Ba2_,Sr2_,Cl,SO4_,HCO3_,CO2_mol,$L$16)</f>
        <v>-8.7250118337403428</v>
      </c>
      <c r="AC26" s="28">
        <f t="array" ref="AC26">[1]!unf_fa_scale_SI(AC$19,$M26,q_liq,fw,rp_m3m3,NaK,Ca2_,Mg2_,Ba2_,Sr2_,Cl,SO4_,HCO3_,CO2_mol,$L$16)</f>
        <v>-8.8892727275115941</v>
      </c>
    </row>
    <row r="27" spans="2:29" x14ac:dyDescent="0.2">
      <c r="B27" s="4" t="s">
        <v>2</v>
      </c>
      <c r="C27" s="13">
        <v>30</v>
      </c>
      <c r="D27" s="12" t="s">
        <v>47</v>
      </c>
      <c r="L27" s="36"/>
      <c r="M27" s="26">
        <v>35</v>
      </c>
      <c r="N27" s="40">
        <f t="array" ref="N27">[1]!unf_fa_scale_SI(N$19,$M27,q_liq,fw,rp_m3m3,NaK,Ca2_,Mg2_,Ba2_,Sr2_,Cl,SO4_,HCO3_,CO2_mol,$L$16)</f>
        <v>-6.0062582912686215</v>
      </c>
      <c r="O27" s="27">
        <f t="array" ref="O27">[1]!unf_fa_scale_SI(O$19,$M27,q_liq,fw,rp_m3m3,NaK,Ca2_,Mg2_,Ba2_,Sr2_,Cl,SO4_,HCO3_,CO2_mol,$L$16)</f>
        <v>-6.1762107522546126</v>
      </c>
      <c r="P27" s="27">
        <f t="array" ref="P27">[1]!unf_fa_scale_SI(P$19,$M27,q_liq,fw,rp_m3m3,NaK,Ca2_,Mg2_,Ba2_,Sr2_,Cl,SO4_,HCO3_,CO2_mol,$L$16)</f>
        <v>-6.3474536905899397</v>
      </c>
      <c r="Q27" s="27">
        <f t="array" ref="Q27">[1]!unf_fa_scale_SI(Q$19,$M27,q_liq,fw,rp_m3m3,NaK,Ca2_,Mg2_,Ba2_,Sr2_,Cl,SO4_,HCO3_,CO2_mol,$L$16)</f>
        <v>-6.5203075972015583</v>
      </c>
      <c r="R27" s="27">
        <f t="array" ref="R27">[1]!unf_fa_scale_SI(R$19,$M27,q_liq,fw,rp_m3m3,NaK,Ca2_,Mg2_,Ba2_,Sr2_,Cl,SO4_,HCO3_,CO2_mol,$L$16)</f>
        <v>-6.6951779491689161</v>
      </c>
      <c r="S27" s="27">
        <f t="array" ref="S27">[1]!unf_fa_scale_SI(S$19,$M27,q_liq,fw,rp_m3m3,NaK,Ca2_,Mg2_,Ba2_,Sr2_,Cl,SO4_,HCO3_,CO2_mol,$L$16)</f>
        <v>-6.8725752675239935</v>
      </c>
      <c r="T27" s="27">
        <f t="array" ref="T27">[1]!unf_fa_scale_SI(T$19,$M27,q_liq,fw,rp_m3m3,NaK,Ca2_,Mg2_,Ba2_,Sr2_,Cl,SO4_,HCO3_,CO2_mol,$L$16)</f>
        <v>-7.0531335514675071</v>
      </c>
      <c r="U27" s="27">
        <f t="array" ref="U27">[1]!unf_fa_scale_SI(U$19,$M27,q_liq,fw,rp_m3m3,NaK,Ca2_,Mg2_,Ba2_,Sr2_,Cl,SO4_,HCO3_,CO2_mol,$L$16)</f>
        <v>-7.2376159443320045</v>
      </c>
      <c r="V27" s="27">
        <f t="array" ref="V27">[1]!unf_fa_scale_SI(V$19,$M27,q_liq,fw,rp_m3m3,NaK,Ca2_,Mg2_,Ba2_,Sr2_,Cl,SO4_,HCO3_,CO2_mol,$L$16)</f>
        <v>-7.426879615342898</v>
      </c>
      <c r="W27" s="27">
        <f t="array" ref="W27">[1]!unf_fa_scale_SI(W$19,$M27,q_liq,fw,rp_m3m3,NaK,Ca2_,Mg2_,Ba2_,Sr2_,Cl,SO4_,HCO3_,CO2_mol,$L$16)</f>
        <v>-7.6217348427584852</v>
      </c>
      <c r="X27" s="27">
        <f t="array" ref="X27">[1]!unf_fa_scale_SI(X$19,$M27,q_liq,fw,rp_m3m3,NaK,Ca2_,Mg2_,Ba2_,Sr2_,Cl,SO4_,HCO3_,CO2_mol,$L$16)</f>
        <v>-7.822560561235953</v>
      </c>
      <c r="Y27" s="27">
        <f t="array" ref="Y27">[1]!unf_fa_scale_SI(Y$19,$M27,q_liq,fw,rp_m3m3,NaK,Ca2_,Mg2_,Ba2_,Sr2_,Cl,SO4_,HCO3_,CO2_mol,$L$16)</f>
        <v>-8.0284331086102174</v>
      </c>
      <c r="Z27" s="27">
        <f t="array" ref="Z27">[1]!unf_fa_scale_SI(Z$19,$M27,q_liq,fw,rp_m3m3,NaK,Ca2_,Mg2_,Ba2_,Sr2_,Cl,SO4_,HCO3_,CO2_mol,$L$16)</f>
        <v>-8.2355405047353596</v>
      </c>
      <c r="AA27" s="27">
        <f t="array" ref="AA27">[1]!unf_fa_scale_SI(AA$19,$M27,q_liq,fw,rp_m3m3,NaK,Ca2_,Mg2_,Ba2_,Sr2_,Cl,SO4_,HCO3_,CO2_mol,$L$16)</f>
        <v>-8.4354882753017897</v>
      </c>
      <c r="AB27" s="27">
        <f t="array" ref="AB27">[1]!unf_fa_scale_SI(AB$19,$M27,q_liq,fw,rp_m3m3,NaK,Ca2_,Mg2_,Ba2_,Sr2_,Cl,SO4_,HCO3_,CO2_mol,$L$16)</f>
        <v>-8.6169223771827976</v>
      </c>
      <c r="AC27" s="28">
        <f t="array" ref="AC27">[1]!unf_fa_scale_SI(AC$19,$M27,q_liq,fw,rp_m3m3,NaK,Ca2_,Mg2_,Ba2_,Sr2_,Cl,SO4_,HCO3_,CO2_mol,$L$16)</f>
        <v>-8.7756648619963631</v>
      </c>
    </row>
    <row r="28" spans="2:29" x14ac:dyDescent="0.2">
      <c r="B28" s="10" t="s">
        <v>40</v>
      </c>
      <c r="L28" s="36"/>
      <c r="M28" s="26">
        <v>40</v>
      </c>
      <c r="N28" s="40">
        <f t="array" ref="N28">[1]!unf_fa_scale_SI(N$19,$M28,q_liq,fw,rp_m3m3,NaK,Ca2_,Mg2_,Ba2_,Sr2_,Cl,SO4_,HCO3_,CO2_mol,$L$16)</f>
        <v>-5.8773391831380364</v>
      </c>
      <c r="O28" s="27">
        <f t="array" ref="O28">[1]!unf_fa_scale_SI(O$19,$M28,q_liq,fw,rp_m3m3,NaK,Ca2_,Mg2_,Ba2_,Sr2_,Cl,SO4_,HCO3_,CO2_mol,$L$16)</f>
        <v>-6.0474912912890586</v>
      </c>
      <c r="P28" s="27">
        <f t="array" ref="P28">[1]!unf_fa_scale_SI(P$19,$M28,q_liq,fw,rp_m3m3,NaK,Ca2_,Mg2_,Ba2_,Sr2_,Cl,SO4_,HCO3_,CO2_mol,$L$16)</f>
        <v>-6.2190099889695372</v>
      </c>
      <c r="Q28" s="27">
        <f t="array" ref="Q28">[1]!unf_fa_scale_SI(Q$19,$M28,q_liq,fw,rp_m3m3,NaK,Ca2_,Mg2_,Ba2_,Sr2_,Cl,SO4_,HCO3_,CO2_mol,$L$16)</f>
        <v>-6.3922466471598876</v>
      </c>
      <c r="R28" s="27">
        <f t="array" ref="R28">[1]!unf_fa_scale_SI(R$19,$M28,q_liq,fw,rp_m3m3,NaK,Ca2_,Mg2_,Ba2_,Sr2_,Cl,SO4_,HCO3_,CO2_mol,$L$16)</f>
        <v>-6.5676500281791119</v>
      </c>
      <c r="S28" s="27">
        <f t="array" ref="S28">[1]!unf_fa_scale_SI(S$19,$M28,q_liq,fw,rp_m3m3,NaK,Ca2_,Mg2_,Ba2_,Sr2_,Cl,SO4_,HCO3_,CO2_mol,$L$16)</f>
        <v>-6.7457905857013207</v>
      </c>
      <c r="T28" s="27">
        <f t="array" ref="T28">[1]!unf_fa_scale_SI(T$19,$M28,q_liq,fw,rp_m3m3,NaK,Ca2_,Mg2_,Ba2_,Sr2_,Cl,SO4_,HCO3_,CO2_mol,$L$16)</f>
        <v>-6.9273834521342943</v>
      </c>
      <c r="U28" s="27">
        <f t="array" ref="U28">[1]!unf_fa_scale_SI(U$19,$M28,q_liq,fw,rp_m3m3,NaK,Ca2_,Mg2_,Ba2_,Sr2_,Cl,SO4_,HCO3_,CO2_mol,$L$16)</f>
        <v>-7.1132970512116254</v>
      </c>
      <c r="V28" s="27">
        <f t="array" ref="V28">[1]!unf_fa_scale_SI(V$19,$M28,q_liq,fw,rp_m3m3,NaK,Ca2_,Mg2_,Ba2_,Sr2_,Cl,SO4_,HCO3_,CO2_mol,$L$16)</f>
        <v>-7.3045138362192965</v>
      </c>
      <c r="W28" s="27">
        <f t="array" ref="W28">[1]!unf_fa_scale_SI(W$19,$M28,q_liq,fw,rp_m3m3,NaK,Ca2_,Mg2_,Ba2_,Sr2_,Cl,SO4_,HCO3_,CO2_mol,$L$16)</f>
        <v>-7.5019641921692397</v>
      </c>
      <c r="X28" s="27">
        <f t="array" ref="X28">[1]!unf_fa_scale_SI(X$19,$M28,q_liq,fw,rp_m3m3,NaK,Ca2_,Mg2_,Ba2_,Sr2_,Cl,SO4_,HCO3_,CO2_mol,$L$16)</f>
        <v>-7.7060640851234865</v>
      </c>
      <c r="Y28" s="27">
        <f t="array" ref="Y28">[1]!unf_fa_scale_SI(Y$19,$M28,q_liq,fw,rp_m3m3,NaK,Ca2_,Mg2_,Ba2_,Sr2_,Cl,SO4_,HCO3_,CO2_mol,$L$16)</f>
        <v>-7.9156560509988916</v>
      </c>
      <c r="Z28" s="27">
        <f t="array" ref="Z28">[1]!unf_fa_scale_SI(Z$19,$M28,q_liq,fw,rp_m3m3,NaK,Ca2_,Mg2_,Ba2_,Sr2_,Cl,SO4_,HCO3_,CO2_mol,$L$16)</f>
        <v>-8.1260898578958738</v>
      </c>
      <c r="AA28" s="27">
        <f t="array" ref="AA28">[1]!unf_fa_scale_SI(AA$19,$M28,q_liq,fw,rp_m3m3,NaK,Ca2_,Mg2_,Ba2_,Sr2_,Cl,SO4_,HCO3_,CO2_mol,$L$16)</f>
        <v>-8.3273137040279082</v>
      </c>
      <c r="AB28" s="27">
        <f t="array" ref="AB28">[1]!unf_fa_scale_SI(AB$19,$M28,q_liq,fw,rp_m3m3,NaK,Ca2_,Mg2_,Ba2_,Sr2_,Cl,SO4_,HCO3_,CO2_mol,$L$16)</f>
        <v>-8.5064160935330158</v>
      </c>
      <c r="AC28" s="28">
        <f t="array" ref="AC28">[1]!unf_fa_scale_SI(AC$19,$M28,q_liq,fw,rp_m3m3,NaK,Ca2_,Mg2_,Ba2_,Sr2_,Cl,SO4_,HCO3_,CO2_mol,$L$16)</f>
        <v>-8.6601121453359635</v>
      </c>
    </row>
    <row r="29" spans="2:29" ht="21" x14ac:dyDescent="0.2">
      <c r="B29" s="1" t="s">
        <v>0</v>
      </c>
      <c r="C29" s="8">
        <v>30</v>
      </c>
      <c r="D29" s="8" t="s">
        <v>41</v>
      </c>
      <c r="L29" s="36"/>
      <c r="M29" s="26">
        <v>45</v>
      </c>
      <c r="N29" s="40">
        <f t="array" ref="N29">[1]!unf_fa_scale_SI(N$19,$M29,q_liq,fw,rp_m3m3,NaK,Ca2_,Mg2_,Ba2_,Sr2_,Cl,SO4_,HCO3_,CO2_mol,$L$16)</f>
        <v>-5.7485610418666964</v>
      </c>
      <c r="O29" s="27">
        <f t="array" ref="O29">[1]!unf_fa_scale_SI(O$19,$M29,q_liq,fw,rp_m3m3,NaK,Ca2_,Mg2_,Ba2_,Sr2_,Cl,SO4_,HCO3_,CO2_mol,$L$16)</f>
        <v>-5.9188975028489335</v>
      </c>
      <c r="P29" s="27">
        <f t="array" ref="P29">[1]!unf_fa_scale_SI(P$19,$M29,q_liq,fw,rp_m3m3,NaK,Ca2_,Mg2_,Ba2_,Sr2_,Cl,SO4_,HCO3_,CO2_mol,$L$16)</f>
        <v>-6.0906710610945076</v>
      </c>
      <c r="Q29" s="27">
        <f t="array" ref="Q29">[1]!unf_fa_scale_SI(Q$19,$M29,q_liq,fw,rp_m3m3,NaK,Ca2_,Mg2_,Ba2_,Sr2_,Cl,SO4_,HCO3_,CO2_mol,$L$16)</f>
        <v>-6.2642617748909473</v>
      </c>
      <c r="R29" s="27">
        <f t="array" ref="R29">[1]!unf_fa_scale_SI(R$19,$M29,q_liq,fw,rp_m3m3,NaK,Ca2_,Mg2_,Ba2_,Sr2_,Cl,SO4_,HCO3_,CO2_mol,$L$16)</f>
        <v>-6.4401586608478798</v>
      </c>
      <c r="S29" s="27">
        <f t="array" ref="S29">[1]!unf_fa_scale_SI(S$19,$M29,q_liq,fw,rp_m3m3,NaK,Ca2_,Mg2_,Ba2_,Sr2_,Cl,SO4_,HCO3_,CO2_mol,$L$16)</f>
        <v>-6.6189879799797628</v>
      </c>
      <c r="T29" s="27">
        <f t="array" ref="T29">[1]!unf_fa_scale_SI(T$19,$M29,q_liq,fw,rp_m3m3,NaK,Ca2_,Mg2_,Ba2_,Sr2_,Cl,SO4_,HCO3_,CO2_mol,$L$16)</f>
        <v>-6.801540525333639</v>
      </c>
      <c r="U29" s="27">
        <f t="array" ref="U29">[1]!unf_fa_scale_SI(U$19,$M29,q_liq,fw,rp_m3m3,NaK,Ca2_,Mg2_,Ba2_,Sr2_,Cl,SO4_,HCO3_,CO2_mol,$L$16)</f>
        <v>-6.9887830384210359</v>
      </c>
      <c r="V29" s="27">
        <f t="array" ref="V29">[1]!unf_fa_scale_SI(V$19,$M29,q_liq,fw,rp_m3m3,NaK,Ca2_,Mg2_,Ba2_,Sr2_,Cl,SO4_,HCO3_,CO2_mol,$L$16)</f>
        <v>-7.1818149776505642</v>
      </c>
      <c r="W29" s="27">
        <f t="array" ref="W29">[1]!unf_fa_scale_SI(W$19,$M29,q_liq,fw,rp_m3m3,NaK,Ca2_,Mg2_,Ba2_,Sr2_,Cl,SO4_,HCO3_,CO2_mol,$L$16)</f>
        <v>-7.3816779956009375</v>
      </c>
      <c r="X29" s="27">
        <f t="array" ref="X29">[1]!unf_fa_scale_SI(X$19,$M29,q_liq,fw,rp_m3m3,NaK,Ca2_,Mg2_,Ba2_,Sr2_,Cl,SO4_,HCO3_,CO2_mol,$L$16)</f>
        <v>-7.5888170492420777</v>
      </c>
      <c r="Y29" s="27">
        <f t="array" ref="Y29">[1]!unf_fa_scale_SI(Y$19,$M29,q_liq,fw,rp_m3m3,NaK,Ca2_,Mg2_,Ba2_,Sr2_,Cl,SO4_,HCO3_,CO2_mol,$L$16)</f>
        <v>-7.801835136541599</v>
      </c>
      <c r="Z29" s="27">
        <f t="array" ref="Z29">[1]!unf_fa_scale_SI(Z$19,$M29,q_liq,fw,rp_m3m3,NaK,Ca2_,Mg2_,Ba2_,Sr2_,Cl,SO4_,HCO3_,CO2_mol,$L$16)</f>
        <v>-8.0152466451524518</v>
      </c>
      <c r="AA29" s="27">
        <f t="array" ref="AA29">[1]!unf_fa_scale_SI(AA$19,$M29,q_liq,fw,rp_m3m3,NaK,Ca2_,Mg2_,Ba2_,Sr2_,Cl,SO4_,HCO3_,CO2_mol,$L$16)</f>
        <v>-8.2174022246644594</v>
      </c>
      <c r="AB29" s="27">
        <f t="array" ref="AB29">[1]!unf_fa_scale_SI(AB$19,$M29,q_liq,fw,rp_m3m3,NaK,Ca2_,Mg2_,Ba2_,Sr2_,Cl,SO4_,HCO3_,CO2_mol,$L$16)</f>
        <v>-8.3940774490295169</v>
      </c>
      <c r="AC29" s="28">
        <f t="array" ref="AC29">[1]!unf_fa_scale_SI(AC$19,$M29,q_liq,fw,rp_m3m3,NaK,Ca2_,Mg2_,Ba2_,Sr2_,Cl,SO4_,HCO3_,CO2_mol,$L$16)</f>
        <v>-8.5431861585461615</v>
      </c>
    </row>
    <row r="30" spans="2:29" x14ac:dyDescent="0.2">
      <c r="B30" s="1" t="s">
        <v>4</v>
      </c>
      <c r="C30" s="7">
        <v>2</v>
      </c>
      <c r="D30" s="8" t="s">
        <v>41</v>
      </c>
      <c r="L30" s="36"/>
      <c r="M30" s="26">
        <v>50</v>
      </c>
      <c r="N30" s="40">
        <f t="array" ref="N30">[1]!unf_fa_scale_SI(N$19,$M30,q_liq,fw,rp_m3m3,NaK,Ca2_,Mg2_,Ba2_,Sr2_,Cl,SO4_,HCO3_,CO2_mol,$L$16)</f>
        <v>-5.6199302129788276</v>
      </c>
      <c r="O30" s="27">
        <f t="array" ref="O30">[1]!unf_fa_scale_SI(O$19,$M30,q_liq,fw,rp_m3m3,NaK,Ca2_,Mg2_,Ba2_,Sr2_,Cl,SO4_,HCO3_,CO2_mol,$L$16)</f>
        <v>-5.7904378915843182</v>
      </c>
      <c r="P30" s="27">
        <f t="array" ref="P30">[1]!unf_fa_scale_SI(P$19,$M30,q_liq,fw,rp_m3m3,NaK,Ca2_,Mg2_,Ba2_,Sr2_,Cl,SO4_,HCO3_,CO2_mol,$L$16)</f>
        <v>-5.9624483932526253</v>
      </c>
      <c r="Q30" s="27">
        <f t="array" ref="Q30">[1]!unf_fa_scale_SI(Q$19,$M30,q_liq,fw,rp_m3m3,NaK,Ca2_,Mg2_,Ba2_,Sr2_,Cl,SO4_,HCO3_,CO2_mol,$L$16)</f>
        <v>-6.1363686012628511</v>
      </c>
      <c r="R30" s="27">
        <f t="array" ref="R30">[1]!unf_fa_scale_SI(R$19,$M30,q_liq,fw,rp_m3m3,NaK,Ca2_,Mg2_,Ba2_,Sr2_,Cl,SO4_,HCO3_,CO2_mol,$L$16)</f>
        <v>-6.3127252155615645</v>
      </c>
      <c r="S30" s="27">
        <f t="array" ref="S30">[1]!unf_fa_scale_SI(S$19,$M30,q_liq,fw,rp_m3m3,NaK,Ca2_,Mg2_,Ba2_,Sr2_,Cl,SO4_,HCO3_,CO2_mol,$L$16)</f>
        <v>-6.4921968114770117</v>
      </c>
      <c r="T30" s="27">
        <f t="array" ref="T30">[1]!unf_fa_scale_SI(T$19,$M30,q_liq,fw,rp_m3m3,NaK,Ca2_,Mg2_,Ba2_,Sr2_,Cl,SO4_,HCO3_,CO2_mol,$L$16)</f>
        <v>-6.67564522279205</v>
      </c>
      <c r="U30" s="27">
        <f t="array" ref="U30">[1]!unf_fa_scale_SI(U$19,$M30,q_liq,fw,rp_m3m3,NaK,Ca2_,Mg2_,Ba2_,Sr2_,Cl,SO4_,HCO3_,CO2_mol,$L$16)</f>
        <v>-6.8641296659335316</v>
      </c>
      <c r="V30" s="27">
        <f t="array" ref="V30">[1]!unf_fa_scale_SI(V$19,$M30,q_liq,fw,rp_m3m3,NaK,Ca2_,Mg2_,Ba2_,Sr2_,Cl,SO4_,HCO3_,CO2_mol,$L$16)</f>
        <v>-7.0588597492384384</v>
      </c>
      <c r="W30" s="27">
        <f t="array" ref="W30">[1]!unf_fa_scale_SI(W$19,$M30,q_liq,fw,rp_m3m3,NaK,Ca2_,Mg2_,Ba2_,Sr2_,Cl,SO4_,HCO3_,CO2_mol,$L$16)</f>
        <v>-7.2609813153914748</v>
      </c>
      <c r="X30" s="27">
        <f t="array" ref="X30">[1]!unf_fa_scale_SI(X$19,$M30,q_liq,fw,rp_m3m3,NaK,Ca2_,Mg2_,Ba2_,Sr2_,Cl,SO4_,HCO3_,CO2_mol,$L$16)</f>
        <v>-7.470962466100139</v>
      </c>
      <c r="Y30" s="27">
        <f t="array" ref="Y30">[1]!unf_fa_scale_SI(Y$19,$M30,q_liq,fw,rp_m3m3,NaK,Ca2_,Mg2_,Ba2_,Sr2_,Cl,SO4_,HCO3_,CO2_mol,$L$16)</f>
        <v>-7.6871638209070721</v>
      </c>
      <c r="Z30" s="27">
        <f t="array" ref="Z30">[1]!unf_fa_scale_SI(Z$19,$M30,q_liq,fw,rp_m3m3,NaK,Ca2_,Mg2_,Ba2_,Sr2_,Cl,SO4_,HCO3_,CO2_mol,$L$16)</f>
        <v>-7.9032709541543982</v>
      </c>
      <c r="AA30" s="27">
        <f t="array" ref="AA30">[1]!unf_fa_scale_SI(AA$19,$M30,q_liq,fw,rp_m3m3,NaK,Ca2_,Mg2_,Ba2_,Sr2_,Cl,SO4_,HCO3_,CO2_mol,$L$16)</f>
        <v>-8.1060972327930543</v>
      </c>
      <c r="AB30" s="27">
        <f t="array" ref="AB30">[1]!unf_fa_scale_SI(AB$19,$M30,q_liq,fw,rp_m3m3,NaK,Ca2_,Mg2_,Ba2_,Sr2_,Cl,SO4_,HCO3_,CO2_mol,$L$16)</f>
        <v>-8.2803211265781265</v>
      </c>
      <c r="AC30" s="28">
        <f t="array" ref="AC30">[1]!unf_fa_scale_SI(AC$19,$M30,q_liq,fw,rp_m3m3,NaK,Ca2_,Mg2_,Ba2_,Sr2_,Cl,SO4_,HCO3_,CO2_mol,$L$16)</f>
        <v>-8.4252691849193031</v>
      </c>
    </row>
    <row r="31" spans="2:29" ht="21" x14ac:dyDescent="0.2">
      <c r="B31" s="1" t="s">
        <v>1</v>
      </c>
      <c r="C31" s="7">
        <f>(q_liq-qo)/(q_liq)*100</f>
        <v>93.333333333333329</v>
      </c>
      <c r="L31" s="36"/>
      <c r="M31" s="26">
        <v>55</v>
      </c>
      <c r="N31" s="40">
        <f t="array" ref="N31">[1]!unf_fa_scale_SI(N$19,$M31,q_liq,fw,rp_m3m3,NaK,Ca2_,Mg2_,Ba2_,Sr2_,Cl,SO4_,HCO3_,CO2_mol,$L$16)</f>
        <v>-5.4914517089782695</v>
      </c>
      <c r="O31" s="27">
        <f t="array" ref="O31">[1]!unf_fa_scale_SI(O$19,$M31,q_liq,fw,rp_m3m3,NaK,Ca2_,Mg2_,Ba2_,Sr2_,Cl,SO4_,HCO3_,CO2_mol,$L$16)</f>
        <v>-5.6621191541501128</v>
      </c>
      <c r="P31" s="27">
        <f t="array" ref="P31">[1]!unf_fa_scale_SI(P$19,$M31,q_liq,fw,rp_m3m3,NaK,Ca2_,Mg2_,Ba2_,Sr2_,Cl,SO4_,HCO3_,CO2_mol,$L$16)</f>
        <v>-5.8343510016349782</v>
      </c>
      <c r="Q31" s="27">
        <f t="array" ref="Q31">[1]!unf_fa_scale_SI(Q$19,$M31,q_liq,fw,rp_m3m3,NaK,Ca2_,Mg2_,Ba2_,Sr2_,Cl,SO4_,HCO3_,CO2_mol,$L$16)</f>
        <v>-6.0085793508541272</v>
      </c>
      <c r="R31" s="27">
        <f t="array" ref="R31">[1]!unf_fa_scale_SI(R$19,$M31,q_liq,fw,rp_m3m3,NaK,Ca2_,Mg2_,Ba2_,Sr2_,Cl,SO4_,HCO3_,CO2_mol,$L$16)</f>
        <v>-6.1853663662595313</v>
      </c>
      <c r="S31" s="27">
        <f t="array" ref="S31">[1]!unf_fa_scale_SI(S$19,$M31,q_liq,fw,rp_m3m3,NaK,Ca2_,Mg2_,Ba2_,Sr2_,Cl,SO4_,HCO3_,CO2_mol,$L$16)</f>
        <v>-6.3654399271965465</v>
      </c>
      <c r="T31" s="27">
        <f t="array" ref="T31">[1]!unf_fa_scale_SI(T$19,$M31,q_liq,fw,rp_m3m3,NaK,Ca2_,Mg2_,Ba2_,Sr2_,Cl,SO4_,HCO3_,CO2_mol,$L$16)</f>
        <v>-6.5497289368796752</v>
      </c>
      <c r="U31" s="27">
        <f t="array" ref="U31">[1]!unf_fa_scale_SI(U$19,$M31,q_liq,fw,rp_m3m3,NaK,Ca2_,Mg2_,Ba2_,Sr2_,Cl,SO4_,HCO3_,CO2_mol,$L$16)</f>
        <v>-6.7393800908394015</v>
      </c>
      <c r="V31" s="27">
        <f t="array" ref="V31">[1]!unf_fa_scale_SI(V$19,$M31,q_liq,fw,rp_m3m3,NaK,Ca2_,Mg2_,Ba2_,Sr2_,Cl,SO4_,HCO3_,CO2_mol,$L$16)</f>
        <v>-6.9357073599433727</v>
      </c>
      <c r="W31" s="27">
        <f t="array" ref="W31">[1]!unf_fa_scale_SI(W$19,$M31,q_liq,fw,rp_m3m3,NaK,Ca2_,Mg2_,Ba2_,Sr2_,Cl,SO4_,HCO3_,CO2_mol,$L$16)</f>
        <v>-7.1399550047121902</v>
      </c>
      <c r="X31" s="27">
        <f t="array" ref="X31">[1]!unf_fa_scale_SI(X$19,$M31,q_liq,fw,rp_m3m3,NaK,Ca2_,Mg2_,Ba2_,Sr2_,Cl,SO4_,HCO3_,CO2_mol,$L$16)</f>
        <v>-7.3526100296680275</v>
      </c>
      <c r="Y31" s="27">
        <f t="array" ref="Y31">[1]!unf_fa_scale_SI(Y$19,$M31,q_liq,fw,rp_m3m3,NaK,Ca2_,Mg2_,Ba2_,Sr2_,Cl,SO4_,HCO3_,CO2_mol,$L$16)</f>
        <v>-7.5717899271261082</v>
      </c>
      <c r="Z31" s="27">
        <f t="array" ref="Z31">[1]!unf_fa_scale_SI(Z$19,$M31,q_liq,fw,rp_m3m3,NaK,Ca2_,Mg2_,Ba2_,Sr2_,Cl,SO4_,HCO3_,CO2_mol,$L$16)</f>
        <v>-7.7903605401510942</v>
      </c>
      <c r="AA31" s="27">
        <f t="array" ref="AA31">[1]!unf_fa_scale_SI(AA$19,$M31,q_liq,fw,rp_m3m3,NaK,Ca2_,Mg2_,Ba2_,Sr2_,Cl,SO4_,HCO3_,CO2_mol,$L$16)</f>
        <v>-7.9936572049598116</v>
      </c>
      <c r="AB31" s="27">
        <f t="array" ref="AB31">[1]!unf_fa_scale_SI(AB$19,$M31,q_liq,fw,rp_m3m3,NaK,Ca2_,Mg2_,Ba2_,Sr2_,Cl,SO4_,HCO3_,CO2_mol,$L$16)</f>
        <v>-8.1654508411811033</v>
      </c>
      <c r="AC31" s="28">
        <f t="array" ref="AC31">[1]!unf_fa_scale_SI(AC$19,$M31,q_liq,fw,rp_m3m3,NaK,Ca2_,Mg2_,Ba2_,Sr2_,Cl,SO4_,HCO3_,CO2_mol,$L$16)</f>
        <v>-8.3066260577203597</v>
      </c>
    </row>
    <row r="32" spans="2:29" x14ac:dyDescent="0.2">
      <c r="B32" s="1" t="s">
        <v>5</v>
      </c>
      <c r="C32" s="9">
        <v>300</v>
      </c>
      <c r="D32" s="8" t="s">
        <v>42</v>
      </c>
      <c r="L32" s="36"/>
      <c r="M32" s="26">
        <v>60</v>
      </c>
      <c r="N32" s="40">
        <f t="array" ref="N32">[1]!unf_fa_scale_SI(N$19,$M32,q_liq,fw,rp_m3m3,NaK,Ca2_,Mg2_,Ba2_,Sr2_,Cl,SO4_,HCO3_,CO2_mol,$L$16)</f>
        <v>-5.3631295771280678</v>
      </c>
      <c r="O32" s="27">
        <f t="array" ref="O32">[1]!unf_fa_scale_SI(O$19,$M32,q_liq,fw,rp_m3m3,NaK,Ca2_,Mg2_,Ba2_,Sr2_,Cl,SO4_,HCO3_,CO2_mol,$L$16)</f>
        <v>-5.5339466833169286</v>
      </c>
      <c r="P32" s="27">
        <f t="array" ref="P32">[1]!unf_fa_scale_SI(P$19,$M32,q_liq,fw,rp_m3m3,NaK,Ca2_,Mg2_,Ba2_,Sr2_,Cl,SO4_,HCO3_,CO2_mol,$L$16)</f>
        <v>-5.706386127947753</v>
      </c>
      <c r="Q32" s="27">
        <f t="array" ref="Q32">[1]!unf_fa_scale_SI(Q$19,$M32,q_liq,fw,rp_m3m3,NaK,Ca2_,Mg2_,Ba2_,Sr2_,Cl,SO4_,HCO3_,CO2_mol,$L$16)</f>
        <v>-5.8809038173295027</v>
      </c>
      <c r="R32" s="27">
        <f t="array" ref="R32">[1]!unf_fa_scale_SI(R$19,$M32,q_liq,fw,rp_m3m3,NaK,Ca2_,Mg2_,Ba2_,Sr2_,Cl,SO4_,HCO3_,CO2_mol,$L$16)</f>
        <v>-6.0580954383523418</v>
      </c>
      <c r="S32" s="27">
        <f t="array" ref="S32">[1]!unf_fa_scale_SI(S$19,$M32,q_liq,fw,rp_m3m3,NaK,Ca2_,Mg2_,Ba2_,Sr2_,Cl,SO4_,HCO3_,CO2_mol,$L$16)</f>
        <v>-6.2387355425789766</v>
      </c>
      <c r="T32" s="27">
        <f t="array" ref="T32">[1]!unf_fa_scale_SI(T$19,$M32,q_liq,fw,rp_m3m3,NaK,Ca2_,Mg2_,Ba2_,Sr2_,Cl,SO4_,HCO3_,CO2_mol,$L$16)</f>
        <v>-6.4238166381144106</v>
      </c>
      <c r="U32" s="27">
        <f t="array" ref="U32">[1]!unf_fa_scale_SI(U$19,$M32,q_liq,fw,rp_m3m3,NaK,Ca2_,Mg2_,Ba2_,Sr2_,Cl,SO4_,HCO3_,CO2_mol,$L$16)</f>
        <v>-6.6145685619613426</v>
      </c>
      <c r="V32" s="27">
        <f t="array" ref="V32">[1]!unf_fa_scale_SI(V$19,$M32,q_liq,fw,rp_m3m3,NaK,Ca2_,Mg2_,Ba2_,Sr2_,Cl,SO4_,HCO3_,CO2_mol,$L$16)</f>
        <v>-6.8124046824982045</v>
      </c>
      <c r="W32" s="27">
        <f t="array" ref="W32">[1]!unf_fa_scale_SI(W$19,$M32,q_liq,fw,rp_m3m3,NaK,Ca2_,Mg2_,Ba2_,Sr2_,Cl,SO4_,HCO3_,CO2_mol,$L$16)</f>
        <v>-7.0186628977379479</v>
      </c>
      <c r="X32" s="27">
        <f t="array" ref="X32">[1]!unf_fa_scale_SI(X$19,$M32,q_liq,fw,rp_m3m3,NaK,Ca2_,Mg2_,Ba2_,Sr2_,Cl,SO4_,HCO3_,CO2_mol,$L$16)</f>
        <v>-7.2338460738496728</v>
      </c>
      <c r="Y32" s="27">
        <f t="array" ref="Y32">[1]!unf_fa_scale_SI(Y$19,$M32,q_liq,fw,rp_m3m3,NaK,Ca2_,Mg2_,Ba2_,Sr2_,Cl,SO4_,HCO3_,CO2_mol,$L$16)</f>
        <v>-7.4558293704629355</v>
      </c>
      <c r="Z32" s="27">
        <f t="array" ref="Z32">[1]!unf_fa_scale_SI(Z$19,$M32,q_liq,fw,rp_m3m3,NaK,Ca2_,Mg2_,Ba2_,Sr2_,Cl,SO4_,HCO3_,CO2_mol,$L$16)</f>
        <v>-7.6766697033894369</v>
      </c>
      <c r="AA32" s="27">
        <f t="array" ref="AA32">[1]!unf_fa_scale_SI(AA$19,$M32,q_liq,fw,rp_m3m3,NaK,Ca2_,Mg2_,Ba2_,Sr2_,Cl,SO4_,HCO3_,CO2_mol,$L$16)</f>
        <v>-7.880281743063982</v>
      </c>
      <c r="AB32" s="27">
        <f t="array" ref="AB32">[1]!unf_fa_scale_SI(AB$19,$M32,q_liq,fw,rp_m3m3,NaK,Ca2_,Mg2_,Ba2_,Sr2_,Cl,SO4_,HCO3_,CO2_mol,$L$16)</f>
        <v>-8.0496948389295806</v>
      </c>
      <c r="AC32" s="28">
        <f t="array" ref="AC32">[1]!unf_fa_scale_SI(AC$19,$M32,q_liq,fw,rp_m3m3,NaK,Ca2_,Mg2_,Ba2_,Sr2_,Cl,SO4_,HCO3_,CO2_mol,$L$16)</f>
        <v>-8.1874456809724503</v>
      </c>
    </row>
    <row r="33" spans="12:29" x14ac:dyDescent="0.2">
      <c r="L33" s="36"/>
      <c r="M33" s="26">
        <v>65</v>
      </c>
      <c r="N33" s="40">
        <f t="array" ref="N33">[1]!unf_fa_scale_SI(N$19,$M33,q_liq,fw,rp_m3m3,NaK,Ca2_,Mg2_,Ba2_,Sr2_,Cl,SO4_,HCO3_,CO2_mol,$L$16)</f>
        <v>-5.2349671447562205</v>
      </c>
      <c r="O33" s="27">
        <f t="array" ref="O33">[1]!unf_fa_scale_SI(O$19,$M33,q_liq,fw,rp_m3m3,NaK,Ca2_,Mg2_,Ba2_,Sr2_,Cl,SO4_,HCO3_,CO2_mol,$L$16)</f>
        <v>-5.4059249026815079</v>
      </c>
      <c r="P33" s="27">
        <f t="array" ref="P33">[1]!unf_fa_scale_SI(P$19,$M33,q_liq,fw,rp_m3m3,NaK,Ca2_,Mg2_,Ba2_,Sr2_,Cl,SO4_,HCO3_,CO2_mol,$L$16)</f>
        <v>-5.5785596993035256</v>
      </c>
      <c r="Q33" s="27">
        <f t="array" ref="Q33">[1]!unf_fa_scale_SI(Q$19,$M33,q_liq,fw,rp_m3m3,NaK,Ca2_,Mg2_,Ba2_,Sr2_,Cl,SO4_,HCO3_,CO2_mol,$L$16)</f>
        <v>-5.7533499991575816</v>
      </c>
      <c r="R33" s="27">
        <f t="array" ref="R33">[1]!unf_fa_scale_SI(R$19,$M33,q_liq,fw,rp_m3m3,NaK,Ca2_,Mg2_,Ba2_,Sr2_,Cl,SO4_,HCO3_,CO2_mol,$L$16)</f>
        <v>-5.9309232918115828</v>
      </c>
      <c r="S33" s="27">
        <f t="array" ref="S33">[1]!unf_fa_scale_SI(S$19,$M33,q_liq,fw,rp_m3m3,NaK,Ca2_,Mg2_,Ba2_,Sr2_,Cl,SO4_,HCO3_,CO2_mol,$L$16)</f>
        <v>-6.1120984725821437</v>
      </c>
      <c r="T33" s="27">
        <f t="array" ref="T33">[1]!unf_fa_scale_SI(T$19,$M33,q_liq,fw,rp_m3m3,NaK,Ca2_,Mg2_,Ba2_,Sr2_,Cl,SO4_,HCO3_,CO2_mol,$L$16)</f>
        <v>-6.2979285946920536</v>
      </c>
      <c r="U33" s="27">
        <f t="array" ref="U33">[1]!unf_fa_scale_SI(U$19,$M33,q_liq,fw,rp_m3m3,NaK,Ca2_,Mg2_,Ba2_,Sr2_,Cl,SO4_,HCO3_,CO2_mol,$L$16)</f>
        <v>-6.4897228218396048</v>
      </c>
      <c r="V33" s="27">
        <f t="array" ref="V33">[1]!unf_fa_scale_SI(V$19,$M33,q_liq,fw,rp_m3m3,NaK,Ca2_,Mg2_,Ba2_,Sr2_,Cl,SO4_,HCO3_,CO2_mol,$L$16)</f>
        <v>-6.6889896022485509</v>
      </c>
      <c r="W33" s="27">
        <f t="array" ref="W33">[1]!unf_fa_scale_SI(W$19,$M33,q_liq,fw,rp_m3m3,NaK,Ca2_,Mg2_,Ba2_,Sr2_,Cl,SO4_,HCO3_,CO2_mol,$L$16)</f>
        <v>-6.8971564607494242</v>
      </c>
      <c r="X33" s="27">
        <f t="array" ref="X33">[1]!unf_fa_scale_SI(X$19,$M33,q_liq,fw,rp_m3m3,NaK,Ca2_,Mg2_,Ba2_,Sr2_,Cl,SO4_,HCO3_,CO2_mol,$L$16)</f>
        <v>-7.1147399995835974</v>
      </c>
      <c r="Y33" s="27">
        <f t="array" ref="Y33">[1]!unf_fa_scale_SI(Y$19,$M33,q_liq,fw,rp_m3m3,NaK,Ca2_,Mg2_,Ba2_,Sr2_,Cl,SO4_,HCO3_,CO2_mol,$L$16)</f>
        <v>-7.339374997310907</v>
      </c>
      <c r="Z33" s="27">
        <f t="array" ref="Z33">[1]!unf_fa_scale_SI(Z$19,$M33,q_liq,fw,rp_m3m3,NaK,Ca2_,Mg2_,Ba2_,Sr2_,Cl,SO4_,HCO3_,CO2_mol,$L$16)</f>
        <v>-7.5623214211472982</v>
      </c>
      <c r="AA33" s="27">
        <f t="array" ref="AA33">[1]!unf_fa_scale_SI(AA$19,$M33,q_liq,fw,rp_m3m3,NaK,Ca2_,Mg2_,Ba2_,Sr2_,Cl,SO4_,HCO3_,CO2_mol,$L$16)</f>
        <v>-7.7661282628465669</v>
      </c>
      <c r="AB33" s="27">
        <f t="array" ref="AB33">[1]!unf_fa_scale_SI(AB$19,$M33,q_liq,fw,rp_m3m3,NaK,Ca2_,Mg2_,Ba2_,Sr2_,Cl,SO4_,HCO3_,CO2_mol,$L$16)</f>
        <v>-7.9332283645628223</v>
      </c>
      <c r="AC33" s="28">
        <f t="array" ref="AC33">[1]!unf_fa_scale_SI(AC$19,$M33,q_liq,fw,rp_m3m3,NaK,Ca2_,Mg2_,Ba2_,Sr2_,Cl,SO4_,HCO3_,CO2_mol,$L$16)</f>
        <v>-8.0678661826735496</v>
      </c>
    </row>
    <row r="34" spans="12:29" x14ac:dyDescent="0.2">
      <c r="L34" s="37"/>
      <c r="M34" s="29">
        <v>70</v>
      </c>
      <c r="N34" s="41">
        <f t="array" ref="N34">[1]!unf_fa_scale_SI(N$19,$M34,q_liq,fw,rp_m3m3,NaK,Ca2_,Mg2_,Ba2_,Sr2_,Cl,SO4_,HCO3_,CO2_mol,$L$16)</f>
        <v>-5.1069671889656814</v>
      </c>
      <c r="O34" s="30">
        <f t="array" ref="O34">[1]!unf_fa_scale_SI(O$19,$M34,q_liq,fw,rp_m3m3,NaK,Ca2_,Mg2_,Ba2_,Sr2_,Cl,SO4_,HCO3_,CO2_mol,$L$16)</f>
        <v>-5.2780574973160119</v>
      </c>
      <c r="P34" s="30">
        <f t="array" ref="P34">[1]!unf_fa_scale_SI(P$19,$M34,q_liq,fw,rp_m3m3,NaK,Ca2_,Mg2_,Ba2_,Sr2_,Cl,SO4_,HCO3_,CO2_mol,$L$16)</f>
        <v>-5.4508766439492939</v>
      </c>
      <c r="Q34" s="30">
        <f t="array" ref="Q34">[1]!unf_fa_scale_SI(Q$19,$M34,q_liq,fw,rp_m3m3,NaK,Ca2_,Mg2_,Ba2_,Sr2_,Cl,SO4_,HCO3_,CO2_mol,$L$16)</f>
        <v>-5.6259245345241711</v>
      </c>
      <c r="R34" s="30">
        <f t="array" ref="R34">[1]!unf_fa_scale_SI(R$19,$M34,q_liq,fw,rp_m3m3,NaK,Ca2_,Mg2_,Ba2_,Sr2_,Cl,SO4_,HCO3_,CO2_mol,$L$16)</f>
        <v>-5.803858923361938</v>
      </c>
      <c r="S34" s="30">
        <f t="array" ref="S34">[1]!unf_fa_scale_SI(S$19,$M34,q_liq,fw,rp_m3m3,NaK,Ca2_,Mg2_,Ba2_,Sr2_,Cl,SO4_,HCO3_,CO2_mol,$L$16)</f>
        <v>-5.9855409686661902</v>
      </c>
      <c r="T34" s="30">
        <f t="array" ref="T34">[1]!unf_fa_scale_SI(T$19,$M34,q_liq,fw,rp_m3m3,NaK,Ca2_,Mg2_,Ba2_,Sr2_,Cl,SO4_,HCO3_,CO2_mol,$L$16)</f>
        <v>-6.172081538338146</v>
      </c>
      <c r="U34" s="30">
        <f t="array" ref="U34">[1]!unf_fa_scale_SI(U$19,$M34,q_liq,fw,rp_m3m3,NaK,Ca2_,Mg2_,Ba2_,Sr2_,Cl,SO4_,HCO3_,CO2_mol,$L$16)</f>
        <v>-6.3648657311304246</v>
      </c>
      <c r="V34" s="30">
        <f t="array" ref="V34">[1]!unf_fa_scale_SI(V$19,$M34,q_liq,fw,rp_m3m3,NaK,Ca2_,Mg2_,Ba2_,Sr2_,Cl,SO4_,HCO3_,CO2_mol,$L$16)</f>
        <v>-6.5654932764550207</v>
      </c>
      <c r="W34" s="30">
        <f t="array" ref="W34">[1]!unf_fa_scale_SI(W$19,$M34,q_liq,fw,rp_m3m3,NaK,Ca2_,Mg2_,Ba2_,Sr2_,Cl,SO4_,HCO3_,CO2_mol,$L$16)</f>
        <v>-6.7754779228730957</v>
      </c>
      <c r="X34" s="30">
        <f t="array" ref="X34">[1]!unf_fa_scale_SI(X$19,$M34,q_liq,fw,rp_m3m3,NaK,Ca2_,Mg2_,Ba2_,Sr2_,Cl,SO4_,HCO3_,CO2_mol,$L$16)</f>
        <v>-6.9953485916632898</v>
      </c>
      <c r="Y34" s="30">
        <f t="array" ref="Y34">[1]!unf_fa_scale_SI(Y$19,$M34,q_liq,fw,rp_m3m3,NaK,Ca2_,Mg2_,Ba2_,Sr2_,Cl,SO4_,HCO3_,CO2_mol,$L$16)</f>
        <v>-7.2225025096616449</v>
      </c>
      <c r="Z34" s="30">
        <f t="array" ref="Z34">[1]!unf_fa_scale_SI(Z$19,$M34,q_liq,fw,rp_m3m3,NaK,Ca2_,Mg2_,Ba2_,Sr2_,Cl,SO4_,HCO3_,CO2_mol,$L$16)</f>
        <v>-7.4474154627497136</v>
      </c>
      <c r="AA34" s="30">
        <f t="array" ref="AA34">[1]!unf_fa_scale_SI(AA$19,$M34,q_liq,fw,rp_m3m3,NaK,Ca2_,Mg2_,Ba2_,Sr2_,Cl,SO4_,HCO3_,CO2_mol,$L$16)</f>
        <v>-7.651323120094923</v>
      </c>
      <c r="AB34" s="30">
        <f t="array" ref="AB34">[1]!unf_fa_scale_SI(AB$19,$M34,q_liq,fw,rp_m3m3,NaK,Ca2_,Mg2_,Ba2_,Sr2_,Cl,SO4_,HCO3_,CO2_mol,$L$16)</f>
        <v>-7.8161884381616211</v>
      </c>
      <c r="AC34" s="31">
        <f t="array" ref="AC34">[1]!unf_fa_scale_SI(AC$19,$M34,q_liq,fw,rp_m3m3,NaK,Ca2_,Mg2_,Ba2_,Sr2_,Cl,SO4_,HCO3_,CO2_mol,$L$16)</f>
        <v>-7.9479907543654589</v>
      </c>
    </row>
    <row r="35" spans="12:29" x14ac:dyDescent="0.2">
      <c r="M35" s="11"/>
      <c r="N35" s="11"/>
      <c r="O35" s="11"/>
      <c r="P35" s="11"/>
      <c r="Q35" s="11"/>
      <c r="R35" s="11"/>
      <c r="S35" s="11"/>
      <c r="T35" s="11"/>
      <c r="U35" s="10"/>
      <c r="V35" s="10"/>
      <c r="W35" s="10"/>
      <c r="X35" s="10"/>
      <c r="Y35" s="10"/>
      <c r="Z35" s="10"/>
      <c r="AA35" s="10"/>
      <c r="AB35" s="16"/>
      <c r="AC35" s="17"/>
    </row>
    <row r="36" spans="12:29" x14ac:dyDescent="0.2">
      <c r="M36" s="11"/>
      <c r="N36" s="11"/>
      <c r="O36" s="11"/>
      <c r="P36" s="11"/>
      <c r="Q36" s="11"/>
      <c r="R36" s="11"/>
      <c r="S36" s="11"/>
      <c r="T36" s="11"/>
      <c r="U36" s="10"/>
      <c r="V36" s="10"/>
      <c r="W36" s="10"/>
      <c r="X36" s="10"/>
      <c r="Y36" s="10"/>
      <c r="Z36" s="10"/>
      <c r="AA36" s="10"/>
      <c r="AB36" s="16"/>
      <c r="AC36" s="17"/>
    </row>
    <row r="37" spans="12:29" x14ac:dyDescent="0.2">
      <c r="M37" s="11"/>
      <c r="N37" s="11"/>
      <c r="O37" s="11"/>
      <c r="P37" s="11"/>
      <c r="Q37" s="11"/>
      <c r="R37" s="11"/>
      <c r="S37" s="11"/>
      <c r="T37" s="11"/>
      <c r="U37" s="10"/>
      <c r="V37" s="10"/>
      <c r="W37" s="10"/>
      <c r="X37" s="10"/>
      <c r="Y37" s="10"/>
      <c r="Z37" s="10"/>
      <c r="AA37" s="10"/>
      <c r="AB37" s="16"/>
      <c r="AC37" s="17"/>
    </row>
    <row r="38" spans="12:29" x14ac:dyDescent="0.2">
      <c r="L38" s="10">
        <v>2</v>
      </c>
      <c r="M38" s="20" t="s">
        <v>20</v>
      </c>
      <c r="N38" s="11"/>
      <c r="O38" s="11"/>
      <c r="P38" s="11"/>
      <c r="Q38" s="11"/>
      <c r="R38" s="11"/>
      <c r="S38" s="11"/>
      <c r="T38" s="11"/>
      <c r="U38" s="10"/>
      <c r="V38" s="10"/>
      <c r="W38" s="10"/>
      <c r="X38" s="10"/>
      <c r="Y38" s="10"/>
      <c r="Z38" s="10"/>
      <c r="AA38" s="10"/>
      <c r="AB38" s="16"/>
      <c r="AC38" s="17"/>
    </row>
    <row r="39" spans="12:29" x14ac:dyDescent="0.2">
      <c r="M39" s="11"/>
      <c r="N39" s="11"/>
      <c r="O39" s="11">
        <v>1.4</v>
      </c>
      <c r="P39" s="11"/>
      <c r="Q39" s="11"/>
      <c r="R39" s="11"/>
      <c r="S39" s="11"/>
      <c r="T39" s="11"/>
      <c r="U39" s="10"/>
      <c r="V39" s="10"/>
      <c r="W39" s="10"/>
      <c r="X39" s="10"/>
      <c r="Y39" s="10"/>
      <c r="Z39" s="10"/>
      <c r="AA39" s="10"/>
      <c r="AB39" s="16"/>
      <c r="AC39" s="17"/>
    </row>
    <row r="40" spans="12:29" x14ac:dyDescent="0.2">
      <c r="L40" s="32"/>
      <c r="M40" s="22"/>
      <c r="N40" s="22" t="s">
        <v>17</v>
      </c>
      <c r="O40" s="22"/>
      <c r="P40" s="22"/>
      <c r="Q40" s="22"/>
      <c r="R40" s="22"/>
      <c r="S40" s="22"/>
      <c r="T40" s="22"/>
      <c r="U40" s="33"/>
      <c r="V40" s="33"/>
      <c r="W40" s="33"/>
      <c r="X40" s="33"/>
      <c r="Y40" s="33"/>
      <c r="Z40" s="33"/>
      <c r="AA40" s="33"/>
      <c r="AB40" s="34"/>
      <c r="AC40" s="35"/>
    </row>
    <row r="41" spans="12:29" x14ac:dyDescent="0.2">
      <c r="L41" s="36"/>
      <c r="M41" s="21"/>
      <c r="N41" s="22">
        <v>1</v>
      </c>
      <c r="O41" s="22">
        <f t="shared" ref="O41:AC41" si="1">N41*$O$17</f>
        <v>1.46</v>
      </c>
      <c r="P41" s="23">
        <f t="shared" si="1"/>
        <v>2.1315999999999997</v>
      </c>
      <c r="Q41" s="24">
        <f t="shared" si="1"/>
        <v>3.1121359999999996</v>
      </c>
      <c r="R41" s="24">
        <f t="shared" si="1"/>
        <v>4.5437185599999994</v>
      </c>
      <c r="S41" s="24">
        <f t="shared" si="1"/>
        <v>6.6338290975999987</v>
      </c>
      <c r="T41" s="24">
        <f t="shared" si="1"/>
        <v>9.6853904824959987</v>
      </c>
      <c r="U41" s="24">
        <f t="shared" si="1"/>
        <v>14.140670104444158</v>
      </c>
      <c r="V41" s="24">
        <f t="shared" si="1"/>
        <v>20.645378352488471</v>
      </c>
      <c r="W41" s="24">
        <f t="shared" si="1"/>
        <v>30.142252394633168</v>
      </c>
      <c r="X41" s="24">
        <f t="shared" si="1"/>
        <v>44.007688496164427</v>
      </c>
      <c r="Y41" s="24">
        <f t="shared" si="1"/>
        <v>64.251225204400058</v>
      </c>
      <c r="Z41" s="24">
        <f t="shared" si="1"/>
        <v>93.80678879842408</v>
      </c>
      <c r="AA41" s="24">
        <f t="shared" si="1"/>
        <v>136.95791164569914</v>
      </c>
      <c r="AB41" s="24">
        <f t="shared" si="1"/>
        <v>199.95855100272075</v>
      </c>
      <c r="AC41" s="25">
        <f t="shared" si="1"/>
        <v>291.93948446397229</v>
      </c>
    </row>
    <row r="42" spans="12:29" x14ac:dyDescent="0.2">
      <c r="L42" s="26" t="s">
        <v>18</v>
      </c>
      <c r="M42" s="26">
        <v>1</v>
      </c>
      <c r="N42" s="38">
        <f t="array" ref="N42">[1]!unf_fa_scale_SI(N$41,$M42,q_liq,fw,rp_m3m3,NaK,Ca2_,Mg2_,Ba2_,Sr2_,Cl,SO4_,HCO3_,CO2_mol,$L$38)</f>
        <v>-6.8645399633537174</v>
      </c>
      <c r="O42" s="23">
        <f t="array" ref="O42">[1]!unf_fa_scale_SI(O$41,$M42,q_liq,fw,rp_m3m3,NaK,Ca2_,Mg2_,Ba2_,Sr2_,Cl,SO4_,HCO3_,CO2_mol,$L$38)</f>
        <v>-7.032190257837982</v>
      </c>
      <c r="P42" s="23">
        <f t="array" ref="P42">[1]!unf_fa_scale_SI(P$41,$M42,q_liq,fw,rp_m3m3,NaK,Ca2_,Mg2_,Ba2_,Sr2_,Cl,SO4_,HCO3_,CO2_mol,$L$38)</f>
        <v>-7.2002450260051587</v>
      </c>
      <c r="Q42" s="23">
        <f t="array" ref="Q42">[1]!unf_fa_scale_SI(Q$41,$M42,q_liq,fw,rp_m3m3,NaK,Ca2_,Mg2_,Ba2_,Sr2_,Cl,SO4_,HCO3_,CO2_mol,$L$38)</f>
        <v>-7.36866424311917</v>
      </c>
      <c r="R42" s="23">
        <f t="array" ref="R42">[1]!unf_fa_scale_SI(R$41,$M42,q_liq,fw,rp_m3m3,NaK,Ca2_,Mg2_,Ba2_,Sr2_,Cl,SO4_,HCO3_,CO2_mol,$L$38)</f>
        <v>-7.5373485762459245</v>
      </c>
      <c r="S42" s="23">
        <f t="array" ref="S42">[1]!unf_fa_scale_SI(S$41,$M42,q_liq,fw,rp_m3m3,NaK,Ca2_,Mg2_,Ba2_,Sr2_,Cl,SO4_,HCO3_,CO2_mol,$L$38)</f>
        <v>-7.7061103958706925</v>
      </c>
      <c r="T42" s="23">
        <f t="array" ref="T42">[1]!unf_fa_scale_SI(T$41,$M42,q_liq,fw,rp_m3m3,NaK,Ca2_,Mg2_,Ba2_,Sr2_,Cl,SO4_,HCO3_,CO2_mol,$L$38)</f>
        <v>-7.8746383833085378</v>
      </c>
      <c r="U42" s="23">
        <f t="array" ref="U42">[1]!unf_fa_scale_SI(U$41,$M42,q_liq,fw,rp_m3m3,NaK,Ca2_,Mg2_,Ba2_,Sr2_,Cl,SO4_,HCO3_,CO2_mol,$L$38)</f>
        <v>-8.042461447545147</v>
      </c>
      <c r="V42" s="23">
        <f t="array" ref="V42">[1]!unf_fa_scale_SI(V$41,$M42,q_liq,fw,rp_m3m3,NaK,Ca2_,Mg2_,Ba2_,Sr2_,Cl,SO4_,HCO3_,CO2_mol,$L$38)</f>
        <v>-8.2089279642895914</v>
      </c>
      <c r="W42" s="23">
        <f t="array" ref="W42">[1]!unf_fa_scale_SI(W$41,$M42,q_liq,fw,rp_m3m3,NaK,Ca2_,Mg2_,Ba2_,Sr2_,Cl,SO4_,HCO3_,CO2_mol,$L$38)</f>
        <v>-8.3732352737507281</v>
      </c>
      <c r="X42" s="23">
        <f t="array" ref="X42">[1]!unf_fa_scale_SI(X$41,$M42,q_liq,fw,rp_m3m3,NaK,Ca2_,Mg2_,Ba2_,Sr2_,Cl,SO4_,HCO3_,CO2_mol,$L$38)</f>
        <v>-8.5345730871287468</v>
      </c>
      <c r="Y42" s="23">
        <f t="array" ref="Y42">[1]!unf_fa_scale_SI(Y$41,$M42,q_liq,fw,rp_m3m3,NaK,Ca2_,Mg2_,Ba2_,Sr2_,Cl,SO4_,HCO3_,CO2_mol,$L$38)</f>
        <v>-8.6924758886360749</v>
      </c>
      <c r="Z42" s="23">
        <f t="array" ref="Z42">[1]!unf_fa_scale_SI(Z$41,$M42,q_liq,fw,rp_m3m3,NaK,Ca2_,Mg2_,Ba2_,Sr2_,Cl,SO4_,HCO3_,CO2_mol,$L$38)</f>
        <v>-8.8474904792513147</v>
      </c>
      <c r="AA42" s="23">
        <f t="array" ref="AA42">[1]!unf_fa_scale_SI(AA$41,$M42,q_liq,fw,rp_m3m3,NaK,Ca2_,Mg2_,Ba2_,Sr2_,Cl,SO4_,HCO3_,CO2_mol,$L$38)</f>
        <v>-9.0022194370118012</v>
      </c>
      <c r="AB42" s="23">
        <f t="array" ref="AB42">[1]!unf_fa_scale_SI(AB$41,$M42,q_liq,fw,rp_m3m3,NaK,Ca2_,Mg2_,Ba2_,Sr2_,Cl,SO4_,HCO3_,CO2_mol,$L$38)</f>
        <v>-9.1626746175891611</v>
      </c>
      <c r="AC42" s="39">
        <f t="array" ref="AC42">[1]!unf_fa_scale_SI(AC$41,$M42,q_liq,fw,rp_m3m3,NaK,Ca2_,Mg2_,Ba2_,Sr2_,Cl,SO4_,HCO3_,CO2_mol,$L$38)</f>
        <v>-9.3396415867915881</v>
      </c>
    </row>
    <row r="43" spans="12:29" x14ac:dyDescent="0.2">
      <c r="L43" s="36"/>
      <c r="M43" s="26">
        <v>5</v>
      </c>
      <c r="N43" s="40">
        <f t="array" ref="N43">[1]!unf_fa_scale_SI(N$41,$M43,q_liq,fw,rp_m3m3,NaK,Ca2_,Mg2_,Ba2_,Sr2_,Cl,SO4_,HCO3_,CO2_mol,$L$38)</f>
        <v>-6.7622583826611375</v>
      </c>
      <c r="O43" s="27">
        <f t="array" ref="O43">[1]!unf_fa_scale_SI(O$41,$M43,q_liq,fw,rp_m3m3,NaK,Ca2_,Mg2_,Ba2_,Sr2_,Cl,SO4_,HCO3_,CO2_mol,$L$38)</f>
        <v>-6.9303885269143324</v>
      </c>
      <c r="P43" s="27">
        <f t="array" ref="P43">[1]!unf_fa_scale_SI(P$41,$M43,q_liq,fw,rp_m3m3,NaK,Ca2_,Mg2_,Ba2_,Sr2_,Cl,SO4_,HCO3_,CO2_mol,$L$38)</f>
        <v>-7.0991134835621219</v>
      </c>
      <c r="Q43" s="27">
        <f t="array" ref="Q43">[1]!unf_fa_scale_SI(Q$41,$M43,q_liq,fw,rp_m3m3,NaK,Ca2_,Mg2_,Ba2_,Sr2_,Cl,SO4_,HCO3_,CO2_mol,$L$38)</f>
        <v>-7.2684720646477237</v>
      </c>
      <c r="R43" s="27">
        <f t="array" ref="R43">[1]!unf_fa_scale_SI(R$41,$M43,q_liq,fw,rp_m3m3,NaK,Ca2_,Mg2_,Ba2_,Sr2_,Cl,SO4_,HCO3_,CO2_mol,$L$38)</f>
        <v>-7.4384756991260073</v>
      </c>
      <c r="S43" s="27">
        <f t="array" ref="S43">[1]!unf_fa_scale_SI(S$41,$M43,q_liq,fw,rp_m3m3,NaK,Ca2_,Mg2_,Ba2_,Sr2_,Cl,SO4_,HCO3_,CO2_mol,$L$38)</f>
        <v>-7.6090905598713618</v>
      </c>
      <c r="T43" s="27">
        <f t="array" ref="T43">[1]!unf_fa_scale_SI(T$41,$M43,q_liq,fw,rp_m3m3,NaK,Ca2_,Mg2_,Ba2_,Sr2_,Cl,SO4_,HCO3_,CO2_mol,$L$38)</f>
        <v>-7.7802149349804282</v>
      </c>
      <c r="U43" s="27">
        <f t="array" ref="U43">[1]!unf_fa_scale_SI(U$41,$M43,q_liq,fw,rp_m3m3,NaK,Ca2_,Mg2_,Ba2_,Sr2_,Cl,SO4_,HCO3_,CO2_mol,$L$38)</f>
        <v>-7.9516550911437127</v>
      </c>
      <c r="V43" s="27">
        <f t="array" ref="V43">[1]!unf_fa_scale_SI(V$41,$M43,q_liq,fw,rp_m3m3,NaK,Ca2_,Mg2_,Ba2_,Sr2_,Cl,SO4_,HCO3_,CO2_mol,$L$38)</f>
        <v>-8.1231096510955965</v>
      </c>
      <c r="W43" s="27">
        <f t="array" ref="W43">[1]!unf_fa_scale_SI(W$41,$M43,q_liq,fw,rp_m3m3,NaK,Ca2_,Mg2_,Ba2_,Sr2_,Cl,SO4_,HCO3_,CO2_mol,$L$38)</f>
        <v>-8.2941856553147346</v>
      </c>
      <c r="X43" s="27">
        <f t="array" ref="X43">[1]!unf_fa_scale_SI(X$41,$M43,q_liq,fw,rp_m3m3,NaK,Ca2_,Mg2_,Ba2_,Sr2_,Cl,SO4_,HCO3_,CO2_mol,$L$38)</f>
        <v>-8.4644907657234114</v>
      </c>
      <c r="Y43" s="27">
        <f t="array" ref="Y43">[1]!unf_fa_scale_SI(Y$41,$M43,q_liq,fw,rp_m3m3,NaK,Ca2_,Mg2_,Ba2_,Sr2_,Cl,SO4_,HCO3_,CO2_mol,$L$38)</f>
        <v>-8.6338711386027391</v>
      </c>
      <c r="Z43" s="27">
        <f t="array" ref="Z43">[1]!unf_fa_scale_SI(Z$41,$M43,q_liq,fw,rp_m3m3,NaK,Ca2_,Mg2_,Ba2_,Sr2_,Cl,SO4_,HCO3_,CO2_mol,$L$38)</f>
        <v>-8.8028719873807333</v>
      </c>
      <c r="AA43" s="27">
        <f t="array" ref="AA43">[1]!unf_fa_scale_SI(AA$41,$M43,q_liq,fw,rp_m3m3,NaK,Ca2_,Mg2_,Ba2_,Sr2_,Cl,SO4_,HCO3_,CO2_mol,$L$38)</f>
        <v>-8.9734381199166471</v>
      </c>
      <c r="AB43" s="27">
        <f t="array" ref="AB43">[1]!unf_fa_scale_SI(AB$41,$M43,q_liq,fw,rp_m3m3,NaK,Ca2_,Mg2_,Ba2_,Sr2_,Cl,SO4_,HCO3_,CO2_mol,$L$38)</f>
        <v>-9.1496771081838837</v>
      </c>
      <c r="AC43" s="28">
        <f t="array" ref="AC43">[1]!unf_fa_scale_SI(AC$41,$M43,q_liq,fw,rp_m3m3,NaK,Ca2_,Mg2_,Ba2_,Sr2_,Cl,SO4_,HCO3_,CO2_mol,$L$38)</f>
        <v>-9.3381731763315621</v>
      </c>
    </row>
    <row r="44" spans="12:29" x14ac:dyDescent="0.2">
      <c r="L44" s="36"/>
      <c r="M44" s="26">
        <v>10</v>
      </c>
      <c r="N44" s="40">
        <f t="array" ref="N44">[1]!unf_fa_scale_SI(N$41,$M44,q_liq,fw,rp_m3m3,NaK,Ca2_,Mg2_,Ba2_,Sr2_,Cl,SO4_,HCO3_,CO2_mol,$L$38)</f>
        <v>-6.6341466319044455</v>
      </c>
      <c r="O44" s="27">
        <f t="array" ref="O44">[1]!unf_fa_scale_SI(O$41,$M44,q_liq,fw,rp_m3m3,NaK,Ca2_,Mg2_,Ba2_,Sr2_,Cl,SO4_,HCO3_,CO2_mol,$L$38)</f>
        <v>-6.8027174162575044</v>
      </c>
      <c r="P44" s="27">
        <f t="array" ref="P44">[1]!unf_fa_scale_SI(P$41,$M44,q_liq,fw,rp_m3m3,NaK,Ca2_,Mg2_,Ba2_,Sr2_,Cl,SO4_,HCO3_,CO2_mol,$L$38)</f>
        <v>-6.9720534054083485</v>
      </c>
      <c r="Q44" s="27">
        <f t="array" ref="Q44">[1]!unf_fa_scale_SI(Q$41,$M44,q_liq,fw,rp_m3m3,NaK,Ca2_,Mg2_,Ba2_,Sr2_,Cl,SO4_,HCO3_,CO2_mol,$L$38)</f>
        <v>-7.1422628907677064</v>
      </c>
      <c r="R44" s="27">
        <f t="array" ref="R44">[1]!unf_fa_scale_SI(R$41,$M44,q_liq,fw,rp_m3m3,NaK,Ca2_,Mg2_,Ba2_,Sr2_,Cl,SO4_,HCO3_,CO2_mol,$L$38)</f>
        <v>-7.3134545915798395</v>
      </c>
      <c r="S44" s="27">
        <f t="array" ref="S44">[1]!unf_fa_scale_SI(S$41,$M44,q_liq,fw,rp_m3m3,NaK,Ca2_,Mg2_,Ba2_,Sr2_,Cl,SO4_,HCO3_,CO2_mol,$L$38)</f>
        <v>-7.4857292504963908</v>
      </c>
      <c r="T44" s="27">
        <f t="array" ref="T44">[1]!unf_fa_scale_SI(T$41,$M44,q_liq,fw,rp_m3m3,NaK,Ca2_,Mg2_,Ba2_,Sr2_,Cl,SO4_,HCO3_,CO2_mol,$L$38)</f>
        <v>-7.6591675269974306</v>
      </c>
      <c r="U44" s="27">
        <f t="array" ref="U44">[1]!unf_fa_scale_SI(U$41,$M44,q_liq,fw,rp_m3m3,NaK,Ca2_,Mg2_,Ba2_,Sr2_,Cl,SO4_,HCO3_,CO2_mol,$L$38)</f>
        <v>-7.8338146148703096</v>
      </c>
      <c r="V44" s="27">
        <f t="array" ref="V44">[1]!unf_fa_scale_SI(V$41,$M44,q_liq,fw,rp_m3m3,NaK,Ca2_,Mg2_,Ba2_,Sr2_,Cl,SO4_,HCO3_,CO2_mol,$L$38)</f>
        <v>-8.0096645521398617</v>
      </c>
      <c r="W44" s="27">
        <f t="array" ref="W44">[1]!unf_fa_scale_SI(W$41,$M44,q_liq,fw,rp_m3m3,NaK,Ca2_,Mg2_,Ba2_,Sr2_,Cl,SO4_,HCO3_,CO2_mol,$L$38)</f>
        <v>-8.186652413038022</v>
      </c>
      <c r="X44" s="27">
        <f t="array" ref="X44">[1]!unf_fa_scale_SI(X$41,$M44,q_liq,fw,rp_m3m3,NaK,Ca2_,Mg2_,Ba2_,Sr2_,Cl,SO4_,HCO3_,CO2_mol,$L$38)</f>
        <v>-8.3646710774995263</v>
      </c>
      <c r="Y44" s="27">
        <f t="array" ref="Y44">[1]!unf_fa_scale_SI(Y$41,$M44,q_liq,fw,rp_m3m3,NaK,Ca2_,Mg2_,Ba2_,Sr2_,Cl,SO4_,HCO3_,CO2_mol,$L$38)</f>
        <v>-8.543638201169113</v>
      </c>
      <c r="Z44" s="27">
        <f t="array" ref="Z44">[1]!unf_fa_scale_SI(Z$41,$M44,q_liq,fw,rp_m3m3,NaK,Ca2_,Mg2_,Ba2_,Sr2_,Cl,SO4_,HCO3_,CO2_mol,$L$38)</f>
        <v>-8.7236360728336635</v>
      </c>
      <c r="AA44" s="27">
        <f t="array" ref="AA44">[1]!unf_fa_scale_SI(AA$41,$M44,q_liq,fw,rp_m3m3,NaK,Ca2_,Mg2_,Ba2_,Sr2_,Cl,SO4_,HCO3_,CO2_mol,$L$38)</f>
        <v>-8.9051094047297408</v>
      </c>
      <c r="AB44" s="27">
        <f t="array" ref="AB44">[1]!unf_fa_scale_SI(AB$41,$M44,q_liq,fw,rp_m3m3,NaK,Ca2_,Mg2_,Ba2_,Sr2_,Cl,SO4_,HCO3_,CO2_mol,$L$38)</f>
        <v>-9.0890469120799811</v>
      </c>
      <c r="AC44" s="28">
        <f t="array" ref="AC44">[1]!unf_fa_scale_SI(AC$41,$M44,q_liq,fw,rp_m3m3,NaK,Ca2_,Mg2_,Ba2_,Sr2_,Cl,SO4_,HCO3_,CO2_mol,$L$38)</f>
        <v>-9.2772379103231479</v>
      </c>
    </row>
    <row r="45" spans="12:29" x14ac:dyDescent="0.2">
      <c r="L45" s="36"/>
      <c r="M45" s="26">
        <v>15</v>
      </c>
      <c r="N45" s="40">
        <f t="array" ref="N45">[1]!unf_fa_scale_SI(N$41,$M45,q_liq,fw,rp_m3m3,NaK,Ca2_,Mg2_,Ba2_,Sr2_,Cl,SO4_,HCO3_,CO2_mol,$L$38)</f>
        <v>-6.5059610253384452</v>
      </c>
      <c r="O45" s="27">
        <f t="array" ref="O45">[1]!unf_fa_scale_SI(O$41,$M45,q_liq,fw,rp_m3m3,NaK,Ca2_,Mg2_,Ba2_,Sr2_,Cl,SO4_,HCO3_,CO2_mol,$L$38)</f>
        <v>-6.6748878088266421</v>
      </c>
      <c r="P45" s="27">
        <f t="array" ref="P45">[1]!unf_fa_scale_SI(P$41,$M45,q_liq,fw,rp_m3m3,NaK,Ca2_,Mg2_,Ba2_,Sr2_,Cl,SO4_,HCO3_,CO2_mol,$L$38)</f>
        <v>-6.8447157869536124</v>
      </c>
      <c r="Q45" s="27">
        <f t="array" ref="Q45">[1]!unf_fa_scale_SI(Q$41,$M45,q_liq,fw,rp_m3m3,NaK,Ca2_,Mg2_,Ba2_,Sr2_,Cl,SO4_,HCO3_,CO2_mol,$L$38)</f>
        <v>-7.0156082973091847</v>
      </c>
      <c r="R45" s="27">
        <f t="array" ref="R45">[1]!unf_fa_scale_SI(R$41,$M45,q_liq,fw,rp_m3m3,NaK,Ca2_,Mg2_,Ba2_,Sr2_,Cl,SO4_,HCO3_,CO2_mol,$L$38)</f>
        <v>-7.1877510316195314</v>
      </c>
      <c r="S45" s="27">
        <f t="array" ref="S45">[1]!unf_fa_scale_SI(S$41,$M45,q_liq,fw,rp_m3m3,NaK,Ca2_,Mg2_,Ba2_,Sr2_,Cl,SO4_,HCO3_,CO2_mol,$L$38)</f>
        <v>-7.3613510176179071</v>
      </c>
      <c r="T45" s="27">
        <f t="array" ref="T45">[1]!unf_fa_scale_SI(T$41,$M45,q_liq,fw,rp_m3m3,NaK,Ca2_,Mg2_,Ba2_,Sr2_,Cl,SO4_,HCO3_,CO2_mol,$L$38)</f>
        <v>-7.5366325488488988</v>
      </c>
      <c r="U45" s="27">
        <f t="array" ref="U45">[1]!unf_fa_scale_SI(U$41,$M45,q_liq,fw,rp_m3m3,NaK,Ca2_,Mg2_,Ba2_,Sr2_,Cl,SO4_,HCO3_,CO2_mol,$L$38)</f>
        <v>-7.7138278748679072</v>
      </c>
      <c r="V45" s="27">
        <f t="array" ref="V45">[1]!unf_fa_scale_SI(V$41,$M45,q_liq,fw,rp_m3m3,NaK,Ca2_,Mg2_,Ba2_,Sr2_,Cl,SO4_,HCO3_,CO2_mol,$L$38)</f>
        <v>-7.8931589068030217</v>
      </c>
      <c r="W45" s="27">
        <f t="array" ref="W45">[1]!unf_fa_scale_SI(W$41,$M45,q_liq,fw,rp_m3m3,NaK,Ca2_,Mg2_,Ba2_,Sr2_,Cl,SO4_,HCO3_,CO2_mol,$L$38)</f>
        <v>-8.0748031545951022</v>
      </c>
      <c r="X45" s="27">
        <f t="array" ref="X45">[1]!unf_fa_scale_SI(X$41,$M45,q_liq,fw,rp_m3m3,NaK,Ca2_,Mg2_,Ba2_,Sr2_,Cl,SO4_,HCO3_,CO2_mol,$L$38)</f>
        <v>-8.2588310064172532</v>
      </c>
      <c r="Y45" s="27">
        <f t="array" ref="Y45">[1]!unf_fa_scale_SI(Y$41,$M45,q_liq,fw,rp_m3m3,NaK,Ca2_,Mg2_,Ba2_,Sr2_,Cl,SO4_,HCO3_,CO2_mol,$L$38)</f>
        <v>-8.4450904297079514</v>
      </c>
      <c r="Z45" s="27">
        <f t="array" ref="Z45">[1]!unf_fa_scale_SI(Z$41,$M45,q_liq,fw,rp_m3m3,NaK,Ca2_,Mg2_,Ba2_,Sr2_,Cl,SO4_,HCO3_,CO2_mol,$L$38)</f>
        <v>-8.6330044484298973</v>
      </c>
      <c r="AA45" s="27">
        <f t="array" ref="AA45">[1]!unf_fa_scale_SI(AA$41,$M45,q_liq,fw,rp_m3m3,NaK,Ca2_,Mg2_,Ba2_,Sr2_,Cl,SO4_,HCO3_,CO2_mol,$L$38)</f>
        <v>-8.8212850310475694</v>
      </c>
      <c r="AB45" s="27">
        <f t="array" ref="AB45">[1]!unf_fa_scale_SI(AB$41,$M45,q_liq,fw,rp_m3m3,NaK,Ca2_,Mg2_,Ba2_,Sr2_,Cl,SO4_,HCO3_,CO2_mol,$L$38)</f>
        <v>-9.0078516236590183</v>
      </c>
      <c r="AC45" s="28">
        <f t="array" ref="AC45">[1]!unf_fa_scale_SI(AC$41,$M45,q_liq,fw,rp_m3m3,NaK,Ca2_,Mg2_,Ba2_,Sr2_,Cl,SO4_,HCO3_,CO2_mol,$L$38)</f>
        <v>-9.1911652505009513</v>
      </c>
    </row>
    <row r="46" spans="12:29" x14ac:dyDescent="0.2">
      <c r="L46" s="36"/>
      <c r="M46" s="26">
        <v>20</v>
      </c>
      <c r="N46" s="40">
        <f t="array" ref="N46">[1]!unf_fa_scale_SI(N$41,$M46,q_liq,fw,rp_m3m3,NaK,Ca2_,Mg2_,Ba2_,Sr2_,Cl,SO4_,HCO3_,CO2_mol,$L$38)</f>
        <v>-6.3777823997157963</v>
      </c>
      <c r="O46" s="27">
        <f t="array" ref="O46">[1]!unf_fa_scale_SI(O$41,$M46,q_liq,fw,rp_m3m3,NaK,Ca2_,Mg2_,Ba2_,Sr2_,Cl,SO4_,HCO3_,CO2_mol,$L$38)</f>
        <v>-6.547013295696436</v>
      </c>
      <c r="P46" s="27">
        <f t="array" ref="P46">[1]!unf_fa_scale_SI(P$41,$M46,q_liq,fw,rp_m3m3,NaK,Ca2_,Mg2_,Ba2_,Sr2_,Cl,SO4_,HCO3_,CO2_mol,$L$38)</f>
        <v>-6.7172609618198305</v>
      </c>
      <c r="Q46" s="27">
        <f t="array" ref="Q46">[1]!unf_fa_scale_SI(Q$41,$M46,q_liq,fw,rp_m3m3,NaK,Ca2_,Mg2_,Ba2_,Sr2_,Cl,SO4_,HCO3_,CO2_mol,$L$38)</f>
        <v>-6.8887353928357351</v>
      </c>
      <c r="R46" s="27">
        <f t="array" ref="R46">[1]!unf_fa_scale_SI(R$41,$M46,q_liq,fw,rp_m3m3,NaK,Ca2_,Mg2_,Ba2_,Sr2_,Cl,SO4_,HCO3_,CO2_mol,$L$38)</f>
        <v>-7.061687503634797</v>
      </c>
      <c r="S46" s="27">
        <f t="array" ref="S46">[1]!unf_fa_scale_SI(S$41,$M46,q_liq,fw,rp_m3m3,NaK,Ca2_,Mg2_,Ba2_,Sr2_,Cl,SO4_,HCO3_,CO2_mol,$L$38)</f>
        <v>-7.2364143468510811</v>
      </c>
      <c r="T46" s="27">
        <f t="array" ref="T46">[1]!unf_fa_scale_SI(T$41,$M46,q_liq,fw,rp_m3m3,NaK,Ca2_,Mg2_,Ba2_,Sr2_,Cl,SO4_,HCO3_,CO2_mol,$L$38)</f>
        <v>-7.4132617485993064</v>
      </c>
      <c r="U46" s="27">
        <f t="array" ref="U46">[1]!unf_fa_scale_SI(U$41,$M46,q_liq,fw,rp_m3m3,NaK,Ca2_,Mg2_,Ba2_,Sr2_,Cl,SO4_,HCO3_,CO2_mol,$L$38)</f>
        <v>-7.5926197326575755</v>
      </c>
      <c r="V46" s="27">
        <f t="array" ref="V46">[1]!unf_fa_scale_SI(V$41,$M46,q_liq,fw,rp_m3m3,NaK,Ca2_,Mg2_,Ba2_,Sr2_,Cl,SO4_,HCO3_,CO2_mol,$L$38)</f>
        <v>-7.7749005615010214</v>
      </c>
      <c r="W46" s="27">
        <f t="array" ref="W46">[1]!unf_fa_scale_SI(W$41,$M46,q_liq,fw,rp_m3m3,NaK,Ca2_,Mg2_,Ba2_,Sr2_,Cl,SO4_,HCO3_,CO2_mol,$L$38)</f>
        <v>-7.9604777632610277</v>
      </c>
      <c r="X46" s="27">
        <f t="array" ref="X46">[1]!unf_fa_scale_SI(X$41,$M46,q_liq,fw,rp_m3m3,NaK,Ca2_,Mg2_,Ba2_,Sr2_,Cl,SO4_,HCO3_,CO2_mol,$L$38)</f>
        <v>-8.1495426999159477</v>
      </c>
      <c r="Y46" s="27">
        <f t="array" ref="Y46">[1]!unf_fa_scale_SI(Y$41,$M46,q_liq,fw,rp_m3m3,NaK,Ca2_,Mg2_,Ba2_,Sr2_,Cl,SO4_,HCO3_,CO2_mol,$L$38)</f>
        <v>-8.3418021885675966</v>
      </c>
      <c r="Z46" s="27">
        <f t="array" ref="Z46">[1]!unf_fa_scale_SI(Z$41,$M46,q_liq,fw,rp_m3m3,NaK,Ca2_,Mg2_,Ba2_,Sr2_,Cl,SO4_,HCO3_,CO2_mol,$L$38)</f>
        <v>-8.5359274766169904</v>
      </c>
      <c r="AA46" s="27">
        <f t="array" ref="AA46">[1]!unf_fa_scale_SI(AA$41,$M46,q_liq,fw,rp_m3m3,NaK,Ca2_,Mg2_,Ba2_,Sr2_,Cl,SO4_,HCO3_,CO2_mol,$L$38)</f>
        <v>-8.7288321503392332</v>
      </c>
      <c r="AB46" s="27">
        <f t="array" ref="AB46">[1]!unf_fa_scale_SI(AB$41,$M46,q_liq,fw,rp_m3m3,NaK,Ca2_,Mg2_,Ba2_,Sr2_,Cl,SO4_,HCO3_,CO2_mol,$L$38)</f>
        <v>-8.9156431642268608</v>
      </c>
      <c r="AC46" s="28">
        <f t="array" ref="AC46">[1]!unf_fa_scale_SI(AC$41,$M46,q_liq,fw,rp_m3m3,NaK,Ca2_,Mg2_,Ba2_,Sr2_,Cl,SO4_,HCO3_,CO2_mol,$L$38)</f>
        <v>-9.0928373171921297</v>
      </c>
    </row>
    <row r="47" spans="12:29" x14ac:dyDescent="0.2">
      <c r="L47" s="36"/>
      <c r="M47" s="26">
        <v>25</v>
      </c>
      <c r="N47" s="40">
        <f t="array" ref="N47">[1]!unf_fa_scale_SI(N$41,$M47,q_liq,fw,rp_m3m3,NaK,Ca2_,Mg2_,Ba2_,Sr2_,Cl,SO4_,HCO3_,CO2_mol,$L$38)</f>
        <v>-6.2496505884159825</v>
      </c>
      <c r="O47" s="27">
        <f t="array" ref="O47">[1]!unf_fa_scale_SI(O$41,$M47,q_liq,fw,rp_m3m3,NaK,Ca2_,Mg2_,Ba2_,Sr2_,Cl,SO4_,HCO3_,CO2_mol,$L$38)</f>
        <v>-6.4191490639631601</v>
      </c>
      <c r="P47" s="27">
        <f t="array" ref="P47">[1]!unf_fa_scale_SI(P$41,$M47,q_liq,fw,rp_m3m3,NaK,Ca2_,Mg2_,Ba2_,Sr2_,Cl,SO4_,HCO3_,CO2_mol,$L$38)</f>
        <v>-6.5897658383206421</v>
      </c>
      <c r="Q47" s="27">
        <f t="array" ref="Q47">[1]!unf_fa_scale_SI(Q$41,$M47,q_liq,fw,rp_m3m3,NaK,Ca2_,Mg2_,Ba2_,Sr2_,Cl,SO4_,HCO3_,CO2_mol,$L$38)</f>
        <v>-6.7617518789433753</v>
      </c>
      <c r="R47" s="27">
        <f t="array" ref="R47">[1]!unf_fa_scale_SI(R$41,$M47,q_liq,fw,rp_m3m3,NaK,Ca2_,Mg2_,Ba2_,Sr2_,Cl,SO4_,HCO3_,CO2_mol,$L$38)</f>
        <v>-6.9354153939109269</v>
      </c>
      <c r="S47" s="27">
        <f t="array" ref="S47">[1]!unf_fa_scale_SI(S$41,$M47,q_liq,fw,rp_m3m3,NaK,Ca2_,Mg2_,Ba2_,Sr2_,Cl,SO4_,HCO3_,CO2_mol,$L$38)</f>
        <v>-7.1111325383952346</v>
      </c>
      <c r="T47" s="27">
        <f t="array" ref="T47">[1]!unf_fa_scale_SI(T$41,$M47,q_liq,fw,rp_m3m3,NaK,Ca2_,Mg2_,Ba2_,Sr2_,Cl,SO4_,HCO3_,CO2_mol,$L$38)</f>
        <v>-7.2893559201743638</v>
      </c>
      <c r="U47" s="27">
        <f t="array" ref="U47">[1]!unf_fa_scale_SI(U$41,$M47,q_liq,fw,rp_m3m3,NaK,Ca2_,Mg2_,Ba2_,Sr2_,Cl,SO4_,HCO3_,CO2_mol,$L$38)</f>
        <v>-7.4706139827308986</v>
      </c>
      <c r="V47" s="27">
        <f t="array" ref="V47">[1]!unf_fa_scale_SI(V$41,$M47,q_liq,fw,rp_m3m3,NaK,Ca2_,Mg2_,Ba2_,Sr2_,Cl,SO4_,HCO3_,CO2_mol,$L$38)</f>
        <v>-7.6554849268808622</v>
      </c>
      <c r="W47" s="27">
        <f t="array" ref="W47">[1]!unf_fa_scale_SI(W$41,$M47,q_liq,fw,rp_m3m3,NaK,Ca2_,Mg2_,Ba2_,Sr2_,Cl,SO4_,HCO3_,CO2_mol,$L$38)</f>
        <v>-7.8445088772929426</v>
      </c>
      <c r="X47" s="27">
        <f t="array" ref="X47">[1]!unf_fa_scale_SI(X$41,$M47,q_liq,fw,rp_m3m3,NaK,Ca2_,Mg2_,Ba2_,Sr2_,Cl,SO4_,HCO3_,CO2_mol,$L$38)</f>
        <v>-8.0379637296593742</v>
      </c>
      <c r="Y47" s="27">
        <f t="array" ref="Y47">[1]!unf_fa_scale_SI(Y$41,$M47,q_liq,fw,rp_m3m3,NaK,Ca2_,Mg2_,Ba2_,Sr2_,Cl,SO4_,HCO3_,CO2_mol,$L$38)</f>
        <v>-8.2353737608218349</v>
      </c>
      <c r="Z47" s="27">
        <f t="array" ref="Z47">[1]!unf_fa_scale_SI(Z$41,$M47,q_liq,fw,rp_m3m3,NaK,Ca2_,Mg2_,Ba2_,Sr2_,Cl,SO4_,HCO3_,CO2_mol,$L$38)</f>
        <v>-8.4346104451579755</v>
      </c>
      <c r="AA47" s="27">
        <f t="array" ref="AA47">[1]!unf_fa_scale_SI(AA$41,$M47,q_liq,fw,rp_m3m3,NaK,Ca2_,Mg2_,Ba2_,Sr2_,Cl,SO4_,HCO3_,CO2_mol,$L$38)</f>
        <v>-8.6307906963573267</v>
      </c>
      <c r="AB47" s="27">
        <f t="array" ref="AB47">[1]!unf_fa_scale_SI(AB$41,$M47,q_liq,fw,rp_m3m3,NaK,Ca2_,Mg2_,Ba2_,Sr2_,Cl,SO4_,HCO3_,CO2_mol,$L$38)</f>
        <v>-8.8165785735969777</v>
      </c>
      <c r="AC47" s="28">
        <f t="array" ref="AC47">[1]!unf_fa_scale_SI(AC$41,$M47,q_liq,fw,rp_m3m3,NaK,Ca2_,Mg2_,Ba2_,Sr2_,Cl,SO4_,HCO3_,CO2_mol,$L$38)</f>
        <v>-8.9875275095547487</v>
      </c>
    </row>
    <row r="48" spans="12:29" x14ac:dyDescent="0.2">
      <c r="L48" s="36"/>
      <c r="M48" s="26">
        <v>30</v>
      </c>
      <c r="N48" s="40">
        <f t="array" ref="N48">[1]!unf_fa_scale_SI(N$41,$M48,q_liq,fw,rp_m3m3,NaK,Ca2_,Mg2_,Ba2_,Sr2_,Cl,SO4_,HCO3_,CO2_mol,$L$38)</f>
        <v>-6.1215893333652636</v>
      </c>
      <c r="O48" s="27">
        <f t="array" ref="O48">[1]!unf_fa_scale_SI(O$41,$M48,q_liq,fw,rp_m3m3,NaK,Ca2_,Mg2_,Ba2_,Sr2_,Cl,SO4_,HCO3_,CO2_mol,$L$38)</f>
        <v>-6.2913276648010257</v>
      </c>
      <c r="P48" s="27">
        <f t="array" ref="P48">[1]!unf_fa_scale_SI(P$41,$M48,q_liq,fw,rp_m3m3,NaK,Ca2_,Mg2_,Ba2_,Sr2_,Cl,SO4_,HCO3_,CO2_mol,$L$38)</f>
        <v>-6.4622753434654205</v>
      </c>
      <c r="Q48" s="27">
        <f t="array" ref="Q48">[1]!unf_fa_scale_SI(Q$41,$M48,q_liq,fw,rp_m3m3,NaK,Ca2_,Mg2_,Ba2_,Sr2_,Cl,SO4_,HCO3_,CO2_mol,$L$38)</f>
        <v>-6.6347201177275874</v>
      </c>
      <c r="R48" s="27">
        <f t="array" ref="R48">[1]!unf_fa_scale_SI(R$41,$M48,q_liq,fw,rp_m3m3,NaK,Ca2_,Mg2_,Ba2_,Sr2_,Cl,SO4_,HCO3_,CO2_mol,$L$38)</f>
        <v>-6.8090216594267075</v>
      </c>
      <c r="S48" s="27">
        <f t="array" ref="S48">[1]!unf_fa_scale_SI(S$41,$M48,q_liq,fw,rp_m3m3,NaK,Ca2_,Mg2_,Ba2_,Sr2_,Cl,SO4_,HCO3_,CO2_mol,$L$38)</f>
        <v>-6.9856272282922385</v>
      </c>
      <c r="T48" s="27">
        <f t="array" ref="T48">[1]!unf_fa_scale_SI(T$41,$M48,q_liq,fw,rp_m3m3,NaK,Ca2_,Mg2_,Ba2_,Sr2_,Cl,SO4_,HCO3_,CO2_mol,$L$38)</f>
        <v>-7.1650854717899293</v>
      </c>
      <c r="U48" s="27">
        <f t="array" ref="U48">[1]!unf_fa_scale_SI(U$41,$M48,q_liq,fw,rp_m3m3,NaK,Ca2_,Mg2_,Ba2_,Sr2_,Cl,SO4_,HCO3_,CO2_mol,$L$38)</f>
        <v>-7.3480492826595887</v>
      </c>
      <c r="V48" s="27">
        <f t="array" ref="V48">[1]!unf_fa_scale_SI(V$41,$M48,q_liq,fw,rp_m3m3,NaK,Ca2_,Mg2_,Ba2_,Sr2_,Cl,SO4_,HCO3_,CO2_mol,$L$38)</f>
        <v>-7.5352454484427076</v>
      </c>
      <c r="W48" s="27">
        <f t="array" ref="W48">[1]!unf_fa_scale_SI(W$41,$M48,q_liq,fw,rp_m3m3,NaK,Ca2_,Mg2_,Ba2_,Sr2_,Cl,SO4_,HCO3_,CO2_mol,$L$38)</f>
        <v>-7.7273603555215375</v>
      </c>
      <c r="X48" s="27">
        <f t="array" ref="X48">[1]!unf_fa_scale_SI(X$41,$M48,q_liq,fw,rp_m3m3,NaK,Ca2_,Mg2_,Ba2_,Sr2_,Cl,SO4_,HCO3_,CO2_mol,$L$38)</f>
        <v>-7.9247357367441138</v>
      </c>
      <c r="Y48" s="27">
        <f t="array" ref="Y48">[1]!unf_fa_scale_SI(Y$41,$M48,q_liq,fw,rp_m3m3,NaK,Ca2_,Mg2_,Ba2_,Sr2_,Cl,SO4_,HCO3_,CO2_mol,$L$38)</f>
        <v>-8.1266878800275375</v>
      </c>
      <c r="Z48" s="27">
        <f t="array" ref="Z48">[1]!unf_fa_scale_SI(Z$41,$M48,q_liq,fw,rp_m3m3,NaK,Ca2_,Mg2_,Ba2_,Sr2_,Cl,SO4_,HCO3_,CO2_mol,$L$38)</f>
        <v>-8.3302637787697886</v>
      </c>
      <c r="AA48" s="27">
        <f t="array" ref="AA48">[1]!unf_fa_scale_SI(AA$41,$M48,q_liq,fw,rp_m3m3,NaK,Ca2_,Mg2_,Ba2_,Sr2_,Cl,SO4_,HCO3_,CO2_mol,$L$38)</f>
        <v>-8.5288171264177315</v>
      </c>
      <c r="AB48" s="27">
        <f t="array" ref="AB48">[1]!unf_fa_scale_SI(AB$41,$M48,q_liq,fw,rp_m3m3,NaK,Ca2_,Mg2_,Ba2_,Sr2_,Cl,SO4_,HCO3_,CO2_mol,$L$38)</f>
        <v>-8.7128758487582321</v>
      </c>
      <c r="AC48" s="28">
        <f t="array" ref="AC48">[1]!unf_fa_scale_SI(AC$41,$M48,q_liq,fw,rp_m3m3,NaK,Ca2_,Mg2_,Ba2_,Sr2_,Cl,SO4_,HCO3_,CO2_mol,$L$38)</f>
        <v>-8.8778694111361141</v>
      </c>
    </row>
    <row r="49" spans="12:52" x14ac:dyDescent="0.2">
      <c r="L49" s="36"/>
      <c r="M49" s="26">
        <v>35</v>
      </c>
      <c r="N49" s="40">
        <f t="array" ref="N49">[1]!unf_fa_scale_SI(N$41,$M49,q_liq,fw,rp_m3m3,NaK,Ca2_,Mg2_,Ba2_,Sr2_,Cl,SO4_,HCO3_,CO2_mol,$L$38)</f>
        <v>-5.99361434914419</v>
      </c>
      <c r="O49" s="27">
        <f t="array" ref="O49">[1]!unf_fa_scale_SI(O$41,$M49,q_liq,fw,rp_m3m3,NaK,Ca2_,Mg2_,Ba2_,Sr2_,Cl,SO4_,HCO3_,CO2_mol,$L$38)</f>
        <v>-6.1635704742325821</v>
      </c>
      <c r="P49" s="27">
        <f t="array" ref="P49">[1]!unf_fa_scale_SI(P$41,$M49,q_liq,fw,rp_m3m3,NaK,Ca2_,Mg2_,Ba2_,Sr2_,Cl,SO4_,HCO3_,CO2_mol,$L$38)</f>
        <v>-6.3348187621574148</v>
      </c>
      <c r="Q49" s="27">
        <f t="array" ref="Q49">[1]!unf_fa_scale_SI(Q$41,$M49,q_liq,fw,rp_m3m3,NaK,Ca2_,Mg2_,Ba2_,Sr2_,Cl,SO4_,HCO3_,CO2_mol,$L$38)</f>
        <v>-6.507680479169708</v>
      </c>
      <c r="R49" s="27">
        <f t="array" ref="R49">[1]!unf_fa_scale_SI(R$41,$M49,q_liq,fw,rp_m3m3,NaK,Ca2_,Mg2_,Ba2_,Sr2_,Cl,SO4_,HCO3_,CO2_mol,$L$38)</f>
        <v>-6.6825622343220541</v>
      </c>
      <c r="S49" s="27">
        <f t="array" ref="S49">[1]!unf_fa_scale_SI(S$41,$M49,q_liq,fw,rp_m3m3,NaK,Ca2_,Mg2_,Ba2_,Sr2_,Cl,SO4_,HCO3_,CO2_mol,$L$38)</f>
        <v>-6.8599762013272114</v>
      </c>
      <c r="T49" s="27">
        <f t="array" ref="T49">[1]!unf_fa_scale_SI(T$41,$M49,q_liq,fw,rp_m3m3,NaK,Ca2_,Mg2_,Ba2_,Sr2_,Cl,SO4_,HCO3_,CO2_mol,$L$38)</f>
        <v>-7.0405587922998407</v>
      </c>
      <c r="U49" s="27">
        <f t="array" ref="U49">[1]!unf_fa_scale_SI(U$41,$M49,q_liq,fw,rp_m3m3,NaK,Ca2_,Mg2_,Ba2_,Sr2_,Cl,SO4_,HCO3_,CO2_mol,$L$38)</f>
        <v>-7.2250766734268508</v>
      </c>
      <c r="V49" s="27">
        <f t="array" ref="V49">[1]!unf_fa_scale_SI(V$41,$M49,q_liq,fw,rp_m3m3,NaK,Ca2_,Mg2_,Ba2_,Sr2_,Cl,SO4_,HCO3_,CO2_mol,$L$38)</f>
        <v>-7.4143921573010134</v>
      </c>
      <c r="W49" s="27">
        <f t="array" ref="W49">[1]!unf_fa_scale_SI(W$41,$M49,q_liq,fw,rp_m3m3,NaK,Ca2_,Mg2_,Ba2_,Sr2_,Cl,SO4_,HCO3_,CO2_mol,$L$38)</f>
        <v>-7.6093230314969711</v>
      </c>
      <c r="X49" s="27">
        <f t="array" ref="X49">[1]!unf_fa_scale_SI(X$41,$M49,q_liq,fw,rp_m3m3,NaK,Ca2_,Mg2_,Ba2_,Sr2_,Cl,SO4_,HCO3_,CO2_mol,$L$38)</f>
        <v>-7.8102591942737796</v>
      </c>
      <c r="Y49" s="27">
        <f t="array" ref="Y49">[1]!unf_fa_scale_SI(Y$41,$M49,q_liq,fw,rp_m3m3,NaK,Ca2_,Mg2_,Ba2_,Sr2_,Cl,SO4_,HCO3_,CO2_mol,$L$38)</f>
        <v>-8.0162929903250824</v>
      </c>
      <c r="Z49" s="27">
        <f t="array" ref="Z49">[1]!unf_fa_scale_SI(Z$41,$M49,q_liq,fw,rp_m3m3,NaK,Ca2_,Mg2_,Ba2_,Sr2_,Cl,SO4_,HCO3_,CO2_mol,$L$38)</f>
        <v>-8.2236358095186972</v>
      </c>
      <c r="AA49" s="27">
        <f t="array" ref="AA49">[1]!unf_fa_scale_SI(AA$41,$M49,q_liq,fw,rp_m3m3,NaK,Ca2_,Mg2_,Ba2_,Sr2_,Cl,SO4_,HCO3_,CO2_mol,$L$38)</f>
        <v>-8.4239272977650987</v>
      </c>
      <c r="AB49" s="27">
        <f t="array" ref="AB49">[1]!unf_fa_scale_SI(AB$41,$M49,q_liq,fw,rp_m3m3,NaK,Ca2_,Mg2_,Ba2_,Sr2_,Cl,SO4_,HCO3_,CO2_mol,$L$38)</f>
        <v>-8.6058632274588671</v>
      </c>
      <c r="AC49" s="28">
        <f t="array" ref="AC49">[1]!unf_fa_scale_SI(AC$41,$M49,q_liq,fw,rp_m3m3,NaK,Ca2_,Mg2_,Ba2_,Sr2_,Cl,SO4_,HCO3_,CO2_mol,$L$38)</f>
        <v>-8.7653383808790633</v>
      </c>
    </row>
    <row r="50" spans="12:52" x14ac:dyDescent="0.2">
      <c r="L50" s="36"/>
      <c r="M50" s="26">
        <v>40</v>
      </c>
      <c r="N50" s="40">
        <f t="array" ref="N50">[1]!unf_fa_scale_SI(N$41,$M50,q_liq,fw,rp_m3m3,NaK,Ca2_,Mg2_,Ba2_,Sr2_,Cl,SO4_,HCO3_,CO2_mol,$L$38)</f>
        <v>-5.8657367602717869</v>
      </c>
      <c r="O50" s="27">
        <f t="array" ref="O50">[1]!unf_fa_scale_SI(O$41,$M50,q_liq,fw,rp_m3m3,NaK,Ca2_,Mg2_,Ba2_,Sr2_,Cl,SO4_,HCO3_,CO2_mol,$L$38)</f>
        <v>-6.0358925325252102</v>
      </c>
      <c r="P50" s="27">
        <f t="array" ref="P50">[1]!unf_fa_scale_SI(P$41,$M50,q_liq,fw,rp_m3m3,NaK,Ca2_,Mg2_,Ba2_,Sr2_,Cl,SO4_,HCO3_,CO2_mol,$L$38)</f>
        <v>-6.2074165797951943</v>
      </c>
      <c r="Q50" s="27">
        <f t="array" ref="Q50">[1]!unf_fa_scale_SI(Q$41,$M50,q_liq,fw,rp_m3m3,NaK,Ca2_,Mg2_,Ba2_,Sr2_,Cl,SO4_,HCO3_,CO2_mol,$L$38)</f>
        <v>-6.3806610483862176</v>
      </c>
      <c r="R50" s="27">
        <f t="array" ref="R50">[1]!unf_fa_scale_SI(R$41,$M50,q_liq,fw,rp_m3m3,NaK,Ca2_,Mg2_,Ba2_,Sr2_,Cl,SO4_,HCO3_,CO2_mol,$L$38)</f>
        <v>-6.556075832590432</v>
      </c>
      <c r="S50" s="27">
        <f t="array" ref="S50">[1]!unf_fa_scale_SI(S$41,$M50,q_liq,fw,rp_m3m3,NaK,Ca2_,Mg2_,Ba2_,Sr2_,Cl,SO4_,HCO3_,CO2_mol,$L$38)</f>
        <v>-6.7342330387627181</v>
      </c>
      <c r="T50" s="27">
        <f t="array" ref="T50">[1]!unf_fa_scale_SI(T$41,$M50,q_liq,fw,rp_m3m3,NaK,Ca2_,Mg2_,Ba2_,Sr2_,Cl,SO4_,HCO3_,CO2_mol,$L$38)</f>
        <v>-6.91585021222481</v>
      </c>
      <c r="U50" s="27">
        <f t="array" ref="U50">[1]!unf_fa_scale_SI(U$41,$M50,q_liq,fw,rp_m3m3,NaK,Ca2_,Mg2_,Ba2_,Sr2_,Cl,SO4_,HCO3_,CO2_mol,$L$38)</f>
        <v>-7.1017992995646537</v>
      </c>
      <c r="V50" s="27">
        <f t="array" ref="V50">[1]!unf_fa_scale_SI(V$41,$M50,q_liq,fw,rp_m3m3,NaK,Ca2_,Mg2_,Ba2_,Sr2_,Cl,SO4_,HCO3_,CO2_mol,$L$38)</f>
        <v>-7.2930678974355914</v>
      </c>
      <c r="W50" s="27">
        <f t="array" ref="W50">[1]!unf_fa_scale_SI(W$41,$M50,q_liq,fw,rp_m3m3,NaK,Ca2_,Mg2_,Ba2_,Sr2_,Cl,SO4_,HCO3_,CO2_mol,$L$38)</f>
        <v>-7.4905939001659059</v>
      </c>
      <c r="X50" s="27">
        <f t="array" ref="X50">[1]!unf_fa_scale_SI(X$41,$M50,q_liq,fw,rp_m3m3,NaK,Ca2_,Mg2_,Ba2_,Sr2_,Cl,SO4_,HCO3_,CO2_mol,$L$38)</f>
        <v>-7.6948042374194934</v>
      </c>
      <c r="Y50" s="27">
        <f t="array" ref="Y50">[1]!unf_fa_scale_SI(Y$41,$M50,q_liq,fw,rp_m3m3,NaK,Ca2_,Mg2_,Ba2_,Sr2_,Cl,SO4_,HCO3_,CO2_mol,$L$38)</f>
        <v>-7.9045574519719359</v>
      </c>
      <c r="Z50" s="27">
        <f t="array" ref="Z50">[1]!unf_fa_scale_SI(Z$41,$M50,q_liq,fw,rp_m3m3,NaK,Ca2_,Mg2_,Ba2_,Sr2_,Cl,SO4_,HCO3_,CO2_mol,$L$38)</f>
        <v>-8.1152266819373935</v>
      </c>
      <c r="AA50" s="27">
        <f t="array" ref="AA50">[1]!unf_fa_scale_SI(AA$41,$M50,q_liq,fw,rp_m3m3,NaK,Ca2_,Mg2_,Ba2_,Sr2_,Cl,SO4_,HCO3_,CO2_mol,$L$38)</f>
        <v>-8.3167942457493993</v>
      </c>
      <c r="AB50" s="27">
        <f t="array" ref="AB50">[1]!unf_fa_scale_SI(AB$41,$M50,q_liq,fw,rp_m3m3,NaK,Ca2_,Mg2_,Ba2_,Sr2_,Cl,SO4_,HCO3_,CO2_mol,$L$38)</f>
        <v>-8.4963984630672673</v>
      </c>
      <c r="AC50" s="28">
        <f t="array" ref="AC50">[1]!unf_fa_scale_SI(AC$41,$M50,q_liq,fw,rp_m3m3,NaK,Ca2_,Mg2_,Ba2_,Sr2_,Cl,SO4_,HCO3_,CO2_mol,$L$38)</f>
        <v>-8.6508271834768475</v>
      </c>
    </row>
    <row r="51" spans="12:52" x14ac:dyDescent="0.2">
      <c r="L51" s="36"/>
      <c r="M51" s="26">
        <v>45</v>
      </c>
      <c r="N51" s="40">
        <f t="array" ref="N51">[1]!unf_fa_scale_SI(N$41,$M51,q_liq,fw,rp_m3m3,NaK,Ca2_,Mg2_,Ba2_,Sr2_,Cl,SO4_,HCO3_,CO2_mol,$L$38)</f>
        <v>-5.7379648222586299</v>
      </c>
      <c r="O51" s="27">
        <f t="array" ref="O51">[1]!unf_fa_scale_SI(O$41,$M51,q_liq,fw,rp_m3m3,NaK,Ca2_,Mg2_,Ba2_,Sr2_,Cl,SO4_,HCO3_,CO2_mol,$L$38)</f>
        <v>-5.9083049473432654</v>
      </c>
      <c r="P51" s="27">
        <f t="array" ref="P51">[1]!unf_fa_scale_SI(P$41,$M51,q_liq,fw,rp_m3m3,NaK,Ca2_,Mg2_,Ba2_,Sr2_,Cl,SO4_,HCO3_,CO2_mol,$L$38)</f>
        <v>-6.0800838551783452</v>
      </c>
      <c r="Q51" s="27">
        <f t="array" ref="Q51">[1]!unf_fa_scale_SI(Q$41,$M51,q_liq,fw,rp_m3m3,NaK,Ca2_,Mg2_,Ba2_,Sr2_,Cl,SO4_,HCO3_,CO2_mol,$L$38)</f>
        <v>-6.2536823793754595</v>
      </c>
      <c r="R51" s="27">
        <f t="array" ref="R51">[1]!unf_fa_scale_SI(R$41,$M51,q_liq,fw,rp_m3m3,NaK,Ca2_,Mg2_,Ba2_,Sr2_,Cl,SO4_,HCO3_,CO2_mol,$L$38)</f>
        <v>-6.4295906685173803</v>
      </c>
      <c r="S51" s="27">
        <f t="array" ref="S51">[1]!unf_fa_scale_SI(S$41,$M51,q_liq,fw,rp_m3m3,NaK,Ca2_,Mg2_,Ba2_,Sr2_,Cl,SO4_,HCO3_,CO2_mol,$L$38)</f>
        <v>-6.6084366362993441</v>
      </c>
      <c r="T51" s="27">
        <f t="array" ref="T51">[1]!unf_fa_scale_SI(T$41,$M51,q_liq,fw,rp_m3m3,NaK,Ca2_,Mg2_,Ba2_,Sr2_,Cl,SO4_,HCO3_,CO2_mol,$L$38)</f>
        <v>-6.7910134886823359</v>
      </c>
      <c r="U51" s="27">
        <f t="array" ref="U51">[1]!unf_fa_scale_SI(U$41,$M51,q_liq,fw,rp_m3m3,NaK,Ca2_,Mg2_,Ba2_,Sr2_,Cl,SO4_,HCO3_,CO2_mol,$L$38)</f>
        <v>-6.9782914900322455</v>
      </c>
      <c r="V51" s="27">
        <f t="array" ref="V51">[1]!unf_fa_scale_SI(V$41,$M51,q_liq,fw,rp_m3m3,NaK,Ca2_,Mg2_,Ba2_,Sr2_,Cl,SO4_,HCO3_,CO2_mol,$L$38)</f>
        <v>-7.1713752421250403</v>
      </c>
      <c r="W51" s="27">
        <f t="array" ref="W51">[1]!unf_fa_scale_SI(W$41,$M51,q_liq,fw,rp_m3m3,NaK,Ca2_,Mg2_,Ba2_,Sr2_,Cl,SO4_,HCO3_,CO2_mol,$L$38)</f>
        <v>-7.3713139068557858</v>
      </c>
      <c r="X51" s="27">
        <f t="array" ref="X51">[1]!unf_fa_scale_SI(X$41,$M51,q_liq,fw,rp_m3m3,NaK,Ca2_,Mg2_,Ba2_,Sr2_,Cl,SO4_,HCO3_,CO2_mol,$L$38)</f>
        <v>-7.5785634047962649</v>
      </c>
      <c r="Y51" s="27">
        <f t="array" ref="Y51">[1]!unf_fa_scale_SI(Y$41,$M51,q_liq,fw,rp_m3m3,NaK,Ca2_,Mg2_,Ba2_,Sr2_,Cl,SO4_,HCO3_,CO2_mol,$L$38)</f>
        <v>-7.7917427407728237</v>
      </c>
      <c r="Z51" s="27">
        <f t="array" ref="Z51">[1]!unf_fa_scale_SI(Z$41,$M51,q_liq,fw,rp_m3m3,NaK,Ca2_,Mg2_,Ba2_,Sr2_,Cl,SO4_,HCO3_,CO2_mol,$L$38)</f>
        <v>-8.0053896724521536</v>
      </c>
      <c r="AA51" s="27">
        <f t="array" ref="AA51">[1]!unf_fa_scale_SI(AA$41,$M51,q_liq,fw,rp_m3m3,NaK,Ca2_,Mg2_,Ba2_,Sr2_,Cl,SO4_,HCO3_,CO2_mol,$L$38)</f>
        <v>-8.2078889696441344</v>
      </c>
      <c r="AB51" s="27">
        <f t="array" ref="AB51">[1]!unf_fa_scale_SI(AB$41,$M51,q_liq,fw,rp_m3m3,NaK,Ca2_,Mg2_,Ba2_,Sr2_,Cl,SO4_,HCO3_,CO2_mol,$L$38)</f>
        <v>-8.3850660218219506</v>
      </c>
      <c r="AC51" s="28">
        <f t="array" ref="AC51">[1]!unf_fa_scale_SI(AC$41,$M51,q_liq,fw,rp_m3m3,NaK,Ca2_,Mg2_,Ba2_,Sr2_,Cl,SO4_,HCO3_,CO2_mol,$L$38)</f>
        <v>-8.5349073999452258</v>
      </c>
    </row>
    <row r="52" spans="12:52" x14ac:dyDescent="0.2">
      <c r="L52" s="36"/>
      <c r="M52" s="26">
        <v>50</v>
      </c>
      <c r="N52" s="40">
        <f t="array" ref="N52">[1]!unf_fa_scale_SI(N$41,$M52,q_liq,fw,rp_m3m3,NaK,Ca2_,Mg2_,Ba2_,Sr2_,Cl,SO4_,HCO3_,CO2_mol,$L$38)</f>
        <v>-5.6103048806289406</v>
      </c>
      <c r="O52" s="27">
        <f t="array" ref="O52">[1]!unf_fa_scale_SI(O$41,$M52,q_liq,fw,rp_m3m3,NaK,Ca2_,Mg2_,Ba2_,Sr2_,Cl,SO4_,HCO3_,CO2_mol,$L$38)</f>
        <v>-5.7808162233368305</v>
      </c>
      <c r="P52" s="27">
        <f t="array" ref="P52">[1]!unf_fa_scale_SI(P$41,$M52,q_liq,fw,rp_m3m3,NaK,Ca2_,Mg2_,Ba2_,Sr2_,Cl,SO4_,HCO3_,CO2_mol,$L$38)</f>
        <v>-5.9528320745946441</v>
      </c>
      <c r="Q52" s="27">
        <f t="array" ref="Q52">[1]!unf_fa_scale_SI(Q$41,$M52,q_liq,fw,rp_m3m3,NaK,Ca2_,Mg2_,Ba2_,Sr2_,Cl,SO4_,HCO3_,CO2_mol,$L$38)</f>
        <v>-6.1267600930055446</v>
      </c>
      <c r="R52" s="27">
        <f t="array" ref="R52">[1]!unf_fa_scale_SI(R$41,$M52,q_liq,fw,rp_m3m3,NaK,Ca2_,Mg2_,Ba2_,Sr2_,Cl,SO4_,HCO3_,CO2_mol,$L$38)</f>
        <v>-6.3031281104892454</v>
      </c>
      <c r="S52" s="27">
        <f t="array" ref="S52">[1]!unf_fa_scale_SI(S$41,$M52,q_liq,fw,rp_m3m3,NaK,Ca2_,Mg2_,Ba2_,Sr2_,Cl,SO4_,HCO3_,CO2_mol,$L$38)</f>
        <v>-6.4826163550547706</v>
      </c>
      <c r="T52" s="27">
        <f t="array" ref="T52">[1]!unf_fa_scale_SI(T$41,$M52,q_liq,fw,rp_m3m3,NaK,Ca2_,Mg2_,Ba2_,Sr2_,Cl,SO4_,HCO3_,CO2_mol,$L$38)</f>
        <v>-6.6660890733989282</v>
      </c>
      <c r="U52" s="27">
        <f t="array" ref="U52">[1]!unf_fa_scale_SI(U$41,$M52,q_liq,fw,rp_m3m3,NaK,Ca2_,Mg2_,Ba2_,Sr2_,Cl,SO4_,HCO3_,CO2_mol,$L$38)</f>
        <v>-6.8546090048029242</v>
      </c>
      <c r="V52" s="27">
        <f t="array" ref="V52">[1]!unf_fa_scale_SI(V$41,$M52,q_liq,fw,rp_m3m3,NaK,Ca2_,Mg2_,Ba2_,Sr2_,Cl,SO4_,HCO3_,CO2_mol,$L$38)</f>
        <v>-7.0493909009710984</v>
      </c>
      <c r="W52" s="27">
        <f t="array" ref="W52">[1]!unf_fa_scale_SI(W$41,$M52,q_liq,fw,rp_m3m3,NaK,Ca2_,Mg2_,Ba2_,Sr2_,Cl,SO4_,HCO3_,CO2_mol,$L$38)</f>
        <v>-7.2515881139045026</v>
      </c>
      <c r="X52" s="27">
        <f t="array" ref="X52">[1]!unf_fa_scale_SI(X$41,$M52,q_liq,fw,rp_m3m3,NaK,Ca2_,Mg2_,Ba2_,Sr2_,Cl,SO4_,HCO3_,CO2_mol,$L$38)</f>
        <v>-7.4616797089125075</v>
      </c>
      <c r="Y52" s="27">
        <f t="array" ref="Y52">[1]!unf_fa_scale_SI(Y$41,$M52,q_liq,fw,rp_m3m3,NaK,Ca2_,Mg2_,Ba2_,Sr2_,Cl,SO4_,HCO3_,CO2_mol,$L$38)</f>
        <v>-7.6780423123964781</v>
      </c>
      <c r="Z52" s="27">
        <f t="array" ref="Z52">[1]!unf_fa_scale_SI(Z$41,$M52,q_liq,fw,rp_m3m3,NaK,Ca2_,Mg2_,Ba2_,Sr2_,Cl,SO4_,HCO3_,CO2_mol,$L$38)</f>
        <v>-7.8943848687122795</v>
      </c>
      <c r="AA52" s="27">
        <f t="array" ref="AA52">[1]!unf_fa_scale_SI(AA$41,$M52,q_liq,fw,rp_m3m3,NaK,Ca2_,Mg2_,Ba2_,Sr2_,Cl,SO4_,HCO3_,CO2_mol,$L$38)</f>
        <v>-8.0975548650309115</v>
      </c>
      <c r="AB52" s="27">
        <f t="array" ref="AB52">[1]!unf_fa_scale_SI(AB$41,$M52,q_liq,fw,rp_m3m3,NaK,Ca2_,Mg2_,Ba2_,Sr2_,Cl,SO4_,HCO3_,CO2_mol,$L$38)</f>
        <v>-8.2722805866287406</v>
      </c>
      <c r="AC52" s="28">
        <f t="array" ref="AC52">[1]!unf_fa_scale_SI(AC$41,$M52,q_liq,fw,rp_m3m3,NaK,Ca2_,Mg2_,Ba2_,Sr2_,Cl,SO4_,HCO3_,CO2_mol,$L$38)</f>
        <v>-8.4179613135765496</v>
      </c>
    </row>
    <row r="53" spans="12:52" x14ac:dyDescent="0.2">
      <c r="L53" s="36"/>
      <c r="M53" s="26">
        <v>55</v>
      </c>
      <c r="N53" s="40">
        <f t="array" ref="N53">[1]!unf_fa_scale_SI(N$41,$M53,q_liq,fw,rp_m3m3,NaK,Ca2_,Mg2_,Ba2_,Sr2_,Cl,SO4_,HCO3_,CO2_mol,$L$38)</f>
        <v>-5.4827619478865639</v>
      </c>
      <c r="O53" s="27">
        <f t="array" ref="O53">[1]!unf_fa_scale_SI(O$41,$M53,q_liq,fw,rp_m3m3,NaK,Ca2_,Mg2_,Ba2_,Sr2_,Cl,SO4_,HCO3_,CO2_mol,$L$38)</f>
        <v>-5.6534330571608082</v>
      </c>
      <c r="P53" s="27">
        <f t="array" ref="P53">[1]!unf_fa_scale_SI(P$41,$M53,q_liq,fw,rp_m3m3,NaK,Ca2_,Mg2_,Ba2_,Sr2_,Cl,SO4_,HCO3_,CO2_mol,$L$38)</f>
        <v>-5.8256702542351775</v>
      </c>
      <c r="Q53" s="27">
        <f t="array" ref="Q53">[1]!unf_fa_scale_SI(Q$41,$M53,q_liq,fw,rp_m3m3,NaK,Ca2_,Mg2_,Ba2_,Sr2_,Cl,SO4_,HCO3_,CO2_mol,$L$38)</f>
        <v>-5.999906413855002</v>
      </c>
      <c r="R53" s="27">
        <f t="array" ref="R53">[1]!unf_fa_scale_SI(R$41,$M53,q_liq,fw,rp_m3m3,NaK,Ca2_,Mg2_,Ba2_,Sr2_,Cl,SO4_,HCO3_,CO2_mol,$L$38)</f>
        <v>-6.1767048324453935</v>
      </c>
      <c r="S53" s="27">
        <f t="array" ref="S53">[1]!unf_fa_scale_SI(S$41,$M53,q_liq,fw,rp_m3m3,NaK,Ca2_,Mg2_,Ba2_,Sr2_,Cl,SO4_,HCO3_,CO2_mol,$L$38)</f>
        <v>-6.3567950420324904</v>
      </c>
      <c r="T53" s="27">
        <f t="array" ref="T53">[1]!unf_fa_scale_SI(T$41,$M53,q_liq,fw,rp_m3m3,NaK,Ca2_,Mg2_,Ba2_,Sr2_,Cl,SO4_,HCO3_,CO2_mol,$L$38)</f>
        <v>-6.5411083587447338</v>
      </c>
      <c r="U53" s="27">
        <f t="array" ref="U53">[1]!unf_fa_scale_SI(U$41,$M53,q_liq,fw,rp_m3m3,NaK,Ca2_,Mg2_,Ba2_,Sr2_,Cl,SO4_,HCO3_,CO2_mol,$L$38)</f>
        <v>-6.7307950009669728</v>
      </c>
      <c r="V53" s="27">
        <f t="array" ref="V53">[1]!unf_fa_scale_SI(V$41,$M53,q_liq,fw,rp_m3m3,NaK,Ca2_,Mg2_,Ba2_,Sr2_,Cl,SO4_,HCO3_,CO2_mol,$L$38)</f>
        <v>-6.9271740829342132</v>
      </c>
      <c r="W53" s="27">
        <f t="array" ref="W53">[1]!unf_fa_scale_SI(W$41,$M53,q_liq,fw,rp_m3m3,NaK,Ca2_,Mg2_,Ba2_,Sr2_,Cl,SO4_,HCO3_,CO2_mol,$L$38)</f>
        <v>-7.1314973744833994</v>
      </c>
      <c r="X53" s="27">
        <f t="array" ref="X53">[1]!unf_fa_scale_SI(X$41,$M53,q_liq,fw,rp_m3m3,NaK,Ca2_,Mg2_,Ba2_,Sr2_,Cl,SO4_,HCO3_,CO2_mol,$L$38)</f>
        <v>-7.3442628437385764</v>
      </c>
      <c r="Y53" s="27">
        <f t="array" ref="Y53">[1]!unf_fa_scale_SI(Y$41,$M53,q_liq,fw,rp_m3m3,NaK,Ca2_,Mg2_,Ba2_,Sr2_,Cl,SO4_,HCO3_,CO2_mol,$L$38)</f>
        <v>-7.5636039898736955</v>
      </c>
      <c r="Z53" s="27">
        <f t="array" ref="Z53">[1]!unf_fa_scale_SI(Z$41,$M53,q_liq,fw,rp_m3m3,NaK,Ca2_,Mg2_,Ba2_,Sr2_,Cl,SO4_,HCO3_,CO2_mol,$L$38)</f>
        <v>-7.7824100259671551</v>
      </c>
      <c r="AA53" s="27">
        <f t="array" ref="AA53">[1]!unf_fa_scale_SI(AA$41,$M53,q_liq,fw,rp_m3m3,NaK,Ca2_,Mg2_,Ba2_,Sr2_,Cl,SO4_,HCO3_,CO2_mol,$L$38)</f>
        <v>-7.9860504084558448</v>
      </c>
      <c r="AB53" s="27">
        <f t="array" ref="AB53">[1]!unf_fa_scale_SI(AB$41,$M53,q_liq,fw,rp_m3m3,NaK,Ca2_,Mg2_,Ba2_,Sr2_,Cl,SO4_,HCO3_,CO2_mol,$L$38)</f>
        <v>-8.1583458724898961</v>
      </c>
      <c r="AC53" s="28">
        <f t="array" ref="AC53">[1]!unf_fa_scale_SI(AC$41,$M53,q_liq,fw,rp_m3m3,NaK,Ca2_,Mg2_,Ba2_,Sr2_,Cl,SO4_,HCO3_,CO2_mol,$L$38)</f>
        <v>-8.3002537576357831</v>
      </c>
    </row>
    <row r="54" spans="12:52" x14ac:dyDescent="0.2">
      <c r="L54" s="36"/>
      <c r="M54" s="26">
        <v>60</v>
      </c>
      <c r="N54" s="40">
        <f t="array" ref="N54">[1]!unf_fa_scale_SI(N$41,$M54,q_liq,fw,rp_m3m3,NaK,Ca2_,Mg2_,Ba2_,Sr2_,Cl,SO4_,HCO3_,CO2_mol,$L$38)</f>
        <v>-5.3553400712945436</v>
      </c>
      <c r="O54" s="27">
        <f t="array" ref="O54">[1]!unf_fa_scale_SI(O$41,$M54,q_liq,fw,rp_m3m3,NaK,Ca2_,Mg2_,Ba2_,Sr2_,Cl,SO4_,HCO3_,CO2_mol,$L$38)</f>
        <v>-5.5261608415858037</v>
      </c>
      <c r="P54" s="27">
        <f t="array" ref="P54">[1]!unf_fa_scale_SI(P$41,$M54,q_liq,fw,rp_m3m3,NaK,Ca2_,Mg2_,Ba2_,Sr2_,Cl,SO4_,HCO3_,CO2_mol,$L$38)</f>
        <v>-5.6986056358061337</v>
      </c>
      <c r="Q54" s="27">
        <f t="array" ref="Q54">[1]!unf_fa_scale_SI(Q$41,$M54,q_liq,fw,rp_m3m3,NaK,Ca2_,Mg2_,Ba2_,Sr2_,Cl,SO4_,HCO3_,CO2_mol,$L$38)</f>
        <v>-5.8731311355885598</v>
      </c>
      <c r="R54" s="27">
        <f t="array" ref="R54">[1]!unf_fa_scale_SI(R$41,$M54,q_liq,fw,rp_m3m3,NaK,Ca2_,Mg2_,Ba2_,Sr2_,Cl,SO4_,HCO3_,CO2_mol,$L$38)</f>
        <v>-6.0503341597963836</v>
      </c>
      <c r="S54" s="27">
        <f t="array" ref="S54">[1]!unf_fa_scale_SI(S$41,$M54,q_liq,fw,rp_m3m3,NaK,Ca2_,Mg2_,Ba2_,Sr2_,Cl,SO4_,HCO3_,CO2_mol,$L$38)</f>
        <v>-6.2309909126730982</v>
      </c>
      <c r="T54" s="27">
        <f t="array" ref="T54">[1]!unf_fa_scale_SI(T$41,$M54,q_liq,fw,rp_m3m3,NaK,Ca2_,Mg2_,Ba2_,Sr2_,Cl,SO4_,HCO3_,CO2_mol,$L$38)</f>
        <v>-6.4160963152376507</v>
      </c>
      <c r="U54" s="27">
        <f t="array" ref="U54">[1]!unf_fa_scale_SI(U$41,$M54,q_liq,fw,rp_m3m3,NaK,Ca2_,Mg2_,Ba2_,Sr2_,Cl,SO4_,HCO3_,CO2_mol,$L$38)</f>
        <v>-6.6068837273470944</v>
      </c>
      <c r="V54" s="27">
        <f t="array" ref="V54">[1]!unf_fa_scale_SI(V$41,$M54,q_liq,fw,rp_m3m3,NaK,Ca2_,Mg2_,Ba2_,Sr2_,Cl,SO4_,HCO3_,CO2_mol,$L$38)</f>
        <v>-6.8047716607472246</v>
      </c>
      <c r="W54" s="27">
        <f t="array" ref="W54">[1]!unf_fa_scale_SI(W$41,$M54,q_liq,fw,rp_m3m3,NaK,Ca2_,Mg2_,Ba2_,Sr2_,Cl,SO4_,HCO3_,CO2_mol,$L$38)</f>
        <v>-7.0111055227673384</v>
      </c>
      <c r="X54" s="27">
        <f t="array" ref="X54">[1]!unf_fa_scale_SI(X$41,$M54,q_liq,fw,rp_m3m3,NaK,Ca2_,Mg2_,Ba2_,Sr2_,Cl,SO4_,HCO3_,CO2_mol,$L$38)</f>
        <v>-7.226399143178404</v>
      </c>
      <c r="Y54" s="27">
        <f t="array" ref="Y54">[1]!unf_fa_scale_SI(Y$41,$M54,q_liq,fw,rp_m3m3,NaK,Ca2_,Mg2_,Ba2_,Sr2_,Cl,SO4_,HCO3_,CO2_mol,$L$38)</f>
        <v>-7.4485436884687024</v>
      </c>
      <c r="Z54" s="27">
        <f t="array" ref="Z54">[1]!unf_fa_scale_SI(Z$41,$M54,q_liq,fw,rp_m3m3,NaK,Ca2_,Mg2_,Ba2_,Sr2_,Cl,SO4_,HCO3_,CO2_mol,$L$38)</f>
        <v>-7.6696194444636792</v>
      </c>
      <c r="AA54" s="27">
        <f t="array" ref="AA54">[1]!unf_fa_scale_SI(AA$41,$M54,q_liq,fw,rp_m3m3,NaK,Ca2_,Mg2_,Ba2_,Sr2_,Cl,SO4_,HCO3_,CO2_mol,$L$38)</f>
        <v>-7.8735752018181975</v>
      </c>
      <c r="AB54" s="27">
        <f t="array" ref="AB54">[1]!unf_fa_scale_SI(AB$41,$M54,q_liq,fw,rp_m3m3,NaK,Ca2_,Mg2_,Ba2_,Sr2_,Cl,SO4_,HCO3_,CO2_mol,$L$38)</f>
        <v>-8.0434901254965556</v>
      </c>
      <c r="AC54" s="28">
        <f t="array" ref="AC54">[1]!unf_fa_scale_SI(AC$41,$M54,q_liq,fw,rp_m3m3,NaK,Ca2_,Mg2_,Ba2_,Sr2_,Cl,SO4_,HCO3_,CO2_mol,$L$38)</f>
        <v>-8.1819736361460542</v>
      </c>
    </row>
    <row r="55" spans="12:52" x14ac:dyDescent="0.2">
      <c r="L55" s="36"/>
      <c r="M55" s="26">
        <v>65</v>
      </c>
      <c r="N55" s="40">
        <f t="array" ref="N55">[1]!unf_fa_scale_SI(N$41,$M55,q_liq,fw,rp_m3m3,NaK,Ca2_,Mg2_,Ba2_,Sr2_,Cl,SO4_,HCO3_,CO2_mol,$L$38)</f>
        <v>-5.2280425781808777</v>
      </c>
      <c r="O55" s="27">
        <f t="array" ref="O55">[1]!unf_fa_scale_SI(O$41,$M55,q_liq,fw,rp_m3m3,NaK,Ca2_,Mg2_,Ba2_,Sr2_,Cl,SO4_,HCO3_,CO2_mol,$L$38)</f>
        <v>-5.3990040002085644</v>
      </c>
      <c r="P55" s="27">
        <f t="array" ref="P55">[1]!unf_fa_scale_SI(P$41,$M55,q_liq,fw,rp_m3m3,NaK,Ca2_,Mg2_,Ba2_,Sr2_,Cl,SO4_,HCO3_,CO2_mol,$L$38)</f>
        <v>-5.5716441464200868</v>
      </c>
      <c r="Q55" s="27">
        <f t="array" ref="Q55">[1]!unf_fa_scale_SI(Q$41,$M55,q_liq,fw,rp_m3m3,NaK,Ca2_,Mg2_,Ba2_,Sr2_,Cl,SO4_,HCO3_,CO2_mol,$L$38)</f>
        <v>-5.7464422566748183</v>
      </c>
      <c r="R55" s="27">
        <f t="array" ref="R55">[1]!unf_fa_scale_SI(R$41,$M55,q_liq,fw,rp_m3m3,NaK,Ca2_,Mg2_,Ba2_,Sr2_,Cl,SO4_,HCO3_,CO2_mol,$L$38)</f>
        <v>-5.924026952513807</v>
      </c>
      <c r="S55" s="27">
        <f t="array" ref="S55">[1]!unf_fa_scale_SI(S$41,$M55,q_liq,fw,rp_m3m3,NaK,Ca2_,Mg2_,Ba2_,Sr2_,Cl,SO4_,HCO3_,CO2_mol,$L$38)</f>
        <v>-6.1052187819344477</v>
      </c>
      <c r="T55" s="27">
        <f t="array" ref="T55">[1]!unf_fa_scale_SI(T$41,$M55,q_liq,fw,rp_m3m3,NaK,Ca2_,Mg2_,Ba2_,Sr2_,Cl,SO4_,HCO3_,CO2_mol,$L$38)</f>
        <v>-6.2910732110734759</v>
      </c>
      <c r="U55" s="27">
        <f t="array" ref="U55">[1]!unf_fa_scale_SI(U$41,$M55,q_liq,fw,rp_m3m3,NaK,Ca2_,Mg2_,Ba2_,Sr2_,Cl,SO4_,HCO3_,CO2_mol,$L$38)</f>
        <v>-6.4829029264835381</v>
      </c>
      <c r="V55" s="27">
        <f t="array" ref="V55">[1]!unf_fa_scale_SI(V$41,$M55,q_liq,fw,rp_m3m3,NaK,Ca2_,Mg2_,Ba2_,Sr2_,Cl,SO4_,HCO3_,CO2_mol,$L$38)</f>
        <v>-6.6822215197557515</v>
      </c>
      <c r="W55" s="27">
        <f t="array" ref="W55">[1]!unf_fa_scale_SI(W$41,$M55,q_liq,fw,rp_m3m3,NaK,Ca2_,Mg2_,Ba2_,Sr2_,Cl,SO4_,HCO3_,CO2_mol,$L$38)</f>
        <v>-6.8904640250369962</v>
      </c>
      <c r="X55" s="27">
        <f t="array" ref="X55">[1]!unf_fa_scale_SI(X$41,$M55,q_liq,fw,rp_m3m3,NaK,Ca2_,Mg2_,Ba2_,Sr2_,Cl,SO4_,HCO3_,CO2_mol,$L$38)</f>
        <v>-7.1081580081705109</v>
      </c>
      <c r="Y55" s="27">
        <f t="array" ref="Y55">[1]!unf_fa_scale_SI(Y$41,$M55,q_liq,fw,rp_m3m3,NaK,Ca2_,Mg2_,Ba2_,Sr2_,Cl,SO4_,HCO3_,CO2_mol,$L$38)</f>
        <v>-7.3329542545748572</v>
      </c>
      <c r="Z55" s="27">
        <f t="array" ref="Z55">[1]!unf_fa_scale_SI(Z$41,$M55,q_liq,fw,rp_m3m3,NaK,Ca2_,Mg2_,Ba2_,Sr2_,Cl,SO4_,HCO3_,CO2_mol,$L$38)</f>
        <v>-7.5561361014797237</v>
      </c>
      <c r="AA55" s="27">
        <f t="array" ref="AA55">[1]!unf_fa_scale_SI(AA$41,$M55,q_liq,fw,rp_m3m3,NaK,Ca2_,Mg2_,Ba2_,Sr2_,Cl,SO4_,HCO3_,CO2_mol,$L$38)</f>
        <v>-7.7602866608589647</v>
      </c>
      <c r="AB55" s="27">
        <f t="array" ref="AB55">[1]!unf_fa_scale_SI(AB$41,$M55,q_liq,fw,rp_m3m3,NaK,Ca2_,Mg2_,Ba2_,Sr2_,Cl,SO4_,HCO3_,CO2_mol,$L$38)</f>
        <v>-7.927888590387977</v>
      </c>
      <c r="AC55" s="28">
        <f t="array" ref="AC55">[1]!unf_fa_scale_SI(AC$41,$M55,q_liq,fw,rp_m3m3,NaK,Ca2_,Mg2_,Ba2_,Sr2_,Cl,SO4_,HCO3_,CO2_mol,$L$38)</f>
        <v>-8.0632590771053358</v>
      </c>
    </row>
    <row r="56" spans="12:52" x14ac:dyDescent="0.2">
      <c r="L56" s="37"/>
      <c r="M56" s="29">
        <v>70</v>
      </c>
      <c r="N56" s="41">
        <f t="array" ref="N56">[1]!unf_fa_scale_SI(N$41,$M56,q_liq,fw,rp_m3m3,NaK,Ca2_,Mg2_,Ba2_,Sr2_,Cl,SO4_,HCO3_,CO2_mol,$L$38)</f>
        <v>-5.1008722456485183</v>
      </c>
      <c r="O56" s="30">
        <f t="array" ref="O56">[1]!unf_fa_scale_SI(O$41,$M56,q_liq,fw,rp_m3m3,NaK,Ca2_,Mg2_,Ba2_,Sr2_,Cl,SO4_,HCO3_,CO2_mol,$L$38)</f>
        <v>-5.2719662181012499</v>
      </c>
      <c r="P56" s="30">
        <f t="array" ref="P56">[1]!unf_fa_scale_SI(P$41,$M56,q_liq,fw,rp_m3m3,NaK,Ca2_,Mg2_,Ba2_,Sr2_,Cl,SO4_,HCO3_,CO2_mol,$L$38)</f>
        <v>-5.4447907143240357</v>
      </c>
      <c r="Q56" s="30">
        <f t="array" ref="Q56">[1]!unf_fa_scale_SI(Q$41,$M56,q_liq,fw,rp_m3m3,NaK,Ca2_,Mg2_,Ba2_,Sr2_,Cl,SO4_,HCO3_,CO2_mol,$L$38)</f>
        <v>-5.6198464152995893</v>
      </c>
      <c r="R56" s="30">
        <f t="array" ref="R56">[1]!unf_fa_scale_SI(R$41,$M56,q_liq,fw,rp_m3m3,NaK,Ca2_,Mg2_,Ba2_,Sr2_,Cl,SO4_,HCO3_,CO2_mol,$L$38)</f>
        <v>-5.7977922073223427</v>
      </c>
      <c r="S56" s="30">
        <f t="array" ref="S56">[1]!unf_fa_scale_SI(S$41,$M56,q_liq,fw,rp_m3m3,NaK,Ca2_,Mg2_,Ba2_,Sr2_,Cl,SO4_,HCO3_,CO2_mol,$L$38)</f>
        <v>-5.9794909012766739</v>
      </c>
      <c r="T56" s="30">
        <f t="array" ref="T56">[1]!unf_fa_scale_SI(T$41,$M56,q_liq,fw,rp_m3m3,NaK,Ca2_,Mg2_,Ba2_,Sr2_,Cl,SO4_,HCO3_,CO2_mol,$L$38)</f>
        <v>-6.1660557779777481</v>
      </c>
      <c r="U56" s="30">
        <f t="array" ref="U56">[1]!unf_fa_scale_SI(U$41,$M56,q_liq,fw,rp_m3m3,NaK,Ca2_,Mg2_,Ba2_,Sr2_,Cl,SO4_,HCO3_,CO2_mol,$L$38)</f>
        <v>-6.3588754590325385</v>
      </c>
      <c r="V56" s="30">
        <f t="array" ref="V56">[1]!unf_fa_scale_SI(V$41,$M56,q_liq,fw,rp_m3m3,NaK,Ca2_,Mg2_,Ba2_,Sr2_,Cl,SO4_,HCO3_,CO2_mol,$L$38)</f>
        <v>-6.5595548172204037</v>
      </c>
      <c r="W56" s="30">
        <f t="array" ref="W56">[1]!unf_fa_scale_SI(W$41,$M56,q_liq,fw,rp_m3m3,NaK,Ca2_,Mg2_,Ba2_,Sr2_,Cl,SO4_,HCO3_,CO2_mol,$L$38)</f>
        <v>-6.7696151104188491</v>
      </c>
      <c r="X56" s="30">
        <f t="array" ref="X56">[1]!unf_fa_scale_SI(X$41,$M56,q_liq,fw,rp_m3m3,NaK,Ca2_,Mg2_,Ba2_,Sr2_,Cl,SO4_,HCO3_,CO2_mol,$L$38)</f>
        <v>-6.9895962235083813</v>
      </c>
      <c r="Y56" s="30">
        <f t="array" ref="Y56">[1]!unf_fa_scale_SI(Y$41,$M56,q_liq,fw,rp_m3m3,NaK,Ca2_,Mg2_,Ba2_,Sr2_,Cl,SO4_,HCO3_,CO2_mol,$L$38)</f>
        <v>-7.2169113901837729</v>
      </c>
      <c r="Z56" s="30">
        <f t="array" ref="Z56">[1]!unf_fa_scale_SI(Z$41,$M56,q_liq,fw,rp_m3m3,NaK,Ca2_,Mg2_,Ba2_,Sr2_,Cl,SO4_,HCO3_,CO2_mol,$L$38)</f>
        <v>-7.4420597663403179</v>
      </c>
      <c r="AA56" s="30">
        <f t="array" ref="AA56">[1]!unf_fa_scale_SI(AA$41,$M56,q_liq,fw,rp_m3m3,NaK,Ca2_,Mg2_,Ba2_,Sr2_,Cl,SO4_,HCO3_,CO2_mol,$L$38)</f>
        <v>-7.6463111413655005</v>
      </c>
      <c r="AB56" s="30">
        <f t="array" ref="AB56">[1]!unf_fa_scale_SI(AB$41,$M56,q_liq,fw,rp_m3m3,NaK,Ca2_,Mg2_,Ba2_,Sr2_,Cl,SO4_,HCO3_,CO2_mol,$L$38)</f>
        <v>-7.8116782872449573</v>
      </c>
      <c r="AC56" s="31">
        <f t="array" ref="AC56">[1]!unf_fa_scale_SI(AC$41,$M56,q_liq,fw,rp_m3m3,NaK,Ca2_,Mg2_,Ba2_,Sr2_,Cl,SO4_,HCO3_,CO2_mol,$L$38)</f>
        <v>-7.9442132720554248</v>
      </c>
    </row>
    <row r="57" spans="12:52" x14ac:dyDescent="0.2">
      <c r="M57" s="11"/>
      <c r="N57" s="11"/>
      <c r="O57" s="11"/>
      <c r="P57" s="11"/>
      <c r="Q57" s="11"/>
      <c r="R57" s="11"/>
      <c r="S57" s="11"/>
      <c r="T57" s="11"/>
      <c r="U57" s="10"/>
      <c r="V57" s="10"/>
      <c r="W57" s="10"/>
      <c r="X57" s="10"/>
      <c r="Y57" s="10"/>
      <c r="Z57" s="10"/>
      <c r="AA57" s="10"/>
      <c r="AB57" s="16"/>
      <c r="AC57" s="17"/>
    </row>
    <row r="58" spans="12:52" x14ac:dyDescent="0.2">
      <c r="M58" s="11"/>
      <c r="N58" s="11"/>
      <c r="O58" s="11"/>
      <c r="P58" s="11"/>
      <c r="Q58" s="11"/>
      <c r="R58" s="11"/>
      <c r="S58" s="11"/>
      <c r="T58" s="11"/>
      <c r="U58" s="10"/>
      <c r="V58" s="10"/>
      <c r="W58" s="10"/>
      <c r="X58" s="10"/>
      <c r="Y58" s="10"/>
      <c r="Z58" s="10"/>
      <c r="AA58" s="10"/>
      <c r="AB58" s="16"/>
      <c r="AC58" s="17"/>
    </row>
    <row r="59" spans="12:52" x14ac:dyDescent="0.2">
      <c r="M59" s="11"/>
      <c r="N59" s="11"/>
      <c r="O59" s="11"/>
      <c r="P59" s="11"/>
      <c r="Q59" s="11"/>
      <c r="R59" s="11"/>
      <c r="S59" s="11"/>
      <c r="T59" s="11"/>
      <c r="U59" s="10"/>
      <c r="V59" s="10"/>
      <c r="W59" s="10"/>
      <c r="X59" s="10"/>
      <c r="Y59" s="10"/>
      <c r="Z59" s="10"/>
      <c r="AA59" s="10"/>
      <c r="AB59" s="16"/>
      <c r="AC59" s="17"/>
    </row>
    <row r="60" spans="12:52" x14ac:dyDescent="0.2">
      <c r="L60" s="10">
        <v>3</v>
      </c>
      <c r="M60" s="20" t="s">
        <v>22</v>
      </c>
      <c r="N60" s="11"/>
      <c r="O60" s="11"/>
      <c r="P60" s="11"/>
      <c r="Q60" s="11"/>
      <c r="R60" s="11"/>
      <c r="S60" s="11"/>
      <c r="T60" s="11"/>
      <c r="U60" s="10"/>
      <c r="V60" s="10"/>
      <c r="W60" s="10"/>
      <c r="X60" s="10"/>
      <c r="Y60" s="10"/>
      <c r="Z60" s="10"/>
      <c r="AA60" s="10"/>
      <c r="AB60" s="16"/>
      <c r="AC60" s="17"/>
      <c r="AI60" s="10">
        <v>3</v>
      </c>
      <c r="AJ60" s="20" t="s">
        <v>22</v>
      </c>
      <c r="AK60" s="11"/>
      <c r="AL60" s="11"/>
      <c r="AM60" s="11"/>
      <c r="AN60" s="11"/>
      <c r="AO60" s="11"/>
      <c r="AP60" s="11"/>
      <c r="AQ60" s="11"/>
      <c r="AR60" s="10"/>
      <c r="AS60" s="10"/>
      <c r="AT60" s="10"/>
      <c r="AU60" s="10"/>
      <c r="AV60" s="10"/>
      <c r="AW60" s="10"/>
      <c r="AX60" s="10"/>
      <c r="AY60" s="16"/>
      <c r="AZ60" s="17"/>
    </row>
    <row r="61" spans="12:52" x14ac:dyDescent="0.2">
      <c r="M61" s="11"/>
      <c r="N61" s="11"/>
      <c r="O61" s="11">
        <v>1.4</v>
      </c>
      <c r="P61" s="11"/>
      <c r="Q61" s="11"/>
      <c r="R61" s="11"/>
      <c r="S61" s="11"/>
      <c r="T61" s="11"/>
      <c r="U61" s="10"/>
      <c r="V61" s="10"/>
      <c r="W61" s="10"/>
      <c r="X61" s="10"/>
      <c r="Y61" s="10"/>
      <c r="Z61" s="10"/>
      <c r="AA61" s="10"/>
      <c r="AB61" s="16"/>
      <c r="AC61" s="17"/>
      <c r="AI61" s="10"/>
      <c r="AJ61" s="11"/>
      <c r="AK61" s="11"/>
      <c r="AL61" s="11">
        <v>1.4</v>
      </c>
      <c r="AM61" s="11"/>
      <c r="AN61" s="11"/>
      <c r="AO61" s="11"/>
      <c r="AP61" s="11"/>
      <c r="AQ61" s="11"/>
      <c r="AR61" s="10"/>
      <c r="AS61" s="10"/>
      <c r="AT61" s="10"/>
      <c r="AU61" s="10"/>
      <c r="AV61" s="10"/>
      <c r="AW61" s="10"/>
      <c r="AX61" s="10"/>
      <c r="AY61" s="16"/>
      <c r="AZ61" s="17"/>
    </row>
    <row r="62" spans="12:52" x14ac:dyDescent="0.2">
      <c r="L62" s="32"/>
      <c r="M62" s="22"/>
      <c r="N62" s="22" t="s">
        <v>17</v>
      </c>
      <c r="O62" s="22"/>
      <c r="P62" s="22"/>
      <c r="Q62" s="22"/>
      <c r="R62" s="22"/>
      <c r="S62" s="22"/>
      <c r="T62" s="22"/>
      <c r="U62" s="33"/>
      <c r="V62" s="33"/>
      <c r="W62" s="33"/>
      <c r="X62" s="33"/>
      <c r="Y62" s="33"/>
      <c r="Z62" s="33"/>
      <c r="AA62" s="33"/>
      <c r="AB62" s="34"/>
      <c r="AC62" s="35"/>
      <c r="AI62" s="32"/>
      <c r="AJ62" s="22"/>
      <c r="AK62" s="22" t="s">
        <v>17</v>
      </c>
      <c r="AL62" s="22"/>
      <c r="AM62" s="22"/>
      <c r="AN62" s="22"/>
      <c r="AO62" s="22"/>
      <c r="AP62" s="22"/>
      <c r="AQ62" s="22"/>
      <c r="AR62" s="33"/>
      <c r="AS62" s="33"/>
      <c r="AT62" s="33"/>
      <c r="AU62" s="33"/>
      <c r="AV62" s="33"/>
      <c r="AW62" s="33"/>
      <c r="AX62" s="33"/>
      <c r="AY62" s="34"/>
      <c r="AZ62" s="35"/>
    </row>
    <row r="63" spans="12:52" x14ac:dyDescent="0.2">
      <c r="L63" s="36"/>
      <c r="M63" s="21"/>
      <c r="N63" s="22">
        <v>1</v>
      </c>
      <c r="O63" s="22">
        <f t="shared" ref="O63:AC63" si="2">N63*$O$17</f>
        <v>1.46</v>
      </c>
      <c r="P63" s="23">
        <f t="shared" si="2"/>
        <v>2.1315999999999997</v>
      </c>
      <c r="Q63" s="24">
        <f t="shared" si="2"/>
        <v>3.1121359999999996</v>
      </c>
      <c r="R63" s="24">
        <f t="shared" si="2"/>
        <v>4.5437185599999994</v>
      </c>
      <c r="S63" s="24">
        <f t="shared" si="2"/>
        <v>6.6338290975999987</v>
      </c>
      <c r="T63" s="24">
        <f t="shared" si="2"/>
        <v>9.6853904824959987</v>
      </c>
      <c r="U63" s="24">
        <f t="shared" si="2"/>
        <v>14.140670104444158</v>
      </c>
      <c r="V63" s="24">
        <f t="shared" si="2"/>
        <v>20.645378352488471</v>
      </c>
      <c r="W63" s="24">
        <f t="shared" si="2"/>
        <v>30.142252394633168</v>
      </c>
      <c r="X63" s="24">
        <f t="shared" si="2"/>
        <v>44.007688496164427</v>
      </c>
      <c r="Y63" s="24">
        <f t="shared" si="2"/>
        <v>64.251225204400058</v>
      </c>
      <c r="Z63" s="24">
        <f t="shared" si="2"/>
        <v>93.80678879842408</v>
      </c>
      <c r="AA63" s="24">
        <f t="shared" si="2"/>
        <v>136.95791164569914</v>
      </c>
      <c r="AB63" s="24">
        <f t="shared" si="2"/>
        <v>199.95855100272075</v>
      </c>
      <c r="AC63" s="25">
        <f t="shared" si="2"/>
        <v>291.93948446397229</v>
      </c>
      <c r="AI63" s="36"/>
      <c r="AJ63" s="21"/>
      <c r="AK63" s="22">
        <v>1</v>
      </c>
      <c r="AL63" s="22">
        <f t="shared" ref="AL63" si="3">AK63*$O$17</f>
        <v>1.46</v>
      </c>
      <c r="AM63" s="23">
        <f t="shared" ref="AM63" si="4">AL63*$O$17</f>
        <v>2.1315999999999997</v>
      </c>
      <c r="AN63" s="24">
        <f t="shared" ref="AN63" si="5">AM63*$O$17</f>
        <v>3.1121359999999996</v>
      </c>
      <c r="AO63" s="24">
        <f t="shared" ref="AO63" si="6">AN63*$O$17</f>
        <v>4.5437185599999994</v>
      </c>
      <c r="AP63" s="24">
        <f t="shared" ref="AP63" si="7">AO63*$O$17</f>
        <v>6.6338290975999987</v>
      </c>
      <c r="AQ63" s="24">
        <f t="shared" ref="AQ63" si="8">AP63*$O$17</f>
        <v>9.6853904824959987</v>
      </c>
      <c r="AR63" s="24">
        <f t="shared" ref="AR63" si="9">AQ63*$O$17</f>
        <v>14.140670104444158</v>
      </c>
      <c r="AS63" s="24">
        <f t="shared" ref="AS63" si="10">AR63*$O$17</f>
        <v>20.645378352488471</v>
      </c>
      <c r="AT63" s="24">
        <f t="shared" ref="AT63" si="11">AS63*$O$17</f>
        <v>30.142252394633168</v>
      </c>
      <c r="AU63" s="24">
        <f t="shared" ref="AU63" si="12">AT63*$O$17</f>
        <v>44.007688496164427</v>
      </c>
      <c r="AV63" s="24">
        <f t="shared" ref="AV63" si="13">AU63*$O$17</f>
        <v>64.251225204400058</v>
      </c>
      <c r="AW63" s="24">
        <f t="shared" ref="AW63" si="14">AV63*$O$17</f>
        <v>93.80678879842408</v>
      </c>
      <c r="AX63" s="24">
        <f t="shared" ref="AX63" si="15">AW63*$O$17</f>
        <v>136.95791164569914</v>
      </c>
      <c r="AY63" s="24">
        <f t="shared" ref="AY63" si="16">AX63*$O$17</f>
        <v>199.95855100272075</v>
      </c>
      <c r="AZ63" s="25">
        <f t="shared" ref="AZ63" si="17">AY63*$O$17</f>
        <v>291.93948446397229</v>
      </c>
    </row>
    <row r="64" spans="12:52" x14ac:dyDescent="0.2">
      <c r="L64" s="26" t="s">
        <v>18</v>
      </c>
      <c r="M64" s="26">
        <v>1</v>
      </c>
      <c r="N64" s="38">
        <f t="array" ref="N64">[1]!unf_fa_scale_SI(N$41,$M64,q_liq,fw,rp_m3m3,NaK,Ca2_,Mg2_,Ba2_,Sr2_,Cl,SO4_,HCO3_,CO2_mol,$L$60)</f>
        <v>-9.0482951361180426</v>
      </c>
      <c r="O64" s="23">
        <f t="array" ref="O64">[1]!unf_fa_scale_SI(O$41,$M64,q_liq,fw,rp_m3m3,NaK,Ca2_,Mg2_,Ba2_,Sr2_,Cl,SO4_,HCO3_,CO2_mol,$L$60)</f>
        <v>-9.0486606303324422</v>
      </c>
      <c r="P64" s="23">
        <f t="array" ref="P64">[1]!unf_fa_scale_SI(P$41,$M64,q_liq,fw,rp_m3m3,NaK,Ca2_,Mg2_,Ba2_,Sr2_,Cl,SO4_,HCO3_,CO2_mol,$L$60)</f>
        <v>-9.0491942518854653</v>
      </c>
      <c r="Q64" s="23">
        <f t="array" ref="Q64">[1]!unf_fa_scale_SI(Q$41,$M64,q_liq,fw,rp_m3m3,NaK,Ca2_,Mg2_,Ba2_,Sr2_,Cl,SO4_,HCO3_,CO2_mol,$L$60)</f>
        <v>-9.0499733393528814</v>
      </c>
      <c r="R64" s="23">
        <f t="array" ref="R64">[1]!unf_fa_scale_SI(R$41,$M64,q_liq,fw,rp_m3m3,NaK,Ca2_,Mg2_,Ba2_,Sr2_,Cl,SO4_,HCO3_,CO2_mol,$L$60)</f>
        <v>-9.0511108070553075</v>
      </c>
      <c r="S64" s="23">
        <f t="array" ref="S64">[1]!unf_fa_scale_SI(S$41,$M64,q_liq,fw,rp_m3m3,NaK,Ca2_,Mg2_,Ba2_,Sr2_,Cl,SO4_,HCO3_,CO2_mol,$L$60)</f>
        <v>-9.0527715099008486</v>
      </c>
      <c r="T64" s="23">
        <f t="array" ref="T64">[1]!unf_fa_scale_SI(T$41,$M64,q_liq,fw,rp_m3m3,NaK,Ca2_,Mg2_,Ba2_,Sr2_,Cl,SO4_,HCO3_,CO2_mol,$L$60)</f>
        <v>-9.0551961360553399</v>
      </c>
      <c r="U64" s="23">
        <f t="array" ref="U64">[1]!unf_fa_scale_SI(U$41,$M64,q_liq,fw,rp_m3m3,NaK,Ca2_,Mg2_,Ba2_,Sr2_,Cl,SO4_,HCO3_,CO2_mol,$L$60)</f>
        <v>-9.0587360902408971</v>
      </c>
      <c r="V64" s="23">
        <f t="array" ref="V64">[1]!unf_fa_scale_SI(V$41,$M64,q_liq,fw,rp_m3m3,NaK,Ca2_,Mg2_,Ba2_,Sr2_,Cl,SO4_,HCO3_,CO2_mol,$L$60)</f>
        <v>-9.0639044233518113</v>
      </c>
      <c r="W64" s="23">
        <f t="array" ref="W64">[1]!unf_fa_scale_SI(W$41,$M64,q_liq,fw,rp_m3m3,NaK,Ca2_,Mg2_,Ba2_,Sr2_,Cl,SO4_,HCO3_,CO2_mol,$L$60)</f>
        <v>-9.0714501896937438</v>
      </c>
      <c r="X64" s="23">
        <f t="array" ref="X64">[1]!unf_fa_scale_SI(X$41,$M64,q_liq,fw,rp_m3m3,NaK,Ca2_,Mg2_,Ba2_,Sr2_,Cl,SO4_,HCO3_,CO2_mol,$L$60)</f>
        <v>-9.0824670085529675</v>
      </c>
      <c r="Y64" s="23">
        <f t="array" ref="Y64">[1]!unf_fa_scale_SI(Y$41,$M64,q_liq,fw,rp_m3m3,NaK,Ca2_,Mg2_,Ba2_,Sr2_,Cl,SO4_,HCO3_,CO2_mol,$L$60)</f>
        <v>-9.0985515640874333</v>
      </c>
      <c r="Z64" s="23">
        <f t="array" ref="Z64">[1]!unf_fa_scale_SI(Z$41,$M64,q_liq,fw,rp_m3m3,NaK,Ca2_,Mg2_,Ba2_,Sr2_,Cl,SO4_,HCO3_,CO2_mol,$L$60)</f>
        <v>-9.1220350151677518</v>
      </c>
      <c r="AA64" s="23">
        <f t="array" ref="AA64">[1]!unf_fa_scale_SI(AA$41,$M64,q_liq,fw,rp_m3m3,NaK,Ca2_,Mg2_,Ba2_,Sr2_,Cl,SO4_,HCO3_,CO2_mol,$L$60)</f>
        <v>-9.1563208537450187</v>
      </c>
      <c r="AB64" s="23">
        <f t="array" ref="AB64">[1]!unf_fa_scale_SI(AB$41,$M64,q_liq,fw,rp_m3m3,NaK,Ca2_,Mg2_,Ba2_,Sr2_,Cl,SO4_,HCO3_,CO2_mol,$L$60)</f>
        <v>-9.206378178067828</v>
      </c>
      <c r="AC64" s="39">
        <f t="array" ref="AC64">[1]!unf_fa_scale_SI(AC$41,$M64,q_liq,fw,rp_m3m3,NaK,Ca2_,Mg2_,Ba2_,Sr2_,Cl,SO4_,HCO3_,CO2_mol,$L$60)</f>
        <v>-9.2794618715791302</v>
      </c>
      <c r="AI64" s="26" t="s">
        <v>18</v>
      </c>
      <c r="AJ64" s="26">
        <v>1</v>
      </c>
      <c r="AK64" s="80" cm="1">
        <f t="array" ref="AK64">[1]!unf_fa_scale_SI_old(N$41,$M64,q_liq,fw,rp_m3m3,NaK,Ca2_,Mg2_,Ba2_,Sr2_,Cl,SO4_,HCO3_,CO2_mol,$L$60)</f>
        <v>-8.2192681242362937</v>
      </c>
      <c r="AL64" s="80" cm="1">
        <f t="array" ref="AL64">[1]!unf_fa_scale_SI_old(O$41,$M64,q_liq,fw,rp_m3m3,NaK,Ca2_,Mg2_,Ba2_,Sr2_,Cl,SO4_,HCO3_,CO2_mol,$L$60)</f>
        <v>-8.3868792259109579</v>
      </c>
      <c r="AM64" s="80" cm="1">
        <f t="array" ref="AM64">[1]!unf_fa_scale_SI_old(P$41,$M64,q_liq,fw,rp_m3m3,NaK,Ca2_,Mg2_,Ba2_,Sr2_,Cl,SO4_,HCO3_,CO2_mol,$L$60)</f>
        <v>-8.554876772576117</v>
      </c>
      <c r="AN64" s="80" cm="1">
        <f t="array" ref="AN64">[1]!unf_fa_scale_SI_old(Q$41,$M64,q_liq,fw,rp_m3m3,NaK,Ca2_,Mg2_,Ba2_,Sr2_,Cl,SO4_,HCO3_,CO2_mol,$L$60)</f>
        <v>-8.7232124462971861</v>
      </c>
      <c r="AO64" s="80" cm="1">
        <f t="array" ref="AO64">[1]!unf_fa_scale_SI_old(R$41,$M64,q_liq,fw,rp_m3m3,NaK,Ca2_,Mg2_,Ba2_,Sr2_,Cl,SO4_,HCO3_,CO2_mol,$L$60)</f>
        <v>-8.8917748060702433</v>
      </c>
      <c r="AP64" s="80" cm="1">
        <f t="array" ref="AP64">[1]!unf_fa_scale_SI_old(S$41,$M64,q_liq,fw,rp_m3m3,NaK,Ca2_,Mg2_,Ba2_,Sr2_,Cl,SO4_,HCO3_,CO2_mol,$L$60)</f>
        <v>-9.0603585445986141</v>
      </c>
      <c r="AQ64" s="80" cm="1">
        <f t="array" ref="AQ64">[1]!unf_fa_scale_SI_old(T$41,$M64,q_liq,fw,rp_m3m3,NaK,Ca2_,Mg2_,Ba2_,Sr2_,Cl,SO4_,HCO3_,CO2_mol,$L$60)</f>
        <v>-9.2286265336357172</v>
      </c>
      <c r="AR64" s="80" cm="1">
        <f t="array" ref="AR64">[1]!unf_fa_scale_SI_old(U$41,$M64,q_liq,fw,rp_m3m3,NaK,Ca2_,Mg2_,Ba2_,Sr2_,Cl,SO4_,HCO3_,CO2_mol,$L$60)</f>
        <v>-9.3960700002072404</v>
      </c>
      <c r="AS64" s="80" cm="1">
        <f t="array" ref="AS64">[1]!unf_fa_scale_SI_old(V$41,$M64,q_liq,fw,rp_m3m3,NaK,Ca2_,Mg2_,Ba2_,Sr2_,Cl,SO4_,HCO3_,CO2_mol,$L$60)</f>
        <v>-9.5619823043606686</v>
      </c>
      <c r="AT64" s="80" cm="1">
        <f t="array" ref="AT64">[1]!unf_fa_scale_SI_old(W$41,$M64,q_liq,fw,rp_m3m3,NaK,Ca2_,Mg2_,Ba2_,Sr2_,Cl,SO4_,HCO3_,CO2_mol,$L$60)</f>
        <v>-9.7254804634389149</v>
      </c>
      <c r="AU64" s="80" cm="1">
        <f t="array" ref="AU64">[1]!unf_fa_scale_SI_old(X$41,$M64,q_liq,fw,rp_m3m3,NaK,Ca2_,Mg2_,Ba2_,Sr2_,Cl,SO4_,HCO3_,CO2_mol,$L$60)</f>
        <v>-9.8856369172579157</v>
      </c>
      <c r="AV64" s="80" cm="1">
        <f t="array" ref="AV64">[1]!unf_fa_scale_SI_old(Y$41,$M64,q_liq,fw,rp_m3m3,NaK,Ca2_,Mg2_,Ba2_,Sr2_,Cl,SO4_,HCO3_,CO2_mol,$L$60)</f>
        <v>-10.041814933809079</v>
      </c>
      <c r="AW64" s="80" cm="1">
        <f t="array" ref="AW64">[1]!unf_fa_scale_SI_old(Z$41,$M64,q_liq,fw,rp_m3m3,NaK,Ca2_,Mg2_,Ba2_,Sr2_,Cl,SO4_,HCO3_,CO2_mol,$L$60)</f>
        <v>-10.194311338388315</v>
      </c>
      <c r="AX64" s="80" cm="1">
        <f t="array" ref="AX64">[1]!unf_fa_scale_SI_old(AA$41,$M64,q_liq,fw,rp_m3m3,NaK,Ca2_,Mg2_,Ba2_,Sr2_,Cl,SO4_,HCO3_,CO2_mol,$L$60)</f>
        <v>-10.345363744536236</v>
      </c>
      <c r="AY64" s="80" cm="1">
        <f t="array" ref="AY64">[1]!unf_fa_scale_SI_old(AB$41,$M64,q_liq,fw,rp_m3m3,NaK,Ca2_,Mg2_,Ba2_,Sr2_,Cl,SO4_,HCO3_,CO2_mol,$L$60)</f>
        <v>-10.500451159759253</v>
      </c>
      <c r="AZ64" s="80" cm="1">
        <f t="array" ref="AZ64">[1]!unf_fa_scale_SI_old(AC$41,$M64,q_liq,fw,rp_m3m3,NaK,Ca2_,Mg2_,Ba2_,Sr2_,Cl,SO4_,HCO3_,CO2_mol,$L$60)</f>
        <v>-10.669581191544339</v>
      </c>
    </row>
    <row r="65" spans="12:52" x14ac:dyDescent="0.2">
      <c r="L65" s="36"/>
      <c r="M65" s="26">
        <v>5</v>
      </c>
      <c r="N65" s="40">
        <f t="array" ref="N65">[1]!unf_fa_scale_SI(N$41,$M65,q_liq,fw,rp_m3m3,NaK,Ca2_,Mg2_,Ba2_,Sr2_,Cl,SO4_,HCO3_,CO2_mol,$L$60)</f>
        <v>-9.0457147923161472</v>
      </c>
      <c r="O65" s="27">
        <f t="array" ref="O65">[1]!unf_fa_scale_SI(O$41,$M65,q_liq,fw,rp_m3m3,NaK,Ca2_,Mg2_,Ba2_,Sr2_,Cl,SO4_,HCO3_,CO2_mol,$L$60)</f>
        <v>-9.0460802865305467</v>
      </c>
      <c r="P65" s="27">
        <f t="array" ref="P65">[1]!unf_fa_scale_SI(P$41,$M65,q_liq,fw,rp_m3m3,NaK,Ca2_,Mg2_,Ba2_,Sr2_,Cl,SO4_,HCO3_,CO2_mol,$L$60)</f>
        <v>-9.0466139080835699</v>
      </c>
      <c r="Q65" s="27">
        <f t="array" ref="Q65">[1]!unf_fa_scale_SI(Q$41,$M65,q_liq,fw,rp_m3m3,NaK,Ca2_,Mg2_,Ba2_,Sr2_,Cl,SO4_,HCO3_,CO2_mol,$L$60)</f>
        <v>-9.047392995550986</v>
      </c>
      <c r="R65" s="27">
        <f t="array" ref="R65">[1]!unf_fa_scale_SI(R$41,$M65,q_liq,fw,rp_m3m3,NaK,Ca2_,Mg2_,Ba2_,Sr2_,Cl,SO4_,HCO3_,CO2_mol,$L$60)</f>
        <v>-9.048530463253412</v>
      </c>
      <c r="S65" s="27">
        <f t="array" ref="S65">[1]!unf_fa_scale_SI(S$41,$M65,q_liq,fw,rp_m3m3,NaK,Ca2_,Mg2_,Ba2_,Sr2_,Cl,SO4_,HCO3_,CO2_mol,$L$60)</f>
        <v>-9.0501911660989531</v>
      </c>
      <c r="T65" s="27">
        <f t="array" ref="T65">[1]!unf_fa_scale_SI(T$41,$M65,q_liq,fw,rp_m3m3,NaK,Ca2_,Mg2_,Ba2_,Sr2_,Cl,SO4_,HCO3_,CO2_mol,$L$60)</f>
        <v>-9.0526157922534445</v>
      </c>
      <c r="U65" s="27">
        <f t="array" ref="U65">[1]!unf_fa_scale_SI(U$41,$M65,q_liq,fw,rp_m3m3,NaK,Ca2_,Mg2_,Ba2_,Sr2_,Cl,SO4_,HCO3_,CO2_mol,$L$60)</f>
        <v>-9.0561557464390017</v>
      </c>
      <c r="V65" s="27">
        <f t="array" ref="V65">[1]!unf_fa_scale_SI(V$41,$M65,q_liq,fw,rp_m3m3,NaK,Ca2_,Mg2_,Ba2_,Sr2_,Cl,SO4_,HCO3_,CO2_mol,$L$60)</f>
        <v>-9.0613240795499159</v>
      </c>
      <c r="W65" s="27">
        <f t="array" ref="W65">[1]!unf_fa_scale_SI(W$41,$M65,q_liq,fw,rp_m3m3,NaK,Ca2_,Mg2_,Ba2_,Sr2_,Cl,SO4_,HCO3_,CO2_mol,$L$60)</f>
        <v>-9.0688698458918484</v>
      </c>
      <c r="X65" s="27">
        <f t="array" ref="X65">[1]!unf_fa_scale_SI(X$41,$M65,q_liq,fw,rp_m3m3,NaK,Ca2_,Mg2_,Ba2_,Sr2_,Cl,SO4_,HCO3_,CO2_mol,$L$60)</f>
        <v>-9.0798866647510721</v>
      </c>
      <c r="Y65" s="27">
        <f t="array" ref="Y65">[1]!unf_fa_scale_SI(Y$41,$M65,q_liq,fw,rp_m3m3,NaK,Ca2_,Mg2_,Ba2_,Sr2_,Cl,SO4_,HCO3_,CO2_mol,$L$60)</f>
        <v>-9.0959712202855378</v>
      </c>
      <c r="Z65" s="27">
        <f t="array" ref="Z65">[1]!unf_fa_scale_SI(Z$41,$M65,q_liq,fw,rp_m3m3,NaK,Ca2_,Mg2_,Ba2_,Sr2_,Cl,SO4_,HCO3_,CO2_mol,$L$60)</f>
        <v>-9.1194546713658564</v>
      </c>
      <c r="AA65" s="27">
        <f t="array" ref="AA65">[1]!unf_fa_scale_SI(AA$41,$M65,q_liq,fw,rp_m3m3,NaK,Ca2_,Mg2_,Ba2_,Sr2_,Cl,SO4_,HCO3_,CO2_mol,$L$60)</f>
        <v>-9.1537405099431233</v>
      </c>
      <c r="AB65" s="27">
        <f t="array" ref="AB65">[1]!unf_fa_scale_SI(AB$41,$M65,q_liq,fw,rp_m3m3,NaK,Ca2_,Mg2_,Ba2_,Sr2_,Cl,SO4_,HCO3_,CO2_mol,$L$60)</f>
        <v>-9.2037978342659326</v>
      </c>
      <c r="AC65" s="28">
        <f t="array" ref="AC65">[1]!unf_fa_scale_SI(AC$41,$M65,q_liq,fw,rp_m3m3,NaK,Ca2_,Mg2_,Ba2_,Sr2_,Cl,SO4_,HCO3_,CO2_mol,$L$60)</f>
        <v>-9.2768815277772347</v>
      </c>
      <c r="AI65" s="36"/>
      <c r="AJ65" s="26">
        <v>5</v>
      </c>
      <c r="AK65" s="80" cm="1">
        <f t="array" ref="AK65">[1]!unf_fa_scale_SI_old(N$41,$M65,q_liq,fw,rp_m3m3,NaK,Ca2_,Mg2_,Ba2_,Sr2_,Cl,SO4_,HCO3_,CO2_mol,$L$60)</f>
        <v>-8.2180240585795445</v>
      </c>
      <c r="AL65" s="80" cm="1">
        <f t="array" ref="AL65">[1]!unf_fa_scale_SI_old(O$41,$M65,q_liq,fw,rp_m3m3,NaK,Ca2_,Mg2_,Ba2_,Sr2_,Cl,SO4_,HCO3_,CO2_mol,$L$60)</f>
        <v>-8.3861150100231399</v>
      </c>
      <c r="AM65" s="80" cm="1">
        <f t="array" ref="AM65">[1]!unf_fa_scale_SI_old(P$41,$M65,q_liq,fw,rp_m3m3,NaK,Ca2_,Mg2_,Ba2_,Sr2_,Cl,SO4_,HCO3_,CO2_mol,$L$60)</f>
        <v>-8.5547827451689109</v>
      </c>
      <c r="AN65" s="80" cm="1">
        <f t="array" ref="AN65">[1]!unf_fa_scale_SI_old(Q$41,$M65,q_liq,fw,rp_m3m3,NaK,Ca2_,Mg2_,Ba2_,Sr2_,Cl,SO4_,HCO3_,CO2_mol,$L$60)</f>
        <v>-8.7240577828615713</v>
      </c>
      <c r="AO65" s="80" cm="1">
        <f t="array" ref="AO65">[1]!unf_fa_scale_SI_old(R$41,$M65,q_liq,fw,rp_m3m3,NaK,Ca2_,Mg2_,Ba2_,Sr2_,Cl,SO4_,HCO3_,CO2_mol,$L$60)</f>
        <v>-8.8939394439861594</v>
      </c>
      <c r="AP65" s="80" cm="1">
        <f t="array" ref="AP65">[1]!unf_fa_scale_SI_old(S$41,$M65,q_liq,fw,rp_m3m3,NaK,Ca2_,Mg2_,Ba2_,Sr2_,Cl,SO4_,HCO3_,CO2_mol,$L$60)</f>
        <v>-9.0643762236351115</v>
      </c>
      <c r="AQ65" s="80" cm="1">
        <f t="array" ref="AQ65">[1]!unf_fa_scale_SI_old(T$41,$M65,q_liq,fw,rp_m3m3,NaK,Ca2_,Mg2_,Ba2_,Sr2_,Cl,SO4_,HCO3_,CO2_mol,$L$60)</f>
        <v>-9.23524060034344</v>
      </c>
      <c r="AR65" s="80" cm="1">
        <f t="array" ref="AR65">[1]!unf_fa_scale_SI_old(U$41,$M65,q_liq,fw,rp_m3m3,NaK,Ca2_,Mg2_,Ba2_,Sr2_,Cl,SO4_,HCO3_,CO2_mol,$L$60)</f>
        <v>-9.406301158841643</v>
      </c>
      <c r="AS65" s="80" cm="1">
        <f t="array" ref="AS65">[1]!unf_fa_scale_SI_old(V$41,$M65,q_liq,fw,rp_m3m3,NaK,Ca2_,Mg2_,Ba2_,Sr2_,Cl,SO4_,HCO3_,CO2_mol,$L$60)</f>
        <v>-9.5772015062025044</v>
      </c>
      <c r="AT65" s="80" cm="1">
        <f t="array" ref="AT65">[1]!unf_fa_scale_SI_old(W$41,$M65,q_liq,fw,rp_m3m3,NaK,Ca2_,Mg2_,Ba2_,Sr2_,Cl,SO4_,HCO3_,CO2_mol,$L$60)</f>
        <v>-9.7474683600387504</v>
      </c>
      <c r="AU65" s="80" cm="1">
        <f t="array" ref="AU65">[1]!unf_fa_scale_SI_old(X$41,$M65,q_liq,fw,rp_m3m3,NaK,Ca2_,Mg2_,Ba2_,Sr2_,Cl,SO4_,HCO3_,CO2_mol,$L$60)</f>
        <v>-9.916592110888411</v>
      </c>
      <c r="AV65" s="80" cm="1">
        <f t="array" ref="AV65">[1]!unf_fa_scale_SI_old(Y$41,$M65,q_liq,fw,rp_m3m3,NaK,Ca2_,Mg2_,Ba2_,Sr2_,Cl,SO4_,HCO3_,CO2_mol,$L$60)</f>
        <v>-10.084247698811572</v>
      </c>
      <c r="AW65" s="80" cm="1">
        <f t="array" ref="AW65">[1]!unf_fa_scale_SI_old(Z$41,$M65,q_liq,fw,rp_m3m3,NaK,Ca2_,Mg2_,Ba2_,Sr2_,Cl,SO4_,HCO3_,CO2_mol,$L$60)</f>
        <v>-10.250730361553565</v>
      </c>
      <c r="AX65" s="80" cm="1">
        <f t="array" ref="AX65">[1]!unf_fa_scale_SI_old(AA$41,$M65,q_liq,fw,rp_m3m3,NaK,Ca2_,Mg2_,Ba2_,Sr2_,Cl,SO4_,HCO3_,CO2_mol,$L$60)</f>
        <v>-10.417619942476914</v>
      </c>
      <c r="AY65" s="80" cm="1">
        <f t="array" ref="AY65">[1]!unf_fa_scale_SI_old(AB$41,$M65,q_liq,fw,rp_m3m3,NaK,Ca2_,Mg2_,Ba2_,Sr2_,Cl,SO4_,HCO3_,CO2_mol,$L$60)</f>
        <v>-10.588491165389806</v>
      </c>
      <c r="AZ65" s="80" cm="1">
        <f t="array" ref="AZ65">[1]!unf_fa_scale_SI_old(AC$41,$M65,q_liq,fw,rp_m3m3,NaK,Ca2_,Mg2_,Ba2_,Sr2_,Cl,SO4_,HCO3_,CO2_mol,$L$60)</f>
        <v>-10.769150296120143</v>
      </c>
    </row>
    <row r="66" spans="12:52" x14ac:dyDescent="0.2">
      <c r="L66" s="36"/>
      <c r="M66" s="26">
        <v>10</v>
      </c>
      <c r="N66" s="40">
        <f t="array" ref="N66">[1]!unf_fa_scale_SI(N$41,$M66,q_liq,fw,rp_m3m3,NaK,Ca2_,Mg2_,Ba2_,Sr2_,Cl,SO4_,HCO3_,CO2_mol,$L$60)</f>
        <v>-9.041172934363777</v>
      </c>
      <c r="O66" s="27">
        <f t="array" ref="O66">[1]!unf_fa_scale_SI(O$41,$M66,q_liq,fw,rp_m3m3,NaK,Ca2_,Mg2_,Ba2_,Sr2_,Cl,SO4_,HCO3_,CO2_mol,$L$60)</f>
        <v>-9.0415384285781766</v>
      </c>
      <c r="P66" s="27">
        <f t="array" ref="P66">[1]!unf_fa_scale_SI(P$41,$M66,q_liq,fw,rp_m3m3,NaK,Ca2_,Mg2_,Ba2_,Sr2_,Cl,SO4_,HCO3_,CO2_mol,$L$60)</f>
        <v>-9.0420720501311997</v>
      </c>
      <c r="Q66" s="27">
        <f t="array" ref="Q66">[1]!unf_fa_scale_SI(Q$41,$M66,q_liq,fw,rp_m3m3,NaK,Ca2_,Mg2_,Ba2_,Sr2_,Cl,SO4_,HCO3_,CO2_mol,$L$60)</f>
        <v>-9.0428511375986158</v>
      </c>
      <c r="R66" s="27">
        <f t="array" ref="R66">[1]!unf_fa_scale_SI(R$41,$M66,q_liq,fw,rp_m3m3,NaK,Ca2_,Mg2_,Ba2_,Sr2_,Cl,SO4_,HCO3_,CO2_mol,$L$60)</f>
        <v>-9.0439886053010419</v>
      </c>
      <c r="S66" s="27">
        <f t="array" ref="S66">[1]!unf_fa_scale_SI(S$41,$M66,q_liq,fw,rp_m3m3,NaK,Ca2_,Mg2_,Ba2_,Sr2_,Cl,SO4_,HCO3_,CO2_mol,$L$60)</f>
        <v>-9.045649308146583</v>
      </c>
      <c r="T66" s="27">
        <f t="array" ref="T66">[1]!unf_fa_scale_SI(T$41,$M66,q_liq,fw,rp_m3m3,NaK,Ca2_,Mg2_,Ba2_,Sr2_,Cl,SO4_,HCO3_,CO2_mol,$L$60)</f>
        <v>-9.0480739343010743</v>
      </c>
      <c r="U66" s="27">
        <f t="array" ref="U66">[1]!unf_fa_scale_SI(U$41,$M66,q_liq,fw,rp_m3m3,NaK,Ca2_,Mg2_,Ba2_,Sr2_,Cl,SO4_,HCO3_,CO2_mol,$L$60)</f>
        <v>-9.0516138884866315</v>
      </c>
      <c r="V66" s="27">
        <f t="array" ref="V66">[1]!unf_fa_scale_SI(V$41,$M66,q_liq,fw,rp_m3m3,NaK,Ca2_,Mg2_,Ba2_,Sr2_,Cl,SO4_,HCO3_,CO2_mol,$L$60)</f>
        <v>-9.0567822215975458</v>
      </c>
      <c r="W66" s="27">
        <f t="array" ref="W66">[1]!unf_fa_scale_SI(W$41,$M66,q_liq,fw,rp_m3m3,NaK,Ca2_,Mg2_,Ba2_,Sr2_,Cl,SO4_,HCO3_,CO2_mol,$L$60)</f>
        <v>-9.0643279879394782</v>
      </c>
      <c r="X66" s="27">
        <f t="array" ref="X66">[1]!unf_fa_scale_SI(X$41,$M66,q_liq,fw,rp_m3m3,NaK,Ca2_,Mg2_,Ba2_,Sr2_,Cl,SO4_,HCO3_,CO2_mol,$L$60)</f>
        <v>-9.0753448067987019</v>
      </c>
      <c r="Y66" s="27">
        <f t="array" ref="Y66">[1]!unf_fa_scale_SI(Y$41,$M66,q_liq,fw,rp_m3m3,NaK,Ca2_,Mg2_,Ba2_,Sr2_,Cl,SO4_,HCO3_,CO2_mol,$L$60)</f>
        <v>-9.0914293623331677</v>
      </c>
      <c r="Z66" s="27">
        <f t="array" ref="Z66">[1]!unf_fa_scale_SI(Z$41,$M66,q_liq,fw,rp_m3m3,NaK,Ca2_,Mg2_,Ba2_,Sr2_,Cl,SO4_,HCO3_,CO2_mol,$L$60)</f>
        <v>-9.1149128134134862</v>
      </c>
      <c r="AA66" s="27">
        <f t="array" ref="AA66">[1]!unf_fa_scale_SI(AA$41,$M66,q_liq,fw,rp_m3m3,NaK,Ca2_,Mg2_,Ba2_,Sr2_,Cl,SO4_,HCO3_,CO2_mol,$L$60)</f>
        <v>-9.1491986519907531</v>
      </c>
      <c r="AB66" s="27">
        <f t="array" ref="AB66">[1]!unf_fa_scale_SI(AB$41,$M66,q_liq,fw,rp_m3m3,NaK,Ca2_,Mg2_,Ba2_,Sr2_,Cl,SO4_,HCO3_,CO2_mol,$L$60)</f>
        <v>-9.1992559763135624</v>
      </c>
      <c r="AC66" s="28">
        <f t="array" ref="AC66">[1]!unf_fa_scale_SI(AC$41,$M66,q_liq,fw,rp_m3m3,NaK,Ca2_,Mg2_,Ba2_,Sr2_,Cl,SO4_,HCO3_,CO2_mol,$L$60)</f>
        <v>-9.2723396698248646</v>
      </c>
      <c r="AI66" s="36"/>
      <c r="AJ66" s="26">
        <v>10</v>
      </c>
      <c r="AK66" s="80" cm="1">
        <f t="array" ref="AK66">[1]!unf_fa_scale_SI_old(N$41,$M66,q_liq,fw,rp_m3m3,NaK,Ca2_,Mg2_,Ba2_,Sr2_,Cl,SO4_,HCO3_,CO2_mol,$L$60)</f>
        <v>-8.214755138217642</v>
      </c>
      <c r="AL66" s="80" cm="1">
        <f t="array" ref="AL66">[1]!unf_fa_scale_SI_old(O$41,$M66,q_liq,fw,rp_m3m3,NaK,Ca2_,Mg2_,Ba2_,Sr2_,Cl,SO4_,HCO3_,CO2_mol,$L$60)</f>
        <v>-8.3832867297611013</v>
      </c>
      <c r="AM66" s="80" cm="1">
        <f t="array" ref="AM66">[1]!unf_fa_scale_SI_old(P$41,$M66,q_liq,fw,rp_m3m3,NaK,Ca2_,Mg2_,Ba2_,Sr2_,Cl,SO4_,HCO3_,CO2_mol,$L$60)</f>
        <v>-8.5525654974099261</v>
      </c>
      <c r="AN66" s="80" cm="1">
        <f t="array" ref="AN66">[1]!unf_fa_scale_SI_old(Q$41,$M66,q_liq,fw,rp_m3m3,NaK,Ca2_,Mg2_,Ba2_,Sr2_,Cl,SO4_,HCO3_,CO2_mol,$L$60)</f>
        <v>-8.7226914393763426</v>
      </c>
      <c r="AO66" s="80" cm="1">
        <f t="array" ref="AO66">[1]!unf_fa_scale_SI_old(R$41,$M66,q_liq,fw,rp_m3m3,NaK,Ca2_,Mg2_,Ba2_,Sr2_,Cl,SO4_,HCO3_,CO2_mol,$L$60)</f>
        <v>-8.8937611668347767</v>
      </c>
      <c r="AP66" s="80" cm="1">
        <f t="array" ref="AP66">[1]!unf_fa_scale_SI_old(S$41,$M66,q_liq,fw,rp_m3m3,NaK,Ca2_,Mg2_,Ba2_,Sr2_,Cl,SO4_,HCO3_,CO2_mol,$L$60)</f>
        <v>-9.0658577446549327</v>
      </c>
      <c r="AQ66" s="80" cm="1">
        <f t="array" ref="AQ66">[1]!unf_fa_scale_SI_old(T$41,$M66,q_liq,fw,rp_m3m3,NaK,Ca2_,Mg2_,Ba2_,Sr2_,Cl,SO4_,HCO3_,CO2_mol,$L$60)</f>
        <v>-9.2390360227552293</v>
      </c>
      <c r="AR66" s="80" cm="1">
        <f t="array" ref="AR66">[1]!unf_fa_scale_SI_old(U$41,$M66,q_liq,fw,rp_m3m3,NaK,Ca2_,Mg2_,Ba2_,Sr2_,Cl,SO4_,HCO3_,CO2_mol,$L$60)</f>
        <v>-9.4133035129630258</v>
      </c>
      <c r="AS66" s="80" cm="1">
        <f t="array" ref="AS66">[1]!unf_fa_scale_SI_old(V$41,$M66,q_liq,fw,rp_m3m3,NaK,Ca2_,Mg2_,Ba2_,Sr2_,Cl,SO4_,HCO3_,CO2_mol,$L$60)</f>
        <v>-9.5885992376415601</v>
      </c>
      <c r="AT66" s="80" cm="1">
        <f t="array" ref="AT66">[1]!unf_fa_scale_SI_old(W$41,$M66,q_liq,fw,rp_m3m3,NaK,Ca2_,Mg2_,Ba2_,Sr2_,Cl,SO4_,HCO3_,CO2_mol,$L$60)</f>
        <v>-9.7647779481568318</v>
      </c>
      <c r="AU66" s="80" cm="1">
        <f t="array" ref="AU66">[1]!unf_fa_scale_SI_old(X$41,$M66,q_liq,fw,rp_m3m3,NaK,Ca2_,Mg2_,Ba2_,Sr2_,Cl,SO4_,HCO3_,CO2_mol,$L$60)</f>
        <v>-9.941615253059318</v>
      </c>
      <c r="AV66" s="80" cm="1">
        <f t="array" ref="AV66">[1]!unf_fa_scale_SI_old(Y$41,$M66,q_liq,fw,rp_m3m3,NaK,Ca2_,Mg2_,Ba2_,Sr2_,Cl,SO4_,HCO3_,CO2_mol,$L$60)</f>
        <v>-10.118857591772738</v>
      </c>
      <c r="AW66" s="80" cm="1">
        <f t="array" ref="AW66">[1]!unf_fa_scale_SI_old(Z$41,$M66,q_liq,fw,rp_m3m3,NaK,Ca2_,Mg2_,Ba2_,Sr2_,Cl,SO4_,HCO3_,CO2_mol,$L$60)</f>
        <v>-10.296337277401285</v>
      </c>
      <c r="AX66" s="80" cm="1">
        <f t="array" ref="AX66">[1]!unf_fa_scale_SI_old(AA$41,$M66,q_liq,fw,rp_m3m3,NaK,Ca2_,Mg2_,Ba2_,Sr2_,Cl,SO4_,HCO3_,CO2_mol,$L$60)</f>
        <v>-10.474134057684799</v>
      </c>
      <c r="AY66" s="80" cm="1">
        <f t="array" ref="AY66">[1]!unf_fa_scale_SI_old(AB$41,$M66,q_liq,fw,rp_m3m3,NaK,Ca2_,Mg2_,Ba2_,Sr2_,Cl,SO4_,HCO3_,CO2_mol,$L$60)</f>
        <v>-10.652703799680696</v>
      </c>
      <c r="AZ66" s="80" cm="1">
        <f t="array" ref="AZ66">[1]!unf_fa_scale_SI_old(AC$41,$M66,q_liq,fw,rp_m3m3,NaK,Ca2_,Mg2_,Ba2_,Sr2_,Cl,SO4_,HCO3_,CO2_mol,$L$60)</f>
        <v>-10.833057860506523</v>
      </c>
    </row>
    <row r="67" spans="12:52" x14ac:dyDescent="0.2">
      <c r="L67" s="36"/>
      <c r="M67" s="26">
        <v>15</v>
      </c>
      <c r="N67" s="40">
        <f t="array" ref="N67">[1]!unf_fa_scale_SI(N$41,$M67,q_liq,fw,rp_m3m3,NaK,Ca2_,Mg2_,Ba2_,Sr2_,Cl,SO4_,HCO3_,CO2_mol,$L$60)</f>
        <v>-9.0351683784114059</v>
      </c>
      <c r="O67" s="27">
        <f t="array" ref="O67">[1]!unf_fa_scale_SI(O$41,$M67,q_liq,fw,rp_m3m3,NaK,Ca2_,Mg2_,Ba2_,Sr2_,Cl,SO4_,HCO3_,CO2_mol,$L$60)</f>
        <v>-9.0355338726258054</v>
      </c>
      <c r="P67" s="27">
        <f t="array" ref="P67">[1]!unf_fa_scale_SI(P$41,$M67,q_liq,fw,rp_m3m3,NaK,Ca2_,Mg2_,Ba2_,Sr2_,Cl,SO4_,HCO3_,CO2_mol,$L$60)</f>
        <v>-9.0360674941788286</v>
      </c>
      <c r="Q67" s="27">
        <f t="array" ref="Q67">[1]!unf_fa_scale_SI(Q$41,$M67,q_liq,fw,rp_m3m3,NaK,Ca2_,Mg2_,Ba2_,Sr2_,Cl,SO4_,HCO3_,CO2_mol,$L$60)</f>
        <v>-9.0368465816462447</v>
      </c>
      <c r="R67" s="27">
        <f t="array" ref="R67">[1]!unf_fa_scale_SI(R$41,$M67,q_liq,fw,rp_m3m3,NaK,Ca2_,Mg2_,Ba2_,Sr2_,Cl,SO4_,HCO3_,CO2_mol,$L$60)</f>
        <v>-9.0379840493486707</v>
      </c>
      <c r="S67" s="27">
        <f t="array" ref="S67">[1]!unf_fa_scale_SI(S$41,$M67,q_liq,fw,rp_m3m3,NaK,Ca2_,Mg2_,Ba2_,Sr2_,Cl,SO4_,HCO3_,CO2_mol,$L$60)</f>
        <v>-9.0396447521942118</v>
      </c>
      <c r="T67" s="27">
        <f t="array" ref="T67">[1]!unf_fa_scale_SI(T$41,$M67,q_liq,fw,rp_m3m3,NaK,Ca2_,Mg2_,Ba2_,Sr2_,Cl,SO4_,HCO3_,CO2_mol,$L$60)</f>
        <v>-9.0420693783487032</v>
      </c>
      <c r="U67" s="27">
        <f t="array" ref="U67">[1]!unf_fa_scale_SI(U$41,$M67,q_liq,fw,rp_m3m3,NaK,Ca2_,Mg2_,Ba2_,Sr2_,Cl,SO4_,HCO3_,CO2_mol,$L$60)</f>
        <v>-9.0456093325342604</v>
      </c>
      <c r="V67" s="27">
        <f t="array" ref="V67">[1]!unf_fa_scale_SI(V$41,$M67,q_liq,fw,rp_m3m3,NaK,Ca2_,Mg2_,Ba2_,Sr2_,Cl,SO4_,HCO3_,CO2_mol,$L$60)</f>
        <v>-9.0507776656451746</v>
      </c>
      <c r="W67" s="27">
        <f t="array" ref="W67">[1]!unf_fa_scale_SI(W$41,$M67,q_liq,fw,rp_m3m3,NaK,Ca2_,Mg2_,Ba2_,Sr2_,Cl,SO4_,HCO3_,CO2_mol,$L$60)</f>
        <v>-9.0583234319871071</v>
      </c>
      <c r="X67" s="27">
        <f t="array" ref="X67">[1]!unf_fa_scale_SI(X$41,$M67,q_liq,fw,rp_m3m3,NaK,Ca2_,Mg2_,Ba2_,Sr2_,Cl,SO4_,HCO3_,CO2_mol,$L$60)</f>
        <v>-9.0693402508463308</v>
      </c>
      <c r="Y67" s="27">
        <f t="array" ref="Y67">[1]!unf_fa_scale_SI(Y$41,$M67,q_liq,fw,rp_m3m3,NaK,Ca2_,Mg2_,Ba2_,Sr2_,Cl,SO4_,HCO3_,CO2_mol,$L$60)</f>
        <v>-9.0854248063807965</v>
      </c>
      <c r="Z67" s="27">
        <f t="array" ref="Z67">[1]!unf_fa_scale_SI(Z$41,$M67,q_liq,fw,rp_m3m3,NaK,Ca2_,Mg2_,Ba2_,Sr2_,Cl,SO4_,HCO3_,CO2_mol,$L$60)</f>
        <v>-9.1089082574611151</v>
      </c>
      <c r="AA67" s="27">
        <f t="array" ref="AA67">[1]!unf_fa_scale_SI(AA$41,$M67,q_liq,fw,rp_m3m3,NaK,Ca2_,Mg2_,Ba2_,Sr2_,Cl,SO4_,HCO3_,CO2_mol,$L$60)</f>
        <v>-9.143194096038382</v>
      </c>
      <c r="AB67" s="27">
        <f t="array" ref="AB67">[1]!unf_fa_scale_SI(AB$41,$M67,q_liq,fw,rp_m3m3,NaK,Ca2_,Mg2_,Ba2_,Sr2_,Cl,SO4_,HCO3_,CO2_mol,$L$60)</f>
        <v>-9.1932514203611913</v>
      </c>
      <c r="AC67" s="28">
        <f t="array" ref="AC67">[1]!unf_fa_scale_SI(AC$41,$M67,q_liq,fw,rp_m3m3,NaK,Ca2_,Mg2_,Ba2_,Sr2_,Cl,SO4_,HCO3_,CO2_mol,$L$60)</f>
        <v>-9.2663351138724934</v>
      </c>
      <c r="AI67" s="36"/>
      <c r="AJ67" s="26">
        <v>15</v>
      </c>
      <c r="AK67" s="80" cm="1">
        <f t="array" ref="AK67">[1]!unf_fa_scale_SI_old(N$41,$M67,q_liq,fw,rp_m3m3,NaK,Ca2_,Mg2_,Ba2_,Sr2_,Cl,SO4_,HCO3_,CO2_mol,$L$60)</f>
        <v>-8.2097967360464299</v>
      </c>
      <c r="AL67" s="80" cm="1">
        <f t="array" ref="AL67">[1]!unf_fa_scale_SI_old(O$41,$M67,q_liq,fw,rp_m3m3,NaK,Ca2_,Mg2_,Ba2_,Sr2_,Cl,SO4_,HCO3_,CO2_mol,$L$60)</f>
        <v>-8.3786843267250255</v>
      </c>
      <c r="AM67" s="80" cm="1">
        <f t="array" ref="AM67">[1]!unf_fa_scale_SI_old(P$41,$M67,q_liq,fw,rp_m3m3,NaK,Ca2_,Mg2_,Ba2_,Sr2_,Cl,SO4_,HCO3_,CO2_mol,$L$60)</f>
        <v>-8.5484550833499782</v>
      </c>
      <c r="AN67" s="80" cm="1">
        <f t="array" ref="AN67">[1]!unf_fa_scale_SI_old(Q$41,$M67,q_liq,fw,rp_m3m3,NaK,Ca2_,Mg2_,Ba2_,Sr2_,Cl,SO4_,HCO3_,CO2_mol,$L$60)</f>
        <v>-8.7192640503126082</v>
      </c>
      <c r="AO67" s="80" cm="1">
        <f t="array" ref="AO67">[1]!unf_fa_scale_SI_old(R$41,$M67,q_liq,fw,rp_m3m3,NaK,Ca2_,Mg2_,Ba2_,Sr2_,Cl,SO4_,HCO3_,CO2_mol,$L$60)</f>
        <v>-8.8912848112692586</v>
      </c>
      <c r="AP67" s="80" cm="1">
        <f t="array" ref="AP67">[1]!unf_fa_scale_SI_old(S$41,$M67,q_liq,fw,rp_m3m3,NaK,Ca2_,Mg2_,Ba2_,Sr2_,Cl,SO4_,HCO3_,CO2_mol,$L$60)</f>
        <v>-9.0647067161712336</v>
      </c>
      <c r="AQ67" s="80" cm="1">
        <f t="array" ref="AQ67">[1]!unf_fa_scale_SI_old(T$41,$M67,q_liq,fw,rp_m3m3,NaK,Ca2_,Mg2_,Ba2_,Sr2_,Cl,SO4_,HCO3_,CO2_mol,$L$60)</f>
        <v>-9.2397282490014856</v>
      </c>
      <c r="AR67" s="80" cm="1">
        <f t="array" ref="AR67">[1]!unf_fa_scale_SI_old(U$41,$M67,q_liq,fw,rp_m3m3,NaK,Ca2_,Mg2_,Ba2_,Sr2_,Cl,SO4_,HCO3_,CO2_mol,$L$60)</f>
        <v>-9.4165439773554134</v>
      </c>
      <c r="AS67" s="80" cm="1">
        <f t="array" ref="AS67">[1]!unf_fa_scale_SI_old(V$41,$M67,q_liq,fw,rp_m3m3,NaK,Ca2_,Mg2_,Ba2_,Sr2_,Cl,SO4_,HCO3_,CO2_mol,$L$60)</f>
        <v>-9.5953207966995091</v>
      </c>
      <c r="AT67" s="80" cm="1">
        <f t="array" ref="AT67">[1]!unf_fa_scale_SI_old(W$41,$M67,q_liq,fw,rp_m3m3,NaK,Ca2_,Mg2_,Ba2_,Sr2_,Cl,SO4_,HCO3_,CO2_mol,$L$60)</f>
        <v>-9.7761558941086992</v>
      </c>
      <c r="AU67" s="80" cm="1">
        <f t="array" ref="AU67">[1]!unf_fa_scale_SI_old(X$41,$M67,q_liq,fw,rp_m3m3,NaK,Ca2_,Mg2_,Ba2_,Sr2_,Cl,SO4_,HCO3_,CO2_mol,$L$60)</f>
        <v>-9.9590023863718322</v>
      </c>
      <c r="AV67" s="80" cm="1">
        <f t="array" ref="AV67">[1]!unf_fa_scale_SI_old(Y$41,$M67,q_liq,fw,rp_m3m3,NaK,Ca2_,Mg2_,Ba2_,Sr2_,Cl,SO4_,HCO3_,CO2_mol,$L$60)</f>
        <v>-10.143537024706363</v>
      </c>
      <c r="AW67" s="80" cm="1">
        <f t="array" ref="AW67">[1]!unf_fa_scale_SI_old(Z$41,$M67,q_liq,fw,rp_m3m3,NaK,Ca2_,Mg2_,Ba2_,Sr2_,Cl,SO4_,HCO3_,CO2_mol,$L$60)</f>
        <v>-10.328932857392305</v>
      </c>
      <c r="AX67" s="80" cm="1">
        <f t="array" ref="AX67">[1]!unf_fa_scale_SI_old(AA$41,$M67,q_liq,fw,rp_m3m3,NaK,Ca2_,Mg2_,Ba2_,Sr2_,Cl,SO4_,HCO3_,CO2_mol,$L$60)</f>
        <v>-10.513536888397413</v>
      </c>
      <c r="AY67" s="80" cm="1">
        <f t="array" ref="AY67">[1]!unf_fa_scale_SI_old(AB$41,$M67,q_liq,fw,rp_m3m3,NaK,Ca2_,Mg2_,Ba2_,Sr2_,Cl,SO4_,HCO3_,CO2_mol,$L$60)</f>
        <v>-10.69473571565452</v>
      </c>
      <c r="AZ67" s="80" cm="1">
        <f t="array" ref="AZ67">[1]!unf_fa_scale_SI_old(AC$41,$M67,q_liq,fw,rp_m3m3,NaK,Ca2_,Mg2_,Ba2_,Sr2_,Cl,SO4_,HCO3_,CO2_mol,$L$60)</f>
        <v>-10.87021240507911</v>
      </c>
    </row>
    <row r="68" spans="12:52" x14ac:dyDescent="0.2">
      <c r="L68" s="36"/>
      <c r="M68" s="26">
        <v>20</v>
      </c>
      <c r="N68" s="40">
        <f t="array" ref="N68">[1]!unf_fa_scale_SI(N$41,$M68,q_liq,fw,rp_m3m3,NaK,Ca2_,Mg2_,Ba2_,Sr2_,Cl,SO4_,HCO3_,CO2_mol,$L$60)</f>
        <v>-9.0277011244590355</v>
      </c>
      <c r="O68" s="27">
        <f t="array" ref="O68">[1]!unf_fa_scale_SI(O$41,$M68,q_liq,fw,rp_m3m3,NaK,Ca2_,Mg2_,Ba2_,Sr2_,Cl,SO4_,HCO3_,CO2_mol,$L$60)</f>
        <v>-9.0280666186734351</v>
      </c>
      <c r="P68" s="27">
        <f t="array" ref="P68">[1]!unf_fa_scale_SI(P$41,$M68,q_liq,fw,rp_m3m3,NaK,Ca2_,Mg2_,Ba2_,Sr2_,Cl,SO4_,HCO3_,CO2_mol,$L$60)</f>
        <v>-9.0286002402264582</v>
      </c>
      <c r="Q68" s="27">
        <f t="array" ref="Q68">[1]!unf_fa_scale_SI(Q$41,$M68,q_liq,fw,rp_m3m3,NaK,Ca2_,Mg2_,Ba2_,Sr2_,Cl,SO4_,HCO3_,CO2_mol,$L$60)</f>
        <v>-9.0293793276938743</v>
      </c>
      <c r="R68" s="27">
        <f t="array" ref="R68">[1]!unf_fa_scale_SI(R$41,$M68,q_liq,fw,rp_m3m3,NaK,Ca2_,Mg2_,Ba2_,Sr2_,Cl,SO4_,HCO3_,CO2_mol,$L$60)</f>
        <v>-9.0305167953963004</v>
      </c>
      <c r="S68" s="27">
        <f t="array" ref="S68">[1]!unf_fa_scale_SI(S$41,$M68,q_liq,fw,rp_m3m3,NaK,Ca2_,Mg2_,Ba2_,Sr2_,Cl,SO4_,HCO3_,CO2_mol,$L$60)</f>
        <v>-9.0321774982418415</v>
      </c>
      <c r="T68" s="27">
        <f t="array" ref="T68">[1]!unf_fa_scale_SI(T$41,$M68,q_liq,fw,rp_m3m3,NaK,Ca2_,Mg2_,Ba2_,Sr2_,Cl,SO4_,HCO3_,CO2_mol,$L$60)</f>
        <v>-9.0346021243963328</v>
      </c>
      <c r="U68" s="27">
        <f t="array" ref="U68">[1]!unf_fa_scale_SI(U$41,$M68,q_liq,fw,rp_m3m3,NaK,Ca2_,Mg2_,Ba2_,Sr2_,Cl,SO4_,HCO3_,CO2_mol,$L$60)</f>
        <v>-9.03814207858189</v>
      </c>
      <c r="V68" s="27">
        <f t="array" ref="V68">[1]!unf_fa_scale_SI(V$41,$M68,q_liq,fw,rp_m3m3,NaK,Ca2_,Mg2_,Ba2_,Sr2_,Cl,SO4_,HCO3_,CO2_mol,$L$60)</f>
        <v>-9.0433104116928043</v>
      </c>
      <c r="W68" s="27">
        <f t="array" ref="W68">[1]!unf_fa_scale_SI(W$41,$M68,q_liq,fw,rp_m3m3,NaK,Ca2_,Mg2_,Ba2_,Sr2_,Cl,SO4_,HCO3_,CO2_mol,$L$60)</f>
        <v>-9.0508561780347367</v>
      </c>
      <c r="X68" s="27">
        <f t="array" ref="X68">[1]!unf_fa_scale_SI(X$41,$M68,q_liq,fw,rp_m3m3,NaK,Ca2_,Mg2_,Ba2_,Sr2_,Cl,SO4_,HCO3_,CO2_mol,$L$60)</f>
        <v>-9.0618729968939604</v>
      </c>
      <c r="Y68" s="27">
        <f t="array" ref="Y68">[1]!unf_fa_scale_SI(Y$41,$M68,q_liq,fw,rp_m3m3,NaK,Ca2_,Mg2_,Ba2_,Sr2_,Cl,SO4_,HCO3_,CO2_mol,$L$60)</f>
        <v>-9.0779575524284262</v>
      </c>
      <c r="Z68" s="27">
        <f t="array" ref="Z68">[1]!unf_fa_scale_SI(Z$41,$M68,q_liq,fw,rp_m3m3,NaK,Ca2_,Mg2_,Ba2_,Sr2_,Cl,SO4_,HCO3_,CO2_mol,$L$60)</f>
        <v>-9.1014410035087447</v>
      </c>
      <c r="AA68" s="27">
        <f t="array" ref="AA68">[1]!unf_fa_scale_SI(AA$41,$M68,q_liq,fw,rp_m3m3,NaK,Ca2_,Mg2_,Ba2_,Sr2_,Cl,SO4_,HCO3_,CO2_mol,$L$60)</f>
        <v>-9.1357268420860116</v>
      </c>
      <c r="AB68" s="27">
        <f t="array" ref="AB68">[1]!unf_fa_scale_SI(AB$41,$M68,q_liq,fw,rp_m3m3,NaK,Ca2_,Mg2_,Ba2_,Sr2_,Cl,SO4_,HCO3_,CO2_mol,$L$60)</f>
        <v>-9.1857841664088209</v>
      </c>
      <c r="AC68" s="28">
        <f t="array" ref="AC68">[1]!unf_fa_scale_SI(AC$41,$M68,q_liq,fw,rp_m3m3,NaK,Ca2_,Mg2_,Ba2_,Sr2_,Cl,SO4_,HCO3_,CO2_mol,$L$60)</f>
        <v>-9.2588678599201231</v>
      </c>
      <c r="AI68" s="36"/>
      <c r="AJ68" s="26">
        <v>20</v>
      </c>
      <c r="AK68" s="80" cm="1">
        <f t="array" ref="AK68">[1]!unf_fa_scale_SI_old(N$41,$M68,q_liq,fw,rp_m3m3,NaK,Ca2_,Mg2_,Ba2_,Sr2_,Cl,SO4_,HCO3_,CO2_mol,$L$60)</f>
        <v>-8.2032296888185705</v>
      </c>
      <c r="AL68" s="80" cm="1">
        <f t="array" ref="AL68">[1]!unf_fa_scale_SI_old(O$41,$M68,q_liq,fw,rp_m3m3,NaK,Ca2_,Mg2_,Ba2_,Sr2_,Cl,SO4_,HCO3_,CO2_mol,$L$60)</f>
        <v>-8.3724213919896098</v>
      </c>
      <c r="AM68" s="80" cm="1">
        <f t="array" ref="AM68">[1]!unf_fa_scale_SI_old(P$41,$M68,q_liq,fw,rp_m3m3,NaK,Ca2_,Mg2_,Ba2_,Sr2_,Cl,SO4_,HCO3_,CO2_mol,$L$60)</f>
        <v>-8.5426118366109858</v>
      </c>
      <c r="AN68" s="80" cm="1">
        <f t="array" ref="AN68">[1]!unf_fa_scale_SI_old(Q$41,$M68,q_liq,fw,rp_m3m3,NaK,Ca2_,Mg2_,Ba2_,Sr2_,Cl,SO4_,HCO3_,CO2_mol,$L$60)</f>
        <v>-8.7140027242339482</v>
      </c>
      <c r="AO68" s="80" cm="1">
        <f t="array" ref="AO68">[1]!unf_fa_scale_SI_old(R$41,$M68,q_liq,fw,rp_m3m3,NaK,Ca2_,Mg2_,Ba2_,Sr2_,Cl,SO4_,HCO3_,CO2_mol,$L$60)</f>
        <v>-8.8868328616793129</v>
      </c>
      <c r="AP68" s="80" cm="1">
        <f t="array" ref="AP68">[1]!unf_fa_scale_SI_old(S$41,$M68,q_liq,fw,rp_m3m3,NaK,Ca2_,Mg2_,Ba2_,Sr2_,Cl,SO4_,HCO3_,CO2_mol,$L$60)</f>
        <v>-9.061381623799198</v>
      </c>
      <c r="AQ68" s="80" cm="1">
        <f t="array" ref="AQ68">[1]!unf_fa_scale_SI_old(T$41,$M68,q_liq,fw,rp_m3m3,NaK,Ca2_,Mg2_,Ba2_,Sr2_,Cl,SO4_,HCO3_,CO2_mol,$L$60)</f>
        <v>-9.2379690271466828</v>
      </c>
      <c r="AR68" s="80" cm="1">
        <f t="array" ref="AR68">[1]!unf_fa_scale_SI_old(U$41,$M68,q_liq,fw,rp_m3m3,NaK,Ca2_,Mg2_,Ba2_,Sr2_,Cl,SO4_,HCO3_,CO2_mol,$L$60)</f>
        <v>-9.4169474135398694</v>
      </c>
      <c r="AS68" s="80" cm="1">
        <f t="array" ref="AS68">[1]!unf_fa_scale_SI_old(V$41,$M68,q_liq,fw,rp_m3m3,NaK,Ca2_,Mg2_,Ba2_,Sr2_,Cl,SO4_,HCO3_,CO2_mol,$L$60)</f>
        <v>-9.5986740297922957</v>
      </c>
      <c r="AT68" s="80" cm="1">
        <f t="array" ref="AT68">[1]!unf_fa_scale_SI_old(W$41,$M68,q_liq,fw,rp_m3m3,NaK,Ca2_,Mg2_,Ba2_,Sr2_,Cl,SO4_,HCO3_,CO2_mol,$L$60)</f>
        <v>-9.7834420811694116</v>
      </c>
      <c r="AU68" s="80" cm="1">
        <f t="array" ref="AU68">[1]!unf_fa_scale_SI_old(X$41,$M68,q_liq,fw,rp_m3m3,NaK,Ca2_,Mg2_,Ba2_,Sr2_,Cl,SO4_,HCO3_,CO2_mol,$L$60)</f>
        <v>-9.9713256582653145</v>
      </c>
      <c r="AV68" s="80" cm="1">
        <f t="array" ref="AV68">[1]!unf_fa_scale_SI_old(Y$41,$M68,q_liq,fw,rp_m3m3,NaK,Ca2_,Mg2_,Ba2_,Sr2_,Cl,SO4_,HCO3_,CO2_mol,$L$60)</f>
        <v>-10.1618603619608</v>
      </c>
      <c r="AW68" s="80" cm="1">
        <f t="array" ref="AW68">[1]!unf_fa_scale_SI_old(Z$41,$M68,q_liq,fw,rp_m3m3,NaK,Ca2_,Mg2_,Ba2_,Sr2_,Cl,SO4_,HCO3_,CO2_mol,$L$60)</f>
        <v>-10.353467463974187</v>
      </c>
      <c r="AX68" s="80" cm="1">
        <f t="array" ref="AX68">[1]!unf_fa_scale_SI_old(AA$41,$M68,q_liq,fw,rp_m3m3,NaK,Ca2_,Mg2_,Ba2_,Sr2_,Cl,SO4_,HCO3_,CO2_mol,$L$60)</f>
        <v>-10.542695586083868</v>
      </c>
      <c r="AY68" s="80" cm="1">
        <f t="array" ref="AY68">[1]!unf_fa_scale_SI_old(AB$41,$M68,q_liq,fw,rp_m3m3,NaK,Ca2_,Mg2_,Ba2_,Sr2_,Cl,SO4_,HCO3_,CO2_mol,$L$60)</f>
        <v>-10.72413883461715</v>
      </c>
      <c r="AZ68" s="80" cm="1">
        <f t="array" ref="AZ68">[1]!unf_fa_scale_SI_old(AC$41,$M68,q_liq,fw,rp_m3m3,NaK,Ca2_,Mg2_,Ba2_,Sr2_,Cl,SO4_,HCO3_,CO2_mol,$L$60)</f>
        <v>-10.893496050165078</v>
      </c>
    </row>
    <row r="69" spans="12:52" x14ac:dyDescent="0.2">
      <c r="L69" s="36"/>
      <c r="M69" s="26">
        <v>25</v>
      </c>
      <c r="N69" s="40">
        <f t="array" ref="N69">[1]!unf_fa_scale_SI(N$41,$M69,q_liq,fw,rp_m3m3,NaK,Ca2_,Mg2_,Ba2_,Sr2_,Cl,SO4_,HCO3_,CO2_mol,$L$60)</f>
        <v>-9.0187711725066659</v>
      </c>
      <c r="O69" s="27">
        <f t="array" ref="O69">[1]!unf_fa_scale_SI(O$41,$M69,q_liq,fw,rp_m3m3,NaK,Ca2_,Mg2_,Ba2_,Sr2_,Cl,SO4_,HCO3_,CO2_mol,$L$60)</f>
        <v>-9.0191366667210655</v>
      </c>
      <c r="P69" s="27">
        <f t="array" ref="P69">[1]!unf_fa_scale_SI(P$41,$M69,q_liq,fw,rp_m3m3,NaK,Ca2_,Mg2_,Ba2_,Sr2_,Cl,SO4_,HCO3_,CO2_mol,$L$60)</f>
        <v>-9.0196702882740887</v>
      </c>
      <c r="Q69" s="27">
        <f t="array" ref="Q69">[1]!unf_fa_scale_SI(Q$41,$M69,q_liq,fw,rp_m3m3,NaK,Ca2_,Mg2_,Ba2_,Sr2_,Cl,SO4_,HCO3_,CO2_mol,$L$60)</f>
        <v>-9.0204493757415047</v>
      </c>
      <c r="R69" s="27">
        <f t="array" ref="R69">[1]!unf_fa_scale_SI(R$41,$M69,q_liq,fw,rp_m3m3,NaK,Ca2_,Mg2_,Ba2_,Sr2_,Cl,SO4_,HCO3_,CO2_mol,$L$60)</f>
        <v>-9.0215868434439308</v>
      </c>
      <c r="S69" s="27">
        <f t="array" ref="S69">[1]!unf_fa_scale_SI(S$41,$M69,q_liq,fw,rp_m3m3,NaK,Ca2_,Mg2_,Ba2_,Sr2_,Cl,SO4_,HCO3_,CO2_mol,$L$60)</f>
        <v>-9.0232475462894719</v>
      </c>
      <c r="T69" s="27">
        <f t="array" ref="T69">[1]!unf_fa_scale_SI(T$41,$M69,q_liq,fw,rp_m3m3,NaK,Ca2_,Mg2_,Ba2_,Sr2_,Cl,SO4_,HCO3_,CO2_mol,$L$60)</f>
        <v>-9.0256721724439632</v>
      </c>
      <c r="U69" s="27">
        <f t="array" ref="U69">[1]!unf_fa_scale_SI(U$41,$M69,q_liq,fw,rp_m3m3,NaK,Ca2_,Mg2_,Ba2_,Sr2_,Cl,SO4_,HCO3_,CO2_mol,$L$60)</f>
        <v>-9.0292121266295204</v>
      </c>
      <c r="V69" s="27">
        <f t="array" ref="V69">[1]!unf_fa_scale_SI(V$41,$M69,q_liq,fw,rp_m3m3,NaK,Ca2_,Mg2_,Ba2_,Sr2_,Cl,SO4_,HCO3_,CO2_mol,$L$60)</f>
        <v>-9.0343804597404347</v>
      </c>
      <c r="W69" s="27">
        <f t="array" ref="W69">[1]!unf_fa_scale_SI(W$41,$M69,q_liq,fw,rp_m3m3,NaK,Ca2_,Mg2_,Ba2_,Sr2_,Cl,SO4_,HCO3_,CO2_mol,$L$60)</f>
        <v>-9.0419262260823672</v>
      </c>
      <c r="X69" s="27">
        <f t="array" ref="X69">[1]!unf_fa_scale_SI(X$41,$M69,q_liq,fw,rp_m3m3,NaK,Ca2_,Mg2_,Ba2_,Sr2_,Cl,SO4_,HCO3_,CO2_mol,$L$60)</f>
        <v>-9.0529430449415909</v>
      </c>
      <c r="Y69" s="27">
        <f t="array" ref="Y69">[1]!unf_fa_scale_SI(Y$41,$M69,q_liq,fw,rp_m3m3,NaK,Ca2_,Mg2_,Ba2_,Sr2_,Cl,SO4_,HCO3_,CO2_mol,$L$60)</f>
        <v>-9.0690276004760566</v>
      </c>
      <c r="Z69" s="27">
        <f t="array" ref="Z69">[1]!unf_fa_scale_SI(Z$41,$M69,q_liq,fw,rp_m3m3,NaK,Ca2_,Mg2_,Ba2_,Sr2_,Cl,SO4_,HCO3_,CO2_mol,$L$60)</f>
        <v>-9.0925110515563752</v>
      </c>
      <c r="AA69" s="27">
        <f t="array" ref="AA69">[1]!unf_fa_scale_SI(AA$41,$M69,q_liq,fw,rp_m3m3,NaK,Ca2_,Mg2_,Ba2_,Sr2_,Cl,SO4_,HCO3_,CO2_mol,$L$60)</f>
        <v>-9.126796890133642</v>
      </c>
      <c r="AB69" s="27">
        <f t="array" ref="AB69">[1]!unf_fa_scale_SI(AB$41,$M69,q_liq,fw,rp_m3m3,NaK,Ca2_,Mg2_,Ba2_,Sr2_,Cl,SO4_,HCO3_,CO2_mol,$L$60)</f>
        <v>-9.1768542144564513</v>
      </c>
      <c r="AC69" s="28">
        <f t="array" ref="AC69">[1]!unf_fa_scale_SI(AC$41,$M69,q_liq,fw,rp_m3m3,NaK,Ca2_,Mg2_,Ba2_,Sr2_,Cl,SO4_,HCO3_,CO2_mol,$L$60)</f>
        <v>-9.2499379079677535</v>
      </c>
      <c r="AI69" s="36"/>
      <c r="AJ69" s="26">
        <v>25</v>
      </c>
      <c r="AK69" s="80" cm="1">
        <f t="array" ref="AK69">[1]!unf_fa_scale_SI_old(N$41,$M69,q_liq,fw,rp_m3m3,NaK,Ca2_,Mg2_,Ba2_,Sr2_,Cl,SO4_,HCO3_,CO2_mol,$L$60)</f>
        <v>-8.1950938299135458</v>
      </c>
      <c r="AL69" s="80" cm="1">
        <f t="array" ref="AL69">[1]!unf_fa_scale_SI_old(O$41,$M69,q_liq,fw,rp_m3m3,NaK,Ca2_,Mg2_,Ba2_,Sr2_,Cl,SO4_,HCO3_,CO2_mol,$L$60)</f>
        <v>-8.3645531126511212</v>
      </c>
      <c r="AM69" s="80" cm="1">
        <f t="array" ref="AM69">[1]!unf_fa_scale_SI_old(P$41,$M69,q_liq,fw,rp_m3m3,NaK,Ca2_,Mg2_,Ba2_,Sr2_,Cl,SO4_,HCO3_,CO2_mol,$L$60)</f>
        <v>-8.5351126655065848</v>
      </c>
      <c r="AN69" s="80" cm="1">
        <f t="array" ref="AN69">[1]!unf_fa_scale_SI_old(Q$41,$M69,q_liq,fw,rp_m3m3,NaK,Ca2_,Mg2_,Ba2_,Sr2_,Cl,SO4_,HCO3_,CO2_mol,$L$60)</f>
        <v>-8.7070151627363757</v>
      </c>
      <c r="AO69" s="80" cm="1">
        <f t="array" ref="AO69">[1]!unf_fa_scale_SI_old(R$41,$M69,q_liq,fw,rp_m3m3,NaK,Ca2_,Mg2_,Ba2_,Sr2_,Cl,SO4_,HCO3_,CO2_mol,$L$60)</f>
        <v>-8.8805567043502318</v>
      </c>
      <c r="AP69" s="80" cm="1">
        <f t="array" ref="AP69">[1]!unf_fa_scale_SI_old(S$41,$M69,q_liq,fw,rp_m3m3,NaK,Ca2_,Mg2_,Ba2_,Sr2_,Cl,SO4_,HCO3_,CO2_mol,$L$60)</f>
        <v>-9.0560957677381388</v>
      </c>
      <c r="AQ69" s="80" cm="1">
        <f t="array" ref="AQ69">[1]!unf_fa_scale_SI_old(T$41,$M69,q_liq,fw,rp_m3m3,NaK,Ca2_,Mg2_,Ba2_,Sr2_,Cl,SO4_,HCO3_,CO2_mol,$L$60)</f>
        <v>-9.2340591511165293</v>
      </c>
      <c r="AR69" s="80" cm="1">
        <f t="array" ref="AR69">[1]!unf_fa_scale_SI_old(U$41,$M69,q_liq,fw,rp_m3m3,NaK,Ca2_,Mg2_,Ba2_,Sr2_,Cl,SO4_,HCO3_,CO2_mol,$L$60)</f>
        <v>-9.4149376160079825</v>
      </c>
      <c r="AS69" s="80" cm="1">
        <f t="array" ref="AS69">[1]!unf_fa_scale_SI_old(V$41,$M69,q_liq,fw,rp_m3m3,NaK,Ca2_,Mg2_,Ba2_,Sr2_,Cl,SO4_,HCO3_,CO2_mol,$L$60)</f>
        <v>-9.5992543475669265</v>
      </c>
      <c r="AT69" s="80" cm="1">
        <f t="array" ref="AT69">[1]!unf_fa_scale_SI_old(W$41,$M69,q_liq,fw,rp_m3m3,NaK,Ca2_,Mg2_,Ba2_,Sr2_,Cl,SO4_,HCO3_,CO2_mol,$L$60)</f>
        <v>-9.7874691475961146</v>
      </c>
      <c r="AU69" s="80" cm="1">
        <f t="array" ref="AU69">[1]!unf_fa_scale_SI_old(X$41,$M69,q_liq,fw,rp_m3m3,NaK,Ca2_,Mg2_,Ba2_,Sr2_,Cl,SO4_,HCO3_,CO2_mol,$L$60)</f>
        <v>-9.9797426404035274</v>
      </c>
      <c r="AV69" s="80" cm="1">
        <f t="array" ref="AV69">[1]!unf_fa_scale_SI_old(Y$41,$M69,q_liq,fw,rp_m3m3,NaK,Ca2_,Mg2_,Ba2_,Sr2_,Cl,SO4_,HCO3_,CO2_mol,$L$60)</f>
        <v>-10.175427886609825</v>
      </c>
      <c r="AW69" s="80" cm="1">
        <f t="array" ref="AW69">[1]!unf_fa_scale_SI_old(Z$41,$M69,q_liq,fw,rp_m3m3,NaK,Ca2_,Mg2_,Ba2_,Sr2_,Cl,SO4_,HCO3_,CO2_mol,$L$60)</f>
        <v>-10.372146384909962</v>
      </c>
      <c r="AX69" s="80" cm="1">
        <f t="array" ref="AX69">[1]!unf_fa_scale_SI_old(AA$41,$M69,q_liq,fw,rp_m3m3,NaK,Ca2_,Mg2_,Ba2_,Sr2_,Cl,SO4_,HCO3_,CO2_mol,$L$60)</f>
        <v>-10.564650084496748</v>
      </c>
      <c r="AY69" s="80" cm="1">
        <f t="array" ref="AY69">[1]!unf_fa_scale_SI_old(AB$41,$M69,q_liq,fw,rp_m3m3,NaK,Ca2_,Mg2_,Ba2_,Sr2_,Cl,SO4_,HCO3_,CO2_mol,$L$60)</f>
        <v>-10.745070196382056</v>
      </c>
      <c r="AZ69" s="80" cm="1">
        <f t="array" ref="AZ69">[1]!unf_fa_scale_SI_old(AC$41,$M69,q_liq,fw,rp_m3m3,NaK,Ca2_,Mg2_,Ba2_,Sr2_,Cl,SO4_,HCO3_,CO2_mol,$L$60)</f>
        <v>-10.908182194922485</v>
      </c>
    </row>
    <row r="70" spans="12:52" x14ac:dyDescent="0.2">
      <c r="L70" s="36"/>
      <c r="M70" s="26">
        <v>30</v>
      </c>
      <c r="N70" s="40">
        <f t="array" ref="N70">[1]!unf_fa_scale_SI(N$41,$M70,q_liq,fw,rp_m3m3,NaK,Ca2_,Mg2_,Ba2_,Sr2_,Cl,SO4_,HCO3_,CO2_mol,$L$60)</f>
        <v>-9.0083785225542954</v>
      </c>
      <c r="O70" s="27">
        <f t="array" ref="O70">[1]!unf_fa_scale_SI(O$41,$M70,q_liq,fw,rp_m3m3,NaK,Ca2_,Mg2_,Ba2_,Sr2_,Cl,SO4_,HCO3_,CO2_mol,$L$60)</f>
        <v>-9.008744016768695</v>
      </c>
      <c r="P70" s="27">
        <f t="array" ref="P70">[1]!unf_fa_scale_SI(P$41,$M70,q_liq,fw,rp_m3m3,NaK,Ca2_,Mg2_,Ba2_,Sr2_,Cl,SO4_,HCO3_,CO2_mol,$L$60)</f>
        <v>-9.0092776383217181</v>
      </c>
      <c r="Q70" s="27">
        <f t="array" ref="Q70">[1]!unf_fa_scale_SI(Q$41,$M70,q_liq,fw,rp_m3m3,NaK,Ca2_,Mg2_,Ba2_,Sr2_,Cl,SO4_,HCO3_,CO2_mol,$L$60)</f>
        <v>-9.0100567257891342</v>
      </c>
      <c r="R70" s="27">
        <f t="array" ref="R70">[1]!unf_fa_scale_SI(R$41,$M70,q_liq,fw,rp_m3m3,NaK,Ca2_,Mg2_,Ba2_,Sr2_,Cl,SO4_,HCO3_,CO2_mol,$L$60)</f>
        <v>-9.0111941934915603</v>
      </c>
      <c r="S70" s="27">
        <f t="array" ref="S70">[1]!unf_fa_scale_SI(S$41,$M70,q_liq,fw,rp_m3m3,NaK,Ca2_,Mg2_,Ba2_,Sr2_,Cl,SO4_,HCO3_,CO2_mol,$L$60)</f>
        <v>-9.0128548963371014</v>
      </c>
      <c r="T70" s="27">
        <f t="array" ref="T70">[1]!unf_fa_scale_SI(T$41,$M70,q_liq,fw,rp_m3m3,NaK,Ca2_,Mg2_,Ba2_,Sr2_,Cl,SO4_,HCO3_,CO2_mol,$L$60)</f>
        <v>-9.0152795224915927</v>
      </c>
      <c r="U70" s="27">
        <f t="array" ref="U70">[1]!unf_fa_scale_SI(U$41,$M70,q_liq,fw,rp_m3m3,NaK,Ca2_,Mg2_,Ba2_,Sr2_,Cl,SO4_,HCO3_,CO2_mol,$L$60)</f>
        <v>-9.0188194766771499</v>
      </c>
      <c r="V70" s="27">
        <f t="array" ref="V70">[1]!unf_fa_scale_SI(V$41,$M70,q_liq,fw,rp_m3m3,NaK,Ca2_,Mg2_,Ba2_,Sr2_,Cl,SO4_,HCO3_,CO2_mol,$L$60)</f>
        <v>-9.0239878097880641</v>
      </c>
      <c r="W70" s="27">
        <f t="array" ref="W70">[1]!unf_fa_scale_SI(W$41,$M70,q_liq,fw,rp_m3m3,NaK,Ca2_,Mg2_,Ba2_,Sr2_,Cl,SO4_,HCO3_,CO2_mol,$L$60)</f>
        <v>-9.0315335761299966</v>
      </c>
      <c r="X70" s="27">
        <f t="array" ref="X70">[1]!unf_fa_scale_SI(X$41,$M70,q_liq,fw,rp_m3m3,NaK,Ca2_,Mg2_,Ba2_,Sr2_,Cl,SO4_,HCO3_,CO2_mol,$L$60)</f>
        <v>-9.0425503949892203</v>
      </c>
      <c r="Y70" s="27">
        <f t="array" ref="Y70">[1]!unf_fa_scale_SI(Y$41,$M70,q_liq,fw,rp_m3m3,NaK,Ca2_,Mg2_,Ba2_,Sr2_,Cl,SO4_,HCO3_,CO2_mol,$L$60)</f>
        <v>-9.0586349505236861</v>
      </c>
      <c r="Z70" s="27">
        <f t="array" ref="Z70">[1]!unf_fa_scale_SI(Z$41,$M70,q_liq,fw,rp_m3m3,NaK,Ca2_,Mg2_,Ba2_,Sr2_,Cl,SO4_,HCO3_,CO2_mol,$L$60)</f>
        <v>-9.0821184016040046</v>
      </c>
      <c r="AA70" s="27">
        <f t="array" ref="AA70">[1]!unf_fa_scale_SI(AA$41,$M70,q_liq,fw,rp_m3m3,NaK,Ca2_,Mg2_,Ba2_,Sr2_,Cl,SO4_,HCO3_,CO2_mol,$L$60)</f>
        <v>-9.1164042401812715</v>
      </c>
      <c r="AB70" s="27">
        <f t="array" ref="AB70">[1]!unf_fa_scale_SI(AB$41,$M70,q_liq,fw,rp_m3m3,NaK,Ca2_,Mg2_,Ba2_,Sr2_,Cl,SO4_,HCO3_,CO2_mol,$L$60)</f>
        <v>-9.1664615645040808</v>
      </c>
      <c r="AC70" s="28">
        <f t="array" ref="AC70">[1]!unf_fa_scale_SI(AC$41,$M70,q_liq,fw,rp_m3m3,NaK,Ca2_,Mg2_,Ba2_,Sr2_,Cl,SO4_,HCO3_,CO2_mol,$L$60)</f>
        <v>-9.239545258015383</v>
      </c>
      <c r="AI70" s="36"/>
      <c r="AJ70" s="26">
        <v>30</v>
      </c>
      <c r="AK70" s="80" cm="1">
        <f t="array" ref="AK70">[1]!unf_fa_scale_SI_old(N$41,$M70,q_liq,fw,rp_m3m3,NaK,Ca2_,Mg2_,Ba2_,Sr2_,Cl,SO4_,HCO3_,CO2_mol,$L$60)</f>
        <v>-8.1854129012576138</v>
      </c>
      <c r="AL70" s="80" cm="1">
        <f t="array" ref="AL70">[1]!unf_fa_scale_SI_old(O$41,$M70,q_liq,fw,rp_m3m3,NaK,Ca2_,Mg2_,Ba2_,Sr2_,Cl,SO4_,HCO3_,CO2_mol,$L$60)</f>
        <v>-8.3551120398837746</v>
      </c>
      <c r="AM70" s="80" cm="1">
        <f t="array" ref="AM70">[1]!unf_fa_scale_SI_old(P$41,$M70,q_liq,fw,rp_m3m3,NaK,Ca2_,Mg2_,Ba2_,Sr2_,Cl,SO4_,HCO3_,CO2_mol,$L$60)</f>
        <v>-8.5260024970461536</v>
      </c>
      <c r="AN70" s="80" cm="1">
        <f t="array" ref="AN70">[1]!unf_fa_scale_SI_old(Q$41,$M70,q_liq,fw,rp_m3m3,NaK,Ca2_,Mg2_,Ba2_,Sr2_,Cl,SO4_,HCO3_,CO2_mol,$L$60)</f>
        <v>-8.6983637279153783</v>
      </c>
      <c r="AO70" s="80" cm="1">
        <f t="array" ref="AO70">[1]!unf_fa_scale_SI_old(R$41,$M70,q_liq,fw,rp_m3m3,NaK,Ca2_,Mg2_,Ba2_,Sr2_,Cl,SO4_,HCO3_,CO2_mol,$L$60)</f>
        <v>-8.8725432962608011</v>
      </c>
      <c r="AP70" s="80" cm="1">
        <f t="array" ref="AP70">[1]!unf_fa_scale_SI_old(S$41,$M70,q_liq,fw,rp_m3m3,NaK,Ca2_,Mg2_,Ba2_,Sr2_,Cl,SO4_,HCO3_,CO2_mol,$L$60)</f>
        <v>-9.0489707840299314</v>
      </c>
      <c r="AQ70" s="80" cm="1">
        <f t="array" ref="AQ70">[1]!unf_fa_scale_SI_old(T$41,$M70,q_liq,fw,rp_m3m3,NaK,Ca2_,Mg2_,Ba2_,Sr2_,Cl,SO4_,HCO3_,CO2_mol,$L$60)</f>
        <v>-9.2281690291268816</v>
      </c>
      <c r="AR70" s="80" cm="1">
        <f t="array" ref="AR70">[1]!unf_fa_scale_SI_old(U$41,$M70,q_liq,fw,rp_m3m3,NaK,Ca2_,Mg2_,Ba2_,Sr2_,Cl,SO4_,HCO3_,CO2_mol,$L$60)</f>
        <v>-9.4107532423314595</v>
      </c>
      <c r="AS70" s="80" cm="1">
        <f t="array" ref="AS70">[1]!unf_fa_scale_SI_old(V$41,$M70,q_liq,fw,rp_m3m3,NaK,Ca2_,Mg2_,Ba2_,Sr2_,Cl,SO4_,HCO3_,CO2_mol,$L$60)</f>
        <v>-9.5973951955235606</v>
      </c>
      <c r="AT70" s="80" cm="1">
        <f t="array" ref="AT70">[1]!unf_fa_scale_SI_old(W$41,$M70,q_liq,fw,rp_m3m3,NaK,Ca2_,Mg2_,Ba2_,Sr2_,Cl,SO4_,HCO3_,CO2_mol,$L$60)</f>
        <v>-9.7887009522195001</v>
      </c>
      <c r="AU70" s="80" cm="1">
        <f t="array" ref="AU70">[1]!unf_fa_scale_SI_old(X$41,$M70,q_liq,fw,rp_m3m3,NaK,Ca2_,Mg2_,Ba2_,Sr2_,Cl,SO4_,HCO3_,CO2_mol,$L$60)</f>
        <v>-9.9848949738830584</v>
      </c>
      <c r="AV70" s="80" cm="1">
        <f t="array" ref="AV70">[1]!unf_fa_scale_SI_old(Y$41,$M70,q_liq,fw,rp_m3m3,NaK,Ca2_,Mg2_,Ba2_,Sr2_,Cl,SO4_,HCO3_,CO2_mol,$L$60)</f>
        <v>-10.185122332210316</v>
      </c>
      <c r="AW70" s="80" cm="1">
        <f t="array" ref="AW70">[1]!unf_fa_scale_SI_old(Z$41,$M70,q_liq,fw,rp_m3m3,NaK,Ca2_,Mg2_,Ba2_,Sr2_,Cl,SO4_,HCO3_,CO2_mol,$L$60)</f>
        <v>-10.386180044916564</v>
      </c>
      <c r="AX70" s="80" cm="1">
        <f t="array" ref="AX70">[1]!unf_fa_scale_SI_old(AA$41,$M70,q_liq,fw,rp_m3m3,NaK,Ca2_,Mg2_,Ba2_,Sr2_,Cl,SO4_,HCO3_,CO2_mol,$L$60)</f>
        <v>-10.581056840951941</v>
      </c>
      <c r="AY70" s="80" cm="1">
        <f t="array" ref="AY70">[1]!unf_fa_scale_SI_old(AB$41,$M70,q_liq,fw,rp_m3m3,NaK,Ca2_,Mg2_,Ba2_,Sr2_,Cl,SO4_,HCO3_,CO2_mol,$L$60)</f>
        <v>-10.759747797938099</v>
      </c>
      <c r="AZ70" s="80" cm="1">
        <f t="array" ref="AZ70">[1]!unf_fa_scale_SI_old(AC$41,$M70,q_liq,fw,rp_m3m3,NaK,Ca2_,Mg2_,Ba2_,Sr2_,Cl,SO4_,HCO3_,CO2_mol,$L$60)</f>
        <v>-10.916904422898639</v>
      </c>
    </row>
    <row r="71" spans="12:52" x14ac:dyDescent="0.2">
      <c r="L71" s="36"/>
      <c r="M71" s="26">
        <v>35</v>
      </c>
      <c r="N71" s="40">
        <f t="array" ref="N71">[1]!unf_fa_scale_SI(N$41,$M71,q_liq,fw,rp_m3m3,NaK,Ca2_,Mg2_,Ba2_,Sr2_,Cl,SO4_,HCO3_,CO2_mol,$L$60)</f>
        <v>-8.9965231746019239</v>
      </c>
      <c r="O71" s="27">
        <f t="array" ref="O71">[1]!unf_fa_scale_SI(O$41,$M71,q_liq,fw,rp_m3m3,NaK,Ca2_,Mg2_,Ba2_,Sr2_,Cl,SO4_,HCO3_,CO2_mol,$L$60)</f>
        <v>-8.9968886688163234</v>
      </c>
      <c r="P71" s="27">
        <f t="array" ref="P71">[1]!unf_fa_scale_SI(P$41,$M71,q_liq,fw,rp_m3m3,NaK,Ca2_,Mg2_,Ba2_,Sr2_,Cl,SO4_,HCO3_,CO2_mol,$L$60)</f>
        <v>-8.9974222903693466</v>
      </c>
      <c r="Q71" s="27">
        <f t="array" ref="Q71">[1]!unf_fa_scale_SI(Q$41,$M71,q_liq,fw,rp_m3m3,NaK,Ca2_,Mg2_,Ba2_,Sr2_,Cl,SO4_,HCO3_,CO2_mol,$L$60)</f>
        <v>-8.9982013778367627</v>
      </c>
      <c r="R71" s="27">
        <f t="array" ref="R71">[1]!unf_fa_scale_SI(R$41,$M71,q_liq,fw,rp_m3m3,NaK,Ca2_,Mg2_,Ba2_,Sr2_,Cl,SO4_,HCO3_,CO2_mol,$L$60)</f>
        <v>-8.9993388455391887</v>
      </c>
      <c r="S71" s="27">
        <f t="array" ref="S71">[1]!unf_fa_scale_SI(S$41,$M71,q_liq,fw,rp_m3m3,NaK,Ca2_,Mg2_,Ba2_,Sr2_,Cl,SO4_,HCO3_,CO2_mol,$L$60)</f>
        <v>-9.0009995483847298</v>
      </c>
      <c r="T71" s="27">
        <f t="array" ref="T71">[1]!unf_fa_scale_SI(T$41,$M71,q_liq,fw,rp_m3m3,NaK,Ca2_,Mg2_,Ba2_,Sr2_,Cl,SO4_,HCO3_,CO2_mol,$L$60)</f>
        <v>-9.0034241745392212</v>
      </c>
      <c r="U71" s="27">
        <f t="array" ref="U71">[1]!unf_fa_scale_SI(U$41,$M71,q_liq,fw,rp_m3m3,NaK,Ca2_,Mg2_,Ba2_,Sr2_,Cl,SO4_,HCO3_,CO2_mol,$L$60)</f>
        <v>-9.0069641287247784</v>
      </c>
      <c r="V71" s="27">
        <f t="array" ref="V71">[1]!unf_fa_scale_SI(V$41,$M71,q_liq,fw,rp_m3m3,NaK,Ca2_,Mg2_,Ba2_,Sr2_,Cl,SO4_,HCO3_,CO2_mol,$L$60)</f>
        <v>-9.0121324618356926</v>
      </c>
      <c r="W71" s="27">
        <f t="array" ref="W71">[1]!unf_fa_scale_SI(W$41,$M71,q_liq,fw,rp_m3m3,NaK,Ca2_,Mg2_,Ba2_,Sr2_,Cl,SO4_,HCO3_,CO2_mol,$L$60)</f>
        <v>-9.0196782281776251</v>
      </c>
      <c r="X71" s="27">
        <f t="array" ref="X71">[1]!unf_fa_scale_SI(X$41,$M71,q_liq,fw,rp_m3m3,NaK,Ca2_,Mg2_,Ba2_,Sr2_,Cl,SO4_,HCO3_,CO2_mol,$L$60)</f>
        <v>-9.0306950470368488</v>
      </c>
      <c r="Y71" s="27">
        <f t="array" ref="Y71">[1]!unf_fa_scale_SI(Y$41,$M71,q_liq,fw,rp_m3m3,NaK,Ca2_,Mg2_,Ba2_,Sr2_,Cl,SO4_,HCO3_,CO2_mol,$L$60)</f>
        <v>-9.0467796025713145</v>
      </c>
      <c r="Z71" s="27">
        <f t="array" ref="Z71">[1]!unf_fa_scale_SI(Z$41,$M71,q_liq,fw,rp_m3m3,NaK,Ca2_,Mg2_,Ba2_,Sr2_,Cl,SO4_,HCO3_,CO2_mol,$L$60)</f>
        <v>-9.0702630536516331</v>
      </c>
      <c r="AA71" s="27">
        <f t="array" ref="AA71">[1]!unf_fa_scale_SI(AA$41,$M71,q_liq,fw,rp_m3m3,NaK,Ca2_,Mg2_,Ba2_,Sr2_,Cl,SO4_,HCO3_,CO2_mol,$L$60)</f>
        <v>-9.1045488922289</v>
      </c>
      <c r="AB71" s="27">
        <f t="array" ref="AB71">[1]!unf_fa_scale_SI(AB$41,$M71,q_liq,fw,rp_m3m3,NaK,Ca2_,Mg2_,Ba2_,Sr2_,Cl,SO4_,HCO3_,CO2_mol,$L$60)</f>
        <v>-9.1546062165517093</v>
      </c>
      <c r="AC71" s="28">
        <f t="array" ref="AC71">[1]!unf_fa_scale_SI(AC$41,$M71,q_liq,fw,rp_m3m3,NaK,Ca2_,Mg2_,Ba2_,Sr2_,Cl,SO4_,HCO3_,CO2_mol,$L$60)</f>
        <v>-9.2276899100630114</v>
      </c>
      <c r="AI71" s="36"/>
      <c r="AJ71" s="26">
        <v>35</v>
      </c>
      <c r="AK71" s="80" cm="1">
        <f t="array" ref="AK71">[1]!unf_fa_scale_SI_old(N$41,$M71,q_liq,fw,rp_m3m3,NaK,Ca2_,Mg2_,Ba2_,Sr2_,Cl,SO4_,HCO3_,CO2_mol,$L$60)</f>
        <v>-8.1742026174313285</v>
      </c>
      <c r="AL71" s="80" cm="1">
        <f t="array" ref="AL71">[1]!unf_fa_scale_SI_old(O$41,$M71,q_liq,fw,rp_m3m3,NaK,Ca2_,Mg2_,Ba2_,Sr2_,Cl,SO4_,HCO3_,CO2_mol,$L$60)</f>
        <v>-8.3441195497101202</v>
      </c>
      <c r="AM71" s="80" cm="1">
        <f t="array" ref="AM71">[1]!unf_fa_scale_SI_old(P$41,$M71,q_liq,fw,rp_m3m3,NaK,Ca2_,Mg2_,Ba2_,Sr2_,Cl,SO4_,HCO3_,CO2_mol,$L$60)</f>
        <v>-8.5153106161329362</v>
      </c>
      <c r="AN71" s="80" cm="1">
        <f t="array" ref="AN71">[1]!unf_fa_scale_SI_old(Q$41,$M71,q_liq,fw,rp_m3m3,NaK,Ca2_,Mg2_,Ba2_,Sr2_,Cl,SO4_,HCO3_,CO2_mol,$L$60)</f>
        <v>-8.6880887897522872</v>
      </c>
      <c r="AO71" s="80" cm="1">
        <f t="array" ref="AO71">[1]!unf_fa_scale_SI_old(R$41,$M71,q_liq,fw,rp_m3m3,NaK,Ca2_,Mg2_,Ba2_,Sr2_,Cl,SO4_,HCO3_,CO2_mol,$L$60)</f>
        <v>-8.862848571550936</v>
      </c>
      <c r="AP71" s="80" cm="1">
        <f t="array" ref="AP71">[1]!unf_fa_scale_SI_old(S$41,$M71,q_liq,fw,rp_m3m3,NaK,Ca2_,Mg2_,Ba2_,Sr2_,Cl,SO4_,HCO3_,CO2_mol,$L$60)</f>
        <v>-9.0400844574596935</v>
      </c>
      <c r="AQ71" s="80" cm="1">
        <f t="array" ref="AQ71">[1]!unf_fa_scale_SI_old(T$41,$M71,q_liq,fw,rp_m3m3,NaK,Ca2_,Mg2_,Ba2_,Sr2_,Cl,SO4_,HCO3_,CO2_mol,$L$60)</f>
        <v>-9.2204070500315822</v>
      </c>
      <c r="AR71" s="80" cm="1">
        <f t="array" ref="AR71">[1]!unf_fa_scale_SI_old(U$41,$M71,q_liq,fw,rp_m3m3,NaK,Ca2_,Mg2_,Ba2_,Sr2_,Cl,SO4_,HCO3_,CO2_mol,$L$60)</f>
        <v>-9.4045453334935107</v>
      </c>
      <c r="AS71" s="80" cm="1">
        <f t="array" ref="AS71">[1]!unf_fa_scale_SI_old(V$41,$M71,q_liq,fw,rp_m3m3,NaK,Ca2_,Mg2_,Ba2_,Sr2_,Cl,SO4_,HCO3_,CO2_mol,$L$60)</f>
        <v>-9.5933066047766538</v>
      </c>
      <c r="AT71" s="80" cm="1">
        <f t="array" ref="AT71">[1]!unf_fa_scale_SI_old(W$41,$M71,q_liq,fw,rp_m3m3,NaK,Ca2_,Mg2_,Ba2_,Sr2_,Cl,SO4_,HCO3_,CO2_mol,$L$60)</f>
        <v>-9.7874283285897192</v>
      </c>
      <c r="AU71" s="80" cm="1">
        <f t="array" ref="AU71">[1]!unf_fa_scale_SI_old(X$41,$M71,q_liq,fw,rp_m3m3,NaK,Ca2_,Mg2_,Ba2_,Sr2_,Cl,SO4_,HCO3_,CO2_mol,$L$60)</f>
        <v>-9.9871831318075106</v>
      </c>
      <c r="AV71" s="80" cm="1">
        <f t="array" ref="AV71">[1]!unf_fa_scale_SI_old(Y$41,$M71,q_liq,fw,rp_m3m3,NaK,Ca2_,Mg2_,Ba2_,Sr2_,Cl,SO4_,HCO3_,CO2_mol,$L$60)</f>
        <v>-10.191492142902648</v>
      </c>
      <c r="AW71" s="80" cm="1">
        <f t="array" ref="AW71">[1]!unf_fa_scale_SI_old(Z$41,$M71,q_liq,fw,rp_m3m3,NaK,Ca2_,Mg2_,Ba2_,Sr2_,Cl,SO4_,HCO3_,CO2_mol,$L$60)</f>
        <v>-10.396316776060258</v>
      </c>
      <c r="AX71" s="80" cm="1">
        <f t="array" ref="AX71">[1]!unf_fa_scale_SI_old(AA$41,$M71,q_liq,fw,rp_m3m3,NaK,Ca2_,Mg2_,Ba2_,Sr2_,Cl,SO4_,HCO3_,CO2_mol,$L$60)</f>
        <v>-10.592931712694098</v>
      </c>
      <c r="AY71" s="80" cm="1">
        <f t="array" ref="AY71">[1]!unf_fa_scale_SI_old(AB$41,$M71,q_liq,fw,rp_m3m3,NaK,Ca2_,Mg2_,Ba2_,Sr2_,Cl,SO4_,HCO3_,CO2_mol,$L$60)</f>
        <v>-10.769499877033525</v>
      </c>
      <c r="AZ71" s="80" cm="1">
        <f t="array" ref="AZ71">[1]!unf_fa_scale_SI_old(AC$41,$M71,q_liq,fw,rp_m3m3,NaK,Ca2_,Mg2_,Ba2_,Sr2_,Cl,SO4_,HCO3_,CO2_mol,$L$60)</f>
        <v>-10.921138093036376</v>
      </c>
    </row>
    <row r="72" spans="12:52" x14ac:dyDescent="0.2">
      <c r="L72" s="36"/>
      <c r="M72" s="26">
        <v>40</v>
      </c>
      <c r="N72" s="40">
        <f t="array" ref="N72">[1]!unf_fa_scale_SI(N$41,$M72,q_liq,fw,rp_m3m3,NaK,Ca2_,Mg2_,Ba2_,Sr2_,Cl,SO4_,HCO3_,CO2_mol,$L$60)</f>
        <v>-8.9832051286495531</v>
      </c>
      <c r="O72" s="27">
        <f t="array" ref="O72">[1]!unf_fa_scale_SI(O$41,$M72,q_liq,fw,rp_m3m3,NaK,Ca2_,Mg2_,Ba2_,Sr2_,Cl,SO4_,HCO3_,CO2_mol,$L$60)</f>
        <v>-8.9835706228639527</v>
      </c>
      <c r="P72" s="27">
        <f t="array" ref="P72">[1]!unf_fa_scale_SI(P$41,$M72,q_liq,fw,rp_m3m3,NaK,Ca2_,Mg2_,Ba2_,Sr2_,Cl,SO4_,HCO3_,CO2_mol,$L$60)</f>
        <v>-8.9841042444169759</v>
      </c>
      <c r="Q72" s="27">
        <f t="array" ref="Q72">[1]!unf_fa_scale_SI(Q$41,$M72,q_liq,fw,rp_m3m3,NaK,Ca2_,Mg2_,Ba2_,Sr2_,Cl,SO4_,HCO3_,CO2_mol,$L$60)</f>
        <v>-8.9848833318843919</v>
      </c>
      <c r="R72" s="27">
        <f t="array" ref="R72">[1]!unf_fa_scale_SI(R$41,$M72,q_liq,fw,rp_m3m3,NaK,Ca2_,Mg2_,Ba2_,Sr2_,Cl,SO4_,HCO3_,CO2_mol,$L$60)</f>
        <v>-8.986020799586818</v>
      </c>
      <c r="S72" s="27">
        <f t="array" ref="S72">[1]!unf_fa_scale_SI(S$41,$M72,q_liq,fw,rp_m3m3,NaK,Ca2_,Mg2_,Ba2_,Sr2_,Cl,SO4_,HCO3_,CO2_mol,$L$60)</f>
        <v>-8.9876815024323591</v>
      </c>
      <c r="T72" s="27">
        <f t="array" ref="T72">[1]!unf_fa_scale_SI(T$41,$M72,q_liq,fw,rp_m3m3,NaK,Ca2_,Mg2_,Ba2_,Sr2_,Cl,SO4_,HCO3_,CO2_mol,$L$60)</f>
        <v>-8.9901061285868504</v>
      </c>
      <c r="U72" s="27">
        <f t="array" ref="U72">[1]!unf_fa_scale_SI(U$41,$M72,q_liq,fw,rp_m3m3,NaK,Ca2_,Mg2_,Ba2_,Sr2_,Cl,SO4_,HCO3_,CO2_mol,$L$60)</f>
        <v>-8.9936460827724076</v>
      </c>
      <c r="V72" s="27">
        <f t="array" ref="V72">[1]!unf_fa_scale_SI(V$41,$M72,q_liq,fw,rp_m3m3,NaK,Ca2_,Mg2_,Ba2_,Sr2_,Cl,SO4_,HCO3_,CO2_mol,$L$60)</f>
        <v>-8.9988144158833219</v>
      </c>
      <c r="W72" s="27">
        <f t="array" ref="W72">[1]!unf_fa_scale_SI(W$41,$M72,q_liq,fw,rp_m3m3,NaK,Ca2_,Mg2_,Ba2_,Sr2_,Cl,SO4_,HCO3_,CO2_mol,$L$60)</f>
        <v>-9.0063601822252544</v>
      </c>
      <c r="X72" s="27">
        <f t="array" ref="X72">[1]!unf_fa_scale_SI(X$41,$M72,q_liq,fw,rp_m3m3,NaK,Ca2_,Mg2_,Ba2_,Sr2_,Cl,SO4_,HCO3_,CO2_mol,$L$60)</f>
        <v>-9.017377001084478</v>
      </c>
      <c r="Y72" s="27">
        <f t="array" ref="Y72">[1]!unf_fa_scale_SI(Y$41,$M72,q_liq,fw,rp_m3m3,NaK,Ca2_,Mg2_,Ba2_,Sr2_,Cl,SO4_,HCO3_,CO2_mol,$L$60)</f>
        <v>-9.0334615566189438</v>
      </c>
      <c r="Z72" s="27">
        <f t="array" ref="Z72">[1]!unf_fa_scale_SI(Z$41,$M72,q_liq,fw,rp_m3m3,NaK,Ca2_,Mg2_,Ba2_,Sr2_,Cl,SO4_,HCO3_,CO2_mol,$L$60)</f>
        <v>-9.0569450076992624</v>
      </c>
      <c r="AA72" s="27">
        <f t="array" ref="AA72">[1]!unf_fa_scale_SI(AA$41,$M72,q_liq,fw,rp_m3m3,NaK,Ca2_,Mg2_,Ba2_,Sr2_,Cl,SO4_,HCO3_,CO2_mol,$L$60)</f>
        <v>-9.0912308462765292</v>
      </c>
      <c r="AB72" s="27">
        <f t="array" ref="AB72">[1]!unf_fa_scale_SI(AB$41,$M72,q_liq,fw,rp_m3m3,NaK,Ca2_,Mg2_,Ba2_,Sr2_,Cl,SO4_,HCO3_,CO2_mol,$L$60)</f>
        <v>-9.1412881705993385</v>
      </c>
      <c r="AC72" s="28">
        <f t="array" ref="AC72">[1]!unf_fa_scale_SI(AC$41,$M72,q_liq,fw,rp_m3m3,NaK,Ca2_,Mg2_,Ba2_,Sr2_,Cl,SO4_,HCO3_,CO2_mol,$L$60)</f>
        <v>-9.2143718641106407</v>
      </c>
      <c r="AI72" s="36"/>
      <c r="AJ72" s="26">
        <v>40</v>
      </c>
      <c r="AK72" s="80" cm="1">
        <f t="array" ref="AK72">[1]!unf_fa_scale_SI_old(N$41,$M72,q_liq,fw,rp_m3m3,NaK,Ca2_,Mg2_,Ba2_,Sr2_,Cl,SO4_,HCO3_,CO2_mol,$L$60)</f>
        <v>-8.1614741029537132</v>
      </c>
      <c r="AL72" s="80" cm="1">
        <f t="array" ref="AL72">[1]!unf_fa_scale_SI_old(O$41,$M72,q_liq,fw,rp_m3m3,NaK,Ca2_,Mg2_,Ba2_,Sr2_,Cl,SO4_,HCO3_,CO2_mol,$L$60)</f>
        <v>-8.3315906823975361</v>
      </c>
      <c r="AM72" s="80" cm="1">
        <f t="array" ref="AM72">[1]!unf_fa_scale_SI_old(P$41,$M72,q_liq,fw,rp_m3m3,NaK,Ca2_,Mg2_,Ba2_,Sr2_,Cl,SO4_,HCO3_,CO2_mol,$L$60)</f>
        <v>-8.5030575081655027</v>
      </c>
      <c r="AN72" s="80" cm="1">
        <f t="array" ref="AN72">[1]!unf_fa_scale_SI_old(Q$41,$M72,q_liq,fw,rp_m3m3,NaK,Ca2_,Mg2_,Ba2_,Sr2_,Cl,SO4_,HCO3_,CO2_mol,$L$60)</f>
        <v>-8.6762184333635837</v>
      </c>
      <c r="AO72" s="80" cm="1">
        <f t="array" ref="AO72">[1]!unf_fa_scale_SI_old(R$41,$M72,q_liq,fw,rp_m3m3,NaK,Ca2_,Mg2_,Ba2_,Sr2_,Cl,SO4_,HCO3_,CO2_mol,$L$60)</f>
        <v>-8.8515112442140982</v>
      </c>
      <c r="AP72" s="80" cm="1">
        <f t="array" ref="AP72">[1]!unf_fa_scale_SI_old(S$41,$M72,q_liq,fw,rp_m3m3,NaK,Ca2_,Mg2_,Ba2_,Sr2_,Cl,SO4_,HCO3_,CO2_mol,$L$60)</f>
        <v>-9.0294903692899879</v>
      </c>
      <c r="AQ72" s="80" cm="1">
        <f t="array" ref="AQ72">[1]!unf_fa_scale_SI_old(T$41,$M72,q_liq,fw,rp_m3m3,NaK,Ca2_,Mg2_,Ba2_,Sr2_,Cl,SO4_,HCO3_,CO2_mol,$L$60)</f>
        <v>-9.2108475443513385</v>
      </c>
      <c r="AR72" s="80" cm="1">
        <f t="array" ref="AR72">[1]!unf_fa_scale_SI_old(U$41,$M72,q_liq,fw,rp_m3m3,NaK,Ca2_,Mg2_,Ba2_,Sr2_,Cl,SO4_,HCO3_,CO2_mol,$L$60)</f>
        <v>-9.3964170340261006</v>
      </c>
      <c r="AS72" s="80" cm="1">
        <f t="array" ref="AS72">[1]!unf_fa_scale_SI_old(V$41,$M72,q_liq,fw,rp_m3m3,NaK,Ca2_,Mg2_,Ba2_,Sr2_,Cl,SO4_,HCO3_,CO2_mol,$L$60)</f>
        <v>-9.5871314193060204</v>
      </c>
      <c r="AT72" s="80" cm="1">
        <f t="array" ref="AT72">[1]!unf_fa_scale_SI_old(W$41,$M72,q_liq,fw,rp_m3m3,NaK,Ca2_,Mg2_,Ba2_,Sr2_,Cl,SO4_,HCO3_,CO2_mol,$L$60)</f>
        <v>-9.7838482716534436</v>
      </c>
      <c r="AU72" s="80" cm="1">
        <f t="array" ref="AU72">[1]!unf_fa_scale_SI_old(X$41,$M72,q_liq,fw,rp_m3m3,NaK,Ca2_,Mg2_,Ba2_,Sr2_,Cl,SO4_,HCO3_,CO2_mol,$L$60)</f>
        <v>-9.986877249348014</v>
      </c>
      <c r="AV72" s="80" cm="1">
        <f t="array" ref="AV72">[1]!unf_fa_scale_SI_old(Y$41,$M72,q_liq,fw,rp_m3m3,NaK,Ca2_,Mg2_,Ba2_,Sr2_,Cl,SO4_,HCO3_,CO2_mol,$L$60)</f>
        <v>-10.19490567894429</v>
      </c>
      <c r="AW72" s="80" cm="1">
        <f t="array" ref="AW72">[1]!unf_fa_scale_SI_old(Z$41,$M72,q_liq,fw,rp_m3m3,NaK,Ca2_,Mg2_,Ba2_,Sr2_,Cl,SO4_,HCO3_,CO2_mol,$L$60)</f>
        <v>-10.403056722873743</v>
      </c>
      <c r="AX72" s="80" cm="1">
        <f t="array" ref="AX72">[1]!unf_fa_scale_SI_old(AA$41,$M72,q_liq,fw,rp_m3m3,NaK,Ca2_,Mg2_,Ba2_,Sr2_,Cl,SO4_,HCO3_,CO2_mol,$L$60)</f>
        <v>-10.600947735073188</v>
      </c>
      <c r="AY72" s="80" cm="1">
        <f t="array" ref="AY72">[1]!unf_fa_scale_SI_old(AB$41,$M72,q_liq,fw,rp_m3m3,NaK,Ca2_,Mg2_,Ba2_,Sr2_,Cl,SO4_,HCO3_,CO2_mol,$L$60)</f>
        <v>-10.775184187036711</v>
      </c>
      <c r="AZ72" s="80" cm="1">
        <f t="array" ref="AZ72">[1]!unf_fa_scale_SI_old(AC$41,$M72,q_liq,fw,rp_m3m3,NaK,Ca2_,Mg2_,Ba2_,Sr2_,Cl,SO4_,HCO3_,CO2_mol,$L$60)</f>
        <v>-10.921775970028948</v>
      </c>
    </row>
    <row r="73" spans="12:52" x14ac:dyDescent="0.2">
      <c r="L73" s="36"/>
      <c r="M73" s="26">
        <v>45</v>
      </c>
      <c r="N73" s="40">
        <f t="array" ref="N73">[1]!unf_fa_scale_SI(N$41,$M73,q_liq,fw,rp_m3m3,NaK,Ca2_,Mg2_,Ba2_,Sr2_,Cl,SO4_,HCO3_,CO2_mol,$L$60)</f>
        <v>-8.9684243846971832</v>
      </c>
      <c r="O73" s="27">
        <f t="array" ref="O73">[1]!unf_fa_scale_SI(O$41,$M73,q_liq,fw,rp_m3m3,NaK,Ca2_,Mg2_,Ba2_,Sr2_,Cl,SO4_,HCO3_,CO2_mol,$L$60)</f>
        <v>-8.9687898789115827</v>
      </c>
      <c r="P73" s="27">
        <f t="array" ref="P73">[1]!unf_fa_scale_SI(P$41,$M73,q_liq,fw,rp_m3m3,NaK,Ca2_,Mg2_,Ba2_,Sr2_,Cl,SO4_,HCO3_,CO2_mol,$L$60)</f>
        <v>-8.9693235004646059</v>
      </c>
      <c r="Q73" s="27">
        <f t="array" ref="Q73">[1]!unf_fa_scale_SI(Q$41,$M73,q_liq,fw,rp_m3m3,NaK,Ca2_,Mg2_,Ba2_,Sr2_,Cl,SO4_,HCO3_,CO2_mol,$L$60)</f>
        <v>-8.970102587932022</v>
      </c>
      <c r="R73" s="27">
        <f t="array" ref="R73">[1]!unf_fa_scale_SI(R$41,$M73,q_liq,fw,rp_m3m3,NaK,Ca2_,Mg2_,Ba2_,Sr2_,Cl,SO4_,HCO3_,CO2_mol,$L$60)</f>
        <v>-8.971240055634448</v>
      </c>
      <c r="S73" s="27">
        <f t="array" ref="S73">[1]!unf_fa_scale_SI(S$41,$M73,q_liq,fw,rp_m3m3,NaK,Ca2_,Mg2_,Ba2_,Sr2_,Cl,SO4_,HCO3_,CO2_mol,$L$60)</f>
        <v>-8.9729007584799891</v>
      </c>
      <c r="T73" s="27">
        <f t="array" ref="T73">[1]!unf_fa_scale_SI(T$41,$M73,q_liq,fw,rp_m3m3,NaK,Ca2_,Mg2_,Ba2_,Sr2_,Cl,SO4_,HCO3_,CO2_mol,$L$60)</f>
        <v>-8.9753253846344805</v>
      </c>
      <c r="U73" s="27">
        <f t="array" ref="U73">[1]!unf_fa_scale_SI(U$41,$M73,q_liq,fw,rp_m3m3,NaK,Ca2_,Mg2_,Ba2_,Sr2_,Cl,SO4_,HCO3_,CO2_mol,$L$60)</f>
        <v>-8.9788653388200377</v>
      </c>
      <c r="V73" s="27">
        <f t="array" ref="V73">[1]!unf_fa_scale_SI(V$41,$M73,q_liq,fw,rp_m3m3,NaK,Ca2_,Mg2_,Ba2_,Sr2_,Cl,SO4_,HCO3_,CO2_mol,$L$60)</f>
        <v>-8.9840336719309519</v>
      </c>
      <c r="W73" s="27">
        <f t="array" ref="W73">[1]!unf_fa_scale_SI(W$41,$M73,q_liq,fw,rp_m3m3,NaK,Ca2_,Mg2_,Ba2_,Sr2_,Cl,SO4_,HCO3_,CO2_mol,$L$60)</f>
        <v>-8.9915794382728844</v>
      </c>
      <c r="X73" s="27">
        <f t="array" ref="X73">[1]!unf_fa_scale_SI(X$41,$M73,q_liq,fw,rp_m3m3,NaK,Ca2_,Mg2_,Ba2_,Sr2_,Cl,SO4_,HCO3_,CO2_mol,$L$60)</f>
        <v>-9.0025962571321081</v>
      </c>
      <c r="Y73" s="27">
        <f t="array" ref="Y73">[1]!unf_fa_scale_SI(Y$41,$M73,q_liq,fw,rp_m3m3,NaK,Ca2_,Mg2_,Ba2_,Sr2_,Cl,SO4_,HCO3_,CO2_mol,$L$60)</f>
        <v>-9.0186808126665738</v>
      </c>
      <c r="Z73" s="27">
        <f t="array" ref="Z73">[1]!unf_fa_scale_SI(Z$41,$M73,q_liq,fw,rp_m3m3,NaK,Ca2_,Mg2_,Ba2_,Sr2_,Cl,SO4_,HCO3_,CO2_mol,$L$60)</f>
        <v>-9.0421642637468924</v>
      </c>
      <c r="AA73" s="27">
        <f t="array" ref="AA73">[1]!unf_fa_scale_SI(AA$41,$M73,q_liq,fw,rp_m3m3,NaK,Ca2_,Mg2_,Ba2_,Sr2_,Cl,SO4_,HCO3_,CO2_mol,$L$60)</f>
        <v>-9.0764501023241593</v>
      </c>
      <c r="AB73" s="27">
        <f t="array" ref="AB73">[1]!unf_fa_scale_SI(AB$41,$M73,q_liq,fw,rp_m3m3,NaK,Ca2_,Mg2_,Ba2_,Sr2_,Cl,SO4_,HCO3_,CO2_mol,$L$60)</f>
        <v>-9.1265074266469686</v>
      </c>
      <c r="AC73" s="28">
        <f t="array" ref="AC73">[1]!unf_fa_scale_SI(AC$41,$M73,q_liq,fw,rp_m3m3,NaK,Ca2_,Mg2_,Ba2_,Sr2_,Cl,SO4_,HCO3_,CO2_mol,$L$60)</f>
        <v>-9.1995911201582707</v>
      </c>
      <c r="AI73" s="36"/>
      <c r="AJ73" s="26">
        <v>45</v>
      </c>
      <c r="AK73" s="80" cm="1">
        <f t="array" ref="AK73">[1]!unf_fa_scale_SI_old(N$41,$M73,q_liq,fw,rp_m3m3,NaK,Ca2_,Mg2_,Ba2_,Sr2_,Cl,SO4_,HCO3_,CO2_mol,$L$60)</f>
        <v>-8.1472356133353454</v>
      </c>
      <c r="AL73" s="80" cm="1">
        <f t="array" ref="AL73">[1]!unf_fa_scale_SI_old(O$41,$M73,q_liq,fw,rp_m3m3,NaK,Ca2_,Mg2_,Ba2_,Sr2_,Cl,SO4_,HCO3_,CO2_mol,$L$60)</f>
        <v>-8.3175365456103805</v>
      </c>
      <c r="AM73" s="80" cm="1">
        <f t="array" ref="AM73">[1]!unf_fa_scale_SI_old(P$41,$M73,q_liq,fw,rp_m3m3,NaK,Ca2_,Mg2_,Ba2_,Sr2_,Cl,SO4_,HCO3_,CO2_mol,$L$60)</f>
        <v>-8.4892582319434435</v>
      </c>
      <c r="AN73" s="80" cm="1">
        <f t="array" ref="AN73">[1]!unf_fa_scale_SI_old(Q$41,$M73,q_liq,fw,rp_m3m3,NaK,Ca2_,Mg2_,Ba2_,Sr2_,Cl,SO4_,HCO3_,CO2_mol,$L$60)</f>
        <v>-8.6627732127476147</v>
      </c>
      <c r="AO73" s="80" cm="1">
        <f t="array" ref="AO73">[1]!unf_fa_scale_SI_old(R$41,$M73,q_liq,fw,rp_m3m3,NaK,Ca2_,Mg2_,Ba2_,Sr2_,Cl,SO4_,HCO3_,CO2_mol,$L$60)</f>
        <v>-8.8385595285358374</v>
      </c>
      <c r="AP73" s="80" cm="1">
        <f t="array" ref="AP73">[1]!unf_fa_scale_SI_old(S$41,$M73,q_liq,fw,rp_m3m3,NaK,Ca2_,Mg2_,Ba2_,Sr2_,Cl,SO4_,HCO3_,CO2_mol,$L$60)</f>
        <v>-9.0172274152214005</v>
      </c>
      <c r="AQ73" s="80" cm="1">
        <f t="array" ref="AQ73">[1]!unf_fa_scale_SI_old(T$41,$M73,q_liq,fw,rp_m3m3,NaK,Ca2_,Mg2_,Ba2_,Sr2_,Cl,SO4_,HCO3_,CO2_mol,$L$60)</f>
        <v>-9.1995442692036544</v>
      </c>
      <c r="AR73" s="80" cm="1">
        <f t="array" ref="AR73">[1]!unf_fa_scale_SI_old(U$41,$M73,q_liq,fw,rp_m3m3,NaK,Ca2_,Mg2_,Ba2_,Sr2_,Cl,SO4_,HCO3_,CO2_mol,$L$60)</f>
        <v>-9.3864426728884798</v>
      </c>
      <c r="AS73" s="80" cm="1">
        <f t="array" ref="AS73">[1]!unf_fa_scale_SI_old(V$41,$M73,q_liq,fw,rp_m3m3,NaK,Ca2_,Mg2_,Ba2_,Sr2_,Cl,SO4_,HCO3_,CO2_mol,$L$60)</f>
        <v>-9.5789722123902568</v>
      </c>
      <c r="AT73" s="80" cm="1">
        <f t="array" ref="AT73">[1]!unf_fa_scale_SI_old(W$41,$M73,q_liq,fw,rp_m3m3,NaK,Ca2_,Mg2_,Ba2_,Sr2_,Cl,SO4_,HCO3_,CO2_mol,$L$60)</f>
        <v>-9.778101726738111</v>
      </c>
      <c r="AU73" s="80" cm="1">
        <f t="array" ref="AU73">[1]!unf_fa_scale_SI_old(X$41,$M73,q_liq,fw,rp_m3m3,NaK,Ca2_,Mg2_,Ba2_,Sr2_,Cl,SO4_,HCO3_,CO2_mol,$L$60)</f>
        <v>-9.9841698651195738</v>
      </c>
      <c r="AV73" s="80" cm="1">
        <f t="array" ref="AV73">[1]!unf_fa_scale_SI_old(Y$41,$M73,q_liq,fw,rp_m3m3,NaK,Ca2_,Mg2_,Ba2_,Sr2_,Cl,SO4_,HCO3_,CO2_mol,$L$60)</f>
        <v>-10.195624416139967</v>
      </c>
      <c r="AW73" s="80" cm="1">
        <f t="array" ref="AW73">[1]!unf_fa_scale_SI_old(Z$41,$M73,q_liq,fw,rp_m3m3,NaK,Ca2_,Mg2_,Ba2_,Sr2_,Cl,SO4_,HCO3_,CO2_mol,$L$60)</f>
        <v>-10.406753161783291</v>
      </c>
      <c r="AX73" s="80" cm="1">
        <f t="array" ref="AX73">[1]!unf_fa_scale_SI_old(AA$41,$M73,q_liq,fw,rp_m3m3,NaK,Ca2_,Mg2_,Ba2_,Sr2_,Cl,SO4_,HCO3_,CO2_mol,$L$60)</f>
        <v>-10.605575907362708</v>
      </c>
      <c r="AY73" s="80" cm="1">
        <f t="array" ref="AY73">[1]!unf_fa_scale_SI_old(AB$41,$M73,q_liq,fw,rp_m3m3,NaK,Ca2_,Mg2_,Ba2_,Sr2_,Cl,SO4_,HCO3_,CO2_mol,$L$60)</f>
        <v>-10.777385194186182</v>
      </c>
      <c r="AZ73" s="80" cm="1">
        <f t="array" ref="AZ73">[1]!unf_fa_scale_SI_old(AC$41,$M73,q_liq,fw,rp_m3m3,NaK,Ca2_,Mg2_,Ba2_,Sr2_,Cl,SO4_,HCO3_,CO2_mol,$L$60)</f>
        <v>-10.919389634892116</v>
      </c>
    </row>
    <row r="74" spans="12:52" x14ac:dyDescent="0.2">
      <c r="L74" s="36"/>
      <c r="M74" s="26">
        <v>50</v>
      </c>
      <c r="N74" s="40">
        <f t="array" ref="N74">[1]!unf_fa_scale_SI(N$41,$M74,q_liq,fw,rp_m3m3,NaK,Ca2_,Mg2_,Ba2_,Sr2_,Cl,SO4_,HCO3_,CO2_mol,$L$60)</f>
        <v>-8.9521809427448122</v>
      </c>
      <c r="O74" s="27">
        <f t="array" ref="O74">[1]!unf_fa_scale_SI(O$41,$M74,q_liq,fw,rp_m3m3,NaK,Ca2_,Mg2_,Ba2_,Sr2_,Cl,SO4_,HCO3_,CO2_mol,$L$60)</f>
        <v>-8.9525464369592118</v>
      </c>
      <c r="P74" s="27">
        <f t="array" ref="P74">[1]!unf_fa_scale_SI(P$41,$M74,q_liq,fw,rp_m3m3,NaK,Ca2_,Mg2_,Ba2_,Sr2_,Cl,SO4_,HCO3_,CO2_mol,$L$60)</f>
        <v>-8.953080058512235</v>
      </c>
      <c r="Q74" s="27">
        <f t="array" ref="Q74">[1]!unf_fa_scale_SI(Q$41,$M74,q_liq,fw,rp_m3m3,NaK,Ca2_,Mg2_,Ba2_,Sr2_,Cl,SO4_,HCO3_,CO2_mol,$L$60)</f>
        <v>-8.953859145979651</v>
      </c>
      <c r="R74" s="27">
        <f t="array" ref="R74">[1]!unf_fa_scale_SI(R$41,$M74,q_liq,fw,rp_m3m3,NaK,Ca2_,Mg2_,Ba2_,Sr2_,Cl,SO4_,HCO3_,CO2_mol,$L$60)</f>
        <v>-8.9549966136820771</v>
      </c>
      <c r="S74" s="27">
        <f t="array" ref="S74">[1]!unf_fa_scale_SI(S$41,$M74,q_liq,fw,rp_m3m3,NaK,Ca2_,Mg2_,Ba2_,Sr2_,Cl,SO4_,HCO3_,CO2_mol,$L$60)</f>
        <v>-8.9566573165276182</v>
      </c>
      <c r="T74" s="27">
        <f t="array" ref="T74">[1]!unf_fa_scale_SI(T$41,$M74,q_liq,fw,rp_m3m3,NaK,Ca2_,Mg2_,Ba2_,Sr2_,Cl,SO4_,HCO3_,CO2_mol,$L$60)</f>
        <v>-8.9590819426821096</v>
      </c>
      <c r="U74" s="27">
        <f t="array" ref="U74">[1]!unf_fa_scale_SI(U$41,$M74,q_liq,fw,rp_m3m3,NaK,Ca2_,Mg2_,Ba2_,Sr2_,Cl,SO4_,HCO3_,CO2_mol,$L$60)</f>
        <v>-8.9626218968676667</v>
      </c>
      <c r="V74" s="27">
        <f t="array" ref="V74">[1]!unf_fa_scale_SI(V$41,$M74,q_liq,fw,rp_m3m3,NaK,Ca2_,Mg2_,Ba2_,Sr2_,Cl,SO4_,HCO3_,CO2_mol,$L$60)</f>
        <v>-8.967790229978581</v>
      </c>
      <c r="W74" s="27">
        <f t="array" ref="W74">[1]!unf_fa_scale_SI(W$41,$M74,q_liq,fw,rp_m3m3,NaK,Ca2_,Mg2_,Ba2_,Sr2_,Cl,SO4_,HCO3_,CO2_mol,$L$60)</f>
        <v>-8.9753359963205135</v>
      </c>
      <c r="X74" s="27">
        <f t="array" ref="X74">[1]!unf_fa_scale_SI(X$41,$M74,q_liq,fw,rp_m3m3,NaK,Ca2_,Mg2_,Ba2_,Sr2_,Cl,SO4_,HCO3_,CO2_mol,$L$60)</f>
        <v>-8.9863528151797372</v>
      </c>
      <c r="Y74" s="27">
        <f t="array" ref="Y74">[1]!unf_fa_scale_SI(Y$41,$M74,q_liq,fw,rp_m3m3,NaK,Ca2_,Mg2_,Ba2_,Sr2_,Cl,SO4_,HCO3_,CO2_mol,$L$60)</f>
        <v>-9.0024373707142029</v>
      </c>
      <c r="Z74" s="27">
        <f t="array" ref="Z74">[1]!unf_fa_scale_SI(Z$41,$M74,q_liq,fw,rp_m3m3,NaK,Ca2_,Mg2_,Ba2_,Sr2_,Cl,SO4_,HCO3_,CO2_mol,$L$60)</f>
        <v>-9.0259208217945215</v>
      </c>
      <c r="AA74" s="27">
        <f t="array" ref="AA74">[1]!unf_fa_scale_SI(AA$41,$M74,q_liq,fw,rp_m3m3,NaK,Ca2_,Mg2_,Ba2_,Sr2_,Cl,SO4_,HCO3_,CO2_mol,$L$60)</f>
        <v>-9.0602066603717883</v>
      </c>
      <c r="AB74" s="27">
        <f t="array" ref="AB74">[1]!unf_fa_scale_SI(AB$41,$M74,q_liq,fw,rp_m3m3,NaK,Ca2_,Mg2_,Ba2_,Sr2_,Cl,SO4_,HCO3_,CO2_mol,$L$60)</f>
        <v>-9.1102639846945976</v>
      </c>
      <c r="AC74" s="28">
        <f t="array" ref="AC74">[1]!unf_fa_scale_SI(AC$41,$M74,q_liq,fw,rp_m3m3,NaK,Ca2_,Mg2_,Ba2_,Sr2_,Cl,SO4_,HCO3_,CO2_mol,$L$60)</f>
        <v>-9.1833476782058998</v>
      </c>
      <c r="AI74" s="36"/>
      <c r="AJ74" s="26">
        <v>50</v>
      </c>
      <c r="AK74" s="80" cm="1">
        <f t="array" ref="AK74">[1]!unf_fa_scale_SI_old(N$41,$M74,q_liq,fw,rp_m3m3,NaK,Ca2_,Mg2_,Ba2_,Sr2_,Cl,SO4_,HCO3_,CO2_mol,$L$60)</f>
        <v>-8.1314934941004431</v>
      </c>
      <c r="AL74" s="80" cm="1">
        <f t="array" ref="AL74">[1]!unf_fa_scale_SI_old(O$41,$M74,q_liq,fw,rp_m3m3,NaK,Ca2_,Mg2_,Ba2_,Sr2_,Cl,SO4_,HCO3_,CO2_mol,$L$60)</f>
        <v>-8.3019656439987326</v>
      </c>
      <c r="AM74" s="80" cm="1">
        <f t="array" ref="AM74">[1]!unf_fa_scale_SI_old(P$41,$M74,q_liq,fw,rp_m3m3,NaK,Ca2_,Mg2_,Ba2_,Sr2_,Cl,SO4_,HCO3_,CO2_mol,$L$60)</f>
        <v>-8.4739242737545286</v>
      </c>
      <c r="AN74" s="80" cm="1">
        <f t="array" ref="AN74">[1]!unf_fa_scale_SI_old(Q$41,$M74,q_liq,fw,rp_m3m3,NaK,Ca2_,Mg2_,Ba2_,Sr2_,Cl,SO4_,HCO3_,CO2_mol,$L$60)</f>
        <v>-8.6477687487724868</v>
      </c>
      <c r="AO74" s="80" cm="1">
        <f t="array" ref="AO74">[1]!unf_fa_scale_SI_old(R$41,$M74,q_liq,fw,rp_m3m3,NaK,Ca2_,Mg2_,Ba2_,Sr2_,Cl,SO4_,HCO3_,CO2_mol,$L$60)</f>
        <v>-8.8240147929024904</v>
      </c>
      <c r="AP74" s="80" cm="1">
        <f t="array" ref="AP74">[1]!unf_fa_scale_SI_old(S$41,$M74,q_liq,fw,rp_m3m3,NaK,Ca2_,Mg2_,Ba2_,Sr2_,Cl,SO4_,HCO3_,CO2_mol,$L$60)</f>
        <v>-9.0033249563716176</v>
      </c>
      <c r="AQ74" s="80" cm="1">
        <f t="array" ref="AQ74">[1]!unf_fa_scale_SI_old(T$41,$M74,q_liq,fw,rp_m3m3,NaK,Ca2_,Mg2_,Ba2_,Sr2_,Cl,SO4_,HCO3_,CO2_mol,$L$60)</f>
        <v>-9.1865376763150337</v>
      </c>
      <c r="AR74" s="80" cm="1">
        <f t="array" ref="AR74">[1]!unf_fa_scale_SI_old(U$41,$M74,q_liq,fw,rp_m3m3,NaK,Ca2_,Mg2_,Ba2_,Sr2_,Cl,SO4_,HCO3_,CO2_mol,$L$60)</f>
        <v>-9.3746780100539464</v>
      </c>
      <c r="AS74" s="80" cm="1">
        <f t="array" ref="AS74">[1]!unf_fa_scale_SI_old(V$41,$M74,q_liq,fw,rp_m3m3,NaK,Ca2_,Mg2_,Ba2_,Sr2_,Cl,SO4_,HCO3_,CO2_mol,$L$60)</f>
        <v>-9.5689056936311019</v>
      </c>
      <c r="AT74" s="80" cm="1">
        <f t="array" ref="AT74">[1]!unf_fa_scale_SI_old(W$41,$M74,q_liq,fw,rp_m3m3,NaK,Ca2_,Mg2_,Ba2_,Sr2_,Cl,SO4_,HCO3_,CO2_mol,$L$60)</f>
        <v>-9.7702937561816174</v>
      </c>
      <c r="AU74" s="80" cm="1">
        <f t="array" ref="AU74">[1]!unf_fa_scale_SI_old(X$41,$M74,q_liq,fw,rp_m3m3,NaK,Ca2_,Mg2_,Ba2_,Sr2_,Cl,SO4_,HCO3_,CO2_mol,$L$60)</f>
        <v>-9.9792039916306052</v>
      </c>
      <c r="AV74" s="80" cm="1">
        <f t="array" ref="AV74">[1]!unf_fa_scale_SI_old(Y$41,$M74,q_liq,fw,rp_m3m3,NaK,Ca2_,Mg2_,Ba2_,Sr2_,Cl,SO4_,HCO3_,CO2_mol,$L$60)</f>
        <v>-10.193841810158409</v>
      </c>
      <c r="AW74" s="80" cm="1">
        <f t="array" ref="AW74">[1]!unf_fa_scale_SI_old(Z$41,$M74,q_liq,fw,rp_m3m3,NaK,Ca2_,Mg2_,Ba2_,Sr2_,Cl,SO4_,HCO3_,CO2_mol,$L$60)</f>
        <v>-10.407666180438207</v>
      </c>
      <c r="AX74" s="80" cm="1">
        <f t="array" ref="AX74">[1]!unf_fa_scale_SI_old(AA$41,$M74,q_liq,fw,rp_m3m3,NaK,Ca2_,Mg2_,Ba2_,Sr2_,Cl,SO4_,HCO3_,CO2_mol,$L$60)</f>
        <v>-10.607159625144272</v>
      </c>
      <c r="AY74" s="80" cm="1">
        <f t="array" ref="AY74">[1]!unf_fa_scale_SI_old(AB$41,$M74,q_liq,fw,rp_m3m3,NaK,Ca2_,Mg2_,Ba2_,Sr2_,Cl,SO4_,HCO3_,CO2_mol,$L$60)</f>
        <v>-10.776517581387759</v>
      </c>
      <c r="AZ74" s="80" cm="1">
        <f t="array" ref="AZ74">[1]!unf_fa_scale_SI_old(AC$41,$M74,q_liq,fw,rp_m3m3,NaK,Ca2_,Mg2_,Ba2_,Sr2_,Cl,SO4_,HCO3_,CO2_mol,$L$60)</f>
        <v>-10.914361370918225</v>
      </c>
    </row>
    <row r="75" spans="12:52" x14ac:dyDescent="0.2">
      <c r="L75" s="36"/>
      <c r="M75" s="26">
        <v>55</v>
      </c>
      <c r="N75" s="40">
        <f t="array" ref="N75">[1]!unf_fa_scale_SI(N$41,$M75,q_liq,fw,rp_m3m3,NaK,Ca2_,Mg2_,Ba2_,Sr2_,Cl,SO4_,HCO3_,CO2_mol,$L$60)</f>
        <v>-8.9344748027924439</v>
      </c>
      <c r="O75" s="27">
        <f t="array" ref="O75">[1]!unf_fa_scale_SI(O$41,$M75,q_liq,fw,rp_m3m3,NaK,Ca2_,Mg2_,Ba2_,Sr2_,Cl,SO4_,HCO3_,CO2_mol,$L$60)</f>
        <v>-8.9348402970068435</v>
      </c>
      <c r="P75" s="27">
        <f t="array" ref="P75">[1]!unf_fa_scale_SI(P$41,$M75,q_liq,fw,rp_m3m3,NaK,Ca2_,Mg2_,Ba2_,Sr2_,Cl,SO4_,HCO3_,CO2_mol,$L$60)</f>
        <v>-8.9353739185598666</v>
      </c>
      <c r="Q75" s="27">
        <f t="array" ref="Q75">[1]!unf_fa_scale_SI(Q$41,$M75,q_liq,fw,rp_m3m3,NaK,Ca2_,Mg2_,Ba2_,Sr2_,Cl,SO4_,HCO3_,CO2_mol,$L$60)</f>
        <v>-8.9361530060272827</v>
      </c>
      <c r="R75" s="27">
        <f t="array" ref="R75">[1]!unf_fa_scale_SI(R$41,$M75,q_liq,fw,rp_m3m3,NaK,Ca2_,Mg2_,Ba2_,Sr2_,Cl,SO4_,HCO3_,CO2_mol,$L$60)</f>
        <v>-8.9372904737297088</v>
      </c>
      <c r="S75" s="27">
        <f t="array" ref="S75">[1]!unf_fa_scale_SI(S$41,$M75,q_liq,fw,rp_m3m3,NaK,Ca2_,Mg2_,Ba2_,Sr2_,Cl,SO4_,HCO3_,CO2_mol,$L$60)</f>
        <v>-8.9389511765752498</v>
      </c>
      <c r="T75" s="27">
        <f t="array" ref="T75">[1]!unf_fa_scale_SI(T$41,$M75,q_liq,fw,rp_m3m3,NaK,Ca2_,Mg2_,Ba2_,Sr2_,Cl,SO4_,HCO3_,CO2_mol,$L$60)</f>
        <v>-8.9413758027297412</v>
      </c>
      <c r="U75" s="27">
        <f t="array" ref="U75">[1]!unf_fa_scale_SI(U$41,$M75,q_liq,fw,rp_m3m3,NaK,Ca2_,Mg2_,Ba2_,Sr2_,Cl,SO4_,HCO3_,CO2_mol,$L$60)</f>
        <v>-8.9449157569152984</v>
      </c>
      <c r="V75" s="27">
        <f t="array" ref="V75">[1]!unf_fa_scale_SI(V$41,$M75,q_liq,fw,rp_m3m3,NaK,Ca2_,Mg2_,Ba2_,Sr2_,Cl,SO4_,HCO3_,CO2_mol,$L$60)</f>
        <v>-8.9500840900262126</v>
      </c>
      <c r="W75" s="27">
        <f t="array" ref="W75">[1]!unf_fa_scale_SI(W$41,$M75,q_liq,fw,rp_m3m3,NaK,Ca2_,Mg2_,Ba2_,Sr2_,Cl,SO4_,HCO3_,CO2_mol,$L$60)</f>
        <v>-8.9576298563681451</v>
      </c>
      <c r="X75" s="27">
        <f t="array" ref="X75">[1]!unf_fa_scale_SI(X$41,$M75,q_liq,fw,rp_m3m3,NaK,Ca2_,Mg2_,Ba2_,Sr2_,Cl,SO4_,HCO3_,CO2_mol,$L$60)</f>
        <v>-8.9686466752273688</v>
      </c>
      <c r="Y75" s="27">
        <f t="array" ref="Y75">[1]!unf_fa_scale_SI(Y$41,$M75,q_liq,fw,rp_m3m3,NaK,Ca2_,Mg2_,Ba2_,Sr2_,Cl,SO4_,HCO3_,CO2_mol,$L$60)</f>
        <v>-8.9847312307618346</v>
      </c>
      <c r="Z75" s="27">
        <f t="array" ref="Z75">[1]!unf_fa_scale_SI(Z$41,$M75,q_liq,fw,rp_m3m3,NaK,Ca2_,Mg2_,Ba2_,Sr2_,Cl,SO4_,HCO3_,CO2_mol,$L$60)</f>
        <v>-9.0082146818421531</v>
      </c>
      <c r="AA75" s="27">
        <f t="array" ref="AA75">[1]!unf_fa_scale_SI(AA$41,$M75,q_liq,fw,rp_m3m3,NaK,Ca2_,Mg2_,Ba2_,Sr2_,Cl,SO4_,HCO3_,CO2_mol,$L$60)</f>
        <v>-9.04250052041942</v>
      </c>
      <c r="AB75" s="27">
        <f t="array" ref="AB75">[1]!unf_fa_scale_SI(AB$41,$M75,q_liq,fw,rp_m3m3,NaK,Ca2_,Mg2_,Ba2_,Sr2_,Cl,SO4_,HCO3_,CO2_mol,$L$60)</f>
        <v>-9.0925578447422293</v>
      </c>
      <c r="AC75" s="28">
        <f t="array" ref="AC75">[1]!unf_fa_scale_SI(AC$41,$M75,q_liq,fw,rp_m3m3,NaK,Ca2_,Mg2_,Ba2_,Sr2_,Cl,SO4_,HCO3_,CO2_mol,$L$60)</f>
        <v>-9.1656415382535315</v>
      </c>
      <c r="AI75" s="36"/>
      <c r="AJ75" s="26">
        <v>55</v>
      </c>
      <c r="AK75" s="80" cm="1">
        <f t="array" ref="AK75">[1]!unf_fa_scale_SI_old(N$41,$M75,q_liq,fw,rp_m3m3,NaK,Ca2_,Mg2_,Ba2_,Sr2_,Cl,SO4_,HCO3_,CO2_mol,$L$60)</f>
        <v>-8.1142527577528565</v>
      </c>
      <c r="AL75" s="80" cm="1">
        <f t="array" ref="AL75">[1]!unf_fa_scale_SI_old(O$41,$M75,q_liq,fw,rp_m3m3,NaK,Ca2_,Mg2_,Ba2_,Sr2_,Cl,SO4_,HCO3_,CO2_mol,$L$60)</f>
        <v>-8.2848846742174995</v>
      </c>
      <c r="AM75" s="80" cm="1">
        <f t="array" ref="AM75">[1]!unf_fa_scale_SI_old(P$41,$M75,q_liq,fw,rp_m3m3,NaK,Ca2_,Mg2_,Ba2_,Sr2_,Cl,SO4_,HCO3_,CO2_mol,$L$60)</f>
        <v>-8.4570646497898512</v>
      </c>
      <c r="AN75" s="80" cm="1">
        <f t="array" ref="AN75">[1]!unf_fa_scale_SI_old(Q$41,$M75,q_liq,fw,rp_m3m3,NaK,Ca2_,Mg2_,Ba2_,Sr2_,Cl,SO4_,HCO3_,CO2_mol,$L$60)</f>
        <v>-8.6312172660167334</v>
      </c>
      <c r="AO75" s="80" cm="1">
        <f t="array" ref="AO75">[1]!unf_fa_scale_SI_old(R$41,$M75,q_liq,fw,rp_m3m3,NaK,Ca2_,Mg2_,Ba2_,Sr2_,Cl,SO4_,HCO3_,CO2_mol,$L$60)</f>
        <v>-8.8078937112534277</v>
      </c>
      <c r="AP75" s="80" cm="1">
        <f t="array" ref="AP75">[1]!unf_fa_scale_SI_old(S$41,$M75,q_liq,fw,rp_m3m3,NaK,Ca2_,Mg2_,Ba2_,Sr2_,Cl,SO4_,HCO3_,CO2_mol,$L$60)</f>
        <v>-8.9878058397441247</v>
      </c>
      <c r="AQ75" s="80" cm="1">
        <f t="array" ref="AQ75">[1]!unf_fa_scale_SI_old(T$41,$M75,q_liq,fw,rp_m3m3,NaK,Ca2_,Mg2_,Ba2_,Sr2_,Cl,SO4_,HCO3_,CO2_mol,$L$60)</f>
        <v>-9.1718591580556286</v>
      </c>
      <c r="AR75" s="80" cm="1">
        <f t="array" ref="AR75">[1]!unf_fa_scale_SI_old(U$41,$M75,q_liq,fw,rp_m3m3,NaK,Ca2_,Mg2_,Ba2_,Sr2_,Cl,SO4_,HCO3_,CO2_mol,$L$60)</f>
        <v>-9.3611662026127878</v>
      </c>
      <c r="AS75" s="80" cm="1">
        <f t="array" ref="AS75">[1]!unf_fa_scale_SI_old(V$41,$M75,q_liq,fw,rp_m3m3,NaK,Ca2_,Mg2_,Ba2_,Sr2_,Cl,SO4_,HCO3_,CO2_mol,$L$60)</f>
        <v>-9.556991071989005</v>
      </c>
      <c r="AT75" s="80" cm="1">
        <f t="array" ref="AT75">[1]!unf_fa_scale_SI_old(W$41,$M75,q_liq,fw,rp_m3m3,NaK,Ca2_,Mg2_,Ba2_,Sr2_,Cl,SO4_,HCO3_,CO2_mol,$L$60)</f>
        <v>-9.7605052131553034</v>
      </c>
      <c r="AU75" s="80" cm="1">
        <f t="array" ref="AU75">[1]!unf_fa_scale_SI_old(X$41,$M75,q_liq,fw,rp_m3m3,NaK,Ca2_,Mg2_,Ba2_,Sr2_,Cl,SO4_,HCO3_,CO2_mol,$L$60)</f>
        <v>-9.9720893228514633</v>
      </c>
      <c r="AV75" s="80" cm="1">
        <f t="array" ref="AV75">[1]!unf_fa_scale_SI_old(Y$41,$M75,q_liq,fw,rp_m3m3,NaK,Ca2_,Mg2_,Ba2_,Sr2_,Cl,SO4_,HCO3_,CO2_mol,$L$60)</f>
        <v>-10.189705684030416</v>
      </c>
      <c r="AW75" s="80" cm="1">
        <f t="array" ref="AW75">[1]!unf_fa_scale_SI_old(Z$41,$M75,q_liq,fw,rp_m3m3,NaK,Ca2_,Mg2_,Ba2_,Sr2_,Cl,SO4_,HCO3_,CO2_mol,$L$60)</f>
        <v>-10.405993534087871</v>
      </c>
      <c r="AX75" s="80" cm="1">
        <f t="array" ref="AX75">[1]!unf_fa_scale_SI_old(AA$41,$M75,q_liq,fw,rp_m3m3,NaK,Ca2_,Mg2_,Ba2_,Sr2_,Cl,SO4_,HCO3_,CO2_mol,$L$60)</f>
        <v>-10.605957364963997</v>
      </c>
      <c r="AY75" s="80" cm="1">
        <f t="array" ref="AY75">[1]!unf_fa_scale_SI_old(AB$41,$M75,q_liq,fw,rp_m3m3,NaK,Ca2_,Mg2_,Ba2_,Sr2_,Cl,SO4_,HCO3_,CO2_mol,$L$60)</f>
        <v>-10.772885063643704</v>
      </c>
      <c r="AZ75" s="80" cm="1">
        <f t="array" ref="AZ75">[1]!unf_fa_scale_SI_old(AC$41,$M75,q_liq,fw,rp_m3m3,NaK,Ca2_,Mg2_,Ba2_,Sr2_,Cl,SO4_,HCO3_,CO2_mol,$L$60)</f>
        <v>-10.90695601137225</v>
      </c>
    </row>
    <row r="76" spans="12:52" x14ac:dyDescent="0.2">
      <c r="L76" s="36"/>
      <c r="M76" s="26">
        <v>60</v>
      </c>
      <c r="N76" s="40">
        <f t="array" ref="N76">[1]!unf_fa_scale_SI(N$41,$M76,q_liq,fw,rp_m3m3,NaK,Ca2_,Mg2_,Ba2_,Sr2_,Cl,SO4_,HCO3_,CO2_mol,$L$60)</f>
        <v>-8.9153059648400728</v>
      </c>
      <c r="O76" s="27">
        <f t="array" ref="O76">[1]!unf_fa_scale_SI(O$41,$M76,q_liq,fw,rp_m3m3,NaK,Ca2_,Mg2_,Ba2_,Sr2_,Cl,SO4_,HCO3_,CO2_mol,$L$60)</f>
        <v>-8.9156714590544723</v>
      </c>
      <c r="P76" s="27">
        <f t="array" ref="P76">[1]!unf_fa_scale_SI(P$41,$M76,q_liq,fw,rp_m3m3,NaK,Ca2_,Mg2_,Ba2_,Sr2_,Cl,SO4_,HCO3_,CO2_mol,$L$60)</f>
        <v>-8.9162050806074955</v>
      </c>
      <c r="Q76" s="27">
        <f t="array" ref="Q76">[1]!unf_fa_scale_SI(Q$41,$M76,q_liq,fw,rp_m3m3,NaK,Ca2_,Mg2_,Ba2_,Sr2_,Cl,SO4_,HCO3_,CO2_mol,$L$60)</f>
        <v>-8.9169841680749116</v>
      </c>
      <c r="R76" s="27">
        <f t="array" ref="R76">[1]!unf_fa_scale_SI(R$41,$M76,q_liq,fw,rp_m3m3,NaK,Ca2_,Mg2_,Ba2_,Sr2_,Cl,SO4_,HCO3_,CO2_mol,$L$60)</f>
        <v>-8.9181216357773376</v>
      </c>
      <c r="S76" s="27">
        <f t="array" ref="S76">[1]!unf_fa_scale_SI(S$41,$M76,q_liq,fw,rp_m3m3,NaK,Ca2_,Mg2_,Ba2_,Sr2_,Cl,SO4_,HCO3_,CO2_mol,$L$60)</f>
        <v>-8.9197823386228787</v>
      </c>
      <c r="T76" s="27">
        <f t="array" ref="T76">[1]!unf_fa_scale_SI(T$41,$M76,q_liq,fw,rp_m3m3,NaK,Ca2_,Mg2_,Ba2_,Sr2_,Cl,SO4_,HCO3_,CO2_mol,$L$60)</f>
        <v>-8.9222069647773701</v>
      </c>
      <c r="U76" s="27">
        <f t="array" ref="U76">[1]!unf_fa_scale_SI(U$41,$M76,q_liq,fw,rp_m3m3,NaK,Ca2_,Mg2_,Ba2_,Sr2_,Cl,SO4_,HCO3_,CO2_mol,$L$60)</f>
        <v>-8.9257469189629273</v>
      </c>
      <c r="V76" s="27">
        <f t="array" ref="V76">[1]!unf_fa_scale_SI(V$41,$M76,q_liq,fw,rp_m3m3,NaK,Ca2_,Mg2_,Ba2_,Sr2_,Cl,SO4_,HCO3_,CO2_mol,$L$60)</f>
        <v>-8.9309152520738415</v>
      </c>
      <c r="W76" s="27">
        <f t="array" ref="W76">[1]!unf_fa_scale_SI(W$41,$M76,q_liq,fw,rp_m3m3,NaK,Ca2_,Mg2_,Ba2_,Sr2_,Cl,SO4_,HCO3_,CO2_mol,$L$60)</f>
        <v>-8.938461018415774</v>
      </c>
      <c r="X76" s="27">
        <f t="array" ref="X76">[1]!unf_fa_scale_SI(X$41,$M76,q_liq,fw,rp_m3m3,NaK,Ca2_,Mg2_,Ba2_,Sr2_,Cl,SO4_,HCO3_,CO2_mol,$L$60)</f>
        <v>-8.9494778372749977</v>
      </c>
      <c r="Y76" s="27">
        <f t="array" ref="Y76">[1]!unf_fa_scale_SI(Y$41,$M76,q_liq,fw,rp_m3m3,NaK,Ca2_,Mg2_,Ba2_,Sr2_,Cl,SO4_,HCO3_,CO2_mol,$L$60)</f>
        <v>-8.9655623928094634</v>
      </c>
      <c r="Z76" s="27">
        <f t="array" ref="Z76">[1]!unf_fa_scale_SI(Z$41,$M76,q_liq,fw,rp_m3m3,NaK,Ca2_,Mg2_,Ba2_,Sr2_,Cl,SO4_,HCO3_,CO2_mol,$L$60)</f>
        <v>-8.989045843889782</v>
      </c>
      <c r="AA76" s="27">
        <f t="array" ref="AA76">[1]!unf_fa_scale_SI(AA$41,$M76,q_liq,fw,rp_m3m3,NaK,Ca2_,Mg2_,Ba2_,Sr2_,Cl,SO4_,HCO3_,CO2_mol,$L$60)</f>
        <v>-9.0233316824670489</v>
      </c>
      <c r="AB76" s="27">
        <f t="array" ref="AB76">[1]!unf_fa_scale_SI(AB$41,$M76,q_liq,fw,rp_m3m3,NaK,Ca2_,Mg2_,Ba2_,Sr2_,Cl,SO4_,HCO3_,CO2_mol,$L$60)</f>
        <v>-9.0733890067898582</v>
      </c>
      <c r="AC76" s="28">
        <f t="array" ref="AC76">[1]!unf_fa_scale_SI(AC$41,$M76,q_liq,fw,rp_m3m3,NaK,Ca2_,Mg2_,Ba2_,Sr2_,Cl,SO4_,HCO3_,CO2_mol,$L$60)</f>
        <v>-9.1464727003011603</v>
      </c>
      <c r="AI76" s="36"/>
      <c r="AJ76" s="26">
        <v>60</v>
      </c>
      <c r="AK76" s="80" cm="1">
        <f t="array" ref="AK76">[1]!unf_fa_scale_SI_old(N$41,$M76,q_liq,fw,rp_m3m3,NaK,Ca2_,Mg2_,Ba2_,Sr2_,Cl,SO4_,HCO3_,CO2_mol,$L$60)</f>
        <v>-8.0955174515556241</v>
      </c>
      <c r="AL76" s="80" cm="1">
        <f t="array" ref="AL76">[1]!unf_fa_scale_SI_old(O$41,$M76,q_liq,fw,rp_m3m3,NaK,Ca2_,Mg2_,Ba2_,Sr2_,Cl,SO4_,HCO3_,CO2_mol,$L$60)</f>
        <v>-8.2662990290372829</v>
      </c>
      <c r="AM76" s="80" cm="1">
        <f t="array" ref="AM76">[1]!unf_fa_scale_SI_old(P$41,$M76,q_liq,fw,rp_m3m3,NaK,Ca2_,Mg2_,Ba2_,Sr2_,Cl,SO4_,HCO3_,CO2_mol,$L$60)</f>
        <v>-8.4386866017555953</v>
      </c>
      <c r="AN76" s="80" cm="1">
        <f t="array" ref="AN76">[1]!unf_fa_scale_SI_old(Q$41,$M76,q_liq,fw,rp_m3m3,NaK,Ca2_,Mg2_,Ba2_,Sr2_,Cl,SO4_,HCO3_,CO2_mol,$L$60)</f>
        <v>-8.61312855814508</v>
      </c>
      <c r="AO76" s="80" cm="1">
        <f t="array" ref="AO76">[1]!unf_fa_scale_SI_old(R$41,$M76,q_liq,fw,rp_m3m3,NaK,Ca2_,Mg2_,Ba2_,Sr2_,Cl,SO4_,HCO3_,CO2_mol,$L$60)</f>
        <v>-8.7902096089992057</v>
      </c>
      <c r="AP76" s="80" cm="1">
        <f t="array" ref="AP76">[1]!unf_fa_scale_SI_old(S$41,$M76,q_liq,fw,rp_m3m3,NaK,Ca2_,Mg2_,Ba2_,Sr2_,Cl,SO4_,HCO3_,CO2_mol,$L$60)</f>
        <v>-8.9706882807795214</v>
      </c>
      <c r="AQ76" s="80" cm="1">
        <f t="array" ref="AQ76">[1]!unf_fa_scale_SI_old(T$41,$M76,q_liq,fw,rp_m3m3,NaK,Ca2_,Mg2_,Ba2_,Sr2_,Cl,SO4_,HCO3_,CO2_mol,$L$60)</f>
        <v>-9.1555336849433324</v>
      </c>
      <c r="AR76" s="80" cm="1">
        <f t="array" ref="AR76">[1]!unf_fa_scale_SI_old(U$41,$M76,q_liq,fw,rp_m3m3,NaK,Ca2_,Mg2_,Ba2_,Sr2_,Cl,SO4_,HCO3_,CO2_mol,$L$60)</f>
        <v>-9.3459414993876972</v>
      </c>
      <c r="AS76" s="80" cm="1">
        <f t="array" ref="AS76">[1]!unf_fa_scale_SI_old(V$41,$M76,q_liq,fw,rp_m3m3,NaK,Ca2_,Mg2_,Ba2_,Sr2_,Cl,SO4_,HCO3_,CO2_mol,$L$60)</f>
        <v>-9.5432752201968061</v>
      </c>
      <c r="AT76" s="80" cm="1">
        <f t="array" ref="AT76">[1]!unf_fa_scale_SI_old(W$41,$M76,q_liq,fw,rp_m3m3,NaK,Ca2_,Mg2_,Ba2_,Sr2_,Cl,SO4_,HCO3_,CO2_mol,$L$60)</f>
        <v>-9.7487999318340304</v>
      </c>
      <c r="AU76" s="80" cm="1">
        <f t="array" ref="AU76">[1]!unf_fa_scale_SI_old(X$41,$M76,q_liq,fw,rp_m3m3,NaK,Ca2_,Mg2_,Ba2_,Sr2_,Cl,SO4_,HCO3_,CO2_mol,$L$60)</f>
        <v>-9.9629121926860762</v>
      </c>
      <c r="AV76" s="80" cm="1">
        <f t="array" ref="AV76">[1]!unf_fa_scale_SI_old(Y$41,$M76,q_liq,fw,rp_m3m3,NaK,Ca2_,Mg2_,Ba2_,Sr2_,Cl,SO4_,HCO3_,CO2_mol,$L$60)</f>
        <v>-10.183331953020209</v>
      </c>
      <c r="AW76" s="80" cm="1">
        <f t="array" ref="AW76">[1]!unf_fa_scale_SI_old(Z$41,$M76,q_liq,fw,rp_m3m3,NaK,Ca2_,Mg2_,Ba2_,Sr2_,Cl,SO4_,HCO3_,CO2_mol,$L$60)</f>
        <v>-10.401889522979184</v>
      </c>
      <c r="AX76" s="80" cm="1">
        <f t="array" ref="AX76">[1]!unf_fa_scale_SI_old(AA$41,$M76,q_liq,fw,rp_m3m3,NaK,Ca2_,Mg2_,Ba2_,Sr2_,Cl,SO4_,HCO3_,CO2_mol,$L$60)</f>
        <v>-10.602168728721137</v>
      </c>
      <c r="AY76" s="80" cm="1">
        <f t="array" ref="AY76">[1]!unf_fa_scale_SI_old(AB$41,$M76,q_liq,fw,rp_m3m3,NaK,Ca2_,Mg2_,Ba2_,Sr2_,Cl,SO4_,HCO3_,CO2_mol,$L$60)</f>
        <v>-10.766715887045152</v>
      </c>
      <c r="AZ76" s="80" cm="1">
        <f t="array" ref="AZ76">[1]!unf_fa_scale_SI_old(AC$41,$M76,q_liq,fw,rp_m3m3,NaK,Ca2_,Mg2_,Ba2_,Sr2_,Cl,SO4_,HCO3_,CO2_mol,$L$60)</f>
        <v>-10.897362460277309</v>
      </c>
    </row>
    <row r="77" spans="12:52" x14ac:dyDescent="0.2">
      <c r="L77" s="36"/>
      <c r="M77" s="26">
        <v>65</v>
      </c>
      <c r="N77" s="40">
        <f t="array" ref="N77">[1]!unf_fa_scale_SI(N$41,$M77,q_liq,fw,rp_m3m3,NaK,Ca2_,Mg2_,Ba2_,Sr2_,Cl,SO4_,HCO3_,CO2_mol,$L$60)</f>
        <v>-8.8946744288877024</v>
      </c>
      <c r="O77" s="27">
        <f t="array" ref="O77">[1]!unf_fa_scale_SI(O$41,$M77,q_liq,fw,rp_m3m3,NaK,Ca2_,Mg2_,Ba2_,Sr2_,Cl,SO4_,HCO3_,CO2_mol,$L$60)</f>
        <v>-8.895039923102102</v>
      </c>
      <c r="P77" s="27">
        <f t="array" ref="P77">[1]!unf_fa_scale_SI(P$41,$M77,q_liq,fw,rp_m3m3,NaK,Ca2_,Mg2_,Ba2_,Sr2_,Cl,SO4_,HCO3_,CO2_mol,$L$60)</f>
        <v>-8.8955735446551252</v>
      </c>
      <c r="Q77" s="27">
        <f t="array" ref="Q77">[1]!unf_fa_scale_SI(Q$41,$M77,q_liq,fw,rp_m3m3,NaK,Ca2_,Mg2_,Ba2_,Sr2_,Cl,SO4_,HCO3_,CO2_mol,$L$60)</f>
        <v>-8.8963526321225412</v>
      </c>
      <c r="R77" s="27">
        <f t="array" ref="R77">[1]!unf_fa_scale_SI(R$41,$M77,q_liq,fw,rp_m3m3,NaK,Ca2_,Mg2_,Ba2_,Sr2_,Cl,SO4_,HCO3_,CO2_mol,$L$60)</f>
        <v>-8.8974900998249673</v>
      </c>
      <c r="S77" s="27">
        <f t="array" ref="S77">[1]!unf_fa_scale_SI(S$41,$M77,q_liq,fw,rp_m3m3,NaK,Ca2_,Mg2_,Ba2_,Sr2_,Cl,SO4_,HCO3_,CO2_mol,$L$60)</f>
        <v>-8.8991508026705084</v>
      </c>
      <c r="T77" s="27">
        <f t="array" ref="T77">[1]!unf_fa_scale_SI(T$41,$M77,q_liq,fw,rp_m3m3,NaK,Ca2_,Mg2_,Ba2_,Sr2_,Cl,SO4_,HCO3_,CO2_mol,$L$60)</f>
        <v>-8.9015754288249997</v>
      </c>
      <c r="U77" s="27">
        <f t="array" ref="U77">[1]!unf_fa_scale_SI(U$41,$M77,q_liq,fw,rp_m3m3,NaK,Ca2_,Mg2_,Ba2_,Sr2_,Cl,SO4_,HCO3_,CO2_mol,$L$60)</f>
        <v>-8.9051153830105569</v>
      </c>
      <c r="V77" s="27">
        <f t="array" ref="V77">[1]!unf_fa_scale_SI(V$41,$M77,q_liq,fw,rp_m3m3,NaK,Ca2_,Mg2_,Ba2_,Sr2_,Cl,SO4_,HCO3_,CO2_mol,$L$60)</f>
        <v>-8.9102837161214712</v>
      </c>
      <c r="W77" s="27">
        <f t="array" ref="W77">[1]!unf_fa_scale_SI(W$41,$M77,q_liq,fw,rp_m3m3,NaK,Ca2_,Mg2_,Ba2_,Sr2_,Cl,SO4_,HCO3_,CO2_mol,$L$60)</f>
        <v>-8.9178294824634037</v>
      </c>
      <c r="X77" s="27">
        <f t="array" ref="X77">[1]!unf_fa_scale_SI(X$41,$M77,q_liq,fw,rp_m3m3,NaK,Ca2_,Mg2_,Ba2_,Sr2_,Cl,SO4_,HCO3_,CO2_mol,$L$60)</f>
        <v>-8.9288463013226274</v>
      </c>
      <c r="Y77" s="27">
        <f t="array" ref="Y77">[1]!unf_fa_scale_SI(Y$41,$M77,q_liq,fw,rp_m3m3,NaK,Ca2_,Mg2_,Ba2_,Sr2_,Cl,SO4_,HCO3_,CO2_mol,$L$60)</f>
        <v>-8.9449308568570931</v>
      </c>
      <c r="Z77" s="27">
        <f t="array" ref="Z77">[1]!unf_fa_scale_SI(Z$41,$M77,q_liq,fw,rp_m3m3,NaK,Ca2_,Mg2_,Ba2_,Sr2_,Cl,SO4_,HCO3_,CO2_mol,$L$60)</f>
        <v>-8.9684143079374117</v>
      </c>
      <c r="AA77" s="27">
        <f t="array" ref="AA77">[1]!unf_fa_scale_SI(AA$41,$M77,q_liq,fw,rp_m3m3,NaK,Ca2_,Mg2_,Ba2_,Sr2_,Cl,SO4_,HCO3_,CO2_mol,$L$60)</f>
        <v>-9.0027001465146785</v>
      </c>
      <c r="AB77" s="27">
        <f t="array" ref="AB77">[1]!unf_fa_scale_SI(AB$41,$M77,q_liq,fw,rp_m3m3,NaK,Ca2_,Mg2_,Ba2_,Sr2_,Cl,SO4_,HCO3_,CO2_mol,$L$60)</f>
        <v>-9.0527574708374878</v>
      </c>
      <c r="AC77" s="28">
        <f t="array" ref="AC77">[1]!unf_fa_scale_SI(AC$41,$M77,q_liq,fw,rp_m3m3,NaK,Ca2_,Mg2_,Ba2_,Sr2_,Cl,SO4_,HCO3_,CO2_mol,$L$60)</f>
        <v>-9.12584116434879</v>
      </c>
      <c r="AI77" s="36"/>
      <c r="AJ77" s="26">
        <v>65</v>
      </c>
      <c r="AK77" s="80" cm="1">
        <f t="array" ref="AK77">[1]!unf_fa_scale_SI_old(N$41,$M77,q_liq,fw,rp_m3m3,NaK,Ca2_,Mg2_,Ba2_,Sr2_,Cl,SO4_,HCO3_,CO2_mol,$L$60)</f>
        <v>-8.0752909028367466</v>
      </c>
      <c r="AL77" s="80" cm="1">
        <f t="array" ref="AL77">[1]!unf_fa_scale_SI_old(O$41,$M77,q_liq,fw,rp_m3m3,NaK,Ca2_,Mg2_,Ba2_,Sr2_,Cl,SO4_,HCO3_,CO2_mol,$L$60)</f>
        <v>-8.246213132054832</v>
      </c>
      <c r="AM77" s="80" cm="1">
        <f t="array" ref="AM77">[1]!unf_fa_scale_SI_old(P$41,$M77,q_liq,fw,rp_m3m3,NaK,Ca2_,Mg2_,Ba2_,Sr2_,Cl,SO4_,HCO3_,CO2_mol,$L$60)</f>
        <v>-8.4187960567643376</v>
      </c>
      <c r="AN77" s="80" cm="1">
        <f t="array" ref="AN77">[1]!unf_fa_scale_SI_old(Q$41,$M77,q_liq,fw,rp_m3m3,NaK,Ca2_,Mg2_,Ba2_,Sr2_,Cl,SO4_,HCO3_,CO2_mol,$L$60)</f>
        <v>-8.5935106236261269</v>
      </c>
      <c r="AO77" s="80" cm="1">
        <f t="array" ref="AO77">[1]!unf_fa_scale_SI_old(R$41,$M77,q_liq,fw,rp_m3m3,NaK,Ca2_,Mg2_,Ba2_,Sr2_,Cl,SO4_,HCO3_,CO2_mol,$L$60)</f>
        <v>-8.7709733461114183</v>
      </c>
      <c r="AP77" s="80" cm="1">
        <f t="array" ref="AP77">[1]!unf_fa_scale_SI_old(S$41,$M77,q_liq,fw,rp_m3m3,NaK,Ca2_,Mg2_,Ba2_,Sr2_,Cl,SO4_,HCO3_,CO2_mol,$L$60)</f>
        <v>-8.9519870944356601</v>
      </c>
      <c r="AQ77" s="80" cm="1">
        <f t="array" ref="AQ77">[1]!unf_fa_scale_SI_old(T$41,$M77,q_liq,fw,rp_m3m3,NaK,Ca2_,Mg2_,Ba2_,Sr2_,Cl,SO4_,HCO3_,CO2_mol,$L$60)</f>
        <v>-9.1375815251739461</v>
      </c>
      <c r="AR77" s="80" cm="1">
        <f t="array" ref="AR77">[1]!unf_fa_scale_SI_old(U$41,$M77,q_liq,fw,rp_m3m3,NaK,Ca2_,Mg2_,Ba2_,Sr2_,Cl,SO4_,HCO3_,CO2_mol,$L$60)</f>
        <v>-9.3290316429189293</v>
      </c>
      <c r="AS77" s="80" cm="1">
        <f t="array" ref="AS77">[1]!unf_fa_scale_SI_old(V$41,$M77,q_liq,fw,rp_m3m3,NaK,Ca2_,Mg2_,Ba2_,Sr2_,Cl,SO4_,HCO3_,CO2_mol,$L$60)</f>
        <v>-9.5277960236001231</v>
      </c>
      <c r="AT77" s="80" cm="1">
        <f t="array" ref="AT77">[1]!unf_fa_scale_SI_old(W$41,$M77,q_liq,fw,rp_m3m3,NaK,Ca2_,Mg2_,Ba2_,Sr2_,Cl,SO4_,HCO3_,CO2_mol,$L$60)</f>
        <v>-9.7352293784984756</v>
      </c>
      <c r="AU77" s="80" cm="1">
        <f t="array" ref="AU77">[1]!unf_fa_scale_SI_old(X$41,$M77,q_liq,fw,rp_m3m3,NaK,Ca2_,Mg2_,Ba2_,Sr2_,Cl,SO4_,HCO3_,CO2_mol,$L$60)</f>
        <v>-9.9517420020729723</v>
      </c>
      <c r="AV77" s="80" cm="1">
        <f t="array" ref="AV77">[1]!unf_fa_scale_SI_old(Y$41,$M77,q_liq,fw,rp_m3m3,NaK,Ca2_,Mg2_,Ba2_,Sr2_,Cl,SO4_,HCO3_,CO2_mol,$L$60)</f>
        <v>-10.174813463521152</v>
      </c>
      <c r="AW77" s="80" cm="1">
        <f t="array" ref="AW77">[1]!unf_fa_scale_SI_old(Z$41,$M77,q_liq,fw,rp_m3m3,NaK,Ca2_,Mg2_,Ba2_,Sr2_,Cl,SO4_,HCO3_,CO2_mol,$L$60)</f>
        <v>-10.395477124390016</v>
      </c>
      <c r="AX77" s="80" cm="1">
        <f t="array" ref="AX77">[1]!unf_fa_scale_SI_old(AA$41,$M77,q_liq,fw,rp_m3m3,NaK,Ca2_,Mg2_,Ba2_,Sr2_,Cl,SO4_,HCO3_,CO2_mol,$L$60)</f>
        <v>-10.595951132156694</v>
      </c>
      <c r="AY77" s="80" cm="1">
        <f t="array" ref="AY77">[1]!unf_fa_scale_SI_old(AB$41,$M77,q_liq,fw,rp_m3m3,NaK,Ca2_,Mg2_,Ba2_,Sr2_,Cl,SO4_,HCO3_,CO2_mol,$L$60)</f>
        <v>-10.758185296331364</v>
      </c>
      <c r="AZ77" s="80" cm="1">
        <f t="array" ref="AZ77">[1]!unf_fa_scale_SI_old(AC$41,$M77,q_liq,fw,rp_m3m3,NaK,Ca2_,Mg2_,Ba2_,Sr2_,Cl,SO4_,HCO3_,CO2_mol,$L$60)</f>
        <v>-10.885718845631381</v>
      </c>
    </row>
    <row r="78" spans="12:52" x14ac:dyDescent="0.2">
      <c r="L78" s="37"/>
      <c r="M78" s="29">
        <v>70</v>
      </c>
      <c r="N78" s="41">
        <f t="array" ref="N78">[1]!unf_fa_scale_SI(N$41,$M78,q_liq,fw,rp_m3m3,NaK,Ca2_,Mg2_,Ba2_,Sr2_,Cl,SO4_,HCO3_,CO2_mol,$L$60)</f>
        <v>-8.8725801949353311</v>
      </c>
      <c r="O78" s="30">
        <f t="array" ref="O78">[1]!unf_fa_scale_SI(O$41,$M78,q_liq,fw,rp_m3m3,NaK,Ca2_,Mg2_,Ba2_,Sr2_,Cl,SO4_,HCO3_,CO2_mol,$L$60)</f>
        <v>-8.8729456891497307</v>
      </c>
      <c r="P78" s="30">
        <f t="array" ref="P78">[1]!unf_fa_scale_SI(P$41,$M78,q_liq,fw,rp_m3m3,NaK,Ca2_,Mg2_,Ba2_,Sr2_,Cl,SO4_,HCO3_,CO2_mol,$L$60)</f>
        <v>-8.8734793107027539</v>
      </c>
      <c r="Q78" s="30">
        <f t="array" ref="Q78">[1]!unf_fa_scale_SI(Q$41,$M78,q_liq,fw,rp_m3m3,NaK,Ca2_,Mg2_,Ba2_,Sr2_,Cl,SO4_,HCO3_,CO2_mol,$L$60)</f>
        <v>-8.8742583981701699</v>
      </c>
      <c r="R78" s="30">
        <f t="array" ref="R78">[1]!unf_fa_scale_SI(R$41,$M78,q_liq,fw,rp_m3m3,NaK,Ca2_,Mg2_,Ba2_,Sr2_,Cl,SO4_,HCO3_,CO2_mol,$L$60)</f>
        <v>-8.875395865872596</v>
      </c>
      <c r="S78" s="30">
        <f t="array" ref="S78">[1]!unf_fa_scale_SI(S$41,$M78,q_liq,fw,rp_m3m3,NaK,Ca2_,Mg2_,Ba2_,Sr2_,Cl,SO4_,HCO3_,CO2_mol,$L$60)</f>
        <v>-8.8770565687181371</v>
      </c>
      <c r="T78" s="30">
        <f t="array" ref="T78">[1]!unf_fa_scale_SI(T$41,$M78,q_liq,fw,rp_m3m3,NaK,Ca2_,Mg2_,Ba2_,Sr2_,Cl,SO4_,HCO3_,CO2_mol,$L$60)</f>
        <v>-8.8794811948726284</v>
      </c>
      <c r="U78" s="30">
        <f t="array" ref="U78">[1]!unf_fa_scale_SI(U$41,$M78,q_liq,fw,rp_m3m3,NaK,Ca2_,Mg2_,Ba2_,Sr2_,Cl,SO4_,HCO3_,CO2_mol,$L$60)</f>
        <v>-8.8830211490581856</v>
      </c>
      <c r="V78" s="30">
        <f t="array" ref="V78">[1]!unf_fa_scale_SI(V$41,$M78,q_liq,fw,rp_m3m3,NaK,Ca2_,Mg2_,Ba2_,Sr2_,Cl,SO4_,HCO3_,CO2_mol,$L$60)</f>
        <v>-8.8881894821690999</v>
      </c>
      <c r="W78" s="30">
        <f t="array" ref="W78">[1]!unf_fa_scale_SI(W$41,$M78,q_liq,fw,rp_m3m3,NaK,Ca2_,Mg2_,Ba2_,Sr2_,Cl,SO4_,HCO3_,CO2_mol,$L$60)</f>
        <v>-8.8957352485110324</v>
      </c>
      <c r="X78" s="30">
        <f t="array" ref="X78">[1]!unf_fa_scale_SI(X$41,$M78,q_liq,fw,rp_m3m3,NaK,Ca2_,Mg2_,Ba2_,Sr2_,Cl,SO4_,HCO3_,CO2_mol,$L$60)</f>
        <v>-8.906752067370256</v>
      </c>
      <c r="Y78" s="30">
        <f t="array" ref="Y78">[1]!unf_fa_scale_SI(Y$41,$M78,q_liq,fw,rp_m3m3,NaK,Ca2_,Mg2_,Ba2_,Sr2_,Cl,SO4_,HCO3_,CO2_mol,$L$60)</f>
        <v>-8.9228366229047218</v>
      </c>
      <c r="Z78" s="30">
        <f t="array" ref="Z78">[1]!unf_fa_scale_SI(Z$41,$M78,q_liq,fw,rp_m3m3,NaK,Ca2_,Mg2_,Ba2_,Sr2_,Cl,SO4_,HCO3_,CO2_mol,$L$60)</f>
        <v>-8.9463200739850404</v>
      </c>
      <c r="AA78" s="30">
        <f t="array" ref="AA78">[1]!unf_fa_scale_SI(AA$41,$M78,q_liq,fw,rp_m3m3,NaK,Ca2_,Mg2_,Ba2_,Sr2_,Cl,SO4_,HCO3_,CO2_mol,$L$60)</f>
        <v>-8.9806059125623072</v>
      </c>
      <c r="AB78" s="30">
        <f t="array" ref="AB78">[1]!unf_fa_scale_SI(AB$41,$M78,q_liq,fw,rp_m3m3,NaK,Ca2_,Mg2_,Ba2_,Sr2_,Cl,SO4_,HCO3_,CO2_mol,$L$60)</f>
        <v>-9.0306632368851165</v>
      </c>
      <c r="AC78" s="31">
        <f t="array" ref="AC78">[1]!unf_fa_scale_SI(AC$41,$M78,q_liq,fw,rp_m3m3,NaK,Ca2_,Mg2_,Ba2_,Sr2_,Cl,SO4_,HCO3_,CO2_mol,$L$60)</f>
        <v>-9.1037469303964187</v>
      </c>
      <c r="AI78" s="37"/>
      <c r="AJ78" s="29">
        <v>70</v>
      </c>
      <c r="AK78" s="80" cm="1">
        <f t="array" ref="AK78">[1]!unf_fa_scale_SI_old(N$41,$M78,q_liq,fw,rp_m3m3,NaK,Ca2_,Mg2_,Ba2_,Sr2_,Cl,SO4_,HCO3_,CO2_mol,$L$60)</f>
        <v>-8.0535758886991751</v>
      </c>
      <c r="AL78" s="80" cm="1">
        <f t="array" ref="AL78">[1]!unf_fa_scale_SI_old(O$41,$M78,q_liq,fw,rp_m3m3,NaK,Ca2_,Mg2_,Ba2_,Sr2_,Cl,SO4_,HCO3_,CO2_mol,$L$60)</f>
        <v>-8.2246306683423054</v>
      </c>
      <c r="AM78" s="80" cm="1">
        <f t="array" ref="AM78">[1]!unf_fa_scale_SI_old(P$41,$M78,q_liq,fw,rp_m3m3,NaK,Ca2_,Mg2_,Ba2_,Sr2_,Cl,SO4_,HCO3_,CO2_mol,$L$60)</f>
        <v>-8.3973979430630745</v>
      </c>
      <c r="AN78" s="80" cm="1">
        <f t="array" ref="AN78">[1]!unf_fa_scale_SI_old(Q$41,$M78,q_liq,fw,rp_m3m3,NaK,Ca2_,Mg2_,Ba2_,Sr2_,Cl,SO4_,HCO3_,CO2_mol,$L$60)</f>
        <v>-8.5723701006456867</v>
      </c>
      <c r="AO78" s="80" cm="1">
        <f t="array" ref="AO78">[1]!unf_fa_scale_SI_old(R$41,$M78,q_liq,fw,rp_m3m3,NaK,Ca2_,Mg2_,Ba2_,Sr2_,Cl,SO4_,HCO3_,CO2_mol,$L$60)</f>
        <v>-8.7501939193147429</v>
      </c>
      <c r="AP78" s="80" cm="1">
        <f t="array" ref="AP78">[1]!unf_fa_scale_SI_old(S$41,$M78,q_liq,fw,rp_m3m3,NaK,Ca2_,Mg2_,Ba2_,Sr2_,Cl,SO4_,HCO3_,CO2_mol,$L$60)</f>
        <v>-8.9317145321726752</v>
      </c>
      <c r="AQ78" s="80" cm="1">
        <f t="array" ref="AQ78">[1]!unf_fa_scale_SI_old(T$41,$M78,q_liq,fw,rp_m3m3,NaK,Ca2_,Mg2_,Ba2_,Sr2_,Cl,SO4_,HCO3_,CO2_mol,$L$60)</f>
        <v>-9.1180194104730106</v>
      </c>
      <c r="AR78" s="80" cm="1">
        <f t="array" ref="AR78">[1]!unf_fa_scale_SI_old(U$41,$M78,q_liq,fw,rp_m3m3,NaK,Ca2_,Mg2_,Ba2_,Sr2_,Cl,SO4_,HCO3_,CO2_mol,$L$60)</f>
        <v>-9.3104594938627177</v>
      </c>
      <c r="AS78" s="80" cm="1">
        <f t="array" ref="AS78">[1]!unf_fa_scale_SI_old(V$41,$M78,q_liq,fw,rp_m3m3,NaK,Ca2_,Mg2_,Ba2_,Sr2_,Cl,SO4_,HCO3_,CO2_mol,$L$60)</f>
        <v>-9.5105846394595623</v>
      </c>
      <c r="AT78" s="80" cm="1">
        <f t="array" ref="AT78">[1]!unf_fa_scale_SI_old(W$41,$M78,q_liq,fw,rp_m3m3,NaK,Ca2_,Mg2_,Ba2_,Sr2_,Cl,SO4_,HCO3_,CO2_mol,$L$60)</f>
        <v>-9.7198357822751156</v>
      </c>
      <c r="AU78" s="80" cm="1">
        <f t="array" ref="AU78">[1]!unf_fa_scale_SI_old(X$41,$M78,q_liq,fw,rp_m3m3,NaK,Ca2_,Mg2_,Ba2_,Sr2_,Cl,SO4_,HCO3_,CO2_mol,$L$60)</f>
        <v>-9.9386355358056342</v>
      </c>
      <c r="AV78" s="80" cm="1">
        <f t="array" ref="AV78">[1]!unf_fa_scale_SI_old(Y$41,$M78,q_liq,fw,rp_m3m3,NaK,Ca2_,Mg2_,Ba2_,Sr2_,Cl,SO4_,HCO3_,CO2_mol,$L$60)</f>
        <v>-10.16422591752486</v>
      </c>
      <c r="AW78" s="80" cm="1">
        <f t="array" ref="AW78">[1]!unf_fa_scale_SI_old(Z$41,$M78,q_liq,fw,rp_m3m3,NaK,Ca2_,Mg2_,Ba2_,Sr2_,Cl,SO4_,HCO3_,CO2_mol,$L$60)</f>
        <v>-10.3868561076454</v>
      </c>
      <c r="AX78" s="80" cm="1">
        <f t="array" ref="AX78">[1]!unf_fa_scale_SI_old(AA$41,$M78,q_liq,fw,rp_m3m3,NaK,Ca2_,Mg2_,Ba2_,Sr2_,Cl,SO4_,HCO3_,CO2_mol,$L$60)</f>
        <v>-10.587430931058018</v>
      </c>
      <c r="AY78" s="80" cm="1">
        <f t="array" ref="AY78">[1]!unf_fa_scale_SI_old(AB$41,$M78,q_liq,fw,rp_m3m3,NaK,Ca2_,Mg2_,Ba2_,Sr2_,Cl,SO4_,HCO3_,CO2_mol,$L$60)</f>
        <v>-10.747430311583132</v>
      </c>
      <c r="AZ78" s="80" cm="1">
        <f t="array" ref="AZ78">[1]!unf_fa_scale_SI_old(AC$41,$M78,q_liq,fw,rp_m3m3,NaK,Ca2_,Mg2_,Ba2_,Sr2_,Cl,SO4_,HCO3_,CO2_mol,$L$60)</f>
        <v>-10.872128358976259</v>
      </c>
    </row>
    <row r="79" spans="12:52" x14ac:dyDescent="0.2">
      <c r="M79" s="11"/>
      <c r="N79" s="11"/>
      <c r="O79" s="11"/>
      <c r="P79" s="11"/>
      <c r="Q79" s="11"/>
      <c r="R79" s="11"/>
      <c r="S79" s="11"/>
      <c r="T79" s="11"/>
      <c r="U79" s="10"/>
      <c r="V79" s="10"/>
      <c r="W79" s="10"/>
      <c r="X79" s="10"/>
      <c r="Y79" s="10"/>
      <c r="Z79" s="10"/>
      <c r="AA79" s="10"/>
      <c r="AB79" s="16"/>
      <c r="AC79" s="17"/>
    </row>
    <row r="80" spans="12:52" x14ac:dyDescent="0.2">
      <c r="M80" s="11"/>
      <c r="N80" s="11"/>
      <c r="O80" s="11"/>
      <c r="P80" s="11"/>
      <c r="Q80" s="11"/>
      <c r="R80" s="11"/>
      <c r="S80" s="11"/>
      <c r="T80" s="11"/>
      <c r="U80" s="10"/>
      <c r="V80" s="10"/>
      <c r="W80" s="10"/>
      <c r="X80" s="10"/>
      <c r="Y80" s="10"/>
      <c r="Z80" s="10"/>
      <c r="AA80" s="10"/>
      <c r="AB80" s="16"/>
      <c r="AC80" s="17"/>
    </row>
    <row r="81" spans="12:29" x14ac:dyDescent="0.2">
      <c r="L81" s="10">
        <v>4</v>
      </c>
      <c r="M81" s="20" t="s">
        <v>21</v>
      </c>
      <c r="N81" s="11"/>
      <c r="O81" s="11"/>
      <c r="P81" s="11"/>
      <c r="Q81" s="11"/>
      <c r="R81" s="11"/>
      <c r="S81" s="11"/>
      <c r="T81" s="11"/>
      <c r="U81" s="10"/>
      <c r="V81" s="10"/>
      <c r="W81" s="10"/>
      <c r="X81" s="10"/>
      <c r="Y81" s="10"/>
      <c r="Z81" s="10"/>
      <c r="AA81" s="10"/>
      <c r="AB81" s="16"/>
      <c r="AC81" s="17"/>
    </row>
    <row r="82" spans="12:29" x14ac:dyDescent="0.2">
      <c r="M82" s="11"/>
      <c r="N82" s="11"/>
      <c r="O82" s="11">
        <v>1.4</v>
      </c>
      <c r="P82" s="11"/>
      <c r="Q82" s="11"/>
      <c r="R82" s="11"/>
      <c r="S82" s="11"/>
      <c r="T82" s="11"/>
      <c r="U82" s="10"/>
      <c r="V82" s="10"/>
      <c r="W82" s="10"/>
      <c r="X82" s="10"/>
      <c r="Y82" s="10"/>
      <c r="Z82" s="10"/>
      <c r="AA82" s="10"/>
      <c r="AB82" s="16"/>
      <c r="AC82" s="17"/>
    </row>
    <row r="83" spans="12:29" x14ac:dyDescent="0.2">
      <c r="L83" s="32"/>
      <c r="M83" s="22"/>
      <c r="N83" s="22" t="s">
        <v>17</v>
      </c>
      <c r="O83" s="22"/>
      <c r="P83" s="22"/>
      <c r="Q83" s="22"/>
      <c r="R83" s="22"/>
      <c r="S83" s="22"/>
      <c r="T83" s="22"/>
      <c r="U83" s="33"/>
      <c r="V83" s="33"/>
      <c r="W83" s="33"/>
      <c r="X83" s="33"/>
      <c r="Y83" s="33"/>
      <c r="Z83" s="33"/>
      <c r="AA83" s="33"/>
      <c r="AB83" s="34"/>
      <c r="AC83" s="35"/>
    </row>
    <row r="84" spans="12:29" x14ac:dyDescent="0.2">
      <c r="L84" s="36"/>
      <c r="M84" s="21"/>
      <c r="N84" s="22">
        <v>1</v>
      </c>
      <c r="O84" s="22">
        <f t="shared" ref="O84:AC84" si="18">N84*$O$17</f>
        <v>1.46</v>
      </c>
      <c r="P84" s="23">
        <f t="shared" si="18"/>
        <v>2.1315999999999997</v>
      </c>
      <c r="Q84" s="24">
        <f t="shared" si="18"/>
        <v>3.1121359999999996</v>
      </c>
      <c r="R84" s="24">
        <f t="shared" si="18"/>
        <v>4.5437185599999994</v>
      </c>
      <c r="S84" s="24">
        <f t="shared" si="18"/>
        <v>6.6338290975999987</v>
      </c>
      <c r="T84" s="24">
        <f t="shared" si="18"/>
        <v>9.6853904824959987</v>
      </c>
      <c r="U84" s="24">
        <f t="shared" si="18"/>
        <v>14.140670104444158</v>
      </c>
      <c r="V84" s="24">
        <f t="shared" si="18"/>
        <v>20.645378352488471</v>
      </c>
      <c r="W84" s="24">
        <f t="shared" si="18"/>
        <v>30.142252394633168</v>
      </c>
      <c r="X84" s="24">
        <f t="shared" si="18"/>
        <v>44.007688496164427</v>
      </c>
      <c r="Y84" s="24">
        <f t="shared" si="18"/>
        <v>64.251225204400058</v>
      </c>
      <c r="Z84" s="24">
        <f t="shared" si="18"/>
        <v>93.80678879842408</v>
      </c>
      <c r="AA84" s="24">
        <f t="shared" si="18"/>
        <v>136.95791164569914</v>
      </c>
      <c r="AB84" s="24">
        <f t="shared" si="18"/>
        <v>199.95855100272075</v>
      </c>
      <c r="AC84" s="25">
        <f t="shared" si="18"/>
        <v>291.93948446397229</v>
      </c>
    </row>
    <row r="85" spans="12:29" x14ac:dyDescent="0.2">
      <c r="L85" s="26" t="s">
        <v>18</v>
      </c>
      <c r="M85" s="26">
        <v>1</v>
      </c>
      <c r="N85" s="38">
        <f t="array" ref="N85">[1]!unf_fa_scale_SI(N$41,$M85,q_liq,fw,rp_m3m3,NaK,Ca2_,Mg2_,Ba2_,Sr2_,Cl,SO4_,HCO3_,CO2_mol,$L$81)</f>
        <v>-1.9230550772949311</v>
      </c>
      <c r="O85" s="23">
        <f t="array" ref="O85">[1]!unf_fa_scale_SI(O$41,$M85,q_liq,fw,rp_m3m3,NaK,Ca2_,Mg2_,Ba2_,Sr2_,Cl,SO4_,HCO3_,CO2_mol,$L$81)</f>
        <v>-1.9234028398709311</v>
      </c>
      <c r="P85" s="23">
        <f t="array" ref="P85">[1]!unf_fa_scale_SI(P$41,$M85,q_liq,fw,rp_m3m3,NaK,Ca2_,Mg2_,Ba2_,Sr2_,Cl,SO4_,HCO3_,CO2_mol,$L$81)</f>
        <v>-1.9239105732318911</v>
      </c>
      <c r="Q85" s="23">
        <f t="array" ref="Q85">[1]!unf_fa_scale_SI(Q$41,$M85,q_liq,fw,rp_m3m3,NaK,Ca2_,Mg2_,Ba2_,Sr2_,Cl,SO4_,HCO3_,CO2_mol,$L$81)</f>
        <v>-1.9246518639388928</v>
      </c>
      <c r="R85" s="23">
        <f t="array" ref="R85">[1]!unf_fa_scale_SI(R$41,$M85,q_liq,fw,rp_m3m3,NaK,Ca2_,Mg2_,Ba2_,Sr2_,Cl,SO4_,HCO3_,CO2_mol,$L$81)</f>
        <v>-1.925734148371115</v>
      </c>
      <c r="S85" s="23">
        <f t="array" ref="S85">[1]!unf_fa_scale_SI(S$41,$M85,q_liq,fw,rp_m3m3,NaK,Ca2_,Mg2_,Ba2_,Sr2_,Cl,SO4_,HCO3_,CO2_mol,$L$81)</f>
        <v>-1.9273142836421597</v>
      </c>
      <c r="T85" s="23">
        <f t="array" ref="T85">[1]!unf_fa_scale_SI(T$41,$M85,q_liq,fw,rp_m3m3,NaK,Ca2_,Mg2_,Ba2_,Sr2_,Cl,SO4_,HCO3_,CO2_mol,$L$81)</f>
        <v>-1.9296212811378848</v>
      </c>
      <c r="U85" s="23">
        <f t="array" ref="U85">[1]!unf_fa_scale_SI(U$41,$M85,q_liq,fw,rp_m3m3,NaK,Ca2_,Mg2_,Ba2_,Sr2_,Cl,SO4_,HCO3_,CO2_mol,$L$81)</f>
        <v>-1.9329894974816435</v>
      </c>
      <c r="V85" s="23">
        <f t="array" ref="V85">[1]!unf_fa_scale_SI(V$41,$M85,q_liq,fw,rp_m3m3,NaK,Ca2_,Mg2_,Ba2_,Sr2_,Cl,SO4_,HCO3_,CO2_mol,$L$81)</f>
        <v>-1.9379070933435312</v>
      </c>
      <c r="W85" s="23">
        <f t="array" ref="W85">[1]!unf_fa_scale_SI(W$41,$M85,q_liq,fw,rp_m3m3,NaK,Ca2_,Mg2_,Ba2_,Sr2_,Cl,SO4_,HCO3_,CO2_mol,$L$81)</f>
        <v>-1.9450867833018872</v>
      </c>
      <c r="X85" s="23">
        <f t="array" ref="X85">[1]!unf_fa_scale_SI(X$41,$M85,q_liq,fw,rp_m3m3,NaK,Ca2_,Mg2_,Ba2_,Sr2_,Cl,SO4_,HCO3_,CO2_mol,$L$81)</f>
        <v>-1.955569130641087</v>
      </c>
      <c r="Y85" s="23">
        <f t="array" ref="Y85">[1]!unf_fa_scale_SI(Y$41,$M85,q_liq,fw,rp_m3m3,NaK,Ca2_,Mg2_,Ba2_,Sr2_,Cl,SO4_,HCO3_,CO2_mol,$L$81)</f>
        <v>-1.9708733577563187</v>
      </c>
      <c r="Z85" s="23">
        <f t="array" ref="Z85">[1]!unf_fa_scale_SI(Z$41,$M85,q_liq,fw,rp_m3m3,NaK,Ca2_,Mg2_,Ba2_,Sr2_,Cl,SO4_,HCO3_,CO2_mol,$L$81)</f>
        <v>-1.9932175293445569</v>
      </c>
      <c r="AA85" s="23">
        <f t="array" ref="AA85">[1]!unf_fa_scale_SI(AA$41,$M85,q_liq,fw,rp_m3m3,NaK,Ca2_,Mg2_,Ba2_,Sr2_,Cl,SO4_,HCO3_,CO2_mol,$L$81)</f>
        <v>-2.0258400198633848</v>
      </c>
      <c r="AB85" s="23">
        <f t="array" ref="AB85">[1]!unf_fa_scale_SI(AB$41,$M85,q_liq,fw,rp_m3m3,NaK,Ca2_,Mg2_,Ba2_,Sr2_,Cl,SO4_,HCO3_,CO2_mol,$L$81)</f>
        <v>-2.0734688560208734</v>
      </c>
      <c r="AC85" s="39">
        <f t="array" ref="AC85">[1]!unf_fa_scale_SI(AC$41,$M85,q_liq,fw,rp_m3m3,NaK,Ca2_,Mg2_,Ba2_,Sr2_,Cl,SO4_,HCO3_,CO2_mol,$L$81)</f>
        <v>-2.1430069568108068</v>
      </c>
    </row>
    <row r="86" spans="12:29" x14ac:dyDescent="0.2">
      <c r="L86" s="36"/>
      <c r="M86" s="26">
        <v>5</v>
      </c>
      <c r="N86" s="40">
        <f t="array" ref="N86">[1]!unf_fa_scale_SI(N$41,$M86,q_liq,fw,rp_m3m3,NaK,Ca2_,Mg2_,Ba2_,Sr2_,Cl,SO4_,HCO3_,CO2_mol,$L$81)</f>
        <v>-1.9520670955387147</v>
      </c>
      <c r="O86" s="27">
        <f t="array" ref="O86">[1]!unf_fa_scale_SI(O$41,$M86,q_liq,fw,rp_m3m3,NaK,Ca2_,Mg2_,Ba2_,Sr2_,Cl,SO4_,HCO3_,CO2_mol,$L$81)</f>
        <v>-1.9524148581147147</v>
      </c>
      <c r="P86" s="27">
        <f t="array" ref="P86">[1]!unf_fa_scale_SI(P$41,$M86,q_liq,fw,rp_m3m3,NaK,Ca2_,Mg2_,Ba2_,Sr2_,Cl,SO4_,HCO3_,CO2_mol,$L$81)</f>
        <v>-1.9529225914756747</v>
      </c>
      <c r="Q86" s="27">
        <f t="array" ref="Q86">[1]!unf_fa_scale_SI(Q$41,$M86,q_liq,fw,rp_m3m3,NaK,Ca2_,Mg2_,Ba2_,Sr2_,Cl,SO4_,HCO3_,CO2_mol,$L$81)</f>
        <v>-1.9536638821826764</v>
      </c>
      <c r="R86" s="27">
        <f t="array" ref="R86">[1]!unf_fa_scale_SI(R$41,$M86,q_liq,fw,rp_m3m3,NaK,Ca2_,Mg2_,Ba2_,Sr2_,Cl,SO4_,HCO3_,CO2_mol,$L$81)</f>
        <v>-1.9547461666148986</v>
      </c>
      <c r="S86" s="27">
        <f t="array" ref="S86">[1]!unf_fa_scale_SI(S$41,$M86,q_liq,fw,rp_m3m3,NaK,Ca2_,Mg2_,Ba2_,Sr2_,Cl,SO4_,HCO3_,CO2_mol,$L$81)</f>
        <v>-1.9563263018859434</v>
      </c>
      <c r="T86" s="27">
        <f t="array" ref="T86">[1]!unf_fa_scale_SI(T$41,$M86,q_liq,fw,rp_m3m3,NaK,Ca2_,Mg2_,Ba2_,Sr2_,Cl,SO4_,HCO3_,CO2_mol,$L$81)</f>
        <v>-1.9586332993816684</v>
      </c>
      <c r="U86" s="27">
        <f t="array" ref="U86">[1]!unf_fa_scale_SI(U$41,$M86,q_liq,fw,rp_m3m3,NaK,Ca2_,Mg2_,Ba2_,Sr2_,Cl,SO4_,HCO3_,CO2_mol,$L$81)</f>
        <v>-1.9620015157254271</v>
      </c>
      <c r="V86" s="27">
        <f t="array" ref="V86">[1]!unf_fa_scale_SI(V$41,$M86,q_liq,fw,rp_m3m3,NaK,Ca2_,Mg2_,Ba2_,Sr2_,Cl,SO4_,HCO3_,CO2_mol,$L$81)</f>
        <v>-1.9669191115873148</v>
      </c>
      <c r="W86" s="27">
        <f t="array" ref="W86">[1]!unf_fa_scale_SI(W$41,$M86,q_liq,fw,rp_m3m3,NaK,Ca2_,Mg2_,Ba2_,Sr2_,Cl,SO4_,HCO3_,CO2_mol,$L$81)</f>
        <v>-1.9740988015456709</v>
      </c>
      <c r="X86" s="27">
        <f t="array" ref="X86">[1]!unf_fa_scale_SI(X$41,$M86,q_liq,fw,rp_m3m3,NaK,Ca2_,Mg2_,Ba2_,Sr2_,Cl,SO4_,HCO3_,CO2_mol,$L$81)</f>
        <v>-1.9845811488848706</v>
      </c>
      <c r="Y86" s="27">
        <f t="array" ref="Y86">[1]!unf_fa_scale_SI(Y$41,$M86,q_liq,fw,rp_m3m3,NaK,Ca2_,Mg2_,Ba2_,Sr2_,Cl,SO4_,HCO3_,CO2_mol,$L$81)</f>
        <v>-1.9998853760001023</v>
      </c>
      <c r="Z86" s="27">
        <f t="array" ref="Z86">[1]!unf_fa_scale_SI(Z$41,$M86,q_liq,fw,rp_m3m3,NaK,Ca2_,Mg2_,Ba2_,Sr2_,Cl,SO4_,HCO3_,CO2_mol,$L$81)</f>
        <v>-2.0222295475883407</v>
      </c>
      <c r="AA86" s="27">
        <f t="array" ref="AA86">[1]!unf_fa_scale_SI(AA$41,$M86,q_liq,fw,rp_m3m3,NaK,Ca2_,Mg2_,Ba2_,Sr2_,Cl,SO4_,HCO3_,CO2_mol,$L$81)</f>
        <v>-2.0548520381071684</v>
      </c>
      <c r="AB86" s="27">
        <f t="array" ref="AB86">[1]!unf_fa_scale_SI(AB$41,$M86,q_liq,fw,rp_m3m3,NaK,Ca2_,Mg2_,Ba2_,Sr2_,Cl,SO4_,HCO3_,CO2_mol,$L$81)</f>
        <v>-2.102480874264657</v>
      </c>
      <c r="AC86" s="28">
        <f t="array" ref="AC86">[1]!unf_fa_scale_SI(AC$41,$M86,q_liq,fw,rp_m3m3,NaK,Ca2_,Mg2_,Ba2_,Sr2_,Cl,SO4_,HCO3_,CO2_mol,$L$81)</f>
        <v>-2.1720189750545909</v>
      </c>
    </row>
    <row r="87" spans="12:29" x14ac:dyDescent="0.2">
      <c r="L87" s="36"/>
      <c r="M87" s="26">
        <v>10</v>
      </c>
      <c r="N87" s="40">
        <f t="array" ref="N87">[1]!unf_fa_scale_SI(N$41,$M87,q_liq,fw,rp_m3m3,NaK,Ca2_,Mg2_,Ba2_,Sr2_,Cl,SO4_,HCO3_,CO2_mol,$L$81)</f>
        <v>-1.9866335483434445</v>
      </c>
      <c r="O87" s="27">
        <f t="array" ref="O87">[1]!unf_fa_scale_SI(O$41,$M87,q_liq,fw,rp_m3m3,NaK,Ca2_,Mg2_,Ba2_,Sr2_,Cl,SO4_,HCO3_,CO2_mol,$L$81)</f>
        <v>-1.9869813109194445</v>
      </c>
      <c r="P87" s="27">
        <f t="array" ref="P87">[1]!unf_fa_scale_SI(P$41,$M87,q_liq,fw,rp_m3m3,NaK,Ca2_,Mg2_,Ba2_,Sr2_,Cl,SO4_,HCO3_,CO2_mol,$L$81)</f>
        <v>-1.9874890442804045</v>
      </c>
      <c r="Q87" s="27">
        <f t="array" ref="Q87">[1]!unf_fa_scale_SI(Q$41,$M87,q_liq,fw,rp_m3m3,NaK,Ca2_,Mg2_,Ba2_,Sr2_,Cl,SO4_,HCO3_,CO2_mol,$L$81)</f>
        <v>-1.9882303349874062</v>
      </c>
      <c r="R87" s="27">
        <f t="array" ref="R87">[1]!unf_fa_scale_SI(R$41,$M87,q_liq,fw,rp_m3m3,NaK,Ca2_,Mg2_,Ba2_,Sr2_,Cl,SO4_,HCO3_,CO2_mol,$L$81)</f>
        <v>-1.9893126194196284</v>
      </c>
      <c r="S87" s="27">
        <f t="array" ref="S87">[1]!unf_fa_scale_SI(S$41,$M87,q_liq,fw,rp_m3m3,NaK,Ca2_,Mg2_,Ba2_,Sr2_,Cl,SO4_,HCO3_,CO2_mol,$L$81)</f>
        <v>-1.9908927546906732</v>
      </c>
      <c r="T87" s="27">
        <f t="array" ref="T87">[1]!unf_fa_scale_SI(T$41,$M87,q_liq,fw,rp_m3m3,NaK,Ca2_,Mg2_,Ba2_,Sr2_,Cl,SO4_,HCO3_,CO2_mol,$L$81)</f>
        <v>-1.9931997521863982</v>
      </c>
      <c r="U87" s="27">
        <f t="array" ref="U87">[1]!unf_fa_scale_SI(U$41,$M87,q_liq,fw,rp_m3m3,NaK,Ca2_,Mg2_,Ba2_,Sr2_,Cl,SO4_,HCO3_,CO2_mol,$L$81)</f>
        <v>-1.9965679685301569</v>
      </c>
      <c r="V87" s="27">
        <f t="array" ref="V87">[1]!unf_fa_scale_SI(V$41,$M87,q_liq,fw,rp_m3m3,NaK,Ca2_,Mg2_,Ba2_,Sr2_,Cl,SO4_,HCO3_,CO2_mol,$L$81)</f>
        <v>-2.0014855643920448</v>
      </c>
      <c r="W87" s="27">
        <f t="array" ref="W87">[1]!unf_fa_scale_SI(W$41,$M87,q_liq,fw,rp_m3m3,NaK,Ca2_,Mg2_,Ba2_,Sr2_,Cl,SO4_,HCO3_,CO2_mol,$L$81)</f>
        <v>-2.0086652543504009</v>
      </c>
      <c r="X87" s="27">
        <f t="array" ref="X87">[1]!unf_fa_scale_SI(X$41,$M87,q_liq,fw,rp_m3m3,NaK,Ca2_,Mg2_,Ba2_,Sr2_,Cl,SO4_,HCO3_,CO2_mol,$L$81)</f>
        <v>-2.0191476016896006</v>
      </c>
      <c r="Y87" s="27">
        <f t="array" ref="Y87">[1]!unf_fa_scale_SI(Y$41,$M87,q_liq,fw,rp_m3m3,NaK,Ca2_,Mg2_,Ba2_,Sr2_,Cl,SO4_,HCO3_,CO2_mol,$L$81)</f>
        <v>-2.0344518288048321</v>
      </c>
      <c r="Z87" s="27">
        <f t="array" ref="Z87">[1]!unf_fa_scale_SI(Z$41,$M87,q_liq,fw,rp_m3m3,NaK,Ca2_,Mg2_,Ba2_,Sr2_,Cl,SO4_,HCO3_,CO2_mol,$L$81)</f>
        <v>-2.0567960003930703</v>
      </c>
      <c r="AA87" s="27">
        <f t="array" ref="AA87">[1]!unf_fa_scale_SI(AA$41,$M87,q_liq,fw,rp_m3m3,NaK,Ca2_,Mg2_,Ba2_,Sr2_,Cl,SO4_,HCO3_,CO2_mol,$L$81)</f>
        <v>-2.0894184909118985</v>
      </c>
      <c r="AB87" s="27">
        <f t="array" ref="AB87">[1]!unf_fa_scale_SI(AB$41,$M87,q_liq,fw,rp_m3m3,NaK,Ca2_,Mg2_,Ba2_,Sr2_,Cl,SO4_,HCO3_,CO2_mol,$L$81)</f>
        <v>-2.137047327069387</v>
      </c>
      <c r="AC87" s="28">
        <f t="array" ref="AC87">[1]!unf_fa_scale_SI(AC$41,$M87,q_liq,fw,rp_m3m3,NaK,Ca2_,Mg2_,Ba2_,Sr2_,Cl,SO4_,HCO3_,CO2_mol,$L$81)</f>
        <v>-2.2065854278593204</v>
      </c>
    </row>
    <row r="88" spans="12:29" x14ac:dyDescent="0.2">
      <c r="L88" s="36"/>
      <c r="M88" s="26">
        <v>15</v>
      </c>
      <c r="N88" s="40">
        <f t="array" ref="N88">[1]!unf_fa_scale_SI(N$41,$M88,q_liq,fw,rp_m3m3,NaK,Ca2_,Mg2_,Ba2_,Sr2_,Cl,SO4_,HCO3_,CO2_mol,$L$81)</f>
        <v>-2.0193127011481744</v>
      </c>
      <c r="O88" s="27">
        <f t="array" ref="O88">[1]!unf_fa_scale_SI(O$41,$M88,q_liq,fw,rp_m3m3,NaK,Ca2_,Mg2_,Ba2_,Sr2_,Cl,SO4_,HCO3_,CO2_mol,$L$81)</f>
        <v>-2.0196604637241746</v>
      </c>
      <c r="P88" s="27">
        <f t="array" ref="P88">[1]!unf_fa_scale_SI(P$41,$M88,q_liq,fw,rp_m3m3,NaK,Ca2_,Mg2_,Ba2_,Sr2_,Cl,SO4_,HCO3_,CO2_mol,$L$81)</f>
        <v>-2.0201681970851344</v>
      </c>
      <c r="Q88" s="27">
        <f t="array" ref="Q88">[1]!unf_fa_scale_SI(Q$41,$M88,q_liq,fw,rp_m3m3,NaK,Ca2_,Mg2_,Ba2_,Sr2_,Cl,SO4_,HCO3_,CO2_mol,$L$81)</f>
        <v>-2.0209094877921361</v>
      </c>
      <c r="R88" s="27">
        <f t="array" ref="R88">[1]!unf_fa_scale_SI(R$41,$M88,q_liq,fw,rp_m3m3,NaK,Ca2_,Mg2_,Ba2_,Sr2_,Cl,SO4_,HCO3_,CO2_mol,$L$81)</f>
        <v>-2.0219917722243586</v>
      </c>
      <c r="S88" s="27">
        <f t="array" ref="S88">[1]!unf_fa_scale_SI(S$41,$M88,q_liq,fw,rp_m3m3,NaK,Ca2_,Mg2_,Ba2_,Sr2_,Cl,SO4_,HCO3_,CO2_mol,$L$81)</f>
        <v>-2.0235719074954033</v>
      </c>
      <c r="T88" s="27">
        <f t="array" ref="T88">[1]!unf_fa_scale_SI(T$41,$M88,q_liq,fw,rp_m3m3,NaK,Ca2_,Mg2_,Ba2_,Sr2_,Cl,SO4_,HCO3_,CO2_mol,$L$81)</f>
        <v>-2.0258789049911283</v>
      </c>
      <c r="U88" s="27">
        <f t="array" ref="U88">[1]!unf_fa_scale_SI(U$41,$M88,q_liq,fw,rp_m3m3,NaK,Ca2_,Mg2_,Ba2_,Sr2_,Cl,SO4_,HCO3_,CO2_mol,$L$81)</f>
        <v>-2.0292471213348868</v>
      </c>
      <c r="V88" s="27">
        <f t="array" ref="V88">[1]!unf_fa_scale_SI(V$41,$M88,q_liq,fw,rp_m3m3,NaK,Ca2_,Mg2_,Ba2_,Sr2_,Cl,SO4_,HCO3_,CO2_mol,$L$81)</f>
        <v>-2.0341647171967745</v>
      </c>
      <c r="W88" s="27">
        <f t="array" ref="W88">[1]!unf_fa_scale_SI(W$41,$M88,q_liq,fw,rp_m3m3,NaK,Ca2_,Mg2_,Ba2_,Sr2_,Cl,SO4_,HCO3_,CO2_mol,$L$81)</f>
        <v>-2.0413444071551305</v>
      </c>
      <c r="X88" s="27">
        <f t="array" ref="X88">[1]!unf_fa_scale_SI(X$41,$M88,q_liq,fw,rp_m3m3,NaK,Ca2_,Mg2_,Ba2_,Sr2_,Cl,SO4_,HCO3_,CO2_mol,$L$81)</f>
        <v>-2.0518267544943303</v>
      </c>
      <c r="Y88" s="27">
        <f t="array" ref="Y88">[1]!unf_fa_scale_SI(Y$41,$M88,q_liq,fw,rp_m3m3,NaK,Ca2_,Mg2_,Ba2_,Sr2_,Cl,SO4_,HCO3_,CO2_mol,$L$81)</f>
        <v>-2.0671309816095622</v>
      </c>
      <c r="Z88" s="27">
        <f t="array" ref="Z88">[1]!unf_fa_scale_SI(Z$41,$M88,q_liq,fw,rp_m3m3,NaK,Ca2_,Mg2_,Ba2_,Sr2_,Cl,SO4_,HCO3_,CO2_mol,$L$81)</f>
        <v>-2.0894751531978004</v>
      </c>
      <c r="AA88" s="27">
        <f t="array" ref="AA88">[1]!unf_fa_scale_SI(AA$41,$M88,q_liq,fw,rp_m3m3,NaK,Ca2_,Mg2_,Ba2_,Sr2_,Cl,SO4_,HCO3_,CO2_mol,$L$81)</f>
        <v>-2.1220976437166281</v>
      </c>
      <c r="AB88" s="27">
        <f t="array" ref="AB88">[1]!unf_fa_scale_SI(AB$41,$M88,q_liq,fw,rp_m3m3,NaK,Ca2_,Mg2_,Ba2_,Sr2_,Cl,SO4_,HCO3_,CO2_mol,$L$81)</f>
        <v>-2.1697264798741167</v>
      </c>
      <c r="AC88" s="28">
        <f t="array" ref="AC88">[1]!unf_fa_scale_SI(AC$41,$M88,q_liq,fw,rp_m3m3,NaK,Ca2_,Mg2_,Ba2_,Sr2_,Cl,SO4_,HCO3_,CO2_mol,$L$81)</f>
        <v>-2.2392645806640505</v>
      </c>
    </row>
    <row r="89" spans="12:29" x14ac:dyDescent="0.2">
      <c r="L89" s="36"/>
      <c r="M89" s="26">
        <v>20</v>
      </c>
      <c r="N89" s="40">
        <f t="array" ref="N89">[1]!unf_fa_scale_SI(N$41,$M89,q_liq,fw,rp_m3m3,NaK,Ca2_,Mg2_,Ba2_,Sr2_,Cl,SO4_,HCO3_,CO2_mol,$L$81)</f>
        <v>-2.0501045539529041</v>
      </c>
      <c r="O89" s="27">
        <f t="array" ref="O89">[1]!unf_fa_scale_SI(O$41,$M89,q_liq,fw,rp_m3m3,NaK,Ca2_,Mg2_,Ba2_,Sr2_,Cl,SO4_,HCO3_,CO2_mol,$L$81)</f>
        <v>-2.0504523165289044</v>
      </c>
      <c r="P89" s="27">
        <f t="array" ref="P89">[1]!unf_fa_scale_SI(P$41,$M89,q_liq,fw,rp_m3m3,NaK,Ca2_,Mg2_,Ba2_,Sr2_,Cl,SO4_,HCO3_,CO2_mol,$L$81)</f>
        <v>-2.0509600498898641</v>
      </c>
      <c r="Q89" s="27">
        <f t="array" ref="Q89">[1]!unf_fa_scale_SI(Q$41,$M89,q_liq,fw,rp_m3m3,NaK,Ca2_,Mg2_,Ba2_,Sr2_,Cl,SO4_,HCO3_,CO2_mol,$L$81)</f>
        <v>-2.0517013405968658</v>
      </c>
      <c r="R89" s="27">
        <f t="array" ref="R89">[1]!unf_fa_scale_SI(R$41,$M89,q_liq,fw,rp_m3m3,NaK,Ca2_,Mg2_,Ba2_,Sr2_,Cl,SO4_,HCO3_,CO2_mol,$L$81)</f>
        <v>-2.0527836250290883</v>
      </c>
      <c r="S89" s="27">
        <f t="array" ref="S89">[1]!unf_fa_scale_SI(S$41,$M89,q_liq,fw,rp_m3m3,NaK,Ca2_,Mg2_,Ba2_,Sr2_,Cl,SO4_,HCO3_,CO2_mol,$L$81)</f>
        <v>-2.054363760300133</v>
      </c>
      <c r="T89" s="27">
        <f t="array" ref="T89">[1]!unf_fa_scale_SI(T$41,$M89,q_liq,fw,rp_m3m3,NaK,Ca2_,Mg2_,Ba2_,Sr2_,Cl,SO4_,HCO3_,CO2_mol,$L$81)</f>
        <v>-2.0566707577958581</v>
      </c>
      <c r="U89" s="27">
        <f t="array" ref="U89">[1]!unf_fa_scale_SI(U$41,$M89,q_liq,fw,rp_m3m3,NaK,Ca2_,Mg2_,Ba2_,Sr2_,Cl,SO4_,HCO3_,CO2_mol,$L$81)</f>
        <v>-2.0600389741396166</v>
      </c>
      <c r="V89" s="27">
        <f t="array" ref="V89">[1]!unf_fa_scale_SI(V$41,$M89,q_liq,fw,rp_m3m3,NaK,Ca2_,Mg2_,Ba2_,Sr2_,Cl,SO4_,HCO3_,CO2_mol,$L$81)</f>
        <v>-2.0649565700015042</v>
      </c>
      <c r="W89" s="27">
        <f t="array" ref="W89">[1]!unf_fa_scale_SI(W$41,$M89,q_liq,fw,rp_m3m3,NaK,Ca2_,Mg2_,Ba2_,Sr2_,Cl,SO4_,HCO3_,CO2_mol,$L$81)</f>
        <v>-2.0721362599598603</v>
      </c>
      <c r="X89" s="27">
        <f t="array" ref="X89">[1]!unf_fa_scale_SI(X$41,$M89,q_liq,fw,rp_m3m3,NaK,Ca2_,Mg2_,Ba2_,Sr2_,Cl,SO4_,HCO3_,CO2_mol,$L$81)</f>
        <v>-2.08261860729906</v>
      </c>
      <c r="Y89" s="27">
        <f t="array" ref="Y89">[1]!unf_fa_scale_SI(Y$41,$M89,q_liq,fw,rp_m3m3,NaK,Ca2_,Mg2_,Ba2_,Sr2_,Cl,SO4_,HCO3_,CO2_mol,$L$81)</f>
        <v>-2.0979228344142919</v>
      </c>
      <c r="Z89" s="27">
        <f t="array" ref="Z89">[1]!unf_fa_scale_SI(Z$41,$M89,q_liq,fw,rp_m3m3,NaK,Ca2_,Mg2_,Ba2_,Sr2_,Cl,SO4_,HCO3_,CO2_mol,$L$81)</f>
        <v>-2.1202670060025302</v>
      </c>
      <c r="AA89" s="27">
        <f t="array" ref="AA89">[1]!unf_fa_scale_SI(AA$41,$M89,q_liq,fw,rp_m3m3,NaK,Ca2_,Mg2_,Ba2_,Sr2_,Cl,SO4_,HCO3_,CO2_mol,$L$81)</f>
        <v>-2.1528894965213579</v>
      </c>
      <c r="AB89" s="27">
        <f t="array" ref="AB89">[1]!unf_fa_scale_SI(AB$41,$M89,q_liq,fw,rp_m3m3,NaK,Ca2_,Mg2_,Ba2_,Sr2_,Cl,SO4_,HCO3_,CO2_mol,$L$81)</f>
        <v>-2.2005183326788464</v>
      </c>
      <c r="AC89" s="28">
        <f t="array" ref="AC89">[1]!unf_fa_scale_SI(AC$41,$M89,q_liq,fw,rp_m3m3,NaK,Ca2_,Mg2_,Ba2_,Sr2_,Cl,SO4_,HCO3_,CO2_mol,$L$81)</f>
        <v>-2.2700564334687803</v>
      </c>
    </row>
    <row r="90" spans="12:29" x14ac:dyDescent="0.2">
      <c r="L90" s="36"/>
      <c r="M90" s="26">
        <v>25</v>
      </c>
      <c r="N90" s="40">
        <f t="array" ref="N90">[1]!unf_fa_scale_SI(N$41,$M90,q_liq,fw,rp_m3m3,NaK,Ca2_,Mg2_,Ba2_,Sr2_,Cl,SO4_,HCO3_,CO2_mol,$L$81)</f>
        <v>-2.079009106757634</v>
      </c>
      <c r="O90" s="27">
        <f t="array" ref="O90">[1]!unf_fa_scale_SI(O$41,$M90,q_liq,fw,rp_m3m3,NaK,Ca2_,Mg2_,Ba2_,Sr2_,Cl,SO4_,HCO3_,CO2_mol,$L$81)</f>
        <v>-2.0793568693336337</v>
      </c>
      <c r="P90" s="27">
        <f t="array" ref="P90">[1]!unf_fa_scale_SI(P$41,$M90,q_liq,fw,rp_m3m3,NaK,Ca2_,Mg2_,Ba2_,Sr2_,Cl,SO4_,HCO3_,CO2_mol,$L$81)</f>
        <v>-2.0798646026945939</v>
      </c>
      <c r="Q90" s="27">
        <f t="array" ref="Q90">[1]!unf_fa_scale_SI(Q$41,$M90,q_liq,fw,rp_m3m3,NaK,Ca2_,Mg2_,Ba2_,Sr2_,Cl,SO4_,HCO3_,CO2_mol,$L$81)</f>
        <v>-2.0806058934015956</v>
      </c>
      <c r="R90" s="27">
        <f t="array" ref="R90">[1]!unf_fa_scale_SI(R$41,$M90,q_liq,fw,rp_m3m3,NaK,Ca2_,Mg2_,Ba2_,Sr2_,Cl,SO4_,HCO3_,CO2_mol,$L$81)</f>
        <v>-2.0816881778338177</v>
      </c>
      <c r="S90" s="27">
        <f t="array" ref="S90">[1]!unf_fa_scale_SI(S$41,$M90,q_liq,fw,rp_m3m3,NaK,Ca2_,Mg2_,Ba2_,Sr2_,Cl,SO4_,HCO3_,CO2_mol,$L$81)</f>
        <v>-2.0832683131048624</v>
      </c>
      <c r="T90" s="27">
        <f t="array" ref="T90">[1]!unf_fa_scale_SI(T$41,$M90,q_liq,fw,rp_m3m3,NaK,Ca2_,Mg2_,Ba2_,Sr2_,Cl,SO4_,HCO3_,CO2_mol,$L$81)</f>
        <v>-2.0855753106005874</v>
      </c>
      <c r="U90" s="27">
        <f t="array" ref="U90">[1]!unf_fa_scale_SI(U$41,$M90,q_liq,fw,rp_m3m3,NaK,Ca2_,Mg2_,Ba2_,Sr2_,Cl,SO4_,HCO3_,CO2_mol,$L$81)</f>
        <v>-2.0889435269443464</v>
      </c>
      <c r="V90" s="27">
        <f t="array" ref="V90">[1]!unf_fa_scale_SI(V$41,$M90,q_liq,fw,rp_m3m3,NaK,Ca2_,Mg2_,Ba2_,Sr2_,Cl,SO4_,HCO3_,CO2_mol,$L$81)</f>
        <v>-2.0938611228062336</v>
      </c>
      <c r="W90" s="27">
        <f t="array" ref="W90">[1]!unf_fa_scale_SI(W$41,$M90,q_liq,fw,rp_m3m3,NaK,Ca2_,Mg2_,Ba2_,Sr2_,Cl,SO4_,HCO3_,CO2_mol,$L$81)</f>
        <v>-2.1010408127645896</v>
      </c>
      <c r="X90" s="27">
        <f t="array" ref="X90">[1]!unf_fa_scale_SI(X$41,$M90,q_liq,fw,rp_m3m3,NaK,Ca2_,Mg2_,Ba2_,Sr2_,Cl,SO4_,HCO3_,CO2_mol,$L$81)</f>
        <v>-2.1115231601037898</v>
      </c>
      <c r="Y90" s="27">
        <f t="array" ref="Y90">[1]!unf_fa_scale_SI(Y$41,$M90,q_liq,fw,rp_m3m3,NaK,Ca2_,Mg2_,Ba2_,Sr2_,Cl,SO4_,HCO3_,CO2_mol,$L$81)</f>
        <v>-2.1268273872190213</v>
      </c>
      <c r="Z90" s="27">
        <f t="array" ref="Z90">[1]!unf_fa_scale_SI(Z$41,$M90,q_liq,fw,rp_m3m3,NaK,Ca2_,Mg2_,Ba2_,Sr2_,Cl,SO4_,HCO3_,CO2_mol,$L$81)</f>
        <v>-2.1491715588072595</v>
      </c>
      <c r="AA90" s="27">
        <f t="array" ref="AA90">[1]!unf_fa_scale_SI(AA$41,$M90,q_liq,fw,rp_m3m3,NaK,Ca2_,Mg2_,Ba2_,Sr2_,Cl,SO4_,HCO3_,CO2_mol,$L$81)</f>
        <v>-2.1817940493260877</v>
      </c>
      <c r="AB90" s="27">
        <f t="array" ref="AB90">[1]!unf_fa_scale_SI(AB$41,$M90,q_liq,fw,rp_m3m3,NaK,Ca2_,Mg2_,Ba2_,Sr2_,Cl,SO4_,HCO3_,CO2_mol,$L$81)</f>
        <v>-2.2294228854835763</v>
      </c>
      <c r="AC90" s="28">
        <f t="array" ref="AC90">[1]!unf_fa_scale_SI(AC$41,$M90,q_liq,fw,rp_m3m3,NaK,Ca2_,Mg2_,Ba2_,Sr2_,Cl,SO4_,HCO3_,CO2_mol,$L$81)</f>
        <v>-2.2989609862735096</v>
      </c>
    </row>
    <row r="91" spans="12:29" x14ac:dyDescent="0.2">
      <c r="L91" s="36"/>
      <c r="M91" s="26">
        <v>30</v>
      </c>
      <c r="N91" s="40">
        <f t="array" ref="N91">[1]!unf_fa_scale_SI(N$41,$M91,q_liq,fw,rp_m3m3,NaK,Ca2_,Mg2_,Ba2_,Sr2_,Cl,SO4_,HCO3_,CO2_mol,$L$81)</f>
        <v>-2.1060263595623629</v>
      </c>
      <c r="O91" s="27">
        <f t="array" ref="O91">[1]!unf_fa_scale_SI(O$41,$M91,q_liq,fw,rp_m3m3,NaK,Ca2_,Mg2_,Ba2_,Sr2_,Cl,SO4_,HCO3_,CO2_mol,$L$81)</f>
        <v>-2.1063741221383632</v>
      </c>
      <c r="P91" s="27">
        <f t="array" ref="P91">[1]!unf_fa_scale_SI(P$41,$M91,q_liq,fw,rp_m3m3,NaK,Ca2_,Mg2_,Ba2_,Sr2_,Cl,SO4_,HCO3_,CO2_mol,$L$81)</f>
        <v>-2.1068818554993229</v>
      </c>
      <c r="Q91" s="27">
        <f t="array" ref="Q91">[1]!unf_fa_scale_SI(Q$41,$M91,q_liq,fw,rp_m3m3,NaK,Ca2_,Mg2_,Ba2_,Sr2_,Cl,SO4_,HCO3_,CO2_mol,$L$81)</f>
        <v>-2.1076231462063246</v>
      </c>
      <c r="R91" s="27">
        <f t="array" ref="R91">[1]!unf_fa_scale_SI(R$41,$M91,q_liq,fw,rp_m3m3,NaK,Ca2_,Mg2_,Ba2_,Sr2_,Cl,SO4_,HCO3_,CO2_mol,$L$81)</f>
        <v>-2.1087054306385471</v>
      </c>
      <c r="S91" s="27">
        <f t="array" ref="S91">[1]!unf_fa_scale_SI(S$41,$M91,q_liq,fw,rp_m3m3,NaK,Ca2_,Mg2_,Ba2_,Sr2_,Cl,SO4_,HCO3_,CO2_mol,$L$81)</f>
        <v>-2.1102855659095914</v>
      </c>
      <c r="T91" s="27">
        <f t="array" ref="T91">[1]!unf_fa_scale_SI(T$41,$M91,q_liq,fw,rp_m3m3,NaK,Ca2_,Mg2_,Ba2_,Sr2_,Cl,SO4_,HCO3_,CO2_mol,$L$81)</f>
        <v>-2.1125925634053164</v>
      </c>
      <c r="U91" s="27">
        <f t="array" ref="U91">[1]!unf_fa_scale_SI(U$41,$M91,q_liq,fw,rp_m3m3,NaK,Ca2_,Mg2_,Ba2_,Sr2_,Cl,SO4_,HCO3_,CO2_mol,$L$81)</f>
        <v>-2.1159607797490754</v>
      </c>
      <c r="V91" s="27">
        <f t="array" ref="V91">[1]!unf_fa_scale_SI(V$41,$M91,q_liq,fw,rp_m3m3,NaK,Ca2_,Mg2_,Ba2_,Sr2_,Cl,SO4_,HCO3_,CO2_mol,$L$81)</f>
        <v>-2.120878375610963</v>
      </c>
      <c r="W91" s="27">
        <f t="array" ref="W91">[1]!unf_fa_scale_SI(W$41,$M91,q_liq,fw,rp_m3m3,NaK,Ca2_,Mg2_,Ba2_,Sr2_,Cl,SO4_,HCO3_,CO2_mol,$L$81)</f>
        <v>-2.1280580655693191</v>
      </c>
      <c r="X91" s="27">
        <f t="array" ref="X91">[1]!unf_fa_scale_SI(X$41,$M91,q_liq,fw,rp_m3m3,NaK,Ca2_,Mg2_,Ba2_,Sr2_,Cl,SO4_,HCO3_,CO2_mol,$L$81)</f>
        <v>-2.1385404129085188</v>
      </c>
      <c r="Y91" s="27">
        <f t="array" ref="Y91">[1]!unf_fa_scale_SI(Y$41,$M91,q_liq,fw,rp_m3m3,NaK,Ca2_,Mg2_,Ba2_,Sr2_,Cl,SO4_,HCO3_,CO2_mol,$L$81)</f>
        <v>-2.1538446400237503</v>
      </c>
      <c r="Z91" s="27">
        <f t="array" ref="Z91">[1]!unf_fa_scale_SI(Z$41,$M91,q_liq,fw,rp_m3m3,NaK,Ca2_,Mg2_,Ba2_,Sr2_,Cl,SO4_,HCO3_,CO2_mol,$L$81)</f>
        <v>-2.176188811611989</v>
      </c>
      <c r="AA91" s="27">
        <f t="array" ref="AA91">[1]!unf_fa_scale_SI(AA$41,$M91,q_liq,fw,rp_m3m3,NaK,Ca2_,Mg2_,Ba2_,Sr2_,Cl,SO4_,HCO3_,CO2_mol,$L$81)</f>
        <v>-2.2088113021308167</v>
      </c>
      <c r="AB91" s="27">
        <f t="array" ref="AB91">[1]!unf_fa_scale_SI(AB$41,$M91,q_liq,fw,rp_m3m3,NaK,Ca2_,Mg2_,Ba2_,Sr2_,Cl,SO4_,HCO3_,CO2_mol,$L$81)</f>
        <v>-2.2564401382883053</v>
      </c>
      <c r="AC91" s="28">
        <f t="array" ref="AC91">[1]!unf_fa_scale_SI(AC$41,$M91,q_liq,fw,rp_m3m3,NaK,Ca2_,Mg2_,Ba2_,Sr2_,Cl,SO4_,HCO3_,CO2_mol,$L$81)</f>
        <v>-2.3259782390782391</v>
      </c>
    </row>
    <row r="92" spans="12:29" x14ac:dyDescent="0.2">
      <c r="L92" s="36"/>
      <c r="M92" s="26">
        <v>35</v>
      </c>
      <c r="N92" s="40">
        <f t="array" ref="N92">[1]!unf_fa_scale_SI(N$41,$M92,q_liq,fw,rp_m3m3,NaK,Ca2_,Mg2_,Ba2_,Sr2_,Cl,SO4_,HCO3_,CO2_mol,$L$81)</f>
        <v>-2.1311563123670929</v>
      </c>
      <c r="O92" s="27">
        <f t="array" ref="O92">[1]!unf_fa_scale_SI(O$41,$M92,q_liq,fw,rp_m3m3,NaK,Ca2_,Mg2_,Ba2_,Sr2_,Cl,SO4_,HCO3_,CO2_mol,$L$81)</f>
        <v>-2.1315040749430931</v>
      </c>
      <c r="P92" s="27">
        <f t="array" ref="P92">[1]!unf_fa_scale_SI(P$41,$M92,q_liq,fw,rp_m3m3,NaK,Ca2_,Mg2_,Ba2_,Sr2_,Cl,SO4_,HCO3_,CO2_mol,$L$81)</f>
        <v>-2.1320118083040529</v>
      </c>
      <c r="Q92" s="27">
        <f t="array" ref="Q92">[1]!unf_fa_scale_SI(Q$41,$M92,q_liq,fw,rp_m3m3,NaK,Ca2_,Mg2_,Ba2_,Sr2_,Cl,SO4_,HCO3_,CO2_mol,$L$81)</f>
        <v>-2.1327530990110546</v>
      </c>
      <c r="R92" s="27">
        <f t="array" ref="R92">[1]!unf_fa_scale_SI(R$41,$M92,q_liq,fw,rp_m3m3,NaK,Ca2_,Mg2_,Ba2_,Sr2_,Cl,SO4_,HCO3_,CO2_mol,$L$81)</f>
        <v>-2.1338353834432771</v>
      </c>
      <c r="S92" s="27">
        <f t="array" ref="S92">[1]!unf_fa_scale_SI(S$41,$M92,q_liq,fw,rp_m3m3,NaK,Ca2_,Mg2_,Ba2_,Sr2_,Cl,SO4_,HCO3_,CO2_mol,$L$81)</f>
        <v>-2.1354155187143213</v>
      </c>
      <c r="T92" s="27">
        <f t="array" ref="T92">[1]!unf_fa_scale_SI(T$41,$M92,q_liq,fw,rp_m3m3,NaK,Ca2_,Mg2_,Ba2_,Sr2_,Cl,SO4_,HCO3_,CO2_mol,$L$81)</f>
        <v>-2.1377225162100464</v>
      </c>
      <c r="U92" s="27">
        <f t="array" ref="U92">[1]!unf_fa_scale_SI(U$41,$M92,q_liq,fw,rp_m3m3,NaK,Ca2_,Mg2_,Ba2_,Sr2_,Cl,SO4_,HCO3_,CO2_mol,$L$81)</f>
        <v>-2.1410907325538053</v>
      </c>
      <c r="V92" s="27">
        <f t="array" ref="V92">[1]!unf_fa_scale_SI(V$41,$M92,q_liq,fw,rp_m3m3,NaK,Ca2_,Mg2_,Ba2_,Sr2_,Cl,SO4_,HCO3_,CO2_mol,$L$81)</f>
        <v>-2.146008328415693</v>
      </c>
      <c r="W92" s="27">
        <f t="array" ref="W92">[1]!unf_fa_scale_SI(W$41,$M92,q_liq,fw,rp_m3m3,NaK,Ca2_,Mg2_,Ba2_,Sr2_,Cl,SO4_,HCO3_,CO2_mol,$L$81)</f>
        <v>-2.1531880183740491</v>
      </c>
      <c r="X92" s="27">
        <f t="array" ref="X92">[1]!unf_fa_scale_SI(X$41,$M92,q_liq,fw,rp_m3m3,NaK,Ca2_,Mg2_,Ba2_,Sr2_,Cl,SO4_,HCO3_,CO2_mol,$L$81)</f>
        <v>-2.1636703657132488</v>
      </c>
      <c r="Y92" s="27">
        <f t="array" ref="Y92">[1]!unf_fa_scale_SI(Y$41,$M92,q_liq,fw,rp_m3m3,NaK,Ca2_,Mg2_,Ba2_,Sr2_,Cl,SO4_,HCO3_,CO2_mol,$L$81)</f>
        <v>-2.1789745928284807</v>
      </c>
      <c r="Z92" s="27">
        <f t="array" ref="Z92">[1]!unf_fa_scale_SI(Z$41,$M92,q_liq,fw,rp_m3m3,NaK,Ca2_,Mg2_,Ba2_,Sr2_,Cl,SO4_,HCO3_,CO2_mol,$L$81)</f>
        <v>-2.2013187644167189</v>
      </c>
      <c r="AA92" s="27">
        <f t="array" ref="AA92">[1]!unf_fa_scale_SI(AA$41,$M92,q_liq,fw,rp_m3m3,NaK,Ca2_,Mg2_,Ba2_,Sr2_,Cl,SO4_,HCO3_,CO2_mol,$L$81)</f>
        <v>-2.2339412549355466</v>
      </c>
      <c r="AB92" s="27">
        <f t="array" ref="AB92">[1]!unf_fa_scale_SI(AB$41,$M92,q_liq,fw,rp_m3m3,NaK,Ca2_,Mg2_,Ba2_,Sr2_,Cl,SO4_,HCO3_,CO2_mol,$L$81)</f>
        <v>-2.2815700910930352</v>
      </c>
      <c r="AC92" s="28">
        <f t="array" ref="AC92">[1]!unf_fa_scale_SI(AC$41,$M92,q_liq,fw,rp_m3m3,NaK,Ca2_,Mg2_,Ba2_,Sr2_,Cl,SO4_,HCO3_,CO2_mol,$L$81)</f>
        <v>-2.351108191882969</v>
      </c>
    </row>
    <row r="93" spans="12:29" x14ac:dyDescent="0.2">
      <c r="L93" s="36"/>
      <c r="M93" s="26">
        <v>40</v>
      </c>
      <c r="N93" s="40">
        <f t="array" ref="N93">[1]!unf_fa_scale_SI(N$41,$M93,q_liq,fw,rp_m3m3,NaK,Ca2_,Mg2_,Ba2_,Sr2_,Cl,SO4_,HCO3_,CO2_mol,$L$81)</f>
        <v>-2.1543989651718225</v>
      </c>
      <c r="O93" s="27">
        <f t="array" ref="O93">[1]!unf_fa_scale_SI(O$41,$M93,q_liq,fw,rp_m3m3,NaK,Ca2_,Mg2_,Ba2_,Sr2_,Cl,SO4_,HCO3_,CO2_mol,$L$81)</f>
        <v>-2.1547467277478227</v>
      </c>
      <c r="P93" s="27">
        <f t="array" ref="P93">[1]!unf_fa_scale_SI(P$41,$M93,q_liq,fw,rp_m3m3,NaK,Ca2_,Mg2_,Ba2_,Sr2_,Cl,SO4_,HCO3_,CO2_mol,$L$81)</f>
        <v>-2.1552544611087825</v>
      </c>
      <c r="Q93" s="27">
        <f t="array" ref="Q93">[1]!unf_fa_scale_SI(Q$41,$M93,q_liq,fw,rp_m3m3,NaK,Ca2_,Mg2_,Ba2_,Sr2_,Cl,SO4_,HCO3_,CO2_mol,$L$81)</f>
        <v>-2.1559957518157842</v>
      </c>
      <c r="R93" s="27">
        <f t="array" ref="R93">[1]!unf_fa_scale_SI(R$41,$M93,q_liq,fw,rp_m3m3,NaK,Ca2_,Mg2_,Ba2_,Sr2_,Cl,SO4_,HCO3_,CO2_mol,$L$81)</f>
        <v>-2.1570780362480066</v>
      </c>
      <c r="S93" s="27">
        <f t="array" ref="S93">[1]!unf_fa_scale_SI(S$41,$M93,q_liq,fw,rp_m3m3,NaK,Ca2_,Mg2_,Ba2_,Sr2_,Cl,SO4_,HCO3_,CO2_mol,$L$81)</f>
        <v>-2.1586581715190509</v>
      </c>
      <c r="T93" s="27">
        <f t="array" ref="T93">[1]!unf_fa_scale_SI(T$41,$M93,q_liq,fw,rp_m3m3,NaK,Ca2_,Mg2_,Ba2_,Sr2_,Cl,SO4_,HCO3_,CO2_mol,$L$81)</f>
        <v>-2.160965169014776</v>
      </c>
      <c r="U93" s="27">
        <f t="array" ref="U93">[1]!unf_fa_scale_SI(U$41,$M93,q_liq,fw,rp_m3m3,NaK,Ca2_,Mg2_,Ba2_,Sr2_,Cl,SO4_,HCO3_,CO2_mol,$L$81)</f>
        <v>-2.1643333853585349</v>
      </c>
      <c r="V93" s="27">
        <f t="array" ref="V93">[1]!unf_fa_scale_SI(V$41,$M93,q_liq,fw,rp_m3m3,NaK,Ca2_,Mg2_,Ba2_,Sr2_,Cl,SO4_,HCO3_,CO2_mol,$L$81)</f>
        <v>-2.1692509812204226</v>
      </c>
      <c r="W93" s="27">
        <f t="array" ref="W93">[1]!unf_fa_scale_SI(W$41,$M93,q_liq,fw,rp_m3m3,NaK,Ca2_,Mg2_,Ba2_,Sr2_,Cl,SO4_,HCO3_,CO2_mol,$L$81)</f>
        <v>-2.1764306711787786</v>
      </c>
      <c r="X93" s="27">
        <f t="array" ref="X93">[1]!unf_fa_scale_SI(X$41,$M93,q_liq,fw,rp_m3m3,NaK,Ca2_,Mg2_,Ba2_,Sr2_,Cl,SO4_,HCO3_,CO2_mol,$L$81)</f>
        <v>-2.1869130185179784</v>
      </c>
      <c r="Y93" s="27">
        <f t="array" ref="Y93">[1]!unf_fa_scale_SI(Y$41,$M93,q_liq,fw,rp_m3m3,NaK,Ca2_,Mg2_,Ba2_,Sr2_,Cl,SO4_,HCO3_,CO2_mol,$L$81)</f>
        <v>-2.2022172456332103</v>
      </c>
      <c r="Z93" s="27">
        <f t="array" ref="Z93">[1]!unf_fa_scale_SI(Z$41,$M93,q_liq,fw,rp_m3m3,NaK,Ca2_,Mg2_,Ba2_,Sr2_,Cl,SO4_,HCO3_,CO2_mol,$L$81)</f>
        <v>-2.2245614172214485</v>
      </c>
      <c r="AA93" s="27">
        <f t="array" ref="AA93">[1]!unf_fa_scale_SI(AA$41,$M93,q_liq,fw,rp_m3m3,NaK,Ca2_,Mg2_,Ba2_,Sr2_,Cl,SO4_,HCO3_,CO2_mol,$L$81)</f>
        <v>-2.2571839077402762</v>
      </c>
      <c r="AB93" s="27">
        <f t="array" ref="AB93">[1]!unf_fa_scale_SI(AB$41,$M93,q_liq,fw,rp_m3m3,NaK,Ca2_,Mg2_,Ba2_,Sr2_,Cl,SO4_,HCO3_,CO2_mol,$L$81)</f>
        <v>-2.3048127438977648</v>
      </c>
      <c r="AC93" s="28">
        <f t="array" ref="AC93">[1]!unf_fa_scale_SI(AC$41,$M93,q_liq,fw,rp_m3m3,NaK,Ca2_,Mg2_,Ba2_,Sr2_,Cl,SO4_,HCO3_,CO2_mol,$L$81)</f>
        <v>-2.3743508446876986</v>
      </c>
    </row>
    <row r="94" spans="12:29" x14ac:dyDescent="0.2">
      <c r="L94" s="36"/>
      <c r="M94" s="26">
        <v>45</v>
      </c>
      <c r="N94" s="40">
        <f t="array" ref="N94">[1]!unf_fa_scale_SI(N$41,$M94,q_liq,fw,rp_m3m3,NaK,Ca2_,Mg2_,Ba2_,Sr2_,Cl,SO4_,HCO3_,CO2_mol,$L$81)</f>
        <v>-2.1757543179765526</v>
      </c>
      <c r="O94" s="27">
        <f t="array" ref="O94">[1]!unf_fa_scale_SI(O$41,$M94,q_liq,fw,rp_m3m3,NaK,Ca2_,Mg2_,Ba2_,Sr2_,Cl,SO4_,HCO3_,CO2_mol,$L$81)</f>
        <v>-2.1761020805525528</v>
      </c>
      <c r="P94" s="27">
        <f t="array" ref="P94">[1]!unf_fa_scale_SI(P$41,$M94,q_liq,fw,rp_m3m3,NaK,Ca2_,Mg2_,Ba2_,Sr2_,Cl,SO4_,HCO3_,CO2_mol,$L$81)</f>
        <v>-2.1766098139135126</v>
      </c>
      <c r="Q94" s="27">
        <f t="array" ref="Q94">[1]!unf_fa_scale_SI(Q$41,$M94,q_liq,fw,rp_m3m3,NaK,Ca2_,Mg2_,Ba2_,Sr2_,Cl,SO4_,HCO3_,CO2_mol,$L$81)</f>
        <v>-2.1773511046205143</v>
      </c>
      <c r="R94" s="27">
        <f t="array" ref="R94">[1]!unf_fa_scale_SI(R$41,$M94,q_liq,fw,rp_m3m3,NaK,Ca2_,Mg2_,Ba2_,Sr2_,Cl,SO4_,HCO3_,CO2_mol,$L$81)</f>
        <v>-2.1784333890527368</v>
      </c>
      <c r="S94" s="27">
        <f t="array" ref="S94">[1]!unf_fa_scale_SI(S$41,$M94,q_liq,fw,rp_m3m3,NaK,Ca2_,Mg2_,Ba2_,Sr2_,Cl,SO4_,HCO3_,CO2_mol,$L$81)</f>
        <v>-2.180013524323781</v>
      </c>
      <c r="T94" s="27">
        <f t="array" ref="T94">[1]!unf_fa_scale_SI(T$41,$M94,q_liq,fw,rp_m3m3,NaK,Ca2_,Mg2_,Ba2_,Sr2_,Cl,SO4_,HCO3_,CO2_mol,$L$81)</f>
        <v>-2.1823205218195061</v>
      </c>
      <c r="U94" s="27">
        <f t="array" ref="U94">[1]!unf_fa_scale_SI(U$41,$M94,q_liq,fw,rp_m3m3,NaK,Ca2_,Mg2_,Ba2_,Sr2_,Cl,SO4_,HCO3_,CO2_mol,$L$81)</f>
        <v>-2.185688738163265</v>
      </c>
      <c r="V94" s="27">
        <f t="array" ref="V94">[1]!unf_fa_scale_SI(V$41,$M94,q_liq,fw,rp_m3m3,NaK,Ca2_,Mg2_,Ba2_,Sr2_,Cl,SO4_,HCO3_,CO2_mol,$L$81)</f>
        <v>-2.1906063340251527</v>
      </c>
      <c r="W94" s="27">
        <f t="array" ref="W94">[1]!unf_fa_scale_SI(W$41,$M94,q_liq,fw,rp_m3m3,NaK,Ca2_,Mg2_,Ba2_,Sr2_,Cl,SO4_,HCO3_,CO2_mol,$L$81)</f>
        <v>-2.1977860239835088</v>
      </c>
      <c r="X94" s="27">
        <f t="array" ref="X94">[1]!unf_fa_scale_SI(X$41,$M94,q_liq,fw,rp_m3m3,NaK,Ca2_,Mg2_,Ba2_,Sr2_,Cl,SO4_,HCO3_,CO2_mol,$L$81)</f>
        <v>-2.2082683713227085</v>
      </c>
      <c r="Y94" s="27">
        <f t="array" ref="Y94">[1]!unf_fa_scale_SI(Y$41,$M94,q_liq,fw,rp_m3m3,NaK,Ca2_,Mg2_,Ba2_,Sr2_,Cl,SO4_,HCO3_,CO2_mol,$L$81)</f>
        <v>-2.22357259843794</v>
      </c>
      <c r="Z94" s="27">
        <f t="array" ref="Z94">[1]!unf_fa_scale_SI(Z$41,$M94,q_liq,fw,rp_m3m3,NaK,Ca2_,Mg2_,Ba2_,Sr2_,Cl,SO4_,HCO3_,CO2_mol,$L$81)</f>
        <v>-2.2459167700261786</v>
      </c>
      <c r="AA94" s="27">
        <f t="array" ref="AA94">[1]!unf_fa_scale_SI(AA$41,$M94,q_liq,fw,rp_m3m3,NaK,Ca2_,Mg2_,Ba2_,Sr2_,Cl,SO4_,HCO3_,CO2_mol,$L$81)</f>
        <v>-2.2785392605450063</v>
      </c>
      <c r="AB94" s="27">
        <f t="array" ref="AB94">[1]!unf_fa_scale_SI(AB$41,$M94,q_liq,fw,rp_m3m3,NaK,Ca2_,Mg2_,Ba2_,Sr2_,Cl,SO4_,HCO3_,CO2_mol,$L$81)</f>
        <v>-2.3261680967024949</v>
      </c>
      <c r="AC94" s="28">
        <f t="array" ref="AC94">[1]!unf_fa_scale_SI(AC$41,$M94,q_liq,fw,rp_m3m3,NaK,Ca2_,Mg2_,Ba2_,Sr2_,Cl,SO4_,HCO3_,CO2_mol,$L$81)</f>
        <v>-2.3957061974924287</v>
      </c>
    </row>
    <row r="95" spans="12:29" x14ac:dyDescent="0.2">
      <c r="L95" s="36"/>
      <c r="M95" s="26">
        <v>50</v>
      </c>
      <c r="N95" s="40">
        <f t="array" ref="N95">[1]!unf_fa_scale_SI(N$41,$M95,q_liq,fw,rp_m3m3,NaK,Ca2_,Mg2_,Ba2_,Sr2_,Cl,SO4_,HCO3_,CO2_mol,$L$81)</f>
        <v>-2.1952223707812824</v>
      </c>
      <c r="O95" s="27">
        <f t="array" ref="O95">[1]!unf_fa_scale_SI(O$41,$M95,q_liq,fw,rp_m3m3,NaK,Ca2_,Mg2_,Ba2_,Sr2_,Cl,SO4_,HCO3_,CO2_mol,$L$81)</f>
        <v>-2.1955701333572826</v>
      </c>
      <c r="P95" s="27">
        <f t="array" ref="P95">[1]!unf_fa_scale_SI(P$41,$M95,q_liq,fw,rp_m3m3,NaK,Ca2_,Mg2_,Ba2_,Sr2_,Cl,SO4_,HCO3_,CO2_mol,$L$81)</f>
        <v>-2.1960778667182423</v>
      </c>
      <c r="Q95" s="27">
        <f t="array" ref="Q95">[1]!unf_fa_scale_SI(Q$41,$M95,q_liq,fw,rp_m3m3,NaK,Ca2_,Mg2_,Ba2_,Sr2_,Cl,SO4_,HCO3_,CO2_mol,$L$81)</f>
        <v>-2.196819157425244</v>
      </c>
      <c r="R95" s="27">
        <f t="array" ref="R95">[1]!unf_fa_scale_SI(R$41,$M95,q_liq,fw,rp_m3m3,NaK,Ca2_,Mg2_,Ba2_,Sr2_,Cl,SO4_,HCO3_,CO2_mol,$L$81)</f>
        <v>-2.1979014418574665</v>
      </c>
      <c r="S95" s="27">
        <f t="array" ref="S95">[1]!unf_fa_scale_SI(S$41,$M95,q_liq,fw,rp_m3m3,NaK,Ca2_,Mg2_,Ba2_,Sr2_,Cl,SO4_,HCO3_,CO2_mol,$L$81)</f>
        <v>-2.1994815771285108</v>
      </c>
      <c r="T95" s="27">
        <f t="array" ref="T95">[1]!unf_fa_scale_SI(T$41,$M95,q_liq,fw,rp_m3m3,NaK,Ca2_,Mg2_,Ba2_,Sr2_,Cl,SO4_,HCO3_,CO2_mol,$L$81)</f>
        <v>-2.2017885746242358</v>
      </c>
      <c r="U95" s="27">
        <f t="array" ref="U95">[1]!unf_fa_scale_SI(U$41,$M95,q_liq,fw,rp_m3m3,NaK,Ca2_,Mg2_,Ba2_,Sr2_,Cl,SO4_,HCO3_,CO2_mol,$L$81)</f>
        <v>-2.2051567909679948</v>
      </c>
      <c r="V95" s="27">
        <f t="array" ref="V95">[1]!unf_fa_scale_SI(V$41,$M95,q_liq,fw,rp_m3m3,NaK,Ca2_,Mg2_,Ba2_,Sr2_,Cl,SO4_,HCO3_,CO2_mol,$L$81)</f>
        <v>-2.2100743868298824</v>
      </c>
      <c r="W95" s="27">
        <f t="array" ref="W95">[1]!unf_fa_scale_SI(W$41,$M95,q_liq,fw,rp_m3m3,NaK,Ca2_,Mg2_,Ba2_,Sr2_,Cl,SO4_,HCO3_,CO2_mol,$L$81)</f>
        <v>-2.2172540767882385</v>
      </c>
      <c r="X95" s="27">
        <f t="array" ref="X95">[1]!unf_fa_scale_SI(X$41,$M95,q_liq,fw,rp_m3m3,NaK,Ca2_,Mg2_,Ba2_,Sr2_,Cl,SO4_,HCO3_,CO2_mol,$L$81)</f>
        <v>-2.2277364241274382</v>
      </c>
      <c r="Y95" s="27">
        <f t="array" ref="Y95">[1]!unf_fa_scale_SI(Y$41,$M95,q_liq,fw,rp_m3m3,NaK,Ca2_,Mg2_,Ba2_,Sr2_,Cl,SO4_,HCO3_,CO2_mol,$L$81)</f>
        <v>-2.2430406512426697</v>
      </c>
      <c r="Z95" s="27">
        <f t="array" ref="Z95">[1]!unf_fa_scale_SI(Z$41,$M95,q_liq,fw,rp_m3m3,NaK,Ca2_,Mg2_,Ba2_,Sr2_,Cl,SO4_,HCO3_,CO2_mol,$L$81)</f>
        <v>-2.2653848228309084</v>
      </c>
      <c r="AA95" s="27">
        <f t="array" ref="AA95">[1]!unf_fa_scale_SI(AA$41,$M95,q_liq,fw,rp_m3m3,NaK,Ca2_,Mg2_,Ba2_,Sr2_,Cl,SO4_,HCO3_,CO2_mol,$L$81)</f>
        <v>-2.2980073133497361</v>
      </c>
      <c r="AB95" s="27">
        <f t="array" ref="AB95">[1]!unf_fa_scale_SI(AB$41,$M95,q_liq,fw,rp_m3m3,NaK,Ca2_,Mg2_,Ba2_,Sr2_,Cl,SO4_,HCO3_,CO2_mol,$L$81)</f>
        <v>-2.3456361495072247</v>
      </c>
      <c r="AC95" s="28">
        <f t="array" ref="AC95">[1]!unf_fa_scale_SI(AC$41,$M95,q_liq,fw,rp_m3m3,NaK,Ca2_,Mg2_,Ba2_,Sr2_,Cl,SO4_,HCO3_,CO2_mol,$L$81)</f>
        <v>-2.4151742502971585</v>
      </c>
    </row>
    <row r="96" spans="12:29" x14ac:dyDescent="0.2">
      <c r="L96" s="36"/>
      <c r="M96" s="26">
        <v>55</v>
      </c>
      <c r="N96" s="40">
        <f t="array" ref="N96">[1]!unf_fa_scale_SI(N$41,$M96,q_liq,fw,rp_m3m3,NaK,Ca2_,Mg2_,Ba2_,Sr2_,Cl,SO4_,HCO3_,CO2_mol,$L$81)</f>
        <v>-2.2128031235860117</v>
      </c>
      <c r="O96" s="27">
        <f t="array" ref="O96">[1]!unf_fa_scale_SI(O$41,$M96,q_liq,fw,rp_m3m3,NaK,Ca2_,Mg2_,Ba2_,Sr2_,Cl,SO4_,HCO3_,CO2_mol,$L$81)</f>
        <v>-2.2131508861620119</v>
      </c>
      <c r="P96" s="27">
        <f t="array" ref="P96">[1]!unf_fa_scale_SI(P$41,$M96,q_liq,fw,rp_m3m3,NaK,Ca2_,Mg2_,Ba2_,Sr2_,Cl,SO4_,HCO3_,CO2_mol,$L$81)</f>
        <v>-2.2136586195229717</v>
      </c>
      <c r="Q96" s="27">
        <f t="array" ref="Q96">[1]!unf_fa_scale_SI(Q$41,$M96,q_liq,fw,rp_m3m3,NaK,Ca2_,Mg2_,Ba2_,Sr2_,Cl,SO4_,HCO3_,CO2_mol,$L$81)</f>
        <v>-2.2143999102299734</v>
      </c>
      <c r="R96" s="27">
        <f t="array" ref="R96">[1]!unf_fa_scale_SI(R$41,$M96,q_liq,fw,rp_m3m3,NaK,Ca2_,Mg2_,Ba2_,Sr2_,Cl,SO4_,HCO3_,CO2_mol,$L$81)</f>
        <v>-2.2154821946621959</v>
      </c>
      <c r="S96" s="27">
        <f t="array" ref="S96">[1]!unf_fa_scale_SI(S$41,$M96,q_liq,fw,rp_m3m3,NaK,Ca2_,Mg2_,Ba2_,Sr2_,Cl,SO4_,HCO3_,CO2_mol,$L$81)</f>
        <v>-2.2170623299332402</v>
      </c>
      <c r="T96" s="27">
        <f t="array" ref="T96">[1]!unf_fa_scale_SI(T$41,$M96,q_liq,fw,rp_m3m3,NaK,Ca2_,Mg2_,Ba2_,Sr2_,Cl,SO4_,HCO3_,CO2_mol,$L$81)</f>
        <v>-2.2193693274289652</v>
      </c>
      <c r="U96" s="27">
        <f t="array" ref="U96">[1]!unf_fa_scale_SI(U$41,$M96,q_liq,fw,rp_m3m3,NaK,Ca2_,Mg2_,Ba2_,Sr2_,Cl,SO4_,HCO3_,CO2_mol,$L$81)</f>
        <v>-2.2227375437727241</v>
      </c>
      <c r="V96" s="27">
        <f t="array" ref="V96">[1]!unf_fa_scale_SI(V$41,$M96,q_liq,fw,rp_m3m3,NaK,Ca2_,Mg2_,Ba2_,Sr2_,Cl,SO4_,HCO3_,CO2_mol,$L$81)</f>
        <v>-2.2276551396346118</v>
      </c>
      <c r="W96" s="27">
        <f t="array" ref="W96">[1]!unf_fa_scale_SI(W$41,$M96,q_liq,fw,rp_m3m3,NaK,Ca2_,Mg2_,Ba2_,Sr2_,Cl,SO4_,HCO3_,CO2_mol,$L$81)</f>
        <v>-2.2348348295929679</v>
      </c>
      <c r="X96" s="27">
        <f t="array" ref="X96">[1]!unf_fa_scale_SI(X$41,$M96,q_liq,fw,rp_m3m3,NaK,Ca2_,Mg2_,Ba2_,Sr2_,Cl,SO4_,HCO3_,CO2_mol,$L$81)</f>
        <v>-2.2453171769321676</v>
      </c>
      <c r="Y96" s="27">
        <f t="array" ref="Y96">[1]!unf_fa_scale_SI(Y$41,$M96,q_liq,fw,rp_m3m3,NaK,Ca2_,Mg2_,Ba2_,Sr2_,Cl,SO4_,HCO3_,CO2_mol,$L$81)</f>
        <v>-2.2606214040473995</v>
      </c>
      <c r="Z96" s="27">
        <f t="array" ref="Z96">[1]!unf_fa_scale_SI(Z$41,$M96,q_liq,fw,rp_m3m3,NaK,Ca2_,Mg2_,Ba2_,Sr2_,Cl,SO4_,HCO3_,CO2_mol,$L$81)</f>
        <v>-2.2829655756356377</v>
      </c>
      <c r="AA96" s="27">
        <f t="array" ref="AA96">[1]!unf_fa_scale_SI(AA$41,$M96,q_liq,fw,rp_m3m3,NaK,Ca2_,Mg2_,Ba2_,Sr2_,Cl,SO4_,HCO3_,CO2_mol,$L$81)</f>
        <v>-2.3155880661544654</v>
      </c>
      <c r="AB96" s="27">
        <f t="array" ref="AB96">[1]!unf_fa_scale_SI(AB$41,$M96,q_liq,fw,rp_m3m3,NaK,Ca2_,Mg2_,Ba2_,Sr2_,Cl,SO4_,HCO3_,CO2_mol,$L$81)</f>
        <v>-2.363216902311954</v>
      </c>
      <c r="AC96" s="28">
        <f t="array" ref="AC96">[1]!unf_fa_scale_SI(AC$41,$M96,q_liq,fw,rp_m3m3,NaK,Ca2_,Mg2_,Ba2_,Sr2_,Cl,SO4_,HCO3_,CO2_mol,$L$81)</f>
        <v>-2.4327550031018879</v>
      </c>
    </row>
    <row r="97" spans="12:29" x14ac:dyDescent="0.2">
      <c r="L97" s="36"/>
      <c r="M97" s="26">
        <v>60</v>
      </c>
      <c r="N97" s="40">
        <f t="array" ref="N97">[1]!unf_fa_scale_SI(N$41,$M97,q_liq,fw,rp_m3m3,NaK,Ca2_,Mg2_,Ba2_,Sr2_,Cl,SO4_,HCO3_,CO2_mol,$L$81)</f>
        <v>-2.2284965763907416</v>
      </c>
      <c r="O97" s="27">
        <f t="array" ref="O97">[1]!unf_fa_scale_SI(O$41,$M97,q_liq,fw,rp_m3m3,NaK,Ca2_,Mg2_,Ba2_,Sr2_,Cl,SO4_,HCO3_,CO2_mol,$L$81)</f>
        <v>-2.2288443389667418</v>
      </c>
      <c r="P97" s="27">
        <f t="array" ref="P97">[1]!unf_fa_scale_SI(P$41,$M97,q_liq,fw,rp_m3m3,NaK,Ca2_,Mg2_,Ba2_,Sr2_,Cl,SO4_,HCO3_,CO2_mol,$L$81)</f>
        <v>-2.2293520723277016</v>
      </c>
      <c r="Q97" s="27">
        <f t="array" ref="Q97">[1]!unf_fa_scale_SI(Q$41,$M97,q_liq,fw,rp_m3m3,NaK,Ca2_,Mg2_,Ba2_,Sr2_,Cl,SO4_,HCO3_,CO2_mol,$L$81)</f>
        <v>-2.2300933630347033</v>
      </c>
      <c r="R97" s="27">
        <f t="array" ref="R97">[1]!unf_fa_scale_SI(R$41,$M97,q_liq,fw,rp_m3m3,NaK,Ca2_,Mg2_,Ba2_,Sr2_,Cl,SO4_,HCO3_,CO2_mol,$L$81)</f>
        <v>-2.2311756474669258</v>
      </c>
      <c r="S97" s="27">
        <f t="array" ref="S97">[1]!unf_fa_scale_SI(S$41,$M97,q_liq,fw,rp_m3m3,NaK,Ca2_,Mg2_,Ba2_,Sr2_,Cl,SO4_,HCO3_,CO2_mol,$L$81)</f>
        <v>-2.23275578273797</v>
      </c>
      <c r="T97" s="27">
        <f t="array" ref="T97">[1]!unf_fa_scale_SI(T$41,$M97,q_liq,fw,rp_m3m3,NaK,Ca2_,Mg2_,Ba2_,Sr2_,Cl,SO4_,HCO3_,CO2_mol,$L$81)</f>
        <v>-2.2350627802336951</v>
      </c>
      <c r="U97" s="27">
        <f t="array" ref="U97">[1]!unf_fa_scale_SI(U$41,$M97,q_liq,fw,rp_m3m3,NaK,Ca2_,Mg2_,Ba2_,Sr2_,Cl,SO4_,HCO3_,CO2_mol,$L$81)</f>
        <v>-2.238430996577454</v>
      </c>
      <c r="V97" s="27">
        <f t="array" ref="V97">[1]!unf_fa_scale_SI(V$41,$M97,q_liq,fw,rp_m3m3,NaK,Ca2_,Mg2_,Ba2_,Sr2_,Cl,SO4_,HCO3_,CO2_mol,$L$81)</f>
        <v>-2.2433485924393417</v>
      </c>
      <c r="W97" s="27">
        <f t="array" ref="W97">[1]!unf_fa_scale_SI(W$41,$M97,q_liq,fw,rp_m3m3,NaK,Ca2_,Mg2_,Ba2_,Sr2_,Cl,SO4_,HCO3_,CO2_mol,$L$81)</f>
        <v>-2.2505282823976978</v>
      </c>
      <c r="X97" s="27">
        <f t="array" ref="X97">[1]!unf_fa_scale_SI(X$41,$M97,q_liq,fw,rp_m3m3,NaK,Ca2_,Mg2_,Ba2_,Sr2_,Cl,SO4_,HCO3_,CO2_mol,$L$81)</f>
        <v>-2.2610106297368975</v>
      </c>
      <c r="Y97" s="27">
        <f t="array" ref="Y97">[1]!unf_fa_scale_SI(Y$41,$M97,q_liq,fw,rp_m3m3,NaK,Ca2_,Mg2_,Ba2_,Sr2_,Cl,SO4_,HCO3_,CO2_mol,$L$81)</f>
        <v>-2.2763148568521294</v>
      </c>
      <c r="Z97" s="27">
        <f t="array" ref="Z97">[1]!unf_fa_scale_SI(Z$41,$M97,q_liq,fw,rp_m3m3,NaK,Ca2_,Mg2_,Ba2_,Sr2_,Cl,SO4_,HCO3_,CO2_mol,$L$81)</f>
        <v>-2.2986590284403676</v>
      </c>
      <c r="AA97" s="27">
        <f t="array" ref="AA97">[1]!unf_fa_scale_SI(AA$41,$M97,q_liq,fw,rp_m3m3,NaK,Ca2_,Mg2_,Ba2_,Sr2_,Cl,SO4_,HCO3_,CO2_mol,$L$81)</f>
        <v>-2.3312815189591953</v>
      </c>
      <c r="AB97" s="27">
        <f t="array" ref="AB97">[1]!unf_fa_scale_SI(AB$41,$M97,q_liq,fw,rp_m3m3,NaK,Ca2_,Mg2_,Ba2_,Sr2_,Cl,SO4_,HCO3_,CO2_mol,$L$81)</f>
        <v>-2.3789103551166839</v>
      </c>
      <c r="AC97" s="28">
        <f t="array" ref="AC97">[1]!unf_fa_scale_SI(AC$41,$M97,q_liq,fw,rp_m3m3,NaK,Ca2_,Mg2_,Ba2_,Sr2_,Cl,SO4_,HCO3_,CO2_mol,$L$81)</f>
        <v>-2.4484484559066177</v>
      </c>
    </row>
    <row r="98" spans="12:29" x14ac:dyDescent="0.2">
      <c r="L98" s="36"/>
      <c r="M98" s="26">
        <v>65</v>
      </c>
      <c r="N98" s="40">
        <f t="array" ref="N98">[1]!unf_fa_scale_SI(N$41,$M98,q_liq,fw,rp_m3m3,NaK,Ca2_,Mg2_,Ba2_,Sr2_,Cl,SO4_,HCO3_,CO2_mol,$L$81)</f>
        <v>-2.2423027291954716</v>
      </c>
      <c r="O98" s="27">
        <f t="array" ref="O98">[1]!unf_fa_scale_SI(O$41,$M98,q_liq,fw,rp_m3m3,NaK,Ca2_,Mg2_,Ba2_,Sr2_,Cl,SO4_,HCO3_,CO2_mol,$L$81)</f>
        <v>-2.2426504917714718</v>
      </c>
      <c r="P98" s="27">
        <f t="array" ref="P98">[1]!unf_fa_scale_SI(P$41,$M98,q_liq,fw,rp_m3m3,NaK,Ca2_,Mg2_,Ba2_,Sr2_,Cl,SO4_,HCO3_,CO2_mol,$L$81)</f>
        <v>-2.2431582251324316</v>
      </c>
      <c r="Q98" s="27">
        <f t="array" ref="Q98">[1]!unf_fa_scale_SI(Q$41,$M98,q_liq,fw,rp_m3m3,NaK,Ca2_,Mg2_,Ba2_,Sr2_,Cl,SO4_,HCO3_,CO2_mol,$L$81)</f>
        <v>-2.2438995158394333</v>
      </c>
      <c r="R98" s="27">
        <f t="array" ref="R98">[1]!unf_fa_scale_SI(R$41,$M98,q_liq,fw,rp_m3m3,NaK,Ca2_,Mg2_,Ba2_,Sr2_,Cl,SO4_,HCO3_,CO2_mol,$L$81)</f>
        <v>-2.2449818002716557</v>
      </c>
      <c r="S98" s="27">
        <f t="array" ref="S98">[1]!unf_fa_scale_SI(S$41,$M98,q_liq,fw,rp_m3m3,NaK,Ca2_,Mg2_,Ba2_,Sr2_,Cl,SO4_,HCO3_,CO2_mol,$L$81)</f>
        <v>-2.2465619355427</v>
      </c>
      <c r="T98" s="27">
        <f t="array" ref="T98">[1]!unf_fa_scale_SI(T$41,$M98,q_liq,fw,rp_m3m3,NaK,Ca2_,Mg2_,Ba2_,Sr2_,Cl,SO4_,HCO3_,CO2_mol,$L$81)</f>
        <v>-2.2488689330384251</v>
      </c>
      <c r="U98" s="27">
        <f t="array" ref="U98">[1]!unf_fa_scale_SI(U$41,$M98,q_liq,fw,rp_m3m3,NaK,Ca2_,Mg2_,Ba2_,Sr2_,Cl,SO4_,HCO3_,CO2_mol,$L$81)</f>
        <v>-2.252237149382184</v>
      </c>
      <c r="V98" s="27">
        <f t="array" ref="V98">[1]!unf_fa_scale_SI(V$41,$M98,q_liq,fw,rp_m3m3,NaK,Ca2_,Mg2_,Ba2_,Sr2_,Cl,SO4_,HCO3_,CO2_mol,$L$81)</f>
        <v>-2.2571547452440717</v>
      </c>
      <c r="W98" s="27">
        <f t="array" ref="W98">[1]!unf_fa_scale_SI(W$41,$M98,q_liq,fw,rp_m3m3,NaK,Ca2_,Mg2_,Ba2_,Sr2_,Cl,SO4_,HCO3_,CO2_mol,$L$81)</f>
        <v>-2.2643344352024277</v>
      </c>
      <c r="X98" s="27">
        <f t="array" ref="X98">[1]!unf_fa_scale_SI(X$41,$M98,q_liq,fw,rp_m3m3,NaK,Ca2_,Mg2_,Ba2_,Sr2_,Cl,SO4_,HCO3_,CO2_mol,$L$81)</f>
        <v>-2.2748167825416274</v>
      </c>
      <c r="Y98" s="27">
        <f t="array" ref="Y98">[1]!unf_fa_scale_SI(Y$41,$M98,q_liq,fw,rp_m3m3,NaK,Ca2_,Mg2_,Ba2_,Sr2_,Cl,SO4_,HCO3_,CO2_mol,$L$81)</f>
        <v>-2.2901210096568594</v>
      </c>
      <c r="Z98" s="27">
        <f t="array" ref="Z98">[1]!unf_fa_scale_SI(Z$41,$M98,q_liq,fw,rp_m3m3,NaK,Ca2_,Mg2_,Ba2_,Sr2_,Cl,SO4_,HCO3_,CO2_mol,$L$81)</f>
        <v>-2.3124651812450976</v>
      </c>
      <c r="AA98" s="27">
        <f t="array" ref="AA98">[1]!unf_fa_scale_SI(AA$41,$M98,q_liq,fw,rp_m3m3,NaK,Ca2_,Mg2_,Ba2_,Sr2_,Cl,SO4_,HCO3_,CO2_mol,$L$81)</f>
        <v>-2.3450876717639253</v>
      </c>
      <c r="AB98" s="27">
        <f t="array" ref="AB98">[1]!unf_fa_scale_SI(AB$41,$M98,q_liq,fw,rp_m3m3,NaK,Ca2_,Mg2_,Ba2_,Sr2_,Cl,SO4_,HCO3_,CO2_mol,$L$81)</f>
        <v>-2.3927165079214139</v>
      </c>
      <c r="AC98" s="28">
        <f t="array" ref="AC98">[1]!unf_fa_scale_SI(AC$41,$M98,q_liq,fw,rp_m3m3,NaK,Ca2_,Mg2_,Ba2_,Sr2_,Cl,SO4_,HCO3_,CO2_mol,$L$81)</f>
        <v>-2.4622546087113477</v>
      </c>
    </row>
    <row r="99" spans="12:29" x14ac:dyDescent="0.2">
      <c r="L99" s="37"/>
      <c r="M99" s="29">
        <v>70</v>
      </c>
      <c r="N99" s="41">
        <f t="array" ref="N99">[1]!unf_fa_scale_SI(N$41,$M99,q_liq,fw,rp_m3m3,NaK,Ca2_,Mg2_,Ba2_,Sr2_,Cl,SO4_,HCO3_,CO2_mol,$L$81)</f>
        <v>-2.2542215820002012</v>
      </c>
      <c r="O99" s="30">
        <f t="array" ref="O99">[1]!unf_fa_scale_SI(O$41,$M99,q_liq,fw,rp_m3m3,NaK,Ca2_,Mg2_,Ba2_,Sr2_,Cl,SO4_,HCO3_,CO2_mol,$L$81)</f>
        <v>-2.2545693445762014</v>
      </c>
      <c r="P99" s="30">
        <f t="array" ref="P99">[1]!unf_fa_scale_SI(P$41,$M99,q_liq,fw,rp_m3m3,NaK,Ca2_,Mg2_,Ba2_,Sr2_,Cl,SO4_,HCO3_,CO2_mol,$L$81)</f>
        <v>-2.2550770779371612</v>
      </c>
      <c r="Q99" s="30">
        <f t="array" ref="Q99">[1]!unf_fa_scale_SI(Q$41,$M99,q_liq,fw,rp_m3m3,NaK,Ca2_,Mg2_,Ba2_,Sr2_,Cl,SO4_,HCO3_,CO2_mol,$L$81)</f>
        <v>-2.2558183686441629</v>
      </c>
      <c r="R99" s="30">
        <f t="array" ref="R99">[1]!unf_fa_scale_SI(R$41,$M99,q_liq,fw,rp_m3m3,NaK,Ca2_,Mg2_,Ba2_,Sr2_,Cl,SO4_,HCO3_,CO2_mol,$L$81)</f>
        <v>-2.2569006530763853</v>
      </c>
      <c r="S99" s="30">
        <f t="array" ref="S99">[1]!unf_fa_scale_SI(S$41,$M99,q_liq,fw,rp_m3m3,NaK,Ca2_,Mg2_,Ba2_,Sr2_,Cl,SO4_,HCO3_,CO2_mol,$L$81)</f>
        <v>-2.2584807883474296</v>
      </c>
      <c r="T99" s="30">
        <f t="array" ref="T99">[1]!unf_fa_scale_SI(T$41,$M99,q_liq,fw,rp_m3m3,NaK,Ca2_,Mg2_,Ba2_,Sr2_,Cl,SO4_,HCO3_,CO2_mol,$L$81)</f>
        <v>-2.2607877858431547</v>
      </c>
      <c r="U99" s="30">
        <f t="array" ref="U99">[1]!unf_fa_scale_SI(U$41,$M99,q_liq,fw,rp_m3m3,NaK,Ca2_,Mg2_,Ba2_,Sr2_,Cl,SO4_,HCO3_,CO2_mol,$L$81)</f>
        <v>-2.2641560021869136</v>
      </c>
      <c r="V99" s="30">
        <f t="array" ref="V99">[1]!unf_fa_scale_SI(V$41,$M99,q_liq,fw,rp_m3m3,NaK,Ca2_,Mg2_,Ba2_,Sr2_,Cl,SO4_,HCO3_,CO2_mol,$L$81)</f>
        <v>-2.2690735980488013</v>
      </c>
      <c r="W99" s="30">
        <f t="array" ref="W99">[1]!unf_fa_scale_SI(W$41,$M99,q_liq,fw,rp_m3m3,NaK,Ca2_,Mg2_,Ba2_,Sr2_,Cl,SO4_,HCO3_,CO2_mol,$L$81)</f>
        <v>-2.2762532880071573</v>
      </c>
      <c r="X99" s="30">
        <f t="array" ref="X99">[1]!unf_fa_scale_SI(X$41,$M99,q_liq,fw,rp_m3m3,NaK,Ca2_,Mg2_,Ba2_,Sr2_,Cl,SO4_,HCO3_,CO2_mol,$L$81)</f>
        <v>-2.286735635346357</v>
      </c>
      <c r="Y99" s="30">
        <f t="array" ref="Y99">[1]!unf_fa_scale_SI(Y$41,$M99,q_liq,fw,rp_m3m3,NaK,Ca2_,Mg2_,Ba2_,Sr2_,Cl,SO4_,HCO3_,CO2_mol,$L$81)</f>
        <v>-2.3020398624615885</v>
      </c>
      <c r="Z99" s="30">
        <f t="array" ref="Z99">[1]!unf_fa_scale_SI(Z$41,$M99,q_liq,fw,rp_m3m3,NaK,Ca2_,Mg2_,Ba2_,Sr2_,Cl,SO4_,HCO3_,CO2_mol,$L$81)</f>
        <v>-2.3243840340498272</v>
      </c>
      <c r="AA99" s="30">
        <f t="array" ref="AA99">[1]!unf_fa_scale_SI(AA$41,$M99,q_liq,fw,rp_m3m3,NaK,Ca2_,Mg2_,Ba2_,Sr2_,Cl,SO4_,HCO3_,CO2_mol,$L$81)</f>
        <v>-2.3570065245686549</v>
      </c>
      <c r="AB99" s="30">
        <f t="array" ref="AB99">[1]!unf_fa_scale_SI(AB$41,$M99,q_liq,fw,rp_m3m3,NaK,Ca2_,Mg2_,Ba2_,Sr2_,Cl,SO4_,HCO3_,CO2_mol,$L$81)</f>
        <v>-2.4046353607261435</v>
      </c>
      <c r="AC99" s="31">
        <f t="array" ref="AC99">[1]!unf_fa_scale_SI(AC$41,$M99,q_liq,fw,rp_m3m3,NaK,Ca2_,Mg2_,Ba2_,Sr2_,Cl,SO4_,HCO3_,CO2_mol,$L$81)</f>
        <v>-2.4741734615160773</v>
      </c>
    </row>
    <row r="100" spans="12:29" x14ac:dyDescent="0.2">
      <c r="M100" s="11"/>
      <c r="N100" s="11"/>
      <c r="O100" s="11"/>
      <c r="P100" s="11"/>
      <c r="Q100" s="11"/>
      <c r="R100" s="11"/>
      <c r="S100" s="11"/>
      <c r="T100" s="11"/>
      <c r="U100" s="10"/>
      <c r="V100" s="10"/>
      <c r="W100" s="10"/>
      <c r="X100" s="10"/>
      <c r="Y100" s="10"/>
      <c r="Z100" s="10"/>
      <c r="AA100" s="10"/>
      <c r="AB100" s="16"/>
      <c r="AC100" s="17"/>
    </row>
    <row r="101" spans="12:29" x14ac:dyDescent="0.2">
      <c r="M101" s="11"/>
      <c r="N101" s="11"/>
      <c r="O101" s="11"/>
      <c r="P101" s="11"/>
      <c r="Q101" s="11"/>
      <c r="R101" s="11"/>
      <c r="S101" s="11"/>
      <c r="T101" s="11"/>
      <c r="U101" s="10"/>
      <c r="V101" s="10"/>
      <c r="W101" s="10"/>
      <c r="X101" s="10"/>
      <c r="Y101" s="10"/>
      <c r="Z101" s="10"/>
      <c r="AA101" s="10"/>
      <c r="AB101" s="16"/>
      <c r="AC101" s="17"/>
    </row>
    <row r="102" spans="12:29" x14ac:dyDescent="0.2">
      <c r="L102" s="10">
        <v>5</v>
      </c>
      <c r="M102" s="20" t="s">
        <v>54</v>
      </c>
      <c r="N102" s="11"/>
      <c r="O102" s="11"/>
      <c r="P102" s="11"/>
      <c r="Q102" s="11"/>
      <c r="R102" s="11"/>
      <c r="S102" s="11"/>
      <c r="T102" s="11"/>
      <c r="U102" s="10"/>
      <c r="V102" s="10"/>
      <c r="W102" s="10"/>
      <c r="X102" s="10"/>
      <c r="Y102" s="10"/>
      <c r="Z102" s="10"/>
      <c r="AA102" s="10"/>
      <c r="AB102" s="16"/>
      <c r="AC102" s="17"/>
    </row>
    <row r="103" spans="12:29" x14ac:dyDescent="0.2">
      <c r="M103" s="11"/>
      <c r="N103" s="11"/>
      <c r="O103" s="11">
        <v>1.4</v>
      </c>
      <c r="P103" s="11"/>
      <c r="Q103" s="11"/>
      <c r="R103" s="11"/>
      <c r="S103" s="11"/>
      <c r="T103" s="11"/>
      <c r="U103" s="10"/>
      <c r="V103" s="10"/>
      <c r="W103" s="10"/>
      <c r="X103" s="10"/>
      <c r="Y103" s="10"/>
      <c r="Z103" s="10"/>
      <c r="AA103" s="10"/>
      <c r="AB103" s="16"/>
      <c r="AC103" s="17"/>
    </row>
    <row r="104" spans="12:29" x14ac:dyDescent="0.2">
      <c r="L104" s="32"/>
      <c r="M104" s="22"/>
      <c r="N104" s="22" t="s">
        <v>17</v>
      </c>
      <c r="O104" s="22"/>
      <c r="P104" s="22"/>
      <c r="Q104" s="22"/>
      <c r="R104" s="22"/>
      <c r="S104" s="22"/>
      <c r="T104" s="22"/>
      <c r="U104" s="33"/>
      <c r="V104" s="33"/>
      <c r="W104" s="33"/>
      <c r="X104" s="33"/>
      <c r="Y104" s="33"/>
      <c r="Z104" s="33"/>
      <c r="AA104" s="33"/>
      <c r="AB104" s="34"/>
      <c r="AC104" s="35"/>
    </row>
    <row r="105" spans="12:29" x14ac:dyDescent="0.2">
      <c r="L105" s="36"/>
      <c r="M105" s="21"/>
      <c r="N105" s="22">
        <v>1</v>
      </c>
      <c r="O105" s="22">
        <f t="shared" ref="O105:AC105" si="19">N105*$O$17</f>
        <v>1.46</v>
      </c>
      <c r="P105" s="23">
        <f t="shared" si="19"/>
        <v>2.1315999999999997</v>
      </c>
      <c r="Q105" s="24">
        <f t="shared" si="19"/>
        <v>3.1121359999999996</v>
      </c>
      <c r="R105" s="24">
        <f t="shared" si="19"/>
        <v>4.5437185599999994</v>
      </c>
      <c r="S105" s="24">
        <f t="shared" si="19"/>
        <v>6.6338290975999987</v>
      </c>
      <c r="T105" s="24">
        <f t="shared" si="19"/>
        <v>9.6853904824959987</v>
      </c>
      <c r="U105" s="24">
        <f t="shared" si="19"/>
        <v>14.140670104444158</v>
      </c>
      <c r="V105" s="24">
        <f t="shared" si="19"/>
        <v>20.645378352488471</v>
      </c>
      <c r="W105" s="24">
        <f t="shared" si="19"/>
        <v>30.142252394633168</v>
      </c>
      <c r="X105" s="24">
        <f t="shared" si="19"/>
        <v>44.007688496164427</v>
      </c>
      <c r="Y105" s="24">
        <f t="shared" si="19"/>
        <v>64.251225204400058</v>
      </c>
      <c r="Z105" s="24">
        <f t="shared" si="19"/>
        <v>93.80678879842408</v>
      </c>
      <c r="AA105" s="24">
        <f t="shared" si="19"/>
        <v>136.95791164569914</v>
      </c>
      <c r="AB105" s="24">
        <f t="shared" si="19"/>
        <v>199.95855100272075</v>
      </c>
      <c r="AC105" s="25">
        <f t="shared" si="19"/>
        <v>291.93948446397229</v>
      </c>
    </row>
    <row r="106" spans="12:29" x14ac:dyDescent="0.2">
      <c r="L106" s="26" t="s">
        <v>18</v>
      </c>
      <c r="M106" s="26">
        <v>1</v>
      </c>
      <c r="N106" s="38">
        <f t="array" ref="N106">[1]!unf_fa_scale_SI(N$41,$M106,q_liq,fw,rp_m3m3,NaK,Ca2_,Mg2_,Ba2_,Sr2_,Cl,SO4_,HCO3_,CO2_mol,$L$102)</f>
        <v>-10.099579683776524</v>
      </c>
      <c r="O106" s="23">
        <f t="array" ref="O106">[1]!unf_fa_scale_SI(O$41,$M106,q_liq,fw,rp_m3m3,NaK,Ca2_,Mg2_,Ba2_,Sr2_,Cl,SO4_,HCO3_,CO2_mol,$L$102)</f>
        <v>-10.099630726031565</v>
      </c>
      <c r="P106" s="23">
        <f t="array" ref="P106">[1]!unf_fa_scale_SI(P$41,$M106,q_liq,fw,rp_m3m3,NaK,Ca2_,Mg2_,Ba2_,Sr2_,Cl,SO4_,HCO3_,CO2_mol,$L$102)</f>
        <v>-10.099705247723923</v>
      </c>
      <c r="Q106" s="23">
        <f t="array" ref="Q106">[1]!unf_fa_scale_SI(Q$41,$M106,q_liq,fw,rp_m3m3,NaK,Ca2_,Mg2_,Ba2_,Sr2_,Cl,SO4_,HCO3_,CO2_mol,$L$102)</f>
        <v>-10.099814049394766</v>
      </c>
      <c r="R106" s="23">
        <f t="array" ref="R106">[1]!unf_fa_scale_SI(R$41,$M106,q_liq,fw,rp_m3m3,NaK,Ca2_,Mg2_,Ba2_,Sr2_,Cl,SO4_,HCO3_,CO2_mol,$L$102)</f>
        <v>-10.099972899834198</v>
      </c>
      <c r="S106" s="23">
        <f t="array" ref="S106">[1]!unf_fa_scale_SI(S$41,$M106,q_liq,fw,rp_m3m3,NaK,Ca2_,Mg2_,Ba2_,Sr2_,Cl,SO4_,HCO3_,CO2_mol,$L$102)</f>
        <v>-10.100204821475767</v>
      </c>
      <c r="T106" s="23">
        <f t="array" ref="T106">[1]!unf_fa_scale_SI(T$41,$M106,q_liq,fw,rp_m3m3,NaK,Ca2_,Mg2_,Ba2_,Sr2_,Cl,SO4_,HCO3_,CO2_mol,$L$102)</f>
        <v>-10.100543427072457</v>
      </c>
      <c r="U106" s="23">
        <f t="array" ref="U106">[1]!unf_fa_scale_SI(U$41,$M106,q_liq,fw,rp_m3m3,NaK,Ca2_,Mg2_,Ba2_,Sr2_,Cl,SO4_,HCO3_,CO2_mol,$L$102)</f>
        <v>-10.101037791243627</v>
      </c>
      <c r="V106" s="23">
        <f t="array" ref="V106">[1]!unf_fa_scale_SI(V$41,$M106,q_liq,fw,rp_m3m3,NaK,Ca2_,Mg2_,Ba2_,Sr2_,Cl,SO4_,HCO3_,CO2_mol,$L$102)</f>
        <v>-10.101759562933536</v>
      </c>
      <c r="W106" s="23">
        <f t="array" ref="W106">[1]!unf_fa_scale_SI(W$41,$M106,q_liq,fw,rp_m3m3,NaK,Ca2_,Mg2_,Ba2_,Sr2_,Cl,SO4_,HCO3_,CO2_mol,$L$102)</f>
        <v>-10.102813349600801</v>
      </c>
      <c r="X106" s="23">
        <f t="array" ref="X106">[1]!unf_fa_scale_SI(X$41,$M106,q_liq,fw,rp_m3m3,NaK,Ca2_,Mg2_,Ba2_,Sr2_,Cl,SO4_,HCO3_,CO2_mol,$L$102)</f>
        <v>-10.104351878135008</v>
      </c>
      <c r="Y106" s="23">
        <f t="array" ref="Y106">[1]!unf_fa_scale_SI(Y$41,$M106,q_liq,fw,rp_m3m3,NaK,Ca2_,Mg2_,Ba2_,Sr2_,Cl,SO4_,HCO3_,CO2_mol,$L$102)</f>
        <v>-10.10659812979495</v>
      </c>
      <c r="Z106" s="23">
        <f t="array" ref="Z106">[1]!unf_fa_scale_SI(Z$41,$M106,q_liq,fw,rp_m3m3,NaK,Ca2_,Mg2_,Ba2_,Sr2_,Cl,SO4_,HCO3_,CO2_mol,$L$102)</f>
        <v>-10.109877657218465</v>
      </c>
      <c r="AA106" s="23">
        <f t="array" ref="AA106">[1]!unf_fa_scale_SI(AA$41,$M106,q_liq,fw,rp_m3m3,NaK,Ca2_,Mg2_,Ba2_,Sr2_,Cl,SO4_,HCO3_,CO2_mol,$L$102)</f>
        <v>-10.114665767256797</v>
      </c>
      <c r="AB106" s="23">
        <f t="array" ref="AB106">[1]!unf_fa_scale_SI(AB$41,$M106,q_liq,fw,rp_m3m3,NaK,Ca2_,Mg2_,Ba2_,Sr2_,Cl,SO4_,HCO3_,CO2_mol,$L$102)</f>
        <v>-10.121656407912763</v>
      </c>
      <c r="AC106" s="39">
        <f t="array" ref="AC106">[1]!unf_fa_scale_SI(AC$41,$M106,q_liq,fw,rp_m3m3,NaK,Ca2_,Mg2_,Ba2_,Sr2_,Cl,SO4_,HCO3_,CO2_mol,$L$102)</f>
        <v>-10.131862743270473</v>
      </c>
    </row>
    <row r="107" spans="12:29" x14ac:dyDescent="0.2">
      <c r="L107" s="36"/>
      <c r="M107" s="26">
        <v>5</v>
      </c>
      <c r="N107" s="40">
        <f t="array" ref="N107">[1]!unf_fa_scale_SI(N$41,$M107,q_liq,fw,rp_m3m3,NaK,Ca2_,Mg2_,Ba2_,Sr2_,Cl,SO4_,HCO3_,CO2_mol,$L$102)</f>
        <v>-10.084705661716752</v>
      </c>
      <c r="O107" s="27">
        <f t="array" ref="O107">[1]!unf_fa_scale_SI(O$41,$M107,q_liq,fw,rp_m3m3,NaK,Ca2_,Mg2_,Ba2_,Sr2_,Cl,SO4_,HCO3_,CO2_mol,$L$102)</f>
        <v>-10.084756703971793</v>
      </c>
      <c r="P107" s="27">
        <f t="array" ref="P107">[1]!unf_fa_scale_SI(P$41,$M107,q_liq,fw,rp_m3m3,NaK,Ca2_,Mg2_,Ba2_,Sr2_,Cl,SO4_,HCO3_,CO2_mol,$L$102)</f>
        <v>-10.084831225664152</v>
      </c>
      <c r="Q107" s="27">
        <f t="array" ref="Q107">[1]!unf_fa_scale_SI(Q$41,$M107,q_liq,fw,rp_m3m3,NaK,Ca2_,Mg2_,Ba2_,Sr2_,Cl,SO4_,HCO3_,CO2_mol,$L$102)</f>
        <v>-10.084940027334994</v>
      </c>
      <c r="R107" s="27">
        <f t="array" ref="R107">[1]!unf_fa_scale_SI(R$41,$M107,q_liq,fw,rp_m3m3,NaK,Ca2_,Mg2_,Ba2_,Sr2_,Cl,SO4_,HCO3_,CO2_mol,$L$102)</f>
        <v>-10.085098877774426</v>
      </c>
      <c r="S107" s="27">
        <f t="array" ref="S107">[1]!unf_fa_scale_SI(S$41,$M107,q_liq,fw,rp_m3m3,NaK,Ca2_,Mg2_,Ba2_,Sr2_,Cl,SO4_,HCO3_,CO2_mol,$L$102)</f>
        <v>-10.085330799415996</v>
      </c>
      <c r="T107" s="27">
        <f t="array" ref="T107">[1]!unf_fa_scale_SI(T$41,$M107,q_liq,fw,rp_m3m3,NaK,Ca2_,Mg2_,Ba2_,Sr2_,Cl,SO4_,HCO3_,CO2_mol,$L$102)</f>
        <v>-10.085669405012686</v>
      </c>
      <c r="U107" s="27">
        <f t="array" ref="U107">[1]!unf_fa_scale_SI(U$41,$M107,q_liq,fw,rp_m3m3,NaK,Ca2_,Mg2_,Ba2_,Sr2_,Cl,SO4_,HCO3_,CO2_mol,$L$102)</f>
        <v>-10.086163769183855</v>
      </c>
      <c r="V107" s="27">
        <f t="array" ref="V107">[1]!unf_fa_scale_SI(V$41,$M107,q_liq,fw,rp_m3m3,NaK,Ca2_,Mg2_,Ba2_,Sr2_,Cl,SO4_,HCO3_,CO2_mol,$L$102)</f>
        <v>-10.086885540873764</v>
      </c>
      <c r="W107" s="27">
        <f t="array" ref="W107">[1]!unf_fa_scale_SI(W$41,$M107,q_liq,fw,rp_m3m3,NaK,Ca2_,Mg2_,Ba2_,Sr2_,Cl,SO4_,HCO3_,CO2_mol,$L$102)</f>
        <v>-10.087939327541029</v>
      </c>
      <c r="X107" s="27">
        <f t="array" ref="X107">[1]!unf_fa_scale_SI(X$41,$M107,q_liq,fw,rp_m3m3,NaK,Ca2_,Mg2_,Ba2_,Sr2_,Cl,SO4_,HCO3_,CO2_mol,$L$102)</f>
        <v>-10.089477856075236</v>
      </c>
      <c r="Y107" s="27">
        <f t="array" ref="Y107">[1]!unf_fa_scale_SI(Y$41,$M107,q_liq,fw,rp_m3m3,NaK,Ca2_,Mg2_,Ba2_,Sr2_,Cl,SO4_,HCO3_,CO2_mol,$L$102)</f>
        <v>-10.091724107735178</v>
      </c>
      <c r="Z107" s="27">
        <f t="array" ref="Z107">[1]!unf_fa_scale_SI(Z$41,$M107,q_liq,fw,rp_m3m3,NaK,Ca2_,Mg2_,Ba2_,Sr2_,Cl,SO4_,HCO3_,CO2_mol,$L$102)</f>
        <v>-10.095003635158694</v>
      </c>
      <c r="AA107" s="27">
        <f t="array" ref="AA107">[1]!unf_fa_scale_SI(AA$41,$M107,q_liq,fw,rp_m3m3,NaK,Ca2_,Mg2_,Ba2_,Sr2_,Cl,SO4_,HCO3_,CO2_mol,$L$102)</f>
        <v>-10.099791745197026</v>
      </c>
      <c r="AB107" s="27">
        <f t="array" ref="AB107">[1]!unf_fa_scale_SI(AB$41,$M107,q_liq,fw,rp_m3m3,NaK,Ca2_,Mg2_,Ba2_,Sr2_,Cl,SO4_,HCO3_,CO2_mol,$L$102)</f>
        <v>-10.106782385852991</v>
      </c>
      <c r="AC107" s="28">
        <f t="array" ref="AC107">[1]!unf_fa_scale_SI(AC$41,$M107,q_liq,fw,rp_m3m3,NaK,Ca2_,Mg2_,Ba2_,Sr2_,Cl,SO4_,HCO3_,CO2_mol,$L$102)</f>
        <v>-10.116988721210701</v>
      </c>
    </row>
    <row r="108" spans="12:29" x14ac:dyDescent="0.2">
      <c r="L108" s="36"/>
      <c r="M108" s="26">
        <v>10</v>
      </c>
      <c r="N108" s="40">
        <f t="array" ref="N108">[1]!unf_fa_scale_SI(N$41,$M108,q_liq,fw,rp_m3m3,NaK,Ca2_,Mg2_,Ba2_,Sr2_,Cl,SO4_,HCO3_,CO2_mol,$L$102)</f>
        <v>-10.065449306742043</v>
      </c>
      <c r="O108" s="27">
        <f t="array" ref="O108">[1]!unf_fa_scale_SI(O$41,$M108,q_liq,fw,rp_m3m3,NaK,Ca2_,Mg2_,Ba2_,Sr2_,Cl,SO4_,HCO3_,CO2_mol,$L$102)</f>
        <v>-10.065500348997084</v>
      </c>
      <c r="P108" s="27">
        <f t="array" ref="P108">[1]!unf_fa_scale_SI(P$41,$M108,q_liq,fw,rp_m3m3,NaK,Ca2_,Mg2_,Ba2_,Sr2_,Cl,SO4_,HCO3_,CO2_mol,$L$102)</f>
        <v>-10.065574870689442</v>
      </c>
      <c r="Q108" s="27">
        <f t="array" ref="Q108">[1]!unf_fa_scale_SI(Q$41,$M108,q_liq,fw,rp_m3m3,NaK,Ca2_,Mg2_,Ba2_,Sr2_,Cl,SO4_,HCO3_,CO2_mol,$L$102)</f>
        <v>-10.065683672360285</v>
      </c>
      <c r="R108" s="27">
        <f t="array" ref="R108">[1]!unf_fa_scale_SI(R$41,$M108,q_liq,fw,rp_m3m3,NaK,Ca2_,Mg2_,Ba2_,Sr2_,Cl,SO4_,HCO3_,CO2_mol,$L$102)</f>
        <v>-10.065842522799716</v>
      </c>
      <c r="S108" s="27">
        <f t="array" ref="S108">[1]!unf_fa_scale_SI(S$41,$M108,q_liq,fw,rp_m3m3,NaK,Ca2_,Mg2_,Ba2_,Sr2_,Cl,SO4_,HCO3_,CO2_mol,$L$102)</f>
        <v>-10.066074444441286</v>
      </c>
      <c r="T108" s="27">
        <f t="array" ref="T108">[1]!unf_fa_scale_SI(T$41,$M108,q_liq,fw,rp_m3m3,NaK,Ca2_,Mg2_,Ba2_,Sr2_,Cl,SO4_,HCO3_,CO2_mol,$L$102)</f>
        <v>-10.066413050037976</v>
      </c>
      <c r="U108" s="27">
        <f t="array" ref="U108">[1]!unf_fa_scale_SI(U$41,$M108,q_liq,fw,rp_m3m3,NaK,Ca2_,Mg2_,Ba2_,Sr2_,Cl,SO4_,HCO3_,CO2_mol,$L$102)</f>
        <v>-10.066907414209146</v>
      </c>
      <c r="V108" s="27">
        <f t="array" ref="V108">[1]!unf_fa_scale_SI(V$41,$M108,q_liq,fw,rp_m3m3,NaK,Ca2_,Mg2_,Ba2_,Sr2_,Cl,SO4_,HCO3_,CO2_mol,$L$102)</f>
        <v>-10.067629185899055</v>
      </c>
      <c r="W108" s="27">
        <f t="array" ref="W108">[1]!unf_fa_scale_SI(W$41,$M108,q_liq,fw,rp_m3m3,NaK,Ca2_,Mg2_,Ba2_,Sr2_,Cl,SO4_,HCO3_,CO2_mol,$L$102)</f>
        <v>-10.06868297256632</v>
      </c>
      <c r="X108" s="27">
        <f t="array" ref="X108">[1]!unf_fa_scale_SI(X$41,$M108,q_liq,fw,rp_m3m3,NaK,Ca2_,Mg2_,Ba2_,Sr2_,Cl,SO4_,HCO3_,CO2_mol,$L$102)</f>
        <v>-10.070221501100526</v>
      </c>
      <c r="Y108" s="27">
        <f t="array" ref="Y108">[1]!unf_fa_scale_SI(Y$41,$M108,q_liq,fw,rp_m3m3,NaK,Ca2_,Mg2_,Ba2_,Sr2_,Cl,SO4_,HCO3_,CO2_mol,$L$102)</f>
        <v>-10.072467752760469</v>
      </c>
      <c r="Z108" s="27">
        <f t="array" ref="Z108">[1]!unf_fa_scale_SI(Z$41,$M108,q_liq,fw,rp_m3m3,NaK,Ca2_,Mg2_,Ba2_,Sr2_,Cl,SO4_,HCO3_,CO2_mol,$L$102)</f>
        <v>-10.075747280183984</v>
      </c>
      <c r="AA108" s="27">
        <f t="array" ref="AA108">[1]!unf_fa_scale_SI(AA$41,$M108,q_liq,fw,rp_m3m3,NaK,Ca2_,Mg2_,Ba2_,Sr2_,Cl,SO4_,HCO3_,CO2_mol,$L$102)</f>
        <v>-10.080535390222316</v>
      </c>
      <c r="AB108" s="27">
        <f t="array" ref="AB108">[1]!unf_fa_scale_SI(AB$41,$M108,q_liq,fw,rp_m3m3,NaK,Ca2_,Mg2_,Ba2_,Sr2_,Cl,SO4_,HCO3_,CO2_mol,$L$102)</f>
        <v>-10.087526030878282</v>
      </c>
      <c r="AC108" s="28">
        <f t="array" ref="AC108">[1]!unf_fa_scale_SI(AC$41,$M108,q_liq,fw,rp_m3m3,NaK,Ca2_,Mg2_,Ba2_,Sr2_,Cl,SO4_,HCO3_,CO2_mol,$L$102)</f>
        <v>-10.097732366235991</v>
      </c>
    </row>
    <row r="109" spans="12:29" x14ac:dyDescent="0.2">
      <c r="L109" s="36"/>
      <c r="M109" s="26">
        <v>15</v>
      </c>
      <c r="N109" s="40">
        <f t="array" ref="N109">[1]!unf_fa_scale_SI(N$41,$M109,q_liq,fw,rp_m3m3,NaK,Ca2_,Mg2_,Ba2_,Sr2_,Cl,SO4_,HCO3_,CO2_mol,$L$102)</f>
        <v>-10.045455365767332</v>
      </c>
      <c r="O109" s="27">
        <f t="array" ref="O109">[1]!unf_fa_scale_SI(O$41,$M109,q_liq,fw,rp_m3m3,NaK,Ca2_,Mg2_,Ba2_,Sr2_,Cl,SO4_,HCO3_,CO2_mol,$L$102)</f>
        <v>-10.045506408022373</v>
      </c>
      <c r="P109" s="27">
        <f t="array" ref="P109">[1]!unf_fa_scale_SI(P$41,$M109,q_liq,fw,rp_m3m3,NaK,Ca2_,Mg2_,Ba2_,Sr2_,Cl,SO4_,HCO3_,CO2_mol,$L$102)</f>
        <v>-10.045580929714731</v>
      </c>
      <c r="Q109" s="27">
        <f t="array" ref="Q109">[1]!unf_fa_scale_SI(Q$41,$M109,q_liq,fw,rp_m3m3,NaK,Ca2_,Mg2_,Ba2_,Sr2_,Cl,SO4_,HCO3_,CO2_mol,$L$102)</f>
        <v>-10.045689731385574</v>
      </c>
      <c r="R109" s="27">
        <f t="array" ref="R109">[1]!unf_fa_scale_SI(R$41,$M109,q_liq,fw,rp_m3m3,NaK,Ca2_,Mg2_,Ba2_,Sr2_,Cl,SO4_,HCO3_,CO2_mol,$L$102)</f>
        <v>-10.045848581825005</v>
      </c>
      <c r="S109" s="27">
        <f t="array" ref="S109">[1]!unf_fa_scale_SI(S$41,$M109,q_liq,fw,rp_m3m3,NaK,Ca2_,Mg2_,Ba2_,Sr2_,Cl,SO4_,HCO3_,CO2_mol,$L$102)</f>
        <v>-10.046080503466575</v>
      </c>
      <c r="T109" s="27">
        <f t="array" ref="T109">[1]!unf_fa_scale_SI(T$41,$M109,q_liq,fw,rp_m3m3,NaK,Ca2_,Mg2_,Ba2_,Sr2_,Cl,SO4_,HCO3_,CO2_mol,$L$102)</f>
        <v>-10.046419109063265</v>
      </c>
      <c r="U109" s="27">
        <f t="array" ref="U109">[1]!unf_fa_scale_SI(U$41,$M109,q_liq,fw,rp_m3m3,NaK,Ca2_,Mg2_,Ba2_,Sr2_,Cl,SO4_,HCO3_,CO2_mol,$L$102)</f>
        <v>-10.046913473234435</v>
      </c>
      <c r="V109" s="27">
        <f t="array" ref="V109">[1]!unf_fa_scale_SI(V$41,$M109,q_liq,fw,rp_m3m3,NaK,Ca2_,Mg2_,Ba2_,Sr2_,Cl,SO4_,HCO3_,CO2_mol,$L$102)</f>
        <v>-10.047635244924344</v>
      </c>
      <c r="W109" s="27">
        <f t="array" ref="W109">[1]!unf_fa_scale_SI(W$41,$M109,q_liq,fw,rp_m3m3,NaK,Ca2_,Mg2_,Ba2_,Sr2_,Cl,SO4_,HCO3_,CO2_mol,$L$102)</f>
        <v>-10.048689031591609</v>
      </c>
      <c r="X109" s="27">
        <f t="array" ref="X109">[1]!unf_fa_scale_SI(X$41,$M109,q_liq,fw,rp_m3m3,NaK,Ca2_,Mg2_,Ba2_,Sr2_,Cl,SO4_,HCO3_,CO2_mol,$L$102)</f>
        <v>-10.050227560125816</v>
      </c>
      <c r="Y109" s="27">
        <f t="array" ref="Y109">[1]!unf_fa_scale_SI(Y$41,$M109,q_liq,fw,rp_m3m3,NaK,Ca2_,Mg2_,Ba2_,Sr2_,Cl,SO4_,HCO3_,CO2_mol,$L$102)</f>
        <v>-10.052473811785758</v>
      </c>
      <c r="Z109" s="27">
        <f t="array" ref="Z109">[1]!unf_fa_scale_SI(Z$41,$M109,q_liq,fw,rp_m3m3,NaK,Ca2_,Mg2_,Ba2_,Sr2_,Cl,SO4_,HCO3_,CO2_mol,$L$102)</f>
        <v>-10.055753339209273</v>
      </c>
      <c r="AA109" s="27">
        <f t="array" ref="AA109">[1]!unf_fa_scale_SI(AA$41,$M109,q_liq,fw,rp_m3m3,NaK,Ca2_,Mg2_,Ba2_,Sr2_,Cl,SO4_,HCO3_,CO2_mol,$L$102)</f>
        <v>-10.060541449247605</v>
      </c>
      <c r="AB109" s="27">
        <f t="array" ref="AB109">[1]!unf_fa_scale_SI(AB$41,$M109,q_liq,fw,rp_m3m3,NaK,Ca2_,Mg2_,Ba2_,Sr2_,Cl,SO4_,HCO3_,CO2_mol,$L$102)</f>
        <v>-10.067532089903571</v>
      </c>
      <c r="AC109" s="28">
        <f t="array" ref="AC109">[1]!unf_fa_scale_SI(AC$41,$M109,q_liq,fw,rp_m3m3,NaK,Ca2_,Mg2_,Ba2_,Sr2_,Cl,SO4_,HCO3_,CO2_mol,$L$102)</f>
        <v>-10.07773842526128</v>
      </c>
    </row>
    <row r="110" spans="12:29" x14ac:dyDescent="0.2">
      <c r="L110" s="36"/>
      <c r="M110" s="26">
        <v>20</v>
      </c>
      <c r="N110" s="40">
        <f t="array" ref="N110">[1]!unf_fa_scale_SI(N$41,$M110,q_liq,fw,rp_m3m3,NaK,Ca2_,Mg2_,Ba2_,Sr2_,Cl,SO4_,HCO3_,CO2_mol,$L$102)</f>
        <v>-10.024723838792619</v>
      </c>
      <c r="O110" s="27">
        <f t="array" ref="O110">[1]!unf_fa_scale_SI(O$41,$M110,q_liq,fw,rp_m3m3,NaK,Ca2_,Mg2_,Ba2_,Sr2_,Cl,SO4_,HCO3_,CO2_mol,$L$102)</f>
        <v>-10.02477488104766</v>
      </c>
      <c r="P110" s="27">
        <f t="array" ref="P110">[1]!unf_fa_scale_SI(P$41,$M110,q_liq,fw,rp_m3m3,NaK,Ca2_,Mg2_,Ba2_,Sr2_,Cl,SO4_,HCO3_,CO2_mol,$L$102)</f>
        <v>-10.024849402740019</v>
      </c>
      <c r="Q110" s="27">
        <f t="array" ref="Q110">[1]!unf_fa_scale_SI(Q$41,$M110,q_liq,fw,rp_m3m3,NaK,Ca2_,Mg2_,Ba2_,Sr2_,Cl,SO4_,HCO3_,CO2_mol,$L$102)</f>
        <v>-10.024958204410861</v>
      </c>
      <c r="R110" s="27">
        <f t="array" ref="R110">[1]!unf_fa_scale_SI(R$41,$M110,q_liq,fw,rp_m3m3,NaK,Ca2_,Mg2_,Ba2_,Sr2_,Cl,SO4_,HCO3_,CO2_mol,$L$102)</f>
        <v>-10.025117054850293</v>
      </c>
      <c r="S110" s="27">
        <f t="array" ref="S110">[1]!unf_fa_scale_SI(S$41,$M110,q_liq,fw,rp_m3m3,NaK,Ca2_,Mg2_,Ba2_,Sr2_,Cl,SO4_,HCO3_,CO2_mol,$L$102)</f>
        <v>-10.025348976491863</v>
      </c>
      <c r="T110" s="27">
        <f t="array" ref="T110">[1]!unf_fa_scale_SI(T$41,$M110,q_liq,fw,rp_m3m3,NaK,Ca2_,Mg2_,Ba2_,Sr2_,Cl,SO4_,HCO3_,CO2_mol,$L$102)</f>
        <v>-10.025687582088553</v>
      </c>
      <c r="U110" s="27">
        <f t="array" ref="U110">[1]!unf_fa_scale_SI(U$41,$M110,q_liq,fw,rp_m3m3,NaK,Ca2_,Mg2_,Ba2_,Sr2_,Cl,SO4_,HCO3_,CO2_mol,$L$102)</f>
        <v>-10.026181946259722</v>
      </c>
      <c r="V110" s="27">
        <f t="array" ref="V110">[1]!unf_fa_scale_SI(V$41,$M110,q_liq,fw,rp_m3m3,NaK,Ca2_,Mg2_,Ba2_,Sr2_,Cl,SO4_,HCO3_,CO2_mol,$L$102)</f>
        <v>-10.026903717949631</v>
      </c>
      <c r="W110" s="27">
        <f t="array" ref="W110">[1]!unf_fa_scale_SI(W$41,$M110,q_liq,fw,rp_m3m3,NaK,Ca2_,Mg2_,Ba2_,Sr2_,Cl,SO4_,HCO3_,CO2_mol,$L$102)</f>
        <v>-10.027957504616897</v>
      </c>
      <c r="X110" s="27">
        <f t="array" ref="X110">[1]!unf_fa_scale_SI(X$41,$M110,q_liq,fw,rp_m3m3,NaK,Ca2_,Mg2_,Ba2_,Sr2_,Cl,SO4_,HCO3_,CO2_mol,$L$102)</f>
        <v>-10.029496033151103</v>
      </c>
      <c r="Y110" s="27">
        <f t="array" ref="Y110">[1]!unf_fa_scale_SI(Y$41,$M110,q_liq,fw,rp_m3m3,NaK,Ca2_,Mg2_,Ba2_,Sr2_,Cl,SO4_,HCO3_,CO2_mol,$L$102)</f>
        <v>-10.031742284811045</v>
      </c>
      <c r="Z110" s="27">
        <f t="array" ref="Z110">[1]!unf_fa_scale_SI(Z$41,$M110,q_liq,fw,rp_m3m3,NaK,Ca2_,Mg2_,Ba2_,Sr2_,Cl,SO4_,HCO3_,CO2_mol,$L$102)</f>
        <v>-10.035021812234561</v>
      </c>
      <c r="AA110" s="27">
        <f t="array" ref="AA110">[1]!unf_fa_scale_SI(AA$41,$M110,q_liq,fw,rp_m3m3,NaK,Ca2_,Mg2_,Ba2_,Sr2_,Cl,SO4_,HCO3_,CO2_mol,$L$102)</f>
        <v>-10.039809922272893</v>
      </c>
      <c r="AB110" s="27">
        <f t="array" ref="AB110">[1]!unf_fa_scale_SI(AB$41,$M110,q_liq,fw,rp_m3m3,NaK,Ca2_,Mg2_,Ba2_,Sr2_,Cl,SO4_,HCO3_,CO2_mol,$L$102)</f>
        <v>-10.046800562928858</v>
      </c>
      <c r="AC110" s="28">
        <f t="array" ref="AC110">[1]!unf_fa_scale_SI(AC$41,$M110,q_liq,fw,rp_m3m3,NaK,Ca2_,Mg2_,Ba2_,Sr2_,Cl,SO4_,HCO3_,CO2_mol,$L$102)</f>
        <v>-10.057006898286568</v>
      </c>
    </row>
    <row r="111" spans="12:29" x14ac:dyDescent="0.2">
      <c r="L111" s="36"/>
      <c r="M111" s="26">
        <v>25</v>
      </c>
      <c r="N111" s="40">
        <f t="array" ref="N111">[1]!unf_fa_scale_SI(N$41,$M111,q_liq,fw,rp_m3m3,NaK,Ca2_,Mg2_,Ba2_,Sr2_,Cl,SO4_,HCO3_,CO2_mol,$L$102)</f>
        <v>-10.003254725817911</v>
      </c>
      <c r="O111" s="27">
        <f t="array" ref="O111">[1]!unf_fa_scale_SI(O$41,$M111,q_liq,fw,rp_m3m3,NaK,Ca2_,Mg2_,Ba2_,Sr2_,Cl,SO4_,HCO3_,CO2_mol,$L$102)</f>
        <v>-10.003305768072952</v>
      </c>
      <c r="P111" s="27">
        <f t="array" ref="P111">[1]!unf_fa_scale_SI(P$41,$M111,q_liq,fw,rp_m3m3,NaK,Ca2_,Mg2_,Ba2_,Sr2_,Cl,SO4_,HCO3_,CO2_mol,$L$102)</f>
        <v>-10.00338028976531</v>
      </c>
      <c r="Q111" s="27">
        <f t="array" ref="Q111">[1]!unf_fa_scale_SI(Q$41,$M111,q_liq,fw,rp_m3m3,NaK,Ca2_,Mg2_,Ba2_,Sr2_,Cl,SO4_,HCO3_,CO2_mol,$L$102)</f>
        <v>-10.003489091436153</v>
      </c>
      <c r="R111" s="27">
        <f t="array" ref="R111">[1]!unf_fa_scale_SI(R$41,$M111,q_liq,fw,rp_m3m3,NaK,Ca2_,Mg2_,Ba2_,Sr2_,Cl,SO4_,HCO3_,CO2_mol,$L$102)</f>
        <v>-10.003647941875585</v>
      </c>
      <c r="S111" s="27">
        <f t="array" ref="S111">[1]!unf_fa_scale_SI(S$41,$M111,q_liq,fw,rp_m3m3,NaK,Ca2_,Mg2_,Ba2_,Sr2_,Cl,SO4_,HCO3_,CO2_mol,$L$102)</f>
        <v>-10.003879863517154</v>
      </c>
      <c r="T111" s="27">
        <f t="array" ref="T111">[1]!unf_fa_scale_SI(T$41,$M111,q_liq,fw,rp_m3m3,NaK,Ca2_,Mg2_,Ba2_,Sr2_,Cl,SO4_,HCO3_,CO2_mol,$L$102)</f>
        <v>-10.004218469113844</v>
      </c>
      <c r="U111" s="27">
        <f t="array" ref="U111">[1]!unf_fa_scale_SI(U$41,$M111,q_liq,fw,rp_m3m3,NaK,Ca2_,Mg2_,Ba2_,Sr2_,Cl,SO4_,HCO3_,CO2_mol,$L$102)</f>
        <v>-10.004712833285014</v>
      </c>
      <c r="V111" s="27">
        <f t="array" ref="V111">[1]!unf_fa_scale_SI(V$41,$M111,q_liq,fw,rp_m3m3,NaK,Ca2_,Mg2_,Ba2_,Sr2_,Cl,SO4_,HCO3_,CO2_mol,$L$102)</f>
        <v>-10.005434604974923</v>
      </c>
      <c r="W111" s="27">
        <f t="array" ref="W111">[1]!unf_fa_scale_SI(W$41,$M111,q_liq,fw,rp_m3m3,NaK,Ca2_,Mg2_,Ba2_,Sr2_,Cl,SO4_,HCO3_,CO2_mol,$L$102)</f>
        <v>-10.006488391642188</v>
      </c>
      <c r="X111" s="27">
        <f t="array" ref="X111">[1]!unf_fa_scale_SI(X$41,$M111,q_liq,fw,rp_m3m3,NaK,Ca2_,Mg2_,Ba2_,Sr2_,Cl,SO4_,HCO3_,CO2_mol,$L$102)</f>
        <v>-10.008026920176395</v>
      </c>
      <c r="Y111" s="27">
        <f t="array" ref="Y111">[1]!unf_fa_scale_SI(Y$41,$M111,q_liq,fw,rp_m3m3,NaK,Ca2_,Mg2_,Ba2_,Sr2_,Cl,SO4_,HCO3_,CO2_mol,$L$102)</f>
        <v>-10.010273171836337</v>
      </c>
      <c r="Z111" s="27">
        <f t="array" ref="Z111">[1]!unf_fa_scale_SI(Z$41,$M111,q_liq,fw,rp_m3m3,NaK,Ca2_,Mg2_,Ba2_,Sr2_,Cl,SO4_,HCO3_,CO2_mol,$L$102)</f>
        <v>-10.013552699259852</v>
      </c>
      <c r="AA111" s="27">
        <f t="array" ref="AA111">[1]!unf_fa_scale_SI(AA$41,$M111,q_liq,fw,rp_m3m3,NaK,Ca2_,Mg2_,Ba2_,Sr2_,Cl,SO4_,HCO3_,CO2_mol,$L$102)</f>
        <v>-10.018340809298184</v>
      </c>
      <c r="AB111" s="27">
        <f t="array" ref="AB111">[1]!unf_fa_scale_SI(AB$41,$M111,q_liq,fw,rp_m3m3,NaK,Ca2_,Mg2_,Ba2_,Sr2_,Cl,SO4_,HCO3_,CO2_mol,$L$102)</f>
        <v>-10.02533144995415</v>
      </c>
      <c r="AC111" s="28">
        <f t="array" ref="AC111">[1]!unf_fa_scale_SI(AC$41,$M111,q_liq,fw,rp_m3m3,NaK,Ca2_,Mg2_,Ba2_,Sr2_,Cl,SO4_,HCO3_,CO2_mol,$L$102)</f>
        <v>-10.03553778531186</v>
      </c>
    </row>
    <row r="112" spans="12:29" x14ac:dyDescent="0.2">
      <c r="L112" s="36"/>
      <c r="M112" s="26">
        <v>30</v>
      </c>
      <c r="N112" s="40">
        <f t="array" ref="N112">[1]!unf_fa_scale_SI(N$41,$M112,q_liq,fw,rp_m3m3,NaK,Ca2_,Mg2_,Ba2_,Sr2_,Cl,SO4_,HCO3_,CO2_mol,$L$102)</f>
        <v>-9.9810480268431991</v>
      </c>
      <c r="O112" s="27">
        <f t="array" ref="O112">[1]!unf_fa_scale_SI(O$41,$M112,q_liq,fw,rp_m3m3,NaK,Ca2_,Mg2_,Ba2_,Sr2_,Cl,SO4_,HCO3_,CO2_mol,$L$102)</f>
        <v>-9.9810990690982404</v>
      </c>
      <c r="P112" s="27">
        <f t="array" ref="P112">[1]!unf_fa_scale_SI(P$41,$M112,q_liq,fw,rp_m3m3,NaK,Ca2_,Mg2_,Ba2_,Sr2_,Cl,SO4_,HCO3_,CO2_mol,$L$102)</f>
        <v>-9.9811735907905987</v>
      </c>
      <c r="Q112" s="27">
        <f t="array" ref="Q112">[1]!unf_fa_scale_SI(Q$41,$M112,q_liq,fw,rp_m3m3,NaK,Ca2_,Mg2_,Ba2_,Sr2_,Cl,SO4_,HCO3_,CO2_mol,$L$102)</f>
        <v>-9.9812823924614413</v>
      </c>
      <c r="R112" s="27">
        <f t="array" ref="R112">[1]!unf_fa_scale_SI(R$41,$M112,q_liq,fw,rp_m3m3,NaK,Ca2_,Mg2_,Ba2_,Sr2_,Cl,SO4_,HCO3_,CO2_mol,$L$102)</f>
        <v>-9.981441242900873</v>
      </c>
      <c r="S112" s="27">
        <f t="array" ref="S112">[1]!unf_fa_scale_SI(S$41,$M112,q_liq,fw,rp_m3m3,NaK,Ca2_,Mg2_,Ba2_,Sr2_,Cl,SO4_,HCO3_,CO2_mol,$L$102)</f>
        <v>-9.9816731645424426</v>
      </c>
      <c r="T112" s="27">
        <f t="array" ref="T112">[1]!unf_fa_scale_SI(T$41,$M112,q_liq,fw,rp_m3m3,NaK,Ca2_,Mg2_,Ba2_,Sr2_,Cl,SO4_,HCO3_,CO2_mol,$L$102)</f>
        <v>-9.9820117701391329</v>
      </c>
      <c r="U112" s="27">
        <f t="array" ref="U112">[1]!unf_fa_scale_SI(U$41,$M112,q_liq,fw,rp_m3m3,NaK,Ca2_,Mg2_,Ba2_,Sr2_,Cl,SO4_,HCO3_,CO2_mol,$L$102)</f>
        <v>-9.9825061343103023</v>
      </c>
      <c r="V112" s="27">
        <f t="array" ref="V112">[1]!unf_fa_scale_SI(V$41,$M112,q_liq,fw,rp_m3m3,NaK,Ca2_,Mg2_,Ba2_,Sr2_,Cl,SO4_,HCO3_,CO2_mol,$L$102)</f>
        <v>-9.9832279060002111</v>
      </c>
      <c r="W112" s="27">
        <f t="array" ref="W112">[1]!unf_fa_scale_SI(W$41,$M112,q_liq,fw,rp_m3m3,NaK,Ca2_,Mg2_,Ba2_,Sr2_,Cl,SO4_,HCO3_,CO2_mol,$L$102)</f>
        <v>-9.9842816926674764</v>
      </c>
      <c r="X112" s="27">
        <f t="array" ref="X112">[1]!unf_fa_scale_SI(X$41,$M112,q_liq,fw,rp_m3m3,NaK,Ca2_,Mg2_,Ba2_,Sr2_,Cl,SO4_,HCO3_,CO2_mol,$L$102)</f>
        <v>-9.9858202212016831</v>
      </c>
      <c r="Y112" s="27">
        <f t="array" ref="Y112">[1]!unf_fa_scale_SI(Y$41,$M112,q_liq,fw,rp_m3m3,NaK,Ca2_,Mg2_,Ba2_,Sr2_,Cl,SO4_,HCO3_,CO2_mol,$L$102)</f>
        <v>-9.9880664728616253</v>
      </c>
      <c r="Z112" s="27">
        <f t="array" ref="Z112">[1]!unf_fa_scale_SI(Z$41,$M112,q_liq,fw,rp_m3m3,NaK,Ca2_,Mg2_,Ba2_,Sr2_,Cl,SO4_,HCO3_,CO2_mol,$L$102)</f>
        <v>-9.9913460002851409</v>
      </c>
      <c r="AA112" s="27">
        <f t="array" ref="AA112">[1]!unf_fa_scale_SI(AA$41,$M112,q_liq,fw,rp_m3m3,NaK,Ca2_,Mg2_,Ba2_,Sr2_,Cl,SO4_,HCO3_,CO2_mol,$L$102)</f>
        <v>-9.9961341103234727</v>
      </c>
      <c r="AB112" s="27">
        <f t="array" ref="AB112">[1]!unf_fa_scale_SI(AB$41,$M112,q_liq,fw,rp_m3m3,NaK,Ca2_,Mg2_,Ba2_,Sr2_,Cl,SO4_,HCO3_,CO2_mol,$L$102)</f>
        <v>-10.003124750979438</v>
      </c>
      <c r="AC112" s="28">
        <f t="array" ref="AC112">[1]!unf_fa_scale_SI(AC$41,$M112,q_liq,fw,rp_m3m3,NaK,Ca2_,Mg2_,Ba2_,Sr2_,Cl,SO4_,HCO3_,CO2_mol,$L$102)</f>
        <v>-10.013331086337148</v>
      </c>
    </row>
    <row r="113" spans="12:29" x14ac:dyDescent="0.2">
      <c r="L113" s="36"/>
      <c r="M113" s="26">
        <v>35</v>
      </c>
      <c r="N113" s="40">
        <f t="array" ref="N113">[1]!unf_fa_scale_SI(N$41,$M113,q_liq,fw,rp_m3m3,NaK,Ca2_,Mg2_,Ba2_,Sr2_,Cl,SO4_,HCO3_,CO2_mol,$L$102)</f>
        <v>-9.9581037418684879</v>
      </c>
      <c r="O113" s="27">
        <f t="array" ref="O113">[1]!unf_fa_scale_SI(O$41,$M113,q_liq,fw,rp_m3m3,NaK,Ca2_,Mg2_,Ba2_,Sr2_,Cl,SO4_,HCO3_,CO2_mol,$L$102)</f>
        <v>-9.9581547841235292</v>
      </c>
      <c r="P113" s="27">
        <f t="array" ref="P113">[1]!unf_fa_scale_SI(P$41,$M113,q_liq,fw,rp_m3m3,NaK,Ca2_,Mg2_,Ba2_,Sr2_,Cl,SO4_,HCO3_,CO2_mol,$L$102)</f>
        <v>-9.9582293058158875</v>
      </c>
      <c r="Q113" s="27">
        <f t="array" ref="Q113">[1]!unf_fa_scale_SI(Q$41,$M113,q_liq,fw,rp_m3m3,NaK,Ca2_,Mg2_,Ba2_,Sr2_,Cl,SO4_,HCO3_,CO2_mol,$L$102)</f>
        <v>-9.9583381074867301</v>
      </c>
      <c r="R113" s="27">
        <f t="array" ref="R113">[1]!unf_fa_scale_SI(R$41,$M113,q_liq,fw,rp_m3m3,NaK,Ca2_,Mg2_,Ba2_,Sr2_,Cl,SO4_,HCO3_,CO2_mol,$L$102)</f>
        <v>-9.9584969579261617</v>
      </c>
      <c r="S113" s="27">
        <f t="array" ref="S113">[1]!unf_fa_scale_SI(S$41,$M113,q_liq,fw,rp_m3m3,NaK,Ca2_,Mg2_,Ba2_,Sr2_,Cl,SO4_,HCO3_,CO2_mol,$L$102)</f>
        <v>-9.9587288795677313</v>
      </c>
      <c r="T113" s="27">
        <f t="array" ref="T113">[1]!unf_fa_scale_SI(T$41,$M113,q_liq,fw,rp_m3m3,NaK,Ca2_,Mg2_,Ba2_,Sr2_,Cl,SO4_,HCO3_,CO2_mol,$L$102)</f>
        <v>-9.9590674851644216</v>
      </c>
      <c r="U113" s="27">
        <f t="array" ref="U113">[1]!unf_fa_scale_SI(U$41,$M113,q_liq,fw,rp_m3m3,NaK,Ca2_,Mg2_,Ba2_,Sr2_,Cl,SO4_,HCO3_,CO2_mol,$L$102)</f>
        <v>-9.9595618493355911</v>
      </c>
      <c r="V113" s="27">
        <f t="array" ref="V113">[1]!unf_fa_scale_SI(V$41,$M113,q_liq,fw,rp_m3m3,NaK,Ca2_,Mg2_,Ba2_,Sr2_,Cl,SO4_,HCO3_,CO2_mol,$L$102)</f>
        <v>-9.9602836210254999</v>
      </c>
      <c r="W113" s="27">
        <f t="array" ref="W113">[1]!unf_fa_scale_SI(W$41,$M113,q_liq,fw,rp_m3m3,NaK,Ca2_,Mg2_,Ba2_,Sr2_,Cl,SO4_,HCO3_,CO2_mol,$L$102)</f>
        <v>-9.9613374076927652</v>
      </c>
      <c r="X113" s="27">
        <f t="array" ref="X113">[1]!unf_fa_scale_SI(X$41,$M113,q_liq,fw,rp_m3m3,NaK,Ca2_,Mg2_,Ba2_,Sr2_,Cl,SO4_,HCO3_,CO2_mol,$L$102)</f>
        <v>-9.9628759362269719</v>
      </c>
      <c r="Y113" s="27">
        <f t="array" ref="Y113">[1]!unf_fa_scale_SI(Y$41,$M113,q_liq,fw,rp_m3m3,NaK,Ca2_,Mg2_,Ba2_,Sr2_,Cl,SO4_,HCO3_,CO2_mol,$L$102)</f>
        <v>-9.9651221878869141</v>
      </c>
      <c r="Z113" s="27">
        <f t="array" ref="Z113">[1]!unf_fa_scale_SI(Z$41,$M113,q_liq,fw,rp_m3m3,NaK,Ca2_,Mg2_,Ba2_,Sr2_,Cl,SO4_,HCO3_,CO2_mol,$L$102)</f>
        <v>-9.9684017153104296</v>
      </c>
      <c r="AA113" s="27">
        <f t="array" ref="AA113">[1]!unf_fa_scale_SI(AA$41,$M113,q_liq,fw,rp_m3m3,NaK,Ca2_,Mg2_,Ba2_,Sr2_,Cl,SO4_,HCO3_,CO2_mol,$L$102)</f>
        <v>-9.9731898253487614</v>
      </c>
      <c r="AB113" s="27">
        <f t="array" ref="AB113">[1]!unf_fa_scale_SI(AB$41,$M113,q_liq,fw,rp_m3m3,NaK,Ca2_,Mg2_,Ba2_,Sr2_,Cl,SO4_,HCO3_,CO2_mol,$L$102)</f>
        <v>-9.9801804660047271</v>
      </c>
      <c r="AC113" s="28">
        <f t="array" ref="AC113">[1]!unf_fa_scale_SI(AC$41,$M113,q_liq,fw,rp_m3m3,NaK,Ca2_,Mg2_,Ba2_,Sr2_,Cl,SO4_,HCO3_,CO2_mol,$L$102)</f>
        <v>-9.9903868013624368</v>
      </c>
    </row>
    <row r="114" spans="12:29" x14ac:dyDescent="0.2">
      <c r="L114" s="36"/>
      <c r="M114" s="26">
        <v>40</v>
      </c>
      <c r="N114" s="40">
        <f t="array" ref="N114">[1]!unf_fa_scale_SI(N$41,$M114,q_liq,fw,rp_m3m3,NaK,Ca2_,Mg2_,Ba2_,Sr2_,Cl,SO4_,HCO3_,CO2_mol,$L$102)</f>
        <v>-9.934421870893777</v>
      </c>
      <c r="O114" s="27">
        <f t="array" ref="O114">[1]!unf_fa_scale_SI(O$41,$M114,q_liq,fw,rp_m3m3,NaK,Ca2_,Mg2_,Ba2_,Sr2_,Cl,SO4_,HCO3_,CO2_mol,$L$102)</f>
        <v>-9.9344729131488183</v>
      </c>
      <c r="P114" s="27">
        <f t="array" ref="P114">[1]!unf_fa_scale_SI(P$41,$M114,q_liq,fw,rp_m3m3,NaK,Ca2_,Mg2_,Ba2_,Sr2_,Cl,SO4_,HCO3_,CO2_mol,$L$102)</f>
        <v>-9.9345474348411766</v>
      </c>
      <c r="Q114" s="27">
        <f t="array" ref="Q114">[1]!unf_fa_scale_SI(Q$41,$M114,q_liq,fw,rp_m3m3,NaK,Ca2_,Mg2_,Ba2_,Sr2_,Cl,SO4_,HCO3_,CO2_mol,$L$102)</f>
        <v>-9.9346562365120192</v>
      </c>
      <c r="R114" s="27">
        <f t="array" ref="R114">[1]!unf_fa_scale_SI(R$41,$M114,q_liq,fw,rp_m3m3,NaK,Ca2_,Mg2_,Ba2_,Sr2_,Cl,SO4_,HCO3_,CO2_mol,$L$102)</f>
        <v>-9.9348150869514509</v>
      </c>
      <c r="S114" s="27">
        <f t="array" ref="S114">[1]!unf_fa_scale_SI(S$41,$M114,q_liq,fw,rp_m3m3,NaK,Ca2_,Mg2_,Ba2_,Sr2_,Cl,SO4_,HCO3_,CO2_mol,$L$102)</f>
        <v>-9.9350470085930205</v>
      </c>
      <c r="T114" s="27">
        <f t="array" ref="T114">[1]!unf_fa_scale_SI(T$41,$M114,q_liq,fw,rp_m3m3,NaK,Ca2_,Mg2_,Ba2_,Sr2_,Cl,SO4_,HCO3_,CO2_mol,$L$102)</f>
        <v>-9.9353856141897108</v>
      </c>
      <c r="U114" s="27">
        <f t="array" ref="U114">[1]!unf_fa_scale_SI(U$41,$M114,q_liq,fw,rp_m3m3,NaK,Ca2_,Mg2_,Ba2_,Sr2_,Cl,SO4_,HCO3_,CO2_mol,$L$102)</f>
        <v>-9.9358799783608802</v>
      </c>
      <c r="V114" s="27">
        <f t="array" ref="V114">[1]!unf_fa_scale_SI(V$41,$M114,q_liq,fw,rp_m3m3,NaK,Ca2_,Mg2_,Ba2_,Sr2_,Cl,SO4_,HCO3_,CO2_mol,$L$102)</f>
        <v>-9.9366017500507891</v>
      </c>
      <c r="W114" s="27">
        <f t="array" ref="W114">[1]!unf_fa_scale_SI(W$41,$M114,q_liq,fw,rp_m3m3,NaK,Ca2_,Mg2_,Ba2_,Sr2_,Cl,SO4_,HCO3_,CO2_mol,$L$102)</f>
        <v>-9.9376555367180543</v>
      </c>
      <c r="X114" s="27">
        <f t="array" ref="X114">[1]!unf_fa_scale_SI(X$41,$M114,q_liq,fw,rp_m3m3,NaK,Ca2_,Mg2_,Ba2_,Sr2_,Cl,SO4_,HCO3_,CO2_mol,$L$102)</f>
        <v>-9.939194065252261</v>
      </c>
      <c r="Y114" s="27">
        <f t="array" ref="Y114">[1]!unf_fa_scale_SI(Y$41,$M114,q_liq,fw,rp_m3m3,NaK,Ca2_,Mg2_,Ba2_,Sr2_,Cl,SO4_,HCO3_,CO2_mol,$L$102)</f>
        <v>-9.9414403169122032</v>
      </c>
      <c r="Z114" s="27">
        <f t="array" ref="Z114">[1]!unf_fa_scale_SI(Z$41,$M114,q_liq,fw,rp_m3m3,NaK,Ca2_,Mg2_,Ba2_,Sr2_,Cl,SO4_,HCO3_,CO2_mol,$L$102)</f>
        <v>-9.9447198443357188</v>
      </c>
      <c r="AA114" s="27">
        <f t="array" ref="AA114">[1]!unf_fa_scale_SI(AA$41,$M114,q_liq,fw,rp_m3m3,NaK,Ca2_,Mg2_,Ba2_,Sr2_,Cl,SO4_,HCO3_,CO2_mol,$L$102)</f>
        <v>-9.9495079543740506</v>
      </c>
      <c r="AB114" s="27">
        <f t="array" ref="AB114">[1]!unf_fa_scale_SI(AB$41,$M114,q_liq,fw,rp_m3m3,NaK,Ca2_,Mg2_,Ba2_,Sr2_,Cl,SO4_,HCO3_,CO2_mol,$L$102)</f>
        <v>-9.9564985950300162</v>
      </c>
      <c r="AC114" s="28">
        <f t="array" ref="AC114">[1]!unf_fa_scale_SI(AC$41,$M114,q_liq,fw,rp_m3m3,NaK,Ca2_,Mg2_,Ba2_,Sr2_,Cl,SO4_,HCO3_,CO2_mol,$L$102)</f>
        <v>-9.966704930387726</v>
      </c>
    </row>
    <row r="115" spans="12:29" x14ac:dyDescent="0.2">
      <c r="L115" s="36"/>
      <c r="M115" s="26">
        <v>45</v>
      </c>
      <c r="N115" s="40">
        <f t="array" ref="N115">[1]!unf_fa_scale_SI(N$41,$M115,q_liq,fw,rp_m3m3,NaK,Ca2_,Mg2_,Ba2_,Sr2_,Cl,SO4_,HCO3_,CO2_mol,$L$102)</f>
        <v>-9.9100024139190648</v>
      </c>
      <c r="O115" s="27">
        <f t="array" ref="O115">[1]!unf_fa_scale_SI(O$41,$M115,q_liq,fw,rp_m3m3,NaK,Ca2_,Mg2_,Ba2_,Sr2_,Cl,SO4_,HCO3_,CO2_mol,$L$102)</f>
        <v>-9.910053456174106</v>
      </c>
      <c r="P115" s="27">
        <f t="array" ref="P115">[1]!unf_fa_scale_SI(P$41,$M115,q_liq,fw,rp_m3m3,NaK,Ca2_,Mg2_,Ba2_,Sr2_,Cl,SO4_,HCO3_,CO2_mol,$L$102)</f>
        <v>-9.9101279778664644</v>
      </c>
      <c r="Q115" s="27">
        <f t="array" ref="Q115">[1]!unf_fa_scale_SI(Q$41,$M115,q_liq,fw,rp_m3m3,NaK,Ca2_,Mg2_,Ba2_,Sr2_,Cl,SO4_,HCO3_,CO2_mol,$L$102)</f>
        <v>-9.910236779537307</v>
      </c>
      <c r="R115" s="27">
        <f t="array" ref="R115">[1]!unf_fa_scale_SI(R$41,$M115,q_liq,fw,rp_m3m3,NaK,Ca2_,Mg2_,Ba2_,Sr2_,Cl,SO4_,HCO3_,CO2_mol,$L$102)</f>
        <v>-9.9103956299767386</v>
      </c>
      <c r="S115" s="27">
        <f t="array" ref="S115">[1]!unf_fa_scale_SI(S$41,$M115,q_liq,fw,rp_m3m3,NaK,Ca2_,Mg2_,Ba2_,Sr2_,Cl,SO4_,HCO3_,CO2_mol,$L$102)</f>
        <v>-9.9106275516183082</v>
      </c>
      <c r="T115" s="27">
        <f t="array" ref="T115">[1]!unf_fa_scale_SI(T$41,$M115,q_liq,fw,rp_m3m3,NaK,Ca2_,Mg2_,Ba2_,Sr2_,Cl,SO4_,HCO3_,CO2_mol,$L$102)</f>
        <v>-9.9109661572149985</v>
      </c>
      <c r="U115" s="27">
        <f t="array" ref="U115">[1]!unf_fa_scale_SI(U$41,$M115,q_liq,fw,rp_m3m3,NaK,Ca2_,Mg2_,Ba2_,Sr2_,Cl,SO4_,HCO3_,CO2_mol,$L$102)</f>
        <v>-9.911460521386168</v>
      </c>
      <c r="V115" s="27">
        <f t="array" ref="V115">[1]!unf_fa_scale_SI(V$41,$M115,q_liq,fw,rp_m3m3,NaK,Ca2_,Mg2_,Ba2_,Sr2_,Cl,SO4_,HCO3_,CO2_mol,$L$102)</f>
        <v>-9.9121822930760768</v>
      </c>
      <c r="W115" s="27">
        <f t="array" ref="W115">[1]!unf_fa_scale_SI(W$41,$M115,q_liq,fw,rp_m3m3,NaK,Ca2_,Mg2_,Ba2_,Sr2_,Cl,SO4_,HCO3_,CO2_mol,$L$102)</f>
        <v>-9.9132360797433421</v>
      </c>
      <c r="X115" s="27">
        <f t="array" ref="X115">[1]!unf_fa_scale_SI(X$41,$M115,q_liq,fw,rp_m3m3,NaK,Ca2_,Mg2_,Ba2_,Sr2_,Cl,SO4_,HCO3_,CO2_mol,$L$102)</f>
        <v>-9.9147746082775488</v>
      </c>
      <c r="Y115" s="27">
        <f t="array" ref="Y115">[1]!unf_fa_scale_SI(Y$41,$M115,q_liq,fw,rp_m3m3,NaK,Ca2_,Mg2_,Ba2_,Sr2_,Cl,SO4_,HCO3_,CO2_mol,$L$102)</f>
        <v>-9.9170208599374909</v>
      </c>
      <c r="Z115" s="27">
        <f t="array" ref="Z115">[1]!unf_fa_scale_SI(Z$41,$M115,q_liq,fw,rp_m3m3,NaK,Ca2_,Mg2_,Ba2_,Sr2_,Cl,SO4_,HCO3_,CO2_mol,$L$102)</f>
        <v>-9.9203003873610065</v>
      </c>
      <c r="AA115" s="27">
        <f t="array" ref="AA115">[1]!unf_fa_scale_SI(AA$41,$M115,q_liq,fw,rp_m3m3,NaK,Ca2_,Mg2_,Ba2_,Sr2_,Cl,SO4_,HCO3_,CO2_mol,$L$102)</f>
        <v>-9.9250884973993383</v>
      </c>
      <c r="AB115" s="27">
        <f t="array" ref="AB115">[1]!unf_fa_scale_SI(AB$41,$M115,q_liq,fw,rp_m3m3,NaK,Ca2_,Mg2_,Ba2_,Sr2_,Cl,SO4_,HCO3_,CO2_mol,$L$102)</f>
        <v>-9.932079138055304</v>
      </c>
      <c r="AC115" s="28">
        <f t="array" ref="AC115">[1]!unf_fa_scale_SI(AC$41,$M115,q_liq,fw,rp_m3m3,NaK,Ca2_,Mg2_,Ba2_,Sr2_,Cl,SO4_,HCO3_,CO2_mol,$L$102)</f>
        <v>-9.9422854734130137</v>
      </c>
    </row>
    <row r="116" spans="12:29" x14ac:dyDescent="0.2">
      <c r="L116" s="36"/>
      <c r="M116" s="26">
        <v>50</v>
      </c>
      <c r="N116" s="40">
        <f t="array" ref="N116">[1]!unf_fa_scale_SI(N$41,$M116,q_liq,fw,rp_m3m3,NaK,Ca2_,Mg2_,Ba2_,Sr2_,Cl,SO4_,HCO3_,CO2_mol,$L$102)</f>
        <v>-9.8848453709443547</v>
      </c>
      <c r="O116" s="27">
        <f t="array" ref="O116">[1]!unf_fa_scale_SI(O$41,$M116,q_liq,fw,rp_m3m3,NaK,Ca2_,Mg2_,Ba2_,Sr2_,Cl,SO4_,HCO3_,CO2_mol,$L$102)</f>
        <v>-9.8848964131993959</v>
      </c>
      <c r="P116" s="27">
        <f t="array" ref="P116">[1]!unf_fa_scale_SI(P$41,$M116,q_liq,fw,rp_m3m3,NaK,Ca2_,Mg2_,Ba2_,Sr2_,Cl,SO4_,HCO3_,CO2_mol,$L$102)</f>
        <v>-9.8849709348917543</v>
      </c>
      <c r="Q116" s="27">
        <f t="array" ref="Q116">[1]!unf_fa_scale_SI(Q$41,$M116,q_liq,fw,rp_m3m3,NaK,Ca2_,Mg2_,Ba2_,Sr2_,Cl,SO4_,HCO3_,CO2_mol,$L$102)</f>
        <v>-9.8850797365625969</v>
      </c>
      <c r="R116" s="27">
        <f t="array" ref="R116">[1]!unf_fa_scale_SI(R$41,$M116,q_liq,fw,rp_m3m3,NaK,Ca2_,Mg2_,Ba2_,Sr2_,Cl,SO4_,HCO3_,CO2_mol,$L$102)</f>
        <v>-9.8852385870020285</v>
      </c>
      <c r="S116" s="27">
        <f t="array" ref="S116">[1]!unf_fa_scale_SI(S$41,$M116,q_liq,fw,rp_m3m3,NaK,Ca2_,Mg2_,Ba2_,Sr2_,Cl,SO4_,HCO3_,CO2_mol,$L$102)</f>
        <v>-9.8854705086435981</v>
      </c>
      <c r="T116" s="27">
        <f t="array" ref="T116">[1]!unf_fa_scale_SI(T$41,$M116,q_liq,fw,rp_m3m3,NaK,Ca2_,Mg2_,Ba2_,Sr2_,Cl,SO4_,HCO3_,CO2_mol,$L$102)</f>
        <v>-9.8858091142402884</v>
      </c>
      <c r="U116" s="27">
        <f t="array" ref="U116">[1]!unf_fa_scale_SI(U$41,$M116,q_liq,fw,rp_m3m3,NaK,Ca2_,Mg2_,Ba2_,Sr2_,Cl,SO4_,HCO3_,CO2_mol,$L$102)</f>
        <v>-9.8863034784114578</v>
      </c>
      <c r="V116" s="27">
        <f t="array" ref="V116">[1]!unf_fa_scale_SI(V$41,$M116,q_liq,fw,rp_m3m3,NaK,Ca2_,Mg2_,Ba2_,Sr2_,Cl,SO4_,HCO3_,CO2_mol,$L$102)</f>
        <v>-9.8870252501013667</v>
      </c>
      <c r="W116" s="27">
        <f t="array" ref="W116">[1]!unf_fa_scale_SI(W$41,$M116,q_liq,fw,rp_m3m3,NaK,Ca2_,Mg2_,Ba2_,Sr2_,Cl,SO4_,HCO3_,CO2_mol,$L$102)</f>
        <v>-9.888079036768632</v>
      </c>
      <c r="X116" s="27">
        <f t="array" ref="X116">[1]!unf_fa_scale_SI(X$41,$M116,q_liq,fw,rp_m3m3,NaK,Ca2_,Mg2_,Ba2_,Sr2_,Cl,SO4_,HCO3_,CO2_mol,$L$102)</f>
        <v>-9.8896175653028386</v>
      </c>
      <c r="Y116" s="27">
        <f t="array" ref="Y116">[1]!unf_fa_scale_SI(Y$41,$M116,q_liq,fw,rp_m3m3,NaK,Ca2_,Mg2_,Ba2_,Sr2_,Cl,SO4_,HCO3_,CO2_mol,$L$102)</f>
        <v>-9.8918638169627808</v>
      </c>
      <c r="Z116" s="27">
        <f t="array" ref="Z116">[1]!unf_fa_scale_SI(Z$41,$M116,q_liq,fw,rp_m3m3,NaK,Ca2_,Mg2_,Ba2_,Sr2_,Cl,SO4_,HCO3_,CO2_mol,$L$102)</f>
        <v>-9.8951433443862964</v>
      </c>
      <c r="AA116" s="27">
        <f t="array" ref="AA116">[1]!unf_fa_scale_SI(AA$41,$M116,q_liq,fw,rp_m3m3,NaK,Ca2_,Mg2_,Ba2_,Sr2_,Cl,SO4_,HCO3_,CO2_mol,$L$102)</f>
        <v>-9.8999314544246282</v>
      </c>
      <c r="AB116" s="27">
        <f t="array" ref="AB116">[1]!unf_fa_scale_SI(AB$41,$M116,q_liq,fw,rp_m3m3,NaK,Ca2_,Mg2_,Ba2_,Sr2_,Cl,SO4_,HCO3_,CO2_mol,$L$102)</f>
        <v>-9.9069220950805938</v>
      </c>
      <c r="AC116" s="28">
        <f t="array" ref="AC116">[1]!unf_fa_scale_SI(AC$41,$M116,q_liq,fw,rp_m3m3,NaK,Ca2_,Mg2_,Ba2_,Sr2_,Cl,SO4_,HCO3_,CO2_mol,$L$102)</f>
        <v>-9.9171284304383036</v>
      </c>
    </row>
    <row r="117" spans="12:29" x14ac:dyDescent="0.2">
      <c r="L117" s="36"/>
      <c r="M117" s="26">
        <v>55</v>
      </c>
      <c r="N117" s="40">
        <f t="array" ref="N117">[1]!unf_fa_scale_SI(N$41,$M117,q_liq,fw,rp_m3m3,NaK,Ca2_,Mg2_,Ba2_,Sr2_,Cl,SO4_,HCO3_,CO2_mol,$L$102)</f>
        <v>-9.8589507419696432</v>
      </c>
      <c r="O117" s="27">
        <f t="array" ref="O117">[1]!unf_fa_scale_SI(O$41,$M117,q_liq,fw,rp_m3m3,NaK,Ca2_,Mg2_,Ba2_,Sr2_,Cl,SO4_,HCO3_,CO2_mol,$L$102)</f>
        <v>-9.8590017842246844</v>
      </c>
      <c r="P117" s="27">
        <f t="array" ref="P117">[1]!unf_fa_scale_SI(P$41,$M117,q_liq,fw,rp_m3m3,NaK,Ca2_,Mg2_,Ba2_,Sr2_,Cl,SO4_,HCO3_,CO2_mol,$L$102)</f>
        <v>-9.8590763059170428</v>
      </c>
      <c r="Q117" s="27">
        <f t="array" ref="Q117">[1]!unf_fa_scale_SI(Q$41,$M117,q_liq,fw,rp_m3m3,NaK,Ca2_,Mg2_,Ba2_,Sr2_,Cl,SO4_,HCO3_,CO2_mol,$L$102)</f>
        <v>-9.8591851075878854</v>
      </c>
      <c r="R117" s="27">
        <f t="array" ref="R117">[1]!unf_fa_scale_SI(R$41,$M117,q_liq,fw,rp_m3m3,NaK,Ca2_,Mg2_,Ba2_,Sr2_,Cl,SO4_,HCO3_,CO2_mol,$L$102)</f>
        <v>-9.859343958027317</v>
      </c>
      <c r="S117" s="27">
        <f t="array" ref="S117">[1]!unf_fa_scale_SI(S$41,$M117,q_liq,fw,rp_m3m3,NaK,Ca2_,Mg2_,Ba2_,Sr2_,Cl,SO4_,HCO3_,CO2_mol,$L$102)</f>
        <v>-9.8595758796688866</v>
      </c>
      <c r="T117" s="27">
        <f t="array" ref="T117">[1]!unf_fa_scale_SI(T$41,$M117,q_liq,fw,rp_m3m3,NaK,Ca2_,Mg2_,Ba2_,Sr2_,Cl,SO4_,HCO3_,CO2_mol,$L$102)</f>
        <v>-9.8599144852655769</v>
      </c>
      <c r="U117" s="27">
        <f t="array" ref="U117">[1]!unf_fa_scale_SI(U$41,$M117,q_liq,fw,rp_m3m3,NaK,Ca2_,Mg2_,Ba2_,Sr2_,Cl,SO4_,HCO3_,CO2_mol,$L$102)</f>
        <v>-9.8604088494367463</v>
      </c>
      <c r="V117" s="27">
        <f t="array" ref="V117">[1]!unf_fa_scale_SI(V$41,$M117,q_liq,fw,rp_m3m3,NaK,Ca2_,Mg2_,Ba2_,Sr2_,Cl,SO4_,HCO3_,CO2_mol,$L$102)</f>
        <v>-9.8611306211266552</v>
      </c>
      <c r="W117" s="27">
        <f t="array" ref="W117">[1]!unf_fa_scale_SI(W$41,$M117,q_liq,fw,rp_m3m3,NaK,Ca2_,Mg2_,Ba2_,Sr2_,Cl,SO4_,HCO3_,CO2_mol,$L$102)</f>
        <v>-9.8621844077939205</v>
      </c>
      <c r="X117" s="27">
        <f t="array" ref="X117">[1]!unf_fa_scale_SI(X$41,$M117,q_liq,fw,rp_m3m3,NaK,Ca2_,Mg2_,Ba2_,Sr2_,Cl,SO4_,HCO3_,CO2_mol,$L$102)</f>
        <v>-9.8637229363281271</v>
      </c>
      <c r="Y117" s="27">
        <f t="array" ref="Y117">[1]!unf_fa_scale_SI(Y$41,$M117,q_liq,fw,rp_m3m3,NaK,Ca2_,Mg2_,Ba2_,Sr2_,Cl,SO4_,HCO3_,CO2_mol,$L$102)</f>
        <v>-9.8659691879880693</v>
      </c>
      <c r="Z117" s="27">
        <f t="array" ref="Z117">[1]!unf_fa_scale_SI(Z$41,$M117,q_liq,fw,rp_m3m3,NaK,Ca2_,Mg2_,Ba2_,Sr2_,Cl,SO4_,HCO3_,CO2_mol,$L$102)</f>
        <v>-9.8692487154115849</v>
      </c>
      <c r="AA117" s="27">
        <f t="array" ref="AA117">[1]!unf_fa_scale_SI(AA$41,$M117,q_liq,fw,rp_m3m3,NaK,Ca2_,Mg2_,Ba2_,Sr2_,Cl,SO4_,HCO3_,CO2_mol,$L$102)</f>
        <v>-9.8740368254499167</v>
      </c>
      <c r="AB117" s="27">
        <f t="array" ref="AB117">[1]!unf_fa_scale_SI(AB$41,$M117,q_liq,fw,rp_m3m3,NaK,Ca2_,Mg2_,Ba2_,Sr2_,Cl,SO4_,HCO3_,CO2_mol,$L$102)</f>
        <v>-9.8810274661058823</v>
      </c>
      <c r="AC117" s="28">
        <f t="array" ref="AC117">[1]!unf_fa_scale_SI(AC$41,$M117,q_liq,fw,rp_m3m3,NaK,Ca2_,Mg2_,Ba2_,Sr2_,Cl,SO4_,HCO3_,CO2_mol,$L$102)</f>
        <v>-9.8912338014635921</v>
      </c>
    </row>
    <row r="118" spans="12:29" x14ac:dyDescent="0.2">
      <c r="L118" s="36"/>
      <c r="M118" s="26">
        <v>60</v>
      </c>
      <c r="N118" s="40">
        <f t="array" ref="N118">[1]!unf_fa_scale_SI(N$41,$M118,q_liq,fw,rp_m3m3,NaK,Ca2_,Mg2_,Ba2_,Sr2_,Cl,SO4_,HCO3_,CO2_mol,$L$102)</f>
        <v>-9.832318526994932</v>
      </c>
      <c r="O118" s="27">
        <f t="array" ref="O118">[1]!unf_fa_scale_SI(O$41,$M118,q_liq,fw,rp_m3m3,NaK,Ca2_,Mg2_,Ba2_,Sr2_,Cl,SO4_,HCO3_,CO2_mol,$L$102)</f>
        <v>-9.8323695692499733</v>
      </c>
      <c r="P118" s="27">
        <f t="array" ref="P118">[1]!unf_fa_scale_SI(P$41,$M118,q_liq,fw,rp_m3m3,NaK,Ca2_,Mg2_,Ba2_,Sr2_,Cl,SO4_,HCO3_,CO2_mol,$L$102)</f>
        <v>-9.8324440909423316</v>
      </c>
      <c r="Q118" s="27">
        <f t="array" ref="Q118">[1]!unf_fa_scale_SI(Q$41,$M118,q_liq,fw,rp_m3m3,NaK,Ca2_,Mg2_,Ba2_,Sr2_,Cl,SO4_,HCO3_,CO2_mol,$L$102)</f>
        <v>-9.8325528926131742</v>
      </c>
      <c r="R118" s="27">
        <f t="array" ref="R118">[1]!unf_fa_scale_SI(R$41,$M118,q_liq,fw,rp_m3m3,NaK,Ca2_,Mg2_,Ba2_,Sr2_,Cl,SO4_,HCO3_,CO2_mol,$L$102)</f>
        <v>-9.8327117430526059</v>
      </c>
      <c r="S118" s="27">
        <f t="array" ref="S118">[1]!unf_fa_scale_SI(S$41,$M118,q_liq,fw,rp_m3m3,NaK,Ca2_,Mg2_,Ba2_,Sr2_,Cl,SO4_,HCO3_,CO2_mol,$L$102)</f>
        <v>-9.8329436646941755</v>
      </c>
      <c r="T118" s="27">
        <f t="array" ref="T118">[1]!unf_fa_scale_SI(T$41,$M118,q_liq,fw,rp_m3m3,NaK,Ca2_,Mg2_,Ba2_,Sr2_,Cl,SO4_,HCO3_,CO2_mol,$L$102)</f>
        <v>-9.8332822702908658</v>
      </c>
      <c r="U118" s="27">
        <f t="array" ref="U118">[1]!unf_fa_scale_SI(U$41,$M118,q_liq,fw,rp_m3m3,NaK,Ca2_,Mg2_,Ba2_,Sr2_,Cl,SO4_,HCO3_,CO2_mol,$L$102)</f>
        <v>-9.8337766344620352</v>
      </c>
      <c r="V118" s="27">
        <f t="array" ref="V118">[1]!unf_fa_scale_SI(V$41,$M118,q_liq,fw,rp_m3m3,NaK,Ca2_,Mg2_,Ba2_,Sr2_,Cl,SO4_,HCO3_,CO2_mol,$L$102)</f>
        <v>-9.834498406151944</v>
      </c>
      <c r="W118" s="27">
        <f t="array" ref="W118">[1]!unf_fa_scale_SI(W$41,$M118,q_liq,fw,rp_m3m3,NaK,Ca2_,Mg2_,Ba2_,Sr2_,Cl,SO4_,HCO3_,CO2_mol,$L$102)</f>
        <v>-9.8355521928192093</v>
      </c>
      <c r="X118" s="27">
        <f t="array" ref="X118">[1]!unf_fa_scale_SI(X$41,$M118,q_liq,fw,rp_m3m3,NaK,Ca2_,Mg2_,Ba2_,Sr2_,Cl,SO4_,HCO3_,CO2_mol,$L$102)</f>
        <v>-9.837090721353416</v>
      </c>
      <c r="Y118" s="27">
        <f t="array" ref="Y118">[1]!unf_fa_scale_SI(Y$41,$M118,q_liq,fw,rp_m3m3,NaK,Ca2_,Mg2_,Ba2_,Sr2_,Cl,SO4_,HCO3_,CO2_mol,$L$102)</f>
        <v>-9.8393369730133582</v>
      </c>
      <c r="Z118" s="27">
        <f t="array" ref="Z118">[1]!unf_fa_scale_SI(Z$41,$M118,q_liq,fw,rp_m3m3,NaK,Ca2_,Mg2_,Ba2_,Sr2_,Cl,SO4_,HCO3_,CO2_mol,$L$102)</f>
        <v>-9.8426165004368737</v>
      </c>
      <c r="AA118" s="27">
        <f t="array" ref="AA118">[1]!unf_fa_scale_SI(AA$41,$M118,q_liq,fw,rp_m3m3,NaK,Ca2_,Mg2_,Ba2_,Sr2_,Cl,SO4_,HCO3_,CO2_mol,$L$102)</f>
        <v>-9.8474046104752055</v>
      </c>
      <c r="AB118" s="27">
        <f t="array" ref="AB118">[1]!unf_fa_scale_SI(AB$41,$M118,q_liq,fw,rp_m3m3,NaK,Ca2_,Mg2_,Ba2_,Sr2_,Cl,SO4_,HCO3_,CO2_mol,$L$102)</f>
        <v>-9.8543952511311712</v>
      </c>
      <c r="AC118" s="28">
        <f t="array" ref="AC118">[1]!unf_fa_scale_SI(AC$41,$M118,q_liq,fw,rp_m3m3,NaK,Ca2_,Mg2_,Ba2_,Sr2_,Cl,SO4_,HCO3_,CO2_mol,$L$102)</f>
        <v>-9.864601586488881</v>
      </c>
    </row>
    <row r="119" spans="12:29" x14ac:dyDescent="0.2">
      <c r="L119" s="36"/>
      <c r="M119" s="26">
        <v>65</v>
      </c>
      <c r="N119" s="40">
        <f t="array" ref="N119">[1]!unf_fa_scale_SI(N$41,$M119,q_liq,fw,rp_m3m3,NaK,Ca2_,Mg2_,Ba2_,Sr2_,Cl,SO4_,HCO3_,CO2_mol,$L$102)</f>
        <v>-9.804948726020223</v>
      </c>
      <c r="O119" s="27">
        <f t="array" ref="O119">[1]!unf_fa_scale_SI(O$41,$M119,q_liq,fw,rp_m3m3,NaK,Ca2_,Mg2_,Ba2_,Sr2_,Cl,SO4_,HCO3_,CO2_mol,$L$102)</f>
        <v>-9.8049997682752643</v>
      </c>
      <c r="P119" s="27">
        <f t="array" ref="P119">[1]!unf_fa_scale_SI(P$41,$M119,q_liq,fw,rp_m3m3,NaK,Ca2_,Mg2_,Ba2_,Sr2_,Cl,SO4_,HCO3_,CO2_mol,$L$102)</f>
        <v>-9.8050742899676226</v>
      </c>
      <c r="Q119" s="27">
        <f t="array" ref="Q119">[1]!unf_fa_scale_SI(Q$41,$M119,q_liq,fw,rp_m3m3,NaK,Ca2_,Mg2_,Ba2_,Sr2_,Cl,SO4_,HCO3_,CO2_mol,$L$102)</f>
        <v>-9.8051830916384652</v>
      </c>
      <c r="R119" s="27">
        <f t="array" ref="R119">[1]!unf_fa_scale_SI(R$41,$M119,q_liq,fw,rp_m3m3,NaK,Ca2_,Mg2_,Ba2_,Sr2_,Cl,SO4_,HCO3_,CO2_mol,$L$102)</f>
        <v>-9.8053419420778969</v>
      </c>
      <c r="S119" s="27">
        <f t="array" ref="S119">[1]!unf_fa_scale_SI(S$41,$M119,q_liq,fw,rp_m3m3,NaK,Ca2_,Mg2_,Ba2_,Sr2_,Cl,SO4_,HCO3_,CO2_mol,$L$102)</f>
        <v>-9.8055738637194665</v>
      </c>
      <c r="T119" s="27">
        <f t="array" ref="T119">[1]!unf_fa_scale_SI(T$41,$M119,q_liq,fw,rp_m3m3,NaK,Ca2_,Mg2_,Ba2_,Sr2_,Cl,SO4_,HCO3_,CO2_mol,$L$102)</f>
        <v>-9.8059124693161568</v>
      </c>
      <c r="U119" s="27">
        <f t="array" ref="U119">[1]!unf_fa_scale_SI(U$41,$M119,q_liq,fw,rp_m3m3,NaK,Ca2_,Mg2_,Ba2_,Sr2_,Cl,SO4_,HCO3_,CO2_mol,$L$102)</f>
        <v>-9.8064068334873262</v>
      </c>
      <c r="V119" s="27">
        <f t="array" ref="V119">[1]!unf_fa_scale_SI(V$41,$M119,q_liq,fw,rp_m3m3,NaK,Ca2_,Mg2_,Ba2_,Sr2_,Cl,SO4_,HCO3_,CO2_mol,$L$102)</f>
        <v>-9.8071286051772351</v>
      </c>
      <c r="W119" s="27">
        <f t="array" ref="W119">[1]!unf_fa_scale_SI(W$41,$M119,q_liq,fw,rp_m3m3,NaK,Ca2_,Mg2_,Ba2_,Sr2_,Cl,SO4_,HCO3_,CO2_mol,$L$102)</f>
        <v>-9.8081823918445004</v>
      </c>
      <c r="X119" s="27">
        <f t="array" ref="X119">[1]!unf_fa_scale_SI(X$41,$M119,q_liq,fw,rp_m3m3,NaK,Ca2_,Mg2_,Ba2_,Sr2_,Cl,SO4_,HCO3_,CO2_mol,$L$102)</f>
        <v>-9.809720920378707</v>
      </c>
      <c r="Y119" s="27">
        <f t="array" ref="Y119">[1]!unf_fa_scale_SI(Y$41,$M119,q_liq,fw,rp_m3m3,NaK,Ca2_,Mg2_,Ba2_,Sr2_,Cl,SO4_,HCO3_,CO2_mol,$L$102)</f>
        <v>-9.8119671720386492</v>
      </c>
      <c r="Z119" s="27">
        <f t="array" ref="Z119">[1]!unf_fa_scale_SI(Z$41,$M119,q_liq,fw,rp_m3m3,NaK,Ca2_,Mg2_,Ba2_,Sr2_,Cl,SO4_,HCO3_,CO2_mol,$L$102)</f>
        <v>-9.8152466994621648</v>
      </c>
      <c r="AA119" s="27">
        <f t="array" ref="AA119">[1]!unf_fa_scale_SI(AA$41,$M119,q_liq,fw,rp_m3m3,NaK,Ca2_,Mg2_,Ba2_,Sr2_,Cl,SO4_,HCO3_,CO2_mol,$L$102)</f>
        <v>-9.8200348095004966</v>
      </c>
      <c r="AB119" s="27">
        <f t="array" ref="AB119">[1]!unf_fa_scale_SI(AB$41,$M119,q_liq,fw,rp_m3m3,NaK,Ca2_,Mg2_,Ba2_,Sr2_,Cl,SO4_,HCO3_,CO2_mol,$L$102)</f>
        <v>-9.8270254501564622</v>
      </c>
      <c r="AC119" s="28">
        <f t="array" ref="AC119">[1]!unf_fa_scale_SI(AC$41,$M119,q_liq,fw,rp_m3m3,NaK,Ca2_,Mg2_,Ba2_,Sr2_,Cl,SO4_,HCO3_,CO2_mol,$L$102)</f>
        <v>-9.837231785514172</v>
      </c>
    </row>
    <row r="120" spans="12:29" x14ac:dyDescent="0.2">
      <c r="L120" s="37"/>
      <c r="M120" s="29">
        <v>70</v>
      </c>
      <c r="N120" s="41">
        <f t="array" ref="N120">[1]!unf_fa_scale_SI(N$41,$M120,q_liq,fw,rp_m3m3,NaK,Ca2_,Mg2_,Ba2_,Sr2_,Cl,SO4_,HCO3_,CO2_mol,$L$102)</f>
        <v>-9.7768413390455109</v>
      </c>
      <c r="O120" s="30">
        <f t="array" ref="O120">[1]!unf_fa_scale_SI(O$41,$M120,q_liq,fw,rp_m3m3,NaK,Ca2_,Mg2_,Ba2_,Sr2_,Cl,SO4_,HCO3_,CO2_mol,$L$102)</f>
        <v>-9.7768923813005522</v>
      </c>
      <c r="P120" s="30">
        <f t="array" ref="P120">[1]!unf_fa_scale_SI(P$41,$M120,q_liq,fw,rp_m3m3,NaK,Ca2_,Mg2_,Ba2_,Sr2_,Cl,SO4_,HCO3_,CO2_mol,$L$102)</f>
        <v>-9.7769669029929105</v>
      </c>
      <c r="Q120" s="30">
        <f t="array" ref="Q120">[1]!unf_fa_scale_SI(Q$41,$M120,q_liq,fw,rp_m3m3,NaK,Ca2_,Mg2_,Ba2_,Sr2_,Cl,SO4_,HCO3_,CO2_mol,$L$102)</f>
        <v>-9.7770757046637531</v>
      </c>
      <c r="R120" s="30">
        <f t="array" ref="R120">[1]!unf_fa_scale_SI(R$41,$M120,q_liq,fw,rp_m3m3,NaK,Ca2_,Mg2_,Ba2_,Sr2_,Cl,SO4_,HCO3_,CO2_mol,$L$102)</f>
        <v>-9.7772345551031847</v>
      </c>
      <c r="S120" s="30">
        <f t="array" ref="S120">[1]!unf_fa_scale_SI(S$41,$M120,q_liq,fw,rp_m3m3,NaK,Ca2_,Mg2_,Ba2_,Sr2_,Cl,SO4_,HCO3_,CO2_mol,$L$102)</f>
        <v>-9.7774664767447543</v>
      </c>
      <c r="T120" s="30">
        <f t="array" ref="T120">[1]!unf_fa_scale_SI(T$41,$M120,q_liq,fw,rp_m3m3,NaK,Ca2_,Mg2_,Ba2_,Sr2_,Cl,SO4_,HCO3_,CO2_mol,$L$102)</f>
        <v>-9.7778050823414446</v>
      </c>
      <c r="U120" s="30">
        <f t="array" ref="U120">[1]!unf_fa_scale_SI(U$41,$M120,q_liq,fw,rp_m3m3,NaK,Ca2_,Mg2_,Ba2_,Sr2_,Cl,SO4_,HCO3_,CO2_mol,$L$102)</f>
        <v>-9.7782994465126141</v>
      </c>
      <c r="V120" s="30">
        <f t="array" ref="V120">[1]!unf_fa_scale_SI(V$41,$M120,q_liq,fw,rp_m3m3,NaK,Ca2_,Mg2_,Ba2_,Sr2_,Cl,SO4_,HCO3_,CO2_mol,$L$102)</f>
        <v>-9.7790212182025229</v>
      </c>
      <c r="W120" s="30">
        <f t="array" ref="W120">[1]!unf_fa_scale_SI(W$41,$M120,q_liq,fw,rp_m3m3,NaK,Ca2_,Mg2_,Ba2_,Sr2_,Cl,SO4_,HCO3_,CO2_mol,$L$102)</f>
        <v>-9.7800750048697882</v>
      </c>
      <c r="X120" s="30">
        <f t="array" ref="X120">[1]!unf_fa_scale_SI(X$41,$M120,q_liq,fw,rp_m3m3,NaK,Ca2_,Mg2_,Ba2_,Sr2_,Cl,SO4_,HCO3_,CO2_mol,$L$102)</f>
        <v>-9.7816135334039949</v>
      </c>
      <c r="Y120" s="30">
        <f t="array" ref="Y120">[1]!unf_fa_scale_SI(Y$41,$M120,q_liq,fw,rp_m3m3,NaK,Ca2_,Mg2_,Ba2_,Sr2_,Cl,SO4_,HCO3_,CO2_mol,$L$102)</f>
        <v>-9.7838597850639371</v>
      </c>
      <c r="Z120" s="30">
        <f t="array" ref="Z120">[1]!unf_fa_scale_SI(Z$41,$M120,q_liq,fw,rp_m3m3,NaK,Ca2_,Mg2_,Ba2_,Sr2_,Cl,SO4_,HCO3_,CO2_mol,$L$102)</f>
        <v>-9.7871393124874526</v>
      </c>
      <c r="AA120" s="30">
        <f t="array" ref="AA120">[1]!unf_fa_scale_SI(AA$41,$M120,q_liq,fw,rp_m3m3,NaK,Ca2_,Mg2_,Ba2_,Sr2_,Cl,SO4_,HCO3_,CO2_mol,$L$102)</f>
        <v>-9.7919274225257844</v>
      </c>
      <c r="AB120" s="30">
        <f t="array" ref="AB120">[1]!unf_fa_scale_SI(AB$41,$M120,q_liq,fw,rp_m3m3,NaK,Ca2_,Mg2_,Ba2_,Sr2_,Cl,SO4_,HCO3_,CO2_mol,$L$102)</f>
        <v>-9.7989180631817501</v>
      </c>
      <c r="AC120" s="31">
        <f t="array" ref="AC120">[1]!unf_fa_scale_SI(AC$41,$M120,q_liq,fw,rp_m3m3,NaK,Ca2_,Mg2_,Ba2_,Sr2_,Cl,SO4_,HCO3_,CO2_mol,$L$102)</f>
        <v>-9.8091243985394598</v>
      </c>
    </row>
    <row r="121" spans="12:29" x14ac:dyDescent="0.2">
      <c r="U121" s="50"/>
    </row>
  </sheetData>
  <mergeCells count="14">
    <mergeCell ref="F16:H16"/>
    <mergeCell ref="F17:H17"/>
    <mergeCell ref="A6:A8"/>
    <mergeCell ref="B6:E8"/>
    <mergeCell ref="H6:H8"/>
    <mergeCell ref="I6:L8"/>
    <mergeCell ref="I1:J1"/>
    <mergeCell ref="F15:H15"/>
    <mergeCell ref="B3:E3"/>
    <mergeCell ref="I3:L3"/>
    <mergeCell ref="B4:E4"/>
    <mergeCell ref="I4:L4"/>
    <mergeCell ref="B5:E5"/>
    <mergeCell ref="I5:L5"/>
  </mergeCells>
  <phoneticPr fontId="3" type="noConversion"/>
  <conditionalFormatting sqref="N20:AC34">
    <cfRule type="cellIs" dxfId="23" priority="30" stopIfTrue="1" operator="greaterThan">
      <formula>1</formula>
    </cfRule>
    <cfRule type="cellIs" dxfId="22" priority="31" stopIfTrue="1" operator="between">
      <formula>0.5</formula>
      <formula>1</formula>
    </cfRule>
    <cfRule type="cellIs" dxfId="21" priority="32" stopIfTrue="1" operator="lessThan">
      <formula>0.5</formula>
    </cfRule>
  </conditionalFormatting>
  <conditionalFormatting sqref="N42:AC56">
    <cfRule type="cellIs" dxfId="20" priority="15" stopIfTrue="1" operator="greaterThan">
      <formula>1</formula>
    </cfRule>
    <cfRule type="cellIs" dxfId="19" priority="16" stopIfTrue="1" operator="between">
      <formula>0.5</formula>
      <formula>1</formula>
    </cfRule>
    <cfRule type="cellIs" dxfId="18" priority="17" stopIfTrue="1" operator="lessThan">
      <formula>0.5</formula>
    </cfRule>
  </conditionalFormatting>
  <conditionalFormatting sqref="N64:AC78">
    <cfRule type="cellIs" dxfId="17" priority="12" stopIfTrue="1" operator="greaterThan">
      <formula>1</formula>
    </cfRule>
    <cfRule type="cellIs" dxfId="16" priority="13" stopIfTrue="1" operator="between">
      <formula>0.5</formula>
      <formula>1</formula>
    </cfRule>
    <cfRule type="cellIs" dxfId="15" priority="14" stopIfTrue="1" operator="lessThan">
      <formula>0.5</formula>
    </cfRule>
  </conditionalFormatting>
  <conditionalFormatting sqref="N85:AC99">
    <cfRule type="cellIs" dxfId="14" priority="9" stopIfTrue="1" operator="greaterThan">
      <formula>1</formula>
    </cfRule>
    <cfRule type="cellIs" dxfId="13" priority="10" stopIfTrue="1" operator="between">
      <formula>0.5</formula>
      <formula>1</formula>
    </cfRule>
    <cfRule type="cellIs" dxfId="12" priority="11" stopIfTrue="1" operator="lessThan">
      <formula>0.5</formula>
    </cfRule>
  </conditionalFormatting>
  <conditionalFormatting sqref="N106:AC120">
    <cfRule type="cellIs" dxfId="11" priority="6" stopIfTrue="1" operator="greaterThan">
      <formula>1</formula>
    </cfRule>
    <cfRule type="cellIs" dxfId="10" priority="7" stopIfTrue="1" operator="between">
      <formula>0.5</formula>
      <formula>1</formula>
    </cfRule>
    <cfRule type="cellIs" dxfId="9" priority="8" stopIfTrue="1" operator="lessThan">
      <formula>0.5</formula>
    </cfRule>
  </conditionalFormatting>
  <conditionalFormatting sqref="C26">
    <cfRule type="expression" dxfId="8" priority="63" stopIfTrue="1">
      <formula>IF(#REF!&lt;&gt;"ФОН",n_calc(#REF!,C17,#REF!,C27,C24,C29,#REF!,#REF!,C31,,,#REF!,#REF!,,(C20-#REF!)*(1+#REF!/C18))&gt;10000,FALSE)</formula>
    </cfRule>
    <cfRule type="expression" dxfId="7" priority="64" stopIfTrue="1">
      <formula>IF(#REF!&lt;&gt;"ФОН",n_calc(#REF!,C17,#REF!,C27,C24,C29,#REF!,#REF!,C31,,,#REF!,#REF!)+1&gt;0.75,FALSE)</formula>
    </cfRule>
  </conditionalFormatting>
  <conditionalFormatting sqref="C30">
    <cfRule type="expression" dxfId="6" priority="65" stopIfTrue="1">
      <formula>AND(C30&lt;=1,C32="в работе")</formula>
    </cfRule>
  </conditionalFormatting>
  <conditionalFormatting sqref="C31">
    <cfRule type="expression" dxfId="5" priority="66" stopIfTrue="1">
      <formula>AND(C31&gt;98,C32="в работе")</formula>
    </cfRule>
  </conditionalFormatting>
  <conditionalFormatting sqref="D26:D27">
    <cfRule type="expression" dxfId="4" priority="4" stopIfTrue="1">
      <formula>IF(#REF!&lt;&gt;"ФОН",n_calc(#REF!,D17,#REF!,D27,D24,D29,#REF!,#REF!,D31,,,#REF!,#REF!,,(D20-#REF!)*(1+#REF!/D18))&gt;10000,FALSE)</formula>
    </cfRule>
    <cfRule type="expression" dxfId="3" priority="5" stopIfTrue="1">
      <formula>IF(#REF!&lt;&gt;"ФОН",n_calc(#REF!,D17,#REF!,D27,D24,D29,#REF!,#REF!,D31,,,#REF!,#REF!)+1&gt;0.75,FALSE)</formula>
    </cfRule>
  </conditionalFormatting>
  <conditionalFormatting sqref="AK64:AZ78">
    <cfRule type="cellIs" dxfId="2" priority="1" stopIfTrue="1" operator="greaterThan">
      <formula>1</formula>
    </cfRule>
    <cfRule type="cellIs" dxfId="1" priority="2" stopIfTrue="1" operator="between">
      <formula>0.5</formula>
      <formula>1</formula>
    </cfRule>
    <cfRule type="cellIs" dxfId="0" priority="3" stopIfTrue="1" operator="lessThan">
      <formula>0.5</formula>
    </cfRule>
  </conditionalFormatting>
  <pageMargins left="0.17" right="0.22" top="0.74" bottom="1" header="0.5" footer="0.5"/>
  <pageSetup paperSize="9" scale="4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16</vt:i4>
      </vt:variant>
    </vt:vector>
  </HeadingPairs>
  <TitlesOfParts>
    <vt:vector size="17" baseType="lpstr">
      <vt:lpstr>карты</vt:lpstr>
      <vt:lpstr>Ba2_</vt:lpstr>
      <vt:lpstr>Ca2_</vt:lpstr>
      <vt:lpstr>Cl</vt:lpstr>
      <vt:lpstr>CO2_mol</vt:lpstr>
      <vt:lpstr>fw</vt:lpstr>
      <vt:lpstr>HCO3_</vt:lpstr>
      <vt:lpstr>Mg2_</vt:lpstr>
      <vt:lpstr>mode</vt:lpstr>
      <vt:lpstr>NaK</vt:lpstr>
      <vt:lpstr>P_</vt:lpstr>
      <vt:lpstr>q_liq</vt:lpstr>
      <vt:lpstr>qo</vt:lpstr>
      <vt:lpstr>rp_m3m3</vt:lpstr>
      <vt:lpstr>SO4_</vt:lpstr>
      <vt:lpstr>Sr2_</vt:lpstr>
      <vt:lpstr>T_</vt:lpstr>
    </vt:vector>
  </TitlesOfParts>
  <Company>NGT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rnt</cp:lastModifiedBy>
  <cp:lastPrinted>2009-07-09T11:23:53Z</cp:lastPrinted>
  <dcterms:created xsi:type="dcterms:W3CDTF">2008-07-03T09:51:37Z</dcterms:created>
  <dcterms:modified xsi:type="dcterms:W3CDTF">2025-11-11T11:47:10Z</dcterms:modified>
</cp:coreProperties>
</file>