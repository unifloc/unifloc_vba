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C0C991E-EAE7-4954-9A90-6AEEC1E70257}" xr6:coauthVersionLast="45" xr6:coauthVersionMax="45" xr10:uidLastSave="{00000000-0000-0000-0000-000000000000}"/>
  <bookViews>
    <workbookView xWindow="-30840" yWindow="300" windowWidth="29085" windowHeight="20085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exercise_pipeline!$H$44</definedName>
    <definedName name="calc_along_coord1" localSheetId="0">exercise_pipeline!$I$44</definedName>
    <definedName name="calc_flow_direction_" localSheetId="0">exercise_pipeline!$H$46</definedName>
    <definedName name="calc_flow_direction1_" localSheetId="0">exercise_pipeline!$I$46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dcas">exercise_pipeline!$C$44</definedName>
    <definedName name="dchoke">exercise_pipeline!$C$46</definedName>
    <definedName name="dtub">exercise_pipeline!$C$45</definedName>
    <definedName name="flow_along_coord" localSheetId="0">exercise_pipeline!$H$45</definedName>
    <definedName name="flow_along_coord1" localSheetId="0">exercise_pipeline!$I$45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exercise_pipeline!$H$42</definedName>
    <definedName name="Htub">exercise_pipeline!$C$43</definedName>
    <definedName name="Hydr_corr_" localSheetId="0">exercise_pipeline!$H$27</definedName>
    <definedName name="inclinometry" localSheetId="0">exercise_pipeline!$B$52:$C$74</definedName>
    <definedName name="input_0" localSheetId="0">exercise_pipeline!$C$11:$C$30</definedName>
    <definedName name="input_1" localSheetId="0">exercise_pipeline!$C$42:$C$46</definedName>
    <definedName name="input_2" localSheetId="0">exercise_pipeline!$H$26:$H$32</definedName>
    <definedName name="input_3" localSheetId="0">exercise_pipeline!$H$43:$H$45</definedName>
    <definedName name="input_5" localSheetId="0">exercise_pipeline!$B$52:$C$74</definedName>
    <definedName name="input_6" localSheetId="0">exercise_pipeline!$E$52:$F$71</definedName>
    <definedName name="input_7" localSheetId="0">exercise_pipeline!$H$52:$I$71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n">exercise_pipeline!$Z$41</definedName>
    <definedName name="Pb_" localSheetId="0">exercise_pipeline!$C$16</definedName>
    <definedName name="PI">exercise_pipeline!$C$33</definedName>
    <definedName name="Pline_" localSheetId="0">exercise_pipeline!$C$29</definedName>
    <definedName name="Pres">exercise_pipeline!$C$32</definedName>
    <definedName name="Psep" localSheetId="0">exercise_pipeline!$C$22</definedName>
    <definedName name="PVT_corr_" localSheetId="0">exercise_pipeline!$H$26</definedName>
    <definedName name="PVTstr_" localSheetId="0">exercise_pipeline!$C$39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emp_model" localSheetId="0">exercise_pipeline!$H$43</definedName>
    <definedName name="tempm" localSheetId="0">exercise_pipeline!$H$43</definedName>
    <definedName name="Tres_" localSheetId="0">exercise_pipeline!$C$17</definedName>
    <definedName name="Tsep" localSheetId="0">exercise_pipeline!$C$23</definedName>
    <definedName name="Twh_" localSheetId="0">exercise_pipeline!$C$30</definedName>
    <definedName name="Нperf">exercise_pipeline!$C$42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45" i="3" l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Z45" i="3" a="1"/>
  <c r="Z46" i="3" a="1"/>
  <c r="Z52" i="3" a="1"/>
  <c r="Z58" i="3" a="1"/>
  <c r="Z64" i="3" a="1"/>
  <c r="Z59" i="3" a="1"/>
  <c r="Z50" i="3" a="1"/>
  <c r="Z57" i="3" a="1"/>
  <c r="Z53" i="3" a="1"/>
  <c r="Z47" i="3" a="1"/>
  <c r="Z54" i="3" a="1"/>
  <c r="Z55" i="3" a="1"/>
  <c r="Z51" i="3" a="1"/>
  <c r="Z48" i="3" a="1"/>
  <c r="Z60" i="3" a="1"/>
  <c r="Z61" i="3" a="1"/>
  <c r="Z56" i="3" a="1"/>
  <c r="Z49" i="3" a="1"/>
  <c r="Z62" i="3" a="1"/>
  <c r="Z63" i="3" a="1"/>
  <c r="G1" i="3"/>
  <c r="Z45" i="3" l="1"/>
  <c r="Z63" i="3"/>
  <c r="Z62" i="3"/>
  <c r="Z49" i="3"/>
  <c r="Z56" i="3"/>
  <c r="Z61" i="3"/>
  <c r="Z60" i="3"/>
  <c r="Z48" i="3"/>
  <c r="Z51" i="3"/>
  <c r="Z55" i="3"/>
  <c r="Z54" i="3"/>
  <c r="Z47" i="3"/>
  <c r="Z53" i="3"/>
  <c r="Z57" i="3"/>
  <c r="Z50" i="3"/>
  <c r="Z59" i="3"/>
  <c r="Z64" i="3"/>
  <c r="Z58" i="3"/>
  <c r="Z52" i="3"/>
  <c r="Z46" i="3"/>
  <c r="I46" i="3"/>
  <c r="H46" i="3"/>
  <c r="E17" i="3"/>
  <c r="E16" i="3"/>
  <c r="E15" i="3"/>
  <c r="E14" i="3"/>
  <c r="E13" i="3"/>
  <c r="E12" i="3"/>
  <c r="E11" i="3"/>
  <c r="C39" i="3"/>
  <c r="K42" i="3" a="1"/>
  <c r="AA45" i="3"/>
  <c r="AA60" i="3"/>
  <c r="AA59" i="3"/>
  <c r="AA58" i="3"/>
  <c r="AA57" i="3"/>
  <c r="AA55" i="3"/>
  <c r="AA54" i="3"/>
  <c r="AA56" i="3"/>
  <c r="AA64" i="3"/>
  <c r="AA63" i="3"/>
  <c r="AA62" i="3"/>
  <c r="AA50" i="3"/>
  <c r="AA48" i="3"/>
  <c r="AA47" i="3"/>
  <c r="AA46" i="3"/>
  <c r="AA53" i="3"/>
  <c r="AA52" i="3"/>
  <c r="AA51" i="3"/>
  <c r="AA61" i="3"/>
  <c r="AA49" i="3"/>
  <c r="AB45" i="3"/>
  <c r="AB53" i="3"/>
  <c r="AB52" i="3"/>
  <c r="AB51" i="3"/>
  <c r="AB55" i="3"/>
  <c r="AB62" i="3"/>
  <c r="AB50" i="3"/>
  <c r="AB54" i="3"/>
  <c r="AB61" i="3"/>
  <c r="AB49" i="3"/>
  <c r="AB57" i="3"/>
  <c r="AB63" i="3"/>
  <c r="AB60" i="3"/>
  <c r="AB48" i="3"/>
  <c r="AB64" i="3"/>
  <c r="AB59" i="3"/>
  <c r="AB47" i="3"/>
  <c r="AB56" i="3"/>
  <c r="AB58" i="3"/>
  <c r="AB46" i="3"/>
  <c r="V21" i="3" s="1" a="1"/>
  <c r="V21" i="3" l="1"/>
  <c r="K42" i="3"/>
  <c r="U47" i="3"/>
  <c r="V47" i="3" s="1"/>
  <c r="T57" i="3"/>
  <c r="T56" i="3"/>
  <c r="T59" i="3"/>
  <c r="T55" i="3"/>
  <c r="T50" i="3"/>
  <c r="U64" i="3"/>
  <c r="V64" i="3" s="1"/>
  <c r="U59" i="3"/>
  <c r="V59" i="3" s="1"/>
  <c r="U51" i="3"/>
  <c r="V51" i="3" s="1"/>
  <c r="U53" i="3"/>
  <c r="V53" i="3" s="1"/>
  <c r="U49" i="3"/>
  <c r="V49" i="3" s="1"/>
  <c r="T60" i="3"/>
  <c r="T62" i="3"/>
  <c r="T52" i="3"/>
  <c r="T63" i="3"/>
  <c r="T58" i="3"/>
  <c r="T49" i="3"/>
  <c r="T48" i="3"/>
  <c r="T54" i="3"/>
  <c r="U63" i="3"/>
  <c r="V63" i="3" s="1"/>
  <c r="T51" i="3"/>
  <c r="T46" i="3"/>
  <c r="U60" i="3"/>
  <c r="V60" i="3" s="1"/>
  <c r="U55" i="3"/>
  <c r="V55" i="3" s="1"/>
  <c r="T47" i="3"/>
  <c r="U56" i="3"/>
  <c r="V56" i="3" s="1"/>
  <c r="U54" i="3"/>
  <c r="V54" i="3" s="1"/>
  <c r="U50" i="3"/>
  <c r="V50" i="3" s="1"/>
  <c r="U62" i="3"/>
  <c r="V62" i="3" s="1"/>
  <c r="U61" i="3"/>
  <c r="V61" i="3" s="1"/>
  <c r="U52" i="3"/>
  <c r="V52" i="3" s="1"/>
  <c r="U58" i="3"/>
  <c r="V58" i="3" s="1"/>
  <c r="U57" i="3"/>
  <c r="V57" i="3" s="1"/>
  <c r="U48" i="3"/>
  <c r="V48" i="3" s="1"/>
  <c r="T45" i="3"/>
  <c r="T64" i="3"/>
  <c r="U46" i="3"/>
  <c r="V46" i="3" s="1"/>
  <c r="T61" i="3"/>
  <c r="T53" i="3"/>
  <c r="U45" i="3"/>
  <c r="V45" i="3" s="1"/>
  <c r="V22" i="3" a="1"/>
  <c r="V2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2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3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<sst xmlns="http://schemas.openxmlformats.org/spreadsheetml/2006/main" count="120" uniqueCount="96">
  <si>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</si>
  <si>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</si>
  <si>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</si>
  <si>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</si>
  <si>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</si>
  <si>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</si>
  <si>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</si>
  <si>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</si>
  <si>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</si>
  <si>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</si>
  <si>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</si>
  <si>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</si>
  <si>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</si>
  <si>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</si>
  <si>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</si>
  <si>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</si>
  <si>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</si>
  <si>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</si>
  <si>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</si>
  <si>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</si>
  <si>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</si>
  <si>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</si>
  <si>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</si>
  <si>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</si>
  <si>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</si>
  <si>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</si>
  <si>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</si>
  <si>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°C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</si>
  <si>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</si>
  <si>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</si>
  <si>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</si>
  <si>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</si>
  <si>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</si>
  <si>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</si>
  <si>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</si>
  <si>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</si>
  <si>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</si>
  <si>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</si>
  <si>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</si>
  <si>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</si>
  <si>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</si>
  <si>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</si>
  <si>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</si>
  <si>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</si>
  <si>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</si>
  <si>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</si>
  <si>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</si>
  <si>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</si>
  <si>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</si>
  <si>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</si>
  <si>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</si>
  <si>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</si>
  <si>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</si>
  <si>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</si>
  <si>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</si>
  <si>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</si>
  <si>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</si>
  <si>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</si>
  <si>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</si>
  <si>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</si>
  <si>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</si>
  <si>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</si>
  <si>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</si>
  <si>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</si>
  <si>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</si>
  <si>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</si>
  <si>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</si>
  <si>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</si>
  <si>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</si>
  <si>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</si>
  <si>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</si>
  <si>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</si>
  <si>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</si>
  <si>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</si>
  <si>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</si>
  <si>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</si>
  <si>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</si>
  <si>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</si>
  <si>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</si>
  <si>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Параметры пласта</t>
  </si>
  <si>
    <t>Параметры скважины</t>
  </si>
  <si>
    <t>Pbuf</t>
  </si>
  <si>
    <t>Pres</t>
  </si>
  <si>
    <t>PI</t>
  </si>
  <si>
    <t>IPR</t>
  </si>
  <si>
    <t>Pwf</t>
  </si>
  <si>
    <t>Qliq</t>
  </si>
  <si>
    <t>VLP</t>
  </si>
  <si>
    <t>Узловой анализ фонтанирующей скважины</t>
  </si>
  <si>
    <t>n</t>
  </si>
  <si>
    <r>
      <t>P</t>
    </r>
    <r>
      <rPr>
        <vertAlign val="subscript"/>
        <sz val="11"/>
        <color theme="1"/>
        <rFont val="Calibri"/>
        <family val="2"/>
        <charset val="204"/>
      </rPr>
      <t>line</t>
    </r>
  </si>
  <si>
    <r>
      <t>T</t>
    </r>
    <r>
      <rPr>
        <vertAlign val="subscript"/>
        <sz val="11"/>
        <color theme="1"/>
        <rFont val="Calibri"/>
        <family val="2"/>
        <charset val="204"/>
      </rPr>
      <t>buf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</si>
  <si>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/сут/атм</t>
    </r>
  </si>
  <si>
    <t>Q</t>
  </si>
  <si>
    <t>solution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</si>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</sst>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exercise_pipeline!$T$44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exercise_pipeline!$T$45:$T$64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exercise_pipeline!$M$45:$M$64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exercise_pipeline!$T$44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exercise_pipeline!$V$45:$V$64</c:f>
              <c:numCache>
                <c:formatCode>General</c:formatCode>
                <c:ptCount val="20"/>
                <c:pt idx="0">
                  <c:v>2.2499999999999999E-2</c:v>
                </c:pt>
                <c:pt idx="1">
                  <c:v>2.2499999999999999E-2</c:v>
                </c:pt>
                <c:pt idx="2">
                  <c:v>2.2499999999999999E-2</c:v>
                </c:pt>
                <c:pt idx="3">
                  <c:v>2.2499999999999999E-2</c:v>
                </c:pt>
                <c:pt idx="4">
                  <c:v>2.2499999999999999E-2</c:v>
                </c:pt>
                <c:pt idx="5">
                  <c:v>2.2499999999999999E-2</c:v>
                </c:pt>
                <c:pt idx="6">
                  <c:v>2.2499999999999999E-2</c:v>
                </c:pt>
                <c:pt idx="7">
                  <c:v>2.2499999999999999E-2</c:v>
                </c:pt>
                <c:pt idx="8">
                  <c:v>2.2499999999999999E-2</c:v>
                </c:pt>
                <c:pt idx="9">
                  <c:v>2.2499999999999999E-2</c:v>
                </c:pt>
                <c:pt idx="10">
                  <c:v>2.2499999999999999E-2</c:v>
                </c:pt>
                <c:pt idx="11">
                  <c:v>2.2499999999999999E-2</c:v>
                </c:pt>
                <c:pt idx="12">
                  <c:v>2.2499999999999999E-2</c:v>
                </c:pt>
                <c:pt idx="13">
                  <c:v>2.2499999999999999E-2</c:v>
                </c:pt>
                <c:pt idx="14">
                  <c:v>2.2499999999999999E-2</c:v>
                </c:pt>
                <c:pt idx="15">
                  <c:v>2.2499999999999999E-2</c:v>
                </c:pt>
                <c:pt idx="16">
                  <c:v>2.2499999999999999E-2</c:v>
                </c:pt>
                <c:pt idx="17">
                  <c:v>2.2499999999999999E-2</c:v>
                </c:pt>
                <c:pt idx="18">
                  <c:v>2.2499999999999999E-2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exercise_pipeline!$U$45:$U$64</c:f>
              <c:numCache>
                <c:formatCode>General</c:formatCode>
                <c:ptCount val="20"/>
                <c:pt idx="0">
                  <c:v>-2.2499999999999999E-2</c:v>
                </c:pt>
                <c:pt idx="1">
                  <c:v>-2.2499999999999999E-2</c:v>
                </c:pt>
                <c:pt idx="2">
                  <c:v>-2.2499999999999999E-2</c:v>
                </c:pt>
                <c:pt idx="3">
                  <c:v>-2.2499999999999999E-2</c:v>
                </c:pt>
                <c:pt idx="4">
                  <c:v>-2.2499999999999999E-2</c:v>
                </c:pt>
                <c:pt idx="5">
                  <c:v>-2.2499999999999999E-2</c:v>
                </c:pt>
                <c:pt idx="6">
                  <c:v>-2.2499999999999999E-2</c:v>
                </c:pt>
                <c:pt idx="7">
                  <c:v>-2.2499999999999999E-2</c:v>
                </c:pt>
                <c:pt idx="8">
                  <c:v>-2.2499999999999999E-2</c:v>
                </c:pt>
                <c:pt idx="9">
                  <c:v>-2.2499999999999999E-2</c:v>
                </c:pt>
                <c:pt idx="10">
                  <c:v>-2.2499999999999999E-2</c:v>
                </c:pt>
                <c:pt idx="11">
                  <c:v>-2.2499999999999999E-2</c:v>
                </c:pt>
                <c:pt idx="12">
                  <c:v>-2.2499999999999999E-2</c:v>
                </c:pt>
                <c:pt idx="13">
                  <c:v>-2.2499999999999999E-2</c:v>
                </c:pt>
                <c:pt idx="14">
                  <c:v>-2.2499999999999999E-2</c:v>
                </c:pt>
                <c:pt idx="15">
                  <c:v>-2.2499999999999999E-2</c:v>
                </c:pt>
                <c:pt idx="16">
                  <c:v>-2.2499999999999999E-2</c:v>
                </c:pt>
                <c:pt idx="17">
                  <c:v>-2.2499999999999999E-2</c:v>
                </c:pt>
                <c:pt idx="18">
                  <c:v>-2.2499999999999999E-2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exercise_pipeline!$K$41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exercise_pipeline!$N$45:$N$64</c:f>
              <c:numCache>
                <c:formatCode>0</c:formatCode>
                <c:ptCount val="20"/>
                <c:pt idx="0">
                  <c:v>10</c:v>
                </c:pt>
                <c:pt idx="1">
                  <c:v>20.462805688456736</c:v>
                </c:pt>
                <c:pt idx="2">
                  <c:v>31.602192723554136</c:v>
                </c:pt>
                <c:pt idx="3">
                  <c:v>43.017368327079986</c:v>
                </c:pt>
                <c:pt idx="4">
                  <c:v>54.578522260907448</c:v>
                </c:pt>
                <c:pt idx="5">
                  <c:v>66.197894270279008</c:v>
                </c:pt>
                <c:pt idx="6">
                  <c:v>77.849771185042314</c:v>
                </c:pt>
                <c:pt idx="7">
                  <c:v>89.466272905428795</c:v>
                </c:pt>
                <c:pt idx="8">
                  <c:v>100.79321722219525</c:v>
                </c:pt>
                <c:pt idx="9">
                  <c:v>111.79423809920934</c:v>
                </c:pt>
                <c:pt idx="10">
                  <c:v>122.50084882761841</c:v>
                </c:pt>
                <c:pt idx="11">
                  <c:v>132.89055772212751</c:v>
                </c:pt>
                <c:pt idx="12">
                  <c:v>142.98895082309502</c:v>
                </c:pt>
                <c:pt idx="13">
                  <c:v>152.76136810356945</c:v>
                </c:pt>
                <c:pt idx="14">
                  <c:v>162.18167281941149</c:v>
                </c:pt>
                <c:pt idx="15">
                  <c:v>171.29186699265324</c:v>
                </c:pt>
                <c:pt idx="16">
                  <c:v>180.08383896464758</c:v>
                </c:pt>
                <c:pt idx="17">
                  <c:v>188.52014055471025</c:v>
                </c:pt>
                <c:pt idx="18">
                  <c:v>196.65214794840691</c:v>
                </c:pt>
                <c:pt idx="19">
                  <c:v>204.5680302190512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exercise_pipeline!$K$41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exercise_pipeline!$O$45:$O$64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exercise_pipeline!$R$44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exercise_pipeline!$R$45:$R$64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exercise_pipeline!$Z$44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exercise_pipeline!$Z$45:$Z$64</c:f>
              <c:numCache>
                <c:formatCode>0.00</c:formatCode>
                <c:ptCount val="20"/>
                <c:pt idx="0">
                  <c:v>2</c:v>
                </c:pt>
                <c:pt idx="1">
                  <c:v>24</c:v>
                </c:pt>
                <c:pt idx="2">
                  <c:v>46</c:v>
                </c:pt>
                <c:pt idx="3">
                  <c:v>68</c:v>
                </c:pt>
                <c:pt idx="4">
                  <c:v>90</c:v>
                </c:pt>
                <c:pt idx="5">
                  <c:v>112</c:v>
                </c:pt>
                <c:pt idx="6">
                  <c:v>134</c:v>
                </c:pt>
                <c:pt idx="7">
                  <c:v>156</c:v>
                </c:pt>
                <c:pt idx="8">
                  <c:v>178</c:v>
                </c:pt>
                <c:pt idx="9">
                  <c:v>200</c:v>
                </c:pt>
                <c:pt idx="10">
                  <c:v>221.53260766834777</c:v>
                </c:pt>
                <c:pt idx="11">
                  <c:v>242.04453240573366</c:v>
                </c:pt>
                <c:pt idx="12">
                  <c:v>261.38257317459073</c:v>
                </c:pt>
                <c:pt idx="13">
                  <c:v>279.35087684586796</c:v>
                </c:pt>
                <c:pt idx="14">
                  <c:v>295.69219381653056</c:v>
                </c:pt>
                <c:pt idx="15">
                  <c:v>310.05699061148988</c:v>
                </c:pt>
                <c:pt idx="16">
                  <c:v>321.94914889006299</c:v>
                </c:pt>
                <c:pt idx="17">
                  <c:v>330.62203313644204</c:v>
                </c:pt>
                <c:pt idx="18">
                  <c:v>335.69689162569261</c:v>
                </c:pt>
                <c:pt idx="19">
                  <c:v>340.28497536968428</c:v>
                </c:pt>
              </c:numCache>
            </c:numRef>
          </c:xVal>
          <c:yVal>
            <c:numRef>
              <c:f>exercise_pipeline!$Y$45:$Y$64</c:f>
              <c:numCache>
                <c:formatCode>General</c:formatCode>
                <c:ptCount val="20"/>
                <c:pt idx="0">
                  <c:v>219</c:v>
                </c:pt>
                <c:pt idx="1">
                  <c:v>208</c:v>
                </c:pt>
                <c:pt idx="2">
                  <c:v>197</c:v>
                </c:pt>
                <c:pt idx="3">
                  <c:v>186</c:v>
                </c:pt>
                <c:pt idx="4">
                  <c:v>175</c:v>
                </c:pt>
                <c:pt idx="5">
                  <c:v>164</c:v>
                </c:pt>
                <c:pt idx="6">
                  <c:v>153</c:v>
                </c:pt>
                <c:pt idx="7">
                  <c:v>142</c:v>
                </c:pt>
                <c:pt idx="8">
                  <c:v>131</c:v>
                </c:pt>
                <c:pt idx="9">
                  <c:v>120</c:v>
                </c:pt>
                <c:pt idx="10">
                  <c:v>109</c:v>
                </c:pt>
                <c:pt idx="11">
                  <c:v>98</c:v>
                </c:pt>
                <c:pt idx="12">
                  <c:v>87</c:v>
                </c:pt>
                <c:pt idx="13">
                  <c:v>76</c:v>
                </c:pt>
                <c:pt idx="14">
                  <c:v>65</c:v>
                </c:pt>
                <c:pt idx="15">
                  <c:v>54</c:v>
                </c:pt>
                <c:pt idx="16">
                  <c:v>43</c:v>
                </c:pt>
                <c:pt idx="17">
                  <c:v>32</c:v>
                </c:pt>
                <c:pt idx="18">
                  <c:v>21</c:v>
                </c:pt>
                <c:pt idx="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A-4A27-818C-2F199DB0F763}"/>
            </c:ext>
          </c:extLst>
        </c:ser>
        <c:ser>
          <c:idx val="1"/>
          <c:order val="1"/>
          <c:tx>
            <c:strRef>
              <c:f>exercise_pipeline!$AB$44</c:f>
              <c:strCache>
                <c:ptCount val="1"/>
                <c:pt idx="0">
                  <c:v>Pwf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exercise_pipeline!$Z$45:$Z$64</c:f>
              <c:numCache>
                <c:formatCode>0.00</c:formatCode>
                <c:ptCount val="20"/>
                <c:pt idx="0">
                  <c:v>2</c:v>
                </c:pt>
                <c:pt idx="1">
                  <c:v>24</c:v>
                </c:pt>
                <c:pt idx="2">
                  <c:v>46</c:v>
                </c:pt>
                <c:pt idx="3">
                  <c:v>68</c:v>
                </c:pt>
                <c:pt idx="4">
                  <c:v>90</c:v>
                </c:pt>
                <c:pt idx="5">
                  <c:v>112</c:v>
                </c:pt>
                <c:pt idx="6">
                  <c:v>134</c:v>
                </c:pt>
                <c:pt idx="7">
                  <c:v>156</c:v>
                </c:pt>
                <c:pt idx="8">
                  <c:v>178</c:v>
                </c:pt>
                <c:pt idx="9">
                  <c:v>200</c:v>
                </c:pt>
                <c:pt idx="10">
                  <c:v>221.53260766834777</c:v>
                </c:pt>
                <c:pt idx="11">
                  <c:v>242.04453240573366</c:v>
                </c:pt>
                <c:pt idx="12">
                  <c:v>261.38257317459073</c:v>
                </c:pt>
                <c:pt idx="13">
                  <c:v>279.35087684586796</c:v>
                </c:pt>
                <c:pt idx="14">
                  <c:v>295.69219381653056</c:v>
                </c:pt>
                <c:pt idx="15">
                  <c:v>310.05699061148988</c:v>
                </c:pt>
                <c:pt idx="16">
                  <c:v>321.94914889006299</c:v>
                </c:pt>
                <c:pt idx="17">
                  <c:v>330.62203313644204</c:v>
                </c:pt>
                <c:pt idx="18">
                  <c:v>335.69689162569261</c:v>
                </c:pt>
                <c:pt idx="19">
                  <c:v>340.28497536968428</c:v>
                </c:pt>
              </c:numCache>
            </c:numRef>
          </c:xVal>
          <c:yVal>
            <c:numRef>
              <c:f>exercise_pipeline!$AB$45:$AB$64</c:f>
              <c:numCache>
                <c:formatCode>0</c:formatCode>
                <c:ptCount val="20"/>
                <c:pt idx="0">
                  <c:v>204.56871077185704</c:v>
                </c:pt>
                <c:pt idx="1">
                  <c:v>188.29524759664855</c:v>
                </c:pt>
                <c:pt idx="2">
                  <c:v>183.27628044089428</c:v>
                </c:pt>
                <c:pt idx="3">
                  <c:v>183.29139816731259</c:v>
                </c:pt>
                <c:pt idx="4">
                  <c:v>185.88335740157564</c:v>
                </c:pt>
                <c:pt idx="5">
                  <c:v>190.21537735447407</c:v>
                </c:pt>
                <c:pt idx="6">
                  <c:v>196.00504205841324</c:v>
                </c:pt>
                <c:pt idx="7">
                  <c:v>203.09794374827555</c:v>
                </c:pt>
                <c:pt idx="8">
                  <c:v>211.01487128367339</c:v>
                </c:pt>
                <c:pt idx="9">
                  <c:v>218.71684039743965</c:v>
                </c:pt>
                <c:pt idx="10">
                  <c:v>226.32049111477002</c:v>
                </c:pt>
                <c:pt idx="11">
                  <c:v>233.62784292667996</c:v>
                </c:pt>
                <c:pt idx="12">
                  <c:v>240.52750649573019</c:v>
                </c:pt>
                <c:pt idx="13">
                  <c:v>247.09393599851651</c:v>
                </c:pt>
                <c:pt idx="14">
                  <c:v>252.96274409834854</c:v>
                </c:pt>
                <c:pt idx="15">
                  <c:v>258.14617995189798</c:v>
                </c:pt>
                <c:pt idx="16">
                  <c:v>262.36774051518586</c:v>
                </c:pt>
                <c:pt idx="17">
                  <c:v>265.68318135109018</c:v>
                </c:pt>
                <c:pt idx="18">
                  <c:v>267.62213739442865</c:v>
                </c:pt>
                <c:pt idx="19">
                  <c:v>269.42175011613028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A-4A27-818C-2F199DB0F76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exercise_pipeline!$V$21</c:f>
              <c:numCache>
                <c:formatCode>0.00</c:formatCode>
                <c:ptCount val="1"/>
                <c:pt idx="0">
                  <c:v>72.384153843612808</c:v>
                </c:pt>
              </c:numCache>
            </c:numRef>
          </c:xVal>
          <c:yVal>
            <c:numRef>
              <c:f>exercise_pipeline!$V$22</c:f>
              <c:numCache>
                <c:formatCode>0.00</c:formatCode>
                <c:ptCount val="1"/>
                <c:pt idx="0">
                  <c:v>183.8079230781936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44-474D-A92B-C5C97453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10175"/>
        <c:axId val="1109711119"/>
      </c:scatterChart>
      <c:valAx>
        <c:axId val="2065310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9711119"/>
        <c:crosses val="autoZero"/>
        <c:crossBetween val="midCat"/>
      </c:valAx>
      <c:valAx>
        <c:axId val="110971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Pwf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5310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64</xdr:row>
      <xdr:rowOff>99655</xdr:rowOff>
    </xdr:from>
    <xdr:to>
      <xdr:col>15</xdr:col>
      <xdr:colOff>219832</xdr:colOff>
      <xdr:row>88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64</xdr:row>
      <xdr:rowOff>88448</xdr:rowOff>
    </xdr:from>
    <xdr:to>
      <xdr:col>19</xdr:col>
      <xdr:colOff>487092</xdr:colOff>
      <xdr:row>88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565864</xdr:colOff>
      <xdr:row>64</xdr:row>
      <xdr:rowOff>104979</xdr:rowOff>
    </xdr:from>
    <xdr:to>
      <xdr:col>25</xdr:col>
      <xdr:colOff>234398</xdr:colOff>
      <xdr:row>88</xdr:row>
      <xdr:rowOff>81167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64</xdr:row>
      <xdr:rowOff>106659</xdr:rowOff>
    </xdr:from>
    <xdr:to>
      <xdr:col>30</xdr:col>
      <xdr:colOff>569353</xdr:colOff>
      <xdr:row>88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11206</xdr:colOff>
      <xdr:row>0</xdr:row>
      <xdr:rowOff>56031</xdr:rowOff>
    </xdr:from>
    <xdr:to>
      <xdr:col>14</xdr:col>
      <xdr:colOff>381451</xdr:colOff>
      <xdr:row>15</xdr:row>
      <xdr:rowOff>134471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504765" y="56031"/>
          <a:ext cx="4695715" cy="31600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простой расчет фонтанирующей скважины в которой учитываются приток из пласта - поток  в скважине и поток через штуцер на поверхности.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</a:t>
          </a:r>
          <a:r>
            <a:rPr lang="en-US" sz="1100" baseline="0"/>
            <a:t>IPR - </a:t>
          </a:r>
          <a:r>
            <a:rPr lang="ru-RU" sz="1100" baseline="0"/>
            <a:t>кривую притока из пласта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</a:t>
          </a:r>
          <a:r>
            <a:rPr lang="en-US" sz="1100" baseline="0"/>
            <a:t>VLP </a:t>
          </a:r>
          <a:r>
            <a:rPr lang="ru-RU" sz="1100" baseline="0"/>
            <a:t>- кривую оттока из пласта с учетом скважины и штуцера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Найдите пересечение кривых - определите дебит скважины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как изменится дебит скважины при изменении параметров - диаметра штуцера, диаметра НКТ, обводненности или газового фактора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r>
            <a:rPr lang="ru-RU" sz="1100" baseline="0"/>
            <a:t>Используйте корреляцию Ансари</a:t>
          </a:r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15</xdr:row>
      <xdr:rowOff>134470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264915" y="56468"/>
          <a:ext cx="4977653" cy="315962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решение задачи узлового анализа - дебит скважины?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Сколько решение может получиться для дебита скважины?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При какой обводненности прекратится фонтанирование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При каких условиях поток в скважине будет устойчивым? Как будет зависеть устойчивость работы скважины от диаметра штуцера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график узлового анализа при расположении узла на поверхности (до штуцера). Когда будет полезен такой график?</a:t>
          </a:r>
        </a:p>
        <a:p>
          <a:r>
            <a:rPr lang="ru-RU" sz="1100" baseline="0"/>
            <a:t>2. Постройте график изменения дебита скважины для заданной динамики изменения газового фактора или обводненности (с использованием макросов)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213669</xdr:colOff>
      <xdr:row>15</xdr:row>
      <xdr:rowOff>174249</xdr:rowOff>
    </xdr:from>
    <xdr:to>
      <xdr:col>18</xdr:col>
      <xdr:colOff>481853</xdr:colOff>
      <xdr:row>37</xdr:row>
      <xdr:rowOff>89647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E3313808-0047-4139-85EA-B31D98948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100853</xdr:colOff>
      <xdr:row>46</xdr:row>
      <xdr:rowOff>168088</xdr:rowOff>
    </xdr:from>
    <xdr:to>
      <xdr:col>31</xdr:col>
      <xdr:colOff>33618</xdr:colOff>
      <xdr:row>53</xdr:row>
      <xdr:rowOff>40681</xdr:rowOff>
    </xdr:to>
    <xdr:sp macro="" textlink="">
      <xdr:nvSpPr>
        <xdr:cNvPr id="173" name="Стрелка: влево 172">
          <a:extLst>
            <a:ext uri="{FF2B5EF4-FFF2-40B4-BE49-F238E27FC236}">
              <a16:creationId xmlns:a16="http://schemas.microsoft.com/office/drawing/2014/main" id="{7CFD255D-CF0D-4361-BD6A-71AA84542F17}"/>
            </a:ext>
          </a:extLst>
        </xdr:cNvPr>
        <xdr:cNvSpPr/>
      </xdr:nvSpPr>
      <xdr:spPr>
        <a:xfrm>
          <a:off x="17604441" y="9861176"/>
          <a:ext cx="1748118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</a:t>
          </a:r>
          <a:r>
            <a:rPr lang="en-US" sz="1100"/>
            <a:t>IPR</a:t>
          </a:r>
          <a:r>
            <a:rPr lang="en-US" sz="1100" baseline="0"/>
            <a:t> </a:t>
          </a:r>
          <a:r>
            <a:rPr lang="ru-RU" sz="1100" baseline="0"/>
            <a:t>и </a:t>
          </a:r>
          <a:r>
            <a:rPr lang="en-US" sz="1100" baseline="0"/>
            <a:t>VLP </a:t>
          </a:r>
          <a:r>
            <a:rPr lang="ru-RU" sz="1100" baseline="0"/>
            <a:t>кривый с учетом штуцера</a:t>
          </a:r>
          <a:endParaRPr lang="ru-RU" sz="1100"/>
        </a:p>
      </xdr:txBody>
    </xdr:sp>
    <xdr:clientData/>
  </xdr:twoCellAnchor>
  <xdr:twoCellAnchor>
    <xdr:from>
      <xdr:col>24</xdr:col>
      <xdr:colOff>112058</xdr:colOff>
      <xdr:row>18</xdr:row>
      <xdr:rowOff>56029</xdr:rowOff>
    </xdr:from>
    <xdr:to>
      <xdr:col>27</xdr:col>
      <xdr:colOff>190499</xdr:colOff>
      <xdr:row>24</xdr:row>
      <xdr:rowOff>7063</xdr:rowOff>
    </xdr:to>
    <xdr:sp macro="" textlink="">
      <xdr:nvSpPr>
        <xdr:cNvPr id="174" name="Стрелка: влево 173">
          <a:extLst>
            <a:ext uri="{FF2B5EF4-FFF2-40B4-BE49-F238E27FC236}">
              <a16:creationId xmlns:a16="http://schemas.microsoft.com/office/drawing/2014/main" id="{EEC66453-5BF2-41C2-B16C-D588A5AF2054}"/>
            </a:ext>
          </a:extLst>
        </xdr:cNvPr>
        <xdr:cNvSpPr/>
      </xdr:nvSpPr>
      <xdr:spPr>
        <a:xfrm>
          <a:off x="15195176" y="3821205"/>
          <a:ext cx="1893794" cy="1228505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Найдите</a:t>
          </a:r>
          <a:r>
            <a:rPr lang="ru-RU" sz="1100" baseline="0"/>
            <a:t> дебит как пересечения кривых и забойное давление</a:t>
          </a:r>
          <a:endParaRPr lang="ru-RU" sz="1100"/>
        </a:p>
      </xdr:txBody>
    </xdr:sp>
    <xdr:clientData/>
  </xdr:twoCellAnchor>
  <xdr:twoCellAnchor>
    <xdr:from>
      <xdr:col>26</xdr:col>
      <xdr:colOff>443752</xdr:colOff>
      <xdr:row>0</xdr:row>
      <xdr:rowOff>13447</xdr:rowOff>
    </xdr:from>
    <xdr:to>
      <xdr:col>35</xdr:col>
      <xdr:colOff>200584</xdr:colOff>
      <xdr:row>35</xdr:row>
      <xdr:rowOff>15128</xdr:rowOff>
    </xdr:to>
    <xdr:grpSp>
      <xdr:nvGrpSpPr>
        <xdr:cNvPr id="176" name="Группа 175">
          <a:extLst>
            <a:ext uri="{FF2B5EF4-FFF2-40B4-BE49-F238E27FC236}">
              <a16:creationId xmlns:a16="http://schemas.microsoft.com/office/drawing/2014/main" id="{07100CDA-AFF9-41A0-B667-FFDF745D22E2}"/>
            </a:ext>
          </a:extLst>
        </xdr:cNvPr>
        <xdr:cNvGrpSpPr/>
      </xdr:nvGrpSpPr>
      <xdr:grpSpPr>
        <a:xfrm>
          <a:off x="16737105" y="13447"/>
          <a:ext cx="5202891" cy="7229475"/>
          <a:chOff x="14630400" y="114300"/>
          <a:chExt cx="5202891" cy="7229475"/>
        </a:xfrm>
      </xdr:grpSpPr>
      <xdr:grpSp>
        <xdr:nvGrpSpPr>
          <xdr:cNvPr id="175" name="Группа 174">
            <a:extLst>
              <a:ext uri="{FF2B5EF4-FFF2-40B4-BE49-F238E27FC236}">
                <a16:creationId xmlns:a16="http://schemas.microsoft.com/office/drawing/2014/main" id="{2A1C836C-1C8A-4E2B-805A-5B24E6CF0187}"/>
              </a:ext>
            </a:extLst>
          </xdr:cNvPr>
          <xdr:cNvGrpSpPr/>
        </xdr:nvGrpSpPr>
        <xdr:grpSpPr>
          <a:xfrm>
            <a:off x="14630400" y="114300"/>
            <a:ext cx="5202891" cy="7229475"/>
            <a:chOff x="14630400" y="114300"/>
            <a:chExt cx="5202891" cy="7229475"/>
          </a:xfrm>
        </xdr:grpSpPr>
        <xdr:grpSp>
          <xdr:nvGrpSpPr>
            <xdr:cNvPr id="20" name="Группа 19">
              <a:extLst>
                <a:ext uri="{FF2B5EF4-FFF2-40B4-BE49-F238E27FC236}">
                  <a16:creationId xmlns:a16="http://schemas.microsoft.com/office/drawing/2014/main" id="{4A784C09-4E94-43C4-B39C-4B5E705D8930}"/>
                </a:ext>
              </a:extLst>
            </xdr:cNvPr>
            <xdr:cNvGrpSpPr/>
          </xdr:nvGrpSpPr>
          <xdr:grpSpPr>
            <a:xfrm>
              <a:off x="14643287" y="749943"/>
              <a:ext cx="5190004" cy="6593832"/>
              <a:chOff x="18490870" y="627"/>
              <a:chExt cx="6022602" cy="7312614"/>
            </a:xfrm>
          </xdr:grpSpPr>
          <xdr:sp macro="" textlink="">
            <xdr:nvSpPr>
              <xdr:cNvPr id="19" name="Прямоугольник 18">
                <a:extLst>
                  <a:ext uri="{FF2B5EF4-FFF2-40B4-BE49-F238E27FC236}">
                    <a16:creationId xmlns:a16="http://schemas.microsoft.com/office/drawing/2014/main" id="{93800816-61D3-400C-A3B9-17CF1D43D5E9}"/>
                  </a:ext>
                </a:extLst>
              </xdr:cNvPr>
              <xdr:cNvSpPr/>
            </xdr:nvSpPr>
            <xdr:spPr>
              <a:xfrm>
                <a:off x="18490870" y="6478300"/>
                <a:ext cx="6022602" cy="742950"/>
              </a:xfrm>
              <a:prstGeom prst="rect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grpSp>
            <xdr:nvGrpSpPr>
              <xdr:cNvPr id="6" name="Группа 5">
                <a:extLst>
                  <a:ext uri="{FF2B5EF4-FFF2-40B4-BE49-F238E27FC236}">
                    <a16:creationId xmlns:a16="http://schemas.microsoft.com/office/drawing/2014/main" id="{3EB9ABB0-233D-4500-9312-2F9DC7F0FFD3}"/>
                  </a:ext>
                </a:extLst>
              </xdr:cNvPr>
              <xdr:cNvGrpSpPr/>
            </xdr:nvGrpSpPr>
            <xdr:grpSpPr>
              <a:xfrm>
                <a:off x="19622494" y="627"/>
                <a:ext cx="4015680" cy="7312614"/>
                <a:chOff x="15511405" y="1581432"/>
                <a:chExt cx="3304215" cy="6045437"/>
              </a:xfrm>
            </xdr:grpSpPr>
            <xdr:grpSp>
              <xdr:nvGrpSpPr>
                <xdr:cNvPr id="7" name="Группа 6">
                  <a:extLst>
                    <a:ext uri="{FF2B5EF4-FFF2-40B4-BE49-F238E27FC236}">
                      <a16:creationId xmlns:a16="http://schemas.microsoft.com/office/drawing/2014/main" id="{9DFF414A-0180-4977-943E-D2A2D698F895}"/>
                    </a:ext>
                  </a:extLst>
                </xdr:cNvPr>
                <xdr:cNvGrpSpPr/>
              </xdr:nvGrpSpPr>
              <xdr:grpSpPr>
                <a:xfrm rot="16200000">
                  <a:off x="14235023" y="3046273"/>
                  <a:ext cx="6045437" cy="3115756"/>
                  <a:chOff x="3174971" y="-244552"/>
                  <a:chExt cx="6625145" cy="3286401"/>
                </a:xfrm>
              </xdr:grpSpPr>
              <xdr:sp macro="" textlink="">
                <xdr:nvSpPr>
                  <xdr:cNvPr id="14" name="Цилиндр 13">
                    <a:extLst>
                      <a:ext uri="{FF2B5EF4-FFF2-40B4-BE49-F238E27FC236}">
                        <a16:creationId xmlns:a16="http://schemas.microsoft.com/office/drawing/2014/main" id="{9BF9083E-C685-4915-B5C1-44CD3213DC2E}"/>
                      </a:ext>
                    </a:extLst>
                  </xdr:cNvPr>
                  <xdr:cNvSpPr/>
                </xdr:nvSpPr>
                <xdr:spPr>
                  <a:xfrm rot="5400000">
                    <a:off x="4108998" y="205472"/>
                    <a:ext cx="264075" cy="213213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5" name="Стрелка: вверх 14">
                    <a:extLst>
                      <a:ext uri="{FF2B5EF4-FFF2-40B4-BE49-F238E27FC236}">
                        <a16:creationId xmlns:a16="http://schemas.microsoft.com/office/drawing/2014/main" id="{15BCCBF1-10F8-4C5E-A5D9-2E73F5798879}"/>
                      </a:ext>
                    </a:extLst>
                  </xdr:cNvPr>
                  <xdr:cNvSpPr/>
                </xdr:nvSpPr>
                <xdr:spPr>
                  <a:xfrm rot="5400000">
                    <a:off x="4295039" y="916774"/>
                    <a:ext cx="118378" cy="687463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1" name="Стрелка: вверх 20">
                    <a:extLst>
                      <a:ext uri="{FF2B5EF4-FFF2-40B4-BE49-F238E27FC236}">
                        <a16:creationId xmlns:a16="http://schemas.microsoft.com/office/drawing/2014/main" id="{ECCEDC7B-FB9E-43A4-999A-5EB8435520B7}"/>
                      </a:ext>
                    </a:extLst>
                  </xdr:cNvPr>
                  <xdr:cNvSpPr/>
                </xdr:nvSpPr>
                <xdr:spPr>
                  <a:xfrm rot="10800000">
                    <a:off x="3406346" y="-244552"/>
                    <a:ext cx="370522" cy="685522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2" name="Стрелка: вверх 21">
                    <a:extLst>
                      <a:ext uri="{FF2B5EF4-FFF2-40B4-BE49-F238E27FC236}">
                        <a16:creationId xmlns:a16="http://schemas.microsoft.com/office/drawing/2014/main" id="{1D2ED341-4B9C-4400-A139-84AAE9FD3AB2}"/>
                      </a:ext>
                    </a:extLst>
                  </xdr:cNvPr>
                  <xdr:cNvSpPr/>
                </xdr:nvSpPr>
                <xdr:spPr>
                  <a:xfrm>
                    <a:off x="3396793" y="2356327"/>
                    <a:ext cx="370522" cy="685522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7" name="Цилиндр 26">
                    <a:extLst>
                      <a:ext uri="{FF2B5EF4-FFF2-40B4-BE49-F238E27FC236}">
                        <a16:creationId xmlns:a16="http://schemas.microsoft.com/office/drawing/2014/main" id="{53CCCFAE-E7A2-4638-9809-215FDB99F6CD}"/>
                      </a:ext>
                    </a:extLst>
                  </xdr:cNvPr>
                  <xdr:cNvSpPr/>
                </xdr:nvSpPr>
                <xdr:spPr>
                  <a:xfrm>
                    <a:off x="9535293" y="-58275"/>
                    <a:ext cx="264823" cy="2126111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grpSp>
              <xdr:nvGrpSpPr>
                <xdr:cNvPr id="8" name="Группа 7">
                  <a:extLst>
                    <a:ext uri="{FF2B5EF4-FFF2-40B4-BE49-F238E27FC236}">
                      <a16:creationId xmlns:a16="http://schemas.microsoft.com/office/drawing/2014/main" id="{7331D54A-578D-4946-8E49-E0E45CA75BBF}"/>
                    </a:ext>
                  </a:extLst>
                </xdr:cNvPr>
                <xdr:cNvGrpSpPr/>
              </xdr:nvGrpSpPr>
              <xdr:grpSpPr>
                <a:xfrm rot="19540499">
                  <a:off x="16280648" y="3420949"/>
                  <a:ext cx="288969" cy="2605425"/>
                  <a:chOff x="5118890" y="1117332"/>
                  <a:chExt cx="276225" cy="2038350"/>
                </a:xfrm>
              </xdr:grpSpPr>
              <xdr:sp macro="" textlink="">
                <xdr:nvSpPr>
                  <xdr:cNvPr id="12" name="Цилиндр 11">
                    <a:extLst>
                      <a:ext uri="{FF2B5EF4-FFF2-40B4-BE49-F238E27FC236}">
                        <a16:creationId xmlns:a16="http://schemas.microsoft.com/office/drawing/2014/main" id="{D995FE3A-EA40-4353-A3A3-95D3F8F4A370}"/>
                      </a:ext>
                    </a:extLst>
                  </xdr:cNvPr>
                  <xdr:cNvSpPr/>
                </xdr:nvSpPr>
                <xdr:spPr>
                  <a:xfrm>
                    <a:off x="5118890" y="1117332"/>
                    <a:ext cx="276225" cy="203835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3" name="Стрелка: вверх 12">
                    <a:extLst>
                      <a:ext uri="{FF2B5EF4-FFF2-40B4-BE49-F238E27FC236}">
                        <a16:creationId xmlns:a16="http://schemas.microsoft.com/office/drawing/2014/main" id="{F1625B2C-516E-4336-A8DD-2F43F1048A52}"/>
                      </a:ext>
                    </a:extLst>
                  </xdr:cNvPr>
                  <xdr:cNvSpPr/>
                </xdr:nvSpPr>
                <xdr:spPr>
                  <a:xfrm>
                    <a:off x="5172075" y="1819275"/>
                    <a:ext cx="123825" cy="657225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grpSp>
              <xdr:nvGrpSpPr>
                <xdr:cNvPr id="9" name="Группа 8">
                  <a:extLst>
                    <a:ext uri="{FF2B5EF4-FFF2-40B4-BE49-F238E27FC236}">
                      <a16:creationId xmlns:a16="http://schemas.microsoft.com/office/drawing/2014/main" id="{63AE7315-65AC-4EED-AFAC-4B19CDAFFC95}"/>
                    </a:ext>
                  </a:extLst>
                </xdr:cNvPr>
                <xdr:cNvGrpSpPr/>
              </xdr:nvGrpSpPr>
              <xdr:grpSpPr>
                <a:xfrm>
                  <a:off x="15511405" y="1836882"/>
                  <a:ext cx="389979" cy="1922987"/>
                  <a:chOff x="5119260" y="1104900"/>
                  <a:chExt cx="234614" cy="2038350"/>
                </a:xfrm>
              </xdr:grpSpPr>
              <xdr:sp macro="" textlink="">
                <xdr:nvSpPr>
                  <xdr:cNvPr id="10" name="Цилиндр 9">
                    <a:extLst>
                      <a:ext uri="{FF2B5EF4-FFF2-40B4-BE49-F238E27FC236}">
                        <a16:creationId xmlns:a16="http://schemas.microsoft.com/office/drawing/2014/main" id="{85410623-D217-4158-B6E1-2F745B378056}"/>
                      </a:ext>
                    </a:extLst>
                  </xdr:cNvPr>
                  <xdr:cNvSpPr/>
                </xdr:nvSpPr>
                <xdr:spPr>
                  <a:xfrm>
                    <a:off x="5119260" y="1104900"/>
                    <a:ext cx="234614" cy="203835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1" name="Стрелка: вверх 10">
                    <a:extLst>
                      <a:ext uri="{FF2B5EF4-FFF2-40B4-BE49-F238E27FC236}">
                        <a16:creationId xmlns:a16="http://schemas.microsoft.com/office/drawing/2014/main" id="{92EDCAA3-4281-4BD4-9D67-91F54EB87D7F}"/>
                      </a:ext>
                    </a:extLst>
                  </xdr:cNvPr>
                  <xdr:cNvSpPr/>
                </xdr:nvSpPr>
                <xdr:spPr>
                  <a:xfrm>
                    <a:off x="5172075" y="1819275"/>
                    <a:ext cx="123825" cy="657225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</xdr:grpSp>
        </xdr:grp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EA48EF5-65D4-4912-A9B3-D4101D64373F}"/>
                </a:ext>
              </a:extLst>
            </xdr:cNvPr>
            <xdr:cNvSpPr txBox="1"/>
          </xdr:nvSpPr>
          <xdr:spPr>
            <a:xfrm>
              <a:off x="14630400" y="6751544"/>
              <a:ext cx="597856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Pres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826BAF6C-6F7B-45EB-818C-E5D66DCC7481}"/>
                </a:ext>
              </a:extLst>
            </xdr:cNvPr>
            <xdr:cNvSpPr txBox="1"/>
          </xdr:nvSpPr>
          <xdr:spPr>
            <a:xfrm>
              <a:off x="17479496" y="6732494"/>
              <a:ext cx="571567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Pws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B58211BA-60B7-4BDB-83C7-DCA150BAD091}"/>
                </a:ext>
              </a:extLst>
            </xdr:cNvPr>
            <xdr:cNvSpPr txBox="1"/>
          </xdr:nvSpPr>
          <xdr:spPr>
            <a:xfrm>
              <a:off x="16702928" y="6722969"/>
              <a:ext cx="55252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Pwf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6BC848C2-0050-4DBC-92CA-03C3FB80D6FA}"/>
                </a:ext>
              </a:extLst>
            </xdr:cNvPr>
            <xdr:cNvSpPr txBox="1"/>
          </xdr:nvSpPr>
          <xdr:spPr>
            <a:xfrm>
              <a:off x="15435543" y="190500"/>
              <a:ext cx="62831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Pbuf</a:t>
              </a:r>
              <a:endParaRPr lang="ru-RU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79DAA09B-E39A-45FD-B80E-73E83CD0198C}"/>
                </a:ext>
              </a:extLst>
            </xdr:cNvPr>
            <xdr:cNvSpPr txBox="1"/>
          </xdr:nvSpPr>
          <xdr:spPr>
            <a:xfrm>
              <a:off x="17684563" y="285750"/>
              <a:ext cx="645946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Pline</a:t>
              </a:r>
              <a:endParaRPr lang="ru-RU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E539CCF4-1629-4C78-89DC-C6F437B5EA9C}"/>
                </a:ext>
              </a:extLst>
            </xdr:cNvPr>
            <xdr:cNvSpPr txBox="1"/>
          </xdr:nvSpPr>
          <xdr:spPr>
            <a:xfrm>
              <a:off x="16569578" y="114300"/>
              <a:ext cx="67954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</a:t>
              </a:r>
              <a:r>
                <a:rPr lang="en-US" sz="1800" b="0" cap="none" spc="0" baseline="-2500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choke</a:t>
              </a:r>
              <a:endParaRPr lang="ru-RU" sz="1800" b="0" cap="none" spc="0" baseline="-2500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34" name="Ромб 33">
              <a:extLst>
                <a:ext uri="{FF2B5EF4-FFF2-40B4-BE49-F238E27FC236}">
                  <a16:creationId xmlns:a16="http://schemas.microsoft.com/office/drawing/2014/main" id="{755802A3-3C74-418C-8C4C-AD054130B9BE}"/>
                </a:ext>
              </a:extLst>
            </xdr:cNvPr>
            <xdr:cNvSpPr/>
          </xdr:nvSpPr>
          <xdr:spPr>
            <a:xfrm>
              <a:off x="17133794" y="6723529"/>
              <a:ext cx="369794" cy="403412"/>
            </a:xfrm>
            <a:prstGeom prst="diamond">
              <a:avLst/>
            </a:prstGeom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28" name="Табличка 27">
            <a:extLst>
              <a:ext uri="{FF2B5EF4-FFF2-40B4-BE49-F238E27FC236}">
                <a16:creationId xmlns:a16="http://schemas.microsoft.com/office/drawing/2014/main" id="{B3DF0B97-8520-45E6-BBBA-819F648FC498}"/>
              </a:ext>
            </a:extLst>
          </xdr:cNvPr>
          <xdr:cNvSpPr/>
        </xdr:nvSpPr>
        <xdr:spPr>
          <a:xfrm>
            <a:off x="15454593" y="561975"/>
            <a:ext cx="700367" cy="666750"/>
          </a:xfrm>
          <a:prstGeom prst="plaque">
            <a:avLst>
              <a:gd name="adj" fmla="val 20953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0" name="Блок-схема: сопоставление 29">
            <a:extLst>
              <a:ext uri="{FF2B5EF4-FFF2-40B4-BE49-F238E27FC236}">
                <a16:creationId xmlns:a16="http://schemas.microsoft.com/office/drawing/2014/main" id="{4951BF83-75FA-4F3C-A810-5405FDD0CA5F}"/>
              </a:ext>
            </a:extLst>
          </xdr:cNvPr>
          <xdr:cNvSpPr/>
        </xdr:nvSpPr>
        <xdr:spPr>
          <a:xfrm>
            <a:off x="16683878" y="457200"/>
            <a:ext cx="519393" cy="790575"/>
          </a:xfrm>
          <a:prstGeom prst="flowChartCollate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IPR_pwf_atma"/>
      <definedName name="IPR_qliq_sm3day"/>
      <definedName name="MF_p_choke_atma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B74"/>
  <sheetViews>
    <sheetView tabSelected="1" zoomScale="85" zoomScaleNormal="85" workbookViewId="0">
      <selection activeCell="F19" sqref="F19"/>
    </sheetView>
  </sheetViews>
  <sheetFormatPr defaultRowHeight="15" x14ac:dyDescent="0.25"/>
  <cols>
    <col min="4" max="4" width="11.140625" customWidth="1"/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7.23</v>
      </c>
      <c r="H1" t="s">
        <v>53</v>
      </c>
      <c r="I1" s="33">
        <v>43958</v>
      </c>
      <c r="J1" s="34"/>
      <c r="K1" s="34"/>
      <c r="L1" s="34"/>
    </row>
    <row r="2" spans="1:12" x14ac:dyDescent="0.25">
      <c r="A2" t="s">
        <v>88</v>
      </c>
      <c r="H2" t="s">
        <v>54</v>
      </c>
      <c r="I2" s="35">
        <v>7.23</v>
      </c>
      <c r="J2" s="34"/>
      <c r="K2" s="34"/>
      <c r="L2" s="34"/>
    </row>
    <row r="3" spans="1:12" x14ac:dyDescent="0.25">
      <c r="A3" s="36" t="s">
        <v>55</v>
      </c>
      <c r="B3" s="56" t="s">
        <v>56</v>
      </c>
      <c r="C3" s="57"/>
      <c r="D3" s="57"/>
      <c r="E3" s="58"/>
      <c r="H3" t="s">
        <v>57</v>
      </c>
      <c r="I3" s="34" t="s">
        <v>56</v>
      </c>
      <c r="J3" s="34"/>
      <c r="K3" s="34"/>
      <c r="L3" s="34"/>
    </row>
    <row r="4" spans="1:12" x14ac:dyDescent="0.25">
      <c r="A4" s="36" t="s">
        <v>58</v>
      </c>
      <c r="B4" s="56" t="s">
        <v>59</v>
      </c>
      <c r="C4" s="57"/>
      <c r="D4" s="57"/>
      <c r="E4" s="58"/>
      <c r="H4" t="s">
        <v>60</v>
      </c>
      <c r="I4" s="34" t="s">
        <v>59</v>
      </c>
      <c r="J4" s="34"/>
      <c r="K4" s="34"/>
      <c r="L4" s="34"/>
    </row>
    <row r="5" spans="1:12" x14ac:dyDescent="0.25">
      <c r="A5" s="36" t="s">
        <v>61</v>
      </c>
      <c r="B5" s="56" t="s">
        <v>62</v>
      </c>
      <c r="C5" s="57"/>
      <c r="D5" s="57"/>
      <c r="E5" s="58"/>
      <c r="H5" t="s">
        <v>63</v>
      </c>
      <c r="I5" s="34" t="s">
        <v>62</v>
      </c>
      <c r="J5" s="34"/>
      <c r="K5" s="34"/>
      <c r="L5" s="34"/>
    </row>
    <row r="6" spans="1:12" x14ac:dyDescent="0.25">
      <c r="A6" s="37" t="s">
        <v>64</v>
      </c>
      <c r="B6" s="59" t="s">
        <v>65</v>
      </c>
      <c r="C6" s="60"/>
      <c r="D6" s="60"/>
      <c r="E6" s="61"/>
      <c r="H6" s="38" t="s">
        <v>66</v>
      </c>
      <c r="I6" s="39" t="s">
        <v>65</v>
      </c>
      <c r="J6" s="39"/>
      <c r="K6" s="39"/>
      <c r="L6" s="39"/>
    </row>
    <row r="7" spans="1:12" x14ac:dyDescent="0.25">
      <c r="A7" s="40"/>
      <c r="B7" s="62"/>
      <c r="C7" s="63"/>
      <c r="D7" s="63"/>
      <c r="E7" s="64"/>
      <c r="H7" s="38"/>
      <c r="I7" s="39"/>
      <c r="J7" s="39"/>
      <c r="K7" s="39"/>
      <c r="L7" s="39"/>
    </row>
    <row r="8" spans="1:12" x14ac:dyDescent="0.25">
      <c r="A8" s="41"/>
      <c r="B8" s="65"/>
      <c r="C8" s="66"/>
      <c r="D8" s="66"/>
      <c r="E8" s="67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80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24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24" ht="18.75" x14ac:dyDescent="0.35">
      <c r="B18" s="7" t="s">
        <v>17</v>
      </c>
      <c r="C18" s="3">
        <v>1.2</v>
      </c>
      <c r="D18" s="6" t="s">
        <v>8</v>
      </c>
    </row>
    <row r="19" spans="1:24" ht="18" x14ac:dyDescent="0.35">
      <c r="B19" s="9" t="s">
        <v>18</v>
      </c>
      <c r="C19" s="3">
        <v>1</v>
      </c>
      <c r="D19" s="4" t="s">
        <v>19</v>
      </c>
    </row>
    <row r="20" spans="1:24" x14ac:dyDescent="0.25">
      <c r="A20" s="1" t="s">
        <v>67</v>
      </c>
      <c r="U20" s="70" t="s">
        <v>94</v>
      </c>
      <c r="V20" s="73"/>
      <c r="W20" s="73"/>
      <c r="X20" s="71"/>
    </row>
    <row r="21" spans="1:24" ht="18" x14ac:dyDescent="0.35">
      <c r="B21" s="9" t="s">
        <v>68</v>
      </c>
      <c r="C21" s="3">
        <v>0</v>
      </c>
      <c r="D21" s="6"/>
      <c r="U21" s="72" t="s">
        <v>93</v>
      </c>
      <c r="V21" s="69" cm="1">
        <f t="array" ref="V21">[1]!crv_intersection(Z45:Z64,Y45:Y64,Z45:Z64,AB45:AB64)</f>
        <v>72.384153843612808</v>
      </c>
      <c r="W21" s="69"/>
      <c r="X21" s="69"/>
    </row>
    <row r="22" spans="1:24" ht="18" x14ac:dyDescent="0.35">
      <c r="B22" s="9" t="s">
        <v>69</v>
      </c>
      <c r="C22" s="3">
        <v>50</v>
      </c>
      <c r="D22" s="4" t="s">
        <v>12</v>
      </c>
      <c r="U22" s="6" t="s">
        <v>95</v>
      </c>
      <c r="V22" s="69" cm="1">
        <f t="array" ref="V22">[1]!IPR_pwf_atma(PI,Pres,V21,fw_,Pb_)</f>
        <v>183.8079230781936</v>
      </c>
      <c r="W22" s="69"/>
      <c r="X22" s="69"/>
    </row>
    <row r="23" spans="1:24" ht="18" x14ac:dyDescent="0.35">
      <c r="B23" s="9" t="s">
        <v>70</v>
      </c>
      <c r="C23" s="3">
        <v>30</v>
      </c>
      <c r="D23" s="4" t="s">
        <v>15</v>
      </c>
    </row>
    <row r="24" spans="1:24" x14ac:dyDescent="0.25">
      <c r="A24" s="1" t="s">
        <v>20</v>
      </c>
    </row>
    <row r="25" spans="1:24" ht="15.75" x14ac:dyDescent="0.3">
      <c r="B25" s="9" t="s">
        <v>21</v>
      </c>
      <c r="C25" s="3">
        <v>2</v>
      </c>
      <c r="D25" s="6" t="s">
        <v>22</v>
      </c>
    </row>
    <row r="26" spans="1:24" ht="18" x14ac:dyDescent="0.35">
      <c r="B26" s="9" t="s">
        <v>44</v>
      </c>
      <c r="C26" s="3">
        <v>0</v>
      </c>
      <c r="D26" s="6" t="s">
        <v>45</v>
      </c>
      <c r="F26" s="53" t="s">
        <v>71</v>
      </c>
      <c r="G26" s="54"/>
      <c r="H26" s="3">
        <v>0</v>
      </c>
    </row>
    <row r="27" spans="1:24" ht="15.75" customHeight="1" x14ac:dyDescent="0.3">
      <c r="B27" s="9" t="s">
        <v>23</v>
      </c>
      <c r="C27" s="3">
        <v>50</v>
      </c>
      <c r="D27" s="4" t="s">
        <v>24</v>
      </c>
      <c r="F27" s="53" t="s">
        <v>72</v>
      </c>
      <c r="G27" s="54"/>
      <c r="H27" s="3">
        <v>1</v>
      </c>
    </row>
    <row r="28" spans="1:24" ht="15" customHeight="1" x14ac:dyDescent="0.25">
      <c r="A28" s="48" t="s">
        <v>80</v>
      </c>
      <c r="B28" s="10"/>
      <c r="F28" s="53" t="s">
        <v>73</v>
      </c>
      <c r="G28" s="54"/>
      <c r="H28" s="3">
        <v>0</v>
      </c>
    </row>
    <row r="29" spans="1:24" ht="15" customHeight="1" x14ac:dyDescent="0.35">
      <c r="B29" s="9" t="s">
        <v>90</v>
      </c>
      <c r="C29" s="42">
        <v>10</v>
      </c>
      <c r="D29" s="6" t="s">
        <v>12</v>
      </c>
      <c r="F29" s="53" t="s">
        <v>74</v>
      </c>
      <c r="G29" s="54"/>
      <c r="H29" s="3">
        <v>0</v>
      </c>
    </row>
    <row r="30" spans="1:24" ht="18" x14ac:dyDescent="0.35">
      <c r="B30" s="9" t="s">
        <v>91</v>
      </c>
      <c r="C30" s="3">
        <v>50</v>
      </c>
      <c r="D30" s="6" t="s">
        <v>27</v>
      </c>
      <c r="F30" s="55" t="s">
        <v>75</v>
      </c>
      <c r="G30" s="55"/>
    </row>
    <row r="31" spans="1:24" ht="15" customHeight="1" x14ac:dyDescent="0.25">
      <c r="A31" s="48" t="s">
        <v>79</v>
      </c>
      <c r="B31" s="10"/>
      <c r="F31" s="53" t="s">
        <v>76</v>
      </c>
      <c r="G31" s="54"/>
      <c r="H31" s="3">
        <v>1</v>
      </c>
    </row>
    <row r="32" spans="1:24" ht="15" customHeight="1" x14ac:dyDescent="0.25">
      <c r="B32" s="9" t="s">
        <v>82</v>
      </c>
      <c r="C32" s="3">
        <v>220</v>
      </c>
      <c r="D32" s="6" t="s">
        <v>12</v>
      </c>
      <c r="F32" s="53" t="s">
        <v>77</v>
      </c>
      <c r="G32" s="54"/>
      <c r="H32" s="3">
        <v>1</v>
      </c>
    </row>
    <row r="33" spans="1:28" ht="15" customHeight="1" x14ac:dyDescent="0.25">
      <c r="B33" s="9" t="s">
        <v>83</v>
      </c>
      <c r="C33" s="42">
        <v>2</v>
      </c>
      <c r="D33" s="6" t="s">
        <v>92</v>
      </c>
    </row>
    <row r="34" spans="1:28" ht="15" customHeight="1" x14ac:dyDescent="0.25"/>
    <row r="35" spans="1:28" ht="15" customHeight="1" x14ac:dyDescent="0.25"/>
    <row r="36" spans="1:28" ht="15" customHeight="1" x14ac:dyDescent="0.25"/>
    <row r="37" spans="1:28" ht="15" customHeight="1" x14ac:dyDescent="0.25"/>
    <row r="39" spans="1:28" ht="30" x14ac:dyDescent="0.25">
      <c r="B39" s="11" t="s">
        <v>28</v>
      </c>
      <c r="C39" s="12" t="str">
        <f>[1]!PVT_encode_string(gamma_gas_,gamma_oil_,gamma_wat_,Rsb_,Rp_,Pb_,Tres_,Bob_,muob_,PVT_corr_,Ksep,Psep,Tsep,gas_only_)</f>
        <v>gamma_gas:0.800;gamma_oil:0.870;gamma_wat:1.000;rsb_m3m3:80.000;rp_m3m3:80.000;pb_atma:120.000;tres_C:100.000;bob_m3m3:1.200;muob_cP:1.000;PVTcorr:0;ksep_fr:0.000;p_ksep_atma:50.000;t_ksep_C:30.000;gas_only:False;</v>
      </c>
      <c r="D39" s="12"/>
      <c r="E39" s="12"/>
      <c r="F39" s="12"/>
      <c r="G39" s="12"/>
      <c r="H39" s="12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2"/>
    </row>
    <row r="41" spans="1:28" x14ac:dyDescent="0.25">
      <c r="A41" s="49" t="s">
        <v>29</v>
      </c>
      <c r="B41" s="50"/>
      <c r="C41" s="50"/>
      <c r="D41" s="50"/>
      <c r="F41" s="13" t="s">
        <v>48</v>
      </c>
      <c r="G41" s="14"/>
      <c r="H41" s="14"/>
      <c r="K41" t="s">
        <v>50</v>
      </c>
      <c r="Y41" t="s">
        <v>89</v>
      </c>
      <c r="Z41">
        <v>20</v>
      </c>
    </row>
    <row r="42" spans="1:28" ht="18" x14ac:dyDescent="0.35">
      <c r="B42" s="6" t="s">
        <v>30</v>
      </c>
      <c r="C42" s="51">
        <v>3500</v>
      </c>
      <c r="D42" s="52" t="s">
        <v>25</v>
      </c>
      <c r="K42" s="32" cm="1">
        <f t="array" ref="K42:S64">[1]!MF_p_pipeline_atma(Pline_,Twh_,E52:F62,B52:C68,H52:I61,qliq_,fw_,Qgas_free,PVTstr_,calc_flow_direction_,Hydr_corr_,temp_model)</f>
        <v>204.5680302190512</v>
      </c>
      <c r="L42" s="23">
        <v>75.92</v>
      </c>
      <c r="M42" s="23">
        <v>10</v>
      </c>
      <c r="N42" s="23">
        <v>20</v>
      </c>
      <c r="O42" s="23">
        <v>204.5680302190512</v>
      </c>
      <c r="P42" s="23">
        <v>75.92</v>
      </c>
      <c r="Q42" s="23">
        <v>1</v>
      </c>
      <c r="R42" s="23">
        <v>1</v>
      </c>
      <c r="S42" s="24">
        <v>80</v>
      </c>
      <c r="T42" s="14"/>
      <c r="U42" s="14"/>
      <c r="V42" s="14"/>
    </row>
    <row r="43" spans="1:28" ht="18" customHeight="1" x14ac:dyDescent="0.35">
      <c r="B43" s="6" t="s">
        <v>31</v>
      </c>
      <c r="C43" s="51">
        <v>2500</v>
      </c>
      <c r="D43" s="52" t="s">
        <v>32</v>
      </c>
      <c r="F43" s="45"/>
      <c r="G43" s="46" t="s">
        <v>43</v>
      </c>
      <c r="H43" s="3">
        <v>1</v>
      </c>
      <c r="K43" s="25" t="str">
        <v>p_result_atma</v>
      </c>
      <c r="L43" s="26" t="str">
        <v>t_result_C</v>
      </c>
      <c r="M43" s="26" t="str">
        <v>p_1, atma</v>
      </c>
      <c r="N43" s="26" t="str">
        <v>t_1, C</v>
      </c>
      <c r="O43" s="26" t="str">
        <v>p_2, atma</v>
      </c>
      <c r="P43" s="26" t="str">
        <v>t_2, C</v>
      </c>
      <c r="Q43" s="26" t="str">
        <v>c_calibr_grav</v>
      </c>
      <c r="R43" s="26" t="str">
        <v>c_calibr_fric</v>
      </c>
      <c r="S43" s="27" t="str">
        <v>q_gas_sm3day</v>
      </c>
      <c r="T43" s="14"/>
      <c r="U43" s="14"/>
      <c r="V43" s="14"/>
      <c r="Y43" s="14" t="s">
        <v>84</v>
      </c>
      <c r="Z43" s="14"/>
      <c r="AA43" s="14" t="s">
        <v>87</v>
      </c>
      <c r="AB43" s="14"/>
    </row>
    <row r="44" spans="1:28" ht="18" customHeight="1" x14ac:dyDescent="0.35">
      <c r="B44" s="6" t="s">
        <v>33</v>
      </c>
      <c r="C44" s="51">
        <v>140</v>
      </c>
      <c r="D44" s="52" t="s">
        <v>26</v>
      </c>
      <c r="F44" s="45"/>
      <c r="G44" s="46" t="s">
        <v>41</v>
      </c>
      <c r="H44" s="3">
        <v>1</v>
      </c>
      <c r="I44" s="3">
        <v>0</v>
      </c>
      <c r="K44" s="25" t="str">
        <v>num</v>
      </c>
      <c r="L44" s="26" t="str">
        <v>h,m</v>
      </c>
      <c r="M44" s="26" t="str">
        <v>hvert,m</v>
      </c>
      <c r="N44" s="26" t="str">
        <v>p,atma</v>
      </c>
      <c r="O44" s="26" t="str">
        <v>t,C</v>
      </c>
      <c r="P44" s="26" t="str">
        <v>Hl</v>
      </c>
      <c r="Q44" s="26" t="str">
        <v>fpat</v>
      </c>
      <c r="R44" s="26" t="str">
        <v>t_amb, C</v>
      </c>
      <c r="S44" s="27" t="str">
        <v>diam, m</v>
      </c>
      <c r="T44" s="43" t="s">
        <v>47</v>
      </c>
      <c r="U44" s="43" t="s">
        <v>51</v>
      </c>
      <c r="V44" s="43" t="s">
        <v>52</v>
      </c>
      <c r="Y44" s="14" t="s">
        <v>85</v>
      </c>
      <c r="Z44" s="14" t="s">
        <v>86</v>
      </c>
      <c r="AA44" s="14" t="s">
        <v>81</v>
      </c>
      <c r="AB44" s="14" t="s">
        <v>85</v>
      </c>
    </row>
    <row r="45" spans="1:28" ht="18" customHeight="1" x14ac:dyDescent="0.35">
      <c r="B45" s="6" t="s">
        <v>34</v>
      </c>
      <c r="C45" s="51">
        <v>65</v>
      </c>
      <c r="D45" s="52" t="s">
        <v>26</v>
      </c>
      <c r="F45" s="45"/>
      <c r="G45" s="46" t="s">
        <v>42</v>
      </c>
      <c r="H45" s="3">
        <v>0</v>
      </c>
      <c r="I45" s="3">
        <v>0</v>
      </c>
      <c r="K45" s="25">
        <v>1</v>
      </c>
      <c r="L45" s="28">
        <v>0</v>
      </c>
      <c r="M45" s="28">
        <v>0</v>
      </c>
      <c r="N45" s="28">
        <v>10</v>
      </c>
      <c r="O45" s="28">
        <v>20</v>
      </c>
      <c r="P45" s="28">
        <v>0.83101044296617954</v>
      </c>
      <c r="Q45" s="28">
        <v>103</v>
      </c>
      <c r="R45" s="28">
        <v>20</v>
      </c>
      <c r="S45" s="27">
        <v>4.4999999999999998E-2</v>
      </c>
      <c r="T45" s="44">
        <f t="shared" ref="T45:T64" si="0">L45-M45</f>
        <v>0</v>
      </c>
      <c r="U45" s="43">
        <f t="shared" ref="U45:U64" si="1">-S45/2</f>
        <v>-2.2499999999999999E-2</v>
      </c>
      <c r="V45" s="43">
        <f>-U45</f>
        <v>2.2499999999999999E-2</v>
      </c>
      <c r="Y45" s="68">
        <f>Pres-1</f>
        <v>219</v>
      </c>
      <c r="Z45" s="69" cm="1">
        <f t="array" ref="Z45">[1]!IPR_qliq_sm3day(PI,Pres,Y45,fw_,Pb_)</f>
        <v>2</v>
      </c>
      <c r="AA45" s="28">
        <f>[1]!MF_p_choke_atma(Z45,fw_,dchoke,Pline_,0,dtub,Twh_,,PVTstr_)</f>
        <v>10.000566840171814</v>
      </c>
      <c r="AB45" s="28">
        <f>[1]!MF_p_pipeline_atma(AA45,Twh_,$E$52:$F$62,$B$52:$C$68,$H$52:$I$61,Z45,fw_,Qgas_free,PVTstr_,calc_flow_direction_,Hydr_corr_,temp_model)</f>
        <v>204.56871077185704</v>
      </c>
    </row>
    <row r="46" spans="1:28" ht="18" customHeight="1" x14ac:dyDescent="0.35">
      <c r="B46" s="6" t="s">
        <v>35</v>
      </c>
      <c r="C46" s="51">
        <v>15</v>
      </c>
      <c r="D46" s="52" t="s">
        <v>26</v>
      </c>
      <c r="F46" s="45"/>
      <c r="G46" s="47" t="s">
        <v>78</v>
      </c>
      <c r="H46" s="5">
        <f>calc_along_coord*10+flow_along_coord</f>
        <v>10</v>
      </c>
      <c r="I46" s="5">
        <f>calc_along_coord1*10+flow_along_coord1</f>
        <v>0</v>
      </c>
      <c r="K46" s="25">
        <v>2</v>
      </c>
      <c r="L46" s="28">
        <v>131.57894736842104</v>
      </c>
      <c r="M46" s="28">
        <v>131.57894736842104</v>
      </c>
      <c r="N46" s="28">
        <v>20.462805688456736</v>
      </c>
      <c r="O46" s="28">
        <v>21.315789473684209</v>
      </c>
      <c r="P46" s="28">
        <v>0.91614218976676676</v>
      </c>
      <c r="Q46" s="28">
        <v>103</v>
      </c>
      <c r="R46" s="28">
        <v>21.315789473684209</v>
      </c>
      <c r="S46" s="27">
        <v>4.4999999999999998E-2</v>
      </c>
      <c r="T46" s="44">
        <f t="shared" si="0"/>
        <v>0</v>
      </c>
      <c r="U46" s="43">
        <f t="shared" si="1"/>
        <v>-2.2499999999999999E-2</v>
      </c>
      <c r="V46" s="43">
        <f t="shared" ref="V46:V64" si="2">-U46</f>
        <v>2.2499999999999999E-2</v>
      </c>
      <c r="Y46" s="68">
        <f>Y45-Pres/n</f>
        <v>208</v>
      </c>
      <c r="Z46" s="69" cm="1">
        <f t="array" ref="Z46">[1]!IPR_qliq_sm3day(PI,Pres,Y46,fw_,Pb_)</f>
        <v>24</v>
      </c>
      <c r="AA46" s="28">
        <f>[1]!MF_p_choke_atma(Z46,fw_,dchoke,Pline_,0,dtub,Twh_,,PVTstr_)</f>
        <v>10.082187652587891</v>
      </c>
      <c r="AB46" s="28">
        <f>[1]!MF_p_pipeline_atma(AA46,Twh_,$E$52:$F$62,$B$52:$C$68,$H$52:$I$61,Z46,fw_,Qgas_free,PVTstr_,calc_flow_direction_,Hydr_corr_,temp_model)</f>
        <v>188.29524759664855</v>
      </c>
    </row>
    <row r="47" spans="1:28" x14ac:dyDescent="0.25">
      <c r="G47" s="10"/>
      <c r="K47" s="25">
        <v>3</v>
      </c>
      <c r="L47" s="28">
        <v>263.15789473684208</v>
      </c>
      <c r="M47" s="28">
        <v>263.15789473684208</v>
      </c>
      <c r="N47" s="28">
        <v>31.602192723554136</v>
      </c>
      <c r="O47" s="28">
        <v>22.631578947368421</v>
      </c>
      <c r="P47" s="28">
        <v>0.95364739101933327</v>
      </c>
      <c r="Q47" s="28">
        <v>102</v>
      </c>
      <c r="R47" s="28">
        <v>22.631578947368421</v>
      </c>
      <c r="S47" s="27">
        <v>4.4999999999999998E-2</v>
      </c>
      <c r="T47" s="44">
        <f t="shared" si="0"/>
        <v>0</v>
      </c>
      <c r="U47" s="43">
        <f t="shared" si="1"/>
        <v>-2.2499999999999999E-2</v>
      </c>
      <c r="V47" s="43">
        <f t="shared" si="2"/>
        <v>2.2499999999999999E-2</v>
      </c>
      <c r="Y47" s="68">
        <f>Y46-Pres/n</f>
        <v>197</v>
      </c>
      <c r="Z47" s="69" cm="1">
        <f t="array" ref="Z47">[1]!IPR_qliq_sm3day(PI,Pres,Y47,fw_,Pb_)</f>
        <v>46</v>
      </c>
      <c r="AA47" s="28">
        <f>[1]!MF_p_choke_atma(Z47,fw_,dchoke,Pline_,0,dtub,Twh_,,PVTstr_)</f>
        <v>10.307769775390625</v>
      </c>
      <c r="AB47" s="28">
        <f>[1]!MF_p_pipeline_atma(AA47,Twh_,$E$52:$F$62,$B$52:$C$68,$H$52:$I$61,Z47,fw_,Qgas_free,PVTstr_,calc_flow_direction_,Hydr_corr_,temp_model)</f>
        <v>183.27628044089428</v>
      </c>
    </row>
    <row r="48" spans="1:28" x14ac:dyDescent="0.25">
      <c r="G48" s="10"/>
      <c r="K48" s="25">
        <v>4</v>
      </c>
      <c r="L48" s="28">
        <v>394.73684210526312</v>
      </c>
      <c r="M48" s="28">
        <v>394.73684210526312</v>
      </c>
      <c r="N48" s="28">
        <v>43.017368327079986</v>
      </c>
      <c r="O48" s="28">
        <v>23.94736842105263</v>
      </c>
      <c r="P48" s="28">
        <v>0.97306198520123277</v>
      </c>
      <c r="Q48" s="28">
        <v>102</v>
      </c>
      <c r="R48" s="28">
        <v>23.94736842105263</v>
      </c>
      <c r="S48" s="27">
        <v>4.4999999999999998E-2</v>
      </c>
      <c r="T48" s="44">
        <f t="shared" si="0"/>
        <v>0</v>
      </c>
      <c r="U48" s="43">
        <f t="shared" si="1"/>
        <v>-2.2499999999999999E-2</v>
      </c>
      <c r="V48" s="43">
        <f t="shared" si="2"/>
        <v>2.2499999999999999E-2</v>
      </c>
      <c r="Y48" s="68">
        <f>Y47-Pres/n</f>
        <v>186</v>
      </c>
      <c r="Z48" s="69" cm="1">
        <f t="array" ref="Z48">[1]!IPR_qliq_sm3day(PI,Pres,Y48,fw_,Pb_)</f>
        <v>68</v>
      </c>
      <c r="AA48" s="28">
        <f>[1]!MF_p_choke_atma(Z48,fw_,dchoke,Pline_,0,dtub,Twh_,,PVTstr_)</f>
        <v>10.69427490234375</v>
      </c>
      <c r="AB48" s="28">
        <f>[1]!MF_p_pipeline_atma(AA48,Twh_,$E$52:$F$62,$B$52:$C$68,$H$52:$I$61,Z48,fw_,Qgas_free,PVTstr_,calc_flow_direction_,Hydr_corr_,temp_model)</f>
        <v>183.29139816731259</v>
      </c>
    </row>
    <row r="49" spans="2:28" x14ac:dyDescent="0.25">
      <c r="B49" s="50" t="s">
        <v>36</v>
      </c>
      <c r="C49" s="50"/>
      <c r="E49" t="s">
        <v>49</v>
      </c>
      <c r="G49" s="10"/>
      <c r="H49" t="s">
        <v>46</v>
      </c>
      <c r="I49" s="10"/>
      <c r="K49" s="25">
        <v>5</v>
      </c>
      <c r="L49" s="28">
        <v>526.31578947368416</v>
      </c>
      <c r="M49" s="28">
        <v>526.31578947368416</v>
      </c>
      <c r="N49" s="28">
        <v>54.578522260907448</v>
      </c>
      <c r="O49" s="28">
        <v>25.263157894736842</v>
      </c>
      <c r="P49" s="28">
        <v>0.98390286173012886</v>
      </c>
      <c r="Q49" s="28">
        <v>102</v>
      </c>
      <c r="R49" s="28">
        <v>25.263157894736842</v>
      </c>
      <c r="S49" s="27">
        <v>4.4999999999999998E-2</v>
      </c>
      <c r="T49" s="44">
        <f t="shared" si="0"/>
        <v>0</v>
      </c>
      <c r="U49" s="43">
        <f t="shared" si="1"/>
        <v>-2.2499999999999999E-2</v>
      </c>
      <c r="V49" s="43">
        <f t="shared" si="2"/>
        <v>2.2499999999999999E-2</v>
      </c>
      <c r="Y49" s="68">
        <f>Y48-Pres/n</f>
        <v>175</v>
      </c>
      <c r="Z49" s="69" cm="1">
        <f t="array" ref="Z49">[1]!IPR_qliq_sm3day(PI,Pres,Y49,fw_,Pb_)</f>
        <v>90</v>
      </c>
      <c r="AA49" s="28">
        <f>[1]!MF_p_choke_atma(Z49,fw_,dchoke,Pline_,0,dtub,Twh_,,PVTstr_)</f>
        <v>11.2725830078125</v>
      </c>
      <c r="AB49" s="28">
        <f>[1]!MF_p_pipeline_atma(AA49,Twh_,$E$52:$F$62,$B$52:$C$68,$H$52:$I$61,Z49,fw_,Qgas_free,PVTstr_,calc_flow_direction_,Hydr_corr_,temp_model)</f>
        <v>185.88335740157564</v>
      </c>
    </row>
    <row r="50" spans="2:28" ht="18" x14ac:dyDescent="0.35">
      <c r="B50" s="17" t="s">
        <v>37</v>
      </c>
      <c r="C50" s="17" t="s">
        <v>38</v>
      </c>
      <c r="E50" s="17" t="s">
        <v>38</v>
      </c>
      <c r="F50" s="17" t="s">
        <v>39</v>
      </c>
      <c r="G50" s="10"/>
      <c r="H50" s="17" t="s">
        <v>37</v>
      </c>
      <c r="I50" s="15" t="s">
        <v>40</v>
      </c>
      <c r="K50" s="25">
        <v>6</v>
      </c>
      <c r="L50" s="28">
        <v>657.8947368421052</v>
      </c>
      <c r="M50" s="28">
        <v>657.8947368421052</v>
      </c>
      <c r="N50" s="28">
        <v>66.197894270279008</v>
      </c>
      <c r="O50" s="28">
        <v>26.578947368421051</v>
      </c>
      <c r="P50" s="28">
        <v>0.99094238426143333</v>
      </c>
      <c r="Q50" s="28">
        <v>102</v>
      </c>
      <c r="R50" s="28">
        <v>26.578947368421051</v>
      </c>
      <c r="S50" s="27">
        <v>4.4999999999999998E-2</v>
      </c>
      <c r="T50" s="44">
        <f t="shared" si="0"/>
        <v>0</v>
      </c>
      <c r="U50" s="43">
        <f t="shared" si="1"/>
        <v>-2.2499999999999999E-2</v>
      </c>
      <c r="V50" s="43">
        <f t="shared" si="2"/>
        <v>2.2499999999999999E-2</v>
      </c>
      <c r="Y50" s="68">
        <f>Y49-Pres/n</f>
        <v>164</v>
      </c>
      <c r="Z50" s="69" cm="1">
        <f t="array" ref="Z50">[1]!IPR_qliq_sm3day(PI,Pres,Y50,fw_,Pb_)</f>
        <v>112</v>
      </c>
      <c r="AA50" s="28">
        <f>[1]!MF_p_choke_atma(Z50,fw_,dchoke,Pline_,0,dtub,Twh_,,PVTstr_)</f>
        <v>12.0941162109375</v>
      </c>
      <c r="AB50" s="28">
        <f>[1]!MF_p_pipeline_atma(AA50,Twh_,$E$52:$F$62,$B$52:$C$68,$H$52:$I$61,Z50,fw_,Qgas_free,PVTstr_,calc_flow_direction_,Hydr_corr_,temp_model)</f>
        <v>190.21537735447407</v>
      </c>
    </row>
    <row r="51" spans="2:28" x14ac:dyDescent="0.25">
      <c r="B51" s="17" t="s">
        <v>25</v>
      </c>
      <c r="C51" s="17" t="s">
        <v>25</v>
      </c>
      <c r="E51" s="17" t="s">
        <v>25</v>
      </c>
      <c r="F51" s="17" t="s">
        <v>32</v>
      </c>
      <c r="G51" s="10"/>
      <c r="H51" s="17" t="s">
        <v>25</v>
      </c>
      <c r="I51" s="17" t="s">
        <v>26</v>
      </c>
      <c r="K51" s="25">
        <v>7</v>
      </c>
      <c r="L51" s="28">
        <v>789.47368421052624</v>
      </c>
      <c r="M51" s="28">
        <v>789.47368421052624</v>
      </c>
      <c r="N51" s="28">
        <v>77.849771185042314</v>
      </c>
      <c r="O51" s="28">
        <v>27.894736842105264</v>
      </c>
      <c r="P51" s="28">
        <v>0.99589420747101809</v>
      </c>
      <c r="Q51" s="28">
        <v>102</v>
      </c>
      <c r="R51" s="28">
        <v>27.894736842105264</v>
      </c>
      <c r="S51" s="27">
        <v>4.4999999999999998E-2</v>
      </c>
      <c r="T51" s="44">
        <f t="shared" si="0"/>
        <v>0</v>
      </c>
      <c r="U51" s="43">
        <f t="shared" si="1"/>
        <v>-2.2499999999999999E-2</v>
      </c>
      <c r="V51" s="43">
        <f t="shared" si="2"/>
        <v>2.2499999999999999E-2</v>
      </c>
      <c r="Y51" s="68">
        <f>Y50-Pres/n</f>
        <v>153</v>
      </c>
      <c r="Z51" s="69" cm="1">
        <f t="array" ref="Z51">[1]!IPR_qliq_sm3day(PI,Pres,Y51,fw_,Pb_)</f>
        <v>134</v>
      </c>
      <c r="AA51" s="28">
        <f>[1]!MF_p_choke_atma(Z51,fw_,dchoke,Pline_,0,dtub,Twh_,,PVTstr_)</f>
        <v>13.2415771484375</v>
      </c>
      <c r="AB51" s="28">
        <f>[1]!MF_p_pipeline_atma(AA51,Twh_,$E$52:$F$62,$B$52:$C$68,$H$52:$I$61,Z51,fw_,Qgas_free,PVTstr_,calc_flow_direction_,Hydr_corr_,temp_model)</f>
        <v>196.00504205841324</v>
      </c>
    </row>
    <row r="52" spans="2:28" x14ac:dyDescent="0.25">
      <c r="B52" s="16">
        <v>0</v>
      </c>
      <c r="C52" s="16">
        <v>0</v>
      </c>
      <c r="E52" s="18">
        <v>0</v>
      </c>
      <c r="F52" s="18">
        <v>20</v>
      </c>
      <c r="G52" s="10"/>
      <c r="H52" s="18">
        <v>0</v>
      </c>
      <c r="I52" s="19">
        <v>45</v>
      </c>
      <c r="K52" s="25">
        <v>8</v>
      </c>
      <c r="L52" s="28">
        <v>921.05263157894728</v>
      </c>
      <c r="M52" s="28">
        <v>921.05263157894728</v>
      </c>
      <c r="N52" s="28">
        <v>89.466272905428795</v>
      </c>
      <c r="O52" s="28">
        <v>29.210526315789473</v>
      </c>
      <c r="P52" s="28">
        <v>0.99842505571919749</v>
      </c>
      <c r="Q52" s="28">
        <v>102</v>
      </c>
      <c r="R52" s="28">
        <v>29.210526315789473</v>
      </c>
      <c r="S52" s="27">
        <v>4.4999999999999998E-2</v>
      </c>
      <c r="T52" s="44">
        <f t="shared" si="0"/>
        <v>0</v>
      </c>
      <c r="U52" s="43">
        <f t="shared" si="1"/>
        <v>-2.2499999999999999E-2</v>
      </c>
      <c r="V52" s="43">
        <f t="shared" si="2"/>
        <v>2.2499999999999999E-2</v>
      </c>
      <c r="Y52" s="68">
        <f>Y51-Pres/n</f>
        <v>142</v>
      </c>
      <c r="Z52" s="69" cm="1">
        <f t="array" ref="Z52">[1]!IPR_qliq_sm3day(PI,Pres,Y52,fw_,Pb_)</f>
        <v>156</v>
      </c>
      <c r="AA52" s="28">
        <f>[1]!MF_p_choke_atma(Z52,fw_,dchoke,Pline_,0,dtub,Twh_,,PVTstr_)</f>
        <v>14.8492431640625</v>
      </c>
      <c r="AB52" s="28">
        <f>[1]!MF_p_pipeline_atma(AA52,Twh_,$E$52:$F$62,$B$52:$C$68,$H$52:$I$61,Z52,fw_,Qgas_free,PVTstr_,calc_flow_direction_,Hydr_corr_,temp_model)</f>
        <v>203.09794374827555</v>
      </c>
    </row>
    <row r="53" spans="2:28" x14ac:dyDescent="0.25">
      <c r="B53" s="16">
        <v>1000</v>
      </c>
      <c r="C53" s="16">
        <v>1000</v>
      </c>
      <c r="E53" s="18">
        <v>1500</v>
      </c>
      <c r="F53" s="18">
        <v>35</v>
      </c>
      <c r="G53" s="10"/>
      <c r="H53" s="18">
        <v>2500</v>
      </c>
      <c r="I53" s="19">
        <v>125</v>
      </c>
      <c r="K53" s="25">
        <v>9</v>
      </c>
      <c r="L53" s="28">
        <v>1052.6315789473683</v>
      </c>
      <c r="M53" s="28">
        <v>1050.5263157894735</v>
      </c>
      <c r="N53" s="28">
        <v>100.79321722219525</v>
      </c>
      <c r="O53" s="28">
        <v>30.505263157894735</v>
      </c>
      <c r="P53" s="28">
        <v>1</v>
      </c>
      <c r="Q53" s="28">
        <v>100</v>
      </c>
      <c r="R53" s="28">
        <v>30.505263157894735</v>
      </c>
      <c r="S53" s="27">
        <v>4.4999999999999998E-2</v>
      </c>
      <c r="T53" s="44">
        <f t="shared" si="0"/>
        <v>2.1052631578947967</v>
      </c>
      <c r="U53" s="43">
        <f t="shared" si="1"/>
        <v>-2.2499999999999999E-2</v>
      </c>
      <c r="V53" s="43">
        <f t="shared" si="2"/>
        <v>2.2499999999999999E-2</v>
      </c>
      <c r="Y53" s="68">
        <f>Y52-Pres/n</f>
        <v>131</v>
      </c>
      <c r="Z53" s="69" cm="1">
        <f t="array" ref="Z53">[1]!IPR_qliq_sm3day(PI,Pres,Y53,fw_,Pb_)</f>
        <v>178</v>
      </c>
      <c r="AA53" s="28">
        <f>[1]!MF_p_choke_atma(Z53,fw_,dchoke,Pline_,0,dtub,Twh_,,PVTstr_)</f>
        <v>17.0599365234375</v>
      </c>
      <c r="AB53" s="28">
        <f>[1]!MF_p_pipeline_atma(AA53,Twh_,$E$52:$F$62,$B$52:$C$68,$H$52:$I$61,Z53,fw_,Qgas_free,PVTstr_,calc_flow_direction_,Hydr_corr_,temp_model)</f>
        <v>211.01487128367339</v>
      </c>
    </row>
    <row r="54" spans="2:28" x14ac:dyDescent="0.25">
      <c r="B54" s="16">
        <v>1100</v>
      </c>
      <c r="C54" s="16">
        <v>1096</v>
      </c>
      <c r="E54" s="18">
        <v>2500</v>
      </c>
      <c r="F54" s="18">
        <v>90</v>
      </c>
      <c r="G54" s="10"/>
      <c r="H54" s="18">
        <v>4000</v>
      </c>
      <c r="I54" s="19">
        <v>125</v>
      </c>
      <c r="K54" s="25">
        <v>10</v>
      </c>
      <c r="L54" s="28">
        <v>1184.2105263157894</v>
      </c>
      <c r="M54" s="28">
        <v>1176</v>
      </c>
      <c r="N54" s="28">
        <v>111.79423809920934</v>
      </c>
      <c r="O54" s="28">
        <v>31.759999999999998</v>
      </c>
      <c r="P54" s="28">
        <v>1</v>
      </c>
      <c r="Q54" s="28">
        <v>100</v>
      </c>
      <c r="R54" s="28">
        <v>31.759999999999998</v>
      </c>
      <c r="S54" s="27">
        <v>4.4999999999999998E-2</v>
      </c>
      <c r="T54" s="44">
        <f t="shared" si="0"/>
        <v>8.210526315789366</v>
      </c>
      <c r="U54" s="43">
        <f t="shared" si="1"/>
        <v>-2.2499999999999999E-2</v>
      </c>
      <c r="V54" s="43">
        <f t="shared" si="2"/>
        <v>2.2499999999999999E-2</v>
      </c>
      <c r="Y54" s="68">
        <f>Y53-Pres/n</f>
        <v>120</v>
      </c>
      <c r="Z54" s="69" cm="1">
        <f t="array" ref="Z54">[1]!IPR_qliq_sm3day(PI,Pres,Y54,fw_,Pb_)</f>
        <v>200</v>
      </c>
      <c r="AA54" s="28">
        <f>[1]!MF_p_choke_atma(Z54,fw_,dchoke,Pline_,0,dtub,Twh_,,PVTstr_)</f>
        <v>19.1644287109375</v>
      </c>
      <c r="AB54" s="28">
        <f>[1]!MF_p_pipeline_atma(AA54,Twh_,$E$52:$F$62,$B$52:$C$68,$H$52:$I$61,Z54,fw_,Qgas_free,PVTstr_,calc_flow_direction_,Hydr_corr_,temp_model)</f>
        <v>218.71684039743965</v>
      </c>
    </row>
    <row r="55" spans="2:28" x14ac:dyDescent="0.25">
      <c r="B55" s="16">
        <v>1200</v>
      </c>
      <c r="C55" s="16">
        <v>1191</v>
      </c>
      <c r="E55" s="18"/>
      <c r="F55" s="18"/>
      <c r="G55" s="10"/>
      <c r="H55" s="18"/>
      <c r="I55" s="18"/>
      <c r="K55" s="25">
        <v>11</v>
      </c>
      <c r="L55" s="28">
        <v>1315.7894736842104</v>
      </c>
      <c r="M55" s="28">
        <v>1298.3684210526314</v>
      </c>
      <c r="N55" s="28">
        <v>122.50084882761841</v>
      </c>
      <c r="O55" s="28">
        <v>32.98368421052632</v>
      </c>
      <c r="P55" s="28">
        <v>1</v>
      </c>
      <c r="Q55" s="28">
        <v>100</v>
      </c>
      <c r="R55" s="28">
        <v>32.98368421052632</v>
      </c>
      <c r="S55" s="27">
        <v>4.4999999999999998E-2</v>
      </c>
      <c r="T55" s="44">
        <f t="shared" si="0"/>
        <v>17.421052631578959</v>
      </c>
      <c r="U55" s="43">
        <f t="shared" si="1"/>
        <v>-2.2499999999999999E-2</v>
      </c>
      <c r="V55" s="43">
        <f t="shared" si="2"/>
        <v>2.2499999999999999E-2</v>
      </c>
      <c r="Y55" s="68">
        <f>Y54-Pres/n</f>
        <v>109</v>
      </c>
      <c r="Z55" s="69" cm="1">
        <f t="array" ref="Z55">[1]!IPR_qliq_sm3day(PI,Pres,Y55,fw_,Pb_)</f>
        <v>221.53260766834777</v>
      </c>
      <c r="AA55" s="28">
        <f>[1]!MF_p_choke_atma(Z55,fw_,dchoke,Pline_,0,dtub,Twh_,,PVTstr_)</f>
        <v>21.2188720703125</v>
      </c>
      <c r="AB55" s="28">
        <f>[1]!MF_p_pipeline_atma(AA55,Twh_,$E$52:$F$62,$B$52:$C$68,$H$52:$I$61,Z55,fw_,Qgas_free,PVTstr_,calc_flow_direction_,Hydr_corr_,temp_model)</f>
        <v>226.32049111477002</v>
      </c>
    </row>
    <row r="56" spans="2:28" x14ac:dyDescent="0.25">
      <c r="B56" s="16">
        <v>1300</v>
      </c>
      <c r="C56" s="16">
        <v>1284</v>
      </c>
      <c r="E56" s="18"/>
      <c r="F56" s="18"/>
      <c r="G56" s="10"/>
      <c r="H56" s="18"/>
      <c r="I56" s="18"/>
      <c r="K56" s="25">
        <v>12</v>
      </c>
      <c r="L56" s="28">
        <v>1447.3684210526314</v>
      </c>
      <c r="M56" s="28">
        <v>1417.1578947368421</v>
      </c>
      <c r="N56" s="28">
        <v>132.89055772212751</v>
      </c>
      <c r="O56" s="28">
        <v>34.171578947368417</v>
      </c>
      <c r="P56" s="28">
        <v>1</v>
      </c>
      <c r="Q56" s="28">
        <v>100</v>
      </c>
      <c r="R56" s="28">
        <v>34.171578947368417</v>
      </c>
      <c r="S56" s="27">
        <v>4.4999999999999998E-2</v>
      </c>
      <c r="T56" s="44">
        <f t="shared" si="0"/>
        <v>30.210526315789366</v>
      </c>
      <c r="U56" s="43">
        <f t="shared" si="1"/>
        <v>-2.2499999999999999E-2</v>
      </c>
      <c r="V56" s="43">
        <f t="shared" si="2"/>
        <v>2.2499999999999999E-2</v>
      </c>
      <c r="Y56" s="68">
        <f>Y55-Pres/n</f>
        <v>98</v>
      </c>
      <c r="Z56" s="69" cm="1">
        <f t="array" ref="Z56">[1]!IPR_qliq_sm3day(PI,Pres,Y56,fw_,Pb_)</f>
        <v>242.04453240573366</v>
      </c>
      <c r="AA56" s="28">
        <f>[1]!MF_p_choke_atma(Z56,fw_,dchoke,Pline_,0,dtub,Twh_,,PVTstr_)</f>
        <v>23.1719970703125</v>
      </c>
      <c r="AB56" s="28">
        <f>[1]!MF_p_pipeline_atma(AA56,Twh_,$E$52:$F$62,$B$52:$C$68,$H$52:$I$61,Z56,fw_,Qgas_free,PVTstr_,calc_flow_direction_,Hydr_corr_,temp_model)</f>
        <v>233.62784292667996</v>
      </c>
    </row>
    <row r="57" spans="2:28" x14ac:dyDescent="0.25">
      <c r="B57" s="16">
        <v>1400</v>
      </c>
      <c r="C57" s="16">
        <v>1375</v>
      </c>
      <c r="E57" s="18"/>
      <c r="F57" s="18"/>
      <c r="G57" s="10"/>
      <c r="H57" s="18"/>
      <c r="I57" s="18"/>
      <c r="K57" s="25">
        <v>13</v>
      </c>
      <c r="L57" s="28">
        <v>1578.9473684210525</v>
      </c>
      <c r="M57" s="28">
        <v>1532.6842105263156</v>
      </c>
      <c r="N57" s="28">
        <v>142.98895082309502</v>
      </c>
      <c r="O57" s="28">
        <v>37.138684210526314</v>
      </c>
      <c r="P57" s="28">
        <v>1</v>
      </c>
      <c r="Q57" s="28">
        <v>100</v>
      </c>
      <c r="R57" s="28">
        <v>37.138684210526314</v>
      </c>
      <c r="S57" s="27">
        <v>4.4999999999999998E-2</v>
      </c>
      <c r="T57" s="44">
        <f t="shared" si="0"/>
        <v>46.263157894736878</v>
      </c>
      <c r="U57" s="43">
        <f t="shared" si="1"/>
        <v>-2.2499999999999999E-2</v>
      </c>
      <c r="V57" s="43">
        <f t="shared" si="2"/>
        <v>2.2499999999999999E-2</v>
      </c>
      <c r="Y57" s="68">
        <f>Y56-Pres/n</f>
        <v>87</v>
      </c>
      <c r="Z57" s="69" cm="1">
        <f t="array" ref="Z57">[1]!IPR_qliq_sm3day(PI,Pres,Y57,fw_,Pb_)</f>
        <v>261.38257317459073</v>
      </c>
      <c r="AA57" s="28">
        <f>[1]!MF_p_choke_atma(Z57,fw_,dchoke,Pline_,0,dtub,Twh_,,PVTstr_)</f>
        <v>25.0079345703125</v>
      </c>
      <c r="AB57" s="28">
        <f>[1]!MF_p_pipeline_atma(AA57,Twh_,$E$52:$F$62,$B$52:$C$68,$H$52:$I$61,Z57,fw_,Qgas_free,PVTstr_,calc_flow_direction_,Hydr_corr_,temp_model)</f>
        <v>240.52750649573019</v>
      </c>
    </row>
    <row r="58" spans="2:28" x14ac:dyDescent="0.25">
      <c r="B58" s="16">
        <v>1500</v>
      </c>
      <c r="C58" s="16">
        <v>1464</v>
      </c>
      <c r="E58" s="18"/>
      <c r="F58" s="18"/>
      <c r="G58" s="10"/>
      <c r="H58" s="18"/>
      <c r="I58" s="18"/>
      <c r="K58" s="25">
        <v>14</v>
      </c>
      <c r="L58" s="28">
        <v>1710.5263157894735</v>
      </c>
      <c r="M58" s="28">
        <v>1644.7368421052631</v>
      </c>
      <c r="N58" s="28">
        <v>152.76136810356945</v>
      </c>
      <c r="O58" s="28">
        <v>42.960526315789473</v>
      </c>
      <c r="P58" s="28">
        <v>1</v>
      </c>
      <c r="Q58" s="28">
        <v>100</v>
      </c>
      <c r="R58" s="28">
        <v>42.960526315789473</v>
      </c>
      <c r="S58" s="27">
        <v>4.4999999999999998E-2</v>
      </c>
      <c r="T58" s="44">
        <f t="shared" si="0"/>
        <v>65.789473684210407</v>
      </c>
      <c r="U58" s="43">
        <f t="shared" si="1"/>
        <v>-2.2499999999999999E-2</v>
      </c>
      <c r="V58" s="43">
        <f t="shared" si="2"/>
        <v>2.2499999999999999E-2</v>
      </c>
      <c r="Y58" s="68">
        <f>Y57-Pres/n</f>
        <v>76</v>
      </c>
      <c r="Z58" s="69" cm="1">
        <f t="array" ref="Z58">[1]!IPR_qliq_sm3day(PI,Pres,Y58,fw_,Pb_)</f>
        <v>279.35087684586796</v>
      </c>
      <c r="AA58" s="28">
        <f>[1]!MF_p_choke_atma(Z58,fw_,dchoke,Pline_,0,dtub,Twh_,,PVTstr_)</f>
        <v>26.7083740234375</v>
      </c>
      <c r="AB58" s="28">
        <f>[1]!MF_p_pipeline_atma(AA58,Twh_,$E$52:$F$62,$B$52:$C$68,$H$52:$I$61,Z58,fw_,Qgas_free,PVTstr_,calc_flow_direction_,Hydr_corr_,temp_model)</f>
        <v>247.09393599851651</v>
      </c>
    </row>
    <row r="59" spans="2:28" x14ac:dyDescent="0.25">
      <c r="B59" s="16">
        <v>1600</v>
      </c>
      <c r="C59" s="16">
        <v>1551</v>
      </c>
      <c r="E59" s="18"/>
      <c r="F59" s="18"/>
      <c r="G59" s="10"/>
      <c r="H59" s="18"/>
      <c r="I59" s="18"/>
      <c r="K59" s="25">
        <v>15</v>
      </c>
      <c r="L59" s="28">
        <v>1842.1052631578946</v>
      </c>
      <c r="M59" s="28">
        <v>1753.1052631578946</v>
      </c>
      <c r="N59" s="28">
        <v>162.18167281941149</v>
      </c>
      <c r="O59" s="28">
        <v>48.920789473684202</v>
      </c>
      <c r="P59" s="28">
        <v>1</v>
      </c>
      <c r="Q59" s="28">
        <v>100</v>
      </c>
      <c r="R59" s="28">
        <v>48.920789473684202</v>
      </c>
      <c r="S59" s="27">
        <v>4.4999999999999998E-2</v>
      </c>
      <c r="T59" s="44">
        <f t="shared" si="0"/>
        <v>89</v>
      </c>
      <c r="U59" s="43">
        <f t="shared" si="1"/>
        <v>-2.2499999999999999E-2</v>
      </c>
      <c r="V59" s="43">
        <f t="shared" si="2"/>
        <v>2.2499999999999999E-2</v>
      </c>
      <c r="Y59" s="68">
        <f>Y58-Pres/n</f>
        <v>65</v>
      </c>
      <c r="Z59" s="69" cm="1">
        <f t="array" ref="Z59">[1]!IPR_qliq_sm3day(PI,Pres,Y59,fw_,Pb_)</f>
        <v>295.69219381653056</v>
      </c>
      <c r="AA59" s="28">
        <f>[1]!MF_p_choke_atma(Z59,fw_,dchoke,Pline_,0,dtub,Twh_,,PVTstr_)</f>
        <v>28.2525634765625</v>
      </c>
      <c r="AB59" s="28">
        <f>[1]!MF_p_pipeline_atma(AA59,Twh_,$E$52:$F$62,$B$52:$C$68,$H$52:$I$61,Z59,fw_,Qgas_free,PVTstr_,calc_flow_direction_,Hydr_corr_,temp_model)</f>
        <v>252.96274409834854</v>
      </c>
    </row>
    <row r="60" spans="2:28" x14ac:dyDescent="0.25">
      <c r="B60" s="16">
        <v>1700</v>
      </c>
      <c r="C60" s="16">
        <v>1636</v>
      </c>
      <c r="E60" s="18"/>
      <c r="F60" s="18"/>
      <c r="G60" s="10"/>
      <c r="H60" s="18"/>
      <c r="I60" s="18"/>
      <c r="K60" s="25">
        <v>16</v>
      </c>
      <c r="L60" s="28">
        <v>1973.6842105263156</v>
      </c>
      <c r="M60" s="28">
        <v>1858.2105263157894</v>
      </c>
      <c r="N60" s="28">
        <v>171.29186699265324</v>
      </c>
      <c r="O60" s="28">
        <v>54.701578947368411</v>
      </c>
      <c r="P60" s="28">
        <v>1</v>
      </c>
      <c r="Q60" s="28">
        <v>100</v>
      </c>
      <c r="R60" s="28">
        <v>54.701578947368411</v>
      </c>
      <c r="S60" s="27">
        <v>4.4999999999999998E-2</v>
      </c>
      <c r="T60" s="44">
        <f t="shared" si="0"/>
        <v>115.47368421052624</v>
      </c>
      <c r="U60" s="43">
        <f t="shared" si="1"/>
        <v>-2.2499999999999999E-2</v>
      </c>
      <c r="V60" s="43">
        <f t="shared" si="2"/>
        <v>2.2499999999999999E-2</v>
      </c>
      <c r="Y60" s="68">
        <f>Y59-Pres/n</f>
        <v>54</v>
      </c>
      <c r="Z60" s="69" cm="1">
        <f t="array" ref="Z60">[1]!IPR_qliq_sm3day(PI,Pres,Y60,fw_,Pb_)</f>
        <v>310.05699061148988</v>
      </c>
      <c r="AA60" s="28">
        <f>[1]!MF_p_choke_atma(Z60,fw_,dchoke,Pline_,0,dtub,Twh_,,PVTstr_)</f>
        <v>29.6051025390625</v>
      </c>
      <c r="AB60" s="28">
        <f>[1]!MF_p_pipeline_atma(AA60,Twh_,$E$52:$F$62,$B$52:$C$68,$H$52:$I$61,Z60,fw_,Qgas_free,PVTstr_,calc_flow_direction_,Hydr_corr_,temp_model)</f>
        <v>258.14617995189798</v>
      </c>
    </row>
    <row r="61" spans="2:28" x14ac:dyDescent="0.25">
      <c r="B61" s="16">
        <v>1800</v>
      </c>
      <c r="C61" s="16">
        <v>1719</v>
      </c>
      <c r="E61" s="18"/>
      <c r="F61" s="18"/>
      <c r="G61" s="10"/>
      <c r="H61" s="18"/>
      <c r="I61" s="18"/>
      <c r="K61" s="25">
        <v>17</v>
      </c>
      <c r="L61" s="28">
        <v>2105.2631578947367</v>
      </c>
      <c r="M61" s="28">
        <v>1959.9473684210525</v>
      </c>
      <c r="N61" s="28">
        <v>180.08383896464758</v>
      </c>
      <c r="O61" s="28">
        <v>60.297105263157889</v>
      </c>
      <c r="P61" s="28">
        <v>1</v>
      </c>
      <c r="Q61" s="28">
        <v>100</v>
      </c>
      <c r="R61" s="28">
        <v>60.297105263157889</v>
      </c>
      <c r="S61" s="27">
        <v>4.4999999999999998E-2</v>
      </c>
      <c r="T61" s="44">
        <f t="shared" si="0"/>
        <v>145.31578947368416</v>
      </c>
      <c r="U61" s="43">
        <f t="shared" si="1"/>
        <v>-2.2499999999999999E-2</v>
      </c>
      <c r="V61" s="43">
        <f t="shared" si="2"/>
        <v>2.2499999999999999E-2</v>
      </c>
      <c r="Y61" s="68">
        <f>Y60-Pres/n</f>
        <v>43</v>
      </c>
      <c r="Z61" s="69" cm="1">
        <f t="array" ref="Z61">[1]!IPR_qliq_sm3day(PI,Pres,Y61,fw_,Pb_)</f>
        <v>321.94914889006299</v>
      </c>
      <c r="AA61" s="28">
        <f>[1]!MF_p_choke_atma(Z61,fw_,dchoke,Pline_,0,dtub,Twh_,,PVTstr_)</f>
        <v>30.7232666015625</v>
      </c>
      <c r="AB61" s="28">
        <f>[1]!MF_p_pipeline_atma(AA61,Twh_,$E$52:$F$62,$B$52:$C$68,$H$52:$I$61,Z61,fw_,Qgas_free,PVTstr_,calc_flow_direction_,Hydr_corr_,temp_model)</f>
        <v>262.36774051518586</v>
      </c>
    </row>
    <row r="62" spans="2:28" x14ac:dyDescent="0.25">
      <c r="B62" s="16">
        <v>1900</v>
      </c>
      <c r="C62" s="16">
        <v>1800</v>
      </c>
      <c r="E62" s="18"/>
      <c r="F62" s="18"/>
      <c r="G62" s="10"/>
      <c r="H62" s="18"/>
      <c r="I62" s="18"/>
      <c r="K62" s="25">
        <v>18</v>
      </c>
      <c r="L62" s="28">
        <v>2236.8421052631575</v>
      </c>
      <c r="M62" s="28">
        <v>2057.894736842105</v>
      </c>
      <c r="N62" s="28">
        <v>188.52014055471025</v>
      </c>
      <c r="O62" s="28">
        <v>65.684210526315766</v>
      </c>
      <c r="P62" s="28">
        <v>1</v>
      </c>
      <c r="Q62" s="28">
        <v>100</v>
      </c>
      <c r="R62" s="28">
        <v>65.684210526315766</v>
      </c>
      <c r="S62" s="27">
        <v>4.4999999999999998E-2</v>
      </c>
      <c r="T62" s="44">
        <f t="shared" si="0"/>
        <v>178.94736842105249</v>
      </c>
      <c r="U62" s="43">
        <f t="shared" si="1"/>
        <v>-2.2499999999999999E-2</v>
      </c>
      <c r="V62" s="43">
        <f t="shared" si="2"/>
        <v>2.2499999999999999E-2</v>
      </c>
      <c r="Y62" s="68">
        <f>Y61-Pres/n</f>
        <v>32</v>
      </c>
      <c r="Z62" s="69" cm="1">
        <f t="array" ref="Z62">[1]!IPR_qliq_sm3day(PI,Pres,Y62,fw_,Pb_)</f>
        <v>330.62203313644204</v>
      </c>
      <c r="AA62" s="28">
        <f>[1]!MF_p_choke_atma(Z62,fw_,dchoke,Pline_,0,dtub,Twh_,,PVTstr_)</f>
        <v>31.5374755859375</v>
      </c>
      <c r="AB62" s="28">
        <f>[1]!MF_p_pipeline_atma(AA62,Twh_,$E$52:$F$62,$B$52:$C$68,$H$52:$I$61,Z62,fw_,Qgas_free,PVTstr_,calc_flow_direction_,Hydr_corr_,temp_model)</f>
        <v>265.68318135109018</v>
      </c>
    </row>
    <row r="63" spans="2:28" x14ac:dyDescent="0.25">
      <c r="B63" s="16">
        <v>2000</v>
      </c>
      <c r="C63" s="16">
        <v>1879</v>
      </c>
      <c r="E63" s="18"/>
      <c r="F63" s="18"/>
      <c r="G63" s="10"/>
      <c r="H63" s="18"/>
      <c r="I63" s="18"/>
      <c r="K63" s="25">
        <v>19</v>
      </c>
      <c r="L63" s="28">
        <v>2368.4210526315787</v>
      </c>
      <c r="M63" s="28">
        <v>2152.5789473684208</v>
      </c>
      <c r="N63" s="28">
        <v>196.65214794840691</v>
      </c>
      <c r="O63" s="28">
        <v>70.891842105263152</v>
      </c>
      <c r="P63" s="28">
        <v>1</v>
      </c>
      <c r="Q63" s="28">
        <v>100</v>
      </c>
      <c r="R63" s="28">
        <v>70.891842105263152</v>
      </c>
      <c r="S63" s="27">
        <v>4.4999999999999998E-2</v>
      </c>
      <c r="T63" s="44">
        <f t="shared" si="0"/>
        <v>215.84210526315792</v>
      </c>
      <c r="U63" s="43">
        <f t="shared" si="1"/>
        <v>-2.2499999999999999E-2</v>
      </c>
      <c r="V63" s="43">
        <f t="shared" si="2"/>
        <v>2.2499999999999999E-2</v>
      </c>
      <c r="Y63" s="68">
        <f>Y62-Pres/n</f>
        <v>21</v>
      </c>
      <c r="Z63" s="69" cm="1">
        <f t="array" ref="Z63">[1]!IPR_qliq_sm3day(PI,Pres,Y63,fw_,Pb_)</f>
        <v>335.69689162569261</v>
      </c>
      <c r="AA63" s="28">
        <f>[1]!MF_p_choke_atma(Z63,fw_,dchoke,Pline_,0,dtub,Twh_,,PVTstr_)</f>
        <v>32.0135498046875</v>
      </c>
      <c r="AB63" s="28">
        <f>[1]!MF_p_pipeline_atma(AA63,Twh_,$E$52:$F$62,$B$52:$C$68,$H$52:$I$61,Z63,fw_,Qgas_free,PVTstr_,calc_flow_direction_,Hydr_corr_,temp_model)</f>
        <v>267.62213739442865</v>
      </c>
    </row>
    <row r="64" spans="2:28" x14ac:dyDescent="0.25">
      <c r="B64" s="16">
        <v>2100</v>
      </c>
      <c r="C64" s="16">
        <v>1956</v>
      </c>
      <c r="E64" s="18"/>
      <c r="F64" s="18"/>
      <c r="G64" s="10"/>
      <c r="H64" s="18"/>
      <c r="I64" s="18"/>
      <c r="K64" s="29">
        <v>20</v>
      </c>
      <c r="L64" s="30">
        <v>2500</v>
      </c>
      <c r="M64" s="30">
        <v>2244</v>
      </c>
      <c r="N64" s="30">
        <v>204.5680302190512</v>
      </c>
      <c r="O64" s="30">
        <v>75.92</v>
      </c>
      <c r="P64" s="30">
        <v>1</v>
      </c>
      <c r="Q64" s="30">
        <v>100</v>
      </c>
      <c r="R64" s="30">
        <v>75.92</v>
      </c>
      <c r="S64" s="31">
        <v>0.125</v>
      </c>
      <c r="T64" s="44">
        <f t="shared" si="0"/>
        <v>256</v>
      </c>
      <c r="U64" s="43">
        <f t="shared" si="1"/>
        <v>-6.25E-2</v>
      </c>
      <c r="V64" s="43">
        <f t="shared" si="2"/>
        <v>6.25E-2</v>
      </c>
      <c r="Y64" s="68">
        <f>Y63-Pres/n</f>
        <v>10</v>
      </c>
      <c r="Z64" s="69" cm="1">
        <f t="array" ref="Z64">[1]!IPR_qliq_sm3day(PI,Pres,Y64,fw_,Pb_)</f>
        <v>340.28497536968428</v>
      </c>
      <c r="AA64" s="28">
        <f>[1]!MF_p_choke_atma(Z64,fw_,dchoke,Pline_,0,dtub,Twh_,,PVTstr_)</f>
        <v>32.4432373046875</v>
      </c>
      <c r="AB64" s="28">
        <f>[1]!MF_p_pipeline_atma(AA64,Twh_,$E$52:$F$62,$B$52:$C$68,$H$52:$I$61,Z64,fw_,Qgas_free,PVTstr_,calc_flow_direction_,Hydr_corr_,temp_model)</f>
        <v>269.42175011613028</v>
      </c>
    </row>
    <row r="65" spans="2:16" x14ac:dyDescent="0.25">
      <c r="B65" s="16">
        <v>2200</v>
      </c>
      <c r="C65" s="16">
        <v>2031</v>
      </c>
      <c r="E65" s="18"/>
      <c r="F65" s="18"/>
      <c r="G65" s="10"/>
      <c r="H65" s="18"/>
      <c r="I65" s="18"/>
    </row>
    <row r="66" spans="2:16" x14ac:dyDescent="0.25">
      <c r="B66" s="16">
        <v>2300</v>
      </c>
      <c r="C66" s="16">
        <v>2104</v>
      </c>
      <c r="E66" s="18"/>
      <c r="F66" s="18"/>
      <c r="G66" s="10"/>
      <c r="H66" s="18"/>
      <c r="I66" s="18"/>
    </row>
    <row r="67" spans="2:16" x14ac:dyDescent="0.25">
      <c r="B67" s="16">
        <v>2400</v>
      </c>
      <c r="C67" s="16">
        <v>2175</v>
      </c>
      <c r="E67" s="18"/>
      <c r="F67" s="18"/>
      <c r="G67" s="10"/>
      <c r="H67" s="18"/>
      <c r="I67" s="18"/>
    </row>
    <row r="68" spans="2:16" x14ac:dyDescent="0.25">
      <c r="B68" s="16">
        <v>2500</v>
      </c>
      <c r="C68" s="16">
        <v>2244</v>
      </c>
      <c r="E68" s="18"/>
      <c r="F68" s="18"/>
      <c r="G68" s="10"/>
      <c r="H68" s="18"/>
      <c r="I68" s="18"/>
    </row>
    <row r="69" spans="2:16" x14ac:dyDescent="0.25">
      <c r="B69" s="16"/>
      <c r="C69" s="16"/>
      <c r="E69" s="18"/>
      <c r="F69" s="18"/>
      <c r="G69" s="10"/>
      <c r="H69" s="18"/>
      <c r="I69" s="18"/>
    </row>
    <row r="70" spans="2:16" x14ac:dyDescent="0.25">
      <c r="B70" s="16"/>
      <c r="C70" s="16"/>
      <c r="E70" s="18"/>
      <c r="F70" s="18"/>
      <c r="G70" s="10"/>
      <c r="H70" s="18"/>
      <c r="I70" s="18"/>
    </row>
    <row r="71" spans="2:16" x14ac:dyDescent="0.25">
      <c r="B71" s="16"/>
      <c r="C71" s="16"/>
      <c r="E71" s="18"/>
      <c r="F71" s="18"/>
      <c r="G71" s="10"/>
      <c r="H71" s="18"/>
      <c r="I71" s="18"/>
    </row>
    <row r="72" spans="2:16" x14ac:dyDescent="0.25">
      <c r="B72" s="16"/>
      <c r="C72" s="16"/>
      <c r="G72" s="10"/>
    </row>
    <row r="73" spans="2:16" x14ac:dyDescent="0.25">
      <c r="B73" s="16"/>
      <c r="C73" s="16"/>
      <c r="G73" s="10"/>
      <c r="P73" s="20"/>
    </row>
    <row r="74" spans="2:16" x14ac:dyDescent="0.25">
      <c r="B74" s="16"/>
      <c r="C74" s="16"/>
      <c r="G74" s="10"/>
    </row>
  </sheetData>
  <mergeCells count="12">
    <mergeCell ref="U20:X20"/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55</vt:i4>
      </vt:variant>
    </vt:vector>
  </HeadingPairs>
  <TitlesOfParts>
    <vt:vector size="56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dcas</vt:lpstr>
      <vt:lpstr>dchoke</vt:lpstr>
      <vt:lpstr>dtub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Htub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n</vt:lpstr>
      <vt:lpstr>exercise_pipeline!Pb_</vt:lpstr>
      <vt:lpstr>PI</vt:lpstr>
      <vt:lpstr>exercise_pipeline!Pline_</vt:lpstr>
      <vt:lpstr>Pres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exercise_pipeline!temp_model</vt:lpstr>
      <vt:lpstr>exercise_pipeline!tempm</vt:lpstr>
      <vt:lpstr>exercise_pipeline!Tres_</vt:lpstr>
      <vt:lpstr>exercise_pipeline!Tsep</vt:lpstr>
      <vt:lpstr>exercise_pipeline!Twh_</vt:lpstr>
      <vt:lpstr>Нperf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2020-05-07T06:55:33Z</dcterms:modified>
</cp:coreProperties>
</file>