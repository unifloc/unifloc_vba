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nifloc\unifloc_vba\examples\"/>
    </mc:Choice>
  </mc:AlternateContent>
  <xr:revisionPtr revIDLastSave="0" documentId="13_ncr:1_{BA9390F6-B807-4555-A0E4-968F15E36F0E}" xr6:coauthVersionLast="47" xr6:coauthVersionMax="47" xr10:uidLastSave="{00000000-0000-0000-0000-000000000000}"/>
  <bookViews>
    <workbookView xWindow="7920" yWindow="780" windowWidth="25530" windowHeight="17745" tabRatio="510" xr2:uid="{CBB18379-7E76-40C7-BC74-A5CF898F6A9B}"/>
  </bookViews>
  <sheets>
    <sheet name="exercise_pipeline" sheetId="3" r:id="rId1"/>
  </sheets>
  <externalReferences>
    <externalReference r:id="rId2"/>
  </externalReferences>
  <definedNames>
    <definedName name="Bob_" localSheetId="0">exercise_pipeline!$C$17</definedName>
    <definedName name="calc_along_coord" localSheetId="0">exercise_pipeline!$U$29</definedName>
    <definedName name="calc_along_coord1" localSheetId="0">exercise_pipeline!$V$29</definedName>
    <definedName name="calc_flow_direction_" localSheetId="0">exercise_pipeline!$U$31</definedName>
    <definedName name="calc_flow_direction1_" localSheetId="0">exercise_pipeline!$V$31</definedName>
    <definedName name="calibr_fric" localSheetId="0">exercise_pipeline!$X$9</definedName>
    <definedName name="calibr_grav" localSheetId="0">exercise_pipeline!$X$8</definedName>
    <definedName name="calibr_type" localSheetId="0">exercise_pipeline!$X$4</definedName>
    <definedName name="construction">exercise_pipeline!$P$22</definedName>
    <definedName name="feed">exercise_pipeline!$I$12</definedName>
    <definedName name="flow_along_coord" localSheetId="0">exercise_pipeline!$U$30</definedName>
    <definedName name="flow_along_coord1" localSheetId="0">exercise_pipeline!$V$30</definedName>
    <definedName name="fw_" localSheetId="0">exercise_pipeline!$C$23</definedName>
    <definedName name="gamma_gas_" localSheetId="0">exercise_pipeline!$C$13</definedName>
    <definedName name="gamma_oil_" localSheetId="0">exercise_pipeline!$C$11</definedName>
    <definedName name="gamma_wat_" localSheetId="0">exercise_pipeline!$C$12</definedName>
    <definedName name="gas_only_" localSheetId="0">exercise_pipeline!$X$5</definedName>
    <definedName name="hcor" localSheetId="0">exercise_pipeline!$U$27</definedName>
    <definedName name="Hydr_corr_" localSheetId="0">exercise_pipeline!$X$3</definedName>
    <definedName name="inclinometry" localSheetId="0">exercise_pipeline!$B$40:$C$62</definedName>
    <definedName name="input_0" localSheetId="0">exercise_pipeline!$C$11:$C$32</definedName>
    <definedName name="input_1" localSheetId="0">exercise_pipeline!$C$28:$C$32</definedName>
    <definedName name="input_2" localSheetId="0">exercise_pipeline!$X$6:$X$9</definedName>
    <definedName name="input_3" localSheetId="0">exercise_pipeline!$U$28:$U$30</definedName>
    <definedName name="input_5" localSheetId="0">exercise_pipeline!$B$40:$C$62</definedName>
    <definedName name="input_6" localSheetId="0">exercise_pipeline!$E$40:$F$59</definedName>
    <definedName name="input_7" localSheetId="0">exercise_pipeline!$H$40:$I$59</definedName>
    <definedName name="input_Course" localSheetId="0">exercise_pipeline!$I$3</definedName>
    <definedName name="input_Date" localSheetId="0">exercise_pipeline!$I$1</definedName>
    <definedName name="input_Group" localSheetId="0">exercise_pipeline!$I$4</definedName>
    <definedName name="input_Notes" localSheetId="0">exercise_pipeline!$I$6</definedName>
    <definedName name="input_Student_Name" localSheetId="0">exercise_pipeline!$I$5</definedName>
    <definedName name="input_Version" localSheetId="0">exercise_pipeline!$I$2</definedName>
    <definedName name="Ksep" localSheetId="0">exercise_pipeline!$U$16</definedName>
    <definedName name="muob_" localSheetId="0">exercise_pipeline!$C$18</definedName>
    <definedName name="P0" localSheetId="0">exercise_pipeline!$K$21</definedName>
    <definedName name="P1_" localSheetId="0">exercise_pipeline!$K$22</definedName>
    <definedName name="Pb_" localSheetId="0">exercise_pipeline!$C$15</definedName>
    <definedName name="Psep" localSheetId="0">exercise_pipeline!$U$17</definedName>
    <definedName name="PVT_corr_" localSheetId="0">exercise_pipeline!$X$2</definedName>
    <definedName name="PVTstr_" localSheetId="0">exercise_pipeline!$I$11</definedName>
    <definedName name="Qgas_free" localSheetId="0">exercise_pipeline!$C$24</definedName>
    <definedName name="qliq_" localSheetId="0">exercise_pipeline!$C$21</definedName>
    <definedName name="Rp_" localSheetId="0">exercise_pipeline!$C$22</definedName>
    <definedName name="Rsb_" localSheetId="0">exercise_pipeline!$C$14</definedName>
    <definedName name="t_model">exercise_pipeline!$P$21</definedName>
    <definedName name="T0" localSheetId="0">exercise_pipeline!$K$23</definedName>
    <definedName name="T1_" localSheetId="0">exercise_pipeline!$K$24</definedName>
    <definedName name="temp_model" localSheetId="0">exercise_pipeline!$U$28</definedName>
    <definedName name="tempm" localSheetId="0">exercise_pipeline!$U$28</definedName>
    <definedName name="Tres_" localSheetId="0">exercise_pipeline!$C$16</definedName>
    <definedName name="Tsep" localSheetId="0">exercise_pipeline!$U$18</definedName>
    <definedName name="znlf">exercise_pipeline!$X$6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29" i="3" l="1"/>
  <c r="V31" i="3"/>
  <c r="U31" i="3"/>
  <c r="E16" i="3"/>
  <c r="E15" i="3"/>
  <c r="E22" i="3"/>
  <c r="E14" i="3"/>
  <c r="E13" i="3"/>
  <c r="E12" i="3"/>
  <c r="E11" i="3"/>
  <c r="E67" i="3" a="1"/>
  <c r="P24" i="3" a="1"/>
  <c r="K29" i="3" a="1"/>
  <c r="G1" i="3"/>
  <c r="P22" i="3" a="1"/>
  <c r="Q7" i="3" a="1"/>
  <c r="P21" i="3" a="1"/>
  <c r="I11" i="3"/>
  <c r="E67" i="3" l="1"/>
  <c r="P24" i="3"/>
  <c r="K29" i="3"/>
  <c r="P21" i="3"/>
  <c r="Q7" i="3"/>
  <c r="P22" i="3"/>
  <c r="E71" i="3" a="1"/>
  <c r="K30" i="3" a="1"/>
  <c r="P23" i="3" a="1"/>
  <c r="I12" i="3" a="1"/>
  <c r="E80" i="3" a="1"/>
  <c r="H80" i="3" a="1"/>
  <c r="H80" i="3" l="1"/>
  <c r="E80" i="3"/>
  <c r="E71" i="3"/>
  <c r="P23" i="3"/>
  <c r="K30" i="3"/>
  <c r="I12" i="3"/>
  <c r="O39" i="3" a="1"/>
  <c r="O39" i="3" l="1"/>
  <c r="O41" i="3" a="1"/>
  <c r="I15" i="3" a="1"/>
  <c r="O50" i="3" a="1"/>
  <c r="R50" i="3" a="1"/>
  <c r="R50" i="3" l="1"/>
  <c r="O50" i="3"/>
  <c r="O41" i="3"/>
  <c r="I15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C28" authorId="0" shapeId="0" xr:uid="{81930183-E6B5-4FC6-AE3A-67EC827D1E1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C29" authorId="0" shapeId="0" xr:uid="{04F1681C-E4FC-4066-ADBF-ED684C47073D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<sst xmlns="http://schemas.openxmlformats.org/spreadsheetml/2006/main" count="130" uniqueCount="106">
  <si>
    <t>Упражнения по работе с макросами Unifloc VBA</t>
  </si>
  <si>
    <t>версия</t>
  </si>
  <si>
    <t>Физико - химические свойства флюида   PVT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</si>
  <si>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</si>
  <si>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</si>
  <si>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</si>
  <si>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</si>
  <si>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</si>
  <si>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</si>
  <si>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scheme val="minor"/>
      </rPr>
      <t>/т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</si>
  <si>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</si>
  <si>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</si>
  <si>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t>атмa</t>
  </si>
  <si>
    <t>МПа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</si>
  <si>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</si>
  <si>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С</t>
  </si>
  <si>
    <t>Ф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</si>
  <si>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</si>
  <si>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</si>
  <si>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сП</t>
  </si>
  <si>
    <t>Параметры потока флюида</t>
  </si>
  <si>
    <r>
      <t>Q</t>
    </r>
    <r>
      <rPr>
        <vertAlign val="subscript"/>
        <sz val="10"/>
        <rFont val="Arial Cyr"/>
        <charset val="204"/>
      </rPr>
      <t>l</t>
    </r>
  </si>
  <si>
    <r>
      <t>м</t>
    </r>
    <r>
      <rPr>
        <vertAlign val="superscript"/>
        <sz val="10"/>
        <rFont val="Arial Cyr"/>
        <charset val="204"/>
      </rPr>
      <t>3</t>
    </r>
    <r>
      <rPr>
        <sz val="11"/>
        <color theme="1"/>
        <rFont val="Calibri"/>
        <family val="2"/>
        <scheme val="minor"/>
      </rPr>
      <t>/сут</t>
    </r>
  </si>
  <si>
    <r>
      <t>f</t>
    </r>
    <r>
      <rPr>
        <vertAlign val="subscript"/>
        <sz val="10"/>
        <rFont val="Arial Cyr"/>
        <charset val="204"/>
      </rPr>
      <t>w</t>
    </r>
  </si>
  <si>
    <t>%</t>
  </si>
  <si>
    <t>м</t>
  </si>
  <si>
    <t>мм</t>
  </si>
  <si>
    <t>P0</t>
  </si>
  <si>
    <t>P1</t>
  </si>
  <si>
    <t>T0</t>
  </si>
  <si>
    <t>°C</t>
  </si>
  <si>
    <t>T1</t>
  </si>
  <si>
    <t>PVT строка</t>
  </si>
  <si>
    <t>Конструкция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</si>
  <si>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</si>
  <si>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</si>
  <si>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scheme val="minor"/>
      </rPr>
      <t>С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</si>
  <si>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</si>
  <si>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</si>
  <si>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</si>
  <si>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t xml:space="preserve">Инклинометрия 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</si>
  <si>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</si>
  <si>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</si>
  <si>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t>T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</si>
  <si>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</si>
  <si>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t>calc_along_coord</t>
  </si>
  <si>
    <t>flow_along_coord</t>
  </si>
  <si>
    <t>temp model</t>
  </si>
  <si>
    <r>
      <t>Q</t>
    </r>
    <r>
      <rPr>
        <vertAlign val="subscript"/>
        <sz val="11"/>
        <color theme="1"/>
        <rFont val="Calibri"/>
        <family val="2"/>
        <charset val="204"/>
      </rPr>
      <t>gas free</t>
    </r>
  </si>
  <si>
    <r>
      <t>нм</t>
    </r>
    <r>
      <rPr>
        <vertAlign val="superscript"/>
        <sz val="10"/>
        <rFont val="Arial Cyr"/>
        <charset val="204"/>
      </rPr>
      <t>3</t>
    </r>
    <r>
      <rPr>
        <sz val="11"/>
        <color theme="1"/>
        <rFont val="Calibri"/>
        <family val="2"/>
        <scheme val="minor"/>
      </rPr>
      <t>/сут</t>
    </r>
  </si>
  <si>
    <t>Настройки модели</t>
  </si>
  <si>
    <t xml:space="preserve">Температура </t>
  </si>
  <si>
    <t>input_Date</t>
  </si>
  <si>
    <t>input_Version</t>
  </si>
  <si>
    <t>Курс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</si>
  <si>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</si>
  <si>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</si>
  <si>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</si>
  <si>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</si>
  <si>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</si>
  <si>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</si>
  <si>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</si>
  <si>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</si>
  <si>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</si>
  <si>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</si>
  <si>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Сепарация газа</t>
  </si>
  <si>
    <r>
      <t>K</t>
    </r>
    <r>
      <rPr>
        <vertAlign val="subscript"/>
        <sz val="11"/>
        <color theme="1"/>
        <rFont val="Calibri"/>
        <family val="2"/>
        <charset val="204"/>
      </rPr>
      <t>sep</t>
    </r>
  </si>
  <si>
    <t>Корреляция PVT</t>
  </si>
  <si>
    <t>Корреляция гидр</t>
  </si>
  <si>
    <t>калибровка тип</t>
  </si>
  <si>
    <t>только газ</t>
  </si>
  <si>
    <t>Поправки</t>
  </si>
  <si>
    <t>Калибровка грав</t>
  </si>
  <si>
    <t>Калибровка трение</t>
  </si>
  <si>
    <t>Параметр расчета</t>
  </si>
  <si>
    <t>Барботаж</t>
  </si>
  <si>
    <t>Поток</t>
  </si>
  <si>
    <t>Температурная модель</t>
  </si>
  <si>
    <t xml:space="preserve">Конструкция </t>
  </si>
  <si>
    <t>гидро модель</t>
  </si>
  <si>
    <t>show_log</t>
  </si>
  <si>
    <t>num_value</t>
  </si>
  <si>
    <t>show_array</t>
  </si>
  <si>
    <t>Параметры расчета</t>
  </si>
  <si>
    <t>Расчет скважины с УЭЦН</t>
  </si>
  <si>
    <t>Замеры по скважине</t>
  </si>
  <si>
    <t>Диаметры НКТ</t>
  </si>
  <si>
    <t>Диаметры э/к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</si>
  <si>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tub </t>
    </r>
  </si>
  <si>
    <t>Параметры ЭЦН</t>
  </si>
  <si>
    <t>Номинал</t>
  </si>
  <si>
    <t>м3/сут</t>
  </si>
  <si>
    <t>ID</t>
  </si>
  <si>
    <t>Напор</t>
  </si>
  <si>
    <t xml:space="preserve">м </t>
  </si>
  <si>
    <t>ступеней</t>
  </si>
  <si>
    <t>частота</t>
  </si>
  <si>
    <t>шт</t>
  </si>
  <si>
    <t>ЭЦН</t>
  </si>
  <si>
    <t>Результат расчета</t>
  </si>
  <si>
    <t>Параметры пласта</t>
  </si>
  <si>
    <t>Рпл</t>
  </si>
  <si>
    <t>Кпр</t>
  </si>
  <si>
    <t>Рнас</t>
  </si>
  <si>
    <t>IPR</t>
  </si>
  <si>
    <t>t_crit_C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</si>
</sst>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perscript"/>
      <sz val="1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perscript"/>
      <sz val="10"/>
      <name val="Arial Cyr"/>
      <charset val="204"/>
    </font>
    <font>
      <b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1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 applyAlignment="1">
      <alignment horizontal="center" wrapText="1"/>
    </xf>
    <xf numFmtId="1" fontId="0" fillId="5" borderId="1" xfId="0" applyNumberFormat="1" applyFill="1" applyBorder="1" applyAlignment="1">
      <alignment horizontal="center"/>
    </xf>
    <xf numFmtId="0" fontId="2" fillId="2" borderId="1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4" borderId="1" xfId="0" applyFill="1" applyBorder="1" applyAlignment="1">
      <alignment horizontal="center" wrapText="1"/>
    </xf>
    <xf numFmtId="0" fontId="0" fillId="5" borderId="1" xfId="0" applyFill="1" applyBorder="1"/>
    <xf numFmtId="0" fontId="9" fillId="2" borderId="0" xfId="0" applyFont="1" applyFill="1"/>
    <xf numFmtId="0" fontId="0" fillId="2" borderId="0" xfId="0" applyFill="1"/>
    <xf numFmtId="0" fontId="0" fillId="2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5" borderId="3" xfId="0" applyFill="1" applyBorder="1"/>
    <xf numFmtId="0" fontId="0" fillId="5" borderId="2" xfId="0" applyFill="1" applyBorder="1"/>
    <xf numFmtId="14" fontId="0" fillId="5" borderId="0" xfId="0" applyNumberFormat="1" applyFill="1" applyAlignment="1">
      <alignment horizontal="left" vertical="top"/>
    </xf>
    <xf numFmtId="0" fontId="0" fillId="5" borderId="0" xfId="0" applyFill="1"/>
    <xf numFmtId="0" fontId="0" fillId="5" borderId="0" xfId="0" applyFill="1" applyAlignment="1">
      <alignment horizontal="left" vertical="top"/>
    </xf>
    <xf numFmtId="0" fontId="2" fillId="2" borderId="1" xfId="0" applyFont="1" applyFill="1" applyBorder="1" applyAlignment="1">
      <alignment horizontal="left"/>
    </xf>
    <xf numFmtId="0" fontId="0" fillId="2" borderId="12" xfId="0" applyFill="1" applyBorder="1" applyAlignment="1">
      <alignment vertical="top"/>
    </xf>
    <xf numFmtId="0" fontId="0" fillId="2" borderId="0" xfId="0" applyFill="1" applyAlignment="1">
      <alignment vertical="top"/>
    </xf>
    <xf numFmtId="0" fontId="0" fillId="5" borderId="0" xfId="0" applyFill="1" applyAlignment="1">
      <alignment vertical="top"/>
    </xf>
    <xf numFmtId="0" fontId="0" fillId="2" borderId="14" xfId="0" applyFill="1" applyBorder="1" applyAlignment="1">
      <alignment vertical="top"/>
    </xf>
    <xf numFmtId="0" fontId="0" fillId="2" borderId="15" xfId="0" applyFill="1" applyBorder="1" applyAlignment="1">
      <alignment vertical="top"/>
    </xf>
    <xf numFmtId="1" fontId="0" fillId="3" borderId="1" xfId="0" applyNumberFormat="1" applyFill="1" applyBorder="1" applyAlignment="1">
      <alignment horizontal="center"/>
    </xf>
    <xf numFmtId="0" fontId="0" fillId="2" borderId="11" xfId="0" applyFill="1" applyBorder="1"/>
    <xf numFmtId="0" fontId="2" fillId="2" borderId="2" xfId="0" applyFont="1" applyFill="1" applyBorder="1" applyAlignment="1">
      <alignment horizontal="right"/>
    </xf>
    <xf numFmtId="0" fontId="0" fillId="2" borderId="2" xfId="0" applyFill="1" applyBorder="1" applyAlignment="1">
      <alignment horizontal="right"/>
    </xf>
    <xf numFmtId="0" fontId="9" fillId="0" borderId="0" xfId="0" applyFont="1"/>
    <xf numFmtId="0" fontId="9" fillId="0" borderId="0" xfId="0" applyFont="1" applyFill="1"/>
    <xf numFmtId="0" fontId="0" fillId="0" borderId="0" xfId="0" applyFill="1"/>
    <xf numFmtId="0" fontId="0" fillId="6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" fontId="0" fillId="0" borderId="0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wrapText="1"/>
    </xf>
    <xf numFmtId="0" fontId="0" fillId="0" borderId="0" xfId="0" applyAlignment="1">
      <alignment horizontal="left"/>
    </xf>
    <xf numFmtId="1" fontId="0" fillId="0" borderId="0" xfId="0" applyNumberFormat="1" applyFill="1" applyBorder="1" applyAlignment="1">
      <alignment horizontal="left"/>
    </xf>
    <xf numFmtId="0" fontId="2" fillId="2" borderId="11" xfId="0" applyFont="1" applyFill="1" applyBorder="1" applyAlignment="1">
      <alignment horizontal="center" wrapText="1"/>
    </xf>
    <xf numFmtId="0" fontId="2" fillId="2" borderId="2" xfId="0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0" fillId="6" borderId="11" xfId="0" applyFill="1" applyBorder="1" applyAlignment="1">
      <alignment horizontal="left"/>
    </xf>
    <xf numFmtId="0" fontId="0" fillId="6" borderId="3" xfId="0" applyFill="1" applyBorder="1" applyAlignment="1">
      <alignment horizontal="left"/>
    </xf>
    <xf numFmtId="0" fontId="0" fillId="6" borderId="2" xfId="0" applyFill="1" applyBorder="1" applyAlignment="1">
      <alignment horizontal="left"/>
    </xf>
    <xf numFmtId="0" fontId="0" fillId="6" borderId="13" xfId="0" applyFill="1" applyBorder="1" applyAlignment="1">
      <alignment horizontal="left" vertical="top"/>
    </xf>
    <xf numFmtId="0" fontId="0" fillId="6" borderId="4" xfId="0" applyFill="1" applyBorder="1" applyAlignment="1">
      <alignment horizontal="left" vertical="top"/>
    </xf>
    <xf numFmtId="0" fontId="0" fillId="6" borderId="5" xfId="0" applyFill="1" applyBorder="1" applyAlignment="1">
      <alignment horizontal="left" vertical="top"/>
    </xf>
    <xf numFmtId="0" fontId="0" fillId="6" borderId="6" xfId="0" applyFill="1" applyBorder="1" applyAlignment="1">
      <alignment horizontal="left" vertical="top"/>
    </xf>
    <xf numFmtId="0" fontId="0" fillId="6" borderId="0" xfId="0" applyFill="1" applyAlignment="1">
      <alignment horizontal="left" vertical="top"/>
    </xf>
    <xf numFmtId="0" fontId="0" fillId="6" borderId="7" xfId="0" applyFill="1" applyBorder="1" applyAlignment="1">
      <alignment horizontal="left" vertical="top"/>
    </xf>
    <xf numFmtId="0" fontId="0" fillId="6" borderId="8" xfId="0" applyFill="1" applyBorder="1" applyAlignment="1">
      <alignment horizontal="left" vertical="top"/>
    </xf>
    <xf numFmtId="0" fontId="0" fillId="6" borderId="9" xfId="0" applyFill="1" applyBorder="1" applyAlignment="1">
      <alignment horizontal="left" vertical="top"/>
    </xf>
    <xf numFmtId="0" fontId="0" fillId="6" borderId="10" xfId="0" applyFill="1" applyBorder="1" applyAlignment="1">
      <alignment horizontal="left" vertical="top"/>
    </xf>
    <xf numFmtId="0" fontId="2" fillId="2" borderId="0" xfId="0" applyFont="1" applyFill="1" applyBorder="1" applyAlignment="1">
      <alignment horizontal="center" wrapText="1"/>
    </xf>
    <xf numFmtId="0" fontId="0" fillId="2" borderId="0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exercise_pipeline!$O$45</c:f>
              <c:strCache>
                <c:ptCount val="1"/>
                <c:pt idx="0">
                  <c:v>h_crit_m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exercise_pipeline!$P$51:$P$121</c:f>
              <c:numCache>
                <c:formatCode>General</c:formatCode>
                <c:ptCount val="71"/>
                <c:pt idx="0">
                  <c:v>151.57863965130201</c:v>
                </c:pt>
                <c:pt idx="1">
                  <c:v>155.724903059127</c:v>
                </c:pt>
                <c:pt idx="2">
                  <c:v>159.87023950174299</c:v>
                </c:pt>
                <c:pt idx="3">
                  <c:v>164.01463429882801</c:v>
                </c:pt>
                <c:pt idx="4">
                  <c:v>168.15807389473301</c:v>
                </c:pt>
                <c:pt idx="5">
                  <c:v>172.300545749435</c:v>
                </c:pt>
                <c:pt idx="6">
                  <c:v>176.442038242449</c:v>
                </c:pt>
                <c:pt idx="7">
                  <c:v>180.58254058790101</c:v>
                </c:pt>
                <c:pt idx="8">
                  <c:v>184.72204275923499</c:v>
                </c:pt>
                <c:pt idx="9">
                  <c:v>188.86053542227799</c:v>
                </c:pt>
                <c:pt idx="10">
                  <c:v>192.99800987557401</c:v>
                </c:pt>
                <c:pt idx="11">
                  <c:v>197.13445799704999</c:v>
                </c:pt>
                <c:pt idx="12">
                  <c:v>201.269872196238</c:v>
                </c:pt>
                <c:pt idx="13">
                  <c:v>205.404245371363</c:v>
                </c:pt>
                <c:pt idx="14">
                  <c:v>209.53757087071401</c:v>
                </c:pt>
                <c:pt idx="15">
                  <c:v>213.66984245780799</c:v>
                </c:pt>
                <c:pt idx="16">
                  <c:v>217.80105427988499</c:v>
                </c:pt>
                <c:pt idx="17">
                  <c:v>221.93120083938399</c:v>
                </c:pt>
                <c:pt idx="18">
                  <c:v>226.06027696805</c:v>
                </c:pt>
                <c:pt idx="19">
                  <c:v>230.17443949448401</c:v>
                </c:pt>
                <c:pt idx="20">
                  <c:v>234.20484438971701</c:v>
                </c:pt>
                <c:pt idx="21">
                  <c:v>238.154635498093</c:v>
                </c:pt>
                <c:pt idx="22">
                  <c:v>242.08065991953401</c:v>
                </c:pt>
                <c:pt idx="23">
                  <c:v>245.97342054919901</c:v>
                </c:pt>
                <c:pt idx="24">
                  <c:v>249.82194715554999</c:v>
                </c:pt>
                <c:pt idx="25">
                  <c:v>253.62605360688599</c:v>
                </c:pt>
                <c:pt idx="26">
                  <c:v>257.38612433238899</c:v>
                </c:pt>
                <c:pt idx="27">
                  <c:v>261.10208675321098</c:v>
                </c:pt>
                <c:pt idx="28">
                  <c:v>264.77420595748498</c:v>
                </c:pt>
                <c:pt idx="29">
                  <c:v>268.40246414495499</c:v>
                </c:pt>
                <c:pt idx="30">
                  <c:v>271.98706629210301</c:v>
                </c:pt>
                <c:pt idx="31">
                  <c:v>275.54803629578799</c:v>
                </c:pt>
                <c:pt idx="32">
                  <c:v>279.08644380528199</c:v>
                </c:pt>
                <c:pt idx="33">
                  <c:v>282.58144168322599</c:v>
                </c:pt>
                <c:pt idx="34">
                  <c:v>286.03305907710802</c:v>
                </c:pt>
                <c:pt idx="35">
                  <c:v>289.44144233074798</c:v>
                </c:pt>
                <c:pt idx="36">
                  <c:v>292.80663167986199</c:v>
                </c:pt>
                <c:pt idx="37">
                  <c:v>296.12875777611902</c:v>
                </c:pt>
                <c:pt idx="38">
                  <c:v>299.40786793959001</c:v>
                </c:pt>
                <c:pt idx="39">
                  <c:v>302.644081250851</c:v>
                </c:pt>
                <c:pt idx="40">
                  <c:v>305.83744958582503</c:v>
                </c:pt>
                <c:pt idx="41">
                  <c:v>308.98808307474201</c:v>
                </c:pt>
                <c:pt idx="42">
                  <c:v>312.11608619458599</c:v>
                </c:pt>
                <c:pt idx="43">
                  <c:v>315.24206064186399</c:v>
                </c:pt>
                <c:pt idx="44">
                  <c:v>318.36601732435901</c:v>
                </c:pt>
                <c:pt idx="45">
                  <c:v>321.487956341585</c:v>
                </c:pt>
                <c:pt idx="46">
                  <c:v>324.60787776443101</c:v>
                </c:pt>
                <c:pt idx="47">
                  <c:v>327.72578163674802</c:v>
                </c:pt>
                <c:pt idx="48">
                  <c:v>330.84166797684702</c:v>
                </c:pt>
                <c:pt idx="49">
                  <c:v>333.95553677892599</c:v>
                </c:pt>
                <c:pt idx="50">
                  <c:v>187.68002888876799</c:v>
                </c:pt>
                <c:pt idx="51">
                  <c:v>190.76405341520001</c:v>
                </c:pt>
                <c:pt idx="52">
                  <c:v>193.84621035170099</c:v>
                </c:pt>
                <c:pt idx="53">
                  <c:v>196.92649392591599</c:v>
                </c:pt>
                <c:pt idx="54">
                  <c:v>200.00489858680999</c:v>
                </c:pt>
                <c:pt idx="55">
                  <c:v>203.08141899168601</c:v>
                </c:pt>
                <c:pt idx="56">
                  <c:v>206.156049994184</c:v>
                </c:pt>
                <c:pt idx="57">
                  <c:v>209.22878663316999</c:v>
                </c:pt>
                <c:pt idx="58">
                  <c:v>212.29962412243799</c:v>
                </c:pt>
                <c:pt idx="59">
                  <c:v>215.36855784115201</c:v>
                </c:pt>
                <c:pt idx="60">
                  <c:v>218.43558332496599</c:v>
                </c:pt>
                <c:pt idx="61">
                  <c:v>221.500696257768</c:v>
                </c:pt>
                <c:pt idx="62">
                  <c:v>224.563892463983</c:v>
                </c:pt>
                <c:pt idx="63">
                  <c:v>227.625167901406</c:v>
                </c:pt>
                <c:pt idx="64">
                  <c:v>230.684518654507</c:v>
                </c:pt>
                <c:pt idx="65">
                  <c:v>233.741940928183</c:v>
                </c:pt>
                <c:pt idx="66">
                  <c:v>236.797431041908</c:v>
                </c:pt>
                <c:pt idx="67">
                  <c:v>239.850985424263</c:v>
                </c:pt>
                <c:pt idx="68">
                  <c:v>242.902600607804</c:v>
                </c:pt>
                <c:pt idx="69">
                  <c:v>245.952273224257</c:v>
                </c:pt>
                <c:pt idx="70">
                  <c:v>249</c:v>
                </c:pt>
              </c:numCache>
            </c:numRef>
          </c:xVal>
          <c:yVal>
            <c:numRef>
              <c:f>exercise_pipeline!$O$51:$O$121</c:f>
              <c:numCache>
                <c:formatCode>General</c:formatCode>
                <c:ptCount val="71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 formatCode="0">
                  <c:v>850</c:v>
                </c:pt>
                <c:pt idx="18" formatCode="0">
                  <c:v>900</c:v>
                </c:pt>
                <c:pt idx="19" formatCode="0">
                  <c:v>950</c:v>
                </c:pt>
                <c:pt idx="20" formatCode="0">
                  <c:v>1000</c:v>
                </c:pt>
                <c:pt idx="21" formatCode="0">
                  <c:v>1050</c:v>
                </c:pt>
                <c:pt idx="22" formatCode="0">
                  <c:v>1100</c:v>
                </c:pt>
                <c:pt idx="23" formatCode="0">
                  <c:v>1150</c:v>
                </c:pt>
                <c:pt idx="24" formatCode="0">
                  <c:v>1200</c:v>
                </c:pt>
                <c:pt idx="25" formatCode="0">
                  <c:v>1250</c:v>
                </c:pt>
                <c:pt idx="26" formatCode="0">
                  <c:v>1300</c:v>
                </c:pt>
                <c:pt idx="27" formatCode="0">
                  <c:v>1350</c:v>
                </c:pt>
                <c:pt idx="28" formatCode="0">
                  <c:v>1400</c:v>
                </c:pt>
                <c:pt idx="29" formatCode="0">
                  <c:v>1450</c:v>
                </c:pt>
                <c:pt idx="30" formatCode="0">
                  <c:v>1500</c:v>
                </c:pt>
                <c:pt idx="31" formatCode="0">
                  <c:v>1550</c:v>
                </c:pt>
                <c:pt idx="32" formatCode="0">
                  <c:v>1600</c:v>
                </c:pt>
                <c:pt idx="33" formatCode="0">
                  <c:v>1650</c:v>
                </c:pt>
                <c:pt idx="34" formatCode="0">
                  <c:v>1700</c:v>
                </c:pt>
                <c:pt idx="35" formatCode="0">
                  <c:v>1750</c:v>
                </c:pt>
                <c:pt idx="36" formatCode="0">
                  <c:v>1800</c:v>
                </c:pt>
                <c:pt idx="37" formatCode="0">
                  <c:v>1850</c:v>
                </c:pt>
                <c:pt idx="38">
                  <c:v>1900</c:v>
                </c:pt>
                <c:pt idx="39">
                  <c:v>1950</c:v>
                </c:pt>
                <c:pt idx="40">
                  <c:v>2000</c:v>
                </c:pt>
                <c:pt idx="41">
                  <c:v>2050</c:v>
                </c:pt>
                <c:pt idx="42">
                  <c:v>2100</c:v>
                </c:pt>
                <c:pt idx="43">
                  <c:v>2150</c:v>
                </c:pt>
                <c:pt idx="44">
                  <c:v>2200</c:v>
                </c:pt>
                <c:pt idx="45">
                  <c:v>2250</c:v>
                </c:pt>
                <c:pt idx="46">
                  <c:v>2300</c:v>
                </c:pt>
                <c:pt idx="47">
                  <c:v>2350</c:v>
                </c:pt>
                <c:pt idx="48">
                  <c:v>2400</c:v>
                </c:pt>
                <c:pt idx="49">
                  <c:v>2450</c:v>
                </c:pt>
                <c:pt idx="50">
                  <c:v>2500</c:v>
                </c:pt>
                <c:pt idx="51">
                  <c:v>2550</c:v>
                </c:pt>
                <c:pt idx="52">
                  <c:v>2600</c:v>
                </c:pt>
                <c:pt idx="53">
                  <c:v>2650</c:v>
                </c:pt>
                <c:pt idx="54">
                  <c:v>2700</c:v>
                </c:pt>
                <c:pt idx="55">
                  <c:v>2750</c:v>
                </c:pt>
                <c:pt idx="56">
                  <c:v>2800</c:v>
                </c:pt>
                <c:pt idx="57">
                  <c:v>2850</c:v>
                </c:pt>
                <c:pt idx="58">
                  <c:v>2900</c:v>
                </c:pt>
                <c:pt idx="59">
                  <c:v>2950</c:v>
                </c:pt>
                <c:pt idx="60">
                  <c:v>3000</c:v>
                </c:pt>
                <c:pt idx="61">
                  <c:v>3050</c:v>
                </c:pt>
                <c:pt idx="62">
                  <c:v>3100</c:v>
                </c:pt>
                <c:pt idx="63">
                  <c:v>3150</c:v>
                </c:pt>
                <c:pt idx="64">
                  <c:v>3200</c:v>
                </c:pt>
                <c:pt idx="65">
                  <c:v>3250</c:v>
                </c:pt>
                <c:pt idx="66">
                  <c:v>3300</c:v>
                </c:pt>
                <c:pt idx="67">
                  <c:v>3350</c:v>
                </c:pt>
                <c:pt idx="68">
                  <c:v>3400</c:v>
                </c:pt>
                <c:pt idx="69">
                  <c:v>3450</c:v>
                </c:pt>
                <c:pt idx="7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6F-4DCD-ADE9-82B4F98F4E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0636287"/>
        <c:axId val="1210303247"/>
      </c:scatterChart>
      <c:valAx>
        <c:axId val="1440636287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10303247"/>
        <c:crosses val="autoZero"/>
        <c:crossBetween val="midCat"/>
      </c:valAx>
      <c:valAx>
        <c:axId val="121030324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06362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exercise_pipeline!$O$45</c:f>
              <c:strCache>
                <c:ptCount val="1"/>
                <c:pt idx="0">
                  <c:v>h_crit_m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exercise_pipeline!$S$51:$S$121</c:f>
              <c:numCache>
                <c:formatCode>General</c:formatCode>
                <c:ptCount val="71"/>
                <c:pt idx="0">
                  <c:v>20</c:v>
                </c:pt>
                <c:pt idx="1">
                  <c:v>20.75</c:v>
                </c:pt>
                <c:pt idx="2">
                  <c:v>21.5</c:v>
                </c:pt>
                <c:pt idx="3">
                  <c:v>22.25</c:v>
                </c:pt>
                <c:pt idx="4">
                  <c:v>23</c:v>
                </c:pt>
                <c:pt idx="5">
                  <c:v>23.75</c:v>
                </c:pt>
                <c:pt idx="6">
                  <c:v>24.5</c:v>
                </c:pt>
                <c:pt idx="7">
                  <c:v>25.25</c:v>
                </c:pt>
                <c:pt idx="8">
                  <c:v>26</c:v>
                </c:pt>
                <c:pt idx="9">
                  <c:v>26.75</c:v>
                </c:pt>
                <c:pt idx="10">
                  <c:v>27.5</c:v>
                </c:pt>
                <c:pt idx="11">
                  <c:v>28.25</c:v>
                </c:pt>
                <c:pt idx="12">
                  <c:v>29</c:v>
                </c:pt>
                <c:pt idx="13">
                  <c:v>29.75</c:v>
                </c:pt>
                <c:pt idx="14">
                  <c:v>30.5</c:v>
                </c:pt>
                <c:pt idx="15">
                  <c:v>31.25</c:v>
                </c:pt>
                <c:pt idx="16">
                  <c:v>32</c:v>
                </c:pt>
                <c:pt idx="17">
                  <c:v>32.75</c:v>
                </c:pt>
                <c:pt idx="18">
                  <c:v>33.5</c:v>
                </c:pt>
                <c:pt idx="19">
                  <c:v>34.25</c:v>
                </c:pt>
                <c:pt idx="20">
                  <c:v>35</c:v>
                </c:pt>
                <c:pt idx="21">
                  <c:v>36.76</c:v>
                </c:pt>
                <c:pt idx="22">
                  <c:v>38.520000000000003</c:v>
                </c:pt>
                <c:pt idx="23">
                  <c:v>40.261666666666699</c:v>
                </c:pt>
                <c:pt idx="24">
                  <c:v>42.003333333333302</c:v>
                </c:pt>
                <c:pt idx="25">
                  <c:v>43.7083333333333</c:v>
                </c:pt>
                <c:pt idx="26">
                  <c:v>45.413333333333298</c:v>
                </c:pt>
                <c:pt idx="27">
                  <c:v>47.081666666666699</c:v>
                </c:pt>
                <c:pt idx="28">
                  <c:v>48.75</c:v>
                </c:pt>
                <c:pt idx="29">
                  <c:v>50.381666666666703</c:v>
                </c:pt>
                <c:pt idx="30">
                  <c:v>52.0133333333333</c:v>
                </c:pt>
                <c:pt idx="31">
                  <c:v>53.608333333333299</c:v>
                </c:pt>
                <c:pt idx="32">
                  <c:v>55.185000000000002</c:v>
                </c:pt>
                <c:pt idx="33">
                  <c:v>56.761666666666699</c:v>
                </c:pt>
                <c:pt idx="34">
                  <c:v>58.301666666666698</c:v>
                </c:pt>
                <c:pt idx="35">
                  <c:v>59.841666666666697</c:v>
                </c:pt>
                <c:pt idx="36">
                  <c:v>61.344999999999999</c:v>
                </c:pt>
                <c:pt idx="37">
                  <c:v>62.848333333333301</c:v>
                </c:pt>
                <c:pt idx="38">
                  <c:v>64.314999999999998</c:v>
                </c:pt>
                <c:pt idx="39">
                  <c:v>65.781666666666695</c:v>
                </c:pt>
                <c:pt idx="40">
                  <c:v>67.211666666666702</c:v>
                </c:pt>
                <c:pt idx="41">
                  <c:v>68.641666666666694</c:v>
                </c:pt>
                <c:pt idx="42">
                  <c:v>70.053333333333299</c:v>
                </c:pt>
                <c:pt idx="43">
                  <c:v>71.465000000000003</c:v>
                </c:pt>
                <c:pt idx="44">
                  <c:v>72.876666666666694</c:v>
                </c:pt>
                <c:pt idx="45">
                  <c:v>74.288333333333298</c:v>
                </c:pt>
                <c:pt idx="46">
                  <c:v>75.7</c:v>
                </c:pt>
                <c:pt idx="47">
                  <c:v>77.111666666666693</c:v>
                </c:pt>
                <c:pt idx="48">
                  <c:v>78.523333333333298</c:v>
                </c:pt>
                <c:pt idx="49">
                  <c:v>79.935000000000002</c:v>
                </c:pt>
                <c:pt idx="50">
                  <c:v>81.346666666666707</c:v>
                </c:pt>
                <c:pt idx="51">
                  <c:v>82.758333333333297</c:v>
                </c:pt>
                <c:pt idx="52">
                  <c:v>84.17</c:v>
                </c:pt>
                <c:pt idx="53">
                  <c:v>85.581666666666706</c:v>
                </c:pt>
                <c:pt idx="54">
                  <c:v>86.993333333333297</c:v>
                </c:pt>
                <c:pt idx="55">
                  <c:v>88.405000000000001</c:v>
                </c:pt>
                <c:pt idx="56">
                  <c:v>89.816666666666706</c:v>
                </c:pt>
                <c:pt idx="57">
                  <c:v>91.228333333333296</c:v>
                </c:pt>
                <c:pt idx="58">
                  <c:v>92.64</c:v>
                </c:pt>
                <c:pt idx="59">
                  <c:v>94.051666666666705</c:v>
                </c:pt>
                <c:pt idx="60">
                  <c:v>95.463333333333296</c:v>
                </c:pt>
                <c:pt idx="61">
                  <c:v>96.875</c:v>
                </c:pt>
                <c:pt idx="62">
                  <c:v>98.286666666666704</c:v>
                </c:pt>
                <c:pt idx="63">
                  <c:v>99.698333333333295</c:v>
                </c:pt>
                <c:pt idx="64">
                  <c:v>101.11</c:v>
                </c:pt>
                <c:pt idx="65">
                  <c:v>102.521666666667</c:v>
                </c:pt>
                <c:pt idx="66">
                  <c:v>103.933333333333</c:v>
                </c:pt>
                <c:pt idx="67">
                  <c:v>105.345</c:v>
                </c:pt>
                <c:pt idx="68">
                  <c:v>106.756666666667</c:v>
                </c:pt>
                <c:pt idx="69">
                  <c:v>108.168333333333</c:v>
                </c:pt>
                <c:pt idx="70">
                  <c:v>109.58</c:v>
                </c:pt>
              </c:numCache>
            </c:numRef>
          </c:xVal>
          <c:yVal>
            <c:numRef>
              <c:f>exercise_pipeline!$R$51:$R$121</c:f>
              <c:numCache>
                <c:formatCode>General</c:formatCode>
                <c:ptCount val="71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  <c:pt idx="26">
                  <c:v>1300</c:v>
                </c:pt>
                <c:pt idx="27">
                  <c:v>1350</c:v>
                </c:pt>
                <c:pt idx="28">
                  <c:v>1400</c:v>
                </c:pt>
                <c:pt idx="29">
                  <c:v>1450</c:v>
                </c:pt>
                <c:pt idx="30">
                  <c:v>1500</c:v>
                </c:pt>
                <c:pt idx="31">
                  <c:v>1550</c:v>
                </c:pt>
                <c:pt idx="32">
                  <c:v>1600</c:v>
                </c:pt>
                <c:pt idx="33">
                  <c:v>1650</c:v>
                </c:pt>
                <c:pt idx="34">
                  <c:v>1700</c:v>
                </c:pt>
                <c:pt idx="35">
                  <c:v>1750</c:v>
                </c:pt>
                <c:pt idx="36">
                  <c:v>1800</c:v>
                </c:pt>
                <c:pt idx="37">
                  <c:v>1850</c:v>
                </c:pt>
                <c:pt idx="38">
                  <c:v>1900</c:v>
                </c:pt>
                <c:pt idx="39">
                  <c:v>1950</c:v>
                </c:pt>
                <c:pt idx="40">
                  <c:v>2000</c:v>
                </c:pt>
                <c:pt idx="41">
                  <c:v>2050</c:v>
                </c:pt>
                <c:pt idx="42">
                  <c:v>2100</c:v>
                </c:pt>
                <c:pt idx="43">
                  <c:v>2150</c:v>
                </c:pt>
                <c:pt idx="44">
                  <c:v>2200</c:v>
                </c:pt>
                <c:pt idx="45">
                  <c:v>2250</c:v>
                </c:pt>
                <c:pt idx="46">
                  <c:v>2300</c:v>
                </c:pt>
                <c:pt idx="47">
                  <c:v>2350</c:v>
                </c:pt>
                <c:pt idx="48">
                  <c:v>2400</c:v>
                </c:pt>
                <c:pt idx="49">
                  <c:v>2450</c:v>
                </c:pt>
                <c:pt idx="50">
                  <c:v>2500</c:v>
                </c:pt>
                <c:pt idx="51">
                  <c:v>2550</c:v>
                </c:pt>
                <c:pt idx="52">
                  <c:v>2600</c:v>
                </c:pt>
                <c:pt idx="53">
                  <c:v>2650</c:v>
                </c:pt>
                <c:pt idx="54">
                  <c:v>2700</c:v>
                </c:pt>
                <c:pt idx="55">
                  <c:v>2750</c:v>
                </c:pt>
                <c:pt idx="56">
                  <c:v>2800</c:v>
                </c:pt>
                <c:pt idx="57">
                  <c:v>2850</c:v>
                </c:pt>
                <c:pt idx="58">
                  <c:v>2900</c:v>
                </c:pt>
                <c:pt idx="59">
                  <c:v>2950</c:v>
                </c:pt>
                <c:pt idx="60">
                  <c:v>3000</c:v>
                </c:pt>
                <c:pt idx="61">
                  <c:v>3050</c:v>
                </c:pt>
                <c:pt idx="62">
                  <c:v>3100</c:v>
                </c:pt>
                <c:pt idx="63">
                  <c:v>3150</c:v>
                </c:pt>
                <c:pt idx="64">
                  <c:v>3200</c:v>
                </c:pt>
                <c:pt idx="65">
                  <c:v>3250</c:v>
                </c:pt>
                <c:pt idx="66">
                  <c:v>3300</c:v>
                </c:pt>
                <c:pt idx="67">
                  <c:v>3350</c:v>
                </c:pt>
                <c:pt idx="68">
                  <c:v>3400</c:v>
                </c:pt>
                <c:pt idx="69">
                  <c:v>3450</c:v>
                </c:pt>
                <c:pt idx="7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1-484E-85D2-0D7B408232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0636287"/>
        <c:axId val="1210303247"/>
      </c:scatterChart>
      <c:valAx>
        <c:axId val="1440636287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10303247"/>
        <c:crosses val="autoZero"/>
        <c:crossBetween val="midCat"/>
      </c:valAx>
      <c:valAx>
        <c:axId val="121030324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06362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exercise_pipeline!$O$45</c:f>
              <c:strCache>
                <c:ptCount val="1"/>
                <c:pt idx="0">
                  <c:v>h_crit_m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exercise_pipeline!$F$81:$F$151</c:f>
              <c:numCache>
                <c:formatCode>General</c:formatCode>
                <c:ptCount val="71"/>
                <c:pt idx="0">
                  <c:v>12.946191225852401</c:v>
                </c:pt>
                <c:pt idx="1">
                  <c:v>14.197925592672499</c:v>
                </c:pt>
                <c:pt idx="2">
                  <c:v>15.5050503425757</c:v>
                </c:pt>
                <c:pt idx="3">
                  <c:v>16.8684230427071</c:v>
                </c:pt>
                <c:pt idx="4">
                  <c:v>18.288766632297602</c:v>
                </c:pt>
                <c:pt idx="5">
                  <c:v>19.766681746032098</c:v>
                </c:pt>
                <c:pt idx="6">
                  <c:v>21.302654065344001</c:v>
                </c:pt>
                <c:pt idx="7">
                  <c:v>22.8970577806089</c:v>
                </c:pt>
                <c:pt idx="8">
                  <c:v>24.550155835696899</c:v>
                </c:pt>
                <c:pt idx="9">
                  <c:v>26.262097368529901</c:v>
                </c:pt>
                <c:pt idx="10">
                  <c:v>28.0329125999687</c:v>
                </c:pt>
                <c:pt idx="11">
                  <c:v>29.8625053261894</c:v>
                </c:pt>
                <c:pt idx="12">
                  <c:v>31.750643118132398</c:v>
                </c:pt>
                <c:pt idx="13">
                  <c:v>33.696945314823203</c:v>
                </c:pt>
                <c:pt idx="14">
                  <c:v>35.700869947751201</c:v>
                </c:pt>
                <c:pt idx="15">
                  <c:v>37.761729267104101</c:v>
                </c:pt>
                <c:pt idx="16">
                  <c:v>39.878624151519602</c:v>
                </c:pt>
                <c:pt idx="17">
                  <c:v>42.050426018030798</c:v>
                </c:pt>
                <c:pt idx="18">
                  <c:v>44.2757702567786</c:v>
                </c:pt>
                <c:pt idx="19">
                  <c:v>46.606385888391998</c:v>
                </c:pt>
                <c:pt idx="20">
                  <c:v>49.030576524343701</c:v>
                </c:pt>
                <c:pt idx="21">
                  <c:v>51.488444570262502</c:v>
                </c:pt>
                <c:pt idx="22">
                  <c:v>53.983864279444099</c:v>
                </c:pt>
                <c:pt idx="23">
                  <c:v>56.509010254831502</c:v>
                </c:pt>
                <c:pt idx="24">
                  <c:v>59.054001550621699</c:v>
                </c:pt>
                <c:pt idx="25">
                  <c:v>61.613867705859299</c:v>
                </c:pt>
                <c:pt idx="26">
                  <c:v>64.180439492817897</c:v>
                </c:pt>
                <c:pt idx="27">
                  <c:v>66.745696193856503</c:v>
                </c:pt>
                <c:pt idx="28">
                  <c:v>69.306854343930198</c:v>
                </c:pt>
                <c:pt idx="29">
                  <c:v>71.861288929996704</c:v>
                </c:pt>
                <c:pt idx="30">
                  <c:v>74.406785830783207</c:v>
                </c:pt>
                <c:pt idx="31">
                  <c:v>76.955868174161097</c:v>
                </c:pt>
                <c:pt idx="32">
                  <c:v>79.512558717817797</c:v>
                </c:pt>
                <c:pt idx="33">
                  <c:v>82.055240746056597</c:v>
                </c:pt>
                <c:pt idx="34">
                  <c:v>84.582258209996496</c:v>
                </c:pt>
                <c:pt idx="35">
                  <c:v>87.092179992604599</c:v>
                </c:pt>
                <c:pt idx="36">
                  <c:v>89.583629557334703</c:v>
                </c:pt>
                <c:pt idx="37">
                  <c:v>92.055400535727401</c:v>
                </c:pt>
                <c:pt idx="38">
                  <c:v>94.506323182481296</c:v>
                </c:pt>
                <c:pt idx="39">
                  <c:v>96.935356341733495</c:v>
                </c:pt>
                <c:pt idx="40">
                  <c:v>99.341480389933693</c:v>
                </c:pt>
                <c:pt idx="41">
                  <c:v>101.723771439258</c:v>
                </c:pt>
                <c:pt idx="42">
                  <c:v>104.16906968548101</c:v>
                </c:pt>
                <c:pt idx="43">
                  <c:v>107.28561600602499</c:v>
                </c:pt>
                <c:pt idx="44">
                  <c:v>110.400116911038</c:v>
                </c:pt>
                <c:pt idx="45">
                  <c:v>113.512415556089</c:v>
                </c:pt>
                <c:pt idx="46">
                  <c:v>116.62233906379799</c:v>
                </c:pt>
                <c:pt idx="47">
                  <c:v>119.72969504950299</c:v>
                </c:pt>
                <c:pt idx="48">
                  <c:v>122.834267682788</c:v>
                </c:pt>
                <c:pt idx="49">
                  <c:v>125.93581320607299</c:v>
                </c:pt>
                <c:pt idx="50">
                  <c:v>70.315921195359095</c:v>
                </c:pt>
                <c:pt idx="51">
                  <c:v>73.383250574983606</c:v>
                </c:pt>
                <c:pt idx="52">
                  <c:v>76.445504259383995</c:v>
                </c:pt>
                <c:pt idx="53">
                  <c:v>79.502683684984504</c:v>
                </c:pt>
                <c:pt idx="54">
                  <c:v>82.554801676548095</c:v>
                </c:pt>
                <c:pt idx="55">
                  <c:v>85.601883527857197</c:v>
                </c:pt>
                <c:pt idx="56">
                  <c:v>88.643968093574202</c:v>
                </c:pt>
                <c:pt idx="57">
                  <c:v>91.681108949648007</c:v>
                </c:pt>
                <c:pt idx="58">
                  <c:v>94.7133756719508</c:v>
                </c:pt>
                <c:pt idx="59">
                  <c:v>97.740855278134603</c:v>
                </c:pt>
                <c:pt idx="60">
                  <c:v>100.76365387503</c:v>
                </c:pt>
                <c:pt idx="61">
                  <c:v>103.781898552559</c:v>
                </c:pt>
                <c:pt idx="62">
                  <c:v>106.79573956446001</c:v>
                </c:pt>
                <c:pt idx="63">
                  <c:v>109.80535283551799</c:v>
                </c:pt>
                <c:pt idx="64">
                  <c:v>112.810942833591</c:v>
                </c:pt>
                <c:pt idx="65">
                  <c:v>115.81274584150999</c:v>
                </c:pt>
                <c:pt idx="66">
                  <c:v>118.81103365716601</c:v>
                </c:pt>
                <c:pt idx="67">
                  <c:v>121.80614617962701</c:v>
                </c:pt>
                <c:pt idx="68">
                  <c:v>124.802095498534</c:v>
                </c:pt>
                <c:pt idx="69">
                  <c:v>127.80260658174799</c:v>
                </c:pt>
                <c:pt idx="70">
                  <c:v>130.808426436969</c:v>
                </c:pt>
              </c:numCache>
            </c:numRef>
          </c:xVal>
          <c:yVal>
            <c:numRef>
              <c:f>exercise_pipeline!$E$81:$E$151</c:f>
              <c:numCache>
                <c:formatCode>General</c:formatCode>
                <c:ptCount val="71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  <c:pt idx="26">
                  <c:v>1300</c:v>
                </c:pt>
                <c:pt idx="27">
                  <c:v>1350</c:v>
                </c:pt>
                <c:pt idx="28">
                  <c:v>1400</c:v>
                </c:pt>
                <c:pt idx="29">
                  <c:v>1450</c:v>
                </c:pt>
                <c:pt idx="30">
                  <c:v>1500</c:v>
                </c:pt>
                <c:pt idx="31">
                  <c:v>1550</c:v>
                </c:pt>
                <c:pt idx="32">
                  <c:v>1600</c:v>
                </c:pt>
                <c:pt idx="33">
                  <c:v>1650</c:v>
                </c:pt>
                <c:pt idx="34">
                  <c:v>1700</c:v>
                </c:pt>
                <c:pt idx="35">
                  <c:v>1750</c:v>
                </c:pt>
                <c:pt idx="36">
                  <c:v>1800</c:v>
                </c:pt>
                <c:pt idx="37">
                  <c:v>1850</c:v>
                </c:pt>
                <c:pt idx="38">
                  <c:v>1900</c:v>
                </c:pt>
                <c:pt idx="39">
                  <c:v>1950</c:v>
                </c:pt>
                <c:pt idx="40">
                  <c:v>2000</c:v>
                </c:pt>
                <c:pt idx="41">
                  <c:v>2050</c:v>
                </c:pt>
                <c:pt idx="42">
                  <c:v>2100</c:v>
                </c:pt>
                <c:pt idx="43">
                  <c:v>2150</c:v>
                </c:pt>
                <c:pt idx="44">
                  <c:v>2200</c:v>
                </c:pt>
                <c:pt idx="45">
                  <c:v>2250</c:v>
                </c:pt>
                <c:pt idx="46">
                  <c:v>2300</c:v>
                </c:pt>
                <c:pt idx="47">
                  <c:v>2350</c:v>
                </c:pt>
                <c:pt idx="48">
                  <c:v>2400</c:v>
                </c:pt>
                <c:pt idx="49">
                  <c:v>2450</c:v>
                </c:pt>
                <c:pt idx="50">
                  <c:v>2500</c:v>
                </c:pt>
                <c:pt idx="51">
                  <c:v>2550</c:v>
                </c:pt>
                <c:pt idx="52">
                  <c:v>2600</c:v>
                </c:pt>
                <c:pt idx="53">
                  <c:v>2650</c:v>
                </c:pt>
                <c:pt idx="54">
                  <c:v>2700</c:v>
                </c:pt>
                <c:pt idx="55">
                  <c:v>2750</c:v>
                </c:pt>
                <c:pt idx="56">
                  <c:v>2800</c:v>
                </c:pt>
                <c:pt idx="57">
                  <c:v>2850</c:v>
                </c:pt>
                <c:pt idx="58">
                  <c:v>2900</c:v>
                </c:pt>
                <c:pt idx="59">
                  <c:v>2950</c:v>
                </c:pt>
                <c:pt idx="60">
                  <c:v>3000</c:v>
                </c:pt>
                <c:pt idx="61">
                  <c:v>3050</c:v>
                </c:pt>
                <c:pt idx="62">
                  <c:v>3100</c:v>
                </c:pt>
                <c:pt idx="63">
                  <c:v>3150</c:v>
                </c:pt>
                <c:pt idx="64">
                  <c:v>3200</c:v>
                </c:pt>
                <c:pt idx="65">
                  <c:v>3250</c:v>
                </c:pt>
                <c:pt idx="66">
                  <c:v>3300</c:v>
                </c:pt>
                <c:pt idx="67">
                  <c:v>3350</c:v>
                </c:pt>
                <c:pt idx="68">
                  <c:v>3400</c:v>
                </c:pt>
                <c:pt idx="69">
                  <c:v>3450</c:v>
                </c:pt>
                <c:pt idx="7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E2-4CA7-B08C-3DD27A559C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0636287"/>
        <c:axId val="1210303247"/>
      </c:scatterChart>
      <c:valAx>
        <c:axId val="1440636287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10303247"/>
        <c:crosses val="autoZero"/>
        <c:crossBetween val="midCat"/>
      </c:valAx>
      <c:valAx>
        <c:axId val="121030324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06362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exercise_pipeline!$O$45</c:f>
              <c:strCache>
                <c:ptCount val="1"/>
                <c:pt idx="0">
                  <c:v>h_crit_m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exercise_pipeline!$I$81:$I$151</c:f>
              <c:numCache>
                <c:formatCode>General</c:formatCode>
                <c:ptCount val="71"/>
                <c:pt idx="0">
                  <c:v>25.6944306761023</c:v>
                </c:pt>
                <c:pt idx="1">
                  <c:v>26.484327727272099</c:v>
                </c:pt>
                <c:pt idx="2">
                  <c:v>27.280141423875101</c:v>
                </c:pt>
                <c:pt idx="3">
                  <c:v>28.082963554659798</c:v>
                </c:pt>
                <c:pt idx="4">
                  <c:v>28.8940977721393</c:v>
                </c:pt>
                <c:pt idx="5">
                  <c:v>29.715101753494601</c:v>
                </c:pt>
                <c:pt idx="6">
                  <c:v>30.547837765747001</c:v>
                </c:pt>
                <c:pt idx="7">
                  <c:v>31.394533069037301</c:v>
                </c:pt>
                <c:pt idx="8">
                  <c:v>32.257851821996297</c:v>
                </c:pt>
                <c:pt idx="9">
                  <c:v>33.140980404635599</c:v>
                </c:pt>
                <c:pt idx="10">
                  <c:v>34.0477283488013</c:v>
                </c:pt>
                <c:pt idx="11">
                  <c:v>34.982647364353397</c:v>
                </c:pt>
                <c:pt idx="12">
                  <c:v>35.951171269526498</c:v>
                </c:pt>
                <c:pt idx="13">
                  <c:v>36.959779972821103</c:v>
                </c:pt>
                <c:pt idx="14">
                  <c:v>38.016190984831802</c:v>
                </c:pt>
                <c:pt idx="15">
                  <c:v>39.129581702600902</c:v>
                </c:pt>
                <c:pt idx="16">
                  <c:v>40.310848822813803</c:v>
                </c:pt>
                <c:pt idx="17">
                  <c:v>41.572906968353699</c:v>
                </c:pt>
                <c:pt idx="18">
                  <c:v>42.931031778733399</c:v>
                </c:pt>
                <c:pt idx="19">
                  <c:v>44.403073793264497</c:v>
                </c:pt>
                <c:pt idx="20">
                  <c:v>46.013990839038797</c:v>
                </c:pt>
                <c:pt idx="21">
                  <c:v>47.697699892881602</c:v>
                </c:pt>
                <c:pt idx="22">
                  <c:v>49.366693953423798</c:v>
                </c:pt>
                <c:pt idx="23">
                  <c:v>51.0207764630957</c:v>
                </c:pt>
                <c:pt idx="24">
                  <c:v>52.659881295048997</c:v>
                </c:pt>
                <c:pt idx="25">
                  <c:v>54.2848387698997</c:v>
                </c:pt>
                <c:pt idx="26">
                  <c:v>55.895936926818898</c:v>
                </c:pt>
                <c:pt idx="27">
                  <c:v>57.493242900737599</c:v>
                </c:pt>
                <c:pt idx="28">
                  <c:v>59.077865291717302</c:v>
                </c:pt>
                <c:pt idx="29">
                  <c:v>60.650910961626202</c:v>
                </c:pt>
                <c:pt idx="30">
                  <c:v>62.213832693546898</c:v>
                </c:pt>
                <c:pt idx="31">
                  <c:v>63.7671440721575</c:v>
                </c:pt>
                <c:pt idx="32">
                  <c:v>65.3141612879609</c:v>
                </c:pt>
                <c:pt idx="33">
                  <c:v>66.8565975654368</c:v>
                </c:pt>
                <c:pt idx="34">
                  <c:v>68.396875643990299</c:v>
                </c:pt>
                <c:pt idx="35">
                  <c:v>69.938001467674198</c:v>
                </c:pt>
                <c:pt idx="36">
                  <c:v>71.483308240233001</c:v>
                </c:pt>
                <c:pt idx="37">
                  <c:v>73.0368703872292</c:v>
                </c:pt>
                <c:pt idx="38">
                  <c:v>74.603272640977707</c:v>
                </c:pt>
                <c:pt idx="39">
                  <c:v>76.188053145998694</c:v>
                </c:pt>
                <c:pt idx="40">
                  <c:v>77.797506684471898</c:v>
                </c:pt>
                <c:pt idx="41">
                  <c:v>79.439165198722307</c:v>
                </c:pt>
                <c:pt idx="42">
                  <c:v>81.119803249326196</c:v>
                </c:pt>
                <c:pt idx="43">
                  <c:v>82.852801978951405</c:v>
                </c:pt>
                <c:pt idx="44">
                  <c:v>84.641594570146395</c:v>
                </c:pt>
                <c:pt idx="45">
                  <c:v>86.495560056324805</c:v>
                </c:pt>
                <c:pt idx="46">
                  <c:v>88.425599750758593</c:v>
                </c:pt>
                <c:pt idx="47">
                  <c:v>90.444371325593394</c:v>
                </c:pt>
                <c:pt idx="48">
                  <c:v>92.566553892409004</c:v>
                </c:pt>
                <c:pt idx="49">
                  <c:v>94.809146675234004</c:v>
                </c:pt>
                <c:pt idx="50">
                  <c:v>89.962723361900402</c:v>
                </c:pt>
                <c:pt idx="51">
                  <c:v>91.232811845328698</c:v>
                </c:pt>
                <c:pt idx="52">
                  <c:v>92.478882657290697</c:v>
                </c:pt>
                <c:pt idx="53">
                  <c:v>93.696896811515899</c:v>
                </c:pt>
                <c:pt idx="54">
                  <c:v>94.882127205486796</c:v>
                </c:pt>
                <c:pt idx="55">
                  <c:v>96.029046616014597</c:v>
                </c:pt>
                <c:pt idx="56">
                  <c:v>97.1311969701772</c:v>
                </c:pt>
                <c:pt idx="57">
                  <c:v>98.181036500005007</c:v>
                </c:pt>
                <c:pt idx="58">
                  <c:v>99.169760731089497</c:v>
                </c:pt>
                <c:pt idx="59">
                  <c:v>100.087092440124</c:v>
                </c:pt>
                <c:pt idx="60">
                  <c:v>100.921034699557</c:v>
                </c:pt>
                <c:pt idx="61">
                  <c:v>101.657579849482</c:v>
                </c:pt>
                <c:pt idx="62">
                  <c:v>102.28036561767701</c:v>
                </c:pt>
                <c:pt idx="63">
                  <c:v>102.770267539858</c:v>
                </c:pt>
                <c:pt idx="64">
                  <c:v>103.104914165286</c:v>
                </c:pt>
                <c:pt idx="65">
                  <c:v>103.25810806262</c:v>
                </c:pt>
                <c:pt idx="66">
                  <c:v>103.199131080866</c:v>
                </c:pt>
                <c:pt idx="67">
                  <c:v>102.891913116737</c:v>
                </c:pt>
                <c:pt idx="68">
                  <c:v>102.292634855381</c:v>
                </c:pt>
                <c:pt idx="69">
                  <c:v>101.348931668083</c:v>
                </c:pt>
                <c:pt idx="70">
                  <c:v>100</c:v>
                </c:pt>
              </c:numCache>
            </c:numRef>
          </c:xVal>
          <c:yVal>
            <c:numRef>
              <c:f>exercise_pipeline!$H$81:$H$151</c:f>
              <c:numCache>
                <c:formatCode>General</c:formatCode>
                <c:ptCount val="71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  <c:pt idx="26">
                  <c:v>1300</c:v>
                </c:pt>
                <c:pt idx="27">
                  <c:v>1350</c:v>
                </c:pt>
                <c:pt idx="28">
                  <c:v>1400</c:v>
                </c:pt>
                <c:pt idx="29">
                  <c:v>1450</c:v>
                </c:pt>
                <c:pt idx="30">
                  <c:v>1500</c:v>
                </c:pt>
                <c:pt idx="31">
                  <c:v>1550</c:v>
                </c:pt>
                <c:pt idx="32">
                  <c:v>1600</c:v>
                </c:pt>
                <c:pt idx="33">
                  <c:v>1650</c:v>
                </c:pt>
                <c:pt idx="34">
                  <c:v>1700</c:v>
                </c:pt>
                <c:pt idx="35">
                  <c:v>1750</c:v>
                </c:pt>
                <c:pt idx="36">
                  <c:v>1800</c:v>
                </c:pt>
                <c:pt idx="37">
                  <c:v>1850</c:v>
                </c:pt>
                <c:pt idx="38">
                  <c:v>1900</c:v>
                </c:pt>
                <c:pt idx="39">
                  <c:v>1950</c:v>
                </c:pt>
                <c:pt idx="40">
                  <c:v>2000</c:v>
                </c:pt>
                <c:pt idx="41">
                  <c:v>2050</c:v>
                </c:pt>
                <c:pt idx="42">
                  <c:v>2100</c:v>
                </c:pt>
                <c:pt idx="43">
                  <c:v>2150</c:v>
                </c:pt>
                <c:pt idx="44">
                  <c:v>2200</c:v>
                </c:pt>
                <c:pt idx="45">
                  <c:v>2250</c:v>
                </c:pt>
                <c:pt idx="46">
                  <c:v>2300</c:v>
                </c:pt>
                <c:pt idx="47">
                  <c:v>2350</c:v>
                </c:pt>
                <c:pt idx="48">
                  <c:v>2400</c:v>
                </c:pt>
                <c:pt idx="49">
                  <c:v>2450</c:v>
                </c:pt>
                <c:pt idx="50">
                  <c:v>2500</c:v>
                </c:pt>
                <c:pt idx="51">
                  <c:v>2550</c:v>
                </c:pt>
                <c:pt idx="52">
                  <c:v>2600</c:v>
                </c:pt>
                <c:pt idx="53">
                  <c:v>2650</c:v>
                </c:pt>
                <c:pt idx="54">
                  <c:v>2700</c:v>
                </c:pt>
                <c:pt idx="55">
                  <c:v>2750</c:v>
                </c:pt>
                <c:pt idx="56">
                  <c:v>2800</c:v>
                </c:pt>
                <c:pt idx="57">
                  <c:v>2850</c:v>
                </c:pt>
                <c:pt idx="58">
                  <c:v>2900</c:v>
                </c:pt>
                <c:pt idx="59">
                  <c:v>2950</c:v>
                </c:pt>
                <c:pt idx="60">
                  <c:v>3000</c:v>
                </c:pt>
                <c:pt idx="61">
                  <c:v>3050</c:v>
                </c:pt>
                <c:pt idx="62">
                  <c:v>3100</c:v>
                </c:pt>
                <c:pt idx="63">
                  <c:v>3150</c:v>
                </c:pt>
                <c:pt idx="64">
                  <c:v>3200</c:v>
                </c:pt>
                <c:pt idx="65">
                  <c:v>3250</c:v>
                </c:pt>
                <c:pt idx="66">
                  <c:v>3300</c:v>
                </c:pt>
                <c:pt idx="67">
                  <c:v>3350</c:v>
                </c:pt>
                <c:pt idx="68">
                  <c:v>3400</c:v>
                </c:pt>
                <c:pt idx="69">
                  <c:v>3450</c:v>
                </c:pt>
                <c:pt idx="7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B3-4960-AAFB-9ED09988D9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0636287"/>
        <c:axId val="1210303247"/>
      </c:scatterChart>
      <c:valAx>
        <c:axId val="1440636287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10303247"/>
        <c:crosses val="autoZero"/>
        <c:crossBetween val="midCat"/>
      </c:valAx>
      <c:valAx>
        <c:axId val="121030324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06362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225412</xdr:colOff>
      <xdr:row>3</xdr:row>
      <xdr:rowOff>60239</xdr:rowOff>
    </xdr:from>
    <xdr:to>
      <xdr:col>38</xdr:col>
      <xdr:colOff>173182</xdr:colOff>
      <xdr:row>27</xdr:row>
      <xdr:rowOff>17318</xdr:rowOff>
    </xdr:to>
    <xdr:grpSp>
      <xdr:nvGrpSpPr>
        <xdr:cNvPr id="6" name="Группа 5">
          <a:extLst>
            <a:ext uri="{FF2B5EF4-FFF2-40B4-BE49-F238E27FC236}">
              <a16:creationId xmlns:a16="http://schemas.microsoft.com/office/drawing/2014/main" id="{3EB9ABB0-233D-4500-9312-2F9DC7F0FFD3}"/>
            </a:ext>
          </a:extLst>
        </xdr:cNvPr>
        <xdr:cNvGrpSpPr/>
      </xdr:nvGrpSpPr>
      <xdr:grpSpPr>
        <a:xfrm>
          <a:off x="20608912" y="631739"/>
          <a:ext cx="4238161" cy="5754905"/>
          <a:chOff x="15472544" y="1836882"/>
          <a:chExt cx="3439217" cy="4189945"/>
        </a:xfrm>
      </xdr:grpSpPr>
      <xdr:grpSp>
        <xdr:nvGrpSpPr>
          <xdr:cNvPr id="7" name="Группа 6">
            <a:extLst>
              <a:ext uri="{FF2B5EF4-FFF2-40B4-BE49-F238E27FC236}">
                <a16:creationId xmlns:a16="http://schemas.microsoft.com/office/drawing/2014/main" id="{9DFF414A-0180-4977-943E-D2A2D698F895}"/>
              </a:ext>
            </a:extLst>
          </xdr:cNvPr>
          <xdr:cNvGrpSpPr/>
        </xdr:nvGrpSpPr>
        <xdr:grpSpPr>
          <a:xfrm rot="16200000">
            <a:off x="17819477" y="4781762"/>
            <a:ext cx="252055" cy="1932512"/>
            <a:chOff x="5095875" y="1104900"/>
            <a:chExt cx="276225" cy="2038350"/>
          </a:xfrm>
        </xdr:grpSpPr>
        <xdr:sp macro="" textlink="">
          <xdr:nvSpPr>
            <xdr:cNvPr id="14" name="Цилиндр 13">
              <a:extLst>
                <a:ext uri="{FF2B5EF4-FFF2-40B4-BE49-F238E27FC236}">
                  <a16:creationId xmlns:a16="http://schemas.microsoft.com/office/drawing/2014/main" id="{9BF9083E-C685-4915-B5C1-44CD3213DC2E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5" name="Стрелка: вверх 14">
              <a:extLst>
                <a:ext uri="{FF2B5EF4-FFF2-40B4-BE49-F238E27FC236}">
                  <a16:creationId xmlns:a16="http://schemas.microsoft.com/office/drawing/2014/main" id="{15BCCBF1-10F8-4C5E-A5D9-2E73F5798879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grpSp>
        <xdr:nvGrpSpPr>
          <xdr:cNvPr id="8" name="Группа 7">
            <a:extLst>
              <a:ext uri="{FF2B5EF4-FFF2-40B4-BE49-F238E27FC236}">
                <a16:creationId xmlns:a16="http://schemas.microsoft.com/office/drawing/2014/main" id="{7331D54A-578D-4946-8E49-E0E45CA75BBF}"/>
              </a:ext>
            </a:extLst>
          </xdr:cNvPr>
          <xdr:cNvGrpSpPr/>
        </xdr:nvGrpSpPr>
        <xdr:grpSpPr>
          <a:xfrm rot="19540499">
            <a:off x="16251804" y="3421402"/>
            <a:ext cx="288969" cy="2605425"/>
            <a:chOff x="5095875" y="1104900"/>
            <a:chExt cx="276225" cy="2038350"/>
          </a:xfrm>
        </xdr:grpSpPr>
        <xdr:sp macro="" textlink="">
          <xdr:nvSpPr>
            <xdr:cNvPr id="12" name="Цилиндр 11">
              <a:extLst>
                <a:ext uri="{FF2B5EF4-FFF2-40B4-BE49-F238E27FC236}">
                  <a16:creationId xmlns:a16="http://schemas.microsoft.com/office/drawing/2014/main" id="{D995FE3A-EA40-4353-A3A3-95D3F8F4A370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3" name="Стрелка: вверх 12">
              <a:extLst>
                <a:ext uri="{FF2B5EF4-FFF2-40B4-BE49-F238E27FC236}">
                  <a16:creationId xmlns:a16="http://schemas.microsoft.com/office/drawing/2014/main" id="{F1625B2C-516E-4336-A8DD-2F43F1048A52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grpSp>
        <xdr:nvGrpSpPr>
          <xdr:cNvPr id="9" name="Группа 8">
            <a:extLst>
              <a:ext uri="{FF2B5EF4-FFF2-40B4-BE49-F238E27FC236}">
                <a16:creationId xmlns:a16="http://schemas.microsoft.com/office/drawing/2014/main" id="{63AE7315-65AC-4EED-AFAC-4B19CDAFFC95}"/>
              </a:ext>
            </a:extLst>
          </xdr:cNvPr>
          <xdr:cNvGrpSpPr/>
        </xdr:nvGrpSpPr>
        <xdr:grpSpPr>
          <a:xfrm>
            <a:off x="15472544" y="1836882"/>
            <a:ext cx="459146" cy="1922987"/>
            <a:chOff x="5095875" y="1104900"/>
            <a:chExt cx="276225" cy="2038350"/>
          </a:xfrm>
        </xdr:grpSpPr>
        <xdr:sp macro="" textlink="">
          <xdr:nvSpPr>
            <xdr:cNvPr id="10" name="Цилиндр 9">
              <a:extLst>
                <a:ext uri="{FF2B5EF4-FFF2-40B4-BE49-F238E27FC236}">
                  <a16:creationId xmlns:a16="http://schemas.microsoft.com/office/drawing/2014/main" id="{85410623-D217-4158-B6E1-2F745B378056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1" name="Стрелка: вверх 10">
              <a:extLst>
                <a:ext uri="{FF2B5EF4-FFF2-40B4-BE49-F238E27FC236}">
                  <a16:creationId xmlns:a16="http://schemas.microsoft.com/office/drawing/2014/main" id="{92EDCAA3-4281-4BD4-9D67-91F54EB87D7F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</xdr:grpSp>
    <xdr:clientData/>
  </xdr:twoCellAnchor>
  <xdr:twoCellAnchor>
    <xdr:from>
      <xdr:col>7</xdr:col>
      <xdr:colOff>11206</xdr:colOff>
      <xdr:row>0</xdr:row>
      <xdr:rowOff>56030</xdr:rowOff>
    </xdr:from>
    <xdr:to>
      <xdr:col>14</xdr:col>
      <xdr:colOff>381451</xdr:colOff>
      <xdr:row>8</xdr:row>
      <xdr:rowOff>95250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6841CCFE-B315-43A7-9739-EDE714EFABDE}"/>
            </a:ext>
          </a:extLst>
        </xdr:cNvPr>
        <xdr:cNvSpPr txBox="1"/>
      </xdr:nvSpPr>
      <xdr:spPr>
        <a:xfrm>
          <a:off x="5238751" y="56030"/>
          <a:ext cx="5356862" cy="1473573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ru-RU" sz="1100" baseline="0"/>
        </a:p>
        <a:p>
          <a:endParaRPr lang="ru-RU" sz="1100" baseline="0"/>
        </a:p>
        <a:p>
          <a:endParaRPr lang="ru-RU" sz="1100" baseline="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18" name="Стрелка: влево 17">
          <a:extLst>
            <a:ext uri="{FF2B5EF4-FFF2-40B4-BE49-F238E27FC236}">
              <a16:creationId xmlns:a16="http://schemas.microsoft.com/office/drawing/2014/main" id="{66E080D6-41B4-4C12-A5FC-B2AA681F017B}"/>
            </a:ext>
          </a:extLst>
        </xdr:cNvPr>
        <xdr:cNvSpPr/>
      </xdr:nvSpPr>
      <xdr:spPr>
        <a:xfrm>
          <a:off x="2662518" y="246530"/>
          <a:ext cx="1496911" cy="1239711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20</xdr:col>
      <xdr:colOff>41414</xdr:colOff>
      <xdr:row>48</xdr:row>
      <xdr:rowOff>152400</xdr:rowOff>
    </xdr:from>
    <xdr:to>
      <xdr:col>25</xdr:col>
      <xdr:colOff>182218</xdr:colOff>
      <xdr:row>75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199C6CC-3346-458E-91E7-8733E32231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356152</xdr:colOff>
      <xdr:row>48</xdr:row>
      <xdr:rowOff>115956</xdr:rowOff>
    </xdr:from>
    <xdr:to>
      <xdr:col>30</xdr:col>
      <xdr:colOff>496956</xdr:colOff>
      <xdr:row>74</xdr:row>
      <xdr:rowOff>154056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360E892A-7DCD-4ACD-8C91-3A5604091A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0</xdr:colOff>
      <xdr:row>81</xdr:row>
      <xdr:rowOff>36444</xdr:rowOff>
    </xdr:from>
    <xdr:to>
      <xdr:col>16</xdr:col>
      <xdr:colOff>505239</xdr:colOff>
      <xdr:row>107</xdr:row>
      <xdr:rowOff>74544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BD803CE3-B025-49C1-9B9C-395FC54381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679173</xdr:colOff>
      <xdr:row>81</xdr:row>
      <xdr:rowOff>0</xdr:rowOff>
    </xdr:from>
    <xdr:to>
      <xdr:col>21</xdr:col>
      <xdr:colOff>571498</xdr:colOff>
      <xdr:row>107</xdr:row>
      <xdr:rowOff>38100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B785A7F-3314-4434-899B-4D91BC3CAA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60</xdr:row>
      <xdr:rowOff>1</xdr:rowOff>
    </xdr:from>
    <xdr:to>
      <xdr:col>7</xdr:col>
      <xdr:colOff>323022</xdr:colOff>
      <xdr:row>66</xdr:row>
      <xdr:rowOff>1</xdr:rowOff>
    </xdr:to>
    <xdr:sp macro="" textlink="">
      <xdr:nvSpPr>
        <xdr:cNvPr id="4" name="Callout: Down Arrow 3">
          <a:extLst>
            <a:ext uri="{FF2B5EF4-FFF2-40B4-BE49-F238E27FC236}">
              <a16:creationId xmlns:a16="http://schemas.microsoft.com/office/drawing/2014/main" id="{9F952489-1B5F-44D2-9AAE-E01DDFF2C6FC}"/>
            </a:ext>
          </a:extLst>
        </xdr:cNvPr>
        <xdr:cNvSpPr/>
      </xdr:nvSpPr>
      <xdr:spPr>
        <a:xfrm>
          <a:off x="1606826" y="12904305"/>
          <a:ext cx="3619500" cy="1143000"/>
        </a:xfrm>
        <a:prstGeom prst="downArrowCallou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Прототип</a:t>
          </a:r>
          <a:r>
            <a:rPr lang="ru-RU" sz="1100" baseline="0"/>
            <a:t> итоговой функции на текущий момент</a:t>
          </a:r>
        </a:p>
        <a:p>
          <a:pPr algn="l"/>
          <a:endParaRPr lang="ru-RU" sz="1100" baseline="0"/>
        </a:p>
        <a:p>
          <a:pPr algn="l"/>
          <a:r>
            <a:rPr lang="ru-RU" sz="1100" baseline="0"/>
            <a:t>результат расчета сверху вниз</a:t>
          </a:r>
          <a:endParaRPr lang="ru-RU" sz="1100"/>
        </a:p>
      </xdr:txBody>
    </xdr:sp>
    <xdr:clientData/>
  </xdr:twoCellAnchor>
  <xdr:twoCellAnchor>
    <xdr:from>
      <xdr:col>12</xdr:col>
      <xdr:colOff>372717</xdr:colOff>
      <xdr:row>31</xdr:row>
      <xdr:rowOff>132522</xdr:rowOff>
    </xdr:from>
    <xdr:to>
      <xdr:col>17</xdr:col>
      <xdr:colOff>455543</xdr:colOff>
      <xdr:row>37</xdr:row>
      <xdr:rowOff>132522</xdr:rowOff>
    </xdr:to>
    <xdr:sp macro="" textlink="">
      <xdr:nvSpPr>
        <xdr:cNvPr id="21" name="Callout: Down Arrow 20">
          <a:extLst>
            <a:ext uri="{FF2B5EF4-FFF2-40B4-BE49-F238E27FC236}">
              <a16:creationId xmlns:a16="http://schemas.microsoft.com/office/drawing/2014/main" id="{B7606284-0790-4DDA-9FCD-AA6B4DEF54EA}"/>
            </a:ext>
          </a:extLst>
        </xdr:cNvPr>
        <xdr:cNvSpPr/>
      </xdr:nvSpPr>
      <xdr:spPr>
        <a:xfrm>
          <a:off x="8613913" y="7470913"/>
          <a:ext cx="3619500" cy="1143000"/>
        </a:xfrm>
        <a:prstGeom prst="downArrowCallou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 baseline="0"/>
            <a:t>результат расчета снизу вверх</a:t>
          </a:r>
          <a:endParaRPr lang="ru-RU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decode_json_crv"/>
      <definedName name="encode_ESP_pump"/>
      <definedName name="encode_feed"/>
      <definedName name="encode_ipr"/>
      <definedName name="encode_json"/>
      <definedName name="encode_pipe"/>
      <definedName name="encode_PVT"/>
      <definedName name="encode_t_model"/>
      <definedName name="ESP_head_m"/>
      <definedName name="ESP_id_by_rate"/>
      <definedName name="feed_mod_separate_gas"/>
      <definedName name="unf_version"/>
      <definedName name="well_calc_from_pwf"/>
      <definedName name="well_calc_from_pwh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D0406-DBBC-42A2-9F40-2DE47135AB45}">
  <sheetPr codeName="Worksheet____3"/>
  <dimension ref="A1:AL151"/>
  <sheetViews>
    <sheetView tabSelected="1" topLeftCell="A38" zoomScale="115" zoomScaleNormal="115" workbookViewId="0">
      <selection activeCell="E67" sqref="E67"/>
    </sheetView>
  </sheetViews>
  <sheetFormatPr defaultRowHeight="15" x14ac:dyDescent="0.25"/>
  <cols>
    <col min="2" max="2" width="14.85546875" customWidth="1"/>
    <col min="3" max="3" width="10.85546875" customWidth="1"/>
    <col min="7" max="7" width="11" customWidth="1"/>
    <col min="9" max="9" width="10.42578125" customWidth="1"/>
    <col min="11" max="11" width="12" customWidth="1"/>
    <col min="14" max="14" width="11" bestFit="1" customWidth="1"/>
    <col min="15" max="15" width="10.7109375" bestFit="1" customWidth="1"/>
    <col min="16" max="16" width="9.5703125" bestFit="1" customWidth="1"/>
    <col min="17" max="17" width="12.5703125" customWidth="1"/>
    <col min="18" max="20" width="9.28515625" bestFit="1" customWidth="1"/>
  </cols>
  <sheetData>
    <row r="1" spans="1:31" x14ac:dyDescent="0.25">
      <c r="A1" s="1" t="s">
        <v>0</v>
      </c>
      <c r="F1" t="s">
        <v>1</v>
      </c>
      <c r="G1" t="str">
        <f>[1]!unf_version()</f>
        <v>7.36</v>
      </c>
      <c r="H1" t="s">
        <v>52</v>
      </c>
      <c r="I1" s="20">
        <v>44707</v>
      </c>
      <c r="J1" s="21"/>
      <c r="K1" s="21"/>
      <c r="L1" s="21"/>
    </row>
    <row r="2" spans="1:31" x14ac:dyDescent="0.25">
      <c r="A2" t="s">
        <v>84</v>
      </c>
      <c r="H2" t="s">
        <v>53</v>
      </c>
      <c r="I2" s="22">
        <v>7.36</v>
      </c>
      <c r="J2" s="21"/>
      <c r="K2" s="21"/>
      <c r="L2" s="21"/>
      <c r="V2" s="44" t="s">
        <v>67</v>
      </c>
      <c r="W2" s="45"/>
      <c r="X2" s="3">
        <v>0</v>
      </c>
    </row>
    <row r="3" spans="1:31" x14ac:dyDescent="0.25">
      <c r="A3" s="23" t="s">
        <v>54</v>
      </c>
      <c r="B3" s="47"/>
      <c r="C3" s="48"/>
      <c r="D3" s="48"/>
      <c r="E3" s="49"/>
      <c r="H3" t="s">
        <v>55</v>
      </c>
      <c r="I3" s="21"/>
      <c r="J3" s="21"/>
      <c r="K3" s="21"/>
      <c r="L3" s="21"/>
      <c r="Q3" s="34" t="s">
        <v>83</v>
      </c>
      <c r="V3" s="44" t="s">
        <v>68</v>
      </c>
      <c r="W3" s="45"/>
      <c r="X3" s="3">
        <v>0</v>
      </c>
    </row>
    <row r="4" spans="1:31" x14ac:dyDescent="0.25">
      <c r="A4" s="23" t="s">
        <v>56</v>
      </c>
      <c r="B4" s="47" t="s">
        <v>57</v>
      </c>
      <c r="C4" s="48"/>
      <c r="D4" s="48"/>
      <c r="E4" s="49"/>
      <c r="H4" t="s">
        <v>58</v>
      </c>
      <c r="I4" s="21" t="s">
        <v>57</v>
      </c>
      <c r="J4" s="21"/>
      <c r="K4" s="21"/>
      <c r="L4" s="21"/>
      <c r="Q4" s="6" t="s">
        <v>80</v>
      </c>
      <c r="R4" s="36">
        <v>0</v>
      </c>
      <c r="V4" s="44" t="s">
        <v>69</v>
      </c>
      <c r="W4" s="45"/>
      <c r="X4" s="3">
        <v>0</v>
      </c>
    </row>
    <row r="5" spans="1:31" x14ac:dyDescent="0.25">
      <c r="A5" s="23" t="s">
        <v>59</v>
      </c>
      <c r="B5" s="47" t="s">
        <v>60</v>
      </c>
      <c r="C5" s="48"/>
      <c r="D5" s="48"/>
      <c r="E5" s="49"/>
      <c r="H5" t="s">
        <v>61</v>
      </c>
      <c r="I5" s="21" t="s">
        <v>60</v>
      </c>
      <c r="J5" s="21"/>
      <c r="K5" s="21"/>
      <c r="L5" s="21"/>
      <c r="Q5" s="6" t="s">
        <v>81</v>
      </c>
      <c r="R5" s="36">
        <v>0</v>
      </c>
      <c r="V5" s="44" t="s">
        <v>70</v>
      </c>
      <c r="W5" s="45"/>
      <c r="X5" s="3">
        <v>0</v>
      </c>
    </row>
    <row r="6" spans="1:31" x14ac:dyDescent="0.25">
      <c r="A6" s="24" t="s">
        <v>62</v>
      </c>
      <c r="B6" s="50" t="s">
        <v>63</v>
      </c>
      <c r="C6" s="51"/>
      <c r="D6" s="51"/>
      <c r="E6" s="52"/>
      <c r="H6" s="25" t="s">
        <v>64</v>
      </c>
      <c r="I6" s="26" t="s">
        <v>63</v>
      </c>
      <c r="J6" s="26"/>
      <c r="K6" s="26"/>
      <c r="L6" s="26"/>
      <c r="Q6" s="6" t="s">
        <v>82</v>
      </c>
      <c r="R6" s="36">
        <v>1</v>
      </c>
      <c r="V6" s="44" t="s">
        <v>75</v>
      </c>
      <c r="W6" s="45"/>
      <c r="X6" s="3">
        <v>0</v>
      </c>
    </row>
    <row r="7" spans="1:31" x14ac:dyDescent="0.25">
      <c r="A7" s="27"/>
      <c r="B7" s="53"/>
      <c r="C7" s="54"/>
      <c r="D7" s="54"/>
      <c r="E7" s="55"/>
      <c r="H7" s="25"/>
      <c r="I7" s="26"/>
      <c r="J7" s="26"/>
      <c r="K7" s="26"/>
      <c r="L7" s="26"/>
      <c r="Q7" s="21" t="str" cm="1">
        <f t="array" ref="Q7">[1]!encode_json(Q4:R6)</f>
        <v>{"show_log":0,"num_value":0,"show_array":1}</v>
      </c>
      <c r="R7" s="21"/>
      <c r="V7" s="46" t="s">
        <v>71</v>
      </c>
      <c r="W7" s="46"/>
    </row>
    <row r="8" spans="1:31" x14ac:dyDescent="0.25">
      <c r="A8" s="28"/>
      <c r="B8" s="56"/>
      <c r="C8" s="57"/>
      <c r="D8" s="57"/>
      <c r="E8" s="58"/>
      <c r="H8" s="25"/>
      <c r="I8" s="26"/>
      <c r="J8" s="26"/>
      <c r="K8" s="26"/>
      <c r="L8" s="26"/>
      <c r="V8" s="44" t="s">
        <v>72</v>
      </c>
      <c r="W8" s="45"/>
      <c r="X8" s="3">
        <v>1</v>
      </c>
    </row>
    <row r="9" spans="1:31" x14ac:dyDescent="0.25">
      <c r="V9" s="44" t="s">
        <v>73</v>
      </c>
      <c r="W9" s="45"/>
      <c r="X9" s="3">
        <v>1</v>
      </c>
    </row>
    <row r="10" spans="1:31" x14ac:dyDescent="0.25">
      <c r="A10" s="1" t="s">
        <v>2</v>
      </c>
    </row>
    <row r="11" spans="1:31" ht="31.5" x14ac:dyDescent="0.35">
      <c r="B11" s="2" t="s">
        <v>3</v>
      </c>
      <c r="C11" s="3">
        <v>0.87</v>
      </c>
      <c r="D11" s="4"/>
      <c r="E11" s="5">
        <f>gamma_oil_*1000</f>
        <v>870</v>
      </c>
      <c r="F11" s="6" t="s">
        <v>4</v>
      </c>
      <c r="H11" s="11" t="s">
        <v>32</v>
      </c>
      <c r="I11" s="12" t="str">
        <f>[1]!encode_PVT(gamma_gas_,gamma_oil_,gamma_wat_,Rsb_,Pb_,Tres_,Bob_,muob_,PVT_corr_)</f>
        <v>{"gamma_gas":0.8,"gamma_oil":0.87,"gamma_wat":1,"rsb_m3m3":80,"pb_atma":120,"t_res_C":100,"bob_m3m3":1.2,"muob_cP":1,"PVT_corr_set":0}</v>
      </c>
      <c r="J11" s="12"/>
      <c r="K11" s="12"/>
      <c r="L11" s="12"/>
      <c r="M11" s="12"/>
      <c r="N11" s="12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9"/>
    </row>
    <row r="12" spans="1:31" ht="18.75" x14ac:dyDescent="0.35">
      <c r="B12" s="6" t="s">
        <v>5</v>
      </c>
      <c r="C12" s="3">
        <v>1</v>
      </c>
      <c r="D12" s="4"/>
      <c r="E12" s="5">
        <f>gamma_wat_*1000</f>
        <v>1000</v>
      </c>
      <c r="F12" s="6" t="s">
        <v>4</v>
      </c>
      <c r="H12" s="11" t="s">
        <v>76</v>
      </c>
      <c r="I12" s="12" t="str" cm="1">
        <f t="array" ref="I12">[1]!encode_feed(qliq_,fw_,Rp_,Qgas_free,PVTstr_)</f>
        <v>{"gamma_gas":0.8,"gamma_oil":0.87,"gamma_wat":1,"rsb_m3m3":80,"pb_atma":120,"t_res_C":100,"bob_m3m3":1.2,"muob_cP":1,"PVT_corr_set":0,"q_liq_sm3day":2,"fw_perc":10,"rp_m3m3":150}</v>
      </c>
      <c r="J12" s="12"/>
      <c r="K12" s="12"/>
      <c r="L12" s="12"/>
      <c r="M12" s="12"/>
      <c r="N12" s="12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9"/>
    </row>
    <row r="13" spans="1:31" ht="18.75" x14ac:dyDescent="0.35">
      <c r="B13" s="6" t="s">
        <v>6</v>
      </c>
      <c r="C13" s="3">
        <v>0.8</v>
      </c>
      <c r="D13" s="4"/>
      <c r="E13" s="5">
        <f>gamma_gas_*1.22</f>
        <v>0.97599999999999998</v>
      </c>
      <c r="F13" s="6" t="s">
        <v>4</v>
      </c>
    </row>
    <row r="14" spans="1:31" ht="18.75" x14ac:dyDescent="0.35">
      <c r="B14" s="7" t="s">
        <v>7</v>
      </c>
      <c r="C14" s="3">
        <v>80</v>
      </c>
      <c r="D14" s="6" t="s">
        <v>8</v>
      </c>
      <c r="E14" s="8">
        <f>Rsb_/gamma_oil_</f>
        <v>91.954022988505741</v>
      </c>
      <c r="F14" s="6" t="s">
        <v>9</v>
      </c>
    </row>
    <row r="15" spans="1:31" ht="18" x14ac:dyDescent="0.35">
      <c r="B15" s="6" t="s">
        <v>11</v>
      </c>
      <c r="C15" s="3">
        <v>120</v>
      </c>
      <c r="D15" s="4" t="s">
        <v>12</v>
      </c>
      <c r="E15" s="8">
        <f>Pb_*1.01325</f>
        <v>121.59</v>
      </c>
      <c r="F15" s="4" t="s">
        <v>13</v>
      </c>
      <c r="I15" t="str" cm="1">
        <f t="array" ref="I15:J15">[1]!feed_mod_separate_gas(Ksep,E68,T1_,feed)</f>
        <v xml:space="preserve">error </v>
      </c>
      <c r="J15" t="str">
        <v>["CPVT object created ","Error:CPVT.calc_PVT:unf_pvt_Zgas_d: error with t_K = 323, P_MPa = 0, GammaGas = 0.8, z_cor = 2: Overflow","Error:CPVT.mod_after_separation:Error:CPVT.calc_PVT:unf_pvt_Zgas_d: error with t_K = 323, P_MPa = 0, GammaGas = 0.8, z_cor = 2: Overflow"]</v>
      </c>
      <c r="S15" s="1" t="s">
        <v>65</v>
      </c>
    </row>
    <row r="16" spans="1:31" ht="18" x14ac:dyDescent="0.35">
      <c r="B16" s="6" t="s">
        <v>14</v>
      </c>
      <c r="C16" s="3">
        <v>100</v>
      </c>
      <c r="D16" s="4" t="s">
        <v>15</v>
      </c>
      <c r="E16" s="8">
        <f>Tres_*9/5+32</f>
        <v>212</v>
      </c>
      <c r="F16" s="4" t="s">
        <v>16</v>
      </c>
      <c r="T16" s="9" t="s">
        <v>66</v>
      </c>
      <c r="U16" s="3">
        <v>0</v>
      </c>
      <c r="V16" s="6"/>
    </row>
    <row r="17" spans="1:38" ht="18.75" x14ac:dyDescent="0.35">
      <c r="B17" s="7" t="s">
        <v>17</v>
      </c>
      <c r="C17" s="3">
        <v>1.2</v>
      </c>
      <c r="D17" s="6" t="s">
        <v>8</v>
      </c>
    </row>
    <row r="18" spans="1:38" ht="18" x14ac:dyDescent="0.35">
      <c r="B18" s="9" t="s">
        <v>18</v>
      </c>
      <c r="C18" s="3">
        <v>1</v>
      </c>
      <c r="D18" s="4" t="s">
        <v>19</v>
      </c>
    </row>
    <row r="20" spans="1:38" x14ac:dyDescent="0.25">
      <c r="A20" s="1" t="s">
        <v>20</v>
      </c>
      <c r="I20" s="33" t="s">
        <v>85</v>
      </c>
      <c r="J20" s="10"/>
    </row>
    <row r="21" spans="1:38" ht="45.75" x14ac:dyDescent="0.3">
      <c r="B21" s="9" t="s">
        <v>21</v>
      </c>
      <c r="C21" s="3">
        <v>2</v>
      </c>
      <c r="D21" s="6" t="s">
        <v>22</v>
      </c>
      <c r="J21" s="9" t="s">
        <v>27</v>
      </c>
      <c r="K21" s="29">
        <v>13</v>
      </c>
      <c r="L21" s="6" t="s">
        <v>12</v>
      </c>
      <c r="O21" s="11" t="s">
        <v>77</v>
      </c>
      <c r="P21" s="12" t="str" cm="1">
        <f t="array" ref="P21">[1]!encode_t_model(temp_model,E40:F42,T0,T1_)</f>
        <v>{"t_model":2,"thermal_conductivity_formation_WmC":2.4252,"specific_heat_capacity_formation_JkgC":200,"thermal_conductivity_cement_WmC":6.965,"thermal_conductivity_tubing_WmC":32,"thermal_conductivity_casing_WmC":32,"heat_transfer_casing_liquid_Wm2C":200,"heat_transfer_casing_gas_Wm2C":10,"heat_transfer_fluid_convection_Wm2C ":200,"time_calc_hr":240,"t_list_C":{"curve_x":"hvert_m","curve_y":"t_C","hvert_m":[0,1000,2500],"t_C":[20,35,90]}}</v>
      </c>
      <c r="Q21" s="12"/>
      <c r="R21" s="12"/>
      <c r="S21" s="12"/>
      <c r="T21" s="12"/>
      <c r="U21" s="12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9"/>
    </row>
    <row r="22" spans="1:38" ht="31.5" x14ac:dyDescent="0.35">
      <c r="B22" s="7" t="s">
        <v>10</v>
      </c>
      <c r="C22" s="3">
        <v>150</v>
      </c>
      <c r="D22" s="6" t="s">
        <v>8</v>
      </c>
      <c r="E22" s="8">
        <f>Rsb_/gamma_oil_</f>
        <v>91.954022988505741</v>
      </c>
      <c r="F22" s="6" t="s">
        <v>9</v>
      </c>
      <c r="J22" s="9" t="s">
        <v>28</v>
      </c>
      <c r="K22" s="29">
        <v>249</v>
      </c>
      <c r="L22" s="6" t="s">
        <v>12</v>
      </c>
      <c r="O22" s="11" t="s">
        <v>78</v>
      </c>
      <c r="P22" s="12" t="str" cm="1">
        <f t="array" ref="P22">[1]!encode_pipe(B40:C52,H40:I42)</f>
        <v>{"h_list_m":{"curve_x":"hmes_m","curve_y":"hvert_m","hmes_m":[0,1000,1100,1200,1300,1400,1500,1600,1700,1800,1900,2000,2100],"hvert_m":[0,1000,1096,1191,1284,1375,1464,1551,1636,1719,1800,1879,1956]},"diam_list_mm":{"curve_x":"hmes_m","curve_y":"diam_int_mm","hmes_m":[0,1550,2100],"diam_int_mm":[62,63,125]}}</v>
      </c>
      <c r="Q22" s="12"/>
      <c r="R22" s="12"/>
      <c r="S22" s="12"/>
      <c r="T22" s="12"/>
      <c r="U22" s="12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9"/>
    </row>
    <row r="23" spans="1:38" ht="15.75" x14ac:dyDescent="0.3">
      <c r="B23" s="9" t="s">
        <v>23</v>
      </c>
      <c r="C23" s="3">
        <v>10</v>
      </c>
      <c r="D23" s="4" t="s">
        <v>24</v>
      </c>
      <c r="J23" s="9" t="s">
        <v>29</v>
      </c>
      <c r="K23" s="3">
        <v>100</v>
      </c>
      <c r="L23" s="6" t="s">
        <v>30</v>
      </c>
      <c r="O23" t="s">
        <v>98</v>
      </c>
      <c r="P23" t="str" cm="1">
        <f t="array" ref="P23">[1]!encode_ESP_pump(K29,K28)</f>
        <v>{"ESP_ID":1006,"head_nom_m":2500,"freq_Hz":50,"gas_correct_model":0,"gas_correct_stage_by_stage":0,"calibr_head":1,"calibr_power":1,"calibr_rate":1,"dnum_stages_integrate":1}</v>
      </c>
    </row>
    <row r="24" spans="1:38" ht="18" x14ac:dyDescent="0.35">
      <c r="B24" s="9" t="s">
        <v>48</v>
      </c>
      <c r="C24" s="3">
        <v>0</v>
      </c>
      <c r="D24" s="6" t="s">
        <v>49</v>
      </c>
      <c r="J24" s="9" t="s">
        <v>31</v>
      </c>
      <c r="K24" s="3">
        <v>50</v>
      </c>
      <c r="L24" s="6" t="s">
        <v>30</v>
      </c>
      <c r="O24" t="s">
        <v>104</v>
      </c>
      <c r="P24" t="str" cm="1">
        <f t="array" ref="P24">[1]!encode_ipr(O27,O28,O29)</f>
        <v>{"p_res_atma":250,"pi_m3dayatm":0.5,"pb_atma":120,"fw_perc":0}</v>
      </c>
    </row>
    <row r="26" spans="1:38" ht="18" customHeight="1" x14ac:dyDescent="0.25">
      <c r="I26" t="s">
        <v>89</v>
      </c>
      <c r="N26" t="s">
        <v>100</v>
      </c>
      <c r="S26" s="13" t="s">
        <v>50</v>
      </c>
      <c r="T26" s="14"/>
      <c r="U26" s="14"/>
    </row>
    <row r="27" spans="1:38" ht="15.75" customHeight="1" x14ac:dyDescent="0.25">
      <c r="A27" s="34" t="s">
        <v>33</v>
      </c>
      <c r="B27" s="35"/>
      <c r="C27" s="35"/>
      <c r="D27" s="35"/>
      <c r="J27" s="59" t="s">
        <v>90</v>
      </c>
      <c r="K27">
        <v>80</v>
      </c>
      <c r="L27" s="60" t="s">
        <v>91</v>
      </c>
      <c r="N27" t="s">
        <v>101</v>
      </c>
      <c r="O27">
        <v>250</v>
      </c>
      <c r="S27" s="30"/>
      <c r="T27" s="31" t="s">
        <v>79</v>
      </c>
      <c r="U27" s="3">
        <v>1</v>
      </c>
    </row>
    <row r="28" spans="1:38" ht="15" customHeight="1" x14ac:dyDescent="0.35">
      <c r="B28" s="6" t="s">
        <v>34</v>
      </c>
      <c r="C28" s="36">
        <v>3500</v>
      </c>
      <c r="D28" s="37" t="s">
        <v>25</v>
      </c>
      <c r="J28" s="59" t="s">
        <v>93</v>
      </c>
      <c r="K28">
        <v>2500</v>
      </c>
      <c r="L28" s="60" t="s">
        <v>94</v>
      </c>
      <c r="N28" t="s">
        <v>102</v>
      </c>
      <c r="O28">
        <v>0.5</v>
      </c>
      <c r="S28" s="30"/>
      <c r="T28" s="31" t="s">
        <v>47</v>
      </c>
      <c r="U28" s="3">
        <v>2</v>
      </c>
    </row>
    <row r="29" spans="1:38" ht="15" customHeight="1" x14ac:dyDescent="0.35">
      <c r="B29" s="6" t="s">
        <v>35</v>
      </c>
      <c r="C29" s="36">
        <v>2500</v>
      </c>
      <c r="D29" s="37" t="s">
        <v>36</v>
      </c>
      <c r="J29" s="59" t="s">
        <v>92</v>
      </c>
      <c r="K29" cm="1">
        <f t="array" ref="K29">[1]!ESP_id_by_rate(K27)</f>
        <v>1006</v>
      </c>
      <c r="N29" t="s">
        <v>103</v>
      </c>
      <c r="O29">
        <f>Pb_</f>
        <v>120</v>
      </c>
      <c r="S29" s="30"/>
      <c r="T29" s="31" t="s">
        <v>45</v>
      </c>
      <c r="U29" s="3">
        <v>0</v>
      </c>
      <c r="V29" s="3">
        <v>0</v>
      </c>
    </row>
    <row r="30" spans="1:38" ht="31.5" x14ac:dyDescent="0.35">
      <c r="B30" s="6" t="s">
        <v>37</v>
      </c>
      <c r="C30" s="36">
        <v>140</v>
      </c>
      <c r="D30" s="37" t="s">
        <v>26</v>
      </c>
      <c r="J30" s="59" t="s">
        <v>95</v>
      </c>
      <c r="K30" cm="1">
        <f t="array" ref="K30">TRUNC(K28/[1]!ESP_head_m(K27,1,,K29))</f>
        <v>416</v>
      </c>
      <c r="L30" t="s">
        <v>97</v>
      </c>
      <c r="S30" s="30"/>
      <c r="T30" s="31" t="s">
        <v>46</v>
      </c>
      <c r="U30" s="3">
        <v>0</v>
      </c>
      <c r="V30" s="3">
        <v>0</v>
      </c>
    </row>
    <row r="31" spans="1:38" ht="15" customHeight="1" x14ac:dyDescent="0.35">
      <c r="B31" s="6" t="s">
        <v>38</v>
      </c>
      <c r="C31" s="36">
        <v>65</v>
      </c>
      <c r="D31" s="37" t="s">
        <v>26</v>
      </c>
      <c r="S31" s="30"/>
      <c r="T31" s="32" t="s">
        <v>74</v>
      </c>
      <c r="U31" s="5">
        <f>calc_along_coord*10+flow_along_coord</f>
        <v>0</v>
      </c>
      <c r="V31" s="5">
        <f>calc_along_coord1*10+flow_along_coord1</f>
        <v>0</v>
      </c>
    </row>
    <row r="32" spans="1:38" ht="15" customHeight="1" x14ac:dyDescent="0.35">
      <c r="B32" s="6" t="s">
        <v>39</v>
      </c>
      <c r="C32" s="36">
        <v>12</v>
      </c>
      <c r="D32" s="37" t="s">
        <v>26</v>
      </c>
      <c r="J32" s="59" t="s">
        <v>96</v>
      </c>
    </row>
    <row r="34" spans="2:16" x14ac:dyDescent="0.25">
      <c r="O34" t="s">
        <v>105</v>
      </c>
      <c r="P34">
        <v>60</v>
      </c>
    </row>
    <row r="36" spans="2:16" x14ac:dyDescent="0.25">
      <c r="G36" s="10"/>
    </row>
    <row r="37" spans="2:16" x14ac:dyDescent="0.25">
      <c r="B37" s="35" t="s">
        <v>40</v>
      </c>
      <c r="C37" s="35"/>
      <c r="E37" t="s">
        <v>51</v>
      </c>
      <c r="G37" s="10"/>
      <c r="H37" t="s">
        <v>86</v>
      </c>
      <c r="I37" s="10"/>
      <c r="K37" t="s">
        <v>87</v>
      </c>
      <c r="O37" t="s">
        <v>99</v>
      </c>
    </row>
    <row r="38" spans="2:16" ht="18" x14ac:dyDescent="0.35">
      <c r="B38" s="17" t="s">
        <v>41</v>
      </c>
      <c r="C38" s="17" t="s">
        <v>42</v>
      </c>
      <c r="E38" s="17" t="s">
        <v>42</v>
      </c>
      <c r="F38" s="17" t="s">
        <v>43</v>
      </c>
      <c r="G38" s="10"/>
      <c r="H38" s="17" t="s">
        <v>41</v>
      </c>
      <c r="I38" s="15" t="s">
        <v>88</v>
      </c>
      <c r="K38" s="17" t="s">
        <v>41</v>
      </c>
      <c r="L38" s="15" t="s">
        <v>44</v>
      </c>
    </row>
    <row r="39" spans="2:16" x14ac:dyDescent="0.25">
      <c r="B39" s="17" t="s">
        <v>25</v>
      </c>
      <c r="C39" s="17" t="s">
        <v>25</v>
      </c>
      <c r="E39" s="17" t="s">
        <v>25</v>
      </c>
      <c r="F39" s="17" t="s">
        <v>36</v>
      </c>
      <c r="G39" s="10"/>
      <c r="H39" s="17" t="s">
        <v>25</v>
      </c>
      <c r="I39" s="17" t="s">
        <v>26</v>
      </c>
      <c r="K39" s="17" t="s">
        <v>25</v>
      </c>
      <c r="L39" s="17" t="s">
        <v>26</v>
      </c>
      <c r="O39" t="str" cm="1">
        <f t="array" ref="O39">[1]!well_calc_from_pwf(P1_,T0,feed,construction,P23,t_model,C28,C29,,,Ksep,P24,P34)</f>
        <v>{"q_liq_sm3day":0.5,"p_intake_atma":187.680028888768,"p_dis_atma":337.067388014421,"p_buf_atma":151.578639651302,"h_crit_m":1755.26607538803,"c_P":{"curve_x":"x","curve_y":"y","x":[0,50,100,150,200,250,300,350,400,450,500,550,600,650,700,750,800,850,900,950,1000,1050,1100,1150,1200,1250,1300,1350,1400,1450,1500,1550,1600,1650,1700,1750,1800,1850,1900,1950,2000,2050,2100,2150,2200,2250,2300,2350,2400,2450,2500,2550,2600,2650,2700,2750,2800,2850,2900,2950,3000,3050,3100,3150,3200,3250,3300,3350,3400,3450,3500],"y":[151.578639651302,155.724903059127,159.870239501743,164.014634298828,168.158073894733,172.300545749435,176.442038242449,180.582540587901,184.722042759235,188.860535422278,192.998009875574,197.13445799705,201.269872196238,205.404245371363,209.537570870714,213.669842457808,217.801054279885,221.931200839384,226.06027696805,230.174439494484,234.204844389717,238.154635498093,242.080659919534,245.973420549199,249.82194715555,253.626053606886,257.386124332389,261.102086753211,264.774205957485,268.402464144955,271.987066292103,275.548036295788,279.086443805282,282.581441683226,286.033059077108,289.441442330748,292.806631679862,296.128757776119,299.40786793959,302.644081250851,305.837449585825,308.988083074742,312.116086194586,315.242060641864,318.366017324359,321.487956341585,324.607877764431,327.725781636748,330.841667976847,333.955536778926,187.680028888768,190.7640534152,193.846210351701,196.926493925916,200.00489858681,203.081418991686,206.156049994184,209.22878663317,212.299624122438,215.368557841152,218.435583324966,221.500696257768,224.563892463983,227.625167901406,230.684518654507,233.741940928183,236.797431041908,239.850985424263,242.902600607804,245.952273224257,249]},"c_T":{"curve_x":"x","curve_y":"y","x":[0,50,100,150,200,250,300,350,400,450,500,550,600,650,700,750,800,850,900,950,1000,1050,1100,1150,1200,1250,1300,1350,1400,1450,1500,1550,1600,1650,1700,1750,1800,1850,1900,1950,2000,2050,2100,2150,2200,2250,2300,2350,2400,2450,2500,2550,2600,2650,2700,2750,2800,2850,2900,2950,3000,3050,3100,3150,3200,3250,3300,3350,3400,3450,3500],"y":[20,20.75,21.5,22.25,23,23.75,24.5,25.25,26,26.75,27.5,28.25,29,29.75,30.5,31.25,32,32.75,33.5,34.25,35,36.76,38.52,40.2616666666667,42.0033333333333,43.7083333333333,45.4133333333333,47.0816666666667,48.75,50.3816666666667,52.0133333333333,53.6083333333333,55.185,56.7616666666667,58.3016666666667,59.8416666666667,61.345,62.8483333333333,64.315,65.7816666666667,67.2116666666667,68.6416666666667,70.0533333333333,71.465,72.8766666666667,74.2883333333333,75.7,77.1116666666667,78.5233333333333,79.935,81.3466666666667,82.7583333333333,84.17,85.5816666666667,86.9933333333333,88.405,89.8166666666667,91.2283333333333,92.64,94.0516666666667,95.4633333333333,96.875,98.2866666666667,99.6983333333333,101.11,102.521666666667,103.933333333333,105.345,106.756666666667,108.168333333333,109.58]}}</v>
      </c>
    </row>
    <row r="40" spans="2:16" x14ac:dyDescent="0.25">
      <c r="B40" s="16">
        <v>0</v>
      </c>
      <c r="C40" s="16">
        <v>0</v>
      </c>
      <c r="E40" s="40">
        <v>0</v>
      </c>
      <c r="F40" s="40">
        <v>20</v>
      </c>
      <c r="G40" s="10"/>
      <c r="H40" s="40">
        <v>0</v>
      </c>
      <c r="I40" s="41">
        <v>62</v>
      </c>
      <c r="K40" s="40">
        <v>0</v>
      </c>
      <c r="L40" s="41">
        <v>124</v>
      </c>
    </row>
    <row r="41" spans="2:16" x14ac:dyDescent="0.25">
      <c r="B41" s="16">
        <v>1000</v>
      </c>
      <c r="C41" s="16">
        <v>1000</v>
      </c>
      <c r="E41" s="40">
        <v>1000</v>
      </c>
      <c r="F41" s="40">
        <v>35</v>
      </c>
      <c r="G41" s="10"/>
      <c r="H41" s="40">
        <v>1550</v>
      </c>
      <c r="I41" s="41">
        <v>63</v>
      </c>
      <c r="K41" s="40">
        <v>2500</v>
      </c>
      <c r="L41" s="41">
        <v>125</v>
      </c>
      <c r="O41" t="str" cm="1">
        <f t="array" ref="O41:P47">[1]!decode_json(O39)</f>
        <v>q_liq_sm3day</v>
      </c>
      <c r="P41" t="str">
        <v>0.5</v>
      </c>
    </row>
    <row r="42" spans="2:16" x14ac:dyDescent="0.25">
      <c r="B42" s="16">
        <v>1100</v>
      </c>
      <c r="C42" s="16">
        <v>1096</v>
      </c>
      <c r="E42" s="40">
        <v>2500</v>
      </c>
      <c r="F42" s="40">
        <v>90</v>
      </c>
      <c r="G42" s="10"/>
      <c r="H42" s="40">
        <v>2500</v>
      </c>
      <c r="I42" s="41">
        <v>125</v>
      </c>
      <c r="K42" s="40">
        <v>3500</v>
      </c>
      <c r="L42" s="41">
        <v>125</v>
      </c>
      <c r="O42" t="str">
        <v>p_intake_atma</v>
      </c>
      <c r="P42" t="str">
        <v>187.680028888768</v>
      </c>
    </row>
    <row r="43" spans="2:16" x14ac:dyDescent="0.25">
      <c r="B43" s="16">
        <v>1200</v>
      </c>
      <c r="C43" s="16">
        <v>1191</v>
      </c>
      <c r="E43" s="40"/>
      <c r="F43" s="40"/>
      <c r="G43" s="10"/>
      <c r="H43" s="40"/>
      <c r="I43" s="40"/>
      <c r="K43" s="40"/>
      <c r="L43" s="40"/>
      <c r="O43" t="str">
        <v>p_dis_atma</v>
      </c>
      <c r="P43" t="str">
        <v>337.067388014421</v>
      </c>
    </row>
    <row r="44" spans="2:16" x14ac:dyDescent="0.25">
      <c r="B44" s="16">
        <v>1300</v>
      </c>
      <c r="C44" s="16">
        <v>1284</v>
      </c>
      <c r="E44" s="40"/>
      <c r="F44" s="40"/>
      <c r="G44" s="10"/>
      <c r="H44" s="40"/>
      <c r="I44" s="40"/>
      <c r="K44" s="40"/>
      <c r="L44" s="40"/>
      <c r="O44" t="str">
        <v>p_buf_atma</v>
      </c>
      <c r="P44" t="str">
        <v>151.578639651302</v>
      </c>
    </row>
    <row r="45" spans="2:16" x14ac:dyDescent="0.25">
      <c r="B45" s="16">
        <v>1400</v>
      </c>
      <c r="C45" s="16">
        <v>1375</v>
      </c>
      <c r="E45" s="40"/>
      <c r="F45" s="40"/>
      <c r="G45" s="10"/>
      <c r="H45" s="40"/>
      <c r="I45" s="40"/>
      <c r="K45" s="40"/>
      <c r="L45" s="40"/>
      <c r="O45" t="str">
        <v>h_crit_m</v>
      </c>
      <c r="P45" t="str">
        <v>1755.26607538803</v>
      </c>
    </row>
    <row r="46" spans="2:16" x14ac:dyDescent="0.25">
      <c r="B46" s="16">
        <v>1500</v>
      </c>
      <c r="C46" s="16">
        <v>1464</v>
      </c>
      <c r="E46" s="40"/>
      <c r="F46" s="40"/>
      <c r="G46" s="10"/>
      <c r="H46" s="40"/>
      <c r="I46" s="40"/>
      <c r="K46" s="40"/>
      <c r="L46" s="40"/>
      <c r="O46" t="str">
        <v>c_P</v>
      </c>
      <c r="P46" t="str">
        <v>{"curve_x":"x","curve_y":"y","x":[0,50,100,150,200,250,300,350,400,450,500,550,600,650,700,750,800,850,900,950,1000,1050,1100,1150,1200,1250,1300,1350,1400,1450,1500,1550,1600,1650,1700,1750,1800,1850,1900,1950,2000,2050,2100,2150,2200,2250,2300,2350,2400,2450,2500,2550,2600,2650,2700,2750,2800,2850,2900,2950,3000,3050,3100,3150,3200,3250,3300,3350,3400,3450,3500],"y":[151.578639651302,155.724903059127,159.870239501743,164.014634298828,168.158073894733,172.300545749435,176.442038242449,180.582540587901,184.722042759235,188.860535422278,192.998009875574,197.13445799705,201.269872196238,205.404245371363,209.537570870714,213.669842457808,217.801054279885,221.931200839384,226.06027696805,230.174439494484,234.204844389717,238.154635498093,242.080659919534,245.973420549199,249.82194715555,253.626053606886,257.386124332389,261.102086753211,264.774205957485,268.402464144955,271.987066292103,275.548036295788,279.086443805282,282.581441683226,286.033059077108,289.441442330748,292.806631679862,296.128757776119,299.40786793959,302.644081250851,305.837449585825,308.988083074742,312.116086194586,315.242060641864,318.366017324359,321.487956341585,324.607877764431,327.725781636748,330.841667976847,333.955536778926,187.680028888768,190.7640534152,193.846210351701,196.926493925916,200.00489858681,203.081418991686,206.156049994184,209.22878663317,212.299624122438,215.368557841152,218.435583324966,221.500696257768,224.563892463983,227.625167901406,230.684518654507,233.741940928183,236.797431041908,239.850985424263,242.902600607804,245.952273224257,249]}</v>
      </c>
    </row>
    <row r="47" spans="2:16" x14ac:dyDescent="0.25">
      <c r="B47" s="16">
        <v>1600</v>
      </c>
      <c r="C47" s="16">
        <v>1551</v>
      </c>
      <c r="E47" s="40"/>
      <c r="F47" s="40"/>
      <c r="G47" s="10"/>
      <c r="H47" s="40"/>
      <c r="I47" s="40"/>
      <c r="K47" s="40"/>
      <c r="L47" s="40"/>
      <c r="O47" t="str">
        <v>c_T</v>
      </c>
      <c r="P47" t="str">
        <v>{"curve_x":"x","curve_y":"y","x":[0,50,100,150,200,250,300,350,400,450,500,550,600,650,700,750,800,850,900,950,1000,1050,1100,1150,1200,1250,1300,1350,1400,1450,1500,1550,1600,1650,1700,1750,1800,1850,1900,1950,2000,2050,2100,2150,2200,2250,2300,2350,2400,2450,2500,2550,2600,2650,2700,2750,2800,2850,2900,2950,3000,3050,3100,3150,3200,3250,3300,3350,3400,3450,3500],"y":[20,20.75,21.5,22.25,23,23.75,24.5,25.25,26,26.75,27.5,28.25,29,29.75,30.5,31.25,32,32.75,33.5,34.25,35,36.76,38.52,40.2616666666667,42.0033333333333,43.7083333333333,45.4133333333333,47.0816666666667,48.75,50.3816666666667,52.0133333333333,53.6083333333333,55.185,56.7616666666667,58.3016666666667,59.8416666666667,61.345,62.8483333333333,64.315,65.7816666666667,67.2116666666667,68.6416666666667,70.0533333333333,71.465,72.8766666666667,74.2883333333333,75.7,77.1116666666667,78.5233333333333,79.935,81.3466666666667,82.7583333333333,84.17,85.5816666666667,86.9933333333333,88.405,89.8166666666667,91.2283333333333,92.64,94.0516666666667,95.4633333333333,96.875,98.2866666666667,99.6983333333333,101.11,102.521666666667,103.933333333333,105.345,106.756666666667,108.168333333333,109.58]}</v>
      </c>
    </row>
    <row r="48" spans="2:16" x14ac:dyDescent="0.25">
      <c r="B48" s="16">
        <v>1700</v>
      </c>
      <c r="C48" s="16">
        <v>1636</v>
      </c>
      <c r="E48" s="40"/>
      <c r="F48" s="40"/>
      <c r="G48" s="10"/>
      <c r="H48" s="40"/>
      <c r="I48" s="40"/>
      <c r="K48" s="40"/>
      <c r="L48" s="40"/>
    </row>
    <row r="49" spans="2:31" x14ac:dyDescent="0.25">
      <c r="B49" s="16">
        <v>1800</v>
      </c>
      <c r="C49" s="16">
        <v>1719</v>
      </c>
      <c r="E49" s="40"/>
      <c r="F49" s="40"/>
      <c r="G49" s="10"/>
      <c r="H49" s="40"/>
      <c r="I49" s="40"/>
      <c r="K49" s="40"/>
      <c r="L49" s="40"/>
    </row>
    <row r="50" spans="2:31" x14ac:dyDescent="0.25">
      <c r="B50" s="16">
        <v>1900</v>
      </c>
      <c r="C50" s="16">
        <v>1800</v>
      </c>
      <c r="E50" s="40"/>
      <c r="F50" s="40"/>
      <c r="G50" s="10"/>
      <c r="H50" s="40"/>
      <c r="I50" s="40"/>
      <c r="K50" s="40"/>
      <c r="L50" s="40"/>
      <c r="O50" t="str" cm="1">
        <f t="array" ref="O50:P121">[1]!decode_json_crv(P46)</f>
        <v>x</v>
      </c>
      <c r="P50" t="str">
        <v>y</v>
      </c>
      <c r="R50" t="str" cm="1">
        <f t="array" ref="R50:S121">[1]!decode_json_crv(P47)</f>
        <v>x</v>
      </c>
      <c r="S50" t="str">
        <v>y</v>
      </c>
    </row>
    <row r="51" spans="2:31" x14ac:dyDescent="0.25">
      <c r="B51" s="16">
        <v>2000</v>
      </c>
      <c r="C51" s="16">
        <v>1879</v>
      </c>
      <c r="E51" s="40"/>
      <c r="F51" s="40"/>
      <c r="G51" s="10"/>
      <c r="H51" s="40"/>
      <c r="I51" s="40"/>
      <c r="K51" s="40"/>
      <c r="L51" s="40"/>
      <c r="O51">
        <v>0</v>
      </c>
      <c r="P51">
        <v>151.57863965130201</v>
      </c>
      <c r="R51">
        <v>0</v>
      </c>
      <c r="S51">
        <v>20</v>
      </c>
    </row>
    <row r="52" spans="2:31" x14ac:dyDescent="0.25">
      <c r="B52" s="16">
        <v>2100</v>
      </c>
      <c r="C52" s="16">
        <v>1956</v>
      </c>
      <c r="E52" s="40"/>
      <c r="F52" s="40"/>
      <c r="G52" s="10"/>
      <c r="H52" s="40"/>
      <c r="I52" s="40"/>
      <c r="K52" s="40"/>
      <c r="L52" s="40"/>
      <c r="O52">
        <v>50</v>
      </c>
      <c r="P52">
        <v>155.724903059127</v>
      </c>
      <c r="R52">
        <v>50</v>
      </c>
      <c r="S52">
        <v>20.75</v>
      </c>
    </row>
    <row r="53" spans="2:31" x14ac:dyDescent="0.25">
      <c r="B53" s="16">
        <v>2200</v>
      </c>
      <c r="C53" s="16">
        <v>2031</v>
      </c>
      <c r="E53" s="40"/>
      <c r="F53" s="40"/>
      <c r="G53" s="10"/>
      <c r="H53" s="40"/>
      <c r="I53" s="40"/>
      <c r="K53" s="40"/>
      <c r="L53" s="40"/>
      <c r="O53">
        <v>100</v>
      </c>
      <c r="P53">
        <v>159.87023950174299</v>
      </c>
      <c r="R53">
        <v>100</v>
      </c>
      <c r="S53">
        <v>21.5</v>
      </c>
    </row>
    <row r="54" spans="2:31" x14ac:dyDescent="0.25">
      <c r="B54" s="16">
        <v>2300</v>
      </c>
      <c r="C54" s="16">
        <v>2104</v>
      </c>
      <c r="E54" s="40"/>
      <c r="F54" s="40"/>
      <c r="G54" s="10"/>
      <c r="H54" s="40"/>
      <c r="I54" s="40"/>
      <c r="K54" s="40"/>
      <c r="L54" s="40"/>
      <c r="O54">
        <v>150</v>
      </c>
      <c r="P54">
        <v>164.01463429882801</v>
      </c>
      <c r="R54">
        <v>150</v>
      </c>
      <c r="S54">
        <v>22.25</v>
      </c>
    </row>
    <row r="55" spans="2:31" x14ac:dyDescent="0.25">
      <c r="B55" s="16">
        <v>2400</v>
      </c>
      <c r="C55" s="16">
        <v>2175</v>
      </c>
      <c r="E55" s="40"/>
      <c r="F55" s="40"/>
      <c r="G55" s="10"/>
      <c r="H55" s="40"/>
      <c r="I55" s="40"/>
      <c r="K55" s="40"/>
      <c r="L55" s="40"/>
      <c r="O55">
        <v>200</v>
      </c>
      <c r="P55">
        <v>168.15807389473301</v>
      </c>
      <c r="R55">
        <v>200</v>
      </c>
      <c r="S55">
        <v>23</v>
      </c>
      <c r="AA55" s="38"/>
      <c r="AB55" s="38"/>
      <c r="AC55" s="39"/>
      <c r="AD55" s="39"/>
      <c r="AE55" s="38"/>
    </row>
    <row r="56" spans="2:31" x14ac:dyDescent="0.25">
      <c r="B56" s="16">
        <v>2500</v>
      </c>
      <c r="C56" s="16">
        <v>2244</v>
      </c>
      <c r="E56" s="40"/>
      <c r="F56" s="40"/>
      <c r="G56" s="10"/>
      <c r="H56" s="40"/>
      <c r="I56" s="40"/>
      <c r="K56" s="40"/>
      <c r="L56" s="40"/>
      <c r="O56">
        <v>250</v>
      </c>
      <c r="P56">
        <v>172.300545749435</v>
      </c>
      <c r="R56">
        <v>250</v>
      </c>
      <c r="S56">
        <v>23.75</v>
      </c>
      <c r="AA56" s="38"/>
      <c r="AB56" s="38"/>
      <c r="AC56" s="39"/>
      <c r="AD56" s="39"/>
      <c r="AE56" s="38"/>
    </row>
    <row r="57" spans="2:31" x14ac:dyDescent="0.25">
      <c r="B57" s="16">
        <v>2600</v>
      </c>
      <c r="C57" s="16">
        <v>2311</v>
      </c>
      <c r="E57" s="40"/>
      <c r="F57" s="40"/>
      <c r="G57" s="10"/>
      <c r="H57" s="40"/>
      <c r="I57" s="40"/>
      <c r="K57" s="40"/>
      <c r="L57" s="40"/>
      <c r="O57">
        <v>300</v>
      </c>
      <c r="P57">
        <v>176.442038242449</v>
      </c>
      <c r="R57">
        <v>300</v>
      </c>
      <c r="S57">
        <v>24.5</v>
      </c>
      <c r="AA57" s="38"/>
      <c r="AB57" s="38"/>
      <c r="AC57" s="39"/>
      <c r="AD57" s="39"/>
      <c r="AE57" s="38"/>
    </row>
    <row r="58" spans="2:31" x14ac:dyDescent="0.25">
      <c r="B58" s="16">
        <v>2700</v>
      </c>
      <c r="C58" s="16">
        <v>2376</v>
      </c>
      <c r="E58" s="40"/>
      <c r="F58" s="40"/>
      <c r="G58" s="10"/>
      <c r="H58" s="40"/>
      <c r="I58" s="40"/>
      <c r="K58" s="40"/>
      <c r="L58" s="40"/>
      <c r="O58">
        <v>350</v>
      </c>
      <c r="P58">
        <v>180.58254058790101</v>
      </c>
      <c r="R58">
        <v>350</v>
      </c>
      <c r="S58">
        <v>25.25</v>
      </c>
      <c r="AA58" s="38"/>
      <c r="AB58" s="38"/>
      <c r="AC58" s="39"/>
      <c r="AD58" s="39"/>
      <c r="AE58" s="38"/>
    </row>
    <row r="59" spans="2:31" x14ac:dyDescent="0.25">
      <c r="B59" s="16">
        <v>2800</v>
      </c>
      <c r="C59" s="16">
        <v>2439</v>
      </c>
      <c r="E59" s="40"/>
      <c r="F59" s="40"/>
      <c r="G59" s="10"/>
      <c r="H59" s="40"/>
      <c r="I59" s="40"/>
      <c r="K59" s="40"/>
      <c r="L59" s="40"/>
      <c r="O59">
        <v>400</v>
      </c>
      <c r="P59">
        <v>184.72204275923499</v>
      </c>
      <c r="R59">
        <v>400</v>
      </c>
      <c r="S59">
        <v>26</v>
      </c>
      <c r="AA59" s="38"/>
      <c r="AB59" s="38"/>
      <c r="AC59" s="39"/>
      <c r="AD59" s="39"/>
      <c r="AE59" s="38"/>
    </row>
    <row r="60" spans="2:31" x14ac:dyDescent="0.25">
      <c r="B60" s="16">
        <v>3500</v>
      </c>
      <c r="C60" s="16">
        <v>2500</v>
      </c>
      <c r="G60" s="10"/>
      <c r="O60">
        <v>450</v>
      </c>
      <c r="P60">
        <v>188.86053542227799</v>
      </c>
      <c r="R60">
        <v>450</v>
      </c>
      <c r="S60">
        <v>26.75</v>
      </c>
      <c r="AA60" s="38"/>
      <c r="AB60" s="38"/>
      <c r="AC60" s="39"/>
      <c r="AD60" s="39"/>
      <c r="AE60" s="38"/>
    </row>
    <row r="61" spans="2:31" x14ac:dyDescent="0.25">
      <c r="B61" s="16"/>
      <c r="C61" s="16"/>
      <c r="G61" s="10"/>
      <c r="O61">
        <v>500</v>
      </c>
      <c r="P61">
        <v>192.99800987557401</v>
      </c>
      <c r="R61">
        <v>500</v>
      </c>
      <c r="S61">
        <v>27.5</v>
      </c>
      <c r="AA61" s="38"/>
      <c r="AB61" s="38"/>
      <c r="AC61" s="39"/>
      <c r="AD61" s="39"/>
      <c r="AE61" s="38"/>
    </row>
    <row r="62" spans="2:31" x14ac:dyDescent="0.25">
      <c r="B62" s="16"/>
      <c r="C62" s="16"/>
      <c r="G62" s="10"/>
      <c r="O62">
        <v>550</v>
      </c>
      <c r="P62">
        <v>197.13445799704999</v>
      </c>
      <c r="R62">
        <v>550</v>
      </c>
      <c r="S62">
        <v>28.25</v>
      </c>
      <c r="AA62" s="38"/>
      <c r="AB62" s="38"/>
      <c r="AC62" s="39"/>
      <c r="AD62" s="39"/>
      <c r="AE62" s="38"/>
    </row>
    <row r="63" spans="2:31" x14ac:dyDescent="0.25">
      <c r="O63">
        <v>600</v>
      </c>
      <c r="P63">
        <v>201.269872196238</v>
      </c>
      <c r="R63">
        <v>600</v>
      </c>
      <c r="S63">
        <v>29</v>
      </c>
      <c r="AA63" s="38"/>
      <c r="AB63" s="38"/>
      <c r="AC63" s="39"/>
      <c r="AD63" s="39"/>
      <c r="AE63" s="38"/>
    </row>
    <row r="64" spans="2:31" x14ac:dyDescent="0.25">
      <c r="O64">
        <v>650</v>
      </c>
      <c r="P64">
        <v>205.404245371363</v>
      </c>
      <c r="R64">
        <v>650</v>
      </c>
      <c r="S64">
        <v>29.75</v>
      </c>
      <c r="AA64" s="38"/>
      <c r="AB64" s="38"/>
      <c r="AC64" s="39"/>
      <c r="AD64" s="39"/>
      <c r="AE64" s="38"/>
    </row>
    <row r="65" spans="5:31" x14ac:dyDescent="0.25">
      <c r="O65">
        <v>700</v>
      </c>
      <c r="P65">
        <v>209.53757087071401</v>
      </c>
      <c r="R65">
        <v>700</v>
      </c>
      <c r="S65">
        <v>30.5</v>
      </c>
      <c r="AA65" s="38"/>
      <c r="AB65" s="38"/>
      <c r="AC65" s="39"/>
      <c r="AD65" s="39"/>
      <c r="AE65" s="38"/>
    </row>
    <row r="66" spans="5:31" x14ac:dyDescent="0.25">
      <c r="O66" s="42">
        <v>750</v>
      </c>
      <c r="P66">
        <v>213.66984245780799</v>
      </c>
      <c r="R66">
        <v>750</v>
      </c>
      <c r="S66">
        <v>31.25</v>
      </c>
      <c r="AA66" s="38"/>
      <c r="AB66" s="38"/>
    </row>
    <row r="67" spans="5:31" x14ac:dyDescent="0.25">
      <c r="E67" t="str" cm="1">
        <f t="array" ref="E67">[1]!well_calc_from_pwh(P0,T0,feed,construction,P23,t_model,C28,C29,,,Ksep,P24,P34)</f>
        <v>{"q_liq_sm3day":59.5957867815154,"p_intake_atma":70.3159211953591,"p_dis_atma":129.034054821776,"p_buf_atma":12.9461912258524,"h_crit_m":1429.31048748051,"c_P":{"curve_x":"x","curve_y":"y","x":[0,50,100,150,200,250,300,350,400,450,500,550,600,650,700,750,800,850,900,950,1000,1050,1100,1150,1200,1250,1300,1350,1400,1450,1500,1550,1600,1650,1700,1750,1800,1850,1900,1950,2000,2050,2100,2150,2200,2250,2300,2350,2400,2450,2500,2550,2600,2650,2700,2750,2800,2850,2900,2950,3000,3050,3100,3150,3200,3250,3300,3350,3400,3450,3500],"y":[12.9461912258524,14.1979255926725,15.5050503425757,16.8684230427071,18.2887666322976,19.7666817460321,21.302654065344,22.8970577806089,24.5501558356969,26.2620973685299,28.0329125999687,29.8625053261894,31.7506431181324,33.6969453148232,35.7008699477512,37.7617292671041,39.8786241515196,42.0504260180308,44.2757702567786,46.606385888392,49.0305765243437,51.4884445702625,53.9838642794441,56.5090102548315,59.0540015506217,61.6138677058593,64.1804394928179,66.7456961938565,69.3068543439302,71.8612889299967,74.4067858307832,76.9558681741611,79.5125587178178,82.0552407460566,84.5822582099965,87.0921799926046,89.5836295573347,92.0554005357274,94.5063231824813,96.9353563417335,99.3414803899337,101.723771439258,104.169069685481,107.285616006025,110.400116911038,113.512415556089,116.622339063798,119.729695049503,122.834267682788,125.935813206073,70.3159211953591,73.3832505749836,76.445504259384,79.5026836849845,82.5548016765481,85.6018835278572,88.6439680935742,91.681108949648,94.7133756719508,97.7408552781346,100.76365387503,103.781898552559,106.79573956446,109.805352835518,112.810942833591,115.81274584151,118.811033657166,121.806146179627,124.802095498534,127.802606581748,130.808426436969]},"c_T":{"curve_x":"x","curve_y":"y","x":[0,50,100,150,200,250,300,350,400,450,500,550,600,650,700,750,800,850,900,950,1000,1050,1100,1150,1200,1250,1300,1350,1400,1450,1500,1550,1600,1650,1700,1750,1800,1850,1900,1950,2000,2050,2100,2150,2200,2250,2300,2350,2400,2450,2500,2550,2600,2650,2700,2750,2800,2850,2900,2950,3000,3050,3100,3150,3200,3250,3300,3350,3400,3450,3500],"y":[25.6944306761023,26.4843277272721,27.2801414238751,28.0829635546598,28.8940977721393,29.7151017534946,30.547837765747,31.3945330690373,32.2578518219963,33.1409804046356,34.0477283488013,34.9826473643534,35.9511712695265,36.9597799728211,38.0161909848318,39.1295817026009,40.3108488228138,41.5729069683537,42.9310317787334,44.4030737932645,46.0139908390388,47.6976998928816,49.3666939534238,51.0207764630957,52.659881295049,54.2848387698997,55.8959369268189,57.4932429007376,59.0778652917173,60.6509109616262,62.2138326935469,63.7671440721575,65.3141612879609,66.8565975654368,68.3968756439903,69.9380014676742,71.483308240233,73.0368703872292,74.6032726409777,76.1880531459987,77.7975066844719,79.4391651987223,81.1198032493262,82.8528019789514,84.6415945701464,86.4955600563248,88.4255997507586,90.4443713255934,92.566553892409,94.809146675234,89.9627233619004,91.2328118453287,92.4788826572907,93.6968968115159,94.8821272054868,96.0290466160146,97.1311969701772,98.181036500005,99.1697607310895,100.087092440124,100.921034699557,101.657579849482,102.280365617677,102.770267539858,103.104914165286,103.25810806262,103.199131080866,102.891913116737,102.292634855381,101.348931668083,100]}}</v>
      </c>
      <c r="O67" s="42">
        <v>800</v>
      </c>
      <c r="P67">
        <v>217.80105427988499</v>
      </c>
      <c r="R67">
        <v>800</v>
      </c>
      <c r="S67">
        <v>32</v>
      </c>
      <c r="AA67" s="38"/>
      <c r="AB67" s="38"/>
    </row>
    <row r="68" spans="5:31" x14ac:dyDescent="0.25">
      <c r="N68" s="38"/>
      <c r="O68" s="43">
        <v>850</v>
      </c>
      <c r="P68">
        <v>221.93120083938399</v>
      </c>
      <c r="R68">
        <v>850</v>
      </c>
      <c r="S68">
        <v>32.75</v>
      </c>
    </row>
    <row r="69" spans="5:31" x14ac:dyDescent="0.25">
      <c r="N69" s="38"/>
      <c r="O69" s="43">
        <v>900</v>
      </c>
      <c r="P69">
        <v>226.06027696805</v>
      </c>
      <c r="R69">
        <v>900</v>
      </c>
      <c r="S69">
        <v>33.5</v>
      </c>
    </row>
    <row r="70" spans="5:31" x14ac:dyDescent="0.25">
      <c r="N70" s="38"/>
      <c r="O70" s="43">
        <v>950</v>
      </c>
      <c r="P70">
        <v>230.17443949448401</v>
      </c>
      <c r="R70">
        <v>950</v>
      </c>
      <c r="S70">
        <v>34.25</v>
      </c>
    </row>
    <row r="71" spans="5:31" x14ac:dyDescent="0.25">
      <c r="E71" t="str" cm="1">
        <f t="array" ref="E71:F77">[1]!decode_json(E67)</f>
        <v>q_liq_sm3day</v>
      </c>
      <c r="F71" t="str">
        <v>59.5957867815154</v>
      </c>
      <c r="N71" s="38"/>
      <c r="O71" s="43">
        <v>1000</v>
      </c>
      <c r="P71">
        <v>234.20484438971701</v>
      </c>
      <c r="R71">
        <v>1000</v>
      </c>
      <c r="S71">
        <v>35</v>
      </c>
    </row>
    <row r="72" spans="5:31" x14ac:dyDescent="0.25">
      <c r="E72" t="str">
        <v>p_intake_atma</v>
      </c>
      <c r="F72" t="str">
        <v>70.3159211953591</v>
      </c>
      <c r="N72" s="38"/>
      <c r="O72" s="43">
        <v>1050</v>
      </c>
      <c r="P72">
        <v>238.154635498093</v>
      </c>
      <c r="R72">
        <v>1050</v>
      </c>
      <c r="S72">
        <v>36.76</v>
      </c>
    </row>
    <row r="73" spans="5:31" x14ac:dyDescent="0.25">
      <c r="E73" t="str">
        <v>p_dis_atma</v>
      </c>
      <c r="F73" t="str">
        <v>129.034054821776</v>
      </c>
      <c r="N73" s="38"/>
      <c r="O73" s="43">
        <v>1100</v>
      </c>
      <c r="P73">
        <v>242.08065991953401</v>
      </c>
      <c r="R73">
        <v>1100</v>
      </c>
      <c r="S73">
        <v>38.520000000000003</v>
      </c>
    </row>
    <row r="74" spans="5:31" x14ac:dyDescent="0.25">
      <c r="E74" t="str">
        <v>p_buf_atma</v>
      </c>
      <c r="F74" t="str">
        <v>12.9461912258524</v>
      </c>
      <c r="N74" s="38"/>
      <c r="O74" s="43">
        <v>1150</v>
      </c>
      <c r="P74">
        <v>245.97342054919901</v>
      </c>
      <c r="R74">
        <v>1150</v>
      </c>
      <c r="S74">
        <v>40.261666666666699</v>
      </c>
    </row>
    <row r="75" spans="5:31" x14ac:dyDescent="0.25">
      <c r="E75" t="str">
        <v>h_crit_m</v>
      </c>
      <c r="F75" t="str">
        <v>1429.31048748051</v>
      </c>
      <c r="N75" s="38"/>
      <c r="O75" s="43">
        <v>1200</v>
      </c>
      <c r="P75">
        <v>249.82194715554999</v>
      </c>
      <c r="R75">
        <v>1200</v>
      </c>
      <c r="S75">
        <v>42.003333333333302</v>
      </c>
    </row>
    <row r="76" spans="5:31" x14ac:dyDescent="0.25">
      <c r="E76" t="str">
        <v>c_P</v>
      </c>
      <c r="F76" t="str">
        <v>{"curve_x":"x","curve_y":"y","x":[0,50,100,150,200,250,300,350,400,450,500,550,600,650,700,750,800,850,900,950,1000,1050,1100,1150,1200,1250,1300,1350,1400,1450,1500,1550,1600,1650,1700,1750,1800,1850,1900,1950,2000,2050,2100,2150,2200,2250,2300,2350,2400,2450,2500,2550,2600,2650,2700,2750,2800,2850,2900,2950,3000,3050,3100,3150,3200,3250,3300,3350,3400,3450,3500],"y":[12.9461912258524,14.1979255926725,15.5050503425757,16.8684230427071,18.2887666322976,19.7666817460321,21.302654065344,22.8970577806089,24.5501558356969,26.2620973685299,28.0329125999687,29.8625053261894,31.7506431181324,33.6969453148232,35.7008699477512,37.7617292671041,39.8786241515196,42.0504260180308,44.2757702567786,46.606385888392,49.0305765243437,51.4884445702625,53.9838642794441,56.5090102548315,59.0540015506217,61.6138677058593,64.1804394928179,66.7456961938565,69.3068543439302,71.8612889299967,74.4067858307832,76.9558681741611,79.5125587178178,82.0552407460566,84.5822582099965,87.0921799926046,89.5836295573347,92.0554005357274,94.5063231824813,96.9353563417335,99.3414803899337,101.723771439258,104.169069685481,107.285616006025,110.400116911038,113.512415556089,116.622339063798,119.729695049503,122.834267682788,125.935813206073,70.3159211953591,73.3832505749836,76.445504259384,79.5026836849845,82.5548016765481,85.6018835278572,88.6439680935742,91.681108949648,94.7133756719508,97.7408552781346,100.76365387503,103.781898552559,106.79573956446,109.805352835518,112.810942833591,115.81274584151,118.811033657166,121.806146179627,124.802095498534,127.802606581748,130.808426436969]}</v>
      </c>
      <c r="N76" s="38"/>
      <c r="O76" s="43">
        <v>1250</v>
      </c>
      <c r="P76">
        <v>253.62605360688599</v>
      </c>
      <c r="R76">
        <v>1250</v>
      </c>
      <c r="S76">
        <v>43.7083333333333</v>
      </c>
    </row>
    <row r="77" spans="5:31" x14ac:dyDescent="0.25">
      <c r="E77" t="str">
        <v>c_T</v>
      </c>
      <c r="F77" t="str">
        <v>{"curve_x":"x","curve_y":"y","x":[0,50,100,150,200,250,300,350,400,450,500,550,600,650,700,750,800,850,900,950,1000,1050,1100,1150,1200,1250,1300,1350,1400,1450,1500,1550,1600,1650,1700,1750,1800,1850,1900,1950,2000,2050,2100,2150,2200,2250,2300,2350,2400,2450,2500,2550,2600,2650,2700,2750,2800,2850,2900,2950,3000,3050,3100,3150,3200,3250,3300,3350,3400,3450,3500],"y":[25.6944306761023,26.4843277272721,27.2801414238751,28.0829635546598,28.8940977721393,29.7151017534946,30.547837765747,31.3945330690373,32.2578518219963,33.1409804046356,34.0477283488013,34.9826473643534,35.9511712695265,36.9597799728211,38.0161909848318,39.1295817026009,40.3108488228138,41.5729069683537,42.9310317787334,44.4030737932645,46.0139908390388,47.6976998928816,49.3666939534238,51.0207764630957,52.659881295049,54.2848387698997,55.8959369268189,57.4932429007376,59.0778652917173,60.6509109616262,62.2138326935469,63.7671440721575,65.3141612879609,66.8565975654368,68.3968756439903,69.9380014676742,71.483308240233,73.0368703872292,74.6032726409777,76.1880531459987,77.7975066844719,79.4391651987223,81.1198032493262,82.8528019789514,84.6415945701464,86.4955600563248,88.4255997507586,90.4443713255934,92.566553892409,94.809146675234,89.9627233619004,91.2328118453287,92.4788826572907,93.6968968115159,94.8821272054868,96.0290466160146,97.1311969701772,98.181036500005,99.1697607310895,100.087092440124,100.921034699557,101.657579849482,102.280365617677,102.770267539858,103.104914165286,103.25810806262,103.199131080866,102.891913116737,102.292634855381,101.348931668083,100]}</v>
      </c>
      <c r="N77" s="38"/>
      <c r="O77" s="43">
        <v>1300</v>
      </c>
      <c r="P77">
        <v>257.38612433238899</v>
      </c>
      <c r="R77">
        <v>1300</v>
      </c>
      <c r="S77">
        <v>45.413333333333298</v>
      </c>
    </row>
    <row r="78" spans="5:31" x14ac:dyDescent="0.25">
      <c r="N78" s="38"/>
      <c r="O78" s="43">
        <v>1350</v>
      </c>
      <c r="P78">
        <v>261.10208675321098</v>
      </c>
      <c r="R78">
        <v>1350</v>
      </c>
      <c r="S78">
        <v>47.081666666666699</v>
      </c>
    </row>
    <row r="79" spans="5:31" x14ac:dyDescent="0.25">
      <c r="N79" s="38"/>
      <c r="O79" s="43">
        <v>1400</v>
      </c>
      <c r="P79">
        <v>264.77420595748498</v>
      </c>
      <c r="R79">
        <v>1400</v>
      </c>
      <c r="S79">
        <v>48.75</v>
      </c>
    </row>
    <row r="80" spans="5:31" x14ac:dyDescent="0.25">
      <c r="E80" t="str" cm="1">
        <f t="array" ref="E80:F151">[1]!decode_json_crv(F76)</f>
        <v>x</v>
      </c>
      <c r="F80" t="str">
        <v>y</v>
      </c>
      <c r="H80" t="str" cm="1">
        <f t="array" ref="H80:I151">[1]!decode_json_crv(F77)</f>
        <v>x</v>
      </c>
      <c r="I80" t="str">
        <v>y</v>
      </c>
      <c r="N80" s="38"/>
      <c r="O80" s="43">
        <v>1450</v>
      </c>
      <c r="P80">
        <v>268.40246414495499</v>
      </c>
      <c r="R80">
        <v>1450</v>
      </c>
      <c r="S80">
        <v>50.381666666666703</v>
      </c>
    </row>
    <row r="81" spans="5:19" x14ac:dyDescent="0.25">
      <c r="E81">
        <v>0</v>
      </c>
      <c r="F81">
        <v>12.946191225852401</v>
      </c>
      <c r="H81">
        <v>0</v>
      </c>
      <c r="I81">
        <v>25.6944306761023</v>
      </c>
      <c r="N81" s="38"/>
      <c r="O81" s="43">
        <v>1500</v>
      </c>
      <c r="P81">
        <v>271.98706629210301</v>
      </c>
      <c r="R81">
        <v>1500</v>
      </c>
      <c r="S81">
        <v>52.0133333333333</v>
      </c>
    </row>
    <row r="82" spans="5:19" x14ac:dyDescent="0.25">
      <c r="E82">
        <v>50</v>
      </c>
      <c r="F82">
        <v>14.197925592672499</v>
      </c>
      <c r="H82">
        <v>50</v>
      </c>
      <c r="I82">
        <v>26.484327727272099</v>
      </c>
      <c r="N82" s="38"/>
      <c r="O82" s="43">
        <v>1550</v>
      </c>
      <c r="P82">
        <v>275.54803629578799</v>
      </c>
      <c r="R82">
        <v>1550</v>
      </c>
      <c r="S82">
        <v>53.608333333333299</v>
      </c>
    </row>
    <row r="83" spans="5:19" x14ac:dyDescent="0.25">
      <c r="E83">
        <v>100</v>
      </c>
      <c r="F83">
        <v>15.5050503425757</v>
      </c>
      <c r="H83">
        <v>100</v>
      </c>
      <c r="I83">
        <v>27.280141423875101</v>
      </c>
      <c r="N83" s="38"/>
      <c r="O83" s="43">
        <v>1600</v>
      </c>
      <c r="P83">
        <v>279.08644380528199</v>
      </c>
      <c r="R83">
        <v>1600</v>
      </c>
      <c r="S83">
        <v>55.185000000000002</v>
      </c>
    </row>
    <row r="84" spans="5:19" x14ac:dyDescent="0.25">
      <c r="E84">
        <v>150</v>
      </c>
      <c r="F84">
        <v>16.8684230427071</v>
      </c>
      <c r="H84">
        <v>150</v>
      </c>
      <c r="I84">
        <v>28.082963554659798</v>
      </c>
      <c r="N84" s="38"/>
      <c r="O84" s="43">
        <v>1650</v>
      </c>
      <c r="P84">
        <v>282.58144168322599</v>
      </c>
      <c r="R84">
        <v>1650</v>
      </c>
      <c r="S84">
        <v>56.761666666666699</v>
      </c>
    </row>
    <row r="85" spans="5:19" x14ac:dyDescent="0.25">
      <c r="E85">
        <v>200</v>
      </c>
      <c r="F85">
        <v>18.288766632297602</v>
      </c>
      <c r="H85">
        <v>200</v>
      </c>
      <c r="I85">
        <v>28.8940977721393</v>
      </c>
      <c r="N85" s="38"/>
      <c r="O85" s="43">
        <v>1700</v>
      </c>
      <c r="P85">
        <v>286.03305907710802</v>
      </c>
      <c r="R85">
        <v>1700</v>
      </c>
      <c r="S85">
        <v>58.301666666666698</v>
      </c>
    </row>
    <row r="86" spans="5:19" x14ac:dyDescent="0.25">
      <c r="E86">
        <v>250</v>
      </c>
      <c r="F86">
        <v>19.766681746032098</v>
      </c>
      <c r="H86">
        <v>250</v>
      </c>
      <c r="I86">
        <v>29.715101753494601</v>
      </c>
      <c r="N86" s="38"/>
      <c r="O86" s="43">
        <v>1750</v>
      </c>
      <c r="P86">
        <v>289.44144233074798</v>
      </c>
      <c r="R86">
        <v>1750</v>
      </c>
      <c r="S86">
        <v>59.841666666666697</v>
      </c>
    </row>
    <row r="87" spans="5:19" x14ac:dyDescent="0.25">
      <c r="E87">
        <v>300</v>
      </c>
      <c r="F87">
        <v>21.302654065344001</v>
      </c>
      <c r="H87">
        <v>300</v>
      </c>
      <c r="I87">
        <v>30.547837765747001</v>
      </c>
      <c r="N87" s="38"/>
      <c r="O87" s="43">
        <v>1800</v>
      </c>
      <c r="P87">
        <v>292.80663167986199</v>
      </c>
      <c r="R87">
        <v>1800</v>
      </c>
      <c r="S87">
        <v>61.344999999999999</v>
      </c>
    </row>
    <row r="88" spans="5:19" x14ac:dyDescent="0.25">
      <c r="E88">
        <v>350</v>
      </c>
      <c r="F88">
        <v>22.8970577806089</v>
      </c>
      <c r="H88">
        <v>350</v>
      </c>
      <c r="I88">
        <v>31.394533069037301</v>
      </c>
      <c r="N88" s="38"/>
      <c r="O88" s="43">
        <v>1850</v>
      </c>
      <c r="P88">
        <v>296.12875777611902</v>
      </c>
      <c r="R88">
        <v>1850</v>
      </c>
      <c r="S88">
        <v>62.848333333333301</v>
      </c>
    </row>
    <row r="89" spans="5:19" x14ac:dyDescent="0.25">
      <c r="E89">
        <v>400</v>
      </c>
      <c r="F89">
        <v>24.550155835696899</v>
      </c>
      <c r="H89">
        <v>400</v>
      </c>
      <c r="I89">
        <v>32.257851821996297</v>
      </c>
      <c r="O89" s="42">
        <v>1900</v>
      </c>
      <c r="P89">
        <v>299.40786793959001</v>
      </c>
      <c r="R89">
        <v>1900</v>
      </c>
      <c r="S89">
        <v>64.314999999999998</v>
      </c>
    </row>
    <row r="90" spans="5:19" x14ac:dyDescent="0.25">
      <c r="E90">
        <v>450</v>
      </c>
      <c r="F90">
        <v>26.262097368529901</v>
      </c>
      <c r="H90">
        <v>450</v>
      </c>
      <c r="I90">
        <v>33.140980404635599</v>
      </c>
      <c r="O90" s="42">
        <v>1950</v>
      </c>
      <c r="P90">
        <v>302.644081250851</v>
      </c>
      <c r="R90">
        <v>1950</v>
      </c>
      <c r="S90">
        <v>65.781666666666695</v>
      </c>
    </row>
    <row r="91" spans="5:19" x14ac:dyDescent="0.25">
      <c r="E91">
        <v>500</v>
      </c>
      <c r="F91">
        <v>28.0329125999687</v>
      </c>
      <c r="H91">
        <v>500</v>
      </c>
      <c r="I91">
        <v>34.0477283488013</v>
      </c>
      <c r="O91" s="42">
        <v>2000</v>
      </c>
      <c r="P91">
        <v>305.83744958582503</v>
      </c>
      <c r="R91">
        <v>2000</v>
      </c>
      <c r="S91">
        <v>67.211666666666702</v>
      </c>
    </row>
    <row r="92" spans="5:19" x14ac:dyDescent="0.25">
      <c r="E92">
        <v>550</v>
      </c>
      <c r="F92">
        <v>29.8625053261894</v>
      </c>
      <c r="H92">
        <v>550</v>
      </c>
      <c r="I92">
        <v>34.982647364353397</v>
      </c>
      <c r="O92" s="42">
        <v>2050</v>
      </c>
      <c r="P92">
        <v>308.98808307474201</v>
      </c>
      <c r="R92">
        <v>2050</v>
      </c>
      <c r="S92">
        <v>68.641666666666694</v>
      </c>
    </row>
    <row r="93" spans="5:19" x14ac:dyDescent="0.25">
      <c r="E93">
        <v>600</v>
      </c>
      <c r="F93">
        <v>31.750643118132398</v>
      </c>
      <c r="H93">
        <v>600</v>
      </c>
      <c r="I93">
        <v>35.951171269526498</v>
      </c>
      <c r="O93" s="42">
        <v>2100</v>
      </c>
      <c r="P93">
        <v>312.11608619458599</v>
      </c>
      <c r="R93">
        <v>2100</v>
      </c>
      <c r="S93">
        <v>70.053333333333299</v>
      </c>
    </row>
    <row r="94" spans="5:19" x14ac:dyDescent="0.25">
      <c r="E94">
        <v>650</v>
      </c>
      <c r="F94">
        <v>33.696945314823203</v>
      </c>
      <c r="H94">
        <v>650</v>
      </c>
      <c r="I94">
        <v>36.959779972821103</v>
      </c>
      <c r="O94" s="42">
        <v>2150</v>
      </c>
      <c r="P94">
        <v>315.24206064186399</v>
      </c>
      <c r="R94">
        <v>2150</v>
      </c>
      <c r="S94">
        <v>71.465000000000003</v>
      </c>
    </row>
    <row r="95" spans="5:19" x14ac:dyDescent="0.25">
      <c r="E95">
        <v>700</v>
      </c>
      <c r="F95">
        <v>35.700869947751201</v>
      </c>
      <c r="H95">
        <v>700</v>
      </c>
      <c r="I95">
        <v>38.016190984831802</v>
      </c>
      <c r="O95" s="42">
        <v>2200</v>
      </c>
      <c r="P95">
        <v>318.36601732435901</v>
      </c>
      <c r="R95">
        <v>2200</v>
      </c>
      <c r="S95">
        <v>72.876666666666694</v>
      </c>
    </row>
    <row r="96" spans="5:19" x14ac:dyDescent="0.25">
      <c r="E96">
        <v>750</v>
      </c>
      <c r="F96">
        <v>37.761729267104101</v>
      </c>
      <c r="H96">
        <v>750</v>
      </c>
      <c r="I96">
        <v>39.129581702600902</v>
      </c>
      <c r="O96" s="42">
        <v>2250</v>
      </c>
      <c r="P96">
        <v>321.487956341585</v>
      </c>
      <c r="R96">
        <v>2250</v>
      </c>
      <c r="S96">
        <v>74.288333333333298</v>
      </c>
    </row>
    <row r="97" spans="5:19" x14ac:dyDescent="0.25">
      <c r="E97">
        <v>800</v>
      </c>
      <c r="F97">
        <v>39.878624151519602</v>
      </c>
      <c r="H97">
        <v>800</v>
      </c>
      <c r="I97">
        <v>40.310848822813803</v>
      </c>
      <c r="O97" s="42">
        <v>2300</v>
      </c>
      <c r="P97">
        <v>324.60787776443101</v>
      </c>
      <c r="R97">
        <v>2300</v>
      </c>
      <c r="S97">
        <v>75.7</v>
      </c>
    </row>
    <row r="98" spans="5:19" x14ac:dyDescent="0.25">
      <c r="E98">
        <v>850</v>
      </c>
      <c r="F98">
        <v>42.050426018030798</v>
      </c>
      <c r="H98">
        <v>850</v>
      </c>
      <c r="I98">
        <v>41.572906968353699</v>
      </c>
      <c r="O98" s="42">
        <v>2350</v>
      </c>
      <c r="P98">
        <v>327.72578163674802</v>
      </c>
      <c r="R98">
        <v>2350</v>
      </c>
      <c r="S98">
        <v>77.111666666666693</v>
      </c>
    </row>
    <row r="99" spans="5:19" x14ac:dyDescent="0.25">
      <c r="E99">
        <v>900</v>
      </c>
      <c r="F99">
        <v>44.2757702567786</v>
      </c>
      <c r="H99">
        <v>900</v>
      </c>
      <c r="I99">
        <v>42.931031778733399</v>
      </c>
      <c r="O99" s="42">
        <v>2400</v>
      </c>
      <c r="P99">
        <v>330.84166797684702</v>
      </c>
      <c r="R99">
        <v>2400</v>
      </c>
      <c r="S99">
        <v>78.523333333333298</v>
      </c>
    </row>
    <row r="100" spans="5:19" x14ac:dyDescent="0.25">
      <c r="E100">
        <v>950</v>
      </c>
      <c r="F100">
        <v>46.606385888391998</v>
      </c>
      <c r="H100">
        <v>950</v>
      </c>
      <c r="I100">
        <v>44.403073793264497</v>
      </c>
      <c r="O100" s="42">
        <v>2450</v>
      </c>
      <c r="P100">
        <v>333.95553677892599</v>
      </c>
      <c r="R100">
        <v>2450</v>
      </c>
      <c r="S100">
        <v>79.935000000000002</v>
      </c>
    </row>
    <row r="101" spans="5:19" x14ac:dyDescent="0.25">
      <c r="E101">
        <v>1000</v>
      </c>
      <c r="F101">
        <v>49.030576524343701</v>
      </c>
      <c r="H101">
        <v>1000</v>
      </c>
      <c r="I101">
        <v>46.013990839038797</v>
      </c>
      <c r="O101" s="42">
        <v>2500</v>
      </c>
      <c r="P101">
        <v>187.68002888876799</v>
      </c>
      <c r="R101">
        <v>2500</v>
      </c>
      <c r="S101">
        <v>81.346666666666707</v>
      </c>
    </row>
    <row r="102" spans="5:19" x14ac:dyDescent="0.25">
      <c r="E102">
        <v>1050</v>
      </c>
      <c r="F102">
        <v>51.488444570262502</v>
      </c>
      <c r="H102">
        <v>1050</v>
      </c>
      <c r="I102">
        <v>47.697699892881602</v>
      </c>
      <c r="O102" s="42">
        <v>2550</v>
      </c>
      <c r="P102">
        <v>190.76405341520001</v>
      </c>
      <c r="R102">
        <v>2550</v>
      </c>
      <c r="S102">
        <v>82.758333333333297</v>
      </c>
    </row>
    <row r="103" spans="5:19" x14ac:dyDescent="0.25">
      <c r="E103">
        <v>1100</v>
      </c>
      <c r="F103">
        <v>53.983864279444099</v>
      </c>
      <c r="H103">
        <v>1100</v>
      </c>
      <c r="I103">
        <v>49.366693953423798</v>
      </c>
      <c r="O103" s="42">
        <v>2600</v>
      </c>
      <c r="P103">
        <v>193.84621035170099</v>
      </c>
      <c r="R103">
        <v>2600</v>
      </c>
      <c r="S103">
        <v>84.17</v>
      </c>
    </row>
    <row r="104" spans="5:19" x14ac:dyDescent="0.25">
      <c r="E104">
        <v>1150</v>
      </c>
      <c r="F104">
        <v>56.509010254831502</v>
      </c>
      <c r="H104">
        <v>1150</v>
      </c>
      <c r="I104">
        <v>51.0207764630957</v>
      </c>
      <c r="O104" s="42">
        <v>2650</v>
      </c>
      <c r="P104">
        <v>196.92649392591599</v>
      </c>
      <c r="R104">
        <v>2650</v>
      </c>
      <c r="S104">
        <v>85.581666666666706</v>
      </c>
    </row>
    <row r="105" spans="5:19" x14ac:dyDescent="0.25">
      <c r="E105">
        <v>1200</v>
      </c>
      <c r="F105">
        <v>59.054001550621699</v>
      </c>
      <c r="H105">
        <v>1200</v>
      </c>
      <c r="I105">
        <v>52.659881295048997</v>
      </c>
      <c r="O105" s="42">
        <v>2700</v>
      </c>
      <c r="P105">
        <v>200.00489858680999</v>
      </c>
      <c r="R105">
        <v>2700</v>
      </c>
      <c r="S105">
        <v>86.993333333333297</v>
      </c>
    </row>
    <row r="106" spans="5:19" x14ac:dyDescent="0.25">
      <c r="E106">
        <v>1250</v>
      </c>
      <c r="F106">
        <v>61.613867705859299</v>
      </c>
      <c r="H106">
        <v>1250</v>
      </c>
      <c r="I106">
        <v>54.2848387698997</v>
      </c>
      <c r="O106" s="42">
        <v>2750</v>
      </c>
      <c r="P106">
        <v>203.08141899168601</v>
      </c>
      <c r="R106">
        <v>2750</v>
      </c>
      <c r="S106">
        <v>88.405000000000001</v>
      </c>
    </row>
    <row r="107" spans="5:19" x14ac:dyDescent="0.25">
      <c r="E107">
        <v>1300</v>
      </c>
      <c r="F107">
        <v>64.180439492817897</v>
      </c>
      <c r="H107">
        <v>1300</v>
      </c>
      <c r="I107">
        <v>55.895936926818898</v>
      </c>
      <c r="O107" s="42">
        <v>2800</v>
      </c>
      <c r="P107">
        <v>206.156049994184</v>
      </c>
      <c r="R107">
        <v>2800</v>
      </c>
      <c r="S107">
        <v>89.816666666666706</v>
      </c>
    </row>
    <row r="108" spans="5:19" x14ac:dyDescent="0.25">
      <c r="E108">
        <v>1350</v>
      </c>
      <c r="F108">
        <v>66.745696193856503</v>
      </c>
      <c r="H108">
        <v>1350</v>
      </c>
      <c r="I108">
        <v>57.493242900737599</v>
      </c>
      <c r="O108">
        <v>2850</v>
      </c>
      <c r="P108">
        <v>209.22878663316999</v>
      </c>
      <c r="R108">
        <v>2850</v>
      </c>
      <c r="S108">
        <v>91.228333333333296</v>
      </c>
    </row>
    <row r="109" spans="5:19" x14ac:dyDescent="0.25">
      <c r="E109">
        <v>1400</v>
      </c>
      <c r="F109">
        <v>69.306854343930198</v>
      </c>
      <c r="H109">
        <v>1400</v>
      </c>
      <c r="I109">
        <v>59.077865291717302</v>
      </c>
      <c r="O109">
        <v>2900</v>
      </c>
      <c r="P109">
        <v>212.29962412243799</v>
      </c>
      <c r="R109">
        <v>2900</v>
      </c>
      <c r="S109">
        <v>92.64</v>
      </c>
    </row>
    <row r="110" spans="5:19" x14ac:dyDescent="0.25">
      <c r="E110">
        <v>1450</v>
      </c>
      <c r="F110">
        <v>71.861288929996704</v>
      </c>
      <c r="H110">
        <v>1450</v>
      </c>
      <c r="I110">
        <v>60.650910961626202</v>
      </c>
      <c r="O110">
        <v>2950</v>
      </c>
      <c r="P110">
        <v>215.36855784115201</v>
      </c>
      <c r="R110">
        <v>2950</v>
      </c>
      <c r="S110">
        <v>94.051666666666705</v>
      </c>
    </row>
    <row r="111" spans="5:19" x14ac:dyDescent="0.25">
      <c r="E111">
        <v>1500</v>
      </c>
      <c r="F111">
        <v>74.406785830783207</v>
      </c>
      <c r="H111">
        <v>1500</v>
      </c>
      <c r="I111">
        <v>62.213832693546898</v>
      </c>
      <c r="O111">
        <v>3000</v>
      </c>
      <c r="P111">
        <v>218.43558332496599</v>
      </c>
      <c r="R111">
        <v>3000</v>
      </c>
      <c r="S111">
        <v>95.463333333333296</v>
      </c>
    </row>
    <row r="112" spans="5:19" x14ac:dyDescent="0.25">
      <c r="E112">
        <v>1550</v>
      </c>
      <c r="F112">
        <v>76.955868174161097</v>
      </c>
      <c r="H112">
        <v>1550</v>
      </c>
      <c r="I112">
        <v>63.7671440721575</v>
      </c>
      <c r="O112">
        <v>3050</v>
      </c>
      <c r="P112">
        <v>221.500696257768</v>
      </c>
      <c r="R112">
        <v>3050</v>
      </c>
      <c r="S112">
        <v>96.875</v>
      </c>
    </row>
    <row r="113" spans="5:19" x14ac:dyDescent="0.25">
      <c r="E113">
        <v>1600</v>
      </c>
      <c r="F113">
        <v>79.512558717817797</v>
      </c>
      <c r="H113">
        <v>1600</v>
      </c>
      <c r="I113">
        <v>65.3141612879609</v>
      </c>
      <c r="O113">
        <v>3100</v>
      </c>
      <c r="P113">
        <v>224.563892463983</v>
      </c>
      <c r="R113">
        <v>3100</v>
      </c>
      <c r="S113">
        <v>98.286666666666704</v>
      </c>
    </row>
    <row r="114" spans="5:19" x14ac:dyDescent="0.25">
      <c r="E114">
        <v>1650</v>
      </c>
      <c r="F114">
        <v>82.055240746056597</v>
      </c>
      <c r="H114">
        <v>1650</v>
      </c>
      <c r="I114">
        <v>66.8565975654368</v>
      </c>
      <c r="O114">
        <v>3150</v>
      </c>
      <c r="P114">
        <v>227.625167901406</v>
      </c>
      <c r="R114">
        <v>3150</v>
      </c>
      <c r="S114">
        <v>99.698333333333295</v>
      </c>
    </row>
    <row r="115" spans="5:19" x14ac:dyDescent="0.25">
      <c r="E115">
        <v>1700</v>
      </c>
      <c r="F115">
        <v>84.582258209996496</v>
      </c>
      <c r="H115">
        <v>1700</v>
      </c>
      <c r="I115">
        <v>68.396875643990299</v>
      </c>
      <c r="O115">
        <v>3200</v>
      </c>
      <c r="P115">
        <v>230.684518654507</v>
      </c>
      <c r="R115">
        <v>3200</v>
      </c>
      <c r="S115">
        <v>101.11</v>
      </c>
    </row>
    <row r="116" spans="5:19" x14ac:dyDescent="0.25">
      <c r="E116">
        <v>1750</v>
      </c>
      <c r="F116">
        <v>87.092179992604599</v>
      </c>
      <c r="H116">
        <v>1750</v>
      </c>
      <c r="I116">
        <v>69.938001467674198</v>
      </c>
      <c r="O116">
        <v>3250</v>
      </c>
      <c r="P116">
        <v>233.741940928183</v>
      </c>
      <c r="R116">
        <v>3250</v>
      </c>
      <c r="S116">
        <v>102.521666666667</v>
      </c>
    </row>
    <row r="117" spans="5:19" x14ac:dyDescent="0.25">
      <c r="E117">
        <v>1800</v>
      </c>
      <c r="F117">
        <v>89.583629557334703</v>
      </c>
      <c r="H117">
        <v>1800</v>
      </c>
      <c r="I117">
        <v>71.483308240233001</v>
      </c>
      <c r="O117">
        <v>3300</v>
      </c>
      <c r="P117">
        <v>236.797431041908</v>
      </c>
      <c r="R117">
        <v>3300</v>
      </c>
      <c r="S117">
        <v>103.933333333333</v>
      </c>
    </row>
    <row r="118" spans="5:19" x14ac:dyDescent="0.25">
      <c r="E118">
        <v>1850</v>
      </c>
      <c r="F118">
        <v>92.055400535727401</v>
      </c>
      <c r="H118">
        <v>1850</v>
      </c>
      <c r="I118">
        <v>73.0368703872292</v>
      </c>
      <c r="O118">
        <v>3350</v>
      </c>
      <c r="P118">
        <v>239.850985424263</v>
      </c>
      <c r="R118">
        <v>3350</v>
      </c>
      <c r="S118">
        <v>105.345</v>
      </c>
    </row>
    <row r="119" spans="5:19" x14ac:dyDescent="0.25">
      <c r="E119">
        <v>1900</v>
      </c>
      <c r="F119">
        <v>94.506323182481296</v>
      </c>
      <c r="H119">
        <v>1900</v>
      </c>
      <c r="I119">
        <v>74.603272640977707</v>
      </c>
      <c r="O119">
        <v>3400</v>
      </c>
      <c r="P119">
        <v>242.902600607804</v>
      </c>
      <c r="R119">
        <v>3400</v>
      </c>
      <c r="S119">
        <v>106.756666666667</v>
      </c>
    </row>
    <row r="120" spans="5:19" x14ac:dyDescent="0.25">
      <c r="E120">
        <v>1950</v>
      </c>
      <c r="F120">
        <v>96.935356341733495</v>
      </c>
      <c r="H120">
        <v>1950</v>
      </c>
      <c r="I120">
        <v>76.188053145998694</v>
      </c>
      <c r="O120">
        <v>3450</v>
      </c>
      <c r="P120">
        <v>245.952273224257</v>
      </c>
      <c r="R120">
        <v>3450</v>
      </c>
      <c r="S120">
        <v>108.168333333333</v>
      </c>
    </row>
    <row r="121" spans="5:19" x14ac:dyDescent="0.25">
      <c r="E121">
        <v>2000</v>
      </c>
      <c r="F121">
        <v>99.341480389933693</v>
      </c>
      <c r="H121">
        <v>2000</v>
      </c>
      <c r="I121">
        <v>77.797506684471898</v>
      </c>
      <c r="O121">
        <v>3500</v>
      </c>
      <c r="P121">
        <v>249</v>
      </c>
      <c r="R121">
        <v>3500</v>
      </c>
      <c r="S121">
        <v>109.58</v>
      </c>
    </row>
    <row r="122" spans="5:19" x14ac:dyDescent="0.25">
      <c r="E122">
        <v>2050</v>
      </c>
      <c r="F122">
        <v>101.723771439258</v>
      </c>
      <c r="H122">
        <v>2050</v>
      </c>
      <c r="I122">
        <v>79.439165198722307</v>
      </c>
    </row>
    <row r="123" spans="5:19" x14ac:dyDescent="0.25">
      <c r="E123">
        <v>2100</v>
      </c>
      <c r="F123">
        <v>104.16906968548101</v>
      </c>
      <c r="H123">
        <v>2100</v>
      </c>
      <c r="I123">
        <v>81.119803249326196</v>
      </c>
    </row>
    <row r="124" spans="5:19" x14ac:dyDescent="0.25">
      <c r="E124">
        <v>2150</v>
      </c>
      <c r="F124">
        <v>107.28561600602499</v>
      </c>
      <c r="H124">
        <v>2150</v>
      </c>
      <c r="I124">
        <v>82.852801978951405</v>
      </c>
    </row>
    <row r="125" spans="5:19" x14ac:dyDescent="0.25">
      <c r="E125">
        <v>2200</v>
      </c>
      <c r="F125">
        <v>110.400116911038</v>
      </c>
      <c r="H125">
        <v>2200</v>
      </c>
      <c r="I125">
        <v>84.641594570146395</v>
      </c>
    </row>
    <row r="126" spans="5:19" x14ac:dyDescent="0.25">
      <c r="E126">
        <v>2250</v>
      </c>
      <c r="F126">
        <v>113.512415556089</v>
      </c>
      <c r="H126">
        <v>2250</v>
      </c>
      <c r="I126">
        <v>86.495560056324805</v>
      </c>
    </row>
    <row r="127" spans="5:19" x14ac:dyDescent="0.25">
      <c r="E127">
        <v>2300</v>
      </c>
      <c r="F127">
        <v>116.62233906379799</v>
      </c>
      <c r="H127">
        <v>2300</v>
      </c>
      <c r="I127">
        <v>88.425599750758593</v>
      </c>
    </row>
    <row r="128" spans="5:19" x14ac:dyDescent="0.25">
      <c r="E128">
        <v>2350</v>
      </c>
      <c r="F128">
        <v>119.72969504950299</v>
      </c>
      <c r="H128">
        <v>2350</v>
      </c>
      <c r="I128">
        <v>90.444371325593394</v>
      </c>
    </row>
    <row r="129" spans="5:9" x14ac:dyDescent="0.25">
      <c r="E129">
        <v>2400</v>
      </c>
      <c r="F129">
        <v>122.834267682788</v>
      </c>
      <c r="H129">
        <v>2400</v>
      </c>
      <c r="I129">
        <v>92.566553892409004</v>
      </c>
    </row>
    <row r="130" spans="5:9" x14ac:dyDescent="0.25">
      <c r="E130">
        <v>2450</v>
      </c>
      <c r="F130">
        <v>125.93581320607299</v>
      </c>
      <c r="H130">
        <v>2450</v>
      </c>
      <c r="I130">
        <v>94.809146675234004</v>
      </c>
    </row>
    <row r="131" spans="5:9" x14ac:dyDescent="0.25">
      <c r="E131">
        <v>2500</v>
      </c>
      <c r="F131">
        <v>70.315921195359095</v>
      </c>
      <c r="H131">
        <v>2500</v>
      </c>
      <c r="I131">
        <v>89.962723361900402</v>
      </c>
    </row>
    <row r="132" spans="5:9" x14ac:dyDescent="0.25">
      <c r="E132">
        <v>2550</v>
      </c>
      <c r="F132">
        <v>73.383250574983606</v>
      </c>
      <c r="H132">
        <v>2550</v>
      </c>
      <c r="I132">
        <v>91.232811845328698</v>
      </c>
    </row>
    <row r="133" spans="5:9" x14ac:dyDescent="0.25">
      <c r="E133">
        <v>2600</v>
      </c>
      <c r="F133">
        <v>76.445504259383995</v>
      </c>
      <c r="H133">
        <v>2600</v>
      </c>
      <c r="I133">
        <v>92.478882657290697</v>
      </c>
    </row>
    <row r="134" spans="5:9" x14ac:dyDescent="0.25">
      <c r="E134">
        <v>2650</v>
      </c>
      <c r="F134">
        <v>79.502683684984504</v>
      </c>
      <c r="H134">
        <v>2650</v>
      </c>
      <c r="I134">
        <v>93.696896811515899</v>
      </c>
    </row>
    <row r="135" spans="5:9" x14ac:dyDescent="0.25">
      <c r="E135">
        <v>2700</v>
      </c>
      <c r="F135">
        <v>82.554801676548095</v>
      </c>
      <c r="H135">
        <v>2700</v>
      </c>
      <c r="I135">
        <v>94.882127205486796</v>
      </c>
    </row>
    <row r="136" spans="5:9" x14ac:dyDescent="0.25">
      <c r="E136">
        <v>2750</v>
      </c>
      <c r="F136">
        <v>85.601883527857197</v>
      </c>
      <c r="H136">
        <v>2750</v>
      </c>
      <c r="I136">
        <v>96.029046616014597</v>
      </c>
    </row>
    <row r="137" spans="5:9" x14ac:dyDescent="0.25">
      <c r="E137">
        <v>2800</v>
      </c>
      <c r="F137">
        <v>88.643968093574202</v>
      </c>
      <c r="H137">
        <v>2800</v>
      </c>
      <c r="I137">
        <v>97.1311969701772</v>
      </c>
    </row>
    <row r="138" spans="5:9" x14ac:dyDescent="0.25">
      <c r="E138">
        <v>2850</v>
      </c>
      <c r="F138">
        <v>91.681108949648007</v>
      </c>
      <c r="H138">
        <v>2850</v>
      </c>
      <c r="I138">
        <v>98.181036500005007</v>
      </c>
    </row>
    <row r="139" spans="5:9" x14ac:dyDescent="0.25">
      <c r="E139">
        <v>2900</v>
      </c>
      <c r="F139">
        <v>94.7133756719508</v>
      </c>
      <c r="H139">
        <v>2900</v>
      </c>
      <c r="I139">
        <v>99.169760731089497</v>
      </c>
    </row>
    <row r="140" spans="5:9" x14ac:dyDescent="0.25">
      <c r="E140">
        <v>2950</v>
      </c>
      <c r="F140">
        <v>97.740855278134603</v>
      </c>
      <c r="H140">
        <v>2950</v>
      </c>
      <c r="I140">
        <v>100.087092440124</v>
      </c>
    </row>
    <row r="141" spans="5:9" x14ac:dyDescent="0.25">
      <c r="E141">
        <v>3000</v>
      </c>
      <c r="F141">
        <v>100.76365387503</v>
      </c>
      <c r="H141">
        <v>3000</v>
      </c>
      <c r="I141">
        <v>100.921034699557</v>
      </c>
    </row>
    <row r="142" spans="5:9" x14ac:dyDescent="0.25">
      <c r="E142">
        <v>3050</v>
      </c>
      <c r="F142">
        <v>103.781898552559</v>
      </c>
      <c r="H142">
        <v>3050</v>
      </c>
      <c r="I142">
        <v>101.657579849482</v>
      </c>
    </row>
    <row r="143" spans="5:9" x14ac:dyDescent="0.25">
      <c r="E143">
        <v>3100</v>
      </c>
      <c r="F143">
        <v>106.79573956446001</v>
      </c>
      <c r="H143">
        <v>3100</v>
      </c>
      <c r="I143">
        <v>102.28036561767701</v>
      </c>
    </row>
    <row r="144" spans="5:9" x14ac:dyDescent="0.25">
      <c r="E144">
        <v>3150</v>
      </c>
      <c r="F144">
        <v>109.80535283551799</v>
      </c>
      <c r="H144">
        <v>3150</v>
      </c>
      <c r="I144">
        <v>102.770267539858</v>
      </c>
    </row>
    <row r="145" spans="5:9" x14ac:dyDescent="0.25">
      <c r="E145">
        <v>3200</v>
      </c>
      <c r="F145">
        <v>112.810942833591</v>
      </c>
      <c r="H145">
        <v>3200</v>
      </c>
      <c r="I145">
        <v>103.104914165286</v>
      </c>
    </row>
    <row r="146" spans="5:9" x14ac:dyDescent="0.25">
      <c r="E146">
        <v>3250</v>
      </c>
      <c r="F146">
        <v>115.81274584150999</v>
      </c>
      <c r="H146">
        <v>3250</v>
      </c>
      <c r="I146">
        <v>103.25810806262</v>
      </c>
    </row>
    <row r="147" spans="5:9" x14ac:dyDescent="0.25">
      <c r="E147">
        <v>3300</v>
      </c>
      <c r="F147">
        <v>118.81103365716601</v>
      </c>
      <c r="H147">
        <v>3300</v>
      </c>
      <c r="I147">
        <v>103.199131080866</v>
      </c>
    </row>
    <row r="148" spans="5:9" x14ac:dyDescent="0.25">
      <c r="E148">
        <v>3350</v>
      </c>
      <c r="F148">
        <v>121.80614617962701</v>
      </c>
      <c r="H148">
        <v>3350</v>
      </c>
      <c r="I148">
        <v>102.891913116737</v>
      </c>
    </row>
    <row r="149" spans="5:9" x14ac:dyDescent="0.25">
      <c r="E149">
        <v>3400</v>
      </c>
      <c r="F149">
        <v>124.802095498534</v>
      </c>
      <c r="H149">
        <v>3400</v>
      </c>
      <c r="I149">
        <v>102.292634855381</v>
      </c>
    </row>
    <row r="150" spans="5:9" x14ac:dyDescent="0.25">
      <c r="E150">
        <v>3450</v>
      </c>
      <c r="F150">
        <v>127.80260658174799</v>
      </c>
      <c r="H150">
        <v>3450</v>
      </c>
      <c r="I150">
        <v>101.348931668083</v>
      </c>
    </row>
    <row r="151" spans="5:9" x14ac:dyDescent="0.25">
      <c r="E151">
        <v>3500</v>
      </c>
      <c r="F151">
        <v>130.808426436969</v>
      </c>
      <c r="H151">
        <v>3500</v>
      </c>
      <c r="I151">
        <v>100</v>
      </c>
    </row>
  </sheetData>
  <mergeCells count="12">
    <mergeCell ref="V2:W2"/>
    <mergeCell ref="V3:W3"/>
    <mergeCell ref="B3:E3"/>
    <mergeCell ref="B4:E4"/>
    <mergeCell ref="B5:E5"/>
    <mergeCell ref="B6:E8"/>
    <mergeCell ref="V4:W4"/>
    <mergeCell ref="V5:W5"/>
    <mergeCell ref="V7:W7"/>
    <mergeCell ref="V8:W8"/>
    <mergeCell ref="V9:W9"/>
    <mergeCell ref="V6:W6"/>
  </mergeCell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53</vt:i4>
      </vt:variant>
    </vt:vector>
  </HeadingPairs>
  <TitlesOfParts>
    <vt:vector size="54" baseType="lpstr">
      <vt:lpstr>exercise_pipeline</vt:lpstr>
      <vt:lpstr>exercise_pipeline!Bob_</vt:lpstr>
      <vt:lpstr>exercise_pipeline!calc_along_coord</vt:lpstr>
      <vt:lpstr>exercise_pipeline!calc_along_coord1</vt:lpstr>
      <vt:lpstr>exercise_pipeline!calc_flow_direction_</vt:lpstr>
      <vt:lpstr>exercise_pipeline!calc_flow_direction1_</vt:lpstr>
      <vt:lpstr>exercise_pipeline!calibr_fric</vt:lpstr>
      <vt:lpstr>exercise_pipeline!calibr_grav</vt:lpstr>
      <vt:lpstr>exercise_pipeline!calibr_type</vt:lpstr>
      <vt:lpstr>construction</vt:lpstr>
      <vt:lpstr>feed</vt:lpstr>
      <vt:lpstr>exercise_pipeline!flow_along_coord</vt:lpstr>
      <vt:lpstr>exercise_pipeline!flow_along_coord1</vt:lpstr>
      <vt:lpstr>exercise_pipeline!fw_</vt:lpstr>
      <vt:lpstr>exercise_pipeline!gamma_gas_</vt:lpstr>
      <vt:lpstr>exercise_pipeline!gamma_oil_</vt:lpstr>
      <vt:lpstr>exercise_pipeline!gamma_wat_</vt:lpstr>
      <vt:lpstr>exercise_pipeline!gas_only_</vt:lpstr>
      <vt:lpstr>exercise_pipeline!hcor</vt:lpstr>
      <vt:lpstr>exercise_pipeline!Hydr_corr_</vt:lpstr>
      <vt:lpstr>exercise_pipeline!inclinometry</vt:lpstr>
      <vt:lpstr>exercise_pipeline!input_0</vt:lpstr>
      <vt:lpstr>exercise_pipeline!input_1</vt:lpstr>
      <vt:lpstr>exercise_pipeline!input_2</vt:lpstr>
      <vt:lpstr>exercise_pipeline!input_3</vt:lpstr>
      <vt:lpstr>exercise_pipeline!input_5</vt:lpstr>
      <vt:lpstr>exercise_pipeline!input_6</vt:lpstr>
      <vt:lpstr>exercise_pipeline!input_7</vt:lpstr>
      <vt:lpstr>exercise_pipeline!input_Course</vt:lpstr>
      <vt:lpstr>exercise_pipeline!input_Date</vt:lpstr>
      <vt:lpstr>exercise_pipeline!input_Group</vt:lpstr>
      <vt:lpstr>exercise_pipeline!input_Notes</vt:lpstr>
      <vt:lpstr>exercise_pipeline!input_Student_Name</vt:lpstr>
      <vt:lpstr>exercise_pipeline!input_Version</vt:lpstr>
      <vt:lpstr>exercise_pipeline!Ksep</vt:lpstr>
      <vt:lpstr>exercise_pipeline!muob_</vt:lpstr>
      <vt:lpstr>exercise_pipeline!P0</vt:lpstr>
      <vt:lpstr>exercise_pipeline!P1_</vt:lpstr>
      <vt:lpstr>exercise_pipeline!Pb_</vt:lpstr>
      <vt:lpstr>exercise_pipeline!Psep</vt:lpstr>
      <vt:lpstr>exercise_pipeline!PVT_corr_</vt:lpstr>
      <vt:lpstr>exercise_pipeline!PVTstr_</vt:lpstr>
      <vt:lpstr>exercise_pipeline!Qgas_free</vt:lpstr>
      <vt:lpstr>exercise_pipeline!qliq_</vt:lpstr>
      <vt:lpstr>exercise_pipeline!Rp_</vt:lpstr>
      <vt:lpstr>exercise_pipeline!Rsb_</vt:lpstr>
      <vt:lpstr>t_model</vt:lpstr>
      <vt:lpstr>exercise_pipeline!T0</vt:lpstr>
      <vt:lpstr>exercise_pipeline!T1_</vt:lpstr>
      <vt:lpstr>exercise_pipeline!temp_model</vt:lpstr>
      <vt:lpstr>exercise_pipeline!tempm</vt:lpstr>
      <vt:lpstr>exercise_pipeline!Tres_</vt:lpstr>
      <vt:lpstr>exercise_pipeline!Tsep</vt:lpstr>
      <vt:lpstr>znlf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rienm</cp:lastModifiedBy>
  <dcterms:created xsi:type="dcterms:W3CDTF">2019-10-28T06:57:59Z</dcterms:created>
  <dcterms:modified xsi:type="dcterms:W3CDTF">2022-05-26T15:16:50Z</dcterms:modified>
</cp:coreProperties>
</file>