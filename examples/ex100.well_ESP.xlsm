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rnt\unifloc_vba-master\examples\"/>
    </mc:Choice>
  </mc:AlternateContent>
  <bookViews>
    <workbookView xWindow="0" yWindow="0" windowWidth="15345" windowHeight="4635" tabRatio="510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">exercise_pipeline!$Y$67</definedName>
    <definedName name="calc_along_coord" localSheetId="0">exercise_pipeline!$U$29</definedName>
    <definedName name="calc_along_coord1" localSheetId="0">exercise_pipeline!$V$29</definedName>
    <definedName name="calc_flow_direction_" localSheetId="0">exercise_pipeline!$U$31</definedName>
    <definedName name="calc_flow_direction1_" localSheetId="0">exercise_pipeline!$V$31</definedName>
    <definedName name="calc_from_pwf_">exercise_pipeline!$B$67</definedName>
    <definedName name="calc_from_pwh_">exercise_pipeline!$N$67</definedName>
    <definedName name="calibr_fric" localSheetId="0">exercise_pipeline!$X$9</definedName>
    <definedName name="calibr_grav" localSheetId="0">exercise_pipeline!$X$8</definedName>
    <definedName name="calibr_type" localSheetId="0">exercise_pipeline!$X$4</definedName>
    <definedName name="construction">exercise_pipeline!$I$14</definedName>
    <definedName name="ESP_freq">exercise_pipeline!$K$31</definedName>
    <definedName name="ESP_head_nom">exercise_pipeline!$K$28</definedName>
    <definedName name="ESP_ID">exercise_pipeline!$K$29</definedName>
    <definedName name="esp_json_">exercise_pipeline!$I$15</definedName>
    <definedName name="ESP_num_stages">exercise_pipeline!$K$30</definedName>
    <definedName name="ESP_q_nom">exercise_pipeline!$K$27</definedName>
    <definedName name="feed">exercise_pipeline!$I$12</definedName>
    <definedName name="flow_along_coord" localSheetId="0">exercise_pipeline!$U$30</definedName>
    <definedName name="flow_along_coord1" localSheetId="0">exercise_pipeline!$V$30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model">exercise_pipeline!$K$33</definedName>
    <definedName name="gas_only_" localSheetId="0">exercise_pipeline!$X$5</definedName>
    <definedName name="Gas_stage_by_stage">exercise_pipeline!$K$34</definedName>
    <definedName name="h_perf_">exercise_pipeline!$C$28</definedName>
    <definedName name="h_tub_">exercise_pipeline!$C$29</definedName>
    <definedName name="hcor" localSheetId="0">exercise_pipeline!$Q$23</definedName>
    <definedName name="Hydr_corr_" localSheetId="0">exercise_pipeline!$X$3</definedName>
    <definedName name="inclinometry" localSheetId="0">exercise_pipeline!$B$40:$C$62</definedName>
    <definedName name="input_0" localSheetId="0">exercise_pipeline!$C$11:$C$32</definedName>
    <definedName name="input_1" localSheetId="0">exercise_pipeline!$C$28:$C$32</definedName>
    <definedName name="input_2" localSheetId="0">exercise_pipeline!$X$6:$X$9</definedName>
    <definedName name="input_3" localSheetId="0">exercise_pipeline!$U$28:$U$30</definedName>
    <definedName name="input_5" localSheetId="0">exercise_pipeline!$B$40:$C$62</definedName>
    <definedName name="input_6" localSheetId="0">exercise_pipeline!$E$40:$F$59</definedName>
    <definedName name="input_7" localSheetId="0">exercise_pipeline!$H$40:$I$59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ipr_json_">exercise_pipeline!$I$16</definedName>
    <definedName name="Ksep" localSheetId="0">exercise_pipeline!$K$32</definedName>
    <definedName name="muob_" localSheetId="0">exercise_pipeline!$C$18</definedName>
    <definedName name="Pb_" localSheetId="0">exercise_pipeline!$C$15</definedName>
    <definedName name="Pb__">exercise_pipeline!$P$29</definedName>
    <definedName name="Pbuf_" localSheetId="0">exercise_pipeline!$K$21</definedName>
    <definedName name="PI_">exercise_pipeline!$P$28</definedName>
    <definedName name="Pint_">exercise_pipeline!$K$22</definedName>
    <definedName name="Pres">exercise_pipeline!$P$27</definedName>
    <definedName name="PVT_corr_" localSheetId="0">exercise_pipeline!$X$2</definedName>
    <definedName name="PVTstr_" localSheetId="0">exercise_pipeline!$I$11</definedName>
    <definedName name="Pwf_" localSheetId="0">exercise_pipeline!$K$23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crit_c_">exercise_pipeline!$P$34</definedName>
    <definedName name="t_model">exercise_pipeline!$I$13</definedName>
    <definedName name="T0" localSheetId="0">exercise_pipeline!$K$24</definedName>
    <definedName name="T1_" localSheetId="0">exercise_pipeline!$K$25</definedName>
    <definedName name="temp_model" localSheetId="0">exercise_pipeline!$Q$24</definedName>
    <definedName name="tempm" localSheetId="0">exercise_pipeline!$Q$24</definedName>
    <definedName name="Tres_" localSheetId="0">exercise_pipeline!$C$16</definedName>
    <definedName name="znlf">exercise_pipeline!$X$6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9" i="3" l="1"/>
  <c r="E16" i="3"/>
  <c r="E15" i="3"/>
  <c r="E22" i="3"/>
  <c r="E14" i="3"/>
  <c r="E13" i="3"/>
  <c r="E12" i="3"/>
  <c r="E11" i="3"/>
  <c r="N70" i="3" a="1"/>
  <c r="B70" i="3" a="1"/>
  <c r="I13" i="3" a="1"/>
  <c r="I16" i="3"/>
  <c r="Y70" i="3" a="1"/>
  <c r="I14" i="3" a="1"/>
  <c r="K29" i="3" a="1"/>
  <c r="Q7" i="3" a="1"/>
  <c r="I11" i="3"/>
  <c r="I12" i="3" s="1" a="1"/>
  <c r="G1" i="3"/>
  <c r="N70" i="3" l="1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I13" i="3"/>
  <c r="I12" i="3"/>
  <c r="Q7" i="3"/>
  <c r="K29" i="3"/>
  <c r="I14" i="3"/>
  <c r="Y70" i="3"/>
  <c r="Z70" i="3"/>
  <c r="Y71" i="3"/>
  <c r="Z71" i="3"/>
  <c r="Y72" i="3"/>
  <c r="Z72" i="3"/>
  <c r="Y73" i="3"/>
  <c r="Z73" i="3"/>
  <c r="Y74" i="3"/>
  <c r="Z74" i="3"/>
  <c r="Y75" i="3"/>
  <c r="Z75" i="3"/>
  <c r="Y76" i="3"/>
  <c r="Z76" i="3"/>
  <c r="Y77" i="3"/>
  <c r="Z77" i="3"/>
  <c r="Y78" i="3"/>
  <c r="Z78" i="3"/>
  <c r="Y79" i="3"/>
  <c r="Z79" i="3"/>
  <c r="Y80" i="3"/>
  <c r="Z80" i="3"/>
  <c r="Y81" i="3"/>
  <c r="Z81" i="3"/>
  <c r="Y82" i="3"/>
  <c r="Z82" i="3"/>
  <c r="Y86" i="3" a="1"/>
  <c r="AB86" i="3" a="1"/>
  <c r="AE86" i="3" a="1"/>
  <c r="N86" i="3" a="1"/>
  <c r="Q86" i="3" a="1"/>
  <c r="T86" i="3" a="1"/>
  <c r="B86" i="3" a="1"/>
  <c r="E86" i="3" a="1"/>
  <c r="H86" i="3" a="1"/>
  <c r="I15" i="3"/>
  <c r="K30" i="3" a="1"/>
  <c r="AE86" i="3" l="1"/>
  <c r="AF86" i="3"/>
  <c r="AE87" i="3"/>
  <c r="AF87" i="3"/>
  <c r="AE88" i="3"/>
  <c r="AF88" i="3"/>
  <c r="AE89" i="3"/>
  <c r="AF89" i="3"/>
  <c r="AE90" i="3"/>
  <c r="AF90" i="3"/>
  <c r="AE91" i="3"/>
  <c r="AF91" i="3"/>
  <c r="AE92" i="3"/>
  <c r="AF92" i="3"/>
  <c r="AE93" i="3"/>
  <c r="AF93" i="3"/>
  <c r="AE94" i="3"/>
  <c r="AF94" i="3"/>
  <c r="AE95" i="3"/>
  <c r="AF95" i="3"/>
  <c r="AE96" i="3"/>
  <c r="AF96" i="3"/>
  <c r="AE97" i="3"/>
  <c r="AF97" i="3"/>
  <c r="AE98" i="3"/>
  <c r="AF98" i="3"/>
  <c r="AE99" i="3"/>
  <c r="AF99" i="3"/>
  <c r="AE100" i="3"/>
  <c r="AF100" i="3"/>
  <c r="AE101" i="3"/>
  <c r="AF101" i="3"/>
  <c r="AE102" i="3"/>
  <c r="AF102" i="3"/>
  <c r="AE103" i="3"/>
  <c r="AF103" i="3"/>
  <c r="AE104" i="3"/>
  <c r="AF104" i="3"/>
  <c r="AE105" i="3"/>
  <c r="AF105" i="3"/>
  <c r="AE106" i="3"/>
  <c r="AF106" i="3"/>
  <c r="AE107" i="3"/>
  <c r="AF107" i="3"/>
  <c r="AE108" i="3"/>
  <c r="AF108" i="3"/>
  <c r="AE109" i="3"/>
  <c r="AF109" i="3"/>
  <c r="AE110" i="3"/>
  <c r="AF110" i="3"/>
  <c r="AE111" i="3"/>
  <c r="AF111" i="3"/>
  <c r="AB86" i="3"/>
  <c r="AC86" i="3"/>
  <c r="AB87" i="3"/>
  <c r="AC87" i="3"/>
  <c r="AB88" i="3"/>
  <c r="AC88" i="3"/>
  <c r="AB89" i="3"/>
  <c r="AC89" i="3"/>
  <c r="AB90" i="3"/>
  <c r="AC90" i="3"/>
  <c r="AB91" i="3"/>
  <c r="AC91" i="3"/>
  <c r="AB92" i="3"/>
  <c r="AC92" i="3"/>
  <c r="AB93" i="3"/>
  <c r="AC93" i="3"/>
  <c r="AB94" i="3"/>
  <c r="AC94" i="3"/>
  <c r="AB95" i="3"/>
  <c r="AC95" i="3"/>
  <c r="AB96" i="3"/>
  <c r="AC96" i="3"/>
  <c r="AB97" i="3"/>
  <c r="AC97" i="3"/>
  <c r="AB98" i="3"/>
  <c r="AC98" i="3"/>
  <c r="AB99" i="3"/>
  <c r="AC99" i="3"/>
  <c r="AB100" i="3"/>
  <c r="AC100" i="3"/>
  <c r="AB101" i="3"/>
  <c r="AC101" i="3"/>
  <c r="AB102" i="3"/>
  <c r="AC102" i="3"/>
  <c r="AB103" i="3"/>
  <c r="AC103" i="3"/>
  <c r="AB104" i="3"/>
  <c r="AC104" i="3"/>
  <c r="AB105" i="3"/>
  <c r="AC105" i="3"/>
  <c r="AB106" i="3"/>
  <c r="AC106" i="3"/>
  <c r="AB107" i="3"/>
  <c r="AC107" i="3"/>
  <c r="AB108" i="3"/>
  <c r="AC108" i="3"/>
  <c r="AB109" i="3"/>
  <c r="AC109" i="3"/>
  <c r="AB110" i="3"/>
  <c r="AC110" i="3"/>
  <c r="AB111" i="3"/>
  <c r="AC111" i="3"/>
  <c r="AB112" i="3"/>
  <c r="AC112" i="3"/>
  <c r="AB113" i="3"/>
  <c r="AC113" i="3"/>
  <c r="AB114" i="3"/>
  <c r="AC114" i="3"/>
  <c r="AB115" i="3"/>
  <c r="AC115" i="3"/>
  <c r="AB116" i="3"/>
  <c r="AC116" i="3"/>
  <c r="AB117" i="3"/>
  <c r="AC117" i="3"/>
  <c r="AB118" i="3"/>
  <c r="AC118" i="3"/>
  <c r="AB119" i="3"/>
  <c r="AC119" i="3"/>
  <c r="AB120" i="3"/>
  <c r="AC120" i="3"/>
  <c r="AB121" i="3"/>
  <c r="AC121" i="3"/>
  <c r="Y86" i="3"/>
  <c r="Z86" i="3"/>
  <c r="Y87" i="3"/>
  <c r="Z87" i="3"/>
  <c r="Y88" i="3"/>
  <c r="Z88" i="3"/>
  <c r="Y89" i="3"/>
  <c r="Z89" i="3"/>
  <c r="Y90" i="3"/>
  <c r="Z90" i="3"/>
  <c r="Y91" i="3"/>
  <c r="Z91" i="3"/>
  <c r="Y92" i="3"/>
  <c r="Z92" i="3"/>
  <c r="Y93" i="3"/>
  <c r="Z93" i="3"/>
  <c r="Y94" i="3"/>
  <c r="Z94" i="3"/>
  <c r="Y95" i="3"/>
  <c r="Z95" i="3"/>
  <c r="Y96" i="3"/>
  <c r="Z96" i="3"/>
  <c r="Y97" i="3"/>
  <c r="Z97" i="3"/>
  <c r="Y98" i="3"/>
  <c r="Z98" i="3"/>
  <c r="Y99" i="3"/>
  <c r="Z99" i="3"/>
  <c r="Y100" i="3"/>
  <c r="Z100" i="3"/>
  <c r="Y101" i="3"/>
  <c r="Z101" i="3"/>
  <c r="Y102" i="3"/>
  <c r="Z102" i="3"/>
  <c r="Y103" i="3"/>
  <c r="Z103" i="3"/>
  <c r="Y104" i="3"/>
  <c r="Z104" i="3"/>
  <c r="Y105" i="3"/>
  <c r="Z105" i="3"/>
  <c r="Y106" i="3"/>
  <c r="Z106" i="3"/>
  <c r="Y107" i="3"/>
  <c r="Z107" i="3"/>
  <c r="Y108" i="3"/>
  <c r="Z108" i="3"/>
  <c r="Y109" i="3"/>
  <c r="Z109" i="3"/>
  <c r="Y110" i="3"/>
  <c r="Z110" i="3"/>
  <c r="Y111" i="3"/>
  <c r="Z111" i="3"/>
  <c r="Y112" i="3"/>
  <c r="Z112" i="3"/>
  <c r="Y113" i="3"/>
  <c r="Z113" i="3"/>
  <c r="Y114" i="3"/>
  <c r="Z114" i="3"/>
  <c r="Y115" i="3"/>
  <c r="Z115" i="3"/>
  <c r="Y116" i="3"/>
  <c r="Z116" i="3"/>
  <c r="Y117" i="3"/>
  <c r="Z117" i="3"/>
  <c r="Y118" i="3"/>
  <c r="Z118" i="3"/>
  <c r="Y119" i="3"/>
  <c r="Z119" i="3"/>
  <c r="Y120" i="3"/>
  <c r="Z120" i="3"/>
  <c r="Y121" i="3"/>
  <c r="Z121" i="3"/>
  <c r="T86" i="3"/>
  <c r="U86" i="3"/>
  <c r="T87" i="3"/>
  <c r="U87" i="3"/>
  <c r="T88" i="3"/>
  <c r="U88" i="3"/>
  <c r="T89" i="3"/>
  <c r="U89" i="3"/>
  <c r="T90" i="3"/>
  <c r="U90" i="3"/>
  <c r="T91" i="3"/>
  <c r="U91" i="3"/>
  <c r="T92" i="3"/>
  <c r="U92" i="3"/>
  <c r="T93" i="3"/>
  <c r="U93" i="3"/>
  <c r="T94" i="3"/>
  <c r="U94" i="3"/>
  <c r="T95" i="3"/>
  <c r="U95" i="3"/>
  <c r="T96" i="3"/>
  <c r="U96" i="3"/>
  <c r="T97" i="3"/>
  <c r="U97" i="3"/>
  <c r="T98" i="3"/>
  <c r="U98" i="3"/>
  <c r="T99" i="3"/>
  <c r="U99" i="3"/>
  <c r="T100" i="3"/>
  <c r="U100" i="3"/>
  <c r="T101" i="3"/>
  <c r="U101" i="3"/>
  <c r="T102" i="3"/>
  <c r="U102" i="3"/>
  <c r="T103" i="3"/>
  <c r="U103" i="3"/>
  <c r="T104" i="3"/>
  <c r="U104" i="3"/>
  <c r="T105" i="3"/>
  <c r="U105" i="3"/>
  <c r="T106" i="3"/>
  <c r="U106" i="3"/>
  <c r="T107" i="3"/>
  <c r="U107" i="3"/>
  <c r="T108" i="3"/>
  <c r="U108" i="3"/>
  <c r="T109" i="3"/>
  <c r="U109" i="3"/>
  <c r="T110" i="3"/>
  <c r="U110" i="3"/>
  <c r="T111" i="3"/>
  <c r="U111" i="3"/>
  <c r="Q86" i="3"/>
  <c r="R86" i="3"/>
  <c r="Q87" i="3"/>
  <c r="R87" i="3"/>
  <c r="Q88" i="3"/>
  <c r="R88" i="3"/>
  <c r="Q89" i="3"/>
  <c r="R89" i="3"/>
  <c r="Q90" i="3"/>
  <c r="R90" i="3"/>
  <c r="Q91" i="3"/>
  <c r="R91" i="3"/>
  <c r="Q92" i="3"/>
  <c r="R92" i="3"/>
  <c r="Q93" i="3"/>
  <c r="R93" i="3"/>
  <c r="Q94" i="3"/>
  <c r="R94" i="3"/>
  <c r="Q95" i="3"/>
  <c r="R95" i="3"/>
  <c r="Q96" i="3"/>
  <c r="R96" i="3"/>
  <c r="Q97" i="3"/>
  <c r="R97" i="3"/>
  <c r="Q98" i="3"/>
  <c r="R98" i="3"/>
  <c r="Q99" i="3"/>
  <c r="R99" i="3"/>
  <c r="Q100" i="3"/>
  <c r="R100" i="3"/>
  <c r="Q101" i="3"/>
  <c r="R101" i="3"/>
  <c r="Q102" i="3"/>
  <c r="R102" i="3"/>
  <c r="Q103" i="3"/>
  <c r="R103" i="3"/>
  <c r="Q104" i="3"/>
  <c r="R104" i="3"/>
  <c r="Q105" i="3"/>
  <c r="R105" i="3"/>
  <c r="Q106" i="3"/>
  <c r="R106" i="3"/>
  <c r="Q107" i="3"/>
  <c r="R107" i="3"/>
  <c r="Q108" i="3"/>
  <c r="R108" i="3"/>
  <c r="Q109" i="3"/>
  <c r="R109" i="3"/>
  <c r="Q110" i="3"/>
  <c r="R110" i="3"/>
  <c r="Q111" i="3"/>
  <c r="R111" i="3"/>
  <c r="Q112" i="3"/>
  <c r="R112" i="3"/>
  <c r="Q113" i="3"/>
  <c r="R113" i="3"/>
  <c r="Q114" i="3"/>
  <c r="R114" i="3"/>
  <c r="Q115" i="3"/>
  <c r="R115" i="3"/>
  <c r="Q116" i="3"/>
  <c r="R116" i="3"/>
  <c r="Q117" i="3"/>
  <c r="R117" i="3"/>
  <c r="Q118" i="3"/>
  <c r="R118" i="3"/>
  <c r="Q119" i="3"/>
  <c r="R119" i="3"/>
  <c r="Q120" i="3"/>
  <c r="R120" i="3"/>
  <c r="Q121" i="3"/>
  <c r="R121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E98" i="3"/>
  <c r="F98" i="3"/>
  <c r="E99" i="3"/>
  <c r="F99" i="3"/>
  <c r="E100" i="3"/>
  <c r="F100" i="3"/>
  <c r="E101" i="3"/>
  <c r="F101" i="3"/>
  <c r="E102" i="3"/>
  <c r="F102" i="3"/>
  <c r="E103" i="3"/>
  <c r="F103" i="3"/>
  <c r="E104" i="3"/>
  <c r="F104" i="3"/>
  <c r="E105" i="3"/>
  <c r="F105" i="3"/>
  <c r="E106" i="3"/>
  <c r="F106" i="3"/>
  <c r="E107" i="3"/>
  <c r="F107" i="3"/>
  <c r="E108" i="3"/>
  <c r="F108" i="3"/>
  <c r="E109" i="3"/>
  <c r="F109" i="3"/>
  <c r="E110" i="3"/>
  <c r="F110" i="3"/>
  <c r="E111" i="3"/>
  <c r="F111" i="3"/>
  <c r="E112" i="3"/>
  <c r="F112" i="3"/>
  <c r="E113" i="3"/>
  <c r="F113" i="3"/>
  <c r="E114" i="3"/>
  <c r="F114" i="3"/>
  <c r="E115" i="3"/>
  <c r="F115" i="3"/>
  <c r="E116" i="3"/>
  <c r="F116" i="3"/>
  <c r="E117" i="3"/>
  <c r="F117" i="3"/>
  <c r="E118" i="3"/>
  <c r="F118" i="3"/>
  <c r="E119" i="3"/>
  <c r="F119" i="3"/>
  <c r="E120" i="3"/>
  <c r="F120" i="3"/>
  <c r="E121" i="3"/>
  <c r="F121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K30" i="3"/>
</calcChain>
</file>

<file path=xl/comments1.xml><?xml version="1.0" encoding="utf-8"?>
<comments xmlns="http://schemas.openxmlformats.org/spreadsheetml/2006/main">
  <authors>
    <author>Ринат Хабибуллин</author>
  </authors>
  <commentList>
    <comment ref="C28" authorId="0" shapeId="0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sharedStrings.xml><?xml version="1.0" encoding="utf-8"?>
<sst xmlns="http://schemas.openxmlformats.org/spreadsheetml/2006/main" count="139" uniqueCount="109">
  <si>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</si>
  <si>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</si>
  <si>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</si>
  <si>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</si>
  <si>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</si>
  <si>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</si>
  <si>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</si>
  <si>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</si>
  <si>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</si>
  <si>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</si>
  <si>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</si>
  <si>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</si>
  <si>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</si>
  <si>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</si>
  <si>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</si>
  <si>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</si>
  <si>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</si>
  <si>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</si>
  <si>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</si>
  <si>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</si>
  <si>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</si>
  <si>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</si>
  <si>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</si>
  <si>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</si>
  <si>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</si>
  <si>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</si>
  <si>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</si>
  <si>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</si>
  <si>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</si>
  <si>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</si>
  <si>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</si>
  <si>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</si>
  <si>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</si>
  <si>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</si>
  <si>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</si>
  <si>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</si>
  <si>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</si>
  <si>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</si>
  <si>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</si>
  <si>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</si>
  <si>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</si>
  <si>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</si>
  <si>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</si>
  <si>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</si>
  <si>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</si>
  <si>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</si>
  <si>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 xml:space="preserve">Температура </t>
  </si>
  <si>
    <t>input_Date</t>
  </si>
  <si>
    <t>input_Version</t>
  </si>
  <si>
    <t>Курс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</si>
  <si>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</si>
  <si>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</si>
  <si>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</si>
  <si>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</si>
  <si>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</si>
  <si>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</si>
  <si>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</si>
  <si>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</si>
  <si>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</si>
  <si>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</si>
  <si>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</si>
  <si>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</si>
  <si>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</si>
  <si>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</si>
  <si>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</si>
  <si>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</si>
  <si>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</si>
  <si>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</si>
  <si>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</si>
  <si>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</si>
  <si>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</si>
  <si>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</si>
  <si>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</si>
  <si>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</si>
  <si>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</si>
  <si>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</si>
  <si>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</si>
  <si>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</si>
  <si>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Расчет скважины с УЭЦН</t>
  </si>
  <si>
    <t>Замеры по скважине</t>
  </si>
  <si>
    <t>Диаметры 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</si>
  <si>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</si>
  <si>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Параметры ЭЦН</t>
  </si>
  <si>
    <t>Номинал</t>
  </si>
  <si>
    <t>м3/сут</t>
  </si>
  <si>
    <t>ID</t>
  </si>
  <si>
    <t>Напор</t>
  </si>
  <si>
    <t xml:space="preserve">м </t>
  </si>
  <si>
    <t>ступеней</t>
  </si>
  <si>
    <t>частота</t>
  </si>
  <si>
    <t>шт</t>
  </si>
  <si>
    <t>ЭЦН</t>
  </si>
  <si>
    <t>Параметры пласта</t>
  </si>
  <si>
    <t>Рпл</t>
  </si>
  <si>
    <t>Кпр</t>
  </si>
  <si>
    <t>Рнас</t>
  </si>
  <si>
    <t>IPR</t>
  </si>
  <si>
    <t>t_crit_C</t>
  </si>
  <si>
    <t>Гц</t>
  </si>
  <si>
    <t xml:space="preserve"> </t>
  </si>
  <si>
    <t>Pwf</t>
  </si>
  <si>
    <t>Pbuf</t>
  </si>
  <si>
    <t>Pint</t>
  </si>
  <si>
    <t>Gas model</t>
  </si>
  <si>
    <t>Gas stage by stage</t>
  </si>
  <si>
    <t>Для АСПО</t>
  </si>
  <si>
    <t>{"q_liq_sm3day":44.7162536763739,"p_wf_atma":100,"p_intake_atma":35.2138495777769,"p_dis_atma":93.7324311597881,"p_buf_atma":0.897099116365555,"h_crit_m":1475.97307853916,"c_P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0.897099116365555,0.897099116365555,0.897099116365555,0.897099116365555,0.897099116365555,1.14173800669038,2.58956096674378,4.43856204480906,6.72850576023103,9.52003365838182,12.9644760073989,16.9198133555247,21.2974998181079,26.0260178637838,31.1674790720912,36.6929703876409,42.5819420621657,48.5406368152628,54.5072904057458,60.4369361398181,66.34050783779,73.097741539063,79.9941076721752,86.8737493059199,93.7324311597881,35.2138495777769,42.4987484753325,49.7567919374962,56.9904251873815,64.2014418700253,71.391203029413,78.5619311989926,85.7171514996841,92.8611406386492,100]},"c_T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32.7998704335273,32.7998704335273,32.7998704335273,32.7998704335273,32.7998704335273,33.173249921082,35.1078996446621,37.2311301884257,39.6369975668185,42.4658758609218,45.849944858926,49.3368948547207,52.7605329189082,56.1247082251698,59.4432386033885,62.73103999377,66.0121398519184,69.3157315658442,72.6907061935008,76.2092417203376,79.9762256410072,84.1438765287275,88.8896593735845,94.4771345141459,101.289171795324,88.9967173631521,91.8990803591653,94.6830622469672,97.2923398699927,99.6436489270764,101.602511131368,102.969011725013,103.470603951502,102.687854361764,100]},"c_cas_P":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1785.71428571429,1904.7619047619,1980.05450725331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11.7051652840234,11.8010867038762,11.8600865169389,12.7205098254679,14.4228871292711,16.5607552857304,22.6125555558667,28.8261563636128,35.2138495777769]},"h_dyn_m":1980.05450725331,"gas_fraction at pump":0.63080465573136,"q_gas_cas_sm3day":1053.49847825185}</t>
  </si>
  <si>
    <t>{"q_liq_sm3day":42.0793791201188,"p_wf_atma":109.481567382813,"p_intake_atma":44.8068796538004,"p_dis_atma":156.501591254995,"p_buf_atma":6.00637133648539,"h_crit_m":1494.70618511185,"c_P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6.00637133648539,8.70504234578281,11.9117792150528,15.6237611791431,19.8784199177876,24.8099106863551,30.4131442814484,36.6451763425121,43.3969768090579,50.5902753233133,58.0885778777099,65.6156119857752,73.1020346727858,80.4937631556298,87.7669718210452,94.9445780599135,102.080219903341,109.057439850036,115.869962815977,122.512752345872,129.009880540822,135.856990370545,142.759351775935,149.642620768748,156.501591254995,44.8068796538004,52.0804654449757,59.3281802319995,66.5513573534804,73.7513189522945,80.9291867585155,88.0870793424471,95.2285331219197,102.357912598546,109.481567382813]},"c_T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24.363542262568,25.9559969372965,27.5694132617702,29.2152760139242,30.9114551142086,32.6866425937882,34.5838917709332,36.6697029651454,39.0412906892745,41.8462967839926,45.2325407381985,48.7283944319562,52.1590088682769,55.5290619011815,58.851078784091,62.1414254979705,65.4286038105138,68.7479610817715,72.1562011349841,75.7386634242208,79.6222836934481,83.9905158804058,89.0812829832614,95.2483663502779,103.014167976485,88.6123691377891,91.5506378897983,94.3826304775071,97.0538507906244,99.481594096471,101.529268817556,102.988216159364,103.565678094201,102.801900151035,100]},"c_cas_P":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1759.12250008761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11.6833345257977,12.2989954867018,15.9687953132406,20.0593222335837,22.8825209667862,25.1546133763135,31.5883537050913,38.1555244506911,44.8068796538004]},"h_dyn_m":1759.12250008761,"gas_fraction at pump":0.553692657663648,"q_gas_cas_sm3day":942.316889054281}</t>
  </si>
  <si>
    <t>{"q_liq_sm3day":31.7192321777344,"p_wf_atma":144.269226074219,"p_intake_atma":79.9964095000001,"p_dis_atma":169.869022121266,"p_buf_atma":6.0041338172679,"h_crit_m":1560.01175984892,"c_P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6.0041338172679,8.82983323388799,12.4952821155249,17.0221268179639,22.3958861953012,28.5807527751732,35.5231797534019,43.1534343635042,51.2780701545995,59.588872930989,67.8725427088157,76.0402377616006,84.0739645905982,91.9409813383738,99.6360270073112,107.189124980085,114.63964488565,121.906114456862,128.98660798449,135.879206641077,142.601786707242,149.436791213717,156.281717059708,163.097426662947,169.869022121266,79.9964095000001,87.2173195852251,94.4127531227288,101.583118296204,108.729061661992,115.851154310091,122.951915348275,130.047282278858,137.149736077684,144.269226074219]},"c_T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23.268136464297,24.8330720781284,26.40612659407,27.9940961625407,29.6081637620932,31.2681556366179,33.0105305162556,34.9023882267022,37.0637342242057,39.7041135691897,43.0713681374125,46.6009507627639,50.0609695873688,53.4526730223204,56.7866315767726,60.0786364679793,63.3611984100499,66.6797188527229,70.1179349039572,73.8200771693437,78.0318673271043,83.1566534991379,89.8418603502005,99.1691353982025,112.923927250433,86.9522882181579,90.0119829820539,93.0178488006611,95.928998786228,98.6744651010889,101.121556726066,103.035481045854,104.028953754803,103.414825255169,100]},"c_cas_P":{"curve_x":"x","curve_y":"y","x":[0,119.047619047619,238.095238095238,357.142857142857,476.190476190476,595.238095238095,714.285714285714,833.333333333333,952.380952380952,1071.42857142857,1190.47619047619,1225.81946004283,1309.52380952381,1428.57142857143,1547.61904761905,1550,1666.66666666667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11.2144995944395,14.9129955778675,20.6723747997176,26.7905056545447,26.9149971768295,33.2050116908455,39.6773391068678,46.0524202023783,52.3485387714311,56.3768108699937,58.913126752111,65.953978658402,72.9829447310054,79.9964095000001]},"h_dyn_m":1225.81946004283,"gas_fraction at pump":0.329729151842436,"q_gas_cas_sm3day":560.592187075969,"calibr_esp_head":0.534970703125}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</si>
</sst>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7" borderId="0" xfId="0" applyFill="1" applyAlignment="1"/>
    <xf numFmtId="0" fontId="0" fillId="7" borderId="0" xfId="0" applyFill="1"/>
    <xf numFmtId="0" fontId="0" fillId="8" borderId="0" xfId="0" applyFill="1"/>
    <xf numFmtId="0" fontId="0" fillId="9" borderId="0" xfId="0" applyFill="1" applyAlignment="1"/>
    <xf numFmtId="0" fontId="0" fillId="9" borderId="0" xfId="0" applyFill="1"/>
    <xf numFmtId="2" fontId="0" fillId="3" borderId="1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exercise_pipeline!$C$87:$C$121</c:f>
              <c:numCache>
                <c:formatCode>0</c:formatCode>
                <c:ptCount val="35"/>
                <c:pt idx="0">
                  <c:v>0.89709911636555495</c:v>
                </c:pt>
                <c:pt idx="1">
                  <c:v>0.89709911636555495</c:v>
                </c:pt>
                <c:pt idx="2">
                  <c:v>0.89709911636555495</c:v>
                </c:pt>
                <c:pt idx="3">
                  <c:v>0.89709911636555495</c:v>
                </c:pt>
                <c:pt idx="4">
                  <c:v>0.89709911636555495</c:v>
                </c:pt>
                <c:pt idx="5">
                  <c:v>1.1417380066903799</c:v>
                </c:pt>
                <c:pt idx="6">
                  <c:v>2.5895609667437798</c:v>
                </c:pt>
                <c:pt idx="7">
                  <c:v>4.4385620448090597</c:v>
                </c:pt>
                <c:pt idx="8">
                  <c:v>6.7285057602310303</c:v>
                </c:pt>
                <c:pt idx="9">
                  <c:v>9.5200336583818199</c:v>
                </c:pt>
                <c:pt idx="10">
                  <c:v>12.9644760073989</c:v>
                </c:pt>
                <c:pt idx="11">
                  <c:v>16.919813355524699</c:v>
                </c:pt>
                <c:pt idx="12">
                  <c:v>21.297499818107902</c:v>
                </c:pt>
                <c:pt idx="13">
                  <c:v>26.0260178637838</c:v>
                </c:pt>
                <c:pt idx="14">
                  <c:v>31.167479072091201</c:v>
                </c:pt>
                <c:pt idx="15">
                  <c:v>36.692970387640898</c:v>
                </c:pt>
                <c:pt idx="16">
                  <c:v>42.581942062165702</c:v>
                </c:pt>
                <c:pt idx="17">
                  <c:v>48.5406368152628</c:v>
                </c:pt>
                <c:pt idx="18">
                  <c:v>54.507290405745799</c:v>
                </c:pt>
                <c:pt idx="19">
                  <c:v>60.436936139818101</c:v>
                </c:pt>
                <c:pt idx="20">
                  <c:v>66.34050783779</c:v>
                </c:pt>
                <c:pt idx="21">
                  <c:v>73.097741539062994</c:v>
                </c:pt>
                <c:pt idx="22">
                  <c:v>79.994107672175204</c:v>
                </c:pt>
                <c:pt idx="23">
                  <c:v>86.873749305919901</c:v>
                </c:pt>
                <c:pt idx="24">
                  <c:v>93.732431159788106</c:v>
                </c:pt>
                <c:pt idx="25">
                  <c:v>35.213849577776898</c:v>
                </c:pt>
                <c:pt idx="26">
                  <c:v>42.498748475332498</c:v>
                </c:pt>
                <c:pt idx="27">
                  <c:v>49.756791937496203</c:v>
                </c:pt>
                <c:pt idx="28">
                  <c:v>56.990425187381497</c:v>
                </c:pt>
                <c:pt idx="29">
                  <c:v>64.201441870025306</c:v>
                </c:pt>
                <c:pt idx="30">
                  <c:v>71.391203029413006</c:v>
                </c:pt>
                <c:pt idx="31">
                  <c:v>78.561931198992596</c:v>
                </c:pt>
                <c:pt idx="32">
                  <c:v>85.717151499684107</c:v>
                </c:pt>
                <c:pt idx="33">
                  <c:v>92.861140638649204</c:v>
                </c:pt>
                <c:pt idx="34">
                  <c:v>100</c:v>
                </c:pt>
              </c:numCache>
            </c:numRef>
          </c:xVal>
          <c:yVal>
            <c:numRef>
              <c:f>exercise_pipeline!$B$87:$B$121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tx>
            <c:v>затруб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exercise_pipeline!$I$87:$I$111</c:f>
              <c:numCache>
                <c:formatCode>0</c:formatCode>
                <c:ptCount val="25"/>
                <c:pt idx="0">
                  <c:v>10</c:v>
                </c:pt>
                <c:pt idx="1">
                  <c:v>10.1167165975299</c:v>
                </c:pt>
                <c:pt idx="2">
                  <c:v>10.234021213615501</c:v>
                </c:pt>
                <c:pt idx="3">
                  <c:v>10.3519285098354</c:v>
                </c:pt>
                <c:pt idx="4">
                  <c:v>10.470448047353401</c:v>
                </c:pt>
                <c:pt idx="5">
                  <c:v>10.589553992399599</c:v>
                </c:pt>
                <c:pt idx="6">
                  <c:v>10.709276112990899</c:v>
                </c:pt>
                <c:pt idx="7">
                  <c:v>10.8295936596112</c:v>
                </c:pt>
                <c:pt idx="8">
                  <c:v>10.950273383387501</c:v>
                </c:pt>
                <c:pt idx="9">
                  <c:v>11.0672325290373</c:v>
                </c:pt>
                <c:pt idx="10">
                  <c:v>11.181295767210701</c:v>
                </c:pt>
                <c:pt idx="11">
                  <c:v>11.2920621399869</c:v>
                </c:pt>
                <c:pt idx="12">
                  <c:v>11.399501297395201</c:v>
                </c:pt>
                <c:pt idx="13">
                  <c:v>11.5040011741411</c:v>
                </c:pt>
                <c:pt idx="14">
                  <c:v>11.5060769760148</c:v>
                </c:pt>
                <c:pt idx="15">
                  <c:v>11.6061351613084</c:v>
                </c:pt>
                <c:pt idx="16">
                  <c:v>11.7051652840234</c:v>
                </c:pt>
                <c:pt idx="17">
                  <c:v>11.8010867038762</c:v>
                </c:pt>
                <c:pt idx="18">
                  <c:v>11.8600865169389</c:v>
                </c:pt>
                <c:pt idx="19">
                  <c:v>12.7205098254679</c:v>
                </c:pt>
                <c:pt idx="20">
                  <c:v>14.4228871292711</c:v>
                </c:pt>
                <c:pt idx="21">
                  <c:v>16.560755285730401</c:v>
                </c:pt>
                <c:pt idx="22">
                  <c:v>22.612555555866699</c:v>
                </c:pt>
                <c:pt idx="23">
                  <c:v>28.8261563636128</c:v>
                </c:pt>
                <c:pt idx="24">
                  <c:v>35.213849577776898</c:v>
                </c:pt>
              </c:numCache>
            </c:numRef>
          </c:xVal>
          <c:yVal>
            <c:numRef>
              <c:f>exercise_pipeline!$H$87:$H$111</c:f>
              <c:numCache>
                <c:formatCode>0</c:formatCode>
                <c:ptCount val="25"/>
                <c:pt idx="0">
                  <c:v>0</c:v>
                </c:pt>
                <c:pt idx="1">
                  <c:v>119.04761904761899</c:v>
                </c:pt>
                <c:pt idx="2">
                  <c:v>238.09523809523799</c:v>
                </c:pt>
                <c:pt idx="3">
                  <c:v>357.142857142857</c:v>
                </c:pt>
                <c:pt idx="4">
                  <c:v>476.19047619047598</c:v>
                </c:pt>
                <c:pt idx="5">
                  <c:v>595.23809523809496</c:v>
                </c:pt>
                <c:pt idx="6">
                  <c:v>714.28571428571399</c:v>
                </c:pt>
                <c:pt idx="7">
                  <c:v>833.33333333333303</c:v>
                </c:pt>
                <c:pt idx="8">
                  <c:v>952.38095238095195</c:v>
                </c:pt>
                <c:pt idx="9">
                  <c:v>1071.42857142857</c:v>
                </c:pt>
                <c:pt idx="10">
                  <c:v>1190.4761904761899</c:v>
                </c:pt>
                <c:pt idx="11">
                  <c:v>1309.5238095238101</c:v>
                </c:pt>
                <c:pt idx="12">
                  <c:v>1428.57142857143</c:v>
                </c:pt>
                <c:pt idx="13">
                  <c:v>1547.61904761905</c:v>
                </c:pt>
                <c:pt idx="14">
                  <c:v>1550</c:v>
                </c:pt>
                <c:pt idx="15">
                  <c:v>1666.6666666666699</c:v>
                </c:pt>
                <c:pt idx="16">
                  <c:v>1785.7142857142901</c:v>
                </c:pt>
                <c:pt idx="17">
                  <c:v>1904.7619047619</c:v>
                </c:pt>
                <c:pt idx="18">
                  <c:v>1980.05450725331</c:v>
                </c:pt>
                <c:pt idx="19">
                  <c:v>2023.80952380952</c:v>
                </c:pt>
                <c:pt idx="20">
                  <c:v>2100</c:v>
                </c:pt>
                <c:pt idx="21">
                  <c:v>2142.8571428571399</c:v>
                </c:pt>
                <c:pt idx="22">
                  <c:v>2261.9047619047601</c:v>
                </c:pt>
                <c:pt idx="23">
                  <c:v>2380.9523809523798</c:v>
                </c:pt>
                <c:pt idx="24">
                  <c:v>2500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2744"/>
        <c:axId val="268240392"/>
      </c:scatterChart>
      <c:valAx>
        <c:axId val="2682427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0392"/>
        <c:crosses val="autoZero"/>
        <c:crossBetween val="midCat"/>
      </c:valAx>
      <c:valAx>
        <c:axId val="268240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2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exercise_pipeline!$F$87:$F$121</c:f>
              <c:numCache>
                <c:formatCode>0</c:formatCode>
                <c:ptCount val="35"/>
                <c:pt idx="0">
                  <c:v>32.799870433527303</c:v>
                </c:pt>
                <c:pt idx="1">
                  <c:v>32.799870433527303</c:v>
                </c:pt>
                <c:pt idx="2">
                  <c:v>32.799870433527303</c:v>
                </c:pt>
                <c:pt idx="3">
                  <c:v>32.799870433527303</c:v>
                </c:pt>
                <c:pt idx="4">
                  <c:v>32.799870433527303</c:v>
                </c:pt>
                <c:pt idx="5">
                  <c:v>33.173249921081997</c:v>
                </c:pt>
                <c:pt idx="6">
                  <c:v>35.107899644662098</c:v>
                </c:pt>
                <c:pt idx="7">
                  <c:v>37.231130188425702</c:v>
                </c:pt>
                <c:pt idx="8">
                  <c:v>39.636997566818501</c:v>
                </c:pt>
                <c:pt idx="9">
                  <c:v>42.465875860921798</c:v>
                </c:pt>
                <c:pt idx="10">
                  <c:v>45.849944858926001</c:v>
                </c:pt>
                <c:pt idx="11">
                  <c:v>49.336894854720697</c:v>
                </c:pt>
                <c:pt idx="12">
                  <c:v>52.760532918908197</c:v>
                </c:pt>
                <c:pt idx="13">
                  <c:v>56.124708225169798</c:v>
                </c:pt>
                <c:pt idx="14">
                  <c:v>59.443238603388501</c:v>
                </c:pt>
                <c:pt idx="15">
                  <c:v>62.731039993769997</c:v>
                </c:pt>
                <c:pt idx="16">
                  <c:v>66.012139851918405</c:v>
                </c:pt>
                <c:pt idx="17">
                  <c:v>69.315731565844203</c:v>
                </c:pt>
                <c:pt idx="18">
                  <c:v>72.690706193500802</c:v>
                </c:pt>
                <c:pt idx="19">
                  <c:v>76.209241720337602</c:v>
                </c:pt>
                <c:pt idx="20">
                  <c:v>79.976225641007204</c:v>
                </c:pt>
                <c:pt idx="21">
                  <c:v>84.143876528727503</c:v>
                </c:pt>
                <c:pt idx="22">
                  <c:v>88.889659373584493</c:v>
                </c:pt>
                <c:pt idx="23">
                  <c:v>94.477134514145902</c:v>
                </c:pt>
                <c:pt idx="24">
                  <c:v>101.28917179532399</c:v>
                </c:pt>
                <c:pt idx="25">
                  <c:v>88.996717363152101</c:v>
                </c:pt>
                <c:pt idx="26">
                  <c:v>91.899080359165296</c:v>
                </c:pt>
                <c:pt idx="27">
                  <c:v>94.683062246967197</c:v>
                </c:pt>
                <c:pt idx="28">
                  <c:v>97.292339869992702</c:v>
                </c:pt>
                <c:pt idx="29">
                  <c:v>99.643648927076399</c:v>
                </c:pt>
                <c:pt idx="30">
                  <c:v>101.602511131368</c:v>
                </c:pt>
                <c:pt idx="31">
                  <c:v>102.969011725013</c:v>
                </c:pt>
                <c:pt idx="32">
                  <c:v>103.470603951502</c:v>
                </c:pt>
                <c:pt idx="33">
                  <c:v>102.687854361764</c:v>
                </c:pt>
                <c:pt idx="34">
                  <c:v>100</c:v>
                </c:pt>
              </c:numCache>
            </c:numRef>
          </c:xVal>
          <c:yVal>
            <c:numRef>
              <c:f>exercise_pipeline!$E$87:$E$121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449488"/>
        <c:axId val="266495720"/>
      </c:scatterChart>
      <c:valAx>
        <c:axId val="37944948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495720"/>
        <c:crosses val="autoZero"/>
        <c:crossBetween val="midCat"/>
      </c:valAx>
      <c:valAx>
        <c:axId val="2664957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44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exercise_pipeline!$O$87:$O$121</c:f>
              <c:numCache>
                <c:formatCode>0</c:formatCode>
                <c:ptCount val="35"/>
                <c:pt idx="0">
                  <c:v>6.0063713364853903</c:v>
                </c:pt>
                <c:pt idx="1">
                  <c:v>8.7050423457828092</c:v>
                </c:pt>
                <c:pt idx="2">
                  <c:v>11.9117792150528</c:v>
                </c:pt>
                <c:pt idx="3">
                  <c:v>15.6237611791431</c:v>
                </c:pt>
                <c:pt idx="4">
                  <c:v>19.8784199177876</c:v>
                </c:pt>
                <c:pt idx="5">
                  <c:v>24.809910686355099</c:v>
                </c:pt>
                <c:pt idx="6">
                  <c:v>30.4131442814484</c:v>
                </c:pt>
                <c:pt idx="7">
                  <c:v>36.645176342512102</c:v>
                </c:pt>
                <c:pt idx="8">
                  <c:v>43.396976809057897</c:v>
                </c:pt>
                <c:pt idx="9">
                  <c:v>50.5902753233133</c:v>
                </c:pt>
                <c:pt idx="10">
                  <c:v>58.088577877709902</c:v>
                </c:pt>
                <c:pt idx="11">
                  <c:v>65.615611985775203</c:v>
                </c:pt>
                <c:pt idx="12">
                  <c:v>73.102034672785805</c:v>
                </c:pt>
                <c:pt idx="13">
                  <c:v>80.493763155629793</c:v>
                </c:pt>
                <c:pt idx="14">
                  <c:v>87.766971821045203</c:v>
                </c:pt>
                <c:pt idx="15">
                  <c:v>94.944578059913496</c:v>
                </c:pt>
                <c:pt idx="16">
                  <c:v>102.080219903341</c:v>
                </c:pt>
                <c:pt idx="17">
                  <c:v>109.057439850036</c:v>
                </c:pt>
                <c:pt idx="18">
                  <c:v>115.869962815977</c:v>
                </c:pt>
                <c:pt idx="19">
                  <c:v>122.512752345872</c:v>
                </c:pt>
                <c:pt idx="20">
                  <c:v>129.009880540822</c:v>
                </c:pt>
                <c:pt idx="21">
                  <c:v>135.85699037054499</c:v>
                </c:pt>
                <c:pt idx="22">
                  <c:v>142.75935177593499</c:v>
                </c:pt>
                <c:pt idx="23">
                  <c:v>149.642620768748</c:v>
                </c:pt>
                <c:pt idx="24">
                  <c:v>156.50159125499499</c:v>
                </c:pt>
                <c:pt idx="25">
                  <c:v>44.806879653800401</c:v>
                </c:pt>
                <c:pt idx="26">
                  <c:v>52.080465444975701</c:v>
                </c:pt>
                <c:pt idx="27">
                  <c:v>59.328180231999497</c:v>
                </c:pt>
                <c:pt idx="28">
                  <c:v>66.551357353480398</c:v>
                </c:pt>
                <c:pt idx="29">
                  <c:v>73.751318952294497</c:v>
                </c:pt>
                <c:pt idx="30">
                  <c:v>80.929186758515499</c:v>
                </c:pt>
                <c:pt idx="31">
                  <c:v>88.087079342447097</c:v>
                </c:pt>
                <c:pt idx="32">
                  <c:v>95.228533121919696</c:v>
                </c:pt>
                <c:pt idx="33">
                  <c:v>102.35791259854599</c:v>
                </c:pt>
                <c:pt idx="34">
                  <c:v>109.481567382813</c:v>
                </c:pt>
              </c:numCache>
            </c:numRef>
          </c:xVal>
          <c:yVal>
            <c:numRef>
              <c:f>exercise_pipeline!$N$87:$N$121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exercise_pipeline!$U$87:$U$111</c:f>
              <c:numCache>
                <c:formatCode>0</c:formatCode>
                <c:ptCount val="25"/>
                <c:pt idx="0">
                  <c:v>10</c:v>
                </c:pt>
                <c:pt idx="1">
                  <c:v>10.1167165975299</c:v>
                </c:pt>
                <c:pt idx="2">
                  <c:v>10.234021213615501</c:v>
                </c:pt>
                <c:pt idx="3">
                  <c:v>10.3519285098354</c:v>
                </c:pt>
                <c:pt idx="4">
                  <c:v>10.470448047353401</c:v>
                </c:pt>
                <c:pt idx="5">
                  <c:v>10.589553992399599</c:v>
                </c:pt>
                <c:pt idx="6">
                  <c:v>10.709276112990899</c:v>
                </c:pt>
                <c:pt idx="7">
                  <c:v>10.8295936596112</c:v>
                </c:pt>
                <c:pt idx="8">
                  <c:v>10.950273383387501</c:v>
                </c:pt>
                <c:pt idx="9">
                  <c:v>11.0672325290373</c:v>
                </c:pt>
                <c:pt idx="10">
                  <c:v>11.181295767210701</c:v>
                </c:pt>
                <c:pt idx="11">
                  <c:v>11.2920621399869</c:v>
                </c:pt>
                <c:pt idx="12">
                  <c:v>11.399501297395201</c:v>
                </c:pt>
                <c:pt idx="13">
                  <c:v>11.5040011741411</c:v>
                </c:pt>
                <c:pt idx="14">
                  <c:v>11.5060769760148</c:v>
                </c:pt>
                <c:pt idx="15">
                  <c:v>11.6061351613084</c:v>
                </c:pt>
                <c:pt idx="16">
                  <c:v>11.683334525797701</c:v>
                </c:pt>
                <c:pt idx="17">
                  <c:v>12.2989954867018</c:v>
                </c:pt>
                <c:pt idx="18">
                  <c:v>15.9687953132406</c:v>
                </c:pt>
                <c:pt idx="19">
                  <c:v>20.0593222335837</c:v>
                </c:pt>
                <c:pt idx="20">
                  <c:v>22.882520966786199</c:v>
                </c:pt>
                <c:pt idx="21">
                  <c:v>25.154613376313499</c:v>
                </c:pt>
                <c:pt idx="22">
                  <c:v>31.588353705091301</c:v>
                </c:pt>
                <c:pt idx="23">
                  <c:v>38.155524450691097</c:v>
                </c:pt>
                <c:pt idx="24">
                  <c:v>44.806879653800401</c:v>
                </c:pt>
              </c:numCache>
            </c:numRef>
          </c:xVal>
          <c:yVal>
            <c:numRef>
              <c:f>exercise_pipeline!$T$87:$T$111</c:f>
              <c:numCache>
                <c:formatCode>0</c:formatCode>
                <c:ptCount val="25"/>
                <c:pt idx="0">
                  <c:v>0</c:v>
                </c:pt>
                <c:pt idx="1">
                  <c:v>119.04761904761899</c:v>
                </c:pt>
                <c:pt idx="2">
                  <c:v>238.09523809523799</c:v>
                </c:pt>
                <c:pt idx="3">
                  <c:v>357.142857142857</c:v>
                </c:pt>
                <c:pt idx="4">
                  <c:v>476.19047619047598</c:v>
                </c:pt>
                <c:pt idx="5">
                  <c:v>595.23809523809496</c:v>
                </c:pt>
                <c:pt idx="6">
                  <c:v>714.28571428571399</c:v>
                </c:pt>
                <c:pt idx="7">
                  <c:v>833.33333333333303</c:v>
                </c:pt>
                <c:pt idx="8">
                  <c:v>952.38095238095195</c:v>
                </c:pt>
                <c:pt idx="9">
                  <c:v>1071.42857142857</c:v>
                </c:pt>
                <c:pt idx="10">
                  <c:v>1190.4761904761899</c:v>
                </c:pt>
                <c:pt idx="11">
                  <c:v>1309.5238095238101</c:v>
                </c:pt>
                <c:pt idx="12">
                  <c:v>1428.57142857143</c:v>
                </c:pt>
                <c:pt idx="13">
                  <c:v>1547.61904761905</c:v>
                </c:pt>
                <c:pt idx="14">
                  <c:v>1550</c:v>
                </c:pt>
                <c:pt idx="15">
                  <c:v>1666.6666666666699</c:v>
                </c:pt>
                <c:pt idx="16">
                  <c:v>1759.12250008761</c:v>
                </c:pt>
                <c:pt idx="17">
                  <c:v>1785.7142857142901</c:v>
                </c:pt>
                <c:pt idx="18">
                  <c:v>1904.7619047619</c:v>
                </c:pt>
                <c:pt idx="19">
                  <c:v>2023.80952380952</c:v>
                </c:pt>
                <c:pt idx="20">
                  <c:v>2100</c:v>
                </c:pt>
                <c:pt idx="21">
                  <c:v>2142.8571428571399</c:v>
                </c:pt>
                <c:pt idx="22">
                  <c:v>2261.9047619047601</c:v>
                </c:pt>
                <c:pt idx="23">
                  <c:v>2380.9523809523798</c:v>
                </c:pt>
                <c:pt idx="24">
                  <c:v>2500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9144"/>
        <c:axId val="384284832"/>
      </c:scatterChart>
      <c:valAx>
        <c:axId val="3842891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4832"/>
        <c:crosses val="autoZero"/>
        <c:crossBetween val="midCat"/>
      </c:valAx>
      <c:valAx>
        <c:axId val="3842848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9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exercise_pipeline!$R$87:$R$121</c:f>
              <c:numCache>
                <c:formatCode>0</c:formatCode>
                <c:ptCount val="35"/>
                <c:pt idx="0">
                  <c:v>24.363542262568</c:v>
                </c:pt>
                <c:pt idx="1">
                  <c:v>25.955996937296501</c:v>
                </c:pt>
                <c:pt idx="2">
                  <c:v>27.569413261770201</c:v>
                </c:pt>
                <c:pt idx="3">
                  <c:v>29.2152760139242</c:v>
                </c:pt>
                <c:pt idx="4">
                  <c:v>30.9114551142086</c:v>
                </c:pt>
                <c:pt idx="5">
                  <c:v>32.6866425937882</c:v>
                </c:pt>
                <c:pt idx="6">
                  <c:v>34.583891770933199</c:v>
                </c:pt>
                <c:pt idx="7">
                  <c:v>36.669702965145397</c:v>
                </c:pt>
                <c:pt idx="8">
                  <c:v>39.041290689274497</c:v>
                </c:pt>
                <c:pt idx="9">
                  <c:v>41.846296783992599</c:v>
                </c:pt>
                <c:pt idx="10">
                  <c:v>45.232540738198502</c:v>
                </c:pt>
                <c:pt idx="11">
                  <c:v>48.728394431956197</c:v>
                </c:pt>
                <c:pt idx="12">
                  <c:v>52.159008868276899</c:v>
                </c:pt>
                <c:pt idx="13">
                  <c:v>55.5290619011815</c:v>
                </c:pt>
                <c:pt idx="14">
                  <c:v>58.851078784091001</c:v>
                </c:pt>
                <c:pt idx="15">
                  <c:v>62.141425497970502</c:v>
                </c:pt>
                <c:pt idx="16">
                  <c:v>65.428603810513806</c:v>
                </c:pt>
                <c:pt idx="17">
                  <c:v>68.747961081771507</c:v>
                </c:pt>
                <c:pt idx="18">
                  <c:v>72.156201134984101</c:v>
                </c:pt>
                <c:pt idx="19">
                  <c:v>75.738663424220803</c:v>
                </c:pt>
                <c:pt idx="20">
                  <c:v>79.622283693448097</c:v>
                </c:pt>
                <c:pt idx="21">
                  <c:v>83.990515880405795</c:v>
                </c:pt>
                <c:pt idx="22">
                  <c:v>89.081282983261403</c:v>
                </c:pt>
                <c:pt idx="23">
                  <c:v>95.248366350277905</c:v>
                </c:pt>
                <c:pt idx="24">
                  <c:v>103.014167976485</c:v>
                </c:pt>
                <c:pt idx="25">
                  <c:v>88.612369137789102</c:v>
                </c:pt>
                <c:pt idx="26">
                  <c:v>91.550637889798296</c:v>
                </c:pt>
                <c:pt idx="27">
                  <c:v>94.382630477507107</c:v>
                </c:pt>
                <c:pt idx="28">
                  <c:v>97.053850790624395</c:v>
                </c:pt>
                <c:pt idx="29">
                  <c:v>99.481594096470999</c:v>
                </c:pt>
                <c:pt idx="30">
                  <c:v>101.529268817556</c:v>
                </c:pt>
                <c:pt idx="31">
                  <c:v>102.988216159364</c:v>
                </c:pt>
                <c:pt idx="32">
                  <c:v>103.565678094201</c:v>
                </c:pt>
                <c:pt idx="33">
                  <c:v>102.801900151035</c:v>
                </c:pt>
                <c:pt idx="34">
                  <c:v>100</c:v>
                </c:pt>
              </c:numCache>
            </c:numRef>
          </c:xVal>
          <c:yVal>
            <c:numRef>
              <c:f>exercise_pipeline!$Q$87:$Q$121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93064"/>
        <c:axId val="384282480"/>
      </c:scatterChart>
      <c:valAx>
        <c:axId val="38429306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2480"/>
        <c:crosses val="autoZero"/>
        <c:crossBetween val="midCat"/>
      </c:valAx>
      <c:valAx>
        <c:axId val="3842824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9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exercise_pipeline!$Z$87:$Z$121</c:f>
              <c:numCache>
                <c:formatCode>0</c:formatCode>
                <c:ptCount val="35"/>
                <c:pt idx="0">
                  <c:v>6.0041338172679</c:v>
                </c:pt>
                <c:pt idx="1">
                  <c:v>8.8298332338879906</c:v>
                </c:pt>
                <c:pt idx="2">
                  <c:v>12.495282115524899</c:v>
                </c:pt>
                <c:pt idx="3">
                  <c:v>17.022126817963901</c:v>
                </c:pt>
                <c:pt idx="4">
                  <c:v>22.395886195301198</c:v>
                </c:pt>
                <c:pt idx="5">
                  <c:v>28.580752775173199</c:v>
                </c:pt>
                <c:pt idx="6">
                  <c:v>35.523179753401898</c:v>
                </c:pt>
                <c:pt idx="7">
                  <c:v>43.153434363504203</c:v>
                </c:pt>
                <c:pt idx="8">
                  <c:v>51.278070154599497</c:v>
                </c:pt>
                <c:pt idx="9">
                  <c:v>59.588872930988998</c:v>
                </c:pt>
                <c:pt idx="10">
                  <c:v>67.872542708815701</c:v>
                </c:pt>
                <c:pt idx="11">
                  <c:v>76.040237761600594</c:v>
                </c:pt>
                <c:pt idx="12">
                  <c:v>84.073964590598194</c:v>
                </c:pt>
                <c:pt idx="13">
                  <c:v>91.940981338373803</c:v>
                </c:pt>
                <c:pt idx="14">
                  <c:v>99.636027007311199</c:v>
                </c:pt>
                <c:pt idx="15">
                  <c:v>107.189124980085</c:v>
                </c:pt>
                <c:pt idx="16">
                  <c:v>114.63964488565</c:v>
                </c:pt>
                <c:pt idx="17">
                  <c:v>121.906114456862</c:v>
                </c:pt>
                <c:pt idx="18">
                  <c:v>128.98660798449001</c:v>
                </c:pt>
                <c:pt idx="19">
                  <c:v>135.87920664107699</c:v>
                </c:pt>
                <c:pt idx="20">
                  <c:v>142.60178670724201</c:v>
                </c:pt>
                <c:pt idx="21">
                  <c:v>149.43679121371699</c:v>
                </c:pt>
                <c:pt idx="22">
                  <c:v>156.281717059708</c:v>
                </c:pt>
                <c:pt idx="23">
                  <c:v>163.09742666294699</c:v>
                </c:pt>
                <c:pt idx="24">
                  <c:v>169.869022121266</c:v>
                </c:pt>
                <c:pt idx="25">
                  <c:v>79.996409500000098</c:v>
                </c:pt>
                <c:pt idx="26">
                  <c:v>87.217319585225098</c:v>
                </c:pt>
                <c:pt idx="27">
                  <c:v>94.412753122728802</c:v>
                </c:pt>
                <c:pt idx="28">
                  <c:v>101.58311829620401</c:v>
                </c:pt>
                <c:pt idx="29">
                  <c:v>108.72906166199201</c:v>
                </c:pt>
                <c:pt idx="30">
                  <c:v>115.851154310091</c:v>
                </c:pt>
                <c:pt idx="31">
                  <c:v>122.95191534827499</c:v>
                </c:pt>
                <c:pt idx="32">
                  <c:v>130.04728227885801</c:v>
                </c:pt>
                <c:pt idx="33">
                  <c:v>137.149736077684</c:v>
                </c:pt>
                <c:pt idx="34">
                  <c:v>144.26922607421901</c:v>
                </c:pt>
              </c:numCache>
            </c:numRef>
          </c:xVal>
          <c:yVal>
            <c:numRef>
              <c:f>exercise_pipeline!$Y$87:$Y$121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exercise_pipeline!$AF$87:$AF$111</c:f>
              <c:numCache>
                <c:formatCode>0</c:formatCode>
                <c:ptCount val="25"/>
                <c:pt idx="0">
                  <c:v>10</c:v>
                </c:pt>
                <c:pt idx="1">
                  <c:v>10.1167165975299</c:v>
                </c:pt>
                <c:pt idx="2">
                  <c:v>10.234021213615501</c:v>
                </c:pt>
                <c:pt idx="3">
                  <c:v>10.3519285098354</c:v>
                </c:pt>
                <c:pt idx="4">
                  <c:v>10.470448047353401</c:v>
                </c:pt>
                <c:pt idx="5">
                  <c:v>10.589553992399599</c:v>
                </c:pt>
                <c:pt idx="6">
                  <c:v>10.709276112990899</c:v>
                </c:pt>
                <c:pt idx="7">
                  <c:v>10.8295936596112</c:v>
                </c:pt>
                <c:pt idx="8">
                  <c:v>10.950273383387501</c:v>
                </c:pt>
                <c:pt idx="9">
                  <c:v>11.0672325290373</c:v>
                </c:pt>
                <c:pt idx="10">
                  <c:v>11.181295767210701</c:v>
                </c:pt>
                <c:pt idx="11">
                  <c:v>11.2144995944395</c:v>
                </c:pt>
                <c:pt idx="12">
                  <c:v>14.9129955778675</c:v>
                </c:pt>
                <c:pt idx="13">
                  <c:v>20.672374799717598</c:v>
                </c:pt>
                <c:pt idx="14">
                  <c:v>26.790505654544699</c:v>
                </c:pt>
                <c:pt idx="15">
                  <c:v>26.914997176829502</c:v>
                </c:pt>
                <c:pt idx="16">
                  <c:v>33.205011690845502</c:v>
                </c:pt>
                <c:pt idx="17">
                  <c:v>39.677339106867798</c:v>
                </c:pt>
                <c:pt idx="18">
                  <c:v>46.0524202023783</c:v>
                </c:pt>
                <c:pt idx="19">
                  <c:v>52.348538771431102</c:v>
                </c:pt>
                <c:pt idx="20">
                  <c:v>56.376810869993697</c:v>
                </c:pt>
                <c:pt idx="21">
                  <c:v>58.913126752110998</c:v>
                </c:pt>
                <c:pt idx="22">
                  <c:v>65.953978658401994</c:v>
                </c:pt>
                <c:pt idx="23">
                  <c:v>72.982944731005404</c:v>
                </c:pt>
                <c:pt idx="24">
                  <c:v>79.996409500000098</c:v>
                </c:pt>
              </c:numCache>
            </c:numRef>
          </c:xVal>
          <c:yVal>
            <c:numRef>
              <c:f>exercise_pipeline!$AE$87:$AE$111</c:f>
              <c:numCache>
                <c:formatCode>0</c:formatCode>
                <c:ptCount val="25"/>
                <c:pt idx="0">
                  <c:v>0</c:v>
                </c:pt>
                <c:pt idx="1">
                  <c:v>119.04761904761899</c:v>
                </c:pt>
                <c:pt idx="2">
                  <c:v>238.09523809523799</c:v>
                </c:pt>
                <c:pt idx="3">
                  <c:v>357.142857142857</c:v>
                </c:pt>
                <c:pt idx="4">
                  <c:v>476.19047619047598</c:v>
                </c:pt>
                <c:pt idx="5">
                  <c:v>595.23809523809496</c:v>
                </c:pt>
                <c:pt idx="6">
                  <c:v>714.28571428571399</c:v>
                </c:pt>
                <c:pt idx="7">
                  <c:v>833.33333333333303</c:v>
                </c:pt>
                <c:pt idx="8">
                  <c:v>952.38095238095195</c:v>
                </c:pt>
                <c:pt idx="9">
                  <c:v>1071.42857142857</c:v>
                </c:pt>
                <c:pt idx="10">
                  <c:v>1190.4761904761899</c:v>
                </c:pt>
                <c:pt idx="11">
                  <c:v>1225.8194600428301</c:v>
                </c:pt>
                <c:pt idx="12">
                  <c:v>1309.5238095238101</c:v>
                </c:pt>
                <c:pt idx="13">
                  <c:v>1428.57142857143</c:v>
                </c:pt>
                <c:pt idx="14">
                  <c:v>1547.61904761905</c:v>
                </c:pt>
                <c:pt idx="15">
                  <c:v>1550</c:v>
                </c:pt>
                <c:pt idx="16">
                  <c:v>1666.6666666666699</c:v>
                </c:pt>
                <c:pt idx="17">
                  <c:v>1785.7142857142901</c:v>
                </c:pt>
                <c:pt idx="18">
                  <c:v>1904.7619047619</c:v>
                </c:pt>
                <c:pt idx="19">
                  <c:v>2023.80952380952</c:v>
                </c:pt>
                <c:pt idx="20">
                  <c:v>2100</c:v>
                </c:pt>
                <c:pt idx="21">
                  <c:v>2142.8571428571399</c:v>
                </c:pt>
                <c:pt idx="22">
                  <c:v>2261.9047619047601</c:v>
                </c:pt>
                <c:pt idx="23">
                  <c:v>2380.9523809523798</c:v>
                </c:pt>
                <c:pt idx="24">
                  <c:v>2500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7184"/>
        <c:axId val="384288752"/>
      </c:scatterChart>
      <c:valAx>
        <c:axId val="38428718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8752"/>
        <c:crosses val="autoZero"/>
        <c:crossBetween val="midCat"/>
      </c:valAx>
      <c:valAx>
        <c:axId val="3842887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exercise_pipeline!$AC$87:$AC$121</c:f>
              <c:numCache>
                <c:formatCode>0</c:formatCode>
                <c:ptCount val="35"/>
                <c:pt idx="0">
                  <c:v>23.268136464297001</c:v>
                </c:pt>
                <c:pt idx="1">
                  <c:v>24.833072078128399</c:v>
                </c:pt>
                <c:pt idx="2">
                  <c:v>26.406126594069999</c:v>
                </c:pt>
                <c:pt idx="3">
                  <c:v>27.9940961625407</c:v>
                </c:pt>
                <c:pt idx="4">
                  <c:v>29.608163762093199</c:v>
                </c:pt>
                <c:pt idx="5">
                  <c:v>31.268155636617902</c:v>
                </c:pt>
                <c:pt idx="6">
                  <c:v>33.010530516255599</c:v>
                </c:pt>
                <c:pt idx="7">
                  <c:v>34.9023882267022</c:v>
                </c:pt>
                <c:pt idx="8">
                  <c:v>37.063734224205703</c:v>
                </c:pt>
                <c:pt idx="9">
                  <c:v>39.704113569189701</c:v>
                </c:pt>
                <c:pt idx="10">
                  <c:v>43.071368137412499</c:v>
                </c:pt>
                <c:pt idx="11">
                  <c:v>46.600950762763901</c:v>
                </c:pt>
                <c:pt idx="12">
                  <c:v>50.060969587368803</c:v>
                </c:pt>
                <c:pt idx="13">
                  <c:v>53.452673022320397</c:v>
                </c:pt>
                <c:pt idx="14">
                  <c:v>56.786631576772599</c:v>
                </c:pt>
                <c:pt idx="15">
                  <c:v>60.078636467979301</c:v>
                </c:pt>
                <c:pt idx="16">
                  <c:v>63.361198410049901</c:v>
                </c:pt>
                <c:pt idx="17">
                  <c:v>66.6797188527229</c:v>
                </c:pt>
                <c:pt idx="18">
                  <c:v>70.117934903957206</c:v>
                </c:pt>
                <c:pt idx="19">
                  <c:v>73.820077169343705</c:v>
                </c:pt>
                <c:pt idx="20">
                  <c:v>78.031867327104294</c:v>
                </c:pt>
                <c:pt idx="21">
                  <c:v>83.156653499137903</c:v>
                </c:pt>
                <c:pt idx="22">
                  <c:v>89.841860350200506</c:v>
                </c:pt>
                <c:pt idx="23">
                  <c:v>99.169135398202499</c:v>
                </c:pt>
                <c:pt idx="24">
                  <c:v>112.923927250433</c:v>
                </c:pt>
                <c:pt idx="25">
                  <c:v>86.952288218157904</c:v>
                </c:pt>
                <c:pt idx="26">
                  <c:v>90.011982982053894</c:v>
                </c:pt>
                <c:pt idx="27">
                  <c:v>93.017848800661099</c:v>
                </c:pt>
                <c:pt idx="28">
                  <c:v>95.928998786227993</c:v>
                </c:pt>
                <c:pt idx="29">
                  <c:v>98.674465101088899</c:v>
                </c:pt>
                <c:pt idx="30">
                  <c:v>101.121556726066</c:v>
                </c:pt>
                <c:pt idx="31">
                  <c:v>103.035481045854</c:v>
                </c:pt>
                <c:pt idx="32">
                  <c:v>104.028953754803</c:v>
                </c:pt>
                <c:pt idx="33">
                  <c:v>103.41482525516901</c:v>
                </c:pt>
                <c:pt idx="34">
                  <c:v>100</c:v>
                </c:pt>
              </c:numCache>
            </c:numRef>
          </c:xVal>
          <c:yVal>
            <c:numRef>
              <c:f>exercise_pipeline!$AB$87:$AB$121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39704"/>
        <c:axId val="276330688"/>
      </c:scatterChart>
      <c:valAx>
        <c:axId val="2763397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0688"/>
        <c:crosses val="autoZero"/>
        <c:crossBetween val="midCat"/>
      </c:valAx>
      <c:valAx>
        <c:axId val="2763306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11206</xdr:colOff>
      <xdr:row>0</xdr:row>
      <xdr:rowOff>56030</xdr:rowOff>
    </xdr:from>
    <xdr:to>
      <xdr:col>14</xdr:col>
      <xdr:colOff>381451</xdr:colOff>
      <xdr:row>8</xdr:row>
      <xdr:rowOff>95250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 txBox="1"/>
      </xdr:nvSpPr>
      <xdr:spPr>
        <a:xfrm>
          <a:off x="5238751" y="56030"/>
          <a:ext cx="5356862" cy="147357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0</xdr:col>
      <xdr:colOff>57510</xdr:colOff>
      <xdr:row>89</xdr:row>
      <xdr:rowOff>78888</xdr:rowOff>
    </xdr:from>
    <xdr:to>
      <xdr:col>4</xdr:col>
      <xdr:colOff>291372</xdr:colOff>
      <xdr:row>115</xdr:row>
      <xdr:rowOff>116988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112058</xdr:colOff>
      <xdr:row>61</xdr:row>
      <xdr:rowOff>142875</xdr:rowOff>
    </xdr:from>
    <xdr:to>
      <xdr:col>17</xdr:col>
      <xdr:colOff>423874</xdr:colOff>
      <xdr:row>65</xdr:row>
      <xdr:rowOff>145679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9189383" y="13211175"/>
          <a:ext cx="3597941" cy="764804"/>
        </a:xfrm>
        <a:prstGeom prst="downArrowCallou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сверху вниз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669164</xdr:colOff>
      <xdr:row>61</xdr:row>
      <xdr:rowOff>153865</xdr:rowOff>
    </xdr:from>
    <xdr:to>
      <xdr:col>9</xdr:col>
      <xdr:colOff>68431</xdr:colOff>
      <xdr:row>65</xdr:row>
      <xdr:rowOff>129467</xdr:rowOff>
    </xdr:to>
    <xdr:sp macro="" textlink="">
      <xdr:nvSpPr>
        <xdr:cNvPr id="21" name="Callout: Down Arrow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2266433" y="13225096"/>
          <a:ext cx="3985921" cy="737602"/>
        </a:xfrm>
        <a:prstGeom prst="down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снизу вверх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62</xdr:row>
          <xdr:rowOff>28575</xdr:rowOff>
        </xdr:from>
        <xdr:to>
          <xdr:col>12</xdr:col>
          <xdr:colOff>257175</xdr:colOff>
          <xdr:row>64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533141</xdr:colOff>
      <xdr:row>89</xdr:row>
      <xdr:rowOff>63356</xdr:rowOff>
    </xdr:from>
    <xdr:to>
      <xdr:col>9</xdr:col>
      <xdr:colOff>453238</xdr:colOff>
      <xdr:row>115</xdr:row>
      <xdr:rowOff>101456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293078</xdr:colOff>
      <xdr:row>89</xdr:row>
      <xdr:rowOff>52166</xdr:rowOff>
    </xdr:from>
    <xdr:to>
      <xdr:col>16</xdr:col>
      <xdr:colOff>395055</xdr:colOff>
      <xdr:row>115</xdr:row>
      <xdr:rowOff>90266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468305</xdr:colOff>
      <xdr:row>89</xdr:row>
      <xdr:rowOff>65941</xdr:rowOff>
    </xdr:from>
    <xdr:to>
      <xdr:col>21</xdr:col>
      <xdr:colOff>329787</xdr:colOff>
      <xdr:row>115</xdr:row>
      <xdr:rowOff>104041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578826</xdr:colOff>
      <xdr:row>61</xdr:row>
      <xdr:rowOff>95249</xdr:rowOff>
    </xdr:from>
    <xdr:to>
      <xdr:col>29</xdr:col>
      <xdr:colOff>531623</xdr:colOff>
      <xdr:row>65</xdr:row>
      <xdr:rowOff>102576</xdr:rowOff>
    </xdr:to>
    <xdr:sp macro="" textlink="">
      <xdr:nvSpPr>
        <xdr:cNvPr id="27" name="Callout: Down Arrow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6628451" y="13163549"/>
          <a:ext cx="3610397" cy="769327"/>
        </a:xfrm>
        <a:prstGeom prst="downArrowCallou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solidFill>
                <a:srgbClr val="FF0000"/>
              </a:solidFill>
            </a:rPr>
            <a:t>Результат</a:t>
          </a:r>
          <a:r>
            <a:rPr lang="ru-RU" sz="1100" baseline="0">
              <a:solidFill>
                <a:srgbClr val="FF0000"/>
              </a:solidFill>
            </a:rPr>
            <a:t> калибровки по ЭЦН для модели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505557</xdr:colOff>
      <xdr:row>89</xdr:row>
      <xdr:rowOff>7326</xdr:rowOff>
    </xdr:from>
    <xdr:to>
      <xdr:col>28</xdr:col>
      <xdr:colOff>21380</xdr:colOff>
      <xdr:row>115</xdr:row>
      <xdr:rowOff>45426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138592</xdr:colOff>
      <xdr:row>89</xdr:row>
      <xdr:rowOff>21101</xdr:rowOff>
    </xdr:from>
    <xdr:to>
      <xdr:col>33</xdr:col>
      <xdr:colOff>271170</xdr:colOff>
      <xdr:row>115</xdr:row>
      <xdr:rowOff>59201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-master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ipe"/>
      <definedName name="encode_PVT"/>
      <definedName name="ESP_head_m"/>
      <definedName name="ESP_id_by_r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1:AF137"/>
  <sheetViews>
    <sheetView tabSelected="1" topLeftCell="A52" zoomScaleNormal="100" workbookViewId="0">
      <selection activeCell="L44" sqref="L44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0" max="10" width="13" customWidth="1"/>
    <col min="11" max="11" width="12" customWidth="1"/>
    <col min="14" max="14" width="11" bestFit="1" customWidth="1"/>
    <col min="15" max="15" width="15" customWidth="1"/>
    <col min="16" max="16" width="10.7109375" bestFit="1" customWidth="1"/>
    <col min="17" max="17" width="12.5703125" customWidth="1"/>
    <col min="18" max="20" width="9.28515625" bestFit="1" customWidth="1"/>
  </cols>
  <sheetData>
    <row r="1" spans="1:31" x14ac:dyDescent="0.25">
      <c r="A1" s="1" t="s">
        <v>0</v>
      </c>
      <c r="F1" t="s">
        <v>1</v>
      </c>
      <c r="G1" t="str">
        <f>[1]!unf_version()</f>
        <v>7.38</v>
      </c>
      <c r="H1" t="s">
        <v>47</v>
      </c>
      <c r="I1" s="20">
        <v>44709</v>
      </c>
      <c r="J1" s="21"/>
      <c r="K1" s="21"/>
      <c r="L1" s="21"/>
    </row>
    <row r="2" spans="1:31" x14ac:dyDescent="0.25">
      <c r="A2" t="s">
        <v>78</v>
      </c>
      <c r="H2" t="s">
        <v>48</v>
      </c>
      <c r="I2" s="22">
        <v>7.38</v>
      </c>
      <c r="J2" s="21"/>
      <c r="K2" s="21"/>
      <c r="L2" s="21"/>
      <c r="V2" s="43" t="s">
        <v>62</v>
      </c>
      <c r="W2" s="44"/>
      <c r="X2" s="3">
        <v>0</v>
      </c>
    </row>
    <row r="3" spans="1:31" x14ac:dyDescent="0.25">
      <c r="A3" s="23" t="s">
        <v>49</v>
      </c>
      <c r="B3" s="45"/>
      <c r="C3" s="46"/>
      <c r="D3" s="46"/>
      <c r="E3" s="47"/>
      <c r="H3" t="s">
        <v>50</v>
      </c>
      <c r="I3" s="21"/>
      <c r="J3" s="21"/>
      <c r="K3" s="21"/>
      <c r="L3" s="21"/>
      <c r="Q3" s="33" t="s">
        <v>77</v>
      </c>
      <c r="V3" s="43" t="s">
        <v>63</v>
      </c>
      <c r="W3" s="44"/>
      <c r="X3" s="3">
        <v>0</v>
      </c>
    </row>
    <row r="4" spans="1:31" x14ac:dyDescent="0.25">
      <c r="A4" s="23" t="s">
        <v>51</v>
      </c>
      <c r="B4" s="45" t="s">
        <v>52</v>
      </c>
      <c r="C4" s="46"/>
      <c r="D4" s="46"/>
      <c r="E4" s="47"/>
      <c r="H4" t="s">
        <v>53</v>
      </c>
      <c r="I4" s="21" t="s">
        <v>52</v>
      </c>
      <c r="J4" s="21"/>
      <c r="K4" s="21"/>
      <c r="L4" s="21"/>
      <c r="Q4" s="6" t="s">
        <v>74</v>
      </c>
      <c r="R4" s="35">
        <v>0</v>
      </c>
      <c r="V4" s="43" t="s">
        <v>64</v>
      </c>
      <c r="W4" s="44"/>
      <c r="X4" s="3">
        <v>0</v>
      </c>
    </row>
    <row r="5" spans="1:31" x14ac:dyDescent="0.25">
      <c r="A5" s="23" t="s">
        <v>54</v>
      </c>
      <c r="B5" s="45" t="s">
        <v>55</v>
      </c>
      <c r="C5" s="46"/>
      <c r="D5" s="46"/>
      <c r="E5" s="47"/>
      <c r="H5" t="s">
        <v>56</v>
      </c>
      <c r="I5" s="21" t="s">
        <v>55</v>
      </c>
      <c r="J5" s="21"/>
      <c r="K5" s="21"/>
      <c r="L5" s="21"/>
      <c r="Q5" s="6" t="s">
        <v>75</v>
      </c>
      <c r="R5" s="35">
        <v>0</v>
      </c>
      <c r="V5" s="43" t="s">
        <v>65</v>
      </c>
      <c r="W5" s="44"/>
      <c r="X5" s="3">
        <v>0</v>
      </c>
    </row>
    <row r="6" spans="1:31" x14ac:dyDescent="0.25">
      <c r="A6" s="24" t="s">
        <v>57</v>
      </c>
      <c r="B6" s="48" t="s">
        <v>58</v>
      </c>
      <c r="C6" s="49"/>
      <c r="D6" s="49"/>
      <c r="E6" s="50"/>
      <c r="H6" s="25" t="s">
        <v>59</v>
      </c>
      <c r="I6" s="26" t="s">
        <v>58</v>
      </c>
      <c r="J6" s="26"/>
      <c r="K6" s="26"/>
      <c r="L6" s="26"/>
      <c r="Q6" s="6" t="s">
        <v>76</v>
      </c>
      <c r="R6" s="35">
        <v>1</v>
      </c>
      <c r="V6" s="43" t="s">
        <v>69</v>
      </c>
      <c r="W6" s="44"/>
      <c r="X6" s="3">
        <v>0</v>
      </c>
    </row>
    <row r="7" spans="1:31" x14ac:dyDescent="0.25">
      <c r="A7" s="27"/>
      <c r="B7" s="51"/>
      <c r="C7" s="52"/>
      <c r="D7" s="52"/>
      <c r="E7" s="53"/>
      <c r="H7" s="25"/>
      <c r="I7" s="26"/>
      <c r="J7" s="26"/>
      <c r="K7" s="26"/>
      <c r="L7" s="26"/>
      <c r="Q7" s="21" t="str">
        <f t="array" ref="Q7">[1]!encode_json(Q4:R6)</f>
        <v>{"show_log":0,"num_value":0,"show_array":1}</v>
      </c>
      <c r="R7" s="21"/>
      <c r="V7" s="57" t="s">
        <v>66</v>
      </c>
      <c r="W7" s="57"/>
    </row>
    <row r="8" spans="1:31" x14ac:dyDescent="0.25">
      <c r="A8" s="28"/>
      <c r="B8" s="54"/>
      <c r="C8" s="55"/>
      <c r="D8" s="55"/>
      <c r="E8" s="56"/>
      <c r="H8" s="25"/>
      <c r="I8" s="26"/>
      <c r="J8" s="26"/>
      <c r="K8" s="26"/>
      <c r="L8" s="26"/>
      <c r="V8" s="43" t="s">
        <v>67</v>
      </c>
      <c r="W8" s="44"/>
      <c r="X8" s="3">
        <v>1</v>
      </c>
    </row>
    <row r="9" spans="1:31" x14ac:dyDescent="0.25">
      <c r="V9" s="43" t="s">
        <v>68</v>
      </c>
      <c r="W9" s="44"/>
      <c r="X9" s="3">
        <v>1</v>
      </c>
    </row>
    <row r="10" spans="1:31" x14ac:dyDescent="0.25">
      <c r="A10" s="1" t="s">
        <v>2</v>
      </c>
    </row>
    <row r="11" spans="1:31" ht="31.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  <c r="H11" s="11" t="s">
        <v>30</v>
      </c>
      <c r="I11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J11" s="12"/>
      <c r="K11" s="12"/>
      <c r="L11" s="12"/>
      <c r="M11" s="12"/>
      <c r="N11" s="12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9"/>
    </row>
    <row r="12" spans="1:31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  <c r="H12" s="11" t="s">
        <v>70</v>
      </c>
      <c r="I12" s="12" t="str">
        <f t="array" ref="I12">[1]!encode_feed(qliq_,fw_,Rp_,Qgas_free,PVTstr_)</f>
        <v>{"gamma_gas":0.8,"gamma_oil":0.87,"gamma_wat":1,"rsb_m3m3":80,"pb_atma":120,"t_res_C":100,"bob_m3m3":1.2,"muob_cP":1,"PVT_corr_set":0,"q_liq_sm3day":2,"fw_perc":40,"rp_m3m3":150}</v>
      </c>
      <c r="J12" s="12"/>
      <c r="K12" s="12"/>
      <c r="L12" s="12"/>
      <c r="M12" s="12"/>
      <c r="N12" s="12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9"/>
    </row>
    <row r="13" spans="1:31" ht="46.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  <c r="H13" s="11" t="s">
        <v>71</v>
      </c>
      <c r="I13" s="12" t="str">
        <f t="array" ref="I13">encode_t_model(temp_model,input_6,T0,T1_)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":200,"time_calc_hr":240,"t_list_C":{"curve_x":"hvert_m","curve_y":"t_C","hvert_m":[0,1000,2500],"t_C":[20,35,90]}}</v>
      </c>
      <c r="J13" s="12"/>
      <c r="K13" s="12"/>
      <c r="L13" s="12"/>
      <c r="M13" s="12"/>
      <c r="N13" s="12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9"/>
    </row>
    <row r="14" spans="1:31" ht="31.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  <c r="H14" s="11" t="s">
        <v>72</v>
      </c>
      <c r="I14" s="12" t="str">
        <f t="array" ref="I14">[1]!encode_pipe(B40:C52,H40:I42)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[0,1550,2100],"diam_int_mm":[62,63,125]}}</v>
      </c>
      <c r="J14" s="12"/>
      <c r="K14" s="12"/>
      <c r="L14" s="12"/>
      <c r="M14" s="12"/>
      <c r="N14" s="12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9"/>
    </row>
    <row r="15" spans="1:31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  <c r="H15" s="11" t="s">
        <v>91</v>
      </c>
      <c r="I15" s="12" t="str">
        <f>encode_ESP_pump(ESP_ID,ESP_head_nom,,ESP_freq,,,,Gas_model,Gas_stage_by_stage)</f>
        <v>{"ESP_ID":737,"head_nom_m":2500,"freq_Hz":50,"gas_correct_model":2,"gas_correct_stage_by_stage":1,"calibr_head":1,"calibr_power":1,"calibr_rate":1,"dnum_stages_integrate":1}</v>
      </c>
      <c r="J15" s="12"/>
      <c r="K15" s="12"/>
      <c r="L15" s="12"/>
      <c r="M15" s="12"/>
      <c r="N15" s="12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9"/>
    </row>
    <row r="16" spans="1:31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  <c r="H16" s="11" t="s">
        <v>96</v>
      </c>
      <c r="I16" s="12" t="str">
        <f>encode_ipr(Pres,PI_,Pb__,fw_)</f>
        <v>{"p_res_atma":250,"pi_m3dayatm":0.3,"pb_atma":120,"fw_perc":40}</v>
      </c>
      <c r="J16" s="12"/>
      <c r="K16" s="12"/>
      <c r="L16" s="12"/>
      <c r="M16" s="12"/>
      <c r="N16" s="12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9"/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I20" s="32" t="s">
        <v>79</v>
      </c>
      <c r="J20" s="10"/>
    </row>
    <row r="21" spans="1:17" ht="15.75" x14ac:dyDescent="0.3">
      <c r="B21" s="9" t="s">
        <v>21</v>
      </c>
      <c r="C21" s="3">
        <v>2</v>
      </c>
      <c r="D21" s="6" t="s">
        <v>22</v>
      </c>
      <c r="J21" s="9" t="s">
        <v>101</v>
      </c>
      <c r="K21" s="29">
        <v>6</v>
      </c>
      <c r="L21" s="6" t="s">
        <v>12</v>
      </c>
    </row>
    <row r="22" spans="1:17" ht="18.7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J22" s="9" t="s">
        <v>102</v>
      </c>
      <c r="K22" s="29">
        <v>80</v>
      </c>
      <c r="L22" s="6" t="s">
        <v>12</v>
      </c>
      <c r="O22" s="13" t="s">
        <v>45</v>
      </c>
      <c r="P22" s="14"/>
      <c r="Q22" s="14"/>
    </row>
    <row r="23" spans="1:17" ht="15.75" x14ac:dyDescent="0.3">
      <c r="B23" s="9" t="s">
        <v>23</v>
      </c>
      <c r="C23" s="3">
        <v>40</v>
      </c>
      <c r="D23" s="4" t="s">
        <v>24</v>
      </c>
      <c r="J23" s="9" t="s">
        <v>100</v>
      </c>
      <c r="K23" s="29">
        <v>100</v>
      </c>
      <c r="L23" s="6" t="s">
        <v>12</v>
      </c>
      <c r="O23" s="30"/>
      <c r="P23" s="31" t="s">
        <v>73</v>
      </c>
      <c r="Q23" s="3">
        <v>1</v>
      </c>
    </row>
    <row r="24" spans="1:17" ht="18" x14ac:dyDescent="0.35">
      <c r="B24" s="9" t="s">
        <v>43</v>
      </c>
      <c r="C24" s="3">
        <v>0</v>
      </c>
      <c r="D24" s="6" t="s">
        <v>44</v>
      </c>
      <c r="J24" s="9" t="s">
        <v>27</v>
      </c>
      <c r="K24" s="3">
        <v>100</v>
      </c>
      <c r="L24" s="6" t="s">
        <v>28</v>
      </c>
      <c r="O24" s="30"/>
      <c r="P24" s="31" t="s">
        <v>42</v>
      </c>
      <c r="Q24" s="3">
        <v>2</v>
      </c>
    </row>
    <row r="25" spans="1:17" x14ac:dyDescent="0.25">
      <c r="J25" s="9" t="s">
        <v>29</v>
      </c>
      <c r="K25" s="3">
        <v>50</v>
      </c>
      <c r="L25" s="6" t="s">
        <v>28</v>
      </c>
    </row>
    <row r="26" spans="1:17" ht="18" customHeight="1" x14ac:dyDescent="0.25">
      <c r="I26" s="32" t="s">
        <v>82</v>
      </c>
      <c r="J26" s="10"/>
      <c r="N26" s="32" t="s">
        <v>92</v>
      </c>
      <c r="O26" s="10"/>
    </row>
    <row r="27" spans="1:17" ht="15.75" customHeight="1" x14ac:dyDescent="0.25">
      <c r="A27" s="33" t="s">
        <v>31</v>
      </c>
      <c r="B27" s="34"/>
      <c r="C27" s="34"/>
      <c r="D27" s="34"/>
      <c r="J27" s="9" t="s">
        <v>83</v>
      </c>
      <c r="K27" s="29">
        <v>125</v>
      </c>
      <c r="L27" s="6" t="s">
        <v>84</v>
      </c>
      <c r="O27" s="9" t="s">
        <v>93</v>
      </c>
      <c r="P27" s="29">
        <v>250</v>
      </c>
      <c r="Q27" s="6"/>
    </row>
    <row r="28" spans="1:17" ht="15" customHeight="1" x14ac:dyDescent="0.35">
      <c r="B28" s="6" t="s">
        <v>32</v>
      </c>
      <c r="C28" s="35">
        <v>3500</v>
      </c>
      <c r="D28" s="36" t="s">
        <v>25</v>
      </c>
      <c r="J28" s="9" t="s">
        <v>86</v>
      </c>
      <c r="K28" s="29">
        <v>2500</v>
      </c>
      <c r="L28" s="6" t="s">
        <v>87</v>
      </c>
      <c r="O28" s="9" t="s">
        <v>94</v>
      </c>
      <c r="P28" s="64">
        <v>0.3</v>
      </c>
      <c r="Q28" s="6"/>
    </row>
    <row r="29" spans="1:17" ht="15" customHeight="1" x14ac:dyDescent="0.35">
      <c r="B29" s="6" t="s">
        <v>33</v>
      </c>
      <c r="C29" s="35">
        <v>2500</v>
      </c>
      <c r="D29" s="36" t="s">
        <v>34</v>
      </c>
      <c r="J29" s="9" t="s">
        <v>85</v>
      </c>
      <c r="K29" s="9">
        <f t="array" ref="K29">[1]!ESP_id_by_rate(K27)</f>
        <v>737</v>
      </c>
      <c r="L29" s="6"/>
      <c r="N29" s="32"/>
      <c r="O29" s="9" t="s">
        <v>95</v>
      </c>
      <c r="P29" s="29">
        <f>Pb_</f>
        <v>120</v>
      </c>
      <c r="Q29" s="6"/>
    </row>
    <row r="30" spans="1:17" ht="18" x14ac:dyDescent="0.35">
      <c r="B30" s="6" t="s">
        <v>35</v>
      </c>
      <c r="C30" s="35">
        <v>140</v>
      </c>
      <c r="D30" s="36" t="s">
        <v>26</v>
      </c>
      <c r="J30" s="9" t="s">
        <v>88</v>
      </c>
      <c r="K30" s="9">
        <f t="array" ref="K30">TRUNC(K28/[1]!ESP_head_m(K27,1,,K29))</f>
        <v>431</v>
      </c>
      <c r="L30" s="6" t="s">
        <v>90</v>
      </c>
    </row>
    <row r="31" spans="1:17" ht="15" customHeight="1" x14ac:dyDescent="0.35">
      <c r="B31" s="6" t="s">
        <v>36</v>
      </c>
      <c r="C31" s="35">
        <v>65</v>
      </c>
      <c r="D31" s="36" t="s">
        <v>26</v>
      </c>
      <c r="J31" s="9" t="s">
        <v>89</v>
      </c>
      <c r="K31" s="29">
        <v>50</v>
      </c>
      <c r="L31" s="6" t="s">
        <v>98</v>
      </c>
    </row>
    <row r="32" spans="1:17" ht="15" customHeight="1" x14ac:dyDescent="0.35">
      <c r="B32" s="6" t="s">
        <v>37</v>
      </c>
      <c r="C32" s="35">
        <v>12</v>
      </c>
      <c r="D32" s="36" t="s">
        <v>26</v>
      </c>
      <c r="I32" s="58" t="s">
        <v>60</v>
      </c>
      <c r="J32" s="9" t="s">
        <v>61</v>
      </c>
      <c r="K32" s="3">
        <v>0.3</v>
      </c>
      <c r="L32" s="6"/>
    </row>
    <row r="33" spans="2:16" x14ac:dyDescent="0.25">
      <c r="J33" s="9" t="s">
        <v>103</v>
      </c>
      <c r="K33" s="3">
        <v>2</v>
      </c>
      <c r="L33" s="6"/>
      <c r="N33" t="s">
        <v>105</v>
      </c>
    </row>
    <row r="34" spans="2:16" ht="30" x14ac:dyDescent="0.25">
      <c r="J34" s="9" t="s">
        <v>104</v>
      </c>
      <c r="K34" s="3">
        <v>1</v>
      </c>
      <c r="L34" s="6"/>
      <c r="O34" s="9" t="s">
        <v>97</v>
      </c>
      <c r="P34" s="3">
        <v>60</v>
      </c>
    </row>
    <row r="36" spans="2:16" x14ac:dyDescent="0.25">
      <c r="G36" s="10"/>
    </row>
    <row r="37" spans="2:16" x14ac:dyDescent="0.25">
      <c r="B37" s="34" t="s">
        <v>38</v>
      </c>
      <c r="C37" s="34"/>
      <c r="E37" t="s">
        <v>46</v>
      </c>
      <c r="G37" s="10"/>
      <c r="H37" t="s">
        <v>80</v>
      </c>
      <c r="I37" s="10"/>
    </row>
    <row r="38" spans="2:16" ht="18" x14ac:dyDescent="0.35">
      <c r="B38" s="17" t="s">
        <v>39</v>
      </c>
      <c r="C38" s="17" t="s">
        <v>40</v>
      </c>
      <c r="E38" s="17" t="s">
        <v>40</v>
      </c>
      <c r="F38" s="17" t="s">
        <v>41</v>
      </c>
      <c r="G38" s="10"/>
      <c r="H38" s="17" t="s">
        <v>39</v>
      </c>
      <c r="I38" s="15" t="s">
        <v>81</v>
      </c>
    </row>
    <row r="39" spans="2:16" x14ac:dyDescent="0.25">
      <c r="B39" s="17" t="s">
        <v>25</v>
      </c>
      <c r="C39" s="17" t="s">
        <v>25</v>
      </c>
      <c r="E39" s="17" t="s">
        <v>25</v>
      </c>
      <c r="F39" s="17" t="s">
        <v>34</v>
      </c>
      <c r="G39" s="10"/>
      <c r="H39" s="17" t="s">
        <v>25</v>
      </c>
      <c r="I39" s="17" t="s">
        <v>26</v>
      </c>
    </row>
    <row r="40" spans="2:16" x14ac:dyDescent="0.25">
      <c r="B40" s="16">
        <v>0</v>
      </c>
      <c r="C40" s="16">
        <v>0</v>
      </c>
      <c r="E40" s="39">
        <v>0</v>
      </c>
      <c r="F40" s="39">
        <v>20</v>
      </c>
      <c r="G40" s="10"/>
      <c r="H40" s="39">
        <v>0</v>
      </c>
      <c r="I40" s="40">
        <v>62</v>
      </c>
    </row>
    <row r="41" spans="2:16" x14ac:dyDescent="0.25">
      <c r="B41" s="16">
        <v>1000</v>
      </c>
      <c r="C41" s="16">
        <v>1000</v>
      </c>
      <c r="E41" s="39">
        <v>1000</v>
      </c>
      <c r="F41" s="39">
        <v>35</v>
      </c>
      <c r="G41" s="10"/>
      <c r="H41" s="39">
        <v>1550</v>
      </c>
      <c r="I41" s="40">
        <v>63</v>
      </c>
    </row>
    <row r="42" spans="2:16" x14ac:dyDescent="0.25">
      <c r="B42" s="16">
        <v>1100</v>
      </c>
      <c r="C42" s="16">
        <v>1096</v>
      </c>
      <c r="E42" s="39">
        <v>2500</v>
      </c>
      <c r="F42" s="39">
        <v>90</v>
      </c>
      <c r="G42" s="10"/>
      <c r="H42" s="39">
        <v>2500</v>
      </c>
      <c r="I42" s="40">
        <v>125</v>
      </c>
    </row>
    <row r="43" spans="2:16" x14ac:dyDescent="0.25">
      <c r="B43" s="16">
        <v>1200</v>
      </c>
      <c r="C43" s="16">
        <v>1191</v>
      </c>
      <c r="E43" s="39"/>
      <c r="F43" s="39"/>
      <c r="G43" s="10"/>
      <c r="H43" s="39"/>
      <c r="I43" s="39"/>
    </row>
    <row r="44" spans="2:16" x14ac:dyDescent="0.25">
      <c r="B44" s="16">
        <v>1300</v>
      </c>
      <c r="C44" s="16">
        <v>1284</v>
      </c>
      <c r="E44" s="39"/>
      <c r="F44" s="39"/>
      <c r="G44" s="10"/>
      <c r="H44" s="39"/>
      <c r="I44" s="39"/>
    </row>
    <row r="45" spans="2:16" x14ac:dyDescent="0.25">
      <c r="B45" s="16">
        <v>1400</v>
      </c>
      <c r="C45" s="16">
        <v>1375</v>
      </c>
      <c r="E45" s="39"/>
      <c r="F45" s="39"/>
      <c r="G45" s="10"/>
      <c r="H45" s="39"/>
      <c r="I45" s="39"/>
    </row>
    <row r="46" spans="2:16" x14ac:dyDescent="0.25">
      <c r="B46" s="16">
        <v>1500</v>
      </c>
      <c r="C46" s="16">
        <v>1464</v>
      </c>
      <c r="E46" s="39"/>
      <c r="F46" s="39"/>
      <c r="G46" s="10"/>
      <c r="H46" s="39"/>
      <c r="I46" s="39"/>
    </row>
    <row r="47" spans="2:16" x14ac:dyDescent="0.25">
      <c r="B47" s="16">
        <v>1600</v>
      </c>
      <c r="C47" s="16">
        <v>1551</v>
      </c>
      <c r="E47" s="39"/>
      <c r="F47" s="39"/>
      <c r="G47" s="10"/>
      <c r="H47" s="39"/>
      <c r="I47" s="39"/>
    </row>
    <row r="48" spans="2:16" x14ac:dyDescent="0.25">
      <c r="B48" s="16">
        <v>1700</v>
      </c>
      <c r="C48" s="16">
        <v>1636</v>
      </c>
      <c r="E48" s="39"/>
      <c r="F48" s="39"/>
      <c r="G48" s="10"/>
      <c r="H48" s="39"/>
      <c r="I48" s="39"/>
    </row>
    <row r="49" spans="2:31" x14ac:dyDescent="0.25">
      <c r="B49" s="16">
        <v>1800</v>
      </c>
      <c r="C49" s="16">
        <v>1719</v>
      </c>
      <c r="E49" s="39"/>
      <c r="F49" s="39"/>
      <c r="G49" s="10"/>
      <c r="H49" s="39"/>
      <c r="I49" s="39"/>
    </row>
    <row r="50" spans="2:31" x14ac:dyDescent="0.25">
      <c r="B50" s="16">
        <v>1900</v>
      </c>
      <c r="C50" s="16">
        <v>1800</v>
      </c>
      <c r="E50" s="39"/>
      <c r="F50" s="39"/>
      <c r="G50" s="10"/>
      <c r="H50" s="39"/>
      <c r="I50" s="39"/>
    </row>
    <row r="51" spans="2:31" x14ac:dyDescent="0.25">
      <c r="B51" s="16">
        <v>2000</v>
      </c>
      <c r="C51" s="16">
        <v>1879</v>
      </c>
      <c r="E51" s="39"/>
      <c r="F51" s="39"/>
      <c r="G51" s="10"/>
      <c r="H51" s="39"/>
      <c r="I51" s="39"/>
    </row>
    <row r="52" spans="2:31" x14ac:dyDescent="0.25">
      <c r="B52" s="16">
        <v>2100</v>
      </c>
      <c r="C52" s="16">
        <v>1956</v>
      </c>
      <c r="E52" s="39"/>
      <c r="F52" s="39"/>
      <c r="G52" s="10"/>
      <c r="H52" s="39"/>
      <c r="I52" s="39"/>
    </row>
    <row r="53" spans="2:31" x14ac:dyDescent="0.25">
      <c r="B53" s="16">
        <v>2200</v>
      </c>
      <c r="C53" s="16">
        <v>2031</v>
      </c>
      <c r="E53" s="39"/>
      <c r="F53" s="39"/>
      <c r="G53" s="10"/>
      <c r="H53" s="39"/>
      <c r="I53" s="39"/>
    </row>
    <row r="54" spans="2:31" x14ac:dyDescent="0.25">
      <c r="B54" s="16">
        <v>2300</v>
      </c>
      <c r="C54" s="16">
        <v>2104</v>
      </c>
      <c r="E54" s="39"/>
      <c r="F54" s="39"/>
      <c r="G54" s="10"/>
      <c r="H54" s="39"/>
      <c r="I54" s="39"/>
    </row>
    <row r="55" spans="2:31" x14ac:dyDescent="0.25">
      <c r="B55" s="16">
        <v>2400</v>
      </c>
      <c r="C55" s="16">
        <v>2175</v>
      </c>
      <c r="E55" s="39"/>
      <c r="F55" s="39"/>
      <c r="G55" s="10"/>
      <c r="H55" s="39"/>
      <c r="I55" s="39"/>
      <c r="AA55" s="37"/>
      <c r="AB55" s="37"/>
      <c r="AC55" s="38"/>
      <c r="AD55" s="38"/>
      <c r="AE55" s="37"/>
    </row>
    <row r="56" spans="2:31" x14ac:dyDescent="0.25">
      <c r="B56" s="16">
        <v>2500</v>
      </c>
      <c r="C56" s="16">
        <v>2244</v>
      </c>
      <c r="E56" s="39"/>
      <c r="F56" s="39"/>
      <c r="G56" s="10"/>
      <c r="H56" s="39"/>
      <c r="I56" s="39"/>
      <c r="AA56" s="37"/>
      <c r="AB56" s="37"/>
      <c r="AC56" s="38"/>
      <c r="AD56" s="38"/>
      <c r="AE56" s="37"/>
    </row>
    <row r="57" spans="2:31" x14ac:dyDescent="0.25">
      <c r="B57" s="16">
        <v>2600</v>
      </c>
      <c r="C57" s="16">
        <v>2311</v>
      </c>
      <c r="E57" s="39"/>
      <c r="F57" s="39"/>
      <c r="G57" s="10"/>
      <c r="H57" s="39"/>
      <c r="I57" s="39"/>
      <c r="AA57" s="37"/>
      <c r="AB57" s="37"/>
      <c r="AC57" s="38"/>
      <c r="AD57" s="38"/>
      <c r="AE57" s="37"/>
    </row>
    <row r="58" spans="2:31" x14ac:dyDescent="0.25">
      <c r="B58" s="16">
        <v>2700</v>
      </c>
      <c r="C58" s="16">
        <v>2376</v>
      </c>
      <c r="E58" s="39"/>
      <c r="F58" s="39"/>
      <c r="G58" s="10"/>
      <c r="H58" s="39"/>
      <c r="I58" s="39"/>
      <c r="AA58" s="37"/>
      <c r="AB58" s="37"/>
      <c r="AC58" s="38"/>
      <c r="AD58" s="38"/>
      <c r="AE58" s="37"/>
    </row>
    <row r="59" spans="2:31" x14ac:dyDescent="0.25">
      <c r="B59" s="16">
        <v>2800</v>
      </c>
      <c r="C59" s="16">
        <v>2439</v>
      </c>
      <c r="E59" s="39"/>
      <c r="F59" s="39"/>
      <c r="G59" s="10"/>
      <c r="H59" s="39"/>
      <c r="I59" s="39"/>
      <c r="AA59" s="37"/>
      <c r="AB59" s="37"/>
      <c r="AC59" s="38"/>
      <c r="AD59" s="38"/>
      <c r="AE59" s="37"/>
    </row>
    <row r="60" spans="2:31" x14ac:dyDescent="0.25">
      <c r="B60" s="16">
        <v>3500</v>
      </c>
      <c r="C60" s="16">
        <v>2500</v>
      </c>
      <c r="G60" s="10"/>
      <c r="AA60" s="37"/>
      <c r="AB60" s="37"/>
      <c r="AC60" s="38"/>
      <c r="AD60" s="38"/>
      <c r="AE60" s="37"/>
    </row>
    <row r="61" spans="2:31" x14ac:dyDescent="0.25">
      <c r="B61" s="16"/>
      <c r="C61" s="16"/>
      <c r="G61" s="10"/>
      <c r="AA61" s="37"/>
      <c r="AB61" s="37"/>
      <c r="AC61" s="38"/>
      <c r="AD61" s="38"/>
      <c r="AE61" s="37"/>
    </row>
    <row r="62" spans="2:31" x14ac:dyDescent="0.25">
      <c r="B62" s="16"/>
      <c r="C62" s="16"/>
      <c r="G62" s="10"/>
      <c r="AA62" s="37"/>
      <c r="AB62" s="37"/>
      <c r="AC62" s="38"/>
      <c r="AD62" s="38"/>
      <c r="AE62" s="37"/>
    </row>
    <row r="63" spans="2:31" x14ac:dyDescent="0.25">
      <c r="AA63" s="37"/>
      <c r="AB63" s="37"/>
      <c r="AC63" s="38"/>
      <c r="AD63" s="38"/>
      <c r="AE63" s="37"/>
    </row>
    <row r="64" spans="2:31" x14ac:dyDescent="0.25">
      <c r="AA64" s="37"/>
      <c r="AB64" s="37"/>
      <c r="AC64" s="38"/>
      <c r="AD64" s="38"/>
      <c r="AE64" s="37"/>
    </row>
    <row r="65" spans="2:31" x14ac:dyDescent="0.25">
      <c r="AA65" s="37"/>
      <c r="AB65" s="37"/>
      <c r="AC65" s="38"/>
      <c r="AD65" s="38"/>
      <c r="AE65" s="37"/>
    </row>
    <row r="66" spans="2:31" x14ac:dyDescent="0.25">
      <c r="AA66" s="37"/>
      <c r="AB66" s="37"/>
    </row>
    <row r="67" spans="2:31" x14ac:dyDescent="0.25">
      <c r="B67" s="59" t="s">
        <v>106</v>
      </c>
      <c r="C67" s="60"/>
      <c r="D67" s="60"/>
      <c r="E67" s="60"/>
      <c r="F67" s="60"/>
      <c r="G67" s="60"/>
      <c r="H67" t="s">
        <v>99</v>
      </c>
      <c r="I67" t="s">
        <v>99</v>
      </c>
      <c r="J67" t="s">
        <v>99</v>
      </c>
      <c r="K67" t="s">
        <v>99</v>
      </c>
      <c r="L67" t="s">
        <v>99</v>
      </c>
      <c r="M67" t="s">
        <v>99</v>
      </c>
      <c r="N67" s="61" t="s">
        <v>107</v>
      </c>
      <c r="O67" s="61"/>
      <c r="P67" s="61"/>
      <c r="Q67" s="61"/>
      <c r="R67" s="61"/>
      <c r="S67" s="61"/>
      <c r="T67" s="61"/>
      <c r="U67" t="s">
        <v>99</v>
      </c>
      <c r="Y67" s="62" t="s">
        <v>108</v>
      </c>
      <c r="Z67" s="63"/>
      <c r="AA67" s="63"/>
      <c r="AB67" s="63" t="s">
        <v>99</v>
      </c>
      <c r="AC67" s="63" t="s">
        <v>99</v>
      </c>
      <c r="AD67" s="63"/>
    </row>
    <row r="68" spans="2:31" x14ac:dyDescent="0.25">
      <c r="N68" s="37"/>
    </row>
    <row r="69" spans="2:31" x14ac:dyDescent="0.25">
      <c r="N69" s="37"/>
    </row>
    <row r="70" spans="2:31" x14ac:dyDescent="0.25">
      <c r="B70" s="60" t="str">
        <f t="array" ref="B70:C81">decode_json(calc_from_pwf_)</f>
        <v>q_liq_sm3day</v>
      </c>
      <c r="C70" s="60" t="str">
        <v>44,7162536763739</v>
      </c>
      <c r="N70" s="61" t="str">
        <f t="array" ref="N70:O81">decode_json(calc_from_pwh_)</f>
        <v>q_liq_sm3day</v>
      </c>
      <c r="O70" s="61" t="str">
        <v>42,0793791201188</v>
      </c>
      <c r="Y70" s="63" t="str">
        <f t="array" ref="Y70:Z82">[1]!decode_json(calc_)</f>
        <v>q_liq_sm3day</v>
      </c>
      <c r="Z70" s="63" t="str">
        <v>31,7192321777344</v>
      </c>
    </row>
    <row r="71" spans="2:31" x14ac:dyDescent="0.25">
      <c r="B71" s="60" t="str">
        <v>p_wf_atma</v>
      </c>
      <c r="C71" s="60" t="str">
        <v>100</v>
      </c>
      <c r="N71" s="61" t="str">
        <v>p_wf_atma</v>
      </c>
      <c r="O71" s="61" t="str">
        <v>109,481567382813</v>
      </c>
      <c r="Y71" s="63" t="str">
        <v>p_wf_atma</v>
      </c>
      <c r="Z71" s="63" t="str">
        <v>144,269226074219</v>
      </c>
    </row>
    <row r="72" spans="2:31" x14ac:dyDescent="0.25">
      <c r="B72" s="60" t="str">
        <v>p_intake_atma</v>
      </c>
      <c r="C72" s="60" t="str">
        <v>35,2138495777769</v>
      </c>
      <c r="N72" s="61" t="str">
        <v>p_intake_atma</v>
      </c>
      <c r="O72" s="61" t="str">
        <v>44,8068796538004</v>
      </c>
      <c r="Y72" s="63" t="str">
        <v>p_intake_atma</v>
      </c>
      <c r="Z72" s="63" t="str">
        <v>79,9964095000001</v>
      </c>
    </row>
    <row r="73" spans="2:31" x14ac:dyDescent="0.25">
      <c r="B73" s="60" t="str">
        <v>p_dis_atma</v>
      </c>
      <c r="C73" s="60" t="str">
        <v>93,7324311597881</v>
      </c>
      <c r="N73" s="61" t="str">
        <v>p_dis_atma</v>
      </c>
      <c r="O73" s="61" t="str">
        <v>156,501591254995</v>
      </c>
      <c r="Y73" s="63" t="str">
        <v>p_dis_atma</v>
      </c>
      <c r="Z73" s="63" t="str">
        <v>169,869022121266</v>
      </c>
    </row>
    <row r="74" spans="2:31" x14ac:dyDescent="0.25">
      <c r="B74" s="60" t="str">
        <v>p_buf_atma</v>
      </c>
      <c r="C74" s="60" t="str">
        <v>0,897099116365555</v>
      </c>
      <c r="N74" s="61" t="str">
        <v>p_buf_atma</v>
      </c>
      <c r="O74" s="61" t="str">
        <v>6,00637133648539</v>
      </c>
      <c r="Y74" s="63" t="str">
        <v>p_buf_atma</v>
      </c>
      <c r="Z74" s="63" t="str">
        <v>6,0041338172679</v>
      </c>
    </row>
    <row r="75" spans="2:31" x14ac:dyDescent="0.25">
      <c r="B75" s="60" t="str">
        <v>h_crit_m</v>
      </c>
      <c r="C75" s="60" t="str">
        <v>1475,97307853916</v>
      </c>
      <c r="N75" s="61" t="str">
        <v>h_crit_m</v>
      </c>
      <c r="O75" s="61" t="str">
        <v>1494,70618511185</v>
      </c>
      <c r="Y75" s="63" t="str">
        <v>h_crit_m</v>
      </c>
      <c r="Z75" s="63" t="str">
        <v>1560,01175984892</v>
      </c>
    </row>
    <row r="76" spans="2:31" x14ac:dyDescent="0.25">
      <c r="B76" s="60" t="str">
        <v>c_P</v>
      </c>
      <c r="C76" s="60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0.897099116365555,0.897099116365555,0.897099116365555,0.897099116365555,0.897099116365555,1.14173800669038,2.58956096674378,4.43856204480906,6.72850576023103,9.52003365838182,12.9644760073989,16.9198133555247,21.2974998181079,26.0260178637838,31.1674790720912,36.6929703876409,42.5819420621657,48.5406368152628,54.5072904057458,60.4369361398181,66.34050783779,73.097741539063,79.9941076721752,86.8737493059199,93.7324311597881,35.2138495777769,42.4987484753325,49.7567919374962,56.9904251873815,64.2014418700253,71.391203029413,78.5619311989926,85.7171514996841,92.8611406386492,100]}</v>
      </c>
      <c r="N76" s="61" t="str">
        <v>c_P</v>
      </c>
      <c r="O76" s="61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6.00637133648539,8.70504234578281,11.9117792150528,15.6237611791431,19.8784199177876,24.8099106863551,30.4131442814484,36.6451763425121,43.3969768090579,50.5902753233133,58.0885778777099,65.6156119857752,73.1020346727858,80.4937631556298,87.7669718210452,94.9445780599135,102.080219903341,109.057439850036,115.869962815977,122.512752345872,129.009880540822,135.856990370545,142.759351775935,149.642620768748,156.501591254995,44.8068796538004,52.0804654449757,59.3281802319995,66.5513573534804,73.7513189522945,80.9291867585155,88.0870793424471,95.2285331219197,102.357912598546,109.481567382813]}</v>
      </c>
      <c r="Y76" s="63" t="str">
        <v>c_P</v>
      </c>
      <c r="Z76" s="63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6.0041338172679,8.82983323388799,12.4952821155249,17.0221268179639,22.3958861953012,28.5807527751732,35.5231797534019,43.1534343635042,51.2780701545995,59.588872930989,67.8725427088157,76.0402377616006,84.0739645905982,91.9409813383738,99.6360270073112,107.189124980085,114.63964488565,121.906114456862,128.98660798449,135.879206641077,142.601786707242,149.436791213717,156.281717059708,163.097426662947,169.869022121266,79.9964095000001,87.2173195852251,94.4127531227288,101.583118296204,108.729061661992,115.851154310091,122.951915348275,130.047282278858,137.149736077684,144.269226074219]}</v>
      </c>
    </row>
    <row r="77" spans="2:31" x14ac:dyDescent="0.25">
      <c r="B77" s="60" t="str">
        <v>c_T</v>
      </c>
      <c r="C77" s="60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32.7998704335273,32.7998704335273,32.7998704335273,32.7998704335273,32.7998704335273,33.173249921082,35.1078996446621,37.2311301884257,39.6369975668185,42.4658758609218,45.849944858926,49.3368948547207,52.7605329189082,56.1247082251698,59.4432386033885,62.73103999377,66.0121398519184,69.3157315658442,72.6907061935008,76.2092417203376,79.9762256410072,84.1438765287275,88.8896593735845,94.4771345141459,101.289171795324,88.9967173631521,91.8990803591653,94.6830622469672,97.2923398699927,99.6436489270764,101.602511131368,102.969011725013,103.470603951502,102.687854361764,100]}</v>
      </c>
      <c r="N77" s="61" t="str">
        <v>c_T</v>
      </c>
      <c r="O77" s="61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24.363542262568,25.9559969372965,27.5694132617702,29.2152760139242,30.9114551142086,32.6866425937882,34.5838917709332,36.6697029651454,39.0412906892745,41.8462967839926,45.2325407381985,48.7283944319562,52.1590088682769,55.5290619011815,58.851078784091,62.1414254979705,65.4286038105138,68.7479610817715,72.1562011349841,75.7386634242208,79.6222836934481,83.9905158804058,89.0812829832614,95.2483663502779,103.014167976485,88.6123691377891,91.5506378897983,94.3826304775071,97.0538507906244,99.481594096471,101.529268817556,102.988216159364,103.565678094201,102.801900151035,100]}</v>
      </c>
      <c r="Y77" s="63" t="str">
        <v>c_T</v>
      </c>
      <c r="Z77" s="63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23.268136464297,24.8330720781284,26.40612659407,27.9940961625407,29.6081637620932,31.2681556366179,33.0105305162556,34.9023882267022,37.0637342242057,39.7041135691897,43.0713681374125,46.6009507627639,50.0609695873688,53.4526730223204,56.7866315767726,60.0786364679793,63.3611984100499,66.6797188527229,70.1179349039572,73.8200771693437,78.0318673271043,83.1566534991379,89.8418603502005,99.1691353982025,112.923927250433,86.9522882181579,90.0119829820539,93.0178488006611,95.928998786228,98.6744651010889,101.121556726066,103.035481045854,104.028953754803,103.414825255169,100]}</v>
      </c>
    </row>
    <row r="78" spans="2:31" x14ac:dyDescent="0.25">
      <c r="B78" s="60" t="str">
        <v>c_cas_P</v>
      </c>
      <c r="C78" s="60" t="str">
        <v>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1785.71428571429,1904.7619047619,1980.05450725331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11.7051652840234,11.8010867038762,11.8600865169389,12.7205098254679,14.4228871292711,16.5607552857304,22.6125555558667,28.8261563636128,35.2138495777769]}</v>
      </c>
      <c r="N78" s="61" t="str">
        <v>c_cas_P</v>
      </c>
      <c r="O78" s="61" t="str">
        <v>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1759.12250008761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11.6833345257977,12.2989954867018,15.9687953132406,20.0593222335837,22.8825209667862,25.1546133763135,31.5883537050913,38.1555244506911,44.8068796538004]}</v>
      </c>
      <c r="Y78" s="63" t="str">
        <v>c_cas_P</v>
      </c>
      <c r="Z78" s="63" t="str">
        <v>{"curve_x":"x","curve_y":"y","x":[0,119.047619047619,238.095238095238,357.142857142857,476.190476190476,595.238095238095,714.285714285714,833.333333333333,952.380952380952,1071.42857142857,1190.47619047619,1225.81946004283,1309.52380952381,1428.57142857143,1547.61904761905,1550,1666.66666666667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11.2144995944395,14.9129955778675,20.6723747997176,26.7905056545447,26.9149971768295,33.2050116908455,39.6773391068678,46.0524202023783,52.3485387714311,56.3768108699937,58.913126752111,65.953978658402,72.9829447310054,79.9964095000001]}</v>
      </c>
    </row>
    <row r="79" spans="2:31" x14ac:dyDescent="0.25">
      <c r="B79" s="60" t="str">
        <v>h_dyn_m</v>
      </c>
      <c r="C79" s="60" t="str">
        <v>1980,05450725331</v>
      </c>
      <c r="N79" s="61" t="str">
        <v>h_dyn_m</v>
      </c>
      <c r="O79" s="61" t="str">
        <v>1759,12250008761</v>
      </c>
      <c r="Y79" s="63" t="str">
        <v>h_dyn_m</v>
      </c>
      <c r="Z79" s="63" t="str">
        <v>1225,81946004283</v>
      </c>
    </row>
    <row r="80" spans="2:31" x14ac:dyDescent="0.25">
      <c r="B80" s="60" t="str">
        <v>gas_fraction at pump</v>
      </c>
      <c r="C80" s="60" t="str">
        <v>0,63080465573136</v>
      </c>
      <c r="N80" s="61" t="str">
        <v>gas_fraction at pump</v>
      </c>
      <c r="O80" s="61" t="str">
        <v>0,553692657663648</v>
      </c>
      <c r="Y80" s="63" t="str">
        <v>gas_fraction at pump</v>
      </c>
      <c r="Z80" s="63" t="str">
        <v>0,329729151842436</v>
      </c>
    </row>
    <row r="81" spans="2:32" x14ac:dyDescent="0.25">
      <c r="B81" s="60" t="str">
        <v>q_gas_cas_sm3day</v>
      </c>
      <c r="C81" s="60" t="str">
        <v>1053,49847825185</v>
      </c>
      <c r="N81" s="61" t="str">
        <v>q_gas_cas_sm3day</v>
      </c>
      <c r="O81" s="61" t="str">
        <v>942,316889054281</v>
      </c>
      <c r="Y81" s="63" t="str">
        <v>q_gas_cas_sm3day</v>
      </c>
      <c r="Z81" s="63" t="str">
        <v>560,592187075969</v>
      </c>
    </row>
    <row r="82" spans="2:32" x14ac:dyDescent="0.25">
      <c r="N82" s="37"/>
      <c r="Y82" s="63" t="str">
        <v>calibr_esp_head</v>
      </c>
      <c r="Z82" s="63" t="str">
        <v>0,534970703125</v>
      </c>
    </row>
    <row r="83" spans="2:32" x14ac:dyDescent="0.25">
      <c r="N83" s="37"/>
    </row>
    <row r="84" spans="2:32" x14ac:dyDescent="0.25">
      <c r="N84" s="37"/>
    </row>
    <row r="85" spans="2:32" x14ac:dyDescent="0.25">
      <c r="N85" s="37"/>
    </row>
    <row r="86" spans="2:32" x14ac:dyDescent="0.25">
      <c r="B86" s="42" t="str">
        <f t="array" ref="B86:C121">decode_json_crv(C76)</f>
        <v>x</v>
      </c>
      <c r="C86" s="42" t="str">
        <v>y</v>
      </c>
      <c r="D86" s="42"/>
      <c r="E86" s="42" t="str">
        <f t="array" ref="E86:F121">decode_json_crv(C77)</f>
        <v>x</v>
      </c>
      <c r="F86" s="42" t="str">
        <v>y</v>
      </c>
      <c r="G86" s="42"/>
      <c r="H86" s="42" t="str">
        <f t="array" ref="H86:I111">decode_json_crv(C78)</f>
        <v>x</v>
      </c>
      <c r="I86" s="42" t="str">
        <v>y</v>
      </c>
      <c r="N86" s="37" t="str">
        <f t="array" ref="N86:O121">decode_json_crv(O76)</f>
        <v>x</v>
      </c>
      <c r="O86" t="str">
        <v>y</v>
      </c>
      <c r="Q86" t="str">
        <f t="array" ref="Q86:R121">decode_json_crv(O77)</f>
        <v>x</v>
      </c>
      <c r="R86" t="str">
        <v>y</v>
      </c>
      <c r="T86" t="str">
        <f t="array" ref="T86:U111">decode_json_crv(O78)</f>
        <v>x</v>
      </c>
      <c r="U86" t="str">
        <v>y</v>
      </c>
      <c r="Y86" t="str">
        <f t="array" ref="Y86:Z121">decode_json_crv(Z76)</f>
        <v>x</v>
      </c>
      <c r="Z86" t="str">
        <v>y</v>
      </c>
      <c r="AB86" t="str">
        <f t="array" ref="AB86:AC121">decode_json_crv(Z77)</f>
        <v>x</v>
      </c>
      <c r="AC86" t="str">
        <v>y</v>
      </c>
      <c r="AE86" t="str">
        <f t="array" ref="AE86:AF111">decode_json_crv(Z78)</f>
        <v>x</v>
      </c>
      <c r="AF86" t="str">
        <v>y</v>
      </c>
    </row>
    <row r="87" spans="2:32" x14ac:dyDescent="0.25">
      <c r="B87" s="38">
        <v>0</v>
      </c>
      <c r="C87" s="38">
        <v>0.89709911636555495</v>
      </c>
      <c r="E87" s="38">
        <v>0</v>
      </c>
      <c r="F87" s="38">
        <v>32.799870433527303</v>
      </c>
      <c r="H87" s="38">
        <v>0</v>
      </c>
      <c r="I87" s="38">
        <v>10</v>
      </c>
      <c r="N87" s="37">
        <v>0</v>
      </c>
      <c r="O87" s="38">
        <v>6.0063713364853903</v>
      </c>
      <c r="Q87" s="37">
        <v>0</v>
      </c>
      <c r="R87" s="38">
        <v>24.363542262568</v>
      </c>
      <c r="T87" s="37">
        <v>0</v>
      </c>
      <c r="U87" s="38">
        <v>10</v>
      </c>
      <c r="Y87" s="38">
        <v>0</v>
      </c>
      <c r="Z87" s="38">
        <v>6.0041338172679</v>
      </c>
      <c r="AB87" s="38">
        <v>0</v>
      </c>
      <c r="AC87" s="38">
        <v>23.268136464297001</v>
      </c>
      <c r="AE87" s="38">
        <v>0</v>
      </c>
      <c r="AF87" s="38">
        <v>10</v>
      </c>
    </row>
    <row r="88" spans="2:32" x14ac:dyDescent="0.25">
      <c r="B88" s="38">
        <v>104.166666666667</v>
      </c>
      <c r="C88" s="38">
        <v>0.89709911636555495</v>
      </c>
      <c r="E88" s="38">
        <v>104.166666666667</v>
      </c>
      <c r="F88" s="38">
        <v>32.799870433527303</v>
      </c>
      <c r="H88" s="38">
        <v>119.04761904761899</v>
      </c>
      <c r="I88" s="38">
        <v>10.1167165975299</v>
      </c>
      <c r="N88" s="37">
        <v>104.166666666667</v>
      </c>
      <c r="O88" s="38">
        <v>8.7050423457828092</v>
      </c>
      <c r="Q88" s="37">
        <v>104.166666666667</v>
      </c>
      <c r="R88" s="38">
        <v>25.955996937296501</v>
      </c>
      <c r="T88" s="37">
        <v>119.04761904761899</v>
      </c>
      <c r="U88" s="38">
        <v>10.1167165975299</v>
      </c>
      <c r="Y88" s="38">
        <v>104.166666666667</v>
      </c>
      <c r="Z88" s="38">
        <v>8.8298332338879906</v>
      </c>
      <c r="AB88" s="38">
        <v>104.166666666667</v>
      </c>
      <c r="AC88" s="38">
        <v>24.833072078128399</v>
      </c>
      <c r="AE88" s="38">
        <v>119.04761904761899</v>
      </c>
      <c r="AF88" s="38">
        <v>10.1167165975299</v>
      </c>
    </row>
    <row r="89" spans="2:32" x14ac:dyDescent="0.25">
      <c r="B89" s="38">
        <v>208.333333333333</v>
      </c>
      <c r="C89" s="38">
        <v>0.89709911636555495</v>
      </c>
      <c r="E89" s="38">
        <v>208.333333333333</v>
      </c>
      <c r="F89" s="38">
        <v>32.799870433527303</v>
      </c>
      <c r="H89" s="38">
        <v>238.09523809523799</v>
      </c>
      <c r="I89" s="38">
        <v>10.234021213615501</v>
      </c>
      <c r="N89" s="38">
        <v>208.333333333333</v>
      </c>
      <c r="O89" s="38">
        <v>11.9117792150528</v>
      </c>
      <c r="Q89" s="38">
        <v>208.333333333333</v>
      </c>
      <c r="R89" s="38">
        <v>27.569413261770201</v>
      </c>
      <c r="T89" s="38">
        <v>238.09523809523799</v>
      </c>
      <c r="U89" s="38">
        <v>10.234021213615501</v>
      </c>
      <c r="Y89" s="38">
        <v>208.333333333333</v>
      </c>
      <c r="Z89" s="38">
        <v>12.495282115524899</v>
      </c>
      <c r="AB89" s="38">
        <v>208.333333333333</v>
      </c>
      <c r="AC89" s="38">
        <v>26.406126594069999</v>
      </c>
      <c r="AE89" s="38">
        <v>238.09523809523799</v>
      </c>
      <c r="AF89" s="38">
        <v>10.234021213615501</v>
      </c>
    </row>
    <row r="90" spans="2:32" x14ac:dyDescent="0.25">
      <c r="B90" s="38">
        <v>312.5</v>
      </c>
      <c r="C90" s="38">
        <v>0.89709911636555495</v>
      </c>
      <c r="E90" s="38">
        <v>312.5</v>
      </c>
      <c r="F90" s="38">
        <v>32.799870433527303</v>
      </c>
      <c r="H90" s="38">
        <v>357.142857142857</v>
      </c>
      <c r="I90" s="38">
        <v>10.3519285098354</v>
      </c>
      <c r="N90" s="38">
        <v>312.5</v>
      </c>
      <c r="O90" s="38">
        <v>15.6237611791431</v>
      </c>
      <c r="Q90" s="38">
        <v>312.5</v>
      </c>
      <c r="R90" s="38">
        <v>29.2152760139242</v>
      </c>
      <c r="T90" s="38">
        <v>357.142857142857</v>
      </c>
      <c r="U90" s="38">
        <v>10.3519285098354</v>
      </c>
      <c r="Y90" s="38">
        <v>312.5</v>
      </c>
      <c r="Z90" s="38">
        <v>17.022126817963901</v>
      </c>
      <c r="AB90" s="38">
        <v>312.5</v>
      </c>
      <c r="AC90" s="38">
        <v>27.9940961625407</v>
      </c>
      <c r="AE90" s="38">
        <v>357.142857142857</v>
      </c>
      <c r="AF90" s="38">
        <v>10.3519285098354</v>
      </c>
    </row>
    <row r="91" spans="2:32" x14ac:dyDescent="0.25">
      <c r="B91" s="38">
        <v>416.66666666666703</v>
      </c>
      <c r="C91" s="38">
        <v>0.89709911636555495</v>
      </c>
      <c r="E91" s="38">
        <v>416.66666666666703</v>
      </c>
      <c r="F91" s="38">
        <v>32.799870433527303</v>
      </c>
      <c r="H91" s="38">
        <v>476.19047619047598</v>
      </c>
      <c r="I91" s="38">
        <v>10.470448047353401</v>
      </c>
      <c r="N91" s="38">
        <v>416.66666666666703</v>
      </c>
      <c r="O91" s="38">
        <v>19.8784199177876</v>
      </c>
      <c r="Q91" s="38">
        <v>416.66666666666703</v>
      </c>
      <c r="R91" s="38">
        <v>30.9114551142086</v>
      </c>
      <c r="T91" s="38">
        <v>476.19047619047598</v>
      </c>
      <c r="U91" s="38">
        <v>10.470448047353401</v>
      </c>
      <c r="Y91" s="38">
        <v>416.66666666666703</v>
      </c>
      <c r="Z91" s="38">
        <v>22.395886195301198</v>
      </c>
      <c r="AB91" s="38">
        <v>416.66666666666703</v>
      </c>
      <c r="AC91" s="38">
        <v>29.608163762093199</v>
      </c>
      <c r="AE91" s="38">
        <v>476.19047619047598</v>
      </c>
      <c r="AF91" s="38">
        <v>10.470448047353401</v>
      </c>
    </row>
    <row r="92" spans="2:32" x14ac:dyDescent="0.25">
      <c r="B92" s="38">
        <v>520.83333333333303</v>
      </c>
      <c r="C92" s="38">
        <v>1.1417380066903799</v>
      </c>
      <c r="E92" s="38">
        <v>520.83333333333303</v>
      </c>
      <c r="F92" s="38">
        <v>33.173249921081997</v>
      </c>
      <c r="H92" s="38">
        <v>595.23809523809496</v>
      </c>
      <c r="I92" s="38">
        <v>10.589553992399599</v>
      </c>
      <c r="N92" s="38">
        <v>520.83333333333303</v>
      </c>
      <c r="O92" s="38">
        <v>24.809910686355099</v>
      </c>
      <c r="Q92" s="38">
        <v>520.83333333333303</v>
      </c>
      <c r="R92" s="38">
        <v>32.6866425937882</v>
      </c>
      <c r="T92" s="38">
        <v>595.23809523809496</v>
      </c>
      <c r="U92" s="38">
        <v>10.589553992399599</v>
      </c>
      <c r="Y92" s="38">
        <v>520.83333333333303</v>
      </c>
      <c r="Z92" s="38">
        <v>28.580752775173199</v>
      </c>
      <c r="AB92" s="38">
        <v>520.83333333333303</v>
      </c>
      <c r="AC92" s="38">
        <v>31.268155636617902</v>
      </c>
      <c r="AE92" s="38">
        <v>595.23809523809496</v>
      </c>
      <c r="AF92" s="38">
        <v>10.589553992399599</v>
      </c>
    </row>
    <row r="93" spans="2:32" x14ac:dyDescent="0.25">
      <c r="B93" s="38">
        <v>625</v>
      </c>
      <c r="C93" s="38">
        <v>2.5895609667437798</v>
      </c>
      <c r="E93" s="38">
        <v>625</v>
      </c>
      <c r="F93" s="38">
        <v>35.107899644662098</v>
      </c>
      <c r="H93" s="38">
        <v>714.28571428571399</v>
      </c>
      <c r="I93" s="38">
        <v>10.709276112990899</v>
      </c>
      <c r="N93" s="38">
        <v>625</v>
      </c>
      <c r="O93" s="38">
        <v>30.4131442814484</v>
      </c>
      <c r="Q93" s="38">
        <v>625</v>
      </c>
      <c r="R93" s="38">
        <v>34.583891770933199</v>
      </c>
      <c r="T93" s="38">
        <v>714.28571428571399</v>
      </c>
      <c r="U93" s="38">
        <v>10.709276112990899</v>
      </c>
      <c r="Y93" s="38">
        <v>625</v>
      </c>
      <c r="Z93" s="38">
        <v>35.523179753401898</v>
      </c>
      <c r="AB93" s="38">
        <v>625</v>
      </c>
      <c r="AC93" s="38">
        <v>33.010530516255599</v>
      </c>
      <c r="AE93" s="38">
        <v>714.28571428571399</v>
      </c>
      <c r="AF93" s="38">
        <v>10.709276112990899</v>
      </c>
    </row>
    <row r="94" spans="2:32" x14ac:dyDescent="0.25">
      <c r="B94" s="38">
        <v>729.16666666666697</v>
      </c>
      <c r="C94" s="38">
        <v>4.4385620448090597</v>
      </c>
      <c r="E94" s="38">
        <v>729.16666666666697</v>
      </c>
      <c r="F94" s="38">
        <v>37.231130188425702</v>
      </c>
      <c r="H94" s="38">
        <v>833.33333333333303</v>
      </c>
      <c r="I94" s="38">
        <v>10.8295936596112</v>
      </c>
      <c r="N94" s="38">
        <v>729.16666666666697</v>
      </c>
      <c r="O94" s="38">
        <v>36.645176342512102</v>
      </c>
      <c r="Q94" s="38">
        <v>729.16666666666697</v>
      </c>
      <c r="R94" s="38">
        <v>36.669702965145397</v>
      </c>
      <c r="T94" s="38">
        <v>833.33333333333303</v>
      </c>
      <c r="U94" s="38">
        <v>10.8295936596112</v>
      </c>
      <c r="Y94" s="38">
        <v>729.16666666666697</v>
      </c>
      <c r="Z94" s="38">
        <v>43.153434363504203</v>
      </c>
      <c r="AB94" s="38">
        <v>729.16666666666697</v>
      </c>
      <c r="AC94" s="38">
        <v>34.9023882267022</v>
      </c>
      <c r="AE94" s="38">
        <v>833.33333333333303</v>
      </c>
      <c r="AF94" s="38">
        <v>10.8295936596112</v>
      </c>
    </row>
    <row r="95" spans="2:32" x14ac:dyDescent="0.25">
      <c r="B95" s="38">
        <v>833.33333333333303</v>
      </c>
      <c r="C95" s="38">
        <v>6.7285057602310303</v>
      </c>
      <c r="E95" s="38">
        <v>833.33333333333303</v>
      </c>
      <c r="F95" s="38">
        <v>39.636997566818501</v>
      </c>
      <c r="H95" s="38">
        <v>952.38095238095195</v>
      </c>
      <c r="I95" s="38">
        <v>10.950273383387501</v>
      </c>
      <c r="N95" s="38">
        <v>833.33333333333303</v>
      </c>
      <c r="O95" s="38">
        <v>43.396976809057897</v>
      </c>
      <c r="Q95" s="38">
        <v>833.33333333333303</v>
      </c>
      <c r="R95" s="38">
        <v>39.041290689274497</v>
      </c>
      <c r="T95" s="38">
        <v>952.38095238095195</v>
      </c>
      <c r="U95" s="38">
        <v>10.950273383387501</v>
      </c>
      <c r="Y95" s="38">
        <v>833.33333333333303</v>
      </c>
      <c r="Z95" s="38">
        <v>51.278070154599497</v>
      </c>
      <c r="AB95" s="38">
        <v>833.33333333333303</v>
      </c>
      <c r="AC95" s="38">
        <v>37.063734224205703</v>
      </c>
      <c r="AE95" s="38">
        <v>952.38095238095195</v>
      </c>
      <c r="AF95" s="38">
        <v>10.950273383387501</v>
      </c>
    </row>
    <row r="96" spans="2:32" x14ac:dyDescent="0.25">
      <c r="B96" s="38">
        <v>937.5</v>
      </c>
      <c r="C96" s="38">
        <v>9.5200336583818199</v>
      </c>
      <c r="E96" s="38">
        <v>937.5</v>
      </c>
      <c r="F96" s="38">
        <v>42.465875860921798</v>
      </c>
      <c r="H96" s="38">
        <v>1071.42857142857</v>
      </c>
      <c r="I96" s="38">
        <v>11.0672325290373</v>
      </c>
      <c r="N96" s="38">
        <v>937.5</v>
      </c>
      <c r="O96" s="38">
        <v>50.5902753233133</v>
      </c>
      <c r="Q96" s="38">
        <v>937.5</v>
      </c>
      <c r="R96" s="38">
        <v>41.846296783992599</v>
      </c>
      <c r="T96" s="38">
        <v>1071.42857142857</v>
      </c>
      <c r="U96" s="38">
        <v>11.0672325290373</v>
      </c>
      <c r="Y96" s="38">
        <v>937.5</v>
      </c>
      <c r="Z96" s="38">
        <v>59.588872930988998</v>
      </c>
      <c r="AB96" s="38">
        <v>937.5</v>
      </c>
      <c r="AC96" s="38">
        <v>39.704113569189701</v>
      </c>
      <c r="AE96" s="38">
        <v>1071.42857142857</v>
      </c>
      <c r="AF96" s="38">
        <v>11.0672325290373</v>
      </c>
    </row>
    <row r="97" spans="2:32" x14ac:dyDescent="0.25">
      <c r="B97" s="38">
        <v>1041.6666666666699</v>
      </c>
      <c r="C97" s="38">
        <v>12.9644760073989</v>
      </c>
      <c r="E97" s="38">
        <v>1041.6666666666699</v>
      </c>
      <c r="F97" s="38">
        <v>45.849944858926001</v>
      </c>
      <c r="H97" s="38">
        <v>1190.4761904761899</v>
      </c>
      <c r="I97" s="38">
        <v>11.181295767210701</v>
      </c>
      <c r="N97" s="38">
        <v>1041.6666666666699</v>
      </c>
      <c r="O97" s="38">
        <v>58.088577877709902</v>
      </c>
      <c r="Q97" s="38">
        <v>1041.6666666666699</v>
      </c>
      <c r="R97" s="38">
        <v>45.232540738198502</v>
      </c>
      <c r="T97" s="38">
        <v>1190.4761904761899</v>
      </c>
      <c r="U97" s="38">
        <v>11.181295767210701</v>
      </c>
      <c r="Y97" s="38">
        <v>1041.6666666666699</v>
      </c>
      <c r="Z97" s="38">
        <v>67.872542708815701</v>
      </c>
      <c r="AB97" s="38">
        <v>1041.6666666666699</v>
      </c>
      <c r="AC97" s="38">
        <v>43.071368137412499</v>
      </c>
      <c r="AE97" s="38">
        <v>1190.4761904761899</v>
      </c>
      <c r="AF97" s="38">
        <v>11.181295767210701</v>
      </c>
    </row>
    <row r="98" spans="2:32" x14ac:dyDescent="0.25">
      <c r="B98" s="37">
        <v>1145.8333333333301</v>
      </c>
      <c r="C98" s="38">
        <v>16.919813355524699</v>
      </c>
      <c r="E98" s="38">
        <v>1145.8333333333301</v>
      </c>
      <c r="F98" s="38">
        <v>49.336894854720697</v>
      </c>
      <c r="H98" s="38">
        <v>1309.5238095238101</v>
      </c>
      <c r="I98" s="38">
        <v>11.2920621399869</v>
      </c>
      <c r="N98" s="38">
        <v>1145.8333333333301</v>
      </c>
      <c r="O98" s="38">
        <v>65.615611985775203</v>
      </c>
      <c r="Q98" s="38">
        <v>1145.8333333333301</v>
      </c>
      <c r="R98" s="38">
        <v>48.728394431956197</v>
      </c>
      <c r="T98" s="38">
        <v>1309.5238095238101</v>
      </c>
      <c r="U98" s="38">
        <v>11.2920621399869</v>
      </c>
      <c r="Y98" s="38">
        <v>1145.8333333333301</v>
      </c>
      <c r="Z98" s="38">
        <v>76.040237761600594</v>
      </c>
      <c r="AB98" s="38">
        <v>1145.8333333333301</v>
      </c>
      <c r="AC98" s="38">
        <v>46.600950762763901</v>
      </c>
      <c r="AE98" s="38">
        <v>1225.8194600428301</v>
      </c>
      <c r="AF98" s="38">
        <v>11.2144995944395</v>
      </c>
    </row>
    <row r="99" spans="2:32" x14ac:dyDescent="0.25">
      <c r="B99" s="37">
        <v>1250</v>
      </c>
      <c r="C99" s="38">
        <v>21.297499818107902</v>
      </c>
      <c r="E99" s="38">
        <v>1250</v>
      </c>
      <c r="F99" s="38">
        <v>52.760532918908197</v>
      </c>
      <c r="H99" s="38">
        <v>1428.57142857143</v>
      </c>
      <c r="I99" s="38">
        <v>11.399501297395201</v>
      </c>
      <c r="N99" s="38">
        <v>1250</v>
      </c>
      <c r="O99" s="38">
        <v>73.102034672785805</v>
      </c>
      <c r="Q99" s="38">
        <v>1250</v>
      </c>
      <c r="R99" s="38">
        <v>52.159008868276899</v>
      </c>
      <c r="T99" s="38">
        <v>1428.57142857143</v>
      </c>
      <c r="U99" s="38">
        <v>11.399501297395201</v>
      </c>
      <c r="Y99" s="38">
        <v>1250</v>
      </c>
      <c r="Z99" s="38">
        <v>84.073964590598194</v>
      </c>
      <c r="AB99" s="38">
        <v>1250</v>
      </c>
      <c r="AC99" s="38">
        <v>50.060969587368803</v>
      </c>
      <c r="AE99" s="38">
        <v>1309.5238095238101</v>
      </c>
      <c r="AF99" s="38">
        <v>14.9129955778675</v>
      </c>
    </row>
    <row r="100" spans="2:32" x14ac:dyDescent="0.25">
      <c r="B100" s="37">
        <v>1354.1666666666699</v>
      </c>
      <c r="C100" s="38">
        <v>26.0260178637838</v>
      </c>
      <c r="E100" s="38">
        <v>1354.1666666666699</v>
      </c>
      <c r="F100" s="38">
        <v>56.124708225169798</v>
      </c>
      <c r="H100" s="38">
        <v>1547.61904761905</v>
      </c>
      <c r="I100" s="38">
        <v>11.5040011741411</v>
      </c>
      <c r="N100" s="38">
        <v>1354.1666666666699</v>
      </c>
      <c r="O100" s="38">
        <v>80.493763155629793</v>
      </c>
      <c r="Q100" s="38">
        <v>1354.1666666666699</v>
      </c>
      <c r="R100" s="38">
        <v>55.5290619011815</v>
      </c>
      <c r="T100" s="38">
        <v>1547.61904761905</v>
      </c>
      <c r="U100" s="38">
        <v>11.5040011741411</v>
      </c>
      <c r="Y100" s="38">
        <v>1354.1666666666699</v>
      </c>
      <c r="Z100" s="38">
        <v>91.940981338373803</v>
      </c>
      <c r="AB100" s="38">
        <v>1354.1666666666699</v>
      </c>
      <c r="AC100" s="38">
        <v>53.452673022320397</v>
      </c>
      <c r="AE100" s="38">
        <v>1428.57142857143</v>
      </c>
      <c r="AF100" s="38">
        <v>20.672374799717598</v>
      </c>
    </row>
    <row r="101" spans="2:32" x14ac:dyDescent="0.25">
      <c r="B101" s="37">
        <v>1458.3333333333301</v>
      </c>
      <c r="C101" s="38">
        <v>31.167479072091201</v>
      </c>
      <c r="E101" s="38">
        <v>1458.3333333333301</v>
      </c>
      <c r="F101" s="38">
        <v>59.443238603388501</v>
      </c>
      <c r="H101" s="38">
        <v>1550</v>
      </c>
      <c r="I101" s="38">
        <v>11.5060769760148</v>
      </c>
      <c r="N101" s="38">
        <v>1458.3333333333301</v>
      </c>
      <c r="O101" s="38">
        <v>87.766971821045203</v>
      </c>
      <c r="Q101" s="38">
        <v>1458.3333333333301</v>
      </c>
      <c r="R101" s="38">
        <v>58.851078784091001</v>
      </c>
      <c r="T101" s="38">
        <v>1550</v>
      </c>
      <c r="U101" s="38">
        <v>11.5060769760148</v>
      </c>
      <c r="Y101" s="38">
        <v>1458.3333333333301</v>
      </c>
      <c r="Z101" s="38">
        <v>99.636027007311199</v>
      </c>
      <c r="AB101" s="38">
        <v>1458.3333333333301</v>
      </c>
      <c r="AC101" s="38">
        <v>56.786631576772599</v>
      </c>
      <c r="AE101" s="38">
        <v>1547.61904761905</v>
      </c>
      <c r="AF101" s="38">
        <v>26.790505654544699</v>
      </c>
    </row>
    <row r="102" spans="2:32" x14ac:dyDescent="0.25">
      <c r="B102" s="37">
        <v>1562.5</v>
      </c>
      <c r="C102" s="38">
        <v>36.692970387640898</v>
      </c>
      <c r="E102" s="38">
        <v>1562.5</v>
      </c>
      <c r="F102" s="38">
        <v>62.731039993769997</v>
      </c>
      <c r="H102" s="38">
        <v>1666.6666666666699</v>
      </c>
      <c r="I102" s="38">
        <v>11.6061351613084</v>
      </c>
      <c r="N102" s="38">
        <v>1562.5</v>
      </c>
      <c r="O102" s="38">
        <v>94.944578059913496</v>
      </c>
      <c r="Q102" s="38">
        <v>1562.5</v>
      </c>
      <c r="R102" s="38">
        <v>62.141425497970502</v>
      </c>
      <c r="T102" s="38">
        <v>1666.6666666666699</v>
      </c>
      <c r="U102" s="38">
        <v>11.6061351613084</v>
      </c>
      <c r="Y102" s="38">
        <v>1562.5</v>
      </c>
      <c r="Z102" s="38">
        <v>107.189124980085</v>
      </c>
      <c r="AB102" s="38">
        <v>1562.5</v>
      </c>
      <c r="AC102" s="38">
        <v>60.078636467979301</v>
      </c>
      <c r="AE102" s="38">
        <v>1550</v>
      </c>
      <c r="AF102" s="38">
        <v>26.914997176829502</v>
      </c>
    </row>
    <row r="103" spans="2:32" x14ac:dyDescent="0.25">
      <c r="B103" s="37">
        <v>1666.6666666666699</v>
      </c>
      <c r="C103" s="38">
        <v>42.581942062165702</v>
      </c>
      <c r="E103" s="38">
        <v>1666.6666666666699</v>
      </c>
      <c r="F103" s="38">
        <v>66.012139851918405</v>
      </c>
      <c r="H103" s="38">
        <v>1785.7142857142901</v>
      </c>
      <c r="I103" s="38">
        <v>11.7051652840234</v>
      </c>
      <c r="N103" s="38">
        <v>1666.6666666666699</v>
      </c>
      <c r="O103" s="38">
        <v>102.080219903341</v>
      </c>
      <c r="Q103" s="38">
        <v>1666.6666666666699</v>
      </c>
      <c r="R103" s="38">
        <v>65.428603810513806</v>
      </c>
      <c r="T103" s="38">
        <v>1759.12250008761</v>
      </c>
      <c r="U103" s="38">
        <v>11.683334525797701</v>
      </c>
      <c r="Y103" s="38">
        <v>1666.6666666666699</v>
      </c>
      <c r="Z103" s="38">
        <v>114.63964488565</v>
      </c>
      <c r="AB103" s="38">
        <v>1666.6666666666699</v>
      </c>
      <c r="AC103" s="38">
        <v>63.361198410049901</v>
      </c>
      <c r="AE103" s="38">
        <v>1666.6666666666699</v>
      </c>
      <c r="AF103" s="38">
        <v>33.205011690845502</v>
      </c>
    </row>
    <row r="104" spans="2:32" x14ac:dyDescent="0.25">
      <c r="B104" s="37">
        <v>1770.8333333333301</v>
      </c>
      <c r="C104" s="38">
        <v>48.5406368152628</v>
      </c>
      <c r="E104" s="38">
        <v>1770.8333333333301</v>
      </c>
      <c r="F104" s="38">
        <v>69.315731565844203</v>
      </c>
      <c r="H104" s="38">
        <v>1904.7619047619</v>
      </c>
      <c r="I104" s="38">
        <v>11.8010867038762</v>
      </c>
      <c r="N104" s="38">
        <v>1770.8333333333301</v>
      </c>
      <c r="O104" s="38">
        <v>109.057439850036</v>
      </c>
      <c r="Q104" s="38">
        <v>1770.8333333333301</v>
      </c>
      <c r="R104" s="38">
        <v>68.747961081771507</v>
      </c>
      <c r="T104" s="38">
        <v>1785.7142857142901</v>
      </c>
      <c r="U104" s="38">
        <v>12.2989954867018</v>
      </c>
      <c r="Y104" s="38">
        <v>1770.8333333333301</v>
      </c>
      <c r="Z104" s="38">
        <v>121.906114456862</v>
      </c>
      <c r="AB104" s="38">
        <v>1770.8333333333301</v>
      </c>
      <c r="AC104" s="38">
        <v>66.6797188527229</v>
      </c>
      <c r="AE104" s="38">
        <v>1785.7142857142901</v>
      </c>
      <c r="AF104" s="38">
        <v>39.677339106867798</v>
      </c>
    </row>
    <row r="105" spans="2:32" x14ac:dyDescent="0.25">
      <c r="B105" s="37">
        <v>1875</v>
      </c>
      <c r="C105" s="38">
        <v>54.507290405745799</v>
      </c>
      <c r="E105" s="38">
        <v>1875</v>
      </c>
      <c r="F105" s="38">
        <v>72.690706193500802</v>
      </c>
      <c r="H105" s="38">
        <v>1980.05450725331</v>
      </c>
      <c r="I105" s="38">
        <v>11.8600865169389</v>
      </c>
      <c r="N105" s="38">
        <v>1875</v>
      </c>
      <c r="O105" s="38">
        <v>115.869962815977</v>
      </c>
      <c r="Q105" s="38">
        <v>1875</v>
      </c>
      <c r="R105" s="38">
        <v>72.156201134984101</v>
      </c>
      <c r="T105" s="38">
        <v>1904.7619047619</v>
      </c>
      <c r="U105" s="38">
        <v>15.9687953132406</v>
      </c>
      <c r="Y105" s="38">
        <v>1875</v>
      </c>
      <c r="Z105" s="38">
        <v>128.98660798449001</v>
      </c>
      <c r="AB105" s="38">
        <v>1875</v>
      </c>
      <c r="AC105" s="38">
        <v>70.117934903957206</v>
      </c>
      <c r="AE105" s="38">
        <v>1904.7619047619</v>
      </c>
      <c r="AF105" s="38">
        <v>46.0524202023783</v>
      </c>
    </row>
    <row r="106" spans="2:32" x14ac:dyDescent="0.25">
      <c r="B106" s="37">
        <v>1979.1666666666699</v>
      </c>
      <c r="C106" s="38">
        <v>60.436936139818101</v>
      </c>
      <c r="E106" s="38">
        <v>1979.1666666666699</v>
      </c>
      <c r="F106" s="38">
        <v>76.209241720337602</v>
      </c>
      <c r="H106" s="38">
        <v>2023.80952380952</v>
      </c>
      <c r="I106" s="38">
        <v>12.7205098254679</v>
      </c>
      <c r="N106" s="38">
        <v>1979.1666666666699</v>
      </c>
      <c r="O106" s="38">
        <v>122.512752345872</v>
      </c>
      <c r="Q106" s="38">
        <v>1979.1666666666699</v>
      </c>
      <c r="R106" s="38">
        <v>75.738663424220803</v>
      </c>
      <c r="T106" s="38">
        <v>2023.80952380952</v>
      </c>
      <c r="U106" s="38">
        <v>20.0593222335837</v>
      </c>
      <c r="Y106" s="38">
        <v>1979.1666666666699</v>
      </c>
      <c r="Z106" s="38">
        <v>135.87920664107699</v>
      </c>
      <c r="AB106" s="38">
        <v>1979.1666666666699</v>
      </c>
      <c r="AC106" s="38">
        <v>73.820077169343705</v>
      </c>
      <c r="AE106" s="38">
        <v>2023.80952380952</v>
      </c>
      <c r="AF106" s="38">
        <v>52.348538771431102</v>
      </c>
    </row>
    <row r="107" spans="2:32" x14ac:dyDescent="0.25">
      <c r="B107" s="37">
        <v>2083.3333333333298</v>
      </c>
      <c r="C107" s="38">
        <v>66.34050783779</v>
      </c>
      <c r="E107" s="38">
        <v>2083.3333333333298</v>
      </c>
      <c r="F107" s="38">
        <v>79.976225641007204</v>
      </c>
      <c r="H107" s="38">
        <v>2100</v>
      </c>
      <c r="I107" s="38">
        <v>14.4228871292711</v>
      </c>
      <c r="N107" s="38">
        <v>2083.3333333333298</v>
      </c>
      <c r="O107" s="38">
        <v>129.009880540822</v>
      </c>
      <c r="Q107" s="38">
        <v>2083.3333333333298</v>
      </c>
      <c r="R107" s="38">
        <v>79.622283693448097</v>
      </c>
      <c r="T107" s="38">
        <v>2100</v>
      </c>
      <c r="U107" s="38">
        <v>22.882520966786199</v>
      </c>
      <c r="Y107" s="38">
        <v>2083.3333333333298</v>
      </c>
      <c r="Z107" s="38">
        <v>142.60178670724201</v>
      </c>
      <c r="AB107" s="38">
        <v>2083.3333333333298</v>
      </c>
      <c r="AC107" s="38">
        <v>78.031867327104294</v>
      </c>
      <c r="AE107" s="38">
        <v>2100</v>
      </c>
      <c r="AF107" s="38">
        <v>56.376810869993697</v>
      </c>
    </row>
    <row r="108" spans="2:32" x14ac:dyDescent="0.25">
      <c r="B108" s="37">
        <v>2187.5</v>
      </c>
      <c r="C108" s="38">
        <v>73.097741539062994</v>
      </c>
      <c r="E108" s="38">
        <v>2187.5</v>
      </c>
      <c r="F108" s="38">
        <v>84.143876528727503</v>
      </c>
      <c r="H108" s="38">
        <v>2142.8571428571399</v>
      </c>
      <c r="I108" s="38">
        <v>16.560755285730401</v>
      </c>
      <c r="N108" s="38">
        <v>2187.5</v>
      </c>
      <c r="O108" s="38">
        <v>135.85699037054499</v>
      </c>
      <c r="Q108" s="38">
        <v>2187.5</v>
      </c>
      <c r="R108" s="38">
        <v>83.990515880405795</v>
      </c>
      <c r="T108" s="38">
        <v>2142.8571428571399</v>
      </c>
      <c r="U108" s="38">
        <v>25.154613376313499</v>
      </c>
      <c r="Y108" s="38">
        <v>2187.5</v>
      </c>
      <c r="Z108" s="38">
        <v>149.43679121371699</v>
      </c>
      <c r="AB108" s="38">
        <v>2187.5</v>
      </c>
      <c r="AC108" s="38">
        <v>83.156653499137903</v>
      </c>
      <c r="AE108" s="38">
        <v>2142.8571428571399</v>
      </c>
      <c r="AF108" s="38">
        <v>58.913126752110998</v>
      </c>
    </row>
    <row r="109" spans="2:32" x14ac:dyDescent="0.25">
      <c r="B109" s="37">
        <v>2291.6666666666702</v>
      </c>
      <c r="C109" s="38">
        <v>79.994107672175204</v>
      </c>
      <c r="E109" s="38">
        <v>2291.6666666666702</v>
      </c>
      <c r="F109" s="38">
        <v>88.889659373584493</v>
      </c>
      <c r="H109" s="38">
        <v>2261.9047619047601</v>
      </c>
      <c r="I109" s="38">
        <v>22.612555555866699</v>
      </c>
      <c r="N109" s="38">
        <v>2291.6666666666702</v>
      </c>
      <c r="O109" s="38">
        <v>142.75935177593499</v>
      </c>
      <c r="Q109" s="38">
        <v>2291.6666666666702</v>
      </c>
      <c r="R109" s="38">
        <v>89.081282983261403</v>
      </c>
      <c r="T109" s="38">
        <v>2261.9047619047601</v>
      </c>
      <c r="U109" s="38">
        <v>31.588353705091301</v>
      </c>
      <c r="Y109" s="38">
        <v>2291.6666666666702</v>
      </c>
      <c r="Z109" s="38">
        <v>156.281717059708</v>
      </c>
      <c r="AB109" s="38">
        <v>2291.6666666666702</v>
      </c>
      <c r="AC109" s="38">
        <v>89.841860350200506</v>
      </c>
      <c r="AE109" s="38">
        <v>2261.9047619047601</v>
      </c>
      <c r="AF109" s="38">
        <v>65.953978658401994</v>
      </c>
    </row>
    <row r="110" spans="2:32" x14ac:dyDescent="0.25">
      <c r="B110" s="37">
        <v>2395.8333333333298</v>
      </c>
      <c r="C110" s="38">
        <v>86.873749305919901</v>
      </c>
      <c r="E110" s="38">
        <v>2395.8333333333298</v>
      </c>
      <c r="F110" s="38">
        <v>94.477134514145902</v>
      </c>
      <c r="H110" s="38">
        <v>2380.9523809523798</v>
      </c>
      <c r="I110" s="38">
        <v>28.8261563636128</v>
      </c>
      <c r="N110" s="38">
        <v>2395.8333333333298</v>
      </c>
      <c r="O110" s="38">
        <v>149.642620768748</v>
      </c>
      <c r="Q110" s="38">
        <v>2395.8333333333298</v>
      </c>
      <c r="R110" s="38">
        <v>95.248366350277905</v>
      </c>
      <c r="T110" s="38">
        <v>2380.9523809523798</v>
      </c>
      <c r="U110" s="38">
        <v>38.155524450691097</v>
      </c>
      <c r="Y110" s="38">
        <v>2395.8333333333298</v>
      </c>
      <c r="Z110" s="38">
        <v>163.09742666294699</v>
      </c>
      <c r="AB110" s="38">
        <v>2395.8333333333298</v>
      </c>
      <c r="AC110" s="38">
        <v>99.169135398202499</v>
      </c>
      <c r="AE110" s="38">
        <v>2380.9523809523798</v>
      </c>
      <c r="AF110" s="38">
        <v>72.982944731005404</v>
      </c>
    </row>
    <row r="111" spans="2:32" x14ac:dyDescent="0.25">
      <c r="B111" s="37">
        <v>2500</v>
      </c>
      <c r="C111" s="38">
        <v>93.732431159788106</v>
      </c>
      <c r="E111" s="38">
        <v>2500</v>
      </c>
      <c r="F111" s="38">
        <v>101.28917179532399</v>
      </c>
      <c r="H111" s="38">
        <v>2500</v>
      </c>
      <c r="I111" s="38">
        <v>35.213849577776898</v>
      </c>
      <c r="N111" s="38">
        <v>2500</v>
      </c>
      <c r="O111" s="38">
        <v>156.50159125499499</v>
      </c>
      <c r="Q111" s="38">
        <v>2500</v>
      </c>
      <c r="R111" s="38">
        <v>103.014167976485</v>
      </c>
      <c r="T111" s="38">
        <v>2500</v>
      </c>
      <c r="U111" s="38">
        <v>44.806879653800401</v>
      </c>
      <c r="Y111" s="38">
        <v>2500</v>
      </c>
      <c r="Z111" s="38">
        <v>169.869022121266</v>
      </c>
      <c r="AB111" s="38">
        <v>2500</v>
      </c>
      <c r="AC111" s="38">
        <v>112.923927250433</v>
      </c>
      <c r="AE111" s="38">
        <v>2500</v>
      </c>
      <c r="AF111" s="38">
        <v>79.996409500000098</v>
      </c>
    </row>
    <row r="112" spans="2:32" x14ac:dyDescent="0.25">
      <c r="B112" s="37">
        <v>2501</v>
      </c>
      <c r="C112" s="38">
        <v>35.213849577776898</v>
      </c>
      <c r="E112" s="38">
        <v>2501</v>
      </c>
      <c r="F112" s="38">
        <v>88.996717363152101</v>
      </c>
      <c r="N112" s="38">
        <v>2501</v>
      </c>
      <c r="O112" s="38">
        <v>44.806879653800401</v>
      </c>
      <c r="Q112" s="38">
        <v>2501</v>
      </c>
      <c r="R112" s="38">
        <v>88.612369137789102</v>
      </c>
      <c r="Y112" s="38">
        <v>2501</v>
      </c>
      <c r="Z112" s="38">
        <v>79.996409500000098</v>
      </c>
      <c r="AB112" s="38">
        <v>2501</v>
      </c>
      <c r="AC112" s="38">
        <v>86.952288218157904</v>
      </c>
    </row>
    <row r="113" spans="2:29" x14ac:dyDescent="0.25">
      <c r="B113" s="37">
        <v>2612</v>
      </c>
      <c r="C113" s="38">
        <v>42.498748475332498</v>
      </c>
      <c r="E113" s="38">
        <v>2612</v>
      </c>
      <c r="F113" s="38">
        <v>91.899080359165296</v>
      </c>
      <c r="N113" s="38">
        <v>2612</v>
      </c>
      <c r="O113" s="38">
        <v>52.080465444975701</v>
      </c>
      <c r="Q113" s="38">
        <v>2612</v>
      </c>
      <c r="R113" s="38">
        <v>91.550637889798296</v>
      </c>
      <c r="Y113" s="38">
        <v>2612</v>
      </c>
      <c r="Z113" s="38">
        <v>87.217319585225098</v>
      </c>
      <c r="AB113" s="38">
        <v>2612</v>
      </c>
      <c r="AC113" s="38">
        <v>90.011982982053894</v>
      </c>
    </row>
    <row r="114" spans="2:29" x14ac:dyDescent="0.25">
      <c r="B114" s="37">
        <v>2723</v>
      </c>
      <c r="C114" s="38">
        <v>49.756791937496203</v>
      </c>
      <c r="E114" s="38">
        <v>2723</v>
      </c>
      <c r="F114" s="38">
        <v>94.683062246967197</v>
      </c>
      <c r="N114" s="38">
        <v>2723</v>
      </c>
      <c r="O114" s="38">
        <v>59.328180231999497</v>
      </c>
      <c r="Q114" s="38">
        <v>2723</v>
      </c>
      <c r="R114" s="38">
        <v>94.382630477507107</v>
      </c>
      <c r="Y114" s="38">
        <v>2723</v>
      </c>
      <c r="Z114" s="38">
        <v>94.412753122728802</v>
      </c>
      <c r="AB114" s="38">
        <v>2723</v>
      </c>
      <c r="AC114" s="38">
        <v>93.017848800661099</v>
      </c>
    </row>
    <row r="115" spans="2:29" x14ac:dyDescent="0.25">
      <c r="B115" s="37">
        <v>2834</v>
      </c>
      <c r="C115" s="38">
        <v>56.990425187381497</v>
      </c>
      <c r="E115" s="38">
        <v>2834</v>
      </c>
      <c r="F115" s="38">
        <v>97.292339869992702</v>
      </c>
      <c r="N115" s="38">
        <v>2834</v>
      </c>
      <c r="O115" s="38">
        <v>66.551357353480398</v>
      </c>
      <c r="Q115" s="38">
        <v>2834</v>
      </c>
      <c r="R115" s="38">
        <v>97.053850790624395</v>
      </c>
      <c r="Y115" s="38">
        <v>2834</v>
      </c>
      <c r="Z115" s="38">
        <v>101.58311829620401</v>
      </c>
      <c r="AB115" s="38">
        <v>2834</v>
      </c>
      <c r="AC115" s="38">
        <v>95.928998786227993</v>
      </c>
    </row>
    <row r="116" spans="2:29" x14ac:dyDescent="0.25">
      <c r="B116" s="37">
        <v>2945</v>
      </c>
      <c r="C116" s="38">
        <v>64.201441870025306</v>
      </c>
      <c r="E116" s="38">
        <v>2945</v>
      </c>
      <c r="F116" s="38">
        <v>99.643648927076399</v>
      </c>
      <c r="N116" s="38">
        <v>2945</v>
      </c>
      <c r="O116" s="38">
        <v>73.751318952294497</v>
      </c>
      <c r="Q116" s="38">
        <v>2945</v>
      </c>
      <c r="R116" s="38">
        <v>99.481594096470999</v>
      </c>
      <c r="Y116" s="38">
        <v>2945</v>
      </c>
      <c r="Z116" s="38">
        <v>108.72906166199201</v>
      </c>
      <c r="AB116" s="38">
        <v>2945</v>
      </c>
      <c r="AC116" s="38">
        <v>98.674465101088899</v>
      </c>
    </row>
    <row r="117" spans="2:29" x14ac:dyDescent="0.25">
      <c r="B117" s="37">
        <v>3056</v>
      </c>
      <c r="C117" s="38">
        <v>71.391203029413006</v>
      </c>
      <c r="E117" s="38">
        <v>3056</v>
      </c>
      <c r="F117" s="38">
        <v>101.602511131368</v>
      </c>
      <c r="N117" s="38">
        <v>3056</v>
      </c>
      <c r="O117" s="38">
        <v>80.929186758515499</v>
      </c>
      <c r="Q117" s="38">
        <v>3056</v>
      </c>
      <c r="R117" s="38">
        <v>101.529268817556</v>
      </c>
      <c r="Y117" s="38">
        <v>3056</v>
      </c>
      <c r="Z117" s="38">
        <v>115.851154310091</v>
      </c>
      <c r="AB117" s="38">
        <v>3056</v>
      </c>
      <c r="AC117" s="38">
        <v>101.121556726066</v>
      </c>
    </row>
    <row r="118" spans="2:29" x14ac:dyDescent="0.25">
      <c r="B118" s="37">
        <v>3167</v>
      </c>
      <c r="C118" s="38">
        <v>78.561931198992596</v>
      </c>
      <c r="E118" s="38">
        <v>3167</v>
      </c>
      <c r="F118" s="38">
        <v>102.969011725013</v>
      </c>
      <c r="N118" s="38">
        <v>3167</v>
      </c>
      <c r="O118" s="38">
        <v>88.087079342447097</v>
      </c>
      <c r="Q118" s="38">
        <v>3167</v>
      </c>
      <c r="R118" s="38">
        <v>102.988216159364</v>
      </c>
      <c r="Y118" s="38">
        <v>3167</v>
      </c>
      <c r="Z118" s="38">
        <v>122.95191534827499</v>
      </c>
      <c r="AB118" s="38">
        <v>3167</v>
      </c>
      <c r="AC118" s="38">
        <v>103.035481045854</v>
      </c>
    </row>
    <row r="119" spans="2:29" x14ac:dyDescent="0.25">
      <c r="B119" s="38">
        <v>3278</v>
      </c>
      <c r="C119" s="38">
        <v>85.717151499684107</v>
      </c>
      <c r="E119" s="38">
        <v>3278</v>
      </c>
      <c r="F119" s="38">
        <v>103.470603951502</v>
      </c>
      <c r="N119" s="38">
        <v>3278</v>
      </c>
      <c r="O119" s="38">
        <v>95.228533121919696</v>
      </c>
      <c r="Q119" s="38">
        <v>3278</v>
      </c>
      <c r="R119" s="38">
        <v>103.565678094201</v>
      </c>
      <c r="Y119" s="38">
        <v>3278</v>
      </c>
      <c r="Z119" s="38">
        <v>130.04728227885801</v>
      </c>
      <c r="AB119" s="38">
        <v>3278</v>
      </c>
      <c r="AC119" s="38">
        <v>104.028953754803</v>
      </c>
    </row>
    <row r="120" spans="2:29" x14ac:dyDescent="0.25">
      <c r="B120" s="38">
        <v>3389</v>
      </c>
      <c r="C120" s="38">
        <v>92.861140638649204</v>
      </c>
      <c r="E120" s="38">
        <v>3389</v>
      </c>
      <c r="F120" s="38">
        <v>102.687854361764</v>
      </c>
      <c r="N120" s="38">
        <v>3389</v>
      </c>
      <c r="O120" s="38">
        <v>102.35791259854599</v>
      </c>
      <c r="Q120" s="38">
        <v>3389</v>
      </c>
      <c r="R120" s="38">
        <v>102.801900151035</v>
      </c>
      <c r="Y120" s="38">
        <v>3389</v>
      </c>
      <c r="Z120" s="38">
        <v>137.149736077684</v>
      </c>
      <c r="AB120" s="38">
        <v>3389</v>
      </c>
      <c r="AC120" s="38">
        <v>103.41482525516901</v>
      </c>
    </row>
    <row r="121" spans="2:29" x14ac:dyDescent="0.25">
      <c r="B121" s="38">
        <v>3500</v>
      </c>
      <c r="C121" s="38">
        <v>100</v>
      </c>
      <c r="E121" s="38">
        <v>3500</v>
      </c>
      <c r="F121" s="38">
        <v>100</v>
      </c>
      <c r="N121" s="38">
        <v>3500</v>
      </c>
      <c r="O121" s="38">
        <v>109.481567382813</v>
      </c>
      <c r="Q121" s="38">
        <v>3500</v>
      </c>
      <c r="R121" s="38">
        <v>100</v>
      </c>
      <c r="Y121" s="38">
        <v>3500</v>
      </c>
      <c r="Z121" s="38">
        <v>144.26922607421901</v>
      </c>
      <c r="AB121" s="38">
        <v>3500</v>
      </c>
      <c r="AC121" s="38">
        <v>100</v>
      </c>
    </row>
    <row r="122" spans="2:29" x14ac:dyDescent="0.25">
      <c r="B122" s="41"/>
    </row>
    <row r="123" spans="2:29" x14ac:dyDescent="0.25">
      <c r="O123" s="41"/>
    </row>
    <row r="124" spans="2:29" x14ac:dyDescent="0.25">
      <c r="O124" s="41"/>
    </row>
    <row r="125" spans="2:29" x14ac:dyDescent="0.25">
      <c r="O125" s="41"/>
    </row>
    <row r="126" spans="2:29" x14ac:dyDescent="0.25">
      <c r="O126" s="41"/>
    </row>
    <row r="127" spans="2:29" x14ac:dyDescent="0.25">
      <c r="O127" s="41"/>
    </row>
    <row r="128" spans="2:29" x14ac:dyDescent="0.25">
      <c r="O128" s="41"/>
    </row>
    <row r="129" spans="15:15" x14ac:dyDescent="0.25">
      <c r="O129" s="41"/>
    </row>
    <row r="130" spans="15:15" x14ac:dyDescent="0.25">
      <c r="O130" s="41"/>
    </row>
    <row r="131" spans="15:15" x14ac:dyDescent="0.25">
      <c r="O131" s="41"/>
    </row>
    <row r="132" spans="15:15" x14ac:dyDescent="0.25">
      <c r="O132" s="41"/>
    </row>
    <row r="133" spans="15:15" x14ac:dyDescent="0.25">
      <c r="O133" s="41"/>
    </row>
    <row r="134" spans="15:15" x14ac:dyDescent="0.25">
      <c r="O134" s="41"/>
    </row>
    <row r="135" spans="15:15" x14ac:dyDescent="0.25">
      <c r="O135" s="41"/>
    </row>
    <row r="136" spans="15:15" x14ac:dyDescent="0.25">
      <c r="O136" s="41"/>
    </row>
    <row r="137" spans="15:15" x14ac:dyDescent="0.25">
      <c r="O137" s="41"/>
    </row>
  </sheetData>
  <mergeCells count="12">
    <mergeCell ref="V9:W9"/>
    <mergeCell ref="V6:W6"/>
    <mergeCell ref="B6:E8"/>
    <mergeCell ref="V4:W4"/>
    <mergeCell ref="V5:W5"/>
    <mergeCell ref="V7:W7"/>
    <mergeCell ref="V8:W8"/>
    <mergeCell ref="V2:W2"/>
    <mergeCell ref="V3:W3"/>
    <mergeCell ref="B3:E3"/>
    <mergeCell ref="B4:E4"/>
    <mergeCell ref="B5:E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">
                <anchor moveWithCells="1" sizeWithCells="1">
                  <from>
                    <xdr:col>9</xdr:col>
                    <xdr:colOff>304800</xdr:colOff>
                    <xdr:row>62</xdr:row>
                    <xdr:rowOff>28575</xdr:rowOff>
                  </from>
                  <to>
                    <xdr:col>12</xdr:col>
                    <xdr:colOff>257175</xdr:colOff>
                    <xdr:row>64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70</vt:i4>
      </vt:variant>
    </vt:vector>
  </HeadingPairs>
  <TitlesOfParts>
    <vt:vector size="71" baseType="lpstr">
      <vt:lpstr>exercise_pipeline</vt:lpstr>
      <vt:lpstr>exercise_pipeline!Bob_</vt:lpstr>
      <vt:lpstr>calc_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calc_from_pwf_</vt:lpstr>
      <vt:lpstr>calc_from_pwh_</vt:lpstr>
      <vt:lpstr>exercise_pipeline!calibr_fric</vt:lpstr>
      <vt:lpstr>exercise_pipeline!calibr_grav</vt:lpstr>
      <vt:lpstr>exercise_pipeline!calibr_type</vt:lpstr>
      <vt:lpstr>construction</vt:lpstr>
      <vt:lpstr>ESP_freq</vt:lpstr>
      <vt:lpstr>ESP_head_nom</vt:lpstr>
      <vt:lpstr>ESP_ID</vt:lpstr>
      <vt:lpstr>esp_json_</vt:lpstr>
      <vt:lpstr>ESP_num_stages</vt:lpstr>
      <vt:lpstr>ESP_q_nom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Gas_model</vt:lpstr>
      <vt:lpstr>exercise_pipeline!gas_only_</vt:lpstr>
      <vt:lpstr>Gas_stage_by_stage</vt:lpstr>
      <vt:lpstr>h_perf_</vt:lpstr>
      <vt:lpstr>h_tub_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ipr_json_</vt:lpstr>
      <vt:lpstr>exercise_pipeline!Ksep</vt:lpstr>
      <vt:lpstr>exercise_pipeline!muob_</vt:lpstr>
      <vt:lpstr>exercise_pipeline!Pb_</vt:lpstr>
      <vt:lpstr>Pb__</vt:lpstr>
      <vt:lpstr>exercise_pipeline!Pbuf_</vt:lpstr>
      <vt:lpstr>PI_</vt:lpstr>
      <vt:lpstr>Pint_</vt:lpstr>
      <vt:lpstr>Pres</vt:lpstr>
      <vt:lpstr>exercise_pipeline!PVT_corr_</vt:lpstr>
      <vt:lpstr>exercise_pipeline!PVTstr_</vt:lpstr>
      <vt:lpstr>exercise_pipeline!Pwf_</vt:lpstr>
      <vt:lpstr>exercise_pipeline!Qgas_free</vt:lpstr>
      <vt:lpstr>exercise_pipeline!qliq_</vt:lpstr>
      <vt:lpstr>exercise_pipeline!Rp_</vt:lpstr>
      <vt:lpstr>exercise_pipeline!Rsb_</vt:lpstr>
      <vt:lpstr>t_crit_c_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znlf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2022-05-28T14:57:20Z</dcterms:modified>
</cp:coreProperties>
</file>