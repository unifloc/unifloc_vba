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59B9E723-2F34-40E7-92BB-EE72A2D5C1E1}" xr6:coauthVersionLast="47" xr6:coauthVersionMax="47" xr10:uidLastSave="{00000000-0000-0000-0000-000000000000}"/>
  <bookViews>
    <workbookView xWindow="-120" yWindow="-120" windowWidth="36870" windowHeight="19695" tabRatio="510" xr2:uid="{00000000-000D-0000-FFFF-FFFF00000000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">exercise_pipeline!$B$67</definedName>
    <definedName name="calc_along_coord" localSheetId="0">exercise_pipeline!$U$29</definedName>
    <definedName name="calc_along_coord1" localSheetId="0">exercise_pipeline!$V$29</definedName>
    <definedName name="calc_flow_direction_" localSheetId="0">exercise_pipeline!$U$31</definedName>
    <definedName name="calc_flow_direction1_" localSheetId="0">exercise_pipeline!$V$31</definedName>
    <definedName name="calc_from_pwf_">exercise_pipeline!$O$67</definedName>
    <definedName name="calc_from_pwh_">exercise_pipeline!$G$67</definedName>
    <definedName name="calibr_fric" localSheetId="0">exercise_pipeline!$X$9</definedName>
    <definedName name="calibr_grav" localSheetId="0">exercise_pipeline!$X$8</definedName>
    <definedName name="calibr_type" localSheetId="0">exercise_pipeline!$X$4</definedName>
    <definedName name="construction">exercise_pipeline!$P$22</definedName>
    <definedName name="ESP_freq">exercise_pipeline!$K$31</definedName>
    <definedName name="ESP_head_nom">exercise_pipeline!$K$28</definedName>
    <definedName name="ESP_ID">exercise_pipeline!$K$29</definedName>
    <definedName name="esp_json_">exercise_pipeline!$P$23</definedName>
    <definedName name="ESP_num_stages">exercise_pipeline!$K$30</definedName>
    <definedName name="ESP_q_nom">exercise_pipeline!$K$27</definedName>
    <definedName name="feed">exercise_pipeline!$I$12</definedName>
    <definedName name="flow_along_coord" localSheetId="0">exercise_pipeline!$U$30</definedName>
    <definedName name="flow_along_coord1" localSheetId="0">exercise_pipeline!$V$30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exercise_pipeline!$X$5</definedName>
    <definedName name="h_perf_">exercise_pipeline!$C$28</definedName>
    <definedName name="h_tub_">exercise_pipeline!$C$29</definedName>
    <definedName name="hcor" localSheetId="0">exercise_pipeline!$U$27</definedName>
    <definedName name="Hydr_corr_" localSheetId="0">exercise_pipeline!$X$3</definedName>
    <definedName name="inclinometry" localSheetId="0">exercise_pipeline!$B$40:$C$62</definedName>
    <definedName name="input_0" localSheetId="0">exercise_pipeline!$C$11:$C$32</definedName>
    <definedName name="input_1" localSheetId="0">exercise_pipeline!$C$28:$C$32</definedName>
    <definedName name="input_2" localSheetId="0">exercise_pipeline!$X$6:$X$9</definedName>
    <definedName name="input_3" localSheetId="0">exercise_pipeline!$U$28:$U$30</definedName>
    <definedName name="input_5" localSheetId="0">exercise_pipeline!$B$40:$C$62</definedName>
    <definedName name="input_6" localSheetId="0">exercise_pipeline!$E$40:$F$59</definedName>
    <definedName name="input_7" localSheetId="0">exercise_pipeline!$H$40:$I$59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ipr_json_">exercise_pipeline!$P$24</definedName>
    <definedName name="Ksep" localSheetId="0">exercise_pipeline!$K$32</definedName>
    <definedName name="muob_" localSheetId="0">exercise_pipeline!$C$18</definedName>
    <definedName name="Pb_" localSheetId="0">exercise_pipeline!$C$15</definedName>
    <definedName name="Pbuf_" localSheetId="0">exercise_pipeline!$K$21</definedName>
    <definedName name="Pint_">exercise_pipeline!$K$22</definedName>
    <definedName name="PVT_corr_" localSheetId="0">exercise_pipeline!$X$2</definedName>
    <definedName name="PVTstr_" localSheetId="0">exercise_pipeline!$I$11</definedName>
    <definedName name="Pwf_" localSheetId="0">exercise_pipeline!$K$23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crit_c_">exercise_pipeline!$P$34</definedName>
    <definedName name="t_model">exercise_pipeline!$P$21</definedName>
    <definedName name="T0" localSheetId="0">exercise_pipeline!$K$24</definedName>
    <definedName name="T1_" localSheetId="0">exercise_pipeline!$K$25</definedName>
    <definedName name="temp_model" localSheetId="0">exercise_pipeline!$U$28</definedName>
    <definedName name="tempm" localSheetId="0">exercise_pipeline!$U$28</definedName>
    <definedName name="Tres_" localSheetId="0">exercise_pipeline!$C$16</definedName>
    <definedName name="znlf">exercise_pipeline!$X$6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9" i="3" l="1"/>
  <c r="V31" i="3"/>
  <c r="U31" i="3"/>
  <c r="E16" i="3"/>
  <c r="E15" i="3"/>
  <c r="E22" i="3"/>
  <c r="E14" i="3"/>
  <c r="E13" i="3"/>
  <c r="E12" i="3"/>
  <c r="E11" i="3"/>
  <c r="P24" i="3" a="1"/>
  <c r="G1" i="3"/>
  <c r="O70" i="3" a="1"/>
  <c r="K29" i="3" a="1"/>
  <c r="O86" i="3" a="1"/>
  <c r="P21" i="3" a="1"/>
  <c r="R86" i="3" a="1"/>
  <c r="P22" i="3" a="1"/>
  <c r="U86" i="3" a="1"/>
  <c r="G70" i="3" a="1"/>
  <c r="J86" i="3" s="1" a="1"/>
  <c r="Q7" i="3" a="1"/>
  <c r="I11" i="3"/>
  <c r="B70" i="3" a="1"/>
  <c r="B86" i="3" a="1"/>
  <c r="E86" i="3" a="1"/>
  <c r="J86" i="3" l="1"/>
  <c r="E86" i="3"/>
  <c r="B86" i="3"/>
  <c r="B70" i="3"/>
  <c r="G70" i="3"/>
  <c r="U86" i="3"/>
  <c r="R86" i="3"/>
  <c r="O86" i="3"/>
  <c r="O70" i="3"/>
  <c r="K29" i="3"/>
  <c r="P22" i="3"/>
  <c r="P21" i="3"/>
  <c r="Q7" i="3"/>
  <c r="P24" i="3"/>
  <c r="I12" i="3" a="1"/>
  <c r="P23" i="3" a="1"/>
  <c r="K30" i="3" a="1"/>
  <c r="I12" i="3" l="1"/>
  <c r="K30" i="3"/>
  <c r="P2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2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2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<sst xmlns="http://schemas.openxmlformats.org/spreadsheetml/2006/main" count="140" uniqueCount="112">
  <si>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</si>
  <si>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</si>
  <si>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</si>
  <si>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</si>
  <si>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</si>
  <si>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</si>
  <si>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</si>
  <si>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</si>
  <si>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</si>
  <si>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</si>
  <si>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</si>
  <si>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</si>
  <si>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</si>
  <si>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</si>
  <si>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</si>
  <si>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</si>
  <si>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</si>
  <si>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</si>
  <si>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</si>
  <si>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</si>
  <si>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</si>
  <si>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</si>
  <si>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</si>
  <si>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</si>
  <si>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</si>
  <si>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</si>
  <si>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</si>
  <si>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</si>
  <si>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</si>
  <si>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</si>
  <si>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</si>
  <si>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</si>
  <si>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</si>
  <si>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</si>
  <si>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</si>
  <si>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</si>
  <si>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</si>
  <si>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</si>
  <si>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</si>
  <si>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</si>
  <si>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</si>
  <si>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</si>
  <si>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</si>
  <si>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</si>
  <si>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</si>
  <si>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</si>
  <si>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</si>
  <si>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</si>
  <si>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Настройки модели</t>
  </si>
  <si>
    <t xml:space="preserve">Температура </t>
  </si>
  <si>
    <t>input_Date</t>
  </si>
  <si>
    <t>input_Version</t>
  </si>
  <si>
    <t>Курс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</si>
  <si>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</si>
  <si>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</si>
  <si>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</si>
  <si>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</si>
  <si>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</si>
  <si>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</si>
  <si>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</si>
  <si>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</si>
  <si>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</si>
  <si>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</si>
  <si>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</si>
  <si>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</si>
  <si>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</si>
  <si>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</si>
  <si>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</si>
  <si>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</si>
  <si>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</si>
  <si>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</si>
  <si>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</si>
  <si>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</si>
  <si>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</si>
  <si>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</si>
  <si>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</si>
  <si>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</si>
  <si>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</si>
  <si>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</si>
  <si>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</si>
  <si>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</si>
  <si>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</si>
  <si>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Расчет скважины с УЭЦН</t>
  </si>
  <si>
    <t>Замеры по скважине</t>
  </si>
  <si>
    <t>Диаметры НКТ</t>
  </si>
  <si>
    <t>Диаметры э/к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</si>
  <si>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</si>
  <si>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Параметры ЭЦН</t>
  </si>
  <si>
    <t>Номинал</t>
  </si>
  <si>
    <t>м3/сут</t>
  </si>
  <si>
    <t>ID</t>
  </si>
  <si>
    <t>Напор</t>
  </si>
  <si>
    <t xml:space="preserve">м </t>
  </si>
  <si>
    <t>ступеней</t>
  </si>
  <si>
    <t>частота</t>
  </si>
  <si>
    <t>шт</t>
  </si>
  <si>
    <t>ЭЦН</t>
  </si>
  <si>
    <t>Результат расчета</t>
  </si>
  <si>
    <t>Параметры пласта</t>
  </si>
  <si>
    <t>Рпл</t>
  </si>
  <si>
    <t>Кпр</t>
  </si>
  <si>
    <t>Рнас</t>
  </si>
  <si>
    <t>IPR</t>
  </si>
  <si>
    <t>t_crit_C</t>
  </si>
  <si>
    <t>Гц</t>
  </si>
  <si>
    <t xml:space="preserve"> </t>
  </si>
  <si>
    <t>Pwf</t>
  </si>
  <si>
    <t>Pbuf</t>
  </si>
  <si>
    <t>Pint</t>
  </si>
  <si>
    <t>{"q_liq_sm3day":65,"p_wf_atma":120,"p_intake_atma":59.5084250924763,"p_dis_atma":227.277674799687,"p_buf_atma":66.4368540915841,"h_crit_m":1427.54005622716,"c_P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66.4368540915841,69.6318436627976,72.8566771160234,76.1092233843513,79.3874653006149,82.6894951946323,86.0135100571502,89.3578062104095,92.7207734659154,96.1008887760571,99.4967093990819,102.906865599111,106.330052897267,109.76502387931,113.210579574596,116.665570858457,120.128877927398,123.599390479331,127.076007126301,130.572295298406,134.040496838034,137.456462714245,140.857323062345,144.234887663882,147.579422729085,150.889769400094,154.165458125789,157.405821664752,160.610591780705,163.77935842564,166.91196551826,170.025836552983,173.124694585005,176.186910325717,179.212300924726,182.200801806294,185.152272490817,188.066657590843,190.943811706333,193.783667071238,196.586100046205,199.351027517029,202.136070751496,205.289546818123,208.440256215508,211.588071437096,214.732844829467,217.874405487033,221.012555692442,224.147066843309,227.277674799687,59.5084250924763,62.5735484529696,65.6345653095692,68.6914187487716,71.7440676299085,74.7924876450209,77.8366722778325,80.8766337534131,83.912404047619,86.9440360110622,89.971604653235,92.9952086265623,96.0149719462691,99.0310459789866,102.043611730087,105.052882455813,108.059106620099,111.062571205778,114.063605372977,117.062584429613,120]},"c_T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25.5483864113249,26.3212312833108,27.1004178581981,27.8873944103021,28.6838250038225,29.4916261856644,30.3130117379089,31.1505464803265,32.0072102600883,32.8864734592564,33.7923855844448,34.7296787699738,35.7038883181534,36.7214927096731,37.7900758339799,38.9185147384269,40.1171956117241,41.3982618788786,42.7758986925927,44.2677174050727,45.8953992591589,47.5931687420604,49.2781733491593,50.9498893883348,52.6078229005056,54.2526025062453,55.8851363633303,57.5063374070247,59.1174463350026,60.7197554547043,62.3149454648079,63.9044404571248,65.4920834387967,67.0794055042761,68.6693340718561,70.2654412191312,71.8717168704734,73.4929606284201,75.1345808392004,76.8030141409228,78.5055593073795,80.2508292064363,82.0481617569456,83.9194977526307,85.8629825439968,87.8899614285905,90.0134928600777,92.2485862254171,94.6124666648904,97.1248681157249,99.8083551800868,90.6102894067943,91.8473809378496,93.0570450736613,94.2351496538977,95.3769197695094,96.4768410571091,97.5285484035476,98.5246975315354,99.4568164696831,100.315133336616,101.088376158979,101.763539558,102.325612026991,102.757256113504,103.038432021583,103.145952834804,103.052956555362,102.72827621721,102.13568412402,101.232979328049,100]},"c_cas_P":{"curve_x":"x","curve_y":"y","x":[0,50,100,150,200,250,300,350,400,450,500,550,600,650,700,750,800,850,900,950,1000,1050,1100,1150,1200,1250,1300,1350,1400,1450,1500,1550,1600,1650,1700,1740.9788126879,1750,1800,1850,1900,1950,2000,2050,2100,2150,2200,2250,2300,2350,2400,2450,2500]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11.6683391242106,12.2785069386649,15.6254910729052,18.9325644797823,22.1974162146754,25.4184670241156,28.5953219916832,31.7279225348365,34.8366970967709,37.9433527468017,41.0436345676265,44.1374879481897,47.2248673464908,50.3057355411445,53.3800629568165,56.4469751736065,59.5084250924763]},"h_dyn_m":1740.9788126879}</t>
  </si>
  <si>
    <t>{"q_liq_sm3day":73.6339866520338,"p_wf_atma":101.458779007432,"p_intake_atma":41.0334976807627,"p_dis_atma":140.468708875895,"p_buf_atma":9.92287274993224,"h_crit_m":1377.68163917592,"c_P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9.92287274993224,11.337467352488,12.8404929461769,14.4329851097188,16.1155503130328,17.8884206057805,19.7514880806605,21.7043262683668,23.7462027377613,25.8760856766537,28.0926464572799,30.3942598147696,32.7790031032724,35.2394989209729,37.758606806631,40.3320092353312,42.9564653468159,45.6287987447427,48.3458886882685,51.1520764615392,54.0214922520681,56.8970825894247,59.7911296669616,62.6945639807135,65.5965849921079,68.4928859968273,71.3801863904886,74.255450080592,77.1162885254994,79.9604608507562,82.7861666557686,85.6077873901141,88.4290153625092,91.2276780440633,94.0025155022314,96.7524889496884,99.4765905784529,102.173976192476,104.843817614636,107.485409002482,110.098049516931,112.68113003543,115.307598099019,118.461489363661,121.613123317742,124.762393140829,127.909181624569,131.053359386618,134.194782895019,137.333292275979,140.468708875895,41.0334976807627,44.0743865648567,47.1143782993364,50.1531785223604,53.1905292010596,56.2262088810798,59.2600323095622,62.2918498477281,65.3215469037866,68.3490435154179,71.3742941552591,74.3972878021935,77.4180483046069,80.4366350527768,83.4531439724602,86.4677088481623,89.4805029807706,92.4917411786797,95.5016820724983,98.5106307284752,101.458779007432]},"c_T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26.5684467061443,27.3696185436375,28.1793250519951,28.9989662708507,29.8301595510138,30.6747769047443,31.5349887236,32.4133145529424,33.3126815967183,34.2364915969859,35.1886966944348,36.1738848375162,37.1973752814598,38.2647058083244,39.3810005164075,40.5537268992482,41.7916423389301,43.1048462582113,44.5049630524257,46.006539851665,47.6282189371661,49.3103762837716,50.9787170833565,52.6330740347056,54.2733646233188,55.9003340319172,57.5149274393876,59.1180973007611,60.7110353013509,62.2949689684728,63.8714108620457,65.4412783317302,67.0078154850059,68.5725697103067,70.1379205084706,71.7067036525138,73.2820257034796,74.8675524300201,76.4673363607616,78.0861196635607,79.7291786583803,81.4026440655485,83.112754790598,84.8771152272114,86.6907958613372,88.5605923615961,90.4942038685225,92.5003453181581,94.5888714709977,96.7709133096671,99.059027355917,91.5175840917129,92.7037569875357,93.8580069783016,94.9761668135423,96.0535139574538,97.0846932761041,98.0636297338162,98.9834295019494,99.8362675875256,100.613259733848,101.304315914386,101.897972213712,102.381197237798,102.739168384356,102.955012284721,103.009502438514,102.880705416159,102.543564887184,101.969409987167,101.125370957609,100]},"c_cas_P":{"curve_x":"x","curve_y":"y","x":[0,50,100,150,200,250,300,350,400,450,500,550,600,650,700,750,800,850,900,950,1000,1050,1100,1150,1200,1250,1300,1350,1400,1450,1500,1550,1600,1650,1700,1750,1800,1850,1900,1950,2000,2031.16206002944,2050,2100,2150,2200,2250,2300,2350,2400,2450,2500]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11.6758453298248,11.7168932657028,11.757389002078,11.7973345046244,11.8367325967687,11.8755852054196,11.8994614168203,13.0772363826765,16.187731046576,19.3138865550822,22.4347364600925,25.5494310427144,28.6582035327029,31.7609664289487,34.857644079535,37.9481714897065,41.0334976807627]},"h_dyn_m":2031.16206002944,"crv_pwf":{"curve_x":"x","curve_y":"y","x":[90,95,97.5,98.75,100,110,120,130,140,150,160,170,180,190,200,210,220,230,240,250],"y":[0,0,0,0,4.95242865101236,39.553772125751,66.4368540915841,86.0362151537911,100.236076234699,111.906162886866,123.674499083303,135.109485175091,145.62929188721,155.24055263478,164.93129407701,174.422651981639,183.236953143965,190.44248709829,192.14319315222,173.917033047465]}}</t>
  </si>
  <si>
    <t>{"q_liq_sm3day":72.7549374764861,"p_wf_atma":103.47925456677,"p_intake_atma":43.0292275107057,"p_dis_atma":140.401241264969,"p_buf_atma":9.86189199758805,"h_crit_m":1381.28119244845,"c_P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9.86189199758805,11.2674412762493,12.7609664456641,14.3435223997347,16.0157405560375,17.7778829124015,19.6298760939262,21.5713324446538,23.6015623671332,25.719580629586,27.9241085956712,30.2135739599167,32.5861094128502,35.0395539256427,37.5629758620423,40.1410170599931,42.7703832310296,45.4478487351331,48.1702479454676,50.9821164935686,53.8575882668678,56.7392784376354,59.6393899780737,62.5488192772267,65.4567307555608,68.3587979961063,71.2517273195618,74.1324735283356,76.998642585637,79.8479900892022,82.6787140121104,85.5052292380366,88.3312624013081,91.1345706082488,93.9138942686507,96.6681949841483,99.3964649237464,102.09785950684,104.771549472773,107.416827219916,110.0329892067,112.619422656048,115.248712851459,118.401817076102,121.55260540224,124.700961648285,127.846757700828,130.98985150776,134.130084850138,137.267280862017,140.401241264969,43.0292275107057,46.0744303112212,49.1182470208814,52.1604233795776,55.2007376533095,58.2390010553385,61.2750576601474,64.3087841430583,67.3400895369043,70.3689151179872,73.3952344889941,76.4190539014806,79.4404128464756,82.4593849337934,85.4760790757494,88.4906409871703,91.5032550093103,94.5141462590474,97.5235830947828,100.531879874257,103.47925456677]},"c_T":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26.4853063252697,27.2847621024043,28.0925404042661,28.9100233622511,29.7388103223853,30.580755550515,31.438012460656,32.3130851012052,33.2088876289661,34.1288124824171,35.0768079375398,36.0574656997576,37.076119166064,38.1389530243735,39.2520642808162,40.4218332668942,41.6571592635115,42.9683221410379,44.3671741194633,45.8685696611912,47.4915039885774,49.1758451347124,50.84653794306,52.5034278131503,54.1464478085139,55.7763781960672,57.3942094847482,59.0009448059581,60.5978391629882,62.1861917205752,63.7676026892677,65.3430947887583,66.9160506620561,68.4881384701259,70.0619007914362,71.640367230209,73.2268677663301,74.8253318506436,76.4401162647614,78.0763201690514,79.7396317526582,81.436662515869,83.174200324851,84.9705372105851,86.8214034756415,88.7344042647039,90.7181655863992,92.7824617322281,94.938355833582,97.1983542027579,99.5765749358628,91.4302008604398,92.6214687293066,93.7812174899511,94.9052819517094,95.988932397117,97.0267955504193,98.0127651942401,98.9399007599011,99.8003119085775,100.585026749371,101.283840889361,101.885143957374,102.375719558416,102.740513761043,102.962366144659,103.021696070158,102.896135094532,102.560094204701,101.984251629108,101.134943175907,100]},"c_cas_P":{"curve_x":"x","curve_y":"y","x":[0,50,100,150,200,250,300,350,400,450,500,550,600,650,700,750,800,850,900,950,1000,1050,1100,1150,1200,1250,1300,1350,1400,1450,1500,1550,1600,1650,1700,1750,1800,1850,1900,1950,1998.82323016305,2000,2050,2100,2150,2200,2250,2300,2350,2400,2450,2500]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11.6758453298248,11.7168932657028,11.757389002078,11.7973345046244,11.8367325967687,11.8746707938607,11.9491831073938,15.0799702165693,18.1928293786136,21.3183968813679,24.4377304602659,27.5512212032214,30.6587759231325,33.7603137295742,36.8557647850623,39.945069256826,43.0292275107057]},"h_dyn_m":1998.82323016305,"calibr_esp":0.908419896797424,"crv_pwf":{"curve_x":"x","curve_y":"y","x":[87.5,100,112.5,125,137.5,150,162.5,175,187.5,200,212.5,225,237.5,250],"y":[25.6564703959135,38.4375194731834,51.2365273441561,64.0493053739229,76.8028155960319,89.4297163773098,101.93551318279,114.326091771915,126.691910812204,139.077065744601,151.477510804421,163.890265184725,176.313057088499,188.744152186503]},"crv_cal":{"curve_x":"x","curve_y":"y","x":[0.696500000000001,0.696500000000001,0.721375000000001,0.733812500000001,0.733812500000001,0.735367187500001,0.736921875000001,0.740031250000001,0.746250000000001,0.796000000000001,0.895500000000001,0.995000000000001,1.0945,1.194,1.2935,1.393,1.4925,1.592,1.6915,1.791,1.8905,1.99],"y":[0,0,0,0,0,0,1.00598995187806,1.18760343245202,1.46806000744345,3.56753278824247,9.00140148797687,16.6919081154071,26.9759599512641,39.8647378437548,54.6588081879519,70.924839916299,88.3301255392239,106.361245430728,124.568480787986,143.307937256984,162.623637876513,182.354711885074]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</si>
</sst>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0" fillId="0" borderId="0" xfId="0" applyAlignment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exercise_pipeline!$O$75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exercise_pipeline!$P$81:$P$151</c:f>
              <c:numCache>
                <c:formatCode>General</c:formatCode>
                <c:ptCount val="71"/>
              </c:numCache>
            </c:numRef>
          </c:xVal>
          <c:yVal>
            <c:numRef>
              <c:f>exercise_pipeline!$O$81:$O$151</c:f>
              <c:numCache>
                <c:formatCode>General</c:formatCode>
                <c:ptCount val="71"/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6F-4DCD-ADE9-82B4F98F4E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exercise_pipeline!$V$81:$V$131</c:f>
              <c:strCache>
                <c:ptCount val="51"/>
                <c:pt idx="5">
                  <c:v>y</c:v>
                </c:pt>
                <c:pt idx="6">
                  <c:v>25.54838641</c:v>
                </c:pt>
                <c:pt idx="7">
                  <c:v>26.32123128</c:v>
                </c:pt>
                <c:pt idx="8">
                  <c:v>27.10041786</c:v>
                </c:pt>
                <c:pt idx="9">
                  <c:v>27.88739441</c:v>
                </c:pt>
                <c:pt idx="10">
                  <c:v>28.683825</c:v>
                </c:pt>
                <c:pt idx="11">
                  <c:v>29.49162619</c:v>
                </c:pt>
                <c:pt idx="12">
                  <c:v>30.31301174</c:v>
                </c:pt>
                <c:pt idx="13">
                  <c:v>31.15054648</c:v>
                </c:pt>
                <c:pt idx="14">
                  <c:v>32.00721026</c:v>
                </c:pt>
                <c:pt idx="15">
                  <c:v>32.88647346</c:v>
                </c:pt>
                <c:pt idx="16">
                  <c:v>33.79238558</c:v>
                </c:pt>
                <c:pt idx="17">
                  <c:v>34.72967877</c:v>
                </c:pt>
                <c:pt idx="18">
                  <c:v>35.70388832</c:v>
                </c:pt>
                <c:pt idx="19">
                  <c:v>36.72149271</c:v>
                </c:pt>
                <c:pt idx="20">
                  <c:v>37.79007583</c:v>
                </c:pt>
                <c:pt idx="21">
                  <c:v>38.91851474</c:v>
                </c:pt>
                <c:pt idx="22">
                  <c:v>40.11719561</c:v>
                </c:pt>
                <c:pt idx="23">
                  <c:v>41.39826188</c:v>
                </c:pt>
                <c:pt idx="24">
                  <c:v>42.77589869</c:v>
                </c:pt>
                <c:pt idx="25">
                  <c:v>44.26771741</c:v>
                </c:pt>
                <c:pt idx="26">
                  <c:v>45.89539926</c:v>
                </c:pt>
                <c:pt idx="27">
                  <c:v>47.59316874</c:v>
                </c:pt>
                <c:pt idx="28">
                  <c:v>49.27817335</c:v>
                </c:pt>
                <c:pt idx="29">
                  <c:v>50.94988939</c:v>
                </c:pt>
                <c:pt idx="30">
                  <c:v>52.6078229</c:v>
                </c:pt>
                <c:pt idx="31">
                  <c:v>54.25260251</c:v>
                </c:pt>
                <c:pt idx="32">
                  <c:v>55.88513636</c:v>
                </c:pt>
                <c:pt idx="33">
                  <c:v>57.50633741</c:v>
                </c:pt>
                <c:pt idx="34">
                  <c:v>59.11744634</c:v>
                </c:pt>
                <c:pt idx="35">
                  <c:v>60.71975545</c:v>
                </c:pt>
                <c:pt idx="36">
                  <c:v>62.31494546</c:v>
                </c:pt>
                <c:pt idx="37">
                  <c:v>63.90444046</c:v>
                </c:pt>
                <c:pt idx="38">
                  <c:v>65.49208344</c:v>
                </c:pt>
                <c:pt idx="39">
                  <c:v>67.0794055</c:v>
                </c:pt>
                <c:pt idx="40">
                  <c:v>68.66933407</c:v>
                </c:pt>
                <c:pt idx="41">
                  <c:v>70.26544122</c:v>
                </c:pt>
                <c:pt idx="42">
                  <c:v>71.87171687</c:v>
                </c:pt>
                <c:pt idx="43">
                  <c:v>73.49296063</c:v>
                </c:pt>
                <c:pt idx="44">
                  <c:v>75.13458084</c:v>
                </c:pt>
                <c:pt idx="45">
                  <c:v>76.80301414</c:v>
                </c:pt>
                <c:pt idx="46">
                  <c:v>78.50555931</c:v>
                </c:pt>
                <c:pt idx="47">
                  <c:v>80.25082921</c:v>
                </c:pt>
                <c:pt idx="48">
                  <c:v>82.04816176</c:v>
                </c:pt>
                <c:pt idx="49">
                  <c:v>83.91949775</c:v>
                </c:pt>
                <c:pt idx="50">
                  <c:v>85.86298254</c:v>
                </c:pt>
              </c:strCache>
            </c:strRef>
          </c:xVal>
          <c:yVal>
            <c:numRef>
              <c:f>exercise_pipeline!$U$81:$U$131</c:f>
              <c:numCache>
                <c:formatCode>General</c:formatCode>
                <c:ptCount val="51"/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100</c:v>
                </c:pt>
                <c:pt idx="9">
                  <c:v>150</c:v>
                </c:pt>
                <c:pt idx="10">
                  <c:v>200</c:v>
                </c:pt>
                <c:pt idx="11">
                  <c:v>250</c:v>
                </c:pt>
                <c:pt idx="12">
                  <c:v>300</c:v>
                </c:pt>
                <c:pt idx="13">
                  <c:v>350</c:v>
                </c:pt>
                <c:pt idx="14">
                  <c:v>400</c:v>
                </c:pt>
                <c:pt idx="15">
                  <c:v>450</c:v>
                </c:pt>
                <c:pt idx="16">
                  <c:v>500</c:v>
                </c:pt>
                <c:pt idx="17">
                  <c:v>550</c:v>
                </c:pt>
                <c:pt idx="18">
                  <c:v>600</c:v>
                </c:pt>
                <c:pt idx="19">
                  <c:v>650</c:v>
                </c:pt>
                <c:pt idx="20">
                  <c:v>700</c:v>
                </c:pt>
                <c:pt idx="21">
                  <c:v>750</c:v>
                </c:pt>
                <c:pt idx="22">
                  <c:v>800</c:v>
                </c:pt>
                <c:pt idx="23">
                  <c:v>850</c:v>
                </c:pt>
                <c:pt idx="24">
                  <c:v>900</c:v>
                </c:pt>
                <c:pt idx="25">
                  <c:v>950</c:v>
                </c:pt>
                <c:pt idx="26">
                  <c:v>1000</c:v>
                </c:pt>
                <c:pt idx="27">
                  <c:v>1050</c:v>
                </c:pt>
                <c:pt idx="28">
                  <c:v>1100</c:v>
                </c:pt>
                <c:pt idx="29">
                  <c:v>1150</c:v>
                </c:pt>
                <c:pt idx="30">
                  <c:v>1200</c:v>
                </c:pt>
                <c:pt idx="31">
                  <c:v>1250</c:v>
                </c:pt>
                <c:pt idx="32">
                  <c:v>1300</c:v>
                </c:pt>
                <c:pt idx="33">
                  <c:v>1350</c:v>
                </c:pt>
                <c:pt idx="34">
                  <c:v>1400</c:v>
                </c:pt>
                <c:pt idx="35">
                  <c:v>1450</c:v>
                </c:pt>
                <c:pt idx="36">
                  <c:v>1500</c:v>
                </c:pt>
                <c:pt idx="37">
                  <c:v>1550</c:v>
                </c:pt>
                <c:pt idx="38">
                  <c:v>1600</c:v>
                </c:pt>
                <c:pt idx="39">
                  <c:v>1650</c:v>
                </c:pt>
                <c:pt idx="40">
                  <c:v>1700</c:v>
                </c:pt>
                <c:pt idx="41">
                  <c:v>1750</c:v>
                </c:pt>
                <c:pt idx="42">
                  <c:v>1800</c:v>
                </c:pt>
                <c:pt idx="43">
                  <c:v>1850</c:v>
                </c:pt>
                <c:pt idx="44">
                  <c:v>1900</c:v>
                </c:pt>
                <c:pt idx="45">
                  <c:v>1950</c:v>
                </c:pt>
                <c:pt idx="46">
                  <c:v>2000</c:v>
                </c:pt>
                <c:pt idx="47">
                  <c:v>2050</c:v>
                </c:pt>
                <c:pt idx="48">
                  <c:v>2100</c:v>
                </c:pt>
                <c:pt idx="49">
                  <c:v>2150</c:v>
                </c:pt>
                <c:pt idx="5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5B-49DF-8D05-F237AEF062C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exercise_pipeline!$Y$81:$Y$131</c:f>
              <c:numCache>
                <c:formatCode>General</c:formatCode>
                <c:ptCount val="51"/>
              </c:numCache>
            </c:numRef>
          </c:xVal>
          <c:yVal>
            <c:numRef>
              <c:f>exercise_pipeline!$X$81:$X$131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5B-49DF-8D05-F237AEF06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4158672"/>
        <c:axId val="312692040"/>
      </c:scatterChart>
      <c:valAx>
        <c:axId val="304158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92040"/>
        <c:crosses val="autoZero"/>
        <c:crossBetween val="midCat"/>
      </c:valAx>
      <c:valAx>
        <c:axId val="31269204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4158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exercise_pipeline!$O$75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exercise_pipeline!$S$81:$S$151</c:f>
              <c:strCache>
                <c:ptCount val="71"/>
                <c:pt idx="5">
                  <c:v>y</c:v>
                </c:pt>
                <c:pt idx="6">
                  <c:v>66.43685409</c:v>
                </c:pt>
                <c:pt idx="7">
                  <c:v>69.63184366</c:v>
                </c:pt>
                <c:pt idx="8">
                  <c:v>72.85667712</c:v>
                </c:pt>
                <c:pt idx="9">
                  <c:v>76.10922338</c:v>
                </c:pt>
                <c:pt idx="10">
                  <c:v>79.3874653</c:v>
                </c:pt>
                <c:pt idx="11">
                  <c:v>82.68949519</c:v>
                </c:pt>
                <c:pt idx="12">
                  <c:v>86.01351006</c:v>
                </c:pt>
                <c:pt idx="13">
                  <c:v>89.35780621</c:v>
                </c:pt>
                <c:pt idx="14">
                  <c:v>92.72077347</c:v>
                </c:pt>
                <c:pt idx="15">
                  <c:v>96.10088878</c:v>
                </c:pt>
                <c:pt idx="16">
                  <c:v>99.4967094</c:v>
                </c:pt>
                <c:pt idx="17">
                  <c:v>102.9068656</c:v>
                </c:pt>
                <c:pt idx="18">
                  <c:v>106.3300529</c:v>
                </c:pt>
                <c:pt idx="19">
                  <c:v>109.7650239</c:v>
                </c:pt>
                <c:pt idx="20">
                  <c:v>113.2105796</c:v>
                </c:pt>
                <c:pt idx="21">
                  <c:v>116.6655709</c:v>
                </c:pt>
                <c:pt idx="22">
                  <c:v>120.1288779</c:v>
                </c:pt>
                <c:pt idx="23">
                  <c:v>123.5993905</c:v>
                </c:pt>
                <c:pt idx="24">
                  <c:v>127.0760071</c:v>
                </c:pt>
                <c:pt idx="25">
                  <c:v>130.5722953</c:v>
                </c:pt>
                <c:pt idx="26">
                  <c:v>134.0404968</c:v>
                </c:pt>
                <c:pt idx="27">
                  <c:v>137.4564627</c:v>
                </c:pt>
                <c:pt idx="28">
                  <c:v>140.8573231</c:v>
                </c:pt>
                <c:pt idx="29">
                  <c:v>144.2348877</c:v>
                </c:pt>
                <c:pt idx="30">
                  <c:v>147.5794227</c:v>
                </c:pt>
                <c:pt idx="31">
                  <c:v>150.8897694</c:v>
                </c:pt>
                <c:pt idx="32">
                  <c:v>154.1654581</c:v>
                </c:pt>
                <c:pt idx="33">
                  <c:v>157.4058217</c:v>
                </c:pt>
                <c:pt idx="34">
                  <c:v>160.6105918</c:v>
                </c:pt>
                <c:pt idx="35">
                  <c:v>163.7793584</c:v>
                </c:pt>
                <c:pt idx="36">
                  <c:v>166.9119655</c:v>
                </c:pt>
                <c:pt idx="37">
                  <c:v>170.0258366</c:v>
                </c:pt>
                <c:pt idx="38">
                  <c:v>173.1246946</c:v>
                </c:pt>
                <c:pt idx="39">
                  <c:v>176.1869103</c:v>
                </c:pt>
                <c:pt idx="40">
                  <c:v>179.2123009</c:v>
                </c:pt>
                <c:pt idx="41">
                  <c:v>182.2008018</c:v>
                </c:pt>
                <c:pt idx="42">
                  <c:v>185.1522725</c:v>
                </c:pt>
                <c:pt idx="43">
                  <c:v>188.0666576</c:v>
                </c:pt>
                <c:pt idx="44">
                  <c:v>190.9438117</c:v>
                </c:pt>
                <c:pt idx="45">
                  <c:v>193.7836671</c:v>
                </c:pt>
                <c:pt idx="46">
                  <c:v>196.5861</c:v>
                </c:pt>
                <c:pt idx="47">
                  <c:v>199.3510275</c:v>
                </c:pt>
                <c:pt idx="48">
                  <c:v>202.1360708</c:v>
                </c:pt>
                <c:pt idx="49">
                  <c:v>205.2895468</c:v>
                </c:pt>
                <c:pt idx="50">
                  <c:v>208.4402562</c:v>
                </c:pt>
                <c:pt idx="51">
                  <c:v>211.5880714</c:v>
                </c:pt>
                <c:pt idx="52">
                  <c:v>214.7328448</c:v>
                </c:pt>
                <c:pt idx="53">
                  <c:v>217.8744055</c:v>
                </c:pt>
                <c:pt idx="54">
                  <c:v>221.0125557</c:v>
                </c:pt>
                <c:pt idx="55">
                  <c:v>224.1470668</c:v>
                </c:pt>
                <c:pt idx="56">
                  <c:v>227.2776748</c:v>
                </c:pt>
                <c:pt idx="57">
                  <c:v>59.50842509</c:v>
                </c:pt>
                <c:pt idx="58">
                  <c:v>62.57354845</c:v>
                </c:pt>
                <c:pt idx="59">
                  <c:v>65.63456531</c:v>
                </c:pt>
                <c:pt idx="60">
                  <c:v>68.69141875</c:v>
                </c:pt>
                <c:pt idx="61">
                  <c:v>71.74406763</c:v>
                </c:pt>
                <c:pt idx="62">
                  <c:v>74.79248765</c:v>
                </c:pt>
                <c:pt idx="63">
                  <c:v>77.83667228</c:v>
                </c:pt>
                <c:pt idx="64">
                  <c:v>80.87663375</c:v>
                </c:pt>
                <c:pt idx="65">
                  <c:v>83.91240405</c:v>
                </c:pt>
                <c:pt idx="66">
                  <c:v>86.94403601</c:v>
                </c:pt>
                <c:pt idx="67">
                  <c:v>89.97160465</c:v>
                </c:pt>
                <c:pt idx="68">
                  <c:v>92.99520863</c:v>
                </c:pt>
                <c:pt idx="69">
                  <c:v>96.01497195</c:v>
                </c:pt>
                <c:pt idx="70">
                  <c:v>99.03104598</c:v>
                </c:pt>
              </c:strCache>
            </c:strRef>
          </c:xVal>
          <c:yVal>
            <c:numRef>
              <c:f>exercise_pipeline!$R$81:$R$151</c:f>
              <c:numCache>
                <c:formatCode>General</c:formatCode>
                <c:ptCount val="71"/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100</c:v>
                </c:pt>
                <c:pt idx="9">
                  <c:v>150</c:v>
                </c:pt>
                <c:pt idx="10">
                  <c:v>200</c:v>
                </c:pt>
                <c:pt idx="11">
                  <c:v>250</c:v>
                </c:pt>
                <c:pt idx="12">
                  <c:v>300</c:v>
                </c:pt>
                <c:pt idx="13">
                  <c:v>350</c:v>
                </c:pt>
                <c:pt idx="14">
                  <c:v>400</c:v>
                </c:pt>
                <c:pt idx="15">
                  <c:v>450</c:v>
                </c:pt>
                <c:pt idx="16">
                  <c:v>500</c:v>
                </c:pt>
                <c:pt idx="17">
                  <c:v>550</c:v>
                </c:pt>
                <c:pt idx="18">
                  <c:v>600</c:v>
                </c:pt>
                <c:pt idx="19">
                  <c:v>650</c:v>
                </c:pt>
                <c:pt idx="20">
                  <c:v>700</c:v>
                </c:pt>
                <c:pt idx="21">
                  <c:v>750</c:v>
                </c:pt>
                <c:pt idx="22">
                  <c:v>800</c:v>
                </c:pt>
                <c:pt idx="23">
                  <c:v>850</c:v>
                </c:pt>
                <c:pt idx="24">
                  <c:v>900</c:v>
                </c:pt>
                <c:pt idx="25">
                  <c:v>950</c:v>
                </c:pt>
                <c:pt idx="26">
                  <c:v>1000</c:v>
                </c:pt>
                <c:pt idx="27">
                  <c:v>1050</c:v>
                </c:pt>
                <c:pt idx="28">
                  <c:v>1100</c:v>
                </c:pt>
                <c:pt idx="29">
                  <c:v>1150</c:v>
                </c:pt>
                <c:pt idx="30">
                  <c:v>1200</c:v>
                </c:pt>
                <c:pt idx="31">
                  <c:v>1250</c:v>
                </c:pt>
                <c:pt idx="32">
                  <c:v>1300</c:v>
                </c:pt>
                <c:pt idx="33">
                  <c:v>1350</c:v>
                </c:pt>
                <c:pt idx="34">
                  <c:v>1400</c:v>
                </c:pt>
                <c:pt idx="35">
                  <c:v>1450</c:v>
                </c:pt>
                <c:pt idx="36">
                  <c:v>1500</c:v>
                </c:pt>
                <c:pt idx="37">
                  <c:v>1550</c:v>
                </c:pt>
                <c:pt idx="38">
                  <c:v>1600</c:v>
                </c:pt>
                <c:pt idx="39">
                  <c:v>1650</c:v>
                </c:pt>
                <c:pt idx="40">
                  <c:v>1700</c:v>
                </c:pt>
                <c:pt idx="41">
                  <c:v>1750</c:v>
                </c:pt>
                <c:pt idx="42">
                  <c:v>1800</c:v>
                </c:pt>
                <c:pt idx="43">
                  <c:v>1850</c:v>
                </c:pt>
                <c:pt idx="44">
                  <c:v>1900</c:v>
                </c:pt>
                <c:pt idx="45">
                  <c:v>1950</c:v>
                </c:pt>
                <c:pt idx="46">
                  <c:v>2000</c:v>
                </c:pt>
                <c:pt idx="47">
                  <c:v>2050</c:v>
                </c:pt>
                <c:pt idx="48">
                  <c:v>2100</c:v>
                </c:pt>
                <c:pt idx="49">
                  <c:v>2150</c:v>
                </c:pt>
                <c:pt idx="50">
                  <c:v>2200</c:v>
                </c:pt>
                <c:pt idx="51">
                  <c:v>2250</c:v>
                </c:pt>
                <c:pt idx="52">
                  <c:v>2300</c:v>
                </c:pt>
                <c:pt idx="53">
                  <c:v>2350</c:v>
                </c:pt>
                <c:pt idx="54">
                  <c:v>2400</c:v>
                </c:pt>
                <c:pt idx="55">
                  <c:v>2450</c:v>
                </c:pt>
                <c:pt idx="56">
                  <c:v>2500</c:v>
                </c:pt>
                <c:pt idx="57">
                  <c:v>2501</c:v>
                </c:pt>
                <c:pt idx="58">
                  <c:v>2551</c:v>
                </c:pt>
                <c:pt idx="59">
                  <c:v>2601</c:v>
                </c:pt>
                <c:pt idx="60">
                  <c:v>2651</c:v>
                </c:pt>
                <c:pt idx="61">
                  <c:v>2701</c:v>
                </c:pt>
                <c:pt idx="62">
                  <c:v>2751</c:v>
                </c:pt>
                <c:pt idx="63">
                  <c:v>2801</c:v>
                </c:pt>
                <c:pt idx="64">
                  <c:v>2851</c:v>
                </c:pt>
                <c:pt idx="65">
                  <c:v>2901</c:v>
                </c:pt>
                <c:pt idx="66">
                  <c:v>2951</c:v>
                </c:pt>
                <c:pt idx="67">
                  <c:v>3001</c:v>
                </c:pt>
                <c:pt idx="68">
                  <c:v>3051</c:v>
                </c:pt>
                <c:pt idx="69">
                  <c:v>3101</c:v>
                </c:pt>
                <c:pt idx="70">
                  <c:v>3151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1-484E-85D2-0D7B40823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88120"/>
        <c:axId val="312691256"/>
      </c:scatterChart>
      <c:valAx>
        <c:axId val="31268812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91256"/>
        <c:crosses val="autoZero"/>
        <c:crossBetween val="midCat"/>
      </c:valAx>
      <c:valAx>
        <c:axId val="312691256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8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exercise_pipeline!$O$75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exercise_pipeline!$F$81:$F$151</c:f>
              <c:strCache>
                <c:ptCount val="28"/>
                <c:pt idx="5">
                  <c:v>y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1.005989952</c:v>
                </c:pt>
                <c:pt idx="13">
                  <c:v>1.187603432</c:v>
                </c:pt>
                <c:pt idx="14">
                  <c:v>1.468060007</c:v>
                </c:pt>
                <c:pt idx="15">
                  <c:v>3.567532788</c:v>
                </c:pt>
                <c:pt idx="16">
                  <c:v>9.001401488</c:v>
                </c:pt>
                <c:pt idx="17">
                  <c:v>16.69190812</c:v>
                </c:pt>
                <c:pt idx="18">
                  <c:v>26.97595995</c:v>
                </c:pt>
                <c:pt idx="19">
                  <c:v>39.86473784</c:v>
                </c:pt>
                <c:pt idx="20">
                  <c:v>54.65880819</c:v>
                </c:pt>
                <c:pt idx="21">
                  <c:v>70.92483992</c:v>
                </c:pt>
                <c:pt idx="22">
                  <c:v>88.33012554</c:v>
                </c:pt>
                <c:pt idx="23">
                  <c:v>106.3612454</c:v>
                </c:pt>
                <c:pt idx="24">
                  <c:v>124.5684808</c:v>
                </c:pt>
                <c:pt idx="25">
                  <c:v>143.3079373</c:v>
                </c:pt>
                <c:pt idx="26">
                  <c:v>162.6236379</c:v>
                </c:pt>
                <c:pt idx="27">
                  <c:v>182.3547119</c:v>
                </c:pt>
              </c:strCache>
            </c:strRef>
          </c:xVal>
          <c:yVal>
            <c:numRef>
              <c:f>exercise_pipeline!$E$81:$E$151</c:f>
              <c:numCache>
                <c:formatCode>General</c:formatCode>
                <c:ptCount val="71"/>
                <c:pt idx="5">
                  <c:v>0</c:v>
                </c:pt>
                <c:pt idx="6">
                  <c:v>0.69650000000000101</c:v>
                </c:pt>
                <c:pt idx="7">
                  <c:v>0.69650000000000101</c:v>
                </c:pt>
                <c:pt idx="8">
                  <c:v>0.72137500000000099</c:v>
                </c:pt>
                <c:pt idx="9">
                  <c:v>0.73381250000000098</c:v>
                </c:pt>
                <c:pt idx="10">
                  <c:v>0.73381250000000098</c:v>
                </c:pt>
                <c:pt idx="11">
                  <c:v>0.73536718750000096</c:v>
                </c:pt>
                <c:pt idx="12">
                  <c:v>0.73692187500000095</c:v>
                </c:pt>
                <c:pt idx="13">
                  <c:v>0.74003125000000103</c:v>
                </c:pt>
                <c:pt idx="14">
                  <c:v>0.74625000000000097</c:v>
                </c:pt>
                <c:pt idx="15">
                  <c:v>0.79600000000000104</c:v>
                </c:pt>
                <c:pt idx="16">
                  <c:v>0.89550000000000096</c:v>
                </c:pt>
                <c:pt idx="17">
                  <c:v>0.99500000000000099</c:v>
                </c:pt>
                <c:pt idx="18">
                  <c:v>1.0945</c:v>
                </c:pt>
                <c:pt idx="19">
                  <c:v>1.194</c:v>
                </c:pt>
                <c:pt idx="20">
                  <c:v>1.2935000000000001</c:v>
                </c:pt>
                <c:pt idx="21">
                  <c:v>1.393</c:v>
                </c:pt>
                <c:pt idx="22">
                  <c:v>1.4924999999999999</c:v>
                </c:pt>
                <c:pt idx="23">
                  <c:v>1.5920000000000001</c:v>
                </c:pt>
                <c:pt idx="24">
                  <c:v>1.6915</c:v>
                </c:pt>
                <c:pt idx="25">
                  <c:v>1.7909999999999999</c:v>
                </c:pt>
                <c:pt idx="26">
                  <c:v>1.8905000000000001</c:v>
                </c:pt>
                <c:pt idx="27">
                  <c:v>1.99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4CA7-B08C-3DD27A559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91648"/>
        <c:axId val="312687728"/>
      </c:scatterChart>
      <c:valAx>
        <c:axId val="3126916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87728"/>
        <c:crosses val="autoZero"/>
        <c:crossBetween val="midCat"/>
      </c:valAx>
      <c:valAx>
        <c:axId val="312687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9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exercise_pipeline!$O$75</c:f>
              <c:strCache>
                <c:ptCount val="1"/>
                <c:pt idx="0">
                  <c:v>h_crit_m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exercise_pipeline!$I$81:$I$151</c:f>
              <c:numCache>
                <c:formatCode>General</c:formatCode>
                <c:ptCount val="71"/>
              </c:numCache>
            </c:numRef>
          </c:xVal>
          <c:yVal>
            <c:numRef>
              <c:f>exercise_pipeline!$H$81:$H$151</c:f>
              <c:numCache>
                <c:formatCode>General</c:formatCode>
                <c:ptCount val="7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3-4960-AAFB-9ED09988D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689296"/>
        <c:axId val="312690472"/>
      </c:scatterChart>
      <c:valAx>
        <c:axId val="31268929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90472"/>
        <c:crosses val="autoZero"/>
        <c:crossBetween val="midCat"/>
      </c:valAx>
      <c:valAx>
        <c:axId val="31269047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268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exercise_pipeline!$C$86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exercise_pipeline!$B$87:$B$95</c:f>
              <c:numCache>
                <c:formatCode>General</c:formatCode>
                <c:ptCount val="9"/>
                <c:pt idx="0">
                  <c:v>87.5</c:v>
                </c:pt>
                <c:pt idx="1">
                  <c:v>100</c:v>
                </c:pt>
                <c:pt idx="2">
                  <c:v>112.5</c:v>
                </c:pt>
                <c:pt idx="3">
                  <c:v>125</c:v>
                </c:pt>
                <c:pt idx="4">
                  <c:v>137.5</c:v>
                </c:pt>
                <c:pt idx="5">
                  <c:v>150</c:v>
                </c:pt>
                <c:pt idx="6">
                  <c:v>162.5</c:v>
                </c:pt>
                <c:pt idx="7">
                  <c:v>175</c:v>
                </c:pt>
                <c:pt idx="8">
                  <c:v>187.5</c:v>
                </c:pt>
              </c:numCache>
            </c:numRef>
          </c:xVal>
          <c:yVal>
            <c:numRef>
              <c:f>exercise_pipeline!$C$87:$C$95</c:f>
              <c:numCache>
                <c:formatCode>General</c:formatCode>
                <c:ptCount val="9"/>
                <c:pt idx="0">
                  <c:v>25.656470395913502</c:v>
                </c:pt>
                <c:pt idx="1">
                  <c:v>38.4375194731834</c:v>
                </c:pt>
                <c:pt idx="2">
                  <c:v>51.236527344156102</c:v>
                </c:pt>
                <c:pt idx="3">
                  <c:v>64.049305373922905</c:v>
                </c:pt>
                <c:pt idx="4">
                  <c:v>76.802815596031905</c:v>
                </c:pt>
                <c:pt idx="5">
                  <c:v>89.429716377309802</c:v>
                </c:pt>
                <c:pt idx="6">
                  <c:v>101.93551318279</c:v>
                </c:pt>
                <c:pt idx="7">
                  <c:v>114.326091771915</c:v>
                </c:pt>
                <c:pt idx="8">
                  <c:v>126.691910812204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D4-4A1F-8E44-E61C6C2C1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097503"/>
        <c:axId val="371411631"/>
      </c:scatterChart>
      <c:valAx>
        <c:axId val="50809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411631"/>
        <c:crosses val="autoZero"/>
        <c:crossBetween val="midCat"/>
      </c:valAx>
      <c:valAx>
        <c:axId val="37141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09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exercise_pipeline!$F$86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exercise_pipeline!$E$87:$E$106</c:f>
              <c:numCache>
                <c:formatCode>General</c:formatCode>
                <c:ptCount val="20"/>
                <c:pt idx="0">
                  <c:v>0.69650000000000101</c:v>
                </c:pt>
                <c:pt idx="1">
                  <c:v>0.69650000000000101</c:v>
                </c:pt>
                <c:pt idx="2">
                  <c:v>0.72137500000000099</c:v>
                </c:pt>
                <c:pt idx="3">
                  <c:v>0.73381250000000098</c:v>
                </c:pt>
                <c:pt idx="4">
                  <c:v>0.73381250000000098</c:v>
                </c:pt>
                <c:pt idx="5">
                  <c:v>0.73536718750000096</c:v>
                </c:pt>
                <c:pt idx="6">
                  <c:v>0.73692187500000095</c:v>
                </c:pt>
                <c:pt idx="7">
                  <c:v>0.74003125000000103</c:v>
                </c:pt>
                <c:pt idx="8">
                  <c:v>0.74625000000000097</c:v>
                </c:pt>
                <c:pt idx="9">
                  <c:v>0.79600000000000104</c:v>
                </c:pt>
                <c:pt idx="10">
                  <c:v>0.89550000000000096</c:v>
                </c:pt>
                <c:pt idx="11">
                  <c:v>0.99500000000000099</c:v>
                </c:pt>
                <c:pt idx="12">
                  <c:v>1.0945</c:v>
                </c:pt>
                <c:pt idx="13">
                  <c:v>1.194</c:v>
                </c:pt>
                <c:pt idx="14">
                  <c:v>1.2935000000000001</c:v>
                </c:pt>
                <c:pt idx="15">
                  <c:v>1.393</c:v>
                </c:pt>
                <c:pt idx="16">
                  <c:v>1.4924999999999999</c:v>
                </c:pt>
                <c:pt idx="17">
                  <c:v>1.5920000000000001</c:v>
                </c:pt>
                <c:pt idx="18">
                  <c:v>1.6915</c:v>
                </c:pt>
                <c:pt idx="19">
                  <c:v>1.7909999999999999</c:v>
                </c:pt>
              </c:numCache>
            </c:numRef>
          </c:xVal>
          <c:yVal>
            <c:numRef>
              <c:f>exercise_pipeline!$F$87:$F$106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1.00598995187806</c:v>
                </c:pt>
                <c:pt idx="7">
                  <c:v>1.1876034324520199</c:v>
                </c:pt>
                <c:pt idx="8">
                  <c:v>1.46806000744345</c:v>
                </c:pt>
                <c:pt idx="9">
                  <c:v>3.5675327882424699</c:v>
                </c:pt>
                <c:pt idx="10">
                  <c:v>9.0014014879768691</c:v>
                </c:pt>
                <c:pt idx="11">
                  <c:v>16.691908115407099</c:v>
                </c:pt>
                <c:pt idx="12">
                  <c:v>26.975959951264102</c:v>
                </c:pt>
                <c:pt idx="13">
                  <c:v>39.864737843754803</c:v>
                </c:pt>
                <c:pt idx="14">
                  <c:v>54.658808187951898</c:v>
                </c:pt>
                <c:pt idx="15">
                  <c:v>70.924839916299007</c:v>
                </c:pt>
                <c:pt idx="16">
                  <c:v>88.3301255392239</c:v>
                </c:pt>
                <c:pt idx="17">
                  <c:v>106.361245430728</c:v>
                </c:pt>
                <c:pt idx="18">
                  <c:v>124.568480787986</c:v>
                </c:pt>
                <c:pt idx="19">
                  <c:v>143.30793725698399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09-493C-8A2A-11075B71B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600863"/>
        <c:axId val="613601279"/>
      </c:scatterChart>
      <c:valAx>
        <c:axId val="613600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601279"/>
        <c:crosses val="autoZero"/>
        <c:crossBetween val="midCat"/>
      </c:valAx>
      <c:valAx>
        <c:axId val="61360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3600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exercise_pipeline!$K$86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exercise_pipeline!$J$89:$J$97</c:f>
              <c:numCache>
                <c:formatCode>General</c:formatCode>
                <c:ptCount val="9"/>
                <c:pt idx="0">
                  <c:v>97.5</c:v>
                </c:pt>
                <c:pt idx="1">
                  <c:v>98.75</c:v>
                </c:pt>
                <c:pt idx="2">
                  <c:v>100</c:v>
                </c:pt>
                <c:pt idx="3">
                  <c:v>110</c:v>
                </c:pt>
                <c:pt idx="4">
                  <c:v>120</c:v>
                </c:pt>
                <c:pt idx="5">
                  <c:v>130</c:v>
                </c:pt>
                <c:pt idx="6">
                  <c:v>140</c:v>
                </c:pt>
                <c:pt idx="7">
                  <c:v>150</c:v>
                </c:pt>
                <c:pt idx="8">
                  <c:v>160</c:v>
                </c:pt>
              </c:numCache>
            </c:numRef>
          </c:xVal>
          <c:yVal>
            <c:numRef>
              <c:f>exercise_pipeline!$K$89:$K$97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4.9524286510123599</c:v>
                </c:pt>
                <c:pt idx="3">
                  <c:v>39.553772125751003</c:v>
                </c:pt>
                <c:pt idx="4">
                  <c:v>66.436854091584095</c:v>
                </c:pt>
                <c:pt idx="5">
                  <c:v>86.036215153791105</c:v>
                </c:pt>
                <c:pt idx="6">
                  <c:v>100.236076234699</c:v>
                </c:pt>
                <c:pt idx="7">
                  <c:v>111.906162886866</c:v>
                </c:pt>
                <c:pt idx="8">
                  <c:v>123.674499083303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F-4003-89DA-E83101499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102495"/>
        <c:axId val="508103327"/>
      </c:scatterChart>
      <c:valAx>
        <c:axId val="508102495"/>
        <c:scaling>
          <c:orientation val="minMax"/>
          <c:min val="11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103327"/>
        <c:crosses val="autoZero"/>
        <c:crossBetween val="midCat"/>
      </c:valAx>
      <c:valAx>
        <c:axId val="50810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810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225412</xdr:colOff>
      <xdr:row>3</xdr:row>
      <xdr:rowOff>60239</xdr:rowOff>
    </xdr:from>
    <xdr:to>
      <xdr:col>38</xdr:col>
      <xdr:colOff>173182</xdr:colOff>
      <xdr:row>27</xdr:row>
      <xdr:rowOff>17318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0608912" y="631739"/>
          <a:ext cx="4238161" cy="575490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8</xdr:row>
      <xdr:rowOff>95250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238751" y="56030"/>
          <a:ext cx="5356862" cy="147357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82827</xdr:colOff>
      <xdr:row>98</xdr:row>
      <xdr:rowOff>77856</xdr:rowOff>
    </xdr:from>
    <xdr:to>
      <xdr:col>25</xdr:col>
      <xdr:colOff>223631</xdr:colOff>
      <xdr:row>124</xdr:row>
      <xdr:rowOff>115956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356152</xdr:colOff>
      <xdr:row>48</xdr:row>
      <xdr:rowOff>115956</xdr:rowOff>
    </xdr:from>
    <xdr:to>
      <xdr:col>30</xdr:col>
      <xdr:colOff>496956</xdr:colOff>
      <xdr:row>74</xdr:row>
      <xdr:rowOff>154056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596350</xdr:colOff>
      <xdr:row>115</xdr:row>
      <xdr:rowOff>119269</xdr:rowOff>
    </xdr:from>
    <xdr:to>
      <xdr:col>6</xdr:col>
      <xdr:colOff>248480</xdr:colOff>
      <xdr:row>141</xdr:row>
      <xdr:rowOff>157369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339587</xdr:colOff>
      <xdr:row>115</xdr:row>
      <xdr:rowOff>66261</xdr:rowOff>
    </xdr:from>
    <xdr:to>
      <xdr:col>10</xdr:col>
      <xdr:colOff>273325</xdr:colOff>
      <xdr:row>141</xdr:row>
      <xdr:rowOff>104361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60</xdr:row>
      <xdr:rowOff>1</xdr:rowOff>
    </xdr:from>
    <xdr:to>
      <xdr:col>7</xdr:col>
      <xdr:colOff>323022</xdr:colOff>
      <xdr:row>66</xdr:row>
      <xdr:rowOff>1</xdr:rowOff>
    </xdr:to>
    <xdr:sp macro="" textlink="">
      <xdr:nvSpPr>
        <xdr:cNvPr id="4" name="Callout: Down Arrow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06826" y="12904305"/>
          <a:ext cx="3619500" cy="1143000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Прототип</a:t>
          </a:r>
          <a:r>
            <a:rPr lang="ru-RU" sz="1100" baseline="0"/>
            <a:t> итоговой функции на текущий момент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результат расчета сверху вниз</a:t>
          </a:r>
          <a:endParaRPr lang="ru-RU" sz="1100"/>
        </a:p>
      </xdr:txBody>
    </xdr:sp>
    <xdr:clientData/>
  </xdr:twoCellAnchor>
  <xdr:twoCellAnchor>
    <xdr:from>
      <xdr:col>12</xdr:col>
      <xdr:colOff>512281</xdr:colOff>
      <xdr:row>59</xdr:row>
      <xdr:rowOff>44913</xdr:rowOff>
    </xdr:from>
    <xdr:to>
      <xdr:col>17</xdr:col>
      <xdr:colOff>595107</xdr:colOff>
      <xdr:row>65</xdr:row>
      <xdr:rowOff>39820</xdr:rowOff>
    </xdr:to>
    <xdr:sp macro="" textlink="">
      <xdr:nvSpPr>
        <xdr:cNvPr id="21" name="Callout: Down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86463" y="12756458"/>
          <a:ext cx="3598417" cy="1137907"/>
        </a:xfrm>
        <a:prstGeom prst="downArrow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aseline="0"/>
            <a:t>результат расчета снизу вверх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53</xdr:row>
          <xdr:rowOff>161925</xdr:rowOff>
        </xdr:from>
        <xdr:to>
          <xdr:col>15</xdr:col>
          <xdr:colOff>514350</xdr:colOff>
          <xdr:row>56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306456</xdr:colOff>
      <xdr:row>105</xdr:row>
      <xdr:rowOff>15737</xdr:rowOff>
    </xdr:from>
    <xdr:to>
      <xdr:col>13</xdr:col>
      <xdr:colOff>190499</xdr:colOff>
      <xdr:row>119</xdr:row>
      <xdr:rowOff>91937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CF8886-096B-4296-B29A-A499DDFDE8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198782</xdr:colOff>
      <xdr:row>98</xdr:row>
      <xdr:rowOff>98562</xdr:rowOff>
    </xdr:from>
    <xdr:to>
      <xdr:col>19</xdr:col>
      <xdr:colOff>604630</xdr:colOff>
      <xdr:row>112</xdr:row>
      <xdr:rowOff>174762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FB654-EBD3-4846-963B-5C3D083F8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438978</xdr:colOff>
      <xdr:row>82</xdr:row>
      <xdr:rowOff>148258</xdr:rowOff>
    </xdr:from>
    <xdr:to>
      <xdr:col>19</xdr:col>
      <xdr:colOff>231913</xdr:colOff>
      <xdr:row>97</xdr:row>
      <xdr:rowOff>33958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312507DE-C5CC-4050-A89E-6621A2C3F2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ESP_pump"/>
      <definedName name="encode_feed"/>
      <definedName name="encode_ipr"/>
      <definedName name="encode_json"/>
      <definedName name="encode_pipe"/>
      <definedName name="encode_PVT"/>
      <definedName name="encode_t_model"/>
      <definedName name="ESP_head_m"/>
      <definedName name="ESP_id_by_rate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3"/>
  <dimension ref="A1:AL158"/>
  <sheetViews>
    <sheetView tabSelected="1" topLeftCell="A42" zoomScale="115" zoomScaleNormal="115" workbookViewId="0">
      <selection activeCell="E72" sqref="E72"/>
    </sheetView>
  </sheetViews>
  <sheetFormatPr defaultRowHeight="15" x14ac:dyDescent="0.25"/>
  <cols>
    <col min="2" max="2" width="14.85546875" customWidth="1"/>
    <col min="3" max="3" width="10.85546875" customWidth="1"/>
    <col min="7" max="7" width="1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31" x14ac:dyDescent="0.25">
      <c r="A1" s="1" t="s">
        <v>0</v>
      </c>
      <c r="F1" t="s">
        <v>1</v>
      </c>
      <c r="G1" t="str">
        <f>[1]!unf_version()</f>
        <v>7.38</v>
      </c>
      <c r="H1" t="s">
        <v>50</v>
      </c>
      <c r="I1" s="20">
        <v>44708</v>
      </c>
      <c r="J1" s="21"/>
      <c r="K1" s="21"/>
      <c r="L1" s="21"/>
    </row>
    <row r="2" spans="1:31" x14ac:dyDescent="0.25">
      <c r="A2" t="s">
        <v>82</v>
      </c>
      <c r="H2" t="s">
        <v>51</v>
      </c>
      <c r="I2" s="22">
        <v>7.38</v>
      </c>
      <c r="J2" s="21"/>
      <c r="K2" s="21"/>
      <c r="L2" s="21"/>
      <c r="V2" s="45" t="s">
        <v>65</v>
      </c>
      <c r="W2" s="46"/>
      <c r="X2" s="3">
        <v>0</v>
      </c>
    </row>
    <row r="3" spans="1:31" x14ac:dyDescent="0.25">
      <c r="A3" s="23" t="s">
        <v>52</v>
      </c>
      <c r="B3" s="57"/>
      <c r="C3" s="58"/>
      <c r="D3" s="58"/>
      <c r="E3" s="59"/>
      <c r="H3" t="s">
        <v>53</v>
      </c>
      <c r="I3" s="21"/>
      <c r="J3" s="21"/>
      <c r="K3" s="21"/>
      <c r="L3" s="21"/>
      <c r="Q3" s="34" t="s">
        <v>81</v>
      </c>
      <c r="V3" s="45" t="s">
        <v>66</v>
      </c>
      <c r="W3" s="46"/>
      <c r="X3" s="3">
        <v>0</v>
      </c>
    </row>
    <row r="4" spans="1:31" x14ac:dyDescent="0.25">
      <c r="A4" s="23" t="s">
        <v>54</v>
      </c>
      <c r="B4" s="57" t="s">
        <v>55</v>
      </c>
      <c r="C4" s="58"/>
      <c r="D4" s="58"/>
      <c r="E4" s="59"/>
      <c r="H4" t="s">
        <v>56</v>
      </c>
      <c r="I4" s="21" t="s">
        <v>55</v>
      </c>
      <c r="J4" s="21"/>
      <c r="K4" s="21"/>
      <c r="L4" s="21"/>
      <c r="Q4" s="6" t="s">
        <v>78</v>
      </c>
      <c r="R4" s="36">
        <v>0</v>
      </c>
      <c r="V4" s="45" t="s">
        <v>67</v>
      </c>
      <c r="W4" s="46"/>
      <c r="X4" s="3">
        <v>0</v>
      </c>
    </row>
    <row r="5" spans="1:31" x14ac:dyDescent="0.25">
      <c r="A5" s="23" t="s">
        <v>57</v>
      </c>
      <c r="B5" s="57" t="s">
        <v>58</v>
      </c>
      <c r="C5" s="58"/>
      <c r="D5" s="58"/>
      <c r="E5" s="59"/>
      <c r="H5" t="s">
        <v>59</v>
      </c>
      <c r="I5" s="21" t="s">
        <v>58</v>
      </c>
      <c r="J5" s="21"/>
      <c r="K5" s="21"/>
      <c r="L5" s="21"/>
      <c r="Q5" s="6" t="s">
        <v>79</v>
      </c>
      <c r="R5" s="36">
        <v>0</v>
      </c>
      <c r="V5" s="45" t="s">
        <v>68</v>
      </c>
      <c r="W5" s="46"/>
      <c r="X5" s="3">
        <v>0</v>
      </c>
    </row>
    <row r="6" spans="1:31" x14ac:dyDescent="0.25">
      <c r="A6" s="24" t="s">
        <v>60</v>
      </c>
      <c r="B6" s="47" t="s">
        <v>61</v>
      </c>
      <c r="C6" s="48"/>
      <c r="D6" s="48"/>
      <c r="E6" s="49"/>
      <c r="H6" s="25" t="s">
        <v>62</v>
      </c>
      <c r="I6" s="26" t="s">
        <v>61</v>
      </c>
      <c r="J6" s="26"/>
      <c r="K6" s="26"/>
      <c r="L6" s="26"/>
      <c r="Q6" s="6" t="s">
        <v>80</v>
      </c>
      <c r="R6" s="36">
        <v>1</v>
      </c>
      <c r="V6" s="45" t="s">
        <v>73</v>
      </c>
      <c r="W6" s="46"/>
      <c r="X6" s="3">
        <v>0</v>
      </c>
    </row>
    <row r="7" spans="1:31" x14ac:dyDescent="0.25">
      <c r="A7" s="27"/>
      <c r="B7" s="50"/>
      <c r="C7" s="51"/>
      <c r="D7" s="51"/>
      <c r="E7" s="52"/>
      <c r="H7" s="25"/>
      <c r="I7" s="26"/>
      <c r="J7" s="26"/>
      <c r="K7" s="26"/>
      <c r="L7" s="26"/>
      <c r="Q7" s="21" t="str">
        <f t="array" ref="Q7">[1]!encode_json(Q4:R6)</f>
        <v>{"show_log":0,"num_value":0,"show_array":1}</v>
      </c>
      <c r="R7" s="21"/>
      <c r="V7" s="56" t="s">
        <v>69</v>
      </c>
      <c r="W7" s="56"/>
    </row>
    <row r="8" spans="1:31" x14ac:dyDescent="0.25">
      <c r="A8" s="28"/>
      <c r="B8" s="53"/>
      <c r="C8" s="54"/>
      <c r="D8" s="54"/>
      <c r="E8" s="55"/>
      <c r="H8" s="25"/>
      <c r="I8" s="26"/>
      <c r="J8" s="26"/>
      <c r="K8" s="26"/>
      <c r="L8" s="26"/>
      <c r="V8" s="45" t="s">
        <v>70</v>
      </c>
      <c r="W8" s="46"/>
      <c r="X8" s="3">
        <v>1</v>
      </c>
    </row>
    <row r="9" spans="1:31" x14ac:dyDescent="0.25">
      <c r="V9" s="45" t="s">
        <v>71</v>
      </c>
      <c r="W9" s="46"/>
      <c r="X9" s="3">
        <v>1</v>
      </c>
    </row>
    <row r="10" spans="1:31" x14ac:dyDescent="0.25">
      <c r="A10" s="1" t="s">
        <v>2</v>
      </c>
    </row>
    <row r="11" spans="1:31" ht="31.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  <c r="H11" s="11" t="s">
        <v>30</v>
      </c>
      <c r="I11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J11" s="12"/>
      <c r="K11" s="12"/>
      <c r="L11" s="12"/>
      <c r="M11" s="12"/>
      <c r="N11" s="12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9"/>
    </row>
    <row r="12" spans="1:31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  <c r="H12" s="11" t="s">
        <v>74</v>
      </c>
      <c r="I12" s="12" t="str">
        <f t="array" ref="I12">[1]!encode_feed(qliq_,fw_,Rp_,Qgas_free,PVTstr_)</f>
        <v>{"gamma_gas":0.8,"gamma_oil":0.87,"gamma_wat":1,"rsb_m3m3":80,"pb_atma":120,"t_res_C":100,"bob_m3m3":1.2,"muob_cP":1,"PVT_corr_set":0,"q_liq_sm3day":2,"fw_perc":10,"rp_m3m3":150}</v>
      </c>
      <c r="J12" s="12"/>
      <c r="K12" s="12"/>
      <c r="L12" s="12"/>
      <c r="M12" s="12"/>
      <c r="N12" s="12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9"/>
    </row>
    <row r="13" spans="1:31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31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31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  <c r="S15" s="1" t="s">
        <v>63</v>
      </c>
    </row>
    <row r="16" spans="1:31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38" ht="18.75" x14ac:dyDescent="0.35">
      <c r="B17" s="7" t="s">
        <v>17</v>
      </c>
      <c r="C17" s="3">
        <v>1.2</v>
      </c>
      <c r="D17" s="6" t="s">
        <v>8</v>
      </c>
    </row>
    <row r="18" spans="1:38" ht="18" x14ac:dyDescent="0.35">
      <c r="B18" s="9" t="s">
        <v>18</v>
      </c>
      <c r="C18" s="3">
        <v>1</v>
      </c>
      <c r="D18" s="4" t="s">
        <v>19</v>
      </c>
    </row>
    <row r="20" spans="1:38" x14ac:dyDescent="0.25">
      <c r="A20" s="1" t="s">
        <v>20</v>
      </c>
      <c r="I20" s="33" t="s">
        <v>83</v>
      </c>
      <c r="J20" s="10"/>
    </row>
    <row r="21" spans="1:38" ht="45.75" x14ac:dyDescent="0.3">
      <c r="B21" s="9" t="s">
        <v>21</v>
      </c>
      <c r="C21" s="3">
        <v>2</v>
      </c>
      <c r="D21" s="6" t="s">
        <v>22</v>
      </c>
      <c r="J21" s="9" t="s">
        <v>107</v>
      </c>
      <c r="K21" s="29">
        <v>10</v>
      </c>
      <c r="L21" s="6" t="s">
        <v>12</v>
      </c>
      <c r="O21" s="11" t="s">
        <v>75</v>
      </c>
      <c r="P21" s="12" t="str">
        <f t="array" ref="P21">[1]!encode_t_model(temp_model,E40:F42,T0,T1_)</f>
        <v>{"t_model":2,"thermal_conductivity_formation_WmC":2.4252,"specific_heat_capacity_formation_JkgC":200,"thermal_conductivity_cement_WmC":6.965,"thermal_conductivity_tubing_WmC":32,"thermal_conductivity_casing_WmC":32,"heat_transfer_casing_liquid_Wm2C":200,"heat_transfer_casing_gas_Wm2C":10,"heat_transfer_fluid_convection_Wm2C ":200,"time_calc_hr":240,"t_list_C":{"curve_x":"hvert_m","curve_y":"t_C","hvert_m":[0,1000,2500],"t_C":[20,35,90]}}</v>
      </c>
      <c r="Q21" s="12"/>
      <c r="R21" s="12"/>
      <c r="S21" s="12"/>
      <c r="T21" s="12"/>
      <c r="U21" s="12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9"/>
    </row>
    <row r="22" spans="1:38" ht="31.5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J22" s="9" t="s">
        <v>108</v>
      </c>
      <c r="K22" s="29">
        <v>42</v>
      </c>
      <c r="L22" s="6" t="s">
        <v>12</v>
      </c>
      <c r="O22" s="11" t="s">
        <v>76</v>
      </c>
      <c r="P22" s="12" t="str">
        <f t="array" ref="P22">[1]!encode_pipe(B40:C52,H40:I42)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[0,1550,2100],"diam_int_mm":[62,63,125]}}</v>
      </c>
      <c r="Q22" s="12"/>
      <c r="R22" s="12"/>
      <c r="S22" s="12"/>
      <c r="T22" s="12"/>
      <c r="U22" s="12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9"/>
    </row>
    <row r="23" spans="1:38" ht="15.75" x14ac:dyDescent="0.3">
      <c r="B23" s="9" t="s">
        <v>23</v>
      </c>
      <c r="C23" s="3">
        <v>10</v>
      </c>
      <c r="D23" s="4" t="s">
        <v>24</v>
      </c>
      <c r="J23" s="9" t="s">
        <v>106</v>
      </c>
      <c r="K23" s="29">
        <v>120</v>
      </c>
      <c r="L23" s="6" t="s">
        <v>12</v>
      </c>
      <c r="O23" t="s">
        <v>96</v>
      </c>
      <c r="P23" t="str">
        <f t="array" ref="P23">[1]!encode_ESP_pump(ESP_ID,ESP_head_nom,,ESP_freq)</f>
        <v>{"ESP_ID":737,"head_nom_m":2500,"freq_Hz":50,"gas_correct_model":0,"gas_correct_stage_by_stage":0,"calibr_head":1,"calibr_power":1,"calibr_rate":1,"dnum_stages_integrate":1}</v>
      </c>
    </row>
    <row r="24" spans="1:38" ht="18" x14ac:dyDescent="0.35">
      <c r="B24" s="9" t="s">
        <v>46</v>
      </c>
      <c r="C24" s="3">
        <v>0</v>
      </c>
      <c r="D24" s="6" t="s">
        <v>47</v>
      </c>
      <c r="J24" s="9" t="s">
        <v>27</v>
      </c>
      <c r="K24" s="3">
        <v>100</v>
      </c>
      <c r="L24" s="6" t="s">
        <v>28</v>
      </c>
      <c r="O24" t="s">
        <v>102</v>
      </c>
      <c r="P24" t="str">
        <f t="array" ref="P24">[1]!encode_ipr(O27,O28,O29)</f>
        <v>{"p_res_atma":250,"pi_m3dayatm":0.5,"pb_atma":120,"fw_perc":0}</v>
      </c>
    </row>
    <row r="25" spans="1:38" x14ac:dyDescent="0.25">
      <c r="J25" s="9" t="s">
        <v>29</v>
      </c>
      <c r="K25" s="3">
        <v>50</v>
      </c>
      <c r="L25" s="6" t="s">
        <v>28</v>
      </c>
    </row>
    <row r="26" spans="1:38" ht="18" customHeight="1" x14ac:dyDescent="0.25">
      <c r="I26" s="33" t="s">
        <v>87</v>
      </c>
      <c r="J26" s="10"/>
      <c r="N26" t="s">
        <v>98</v>
      </c>
      <c r="S26" s="13" t="s">
        <v>48</v>
      </c>
      <c r="T26" s="14"/>
      <c r="U26" s="14"/>
    </row>
    <row r="27" spans="1:38" ht="15.75" customHeight="1" x14ac:dyDescent="0.25">
      <c r="A27" s="34" t="s">
        <v>31</v>
      </c>
      <c r="B27" s="35"/>
      <c r="C27" s="35"/>
      <c r="D27" s="35"/>
      <c r="J27" s="9" t="s">
        <v>88</v>
      </c>
      <c r="K27" s="29">
        <v>125</v>
      </c>
      <c r="L27" s="6" t="s">
        <v>89</v>
      </c>
      <c r="N27" t="s">
        <v>99</v>
      </c>
      <c r="O27">
        <v>250</v>
      </c>
      <c r="S27" s="30"/>
      <c r="T27" s="31" t="s">
        <v>77</v>
      </c>
      <c r="U27" s="3">
        <v>1</v>
      </c>
    </row>
    <row r="28" spans="1:38" ht="15" customHeight="1" x14ac:dyDescent="0.35">
      <c r="B28" s="6" t="s">
        <v>32</v>
      </c>
      <c r="C28" s="36">
        <v>3500</v>
      </c>
      <c r="D28" s="37" t="s">
        <v>25</v>
      </c>
      <c r="J28" s="9" t="s">
        <v>91</v>
      </c>
      <c r="K28" s="29">
        <v>2500</v>
      </c>
      <c r="L28" s="6" t="s">
        <v>92</v>
      </c>
      <c r="N28" t="s">
        <v>100</v>
      </c>
      <c r="O28">
        <v>0.5</v>
      </c>
      <c r="S28" s="30"/>
      <c r="T28" s="31" t="s">
        <v>45</v>
      </c>
      <c r="U28" s="3">
        <v>2</v>
      </c>
    </row>
    <row r="29" spans="1:38" ht="15" customHeight="1" x14ac:dyDescent="0.35">
      <c r="B29" s="6" t="s">
        <v>33</v>
      </c>
      <c r="C29" s="36">
        <v>2500</v>
      </c>
      <c r="D29" s="37" t="s">
        <v>34</v>
      </c>
      <c r="J29" s="9" t="s">
        <v>90</v>
      </c>
      <c r="K29" s="9">
        <f t="array" ref="K29">[1]!ESP_id_by_rate(K27)</f>
        <v>737</v>
      </c>
      <c r="L29" s="6"/>
      <c r="N29" t="s">
        <v>101</v>
      </c>
      <c r="O29">
        <f>Pb_</f>
        <v>120</v>
      </c>
      <c r="S29" s="30"/>
      <c r="T29" s="31" t="s">
        <v>43</v>
      </c>
      <c r="U29" s="3">
        <v>0</v>
      </c>
      <c r="V29" s="3">
        <v>0</v>
      </c>
    </row>
    <row r="30" spans="1:38" ht="31.5" x14ac:dyDescent="0.35">
      <c r="B30" s="6" t="s">
        <v>35</v>
      </c>
      <c r="C30" s="36">
        <v>140</v>
      </c>
      <c r="D30" s="37" t="s">
        <v>26</v>
      </c>
      <c r="J30" s="9" t="s">
        <v>93</v>
      </c>
      <c r="K30" s="9">
        <f t="array" ref="K30">TRUNC(K28/[1]!ESP_head_m(K27,1,,K29))</f>
        <v>431</v>
      </c>
      <c r="L30" s="6" t="s">
        <v>95</v>
      </c>
      <c r="S30" s="30"/>
      <c r="T30" s="31" t="s">
        <v>44</v>
      </c>
      <c r="U30" s="3">
        <v>0</v>
      </c>
      <c r="V30" s="3">
        <v>0</v>
      </c>
    </row>
    <row r="31" spans="1:38" ht="15" customHeight="1" x14ac:dyDescent="0.35">
      <c r="B31" s="6" t="s">
        <v>36</v>
      </c>
      <c r="C31" s="36">
        <v>65</v>
      </c>
      <c r="D31" s="37" t="s">
        <v>26</v>
      </c>
      <c r="J31" s="9" t="s">
        <v>94</v>
      </c>
      <c r="K31" s="29">
        <v>50</v>
      </c>
      <c r="L31" s="6" t="s">
        <v>104</v>
      </c>
      <c r="S31" s="30"/>
      <c r="T31" s="32" t="s">
        <v>72</v>
      </c>
      <c r="U31" s="5">
        <f>calc_along_coord*10+flow_along_coord</f>
        <v>0</v>
      </c>
      <c r="V31" s="5">
        <f>calc_along_coord1*10+flow_along_coord1</f>
        <v>0</v>
      </c>
    </row>
    <row r="32" spans="1:38" ht="15" customHeight="1" x14ac:dyDescent="0.35">
      <c r="B32" s="6" t="s">
        <v>37</v>
      </c>
      <c r="C32" s="36">
        <v>12</v>
      </c>
      <c r="D32" s="37" t="s">
        <v>26</v>
      </c>
      <c r="J32" s="9" t="s">
        <v>64</v>
      </c>
      <c r="K32" s="3">
        <v>0.5</v>
      </c>
      <c r="L32" s="6"/>
    </row>
    <row r="34" spans="2:16" x14ac:dyDescent="0.25">
      <c r="O34" s="9" t="s">
        <v>103</v>
      </c>
      <c r="P34" s="3">
        <v>60</v>
      </c>
    </row>
    <row r="36" spans="2:16" x14ac:dyDescent="0.25">
      <c r="G36" s="10"/>
    </row>
    <row r="37" spans="2:16" x14ac:dyDescent="0.25">
      <c r="B37" s="35" t="s">
        <v>38</v>
      </c>
      <c r="C37" s="35"/>
      <c r="E37" t="s">
        <v>49</v>
      </c>
      <c r="G37" s="10"/>
      <c r="H37" t="s">
        <v>84</v>
      </c>
      <c r="I37" s="10"/>
      <c r="K37" t="s">
        <v>85</v>
      </c>
      <c r="O37" t="s">
        <v>97</v>
      </c>
    </row>
    <row r="38" spans="2:16" ht="18" x14ac:dyDescent="0.35">
      <c r="B38" s="17" t="s">
        <v>39</v>
      </c>
      <c r="C38" s="17" t="s">
        <v>40</v>
      </c>
      <c r="E38" s="17" t="s">
        <v>40</v>
      </c>
      <c r="F38" s="17" t="s">
        <v>41</v>
      </c>
      <c r="G38" s="10"/>
      <c r="H38" s="17" t="s">
        <v>39</v>
      </c>
      <c r="I38" s="15" t="s">
        <v>86</v>
      </c>
      <c r="K38" s="17" t="s">
        <v>39</v>
      </c>
      <c r="L38" s="15" t="s">
        <v>42</v>
      </c>
    </row>
    <row r="39" spans="2:16" x14ac:dyDescent="0.25">
      <c r="B39" s="17" t="s">
        <v>25</v>
      </c>
      <c r="C39" s="17" t="s">
        <v>25</v>
      </c>
      <c r="E39" s="17" t="s">
        <v>25</v>
      </c>
      <c r="F39" s="17" t="s">
        <v>34</v>
      </c>
      <c r="G39" s="10"/>
      <c r="H39" s="17" t="s">
        <v>25</v>
      </c>
      <c r="I39" s="17" t="s">
        <v>26</v>
      </c>
      <c r="K39" s="17" t="s">
        <v>25</v>
      </c>
      <c r="L39" s="17" t="s">
        <v>26</v>
      </c>
    </row>
    <row r="40" spans="2:16" x14ac:dyDescent="0.25">
      <c r="B40" s="16">
        <v>0</v>
      </c>
      <c r="C40" s="16">
        <v>0</v>
      </c>
      <c r="E40" s="40">
        <v>0</v>
      </c>
      <c r="F40" s="40">
        <v>20</v>
      </c>
      <c r="G40" s="10"/>
      <c r="H40" s="40">
        <v>0</v>
      </c>
      <c r="I40" s="41">
        <v>62</v>
      </c>
      <c r="K40" s="40">
        <v>0</v>
      </c>
      <c r="L40" s="41">
        <v>124</v>
      </c>
    </row>
    <row r="41" spans="2:16" x14ac:dyDescent="0.25">
      <c r="B41" s="16">
        <v>1000</v>
      </c>
      <c r="C41" s="16">
        <v>1000</v>
      </c>
      <c r="E41" s="40">
        <v>1000</v>
      </c>
      <c r="F41" s="40">
        <v>35</v>
      </c>
      <c r="G41" s="10"/>
      <c r="H41" s="40">
        <v>1550</v>
      </c>
      <c r="I41" s="41">
        <v>63</v>
      </c>
      <c r="K41" s="40">
        <v>2500</v>
      </c>
      <c r="L41" s="41">
        <v>125</v>
      </c>
    </row>
    <row r="42" spans="2:16" x14ac:dyDescent="0.25">
      <c r="B42" s="16">
        <v>1100</v>
      </c>
      <c r="C42" s="16">
        <v>1096</v>
      </c>
      <c r="E42" s="40">
        <v>2500</v>
      </c>
      <c r="F42" s="40">
        <v>90</v>
      </c>
      <c r="G42" s="10"/>
      <c r="H42" s="40">
        <v>2500</v>
      </c>
      <c r="I42" s="41">
        <v>125</v>
      </c>
      <c r="K42" s="40">
        <v>3500</v>
      </c>
      <c r="L42" s="41">
        <v>125</v>
      </c>
    </row>
    <row r="43" spans="2:16" x14ac:dyDescent="0.25">
      <c r="B43" s="16">
        <v>1200</v>
      </c>
      <c r="C43" s="16">
        <v>1191</v>
      </c>
      <c r="E43" s="40"/>
      <c r="F43" s="40"/>
      <c r="G43" s="10"/>
      <c r="H43" s="40"/>
      <c r="I43" s="40"/>
      <c r="K43" s="40"/>
      <c r="L43" s="40"/>
    </row>
    <row r="44" spans="2:16" x14ac:dyDescent="0.25">
      <c r="B44" s="16">
        <v>1300</v>
      </c>
      <c r="C44" s="16">
        <v>1284</v>
      </c>
      <c r="E44" s="40"/>
      <c r="F44" s="40"/>
      <c r="G44" s="10"/>
      <c r="H44" s="40"/>
      <c r="I44" s="40"/>
      <c r="K44" s="40"/>
      <c r="L44" s="40"/>
    </row>
    <row r="45" spans="2:16" x14ac:dyDescent="0.25">
      <c r="B45" s="16">
        <v>1400</v>
      </c>
      <c r="C45" s="16">
        <v>1375</v>
      </c>
      <c r="E45" s="40"/>
      <c r="F45" s="40"/>
      <c r="G45" s="10"/>
      <c r="H45" s="40"/>
      <c r="I45" s="40"/>
      <c r="K45" s="40"/>
      <c r="L45" s="40"/>
    </row>
    <row r="46" spans="2:16" x14ac:dyDescent="0.25">
      <c r="B46" s="16">
        <v>1500</v>
      </c>
      <c r="C46" s="16">
        <v>1464</v>
      </c>
      <c r="E46" s="40"/>
      <c r="F46" s="40"/>
      <c r="G46" s="10"/>
      <c r="H46" s="40"/>
      <c r="I46" s="40"/>
      <c r="K46" s="40"/>
      <c r="L46" s="40"/>
    </row>
    <row r="47" spans="2:16" x14ac:dyDescent="0.25">
      <c r="B47" s="16">
        <v>1600</v>
      </c>
      <c r="C47" s="16">
        <v>1551</v>
      </c>
      <c r="E47" s="40"/>
      <c r="F47" s="40"/>
      <c r="G47" s="10"/>
      <c r="H47" s="40"/>
      <c r="I47" s="40"/>
      <c r="K47" s="40"/>
      <c r="L47" s="40"/>
    </row>
    <row r="48" spans="2:16" x14ac:dyDescent="0.25">
      <c r="B48" s="16">
        <v>1700</v>
      </c>
      <c r="C48" s="16">
        <v>1636</v>
      </c>
      <c r="E48" s="40"/>
      <c r="F48" s="40"/>
      <c r="G48" s="10"/>
      <c r="H48" s="40"/>
      <c r="I48" s="40"/>
      <c r="K48" s="40"/>
      <c r="L48" s="40"/>
    </row>
    <row r="49" spans="2:31" x14ac:dyDescent="0.25">
      <c r="B49" s="16">
        <v>1800</v>
      </c>
      <c r="C49" s="16">
        <v>1719</v>
      </c>
      <c r="E49" s="40"/>
      <c r="F49" s="40"/>
      <c r="G49" s="10"/>
      <c r="H49" s="40"/>
      <c r="I49" s="40"/>
      <c r="K49" s="40"/>
      <c r="L49" s="40"/>
    </row>
    <row r="50" spans="2:31" x14ac:dyDescent="0.25">
      <c r="B50" s="16">
        <v>1900</v>
      </c>
      <c r="C50" s="16">
        <v>1800</v>
      </c>
      <c r="E50" s="40"/>
      <c r="F50" s="40"/>
      <c r="G50" s="10"/>
      <c r="H50" s="40"/>
      <c r="I50" s="40"/>
      <c r="K50" s="40"/>
      <c r="L50" s="40"/>
    </row>
    <row r="51" spans="2:31" x14ac:dyDescent="0.25">
      <c r="B51" s="16">
        <v>2000</v>
      </c>
      <c r="C51" s="16">
        <v>1879</v>
      </c>
      <c r="E51" s="40"/>
      <c r="F51" s="40"/>
      <c r="G51" s="10"/>
      <c r="H51" s="40"/>
      <c r="I51" s="40"/>
      <c r="K51" s="40"/>
      <c r="L51" s="40"/>
    </row>
    <row r="52" spans="2:31" x14ac:dyDescent="0.25">
      <c r="B52" s="16">
        <v>2100</v>
      </c>
      <c r="C52" s="16">
        <v>1956</v>
      </c>
      <c r="E52" s="40"/>
      <c r="F52" s="40"/>
      <c r="G52" s="10"/>
      <c r="H52" s="40"/>
      <c r="I52" s="40"/>
      <c r="K52" s="40"/>
      <c r="L52" s="40"/>
    </row>
    <row r="53" spans="2:31" x14ac:dyDescent="0.25">
      <c r="B53" s="16">
        <v>2200</v>
      </c>
      <c r="C53" s="16">
        <v>2031</v>
      </c>
      <c r="E53" s="40"/>
      <c r="F53" s="40"/>
      <c r="G53" s="10"/>
      <c r="H53" s="40"/>
      <c r="I53" s="40"/>
      <c r="K53" s="40"/>
      <c r="L53" s="40"/>
    </row>
    <row r="54" spans="2:31" x14ac:dyDescent="0.25">
      <c r="B54" s="16">
        <v>2300</v>
      </c>
      <c r="C54" s="16">
        <v>2104</v>
      </c>
      <c r="E54" s="40"/>
      <c r="F54" s="40"/>
      <c r="G54" s="10"/>
      <c r="H54" s="40"/>
      <c r="I54" s="40"/>
      <c r="K54" s="40"/>
      <c r="L54" s="40"/>
    </row>
    <row r="55" spans="2:31" x14ac:dyDescent="0.25">
      <c r="B55" s="16">
        <v>2400</v>
      </c>
      <c r="C55" s="16">
        <v>2175</v>
      </c>
      <c r="E55" s="40"/>
      <c r="F55" s="40"/>
      <c r="G55" s="10"/>
      <c r="H55" s="40"/>
      <c r="I55" s="40"/>
      <c r="K55" s="40"/>
      <c r="L55" s="40"/>
      <c r="AA55" s="38"/>
      <c r="AB55" s="38"/>
      <c r="AC55" s="39"/>
      <c r="AD55" s="39"/>
      <c r="AE55" s="38"/>
    </row>
    <row r="56" spans="2:31" x14ac:dyDescent="0.25">
      <c r="B56" s="16">
        <v>2500</v>
      </c>
      <c r="C56" s="16">
        <v>2244</v>
      </c>
      <c r="E56" s="40"/>
      <c r="F56" s="40"/>
      <c r="G56" s="10"/>
      <c r="H56" s="40"/>
      <c r="I56" s="40"/>
      <c r="K56" s="40"/>
      <c r="L56" s="40"/>
      <c r="AA56" s="38"/>
      <c r="AB56" s="38"/>
      <c r="AC56" s="39"/>
      <c r="AD56" s="39"/>
      <c r="AE56" s="38"/>
    </row>
    <row r="57" spans="2:31" x14ac:dyDescent="0.25">
      <c r="B57" s="16">
        <v>2600</v>
      </c>
      <c r="C57" s="16">
        <v>2311</v>
      </c>
      <c r="E57" s="40"/>
      <c r="F57" s="40"/>
      <c r="G57" s="10"/>
      <c r="H57" s="40"/>
      <c r="I57" s="40"/>
      <c r="K57" s="40"/>
      <c r="L57" s="40"/>
      <c r="AA57" s="38"/>
      <c r="AB57" s="38"/>
      <c r="AC57" s="39"/>
      <c r="AD57" s="39"/>
      <c r="AE57" s="38"/>
    </row>
    <row r="58" spans="2:31" x14ac:dyDescent="0.25">
      <c r="B58" s="16">
        <v>2700</v>
      </c>
      <c r="C58" s="16">
        <v>2376</v>
      </c>
      <c r="E58" s="40"/>
      <c r="F58" s="40"/>
      <c r="G58" s="10"/>
      <c r="H58" s="40"/>
      <c r="I58" s="40"/>
      <c r="K58" s="40"/>
      <c r="L58" s="40"/>
      <c r="AA58" s="38"/>
      <c r="AB58" s="38"/>
      <c r="AC58" s="39"/>
      <c r="AD58" s="39"/>
      <c r="AE58" s="38"/>
    </row>
    <row r="59" spans="2:31" x14ac:dyDescent="0.25">
      <c r="B59" s="16">
        <v>2800</v>
      </c>
      <c r="C59" s="16">
        <v>2439</v>
      </c>
      <c r="E59" s="40"/>
      <c r="F59" s="40"/>
      <c r="G59" s="10"/>
      <c r="H59" s="40"/>
      <c r="I59" s="40"/>
      <c r="K59" s="40"/>
      <c r="L59" s="40"/>
      <c r="AA59" s="38"/>
      <c r="AB59" s="38"/>
      <c r="AC59" s="39"/>
      <c r="AD59" s="39"/>
      <c r="AE59" s="38"/>
    </row>
    <row r="60" spans="2:31" x14ac:dyDescent="0.25">
      <c r="B60" s="16">
        <v>3500</v>
      </c>
      <c r="C60" s="16">
        <v>2500</v>
      </c>
      <c r="G60" s="10"/>
      <c r="AA60" s="38"/>
      <c r="AB60" s="38"/>
      <c r="AC60" s="39"/>
      <c r="AD60" s="39"/>
      <c r="AE60" s="38"/>
    </row>
    <row r="61" spans="2:31" x14ac:dyDescent="0.25">
      <c r="B61" s="16"/>
      <c r="C61" s="16"/>
      <c r="G61" s="10"/>
      <c r="AA61" s="38"/>
      <c r="AB61" s="38"/>
      <c r="AC61" s="39"/>
      <c r="AD61" s="39"/>
      <c r="AE61" s="38"/>
    </row>
    <row r="62" spans="2:31" x14ac:dyDescent="0.25">
      <c r="B62" s="16"/>
      <c r="C62" s="16"/>
      <c r="G62" s="10"/>
      <c r="AA62" s="38"/>
      <c r="AB62" s="38"/>
      <c r="AC62" s="39"/>
      <c r="AD62" s="39"/>
      <c r="AE62" s="38"/>
    </row>
    <row r="63" spans="2:31" x14ac:dyDescent="0.25">
      <c r="AA63" s="38"/>
      <c r="AB63" s="38"/>
      <c r="AC63" s="39"/>
      <c r="AD63" s="39"/>
      <c r="AE63" s="38"/>
    </row>
    <row r="64" spans="2:31" x14ac:dyDescent="0.25">
      <c r="AA64" s="38"/>
      <c r="AB64" s="38"/>
      <c r="AC64" s="39"/>
      <c r="AD64" s="39"/>
      <c r="AE64" s="38"/>
    </row>
    <row r="65" spans="2:31" x14ac:dyDescent="0.25">
      <c r="AA65" s="38"/>
      <c r="AB65" s="38"/>
      <c r="AC65" s="39"/>
      <c r="AD65" s="39"/>
      <c r="AE65" s="38"/>
    </row>
    <row r="66" spans="2:31" x14ac:dyDescent="0.25">
      <c r="AA66" s="38"/>
      <c r="AB66" s="38"/>
    </row>
    <row r="67" spans="2:31" x14ac:dyDescent="0.25">
      <c r="B67" s="44" t="s">
        <v>111</v>
      </c>
      <c r="E67" t="s">
        <v>105</v>
      </c>
      <c r="F67" t="s">
        <v>105</v>
      </c>
      <c r="G67" t="s">
        <v>110</v>
      </c>
      <c r="M67" t="s">
        <v>105</v>
      </c>
      <c r="N67" t="s">
        <v>105</v>
      </c>
      <c r="O67" t="s">
        <v>109</v>
      </c>
      <c r="AA67" s="38"/>
      <c r="AB67" s="38"/>
    </row>
    <row r="68" spans="2:31" x14ac:dyDescent="0.25">
      <c r="N68" s="38"/>
    </row>
    <row r="69" spans="2:31" x14ac:dyDescent="0.25">
      <c r="N69" s="38"/>
    </row>
    <row r="70" spans="2:31" x14ac:dyDescent="0.25">
      <c r="B70" t="str" cm="1">
        <f t="array" ref="B70:C82">[1]!decode_json(calc_)</f>
        <v>q_liq_sm3day</v>
      </c>
      <c r="C70" t="str">
        <v>72.7549374764861</v>
      </c>
      <c r="G70" t="str" cm="1">
        <f t="array" ref="G70:H80">[1]!decode_json(calc_from_pwh_)</f>
        <v>q_liq_sm3day</v>
      </c>
      <c r="H70" t="str">
        <v>73.6339866520338</v>
      </c>
      <c r="N70" s="38"/>
      <c r="O70" t="str" cm="1">
        <f t="array" ref="O70:P79">[1]!decode_json(calc_from_pwf_)</f>
        <v>q_liq_sm3day</v>
      </c>
      <c r="P70" t="str">
        <v>65</v>
      </c>
    </row>
    <row r="71" spans="2:31" x14ac:dyDescent="0.25">
      <c r="B71" t="str">
        <v>p_wf_atma</v>
      </c>
      <c r="C71" t="str">
        <v>103.47925456677</v>
      </c>
      <c r="G71" t="str">
        <v>p_wf_atma</v>
      </c>
      <c r="H71" t="str">
        <v>101.458779007432</v>
      </c>
      <c r="N71" s="38"/>
      <c r="O71" t="str">
        <v>p_wf_atma</v>
      </c>
      <c r="P71" t="str">
        <v>120</v>
      </c>
    </row>
    <row r="72" spans="2:31" x14ac:dyDescent="0.25">
      <c r="B72" t="str">
        <v>p_intake_atma</v>
      </c>
      <c r="C72" t="str">
        <v>43.0292275107057</v>
      </c>
      <c r="G72" t="str">
        <v>p_intake_atma</v>
      </c>
      <c r="H72" t="str">
        <v>41.0334976807627</v>
      </c>
      <c r="N72" s="38"/>
      <c r="O72" t="str">
        <v>p_intake_atma</v>
      </c>
      <c r="P72" t="str">
        <v>59.5084250924763</v>
      </c>
    </row>
    <row r="73" spans="2:31" x14ac:dyDescent="0.25">
      <c r="B73" t="str">
        <v>p_dis_atma</v>
      </c>
      <c r="C73" t="str">
        <v>140.401241264969</v>
      </c>
      <c r="G73" t="str">
        <v>p_dis_atma</v>
      </c>
      <c r="H73" t="str">
        <v>140.468708875895</v>
      </c>
      <c r="N73" s="38"/>
      <c r="O73" t="str">
        <v>p_dis_atma</v>
      </c>
      <c r="P73" t="str">
        <v>227.277674799687</v>
      </c>
    </row>
    <row r="74" spans="2:31" x14ac:dyDescent="0.25">
      <c r="B74" t="str">
        <v>p_buf_atma</v>
      </c>
      <c r="C74" t="str">
        <v>9.86189199758805</v>
      </c>
      <c r="G74" t="str">
        <v>p_buf_atma</v>
      </c>
      <c r="H74" t="str">
        <v>9.92287274993224</v>
      </c>
      <c r="N74" s="38"/>
      <c r="O74" t="str">
        <v>p_buf_atma</v>
      </c>
      <c r="P74" t="str">
        <v>66.4368540915841</v>
      </c>
    </row>
    <row r="75" spans="2:31" x14ac:dyDescent="0.25">
      <c r="B75" t="str">
        <v>h_crit_m</v>
      </c>
      <c r="C75" t="str">
        <v>1381.28119244845</v>
      </c>
      <c r="G75" t="str">
        <v>h_crit_m</v>
      </c>
      <c r="H75" t="str">
        <v>1377.68163917592</v>
      </c>
      <c r="N75" s="38"/>
      <c r="O75" t="str">
        <v>h_crit_m</v>
      </c>
      <c r="P75" t="str">
        <v>1427.54005622716</v>
      </c>
    </row>
    <row r="76" spans="2:31" x14ac:dyDescent="0.25">
      <c r="B76" t="str">
        <v>c_P</v>
      </c>
      <c r="C76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9.86189199758805,11.2674412762493,12.7609664456641,14.3435223997347,16.0157405560375,17.7778829124015,19.6298760939262,21.5713324446538,23.6015623671332,25.719580629586,27.9241085956712,30.2135739599167,32.5861094128502,35.0395539256427,37.5629758620423,40.1410170599931,42.7703832310296,45.4478487351331,48.1702479454676,50.9821164935686,53.8575882668678,56.7392784376354,59.6393899780737,62.5488192772267,65.4567307555608,68.3587979961063,71.2517273195618,74.1324735283356,76.998642585637,79.8479900892022,82.6787140121104,85.5052292380366,88.3312624013081,91.1345706082488,93.9138942686507,96.6681949841483,99.3964649237464,102.09785950684,104.771549472773,107.416827219916,110.0329892067,112.619422656048,115.248712851459,118.401817076102,121.55260540224,124.700961648285,127.846757700828,130.98985150776,134.130084850138,137.267280862017,140.401241264969,43.0292275107057,46.0744303112212,49.1182470208814,52.1604233795776,55.2007376533095,58.2390010553385,61.2750576601474,64.3087841430583,67.3400895369043,70.3689151179872,73.3952344889941,76.4190539014806,79.4404128464756,82.4593849337934,85.4760790757494,88.4906409871703,91.5032550093103,94.5141462590474,97.5235830947828,100.531879874257,103.47925456677]}</v>
      </c>
      <c r="G76" t="str">
        <v>c_P</v>
      </c>
      <c r="H76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9.92287274993224,11.337467352488,12.8404929461769,14.4329851097188,16.1155503130328,17.8884206057805,19.7514880806605,21.7043262683668,23.7462027377613,25.8760856766537,28.0926464572799,30.3942598147696,32.7790031032724,35.2394989209729,37.758606806631,40.3320092353312,42.9564653468159,45.6287987447427,48.3458886882685,51.1520764615392,54.0214922520681,56.8970825894247,59.7911296669616,62.6945639807135,65.5965849921079,68.4928859968273,71.3801863904886,74.255450080592,77.1162885254994,79.9604608507562,82.7861666557686,85.6077873901141,88.4290153625092,91.2276780440633,94.0025155022314,96.7524889496884,99.4765905784529,102.173976192476,104.843817614636,107.485409002482,110.098049516931,112.68113003543,115.307598099019,118.461489363661,121.613123317742,124.762393140829,127.909181624569,131.053359386618,134.194782895019,137.333292275979,140.468708875895,41.0334976807627,44.0743865648567,47.1143782993364,50.1531785223604,53.1905292010596,56.2262088810798,59.2600323095622,62.2918498477281,65.3215469037866,68.3490435154179,71.3742941552591,74.3972878021935,77.4180483046069,80.4366350527768,83.4531439724602,86.4677088481623,89.4805029807706,92.4917411786797,95.5016820724983,98.5106307284752,101.458779007432]}</v>
      </c>
      <c r="N76" s="38"/>
      <c r="O76" t="str">
        <v>c_P</v>
      </c>
      <c r="P76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66.4368540915841,69.6318436627976,72.8566771160234,76.1092233843513,79.3874653006149,82.6894951946323,86.0135100571502,89.3578062104095,92.7207734659154,96.1008887760571,99.4967093990819,102.906865599111,106.330052897267,109.76502387931,113.210579574596,116.665570858457,120.128877927398,123.599390479331,127.076007126301,130.572295298406,134.040496838034,137.456462714245,140.857323062345,144.234887663882,147.579422729085,150.889769400094,154.165458125789,157.405821664752,160.610591780705,163.77935842564,166.91196551826,170.025836552983,173.124694585005,176.186910325717,179.212300924726,182.200801806294,185.152272490817,188.066657590843,190.943811706333,193.783667071238,196.586100046205,199.351027517029,202.136070751496,205.289546818123,208.440256215508,211.588071437096,214.732844829467,217.874405487033,221.012555692442,224.147066843309,227.277674799687,59.5084250924763,62.5735484529696,65.6345653095692,68.6914187487716,71.7440676299085,74.7924876450209,77.8366722778325,80.8766337534131,83.912404047619,86.9440360110622,89.971604653235,92.9952086265623,96.0149719462691,99.0310459789866,102.043611730087,105.052882455813,108.059106620099,111.062571205778,114.063605372977,117.062584429613,120]}</v>
      </c>
    </row>
    <row r="77" spans="2:31" x14ac:dyDescent="0.25">
      <c r="B77" t="str">
        <v>c_T</v>
      </c>
      <c r="C77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26.4853063252697,27.2847621024043,28.0925404042661,28.9100233622511,29.7388103223853,30.580755550515,31.438012460656,32.3130851012052,33.2088876289661,34.1288124824171,35.0768079375398,36.0574656997576,37.076119166064,38.1389530243735,39.2520642808162,40.4218332668942,41.6571592635115,42.9683221410379,44.3671741194633,45.8685696611912,47.4915039885774,49.1758451347124,50.84653794306,52.5034278131503,54.1464478085139,55.7763781960672,57.3942094847482,59.0009448059581,60.5978391629882,62.1861917205752,63.7676026892677,65.3430947887583,66.9160506620561,68.4881384701259,70.0619007914362,71.640367230209,73.2268677663301,74.8253318506436,76.4401162647614,78.0763201690514,79.7396317526582,81.436662515869,83.174200324851,84.9705372105851,86.8214034756415,88.7344042647039,90.7181655863992,92.7824617322281,94.938355833582,97.1983542027579,99.5765749358628,91.4302008604398,92.6214687293066,93.7812174899511,94.9052819517094,95.988932397117,97.0267955504193,98.0127651942401,98.9399007599011,99.8003119085775,100.585026749371,101.283840889361,101.885143957374,102.375719558416,102.740513761043,102.962366144659,103.021696070158,102.896135094532,102.560094204701,101.984251629108,101.134943175907,100]}</v>
      </c>
      <c r="G77" t="str">
        <v>c_T</v>
      </c>
      <c r="H77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26.5684467061443,27.3696185436375,28.1793250519951,28.9989662708507,29.8301595510138,30.6747769047443,31.5349887236,32.4133145529424,33.3126815967183,34.2364915969859,35.1886966944348,36.1738848375162,37.1973752814598,38.2647058083244,39.3810005164075,40.5537268992482,41.7916423389301,43.1048462582113,44.5049630524257,46.006539851665,47.6282189371661,49.3103762837716,50.9787170833565,52.6330740347056,54.2733646233188,55.9003340319172,57.5149274393876,59.1180973007611,60.7110353013509,62.2949689684728,63.8714108620457,65.4412783317302,67.0078154850059,68.5725697103067,70.1379205084706,71.7067036525138,73.2820257034796,74.8675524300201,76.4673363607616,78.0861196635607,79.7291786583803,81.4026440655485,83.112754790598,84.8771152272114,86.6907958613372,88.5605923615961,90.4942038685225,92.5003453181581,94.5888714709977,96.7709133096671,99.059027355917,91.5175840917129,92.7037569875357,93.8580069783016,94.9761668135423,96.0535139574538,97.0846932761041,98.0636297338162,98.9834295019494,99.8362675875256,100.613259733848,101.304315914386,101.897972213712,102.381197237798,102.739168384356,102.955012284721,103.009502438514,102.880705416159,102.543564887184,101.969409987167,101.125370957609,100]}</v>
      </c>
      <c r="N77" s="38"/>
      <c r="O77" t="str">
        <v>c_T</v>
      </c>
      <c r="P77" t="str">
        <v>{"curve_x":"x","curve_y":"y","x":[0,50,100,150,200,250,300,350,400,450,500,550,600,650,700,750,800,850,900,950,1000,1050,1100,1150,1200,1250,1300,1350,1400,1450,1500,1550,1600,1650,1700,1750,1800,1850,1900,1950,2000,2050,2100,2150,2200,2250,2300,2350,2400,2450,2500,2501,2551,2601,2651,2701,2751,2801,2851,2901,2951,3001,3051,3101,3151,3201,3251,3301,3351,3401,3451,3500],"y":[25.5483864113249,26.3212312833108,27.1004178581981,27.8873944103021,28.6838250038225,29.4916261856644,30.3130117379089,31.1505464803265,32.0072102600883,32.8864734592564,33.7923855844448,34.7296787699738,35.7038883181534,36.7214927096731,37.7900758339799,38.9185147384269,40.1171956117241,41.3982618788786,42.7758986925927,44.2677174050727,45.8953992591589,47.5931687420604,49.2781733491593,50.9498893883348,52.6078229005056,54.2526025062453,55.8851363633303,57.5063374070247,59.1174463350026,60.7197554547043,62.3149454648079,63.9044404571248,65.4920834387967,67.0794055042761,68.6693340718561,70.2654412191312,71.8717168704734,73.4929606284201,75.1345808392004,76.8030141409228,78.5055593073795,80.2508292064363,82.0481617569456,83.9194977526307,85.8629825439968,87.8899614285905,90.0134928600777,92.2485862254171,94.6124666648904,97.1248681157249,99.8083551800868,90.6102894067943,91.8473809378496,93.0570450736613,94.2351496538977,95.3769197695094,96.4768410571091,97.5285484035476,98.5246975315354,99.4568164696831,100.315133336616,101.088376158979,101.763539558,102.325612026991,102.757256113504,103.038432021583,103.145952834804,103.052956555362,102.72827621721,102.13568412402,101.232979328049,100]}</v>
      </c>
    </row>
    <row r="78" spans="2:31" x14ac:dyDescent="0.25">
      <c r="B78" t="str">
        <v>c_cas_P</v>
      </c>
      <c r="C78" t="str">
        <v>{"curve_x":"x","curve_y":"y","x":[0,50,100,150,200,250,300,350,400,450,500,550,600,650,700,750,800,850,900,950,1000,1050,1100,1150,1200,1250,1300,1350,1400,1450,1500,1550,1600,1650,1700,1750,1800,1850,1900,1950,1998.82323016305,2000,2050,2100,2150,2200,2250,2300,2350,2400,2450,2500]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11.6758453298248,11.7168932657028,11.757389002078,11.7973345046244,11.8367325967687,11.8746707938607,11.9491831073938,15.0799702165693,18.1928293786136,21.3183968813679,24.4377304602659,27.5512212032214,30.6587759231325,33.7603137295742,36.8557647850623,39.945069256826,43.0292275107057]}</v>
      </c>
      <c r="G78" t="str">
        <v>c_cas_P</v>
      </c>
      <c r="H78" t="str">
        <v>{"curve_x":"x","curve_y":"y","x":[0,50,100,150,200,250,300,350,400,450,500,550,600,650,700,750,800,850,900,950,1000,1050,1100,1150,1200,1250,1300,1350,1400,1450,1500,1550,1600,1650,1700,1750,1800,1850,1900,1950,2000,2031.16206002944,2050,2100,2150,2200,2250,2300,2350,2400,2450,2500]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11.6758453298248,11.7168932657028,11.757389002078,11.7973345046244,11.8367325967687,11.8755852054196,11.8994614168203,13.0772363826765,16.187731046576,19.3138865550822,22.4347364600925,25.5494310427144,28.6582035327029,31.7609664289487,34.857644079535,37.9481714897065,41.0334976807627]}</v>
      </c>
      <c r="N78" s="38"/>
      <c r="O78" t="str">
        <v>c_cas_P</v>
      </c>
      <c r="P78" t="str">
        <v>{"curve_x":"x","curve_y":"y","x":[0,50,100,150,200,250,300,350,400,450,500,550,600,650,700,750,800,850,900,950,1000,1050,1100,1150,1200,1250,1300,1350,1400,1450,1500,1550,1600,1650,1700,1740.9788126879,1750,1800,1850,1900,1950,2000,2050,2100,2150,2200,2250,2300,2350,2400,2450,2500],"y":[10,10.0489421600579,10.0979908303041,10.147145969272,10.1964075355938,10.2457754879972,10.2952497853022,10.344830386418,10.3945172503398,10.4443103361462,10.4942096029962,10.5442150101267,10.5943265168494,10.6445440825491,10.6948676666806,10.7452972287666,10.7958327283955,10.8464741252191,10.8972213789509,10.9479036755785,10.9976675395683,11.0464657246932,11.0949216014961,11.14291956594,11.1903254616273,11.2371392462149,11.2833679038214,11.3290126436906,11.3740788148397,11.4185681593118,11.4624851366674,11.5060769760148,11.5493606123904,11.5920816781991,11.634242127527,11.6683391242106,12.2785069386649,15.6254910729052,18.9325644797823,22.1974162146754,25.4184670241156,28.5953219916832,31.7279225348365,34.8366970967709,37.9433527468017,41.0436345676265,44.1374879481897,47.2248673464908,50.3057355411445,53.3800629568165,56.4469751736065,59.5084250924763]}</v>
      </c>
    </row>
    <row r="79" spans="2:31" x14ac:dyDescent="0.25">
      <c r="B79" t="str">
        <v>h_dyn_m</v>
      </c>
      <c r="C79" t="str">
        <v>1998.82323016305</v>
      </c>
      <c r="G79" t="str">
        <v>h_dyn_m</v>
      </c>
      <c r="H79" t="str">
        <v>2031.16206002944</v>
      </c>
      <c r="N79" s="38"/>
      <c r="O79" t="str">
        <v>h_dyn_m</v>
      </c>
      <c r="P79" t="str">
        <v>1740.9788126879</v>
      </c>
    </row>
    <row r="80" spans="2:31" x14ac:dyDescent="0.25">
      <c r="B80" t="str">
        <v>calibr_esp</v>
      </c>
      <c r="C80" t="str">
        <v>0.908419896797424</v>
      </c>
      <c r="G80" t="str">
        <v>crv_pwf</v>
      </c>
      <c r="H80" t="str">
        <v>{"curve_x":"x","curve_y":"y","x":[90,95,97.5,98.75,100,110,120,130,140,150,160,170,180,190,200,210,220,230,240,250],"y":[0,0,0,0,4.95242865101236,39.553772125751,66.4368540915841,86.0362151537911,100.236076234699,111.906162886866,123.674499083303,135.109485175091,145.62929188721,155.24055263478,164.93129407701,174.422651981639,183.236953143965,190.44248709829,192.14319315222,173.917033047465]}</v>
      </c>
      <c r="N80" s="38"/>
    </row>
    <row r="81" spans="2:22" x14ac:dyDescent="0.25">
      <c r="B81" t="str">
        <v>crv_pwf</v>
      </c>
      <c r="C81" t="str">
        <v>{"curve_x":"x","curve_y":"y","x":[87.5,100,112.5,125,137.5,150,162.5,175,187.5,200,212.5,225,237.5,250],"y":[25.6564703959135,38.4375194731834,51.2365273441561,64.0493053739229,76.8028155960319,89.4297163773098,101.93551318279,114.326091771915,126.691910812204,139.077065744601,151.477510804421,163.890265184725,176.313057088499,188.744152186503]}</v>
      </c>
      <c r="N81" s="38"/>
    </row>
    <row r="82" spans="2:22" x14ac:dyDescent="0.25">
      <c r="B82" t="str">
        <v>crv_cal</v>
      </c>
      <c r="C82" t="str">
        <v>{"curve_x":"x","curve_y":"y","x":[0.696500000000001,0.696500000000001,0.721375000000001,0.733812500000001,0.733812500000001,0.735367187500001,0.736921875000001,0.740031250000001,0.746250000000001,0.796000000000001,0.895500000000001,0.995000000000001,1.0945,1.194,1.2935,1.393,1.4925,1.592,1.6915,1.791,1.8905,1.99],"y":[0,0,0,0,0,0,1.00598995187806,1.18760343245202,1.46806000744345,3.56753278824247,9.00140148797687,16.6919081154071,26.9759599512641,39.8647378437548,54.6588081879519,70.924839916299,88.3301255392239,106.361245430728,124.568480787986,143.307937256984,162.623637876513,182.354711885074]}</v>
      </c>
      <c r="N82" s="38"/>
    </row>
    <row r="83" spans="2:22" x14ac:dyDescent="0.25">
      <c r="N83" s="38"/>
    </row>
    <row r="84" spans="2:22" x14ac:dyDescent="0.25">
      <c r="N84" s="38"/>
    </row>
    <row r="85" spans="2:22" x14ac:dyDescent="0.25">
      <c r="N85" s="38"/>
    </row>
    <row r="86" spans="2:22" x14ac:dyDescent="0.25">
      <c r="B86" t="str" cm="1">
        <f t="array" ref="B86:C100">decode_json_crv(C81)</f>
        <v>x</v>
      </c>
      <c r="C86" t="str">
        <v>y</v>
      </c>
      <c r="E86" t="str" cm="1">
        <f t="array" ref="E86:F108">decode_json_crv(C82)</f>
        <v>x</v>
      </c>
      <c r="F86" t="str">
        <v>y</v>
      </c>
      <c r="J86" t="str" cm="1">
        <f t="array" ref="J86:K106">decode_json_crv(H80)</f>
        <v>x</v>
      </c>
      <c r="K86" t="str">
        <v>y</v>
      </c>
      <c r="N86" s="38"/>
      <c r="O86" t="str" cm="1">
        <f t="array" ref="O86">[1]!decode_json_crv(P75)</f>
        <v>error:decode_json_crv: Error parsing JSON:_x000D_
1427.540056_x000D_
^_x000D_
Expecting '{' or '['</v>
      </c>
      <c r="R86" t="str" cm="1">
        <f t="array" ref="R86:S158">[1]!decode_json_crv(P76)</f>
        <v>x</v>
      </c>
      <c r="S86" t="str">
        <v>y</v>
      </c>
      <c r="U86" t="str" cm="1">
        <f t="array" ref="U86:V158">[1]!decode_json_crv(P77)</f>
        <v>x</v>
      </c>
      <c r="V86" t="str">
        <v>y</v>
      </c>
    </row>
    <row r="87" spans="2:22" x14ac:dyDescent="0.25">
      <c r="B87">
        <v>87.5</v>
      </c>
      <c r="C87">
        <v>25.656470395913502</v>
      </c>
      <c r="E87">
        <v>0.69650000000000101</v>
      </c>
      <c r="F87">
        <v>0</v>
      </c>
      <c r="J87">
        <v>90</v>
      </c>
      <c r="K87">
        <v>0</v>
      </c>
      <c r="N87" s="38"/>
      <c r="R87">
        <v>0</v>
      </c>
      <c r="S87">
        <v>66.436854091584095</v>
      </c>
      <c r="U87">
        <v>0</v>
      </c>
      <c r="V87">
        <v>25.548386411324898</v>
      </c>
    </row>
    <row r="88" spans="2:22" x14ac:dyDescent="0.25">
      <c r="B88">
        <v>100</v>
      </c>
      <c r="C88">
        <v>38.4375194731834</v>
      </c>
      <c r="E88">
        <v>0.69650000000000101</v>
      </c>
      <c r="F88">
        <v>0</v>
      </c>
      <c r="J88">
        <v>95</v>
      </c>
      <c r="K88">
        <v>0</v>
      </c>
      <c r="N88" s="38"/>
      <c r="R88">
        <v>50</v>
      </c>
      <c r="S88">
        <v>69.631843662797607</v>
      </c>
      <c r="U88">
        <v>50</v>
      </c>
      <c r="V88">
        <v>26.321231283310802</v>
      </c>
    </row>
    <row r="89" spans="2:22" x14ac:dyDescent="0.25">
      <c r="B89">
        <v>112.5</v>
      </c>
      <c r="C89">
        <v>51.236527344156102</v>
      </c>
      <c r="E89">
        <v>0.72137500000000099</v>
      </c>
      <c r="F89">
        <v>0</v>
      </c>
      <c r="J89">
        <v>97.5</v>
      </c>
      <c r="K89">
        <v>0</v>
      </c>
      <c r="R89">
        <v>100</v>
      </c>
      <c r="S89">
        <v>72.856677116023405</v>
      </c>
      <c r="U89">
        <v>100</v>
      </c>
      <c r="V89">
        <v>27.100417858198099</v>
      </c>
    </row>
    <row r="90" spans="2:22" x14ac:dyDescent="0.25">
      <c r="B90">
        <v>125</v>
      </c>
      <c r="C90">
        <v>64.049305373922905</v>
      </c>
      <c r="E90">
        <v>0.73381250000000098</v>
      </c>
      <c r="F90">
        <v>0</v>
      </c>
      <c r="J90">
        <v>98.75</v>
      </c>
      <c r="K90">
        <v>0</v>
      </c>
      <c r="R90">
        <v>150</v>
      </c>
      <c r="S90">
        <v>76.109223384351296</v>
      </c>
      <c r="U90">
        <v>150</v>
      </c>
      <c r="V90">
        <v>27.8873944103021</v>
      </c>
    </row>
    <row r="91" spans="2:22" x14ac:dyDescent="0.25">
      <c r="B91">
        <v>137.5</v>
      </c>
      <c r="C91">
        <v>76.802815596031905</v>
      </c>
      <c r="E91">
        <v>0.73381250000000098</v>
      </c>
      <c r="F91">
        <v>0</v>
      </c>
      <c r="J91">
        <v>100</v>
      </c>
      <c r="K91">
        <v>4.9524286510123599</v>
      </c>
      <c r="R91">
        <v>200</v>
      </c>
      <c r="S91">
        <v>79.387465300614906</v>
      </c>
      <c r="U91">
        <v>200</v>
      </c>
      <c r="V91">
        <v>28.683825003822498</v>
      </c>
    </row>
    <row r="92" spans="2:22" x14ac:dyDescent="0.25">
      <c r="B92">
        <v>150</v>
      </c>
      <c r="C92">
        <v>89.429716377309802</v>
      </c>
      <c r="E92">
        <v>0.73536718750000096</v>
      </c>
      <c r="F92">
        <v>0</v>
      </c>
      <c r="J92">
        <v>110</v>
      </c>
      <c r="K92">
        <v>39.553772125751003</v>
      </c>
      <c r="R92">
        <v>250</v>
      </c>
      <c r="S92">
        <v>82.6894951946323</v>
      </c>
      <c r="U92">
        <v>250</v>
      </c>
      <c r="V92">
        <v>29.491626185664401</v>
      </c>
    </row>
    <row r="93" spans="2:22" x14ac:dyDescent="0.25">
      <c r="B93">
        <v>162.5</v>
      </c>
      <c r="C93">
        <v>101.93551318279</v>
      </c>
      <c r="E93">
        <v>0.73692187500000095</v>
      </c>
      <c r="F93">
        <v>1.00598995187806</v>
      </c>
      <c r="J93">
        <v>120</v>
      </c>
      <c r="K93">
        <v>66.436854091584095</v>
      </c>
      <c r="R93">
        <v>300</v>
      </c>
      <c r="S93">
        <v>86.013510057150199</v>
      </c>
      <c r="U93">
        <v>300</v>
      </c>
      <c r="V93">
        <v>30.313011737908901</v>
      </c>
    </row>
    <row r="94" spans="2:22" x14ac:dyDescent="0.25">
      <c r="B94">
        <v>175</v>
      </c>
      <c r="C94">
        <v>114.326091771915</v>
      </c>
      <c r="E94">
        <v>0.74003125000000103</v>
      </c>
      <c r="F94">
        <v>1.1876034324520199</v>
      </c>
      <c r="J94">
        <v>130</v>
      </c>
      <c r="K94">
        <v>86.036215153791105</v>
      </c>
      <c r="R94">
        <v>350</v>
      </c>
      <c r="S94">
        <v>89.357806210409507</v>
      </c>
      <c r="U94">
        <v>350</v>
      </c>
      <c r="V94">
        <v>31.150546480326501</v>
      </c>
    </row>
    <row r="95" spans="2:22" x14ac:dyDescent="0.25">
      <c r="B95">
        <v>187.5</v>
      </c>
      <c r="C95">
        <v>126.691910812204</v>
      </c>
      <c r="E95">
        <v>0.74625000000000097</v>
      </c>
      <c r="F95">
        <v>1.46806000744345</v>
      </c>
      <c r="J95">
        <v>140</v>
      </c>
      <c r="K95">
        <v>100.236076234699</v>
      </c>
      <c r="R95">
        <v>400</v>
      </c>
      <c r="S95">
        <v>92.7207734659154</v>
      </c>
      <c r="U95">
        <v>400</v>
      </c>
      <c r="V95">
        <v>32.0072102600883</v>
      </c>
    </row>
    <row r="96" spans="2:22" x14ac:dyDescent="0.25">
      <c r="B96">
        <v>200</v>
      </c>
      <c r="C96">
        <v>139.07706574460099</v>
      </c>
      <c r="E96">
        <v>0.79600000000000104</v>
      </c>
      <c r="F96">
        <v>3.5675327882424699</v>
      </c>
      <c r="J96">
        <v>150</v>
      </c>
      <c r="K96">
        <v>111.906162886866</v>
      </c>
      <c r="O96" s="42"/>
      <c r="R96">
        <v>450</v>
      </c>
      <c r="S96">
        <v>96.100888776057104</v>
      </c>
      <c r="U96">
        <v>450</v>
      </c>
      <c r="V96">
        <v>32.886473459256401</v>
      </c>
    </row>
    <row r="97" spans="2:22" x14ac:dyDescent="0.25">
      <c r="B97">
        <v>212.5</v>
      </c>
      <c r="C97">
        <v>151.477510804421</v>
      </c>
      <c r="E97">
        <v>0.89550000000000096</v>
      </c>
      <c r="F97">
        <v>9.0014014879768691</v>
      </c>
      <c r="J97">
        <v>160</v>
      </c>
      <c r="K97">
        <v>123.674499083303</v>
      </c>
      <c r="O97" s="42"/>
      <c r="R97">
        <v>500</v>
      </c>
      <c r="S97">
        <v>99.496709399081894</v>
      </c>
      <c r="U97">
        <v>500</v>
      </c>
      <c r="V97">
        <v>33.792385584444801</v>
      </c>
    </row>
    <row r="98" spans="2:22" x14ac:dyDescent="0.25">
      <c r="B98">
        <v>225</v>
      </c>
      <c r="C98">
        <v>163.890265184725</v>
      </c>
      <c r="E98">
        <v>0.99500000000000099</v>
      </c>
      <c r="F98">
        <v>16.691908115407099</v>
      </c>
      <c r="J98">
        <v>170</v>
      </c>
      <c r="K98">
        <v>135.10948517509101</v>
      </c>
      <c r="O98" s="43"/>
      <c r="R98">
        <v>550</v>
      </c>
      <c r="S98">
        <v>102.906865599111</v>
      </c>
      <c r="U98">
        <v>550</v>
      </c>
      <c r="V98">
        <v>34.729678769973802</v>
      </c>
    </row>
    <row r="99" spans="2:22" x14ac:dyDescent="0.25">
      <c r="B99">
        <v>237.5</v>
      </c>
      <c r="C99">
        <v>176.31305708849899</v>
      </c>
      <c r="E99">
        <v>1.0945</v>
      </c>
      <c r="F99">
        <v>26.975959951264102</v>
      </c>
      <c r="J99">
        <v>180</v>
      </c>
      <c r="K99">
        <v>145.62929188721</v>
      </c>
      <c r="O99" s="43"/>
      <c r="R99">
        <v>600</v>
      </c>
      <c r="S99">
        <v>106.330052897267</v>
      </c>
      <c r="U99">
        <v>600</v>
      </c>
      <c r="V99">
        <v>35.703888318153403</v>
      </c>
    </row>
    <row r="100" spans="2:22" x14ac:dyDescent="0.25">
      <c r="B100">
        <v>250</v>
      </c>
      <c r="C100">
        <v>188.74415218650299</v>
      </c>
      <c r="E100">
        <v>1.194</v>
      </c>
      <c r="F100">
        <v>39.864737843754803</v>
      </c>
      <c r="J100">
        <v>190</v>
      </c>
      <c r="K100">
        <v>155.24055263477999</v>
      </c>
      <c r="O100" s="43"/>
      <c r="R100">
        <v>650</v>
      </c>
      <c r="S100">
        <v>109.76502387930999</v>
      </c>
      <c r="U100">
        <v>650</v>
      </c>
      <c r="V100">
        <v>36.7214927096731</v>
      </c>
    </row>
    <row r="101" spans="2:22" x14ac:dyDescent="0.25">
      <c r="E101">
        <v>1.2935000000000001</v>
      </c>
      <c r="F101">
        <v>54.658808187951898</v>
      </c>
      <c r="J101">
        <v>200</v>
      </c>
      <c r="K101">
        <v>164.93129407700999</v>
      </c>
      <c r="O101" s="43"/>
      <c r="R101">
        <v>700</v>
      </c>
      <c r="S101">
        <v>113.210579574596</v>
      </c>
      <c r="U101">
        <v>700</v>
      </c>
      <c r="V101">
        <v>37.790075833979898</v>
      </c>
    </row>
    <row r="102" spans="2:22" x14ac:dyDescent="0.25">
      <c r="E102">
        <v>1.393</v>
      </c>
      <c r="F102">
        <v>70.924839916299007</v>
      </c>
      <c r="J102">
        <v>210</v>
      </c>
      <c r="K102">
        <v>174.42265198163901</v>
      </c>
      <c r="O102" s="43"/>
      <c r="R102">
        <v>750</v>
      </c>
      <c r="S102">
        <v>116.665570858457</v>
      </c>
      <c r="U102">
        <v>750</v>
      </c>
      <c r="V102">
        <v>38.9185147384269</v>
      </c>
    </row>
    <row r="103" spans="2:22" x14ac:dyDescent="0.25">
      <c r="E103">
        <v>1.4924999999999999</v>
      </c>
      <c r="F103">
        <v>88.3301255392239</v>
      </c>
      <c r="J103">
        <v>220</v>
      </c>
      <c r="K103">
        <v>183.236953143965</v>
      </c>
      <c r="O103" s="43"/>
      <c r="R103">
        <v>800</v>
      </c>
      <c r="S103">
        <v>120.12887792739799</v>
      </c>
      <c r="U103">
        <v>800</v>
      </c>
      <c r="V103">
        <v>40.1171956117241</v>
      </c>
    </row>
    <row r="104" spans="2:22" x14ac:dyDescent="0.25">
      <c r="E104">
        <v>1.5920000000000001</v>
      </c>
      <c r="F104">
        <v>106.361245430728</v>
      </c>
      <c r="J104">
        <v>230</v>
      </c>
      <c r="K104">
        <v>190.44248709829</v>
      </c>
      <c r="O104" s="43"/>
      <c r="R104">
        <v>850</v>
      </c>
      <c r="S104">
        <v>123.59939047933101</v>
      </c>
      <c r="U104">
        <v>850</v>
      </c>
      <c r="V104">
        <v>41.3982618788786</v>
      </c>
    </row>
    <row r="105" spans="2:22" x14ac:dyDescent="0.25">
      <c r="E105">
        <v>1.6915</v>
      </c>
      <c r="F105">
        <v>124.568480787986</v>
      </c>
      <c r="J105">
        <v>240</v>
      </c>
      <c r="K105">
        <v>192.14319315221999</v>
      </c>
      <c r="O105" s="43"/>
      <c r="R105">
        <v>900</v>
      </c>
      <c r="S105">
        <v>127.07600712630099</v>
      </c>
      <c r="U105">
        <v>900</v>
      </c>
      <c r="V105">
        <v>42.775898692592698</v>
      </c>
    </row>
    <row r="106" spans="2:22" x14ac:dyDescent="0.25">
      <c r="E106">
        <v>1.7909999999999999</v>
      </c>
      <c r="F106">
        <v>143.30793725698399</v>
      </c>
      <c r="J106">
        <v>250</v>
      </c>
      <c r="K106">
        <v>173.917033047465</v>
      </c>
      <c r="O106" s="43"/>
      <c r="R106">
        <v>950</v>
      </c>
      <c r="S106">
        <v>130.572295298406</v>
      </c>
      <c r="U106">
        <v>950</v>
      </c>
      <c r="V106">
        <v>44.267717405072702</v>
      </c>
    </row>
    <row r="107" spans="2:22" x14ac:dyDescent="0.25">
      <c r="E107">
        <v>1.8905000000000001</v>
      </c>
      <c r="F107">
        <v>162.62363787651299</v>
      </c>
      <c r="O107" s="43"/>
      <c r="R107">
        <v>1000</v>
      </c>
      <c r="S107">
        <v>134.04049683803399</v>
      </c>
      <c r="U107">
        <v>1000</v>
      </c>
      <c r="V107">
        <v>45.8953992591589</v>
      </c>
    </row>
    <row r="108" spans="2:22" x14ac:dyDescent="0.25">
      <c r="E108">
        <v>1.99</v>
      </c>
      <c r="F108">
        <v>182.35471188507401</v>
      </c>
      <c r="O108" s="43"/>
      <c r="R108">
        <v>1050</v>
      </c>
      <c r="S108">
        <v>137.45646271424499</v>
      </c>
      <c r="U108">
        <v>1050</v>
      </c>
      <c r="V108">
        <v>47.593168742060399</v>
      </c>
    </row>
    <row r="109" spans="2:22" x14ac:dyDescent="0.25">
      <c r="O109" s="43"/>
      <c r="R109">
        <v>1100</v>
      </c>
      <c r="S109">
        <v>140.85732306234499</v>
      </c>
      <c r="U109">
        <v>1100</v>
      </c>
      <c r="V109">
        <v>49.278173349159303</v>
      </c>
    </row>
    <row r="110" spans="2:22" x14ac:dyDescent="0.25">
      <c r="O110" s="43"/>
      <c r="R110">
        <v>1150</v>
      </c>
      <c r="S110">
        <v>144.23488766388201</v>
      </c>
      <c r="U110">
        <v>1150</v>
      </c>
      <c r="V110">
        <v>50.949889388334803</v>
      </c>
    </row>
    <row r="111" spans="2:22" x14ac:dyDescent="0.25">
      <c r="O111" s="43"/>
      <c r="R111">
        <v>1200</v>
      </c>
      <c r="S111">
        <v>147.579422729085</v>
      </c>
      <c r="U111">
        <v>1200</v>
      </c>
      <c r="V111">
        <v>52.607822900505603</v>
      </c>
    </row>
    <row r="112" spans="2:22" x14ac:dyDescent="0.25">
      <c r="O112" s="43"/>
      <c r="R112">
        <v>1250</v>
      </c>
      <c r="S112">
        <v>150.889769400094</v>
      </c>
      <c r="U112">
        <v>1250</v>
      </c>
      <c r="V112">
        <v>54.252602506245303</v>
      </c>
    </row>
    <row r="113" spans="15:22" x14ac:dyDescent="0.25">
      <c r="O113" s="43"/>
      <c r="R113">
        <v>1300</v>
      </c>
      <c r="S113">
        <v>154.165458125789</v>
      </c>
      <c r="U113">
        <v>1300</v>
      </c>
      <c r="V113">
        <v>55.885136363330297</v>
      </c>
    </row>
    <row r="114" spans="15:22" x14ac:dyDescent="0.25">
      <c r="O114" s="43"/>
      <c r="R114">
        <v>1350</v>
      </c>
      <c r="S114">
        <v>157.40582166475201</v>
      </c>
      <c r="U114">
        <v>1350</v>
      </c>
      <c r="V114">
        <v>57.506337407024702</v>
      </c>
    </row>
    <row r="115" spans="15:22" x14ac:dyDescent="0.25">
      <c r="O115" s="43"/>
      <c r="R115">
        <v>1400</v>
      </c>
      <c r="S115">
        <v>160.61059178070499</v>
      </c>
      <c r="U115">
        <v>1400</v>
      </c>
      <c r="V115">
        <v>59.117446335002597</v>
      </c>
    </row>
    <row r="116" spans="15:22" x14ac:dyDescent="0.25">
      <c r="O116" s="43"/>
      <c r="R116">
        <v>1450</v>
      </c>
      <c r="S116">
        <v>163.77935842564</v>
      </c>
      <c r="U116">
        <v>1450</v>
      </c>
      <c r="V116">
        <v>60.719755454704298</v>
      </c>
    </row>
    <row r="117" spans="15:22" x14ac:dyDescent="0.25">
      <c r="O117" s="43"/>
      <c r="R117">
        <v>1500</v>
      </c>
      <c r="S117">
        <v>166.91196551825999</v>
      </c>
      <c r="U117">
        <v>1500</v>
      </c>
      <c r="V117">
        <v>62.314945464807899</v>
      </c>
    </row>
    <row r="118" spans="15:22" x14ac:dyDescent="0.25">
      <c r="O118" s="43"/>
      <c r="R118">
        <v>1550</v>
      </c>
      <c r="S118">
        <v>170.02583655298301</v>
      </c>
      <c r="U118">
        <v>1550</v>
      </c>
      <c r="V118">
        <v>63.904440457124799</v>
      </c>
    </row>
    <row r="119" spans="15:22" x14ac:dyDescent="0.25">
      <c r="O119" s="42"/>
      <c r="R119">
        <v>1600</v>
      </c>
      <c r="S119">
        <v>173.12469458500499</v>
      </c>
      <c r="U119">
        <v>1600</v>
      </c>
      <c r="V119">
        <v>65.492083438796698</v>
      </c>
    </row>
    <row r="120" spans="15:22" x14ac:dyDescent="0.25">
      <c r="O120" s="42"/>
      <c r="R120">
        <v>1650</v>
      </c>
      <c r="S120">
        <v>176.18691032571701</v>
      </c>
      <c r="U120">
        <v>1650</v>
      </c>
      <c r="V120">
        <v>67.079405504276096</v>
      </c>
    </row>
    <row r="121" spans="15:22" x14ac:dyDescent="0.25">
      <c r="O121" s="42"/>
      <c r="R121">
        <v>1700</v>
      </c>
      <c r="S121">
        <v>179.21230092472601</v>
      </c>
      <c r="U121">
        <v>1700</v>
      </c>
      <c r="V121">
        <v>68.669334071856099</v>
      </c>
    </row>
    <row r="122" spans="15:22" x14ac:dyDescent="0.25">
      <c r="O122" s="42"/>
      <c r="R122">
        <v>1750</v>
      </c>
      <c r="S122">
        <v>182.20080180629401</v>
      </c>
      <c r="U122">
        <v>1750</v>
      </c>
      <c r="V122">
        <v>70.265441219131205</v>
      </c>
    </row>
    <row r="123" spans="15:22" x14ac:dyDescent="0.25">
      <c r="O123" s="42"/>
      <c r="R123">
        <v>1800</v>
      </c>
      <c r="S123">
        <v>185.15227249081701</v>
      </c>
      <c r="U123">
        <v>1800</v>
      </c>
      <c r="V123">
        <v>71.871716870473406</v>
      </c>
    </row>
    <row r="124" spans="15:22" x14ac:dyDescent="0.25">
      <c r="O124" s="42"/>
      <c r="R124">
        <v>1850</v>
      </c>
      <c r="S124">
        <v>188.06665759084299</v>
      </c>
      <c r="U124">
        <v>1850</v>
      </c>
      <c r="V124">
        <v>73.492960628420093</v>
      </c>
    </row>
    <row r="125" spans="15:22" x14ac:dyDescent="0.25">
      <c r="O125" s="42"/>
      <c r="R125">
        <v>1900</v>
      </c>
      <c r="S125">
        <v>190.94381170633301</v>
      </c>
      <c r="U125">
        <v>1900</v>
      </c>
      <c r="V125">
        <v>75.134580839200396</v>
      </c>
    </row>
    <row r="126" spans="15:22" x14ac:dyDescent="0.25">
      <c r="O126" s="42"/>
      <c r="R126">
        <v>1950</v>
      </c>
      <c r="S126">
        <v>193.783667071238</v>
      </c>
      <c r="U126">
        <v>1950</v>
      </c>
      <c r="V126">
        <v>76.803014140922798</v>
      </c>
    </row>
    <row r="127" spans="15:22" x14ac:dyDescent="0.25">
      <c r="O127" s="42"/>
      <c r="R127">
        <v>2000</v>
      </c>
      <c r="S127">
        <v>196.58610004620499</v>
      </c>
      <c r="U127">
        <v>2000</v>
      </c>
      <c r="V127">
        <v>78.5055593073795</v>
      </c>
    </row>
    <row r="128" spans="15:22" x14ac:dyDescent="0.25">
      <c r="O128" s="42"/>
      <c r="R128">
        <v>2050</v>
      </c>
      <c r="S128">
        <v>199.351027517029</v>
      </c>
      <c r="U128">
        <v>2050</v>
      </c>
      <c r="V128">
        <v>80.250829206436293</v>
      </c>
    </row>
    <row r="129" spans="15:22" x14ac:dyDescent="0.25">
      <c r="O129" s="42"/>
      <c r="R129">
        <v>2100</v>
      </c>
      <c r="S129">
        <v>202.13607075149599</v>
      </c>
      <c r="U129">
        <v>2100</v>
      </c>
      <c r="V129">
        <v>82.048161756945603</v>
      </c>
    </row>
    <row r="130" spans="15:22" x14ac:dyDescent="0.25">
      <c r="O130" s="42"/>
      <c r="R130">
        <v>2150</v>
      </c>
      <c r="S130">
        <v>205.289546818123</v>
      </c>
      <c r="U130">
        <v>2150</v>
      </c>
      <c r="V130">
        <v>83.919497752630704</v>
      </c>
    </row>
    <row r="131" spans="15:22" x14ac:dyDescent="0.25">
      <c r="O131" s="42"/>
      <c r="R131">
        <v>2200</v>
      </c>
      <c r="S131">
        <v>208.44025621550799</v>
      </c>
      <c r="U131">
        <v>2200</v>
      </c>
      <c r="V131">
        <v>85.862982543996793</v>
      </c>
    </row>
    <row r="132" spans="15:22" x14ac:dyDescent="0.25">
      <c r="O132" s="42"/>
      <c r="R132">
        <v>2250</v>
      </c>
      <c r="S132">
        <v>211.588071437096</v>
      </c>
      <c r="U132">
        <v>2250</v>
      </c>
      <c r="V132">
        <v>87.889961428590496</v>
      </c>
    </row>
    <row r="133" spans="15:22" x14ac:dyDescent="0.25">
      <c r="O133" s="42"/>
      <c r="R133">
        <v>2300</v>
      </c>
      <c r="S133">
        <v>214.73284482946701</v>
      </c>
      <c r="U133">
        <v>2300</v>
      </c>
      <c r="V133">
        <v>90.013492860077704</v>
      </c>
    </row>
    <row r="134" spans="15:22" x14ac:dyDescent="0.25">
      <c r="O134" s="42"/>
      <c r="R134">
        <v>2350</v>
      </c>
      <c r="S134">
        <v>217.87440548703299</v>
      </c>
      <c r="U134">
        <v>2350</v>
      </c>
      <c r="V134">
        <v>92.2485862254171</v>
      </c>
    </row>
    <row r="135" spans="15:22" x14ac:dyDescent="0.25">
      <c r="O135" s="42"/>
      <c r="R135">
        <v>2400</v>
      </c>
      <c r="S135">
        <v>221.01255569244199</v>
      </c>
      <c r="U135">
        <v>2400</v>
      </c>
      <c r="V135">
        <v>94.612466664890405</v>
      </c>
    </row>
    <row r="136" spans="15:22" x14ac:dyDescent="0.25">
      <c r="O136" s="42"/>
      <c r="R136">
        <v>2450</v>
      </c>
      <c r="S136">
        <v>224.14706684330901</v>
      </c>
      <c r="U136">
        <v>2450</v>
      </c>
      <c r="V136">
        <v>97.124868115724894</v>
      </c>
    </row>
    <row r="137" spans="15:22" x14ac:dyDescent="0.25">
      <c r="O137" s="42"/>
      <c r="R137">
        <v>2500</v>
      </c>
      <c r="S137">
        <v>227.27767479968699</v>
      </c>
      <c r="U137">
        <v>2500</v>
      </c>
      <c r="V137">
        <v>99.808355180086807</v>
      </c>
    </row>
    <row r="138" spans="15:22" x14ac:dyDescent="0.25">
      <c r="R138">
        <v>2501</v>
      </c>
      <c r="S138">
        <v>59.508425092476301</v>
      </c>
      <c r="U138">
        <v>2501</v>
      </c>
      <c r="V138">
        <v>90.610289406794294</v>
      </c>
    </row>
    <row r="139" spans="15:22" x14ac:dyDescent="0.25">
      <c r="R139">
        <v>2551</v>
      </c>
      <c r="S139">
        <v>62.573548452969597</v>
      </c>
      <c r="U139">
        <v>2551</v>
      </c>
      <c r="V139">
        <v>91.847380937849593</v>
      </c>
    </row>
    <row r="140" spans="15:22" x14ac:dyDescent="0.25">
      <c r="R140">
        <v>2601</v>
      </c>
      <c r="S140">
        <v>65.634565309569197</v>
      </c>
      <c r="U140">
        <v>2601</v>
      </c>
      <c r="V140">
        <v>93.0570450736613</v>
      </c>
    </row>
    <row r="141" spans="15:22" x14ac:dyDescent="0.25">
      <c r="R141">
        <v>2651</v>
      </c>
      <c r="S141">
        <v>68.691418748771596</v>
      </c>
      <c r="U141">
        <v>2651</v>
      </c>
      <c r="V141">
        <v>94.235149653897693</v>
      </c>
    </row>
    <row r="142" spans="15:22" x14ac:dyDescent="0.25">
      <c r="R142">
        <v>2701</v>
      </c>
      <c r="S142">
        <v>71.7440676299085</v>
      </c>
      <c r="U142">
        <v>2701</v>
      </c>
      <c r="V142">
        <v>95.376919769509399</v>
      </c>
    </row>
    <row r="143" spans="15:22" x14ac:dyDescent="0.25">
      <c r="R143">
        <v>2751</v>
      </c>
      <c r="S143">
        <v>74.792487645020898</v>
      </c>
      <c r="U143">
        <v>2751</v>
      </c>
      <c r="V143">
        <v>96.476841057109098</v>
      </c>
    </row>
    <row r="144" spans="15:22" x14ac:dyDescent="0.25">
      <c r="R144">
        <v>2801</v>
      </c>
      <c r="S144">
        <v>77.836672277832506</v>
      </c>
      <c r="U144">
        <v>2801</v>
      </c>
      <c r="V144">
        <v>97.528548403547603</v>
      </c>
    </row>
    <row r="145" spans="18:22" x14ac:dyDescent="0.25">
      <c r="R145">
        <v>2851</v>
      </c>
      <c r="S145">
        <v>80.876633753413103</v>
      </c>
      <c r="U145">
        <v>2851</v>
      </c>
      <c r="V145">
        <v>98.524697531535395</v>
      </c>
    </row>
    <row r="146" spans="18:22" x14ac:dyDescent="0.25">
      <c r="R146">
        <v>2901</v>
      </c>
      <c r="S146">
        <v>83.912404047619006</v>
      </c>
      <c r="U146">
        <v>2901</v>
      </c>
      <c r="V146">
        <v>99.456816469683105</v>
      </c>
    </row>
    <row r="147" spans="18:22" x14ac:dyDescent="0.25">
      <c r="R147">
        <v>2951</v>
      </c>
      <c r="S147">
        <v>86.944036011062195</v>
      </c>
      <c r="U147">
        <v>2951</v>
      </c>
      <c r="V147">
        <v>100.315133336616</v>
      </c>
    </row>
    <row r="148" spans="18:22" x14ac:dyDescent="0.25">
      <c r="R148">
        <v>3001</v>
      </c>
      <c r="S148">
        <v>89.971604653235005</v>
      </c>
      <c r="U148">
        <v>3001</v>
      </c>
      <c r="V148">
        <v>101.088376158979</v>
      </c>
    </row>
    <row r="149" spans="18:22" x14ac:dyDescent="0.25">
      <c r="R149">
        <v>3051</v>
      </c>
      <c r="S149">
        <v>92.995208626562302</v>
      </c>
      <c r="U149">
        <v>3051</v>
      </c>
      <c r="V149">
        <v>101.76353955800001</v>
      </c>
    </row>
    <row r="150" spans="18:22" x14ac:dyDescent="0.25">
      <c r="R150">
        <v>3101</v>
      </c>
      <c r="S150">
        <v>96.0149719462691</v>
      </c>
      <c r="U150">
        <v>3101</v>
      </c>
      <c r="V150">
        <v>102.325612026991</v>
      </c>
    </row>
    <row r="151" spans="18:22" x14ac:dyDescent="0.25">
      <c r="R151">
        <v>3151</v>
      </c>
      <c r="S151">
        <v>99.031045978986597</v>
      </c>
      <c r="U151">
        <v>3151</v>
      </c>
      <c r="V151">
        <v>102.757256113504</v>
      </c>
    </row>
    <row r="152" spans="18:22" x14ac:dyDescent="0.25">
      <c r="R152">
        <v>3201</v>
      </c>
      <c r="S152">
        <v>102.04361173008699</v>
      </c>
      <c r="U152">
        <v>3201</v>
      </c>
      <c r="V152">
        <v>103.03843202158301</v>
      </c>
    </row>
    <row r="153" spans="18:22" x14ac:dyDescent="0.25">
      <c r="R153">
        <v>3251</v>
      </c>
      <c r="S153">
        <v>105.05288245581301</v>
      </c>
      <c r="U153">
        <v>3251</v>
      </c>
      <c r="V153">
        <v>103.14595283480401</v>
      </c>
    </row>
    <row r="154" spans="18:22" x14ac:dyDescent="0.25">
      <c r="R154">
        <v>3301</v>
      </c>
      <c r="S154">
        <v>108.059106620099</v>
      </c>
      <c r="U154">
        <v>3301</v>
      </c>
      <c r="V154">
        <v>103.052956555362</v>
      </c>
    </row>
    <row r="155" spans="18:22" x14ac:dyDescent="0.25">
      <c r="R155">
        <v>3351</v>
      </c>
      <c r="S155">
        <v>111.062571205778</v>
      </c>
      <c r="U155">
        <v>3351</v>
      </c>
      <c r="V155">
        <v>102.72827621721</v>
      </c>
    </row>
    <row r="156" spans="18:22" x14ac:dyDescent="0.25">
      <c r="R156">
        <v>3401</v>
      </c>
      <c r="S156">
        <v>114.06360537297699</v>
      </c>
      <c r="U156">
        <v>3401</v>
      </c>
      <c r="V156">
        <v>102.13568412402</v>
      </c>
    </row>
    <row r="157" spans="18:22" x14ac:dyDescent="0.25">
      <c r="R157">
        <v>3451</v>
      </c>
      <c r="S157">
        <v>117.062584429613</v>
      </c>
      <c r="U157">
        <v>3451</v>
      </c>
      <c r="V157">
        <v>101.232979328049</v>
      </c>
    </row>
    <row r="158" spans="18:22" x14ac:dyDescent="0.25">
      <c r="R158">
        <v>3500</v>
      </c>
      <c r="S158">
        <v>120</v>
      </c>
      <c r="U158">
        <v>3500</v>
      </c>
      <c r="V158">
        <v>100</v>
      </c>
    </row>
  </sheetData>
  <mergeCells count="12">
    <mergeCell ref="V2:W2"/>
    <mergeCell ref="V3:W3"/>
    <mergeCell ref="B3:E3"/>
    <mergeCell ref="B4:E4"/>
    <mergeCell ref="B5:E5"/>
    <mergeCell ref="V9:W9"/>
    <mergeCell ref="V6:W6"/>
    <mergeCell ref="B6:E8"/>
    <mergeCell ref="V4:W4"/>
    <mergeCell ref="V5:W5"/>
    <mergeCell ref="V7:W7"/>
    <mergeCell ref="V8:W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">
                <anchor moveWithCells="1" sizeWithCells="1">
                  <from>
                    <xdr:col>13</xdr:col>
                    <xdr:colOff>19050</xdr:colOff>
                    <xdr:row>53</xdr:row>
                    <xdr:rowOff>161925</xdr:rowOff>
                  </from>
                  <to>
                    <xdr:col>15</xdr:col>
                    <xdr:colOff>514350</xdr:colOff>
                    <xdr:row>56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65</vt:i4>
      </vt:variant>
    </vt:vector>
  </HeadingPairs>
  <TitlesOfParts>
    <vt:vector size="66" baseType="lpstr">
      <vt:lpstr>exercise_pipeline</vt:lpstr>
      <vt:lpstr>exercise_pipeline!Bob_</vt:lpstr>
      <vt:lpstr>calc_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calc_from_pwf_</vt:lpstr>
      <vt:lpstr>calc_from_pwh_</vt:lpstr>
      <vt:lpstr>exercise_pipeline!calibr_fric</vt:lpstr>
      <vt:lpstr>exercise_pipeline!calibr_grav</vt:lpstr>
      <vt:lpstr>exercise_pipeline!calibr_type</vt:lpstr>
      <vt:lpstr>construction</vt:lpstr>
      <vt:lpstr>ESP_freq</vt:lpstr>
      <vt:lpstr>ESP_head_nom</vt:lpstr>
      <vt:lpstr>ESP_ID</vt:lpstr>
      <vt:lpstr>esp_json_</vt:lpstr>
      <vt:lpstr>ESP_num_stages</vt:lpstr>
      <vt:lpstr>ESP_q_nom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h_perf_</vt:lpstr>
      <vt:lpstr>h_tub_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ipr_json_</vt:lpstr>
      <vt:lpstr>exercise_pipeline!Ksep</vt:lpstr>
      <vt:lpstr>exercise_pipeline!muob_</vt:lpstr>
      <vt:lpstr>exercise_pipeline!Pb_</vt:lpstr>
      <vt:lpstr>exercise_pipeline!Pbuf_</vt:lpstr>
      <vt:lpstr>Pint_</vt:lpstr>
      <vt:lpstr>exercise_pipeline!PVT_corr_</vt:lpstr>
      <vt:lpstr>exercise_pipeline!PVTstr_</vt:lpstr>
      <vt:lpstr>exercise_pipeline!Pwf_</vt:lpstr>
      <vt:lpstr>exercise_pipeline!Qgas_free</vt:lpstr>
      <vt:lpstr>exercise_pipeline!qliq_</vt:lpstr>
      <vt:lpstr>exercise_pipeline!Rp_</vt:lpstr>
      <vt:lpstr>exercise_pipeline!Rsb_</vt:lpstr>
      <vt:lpstr>t_crit_c_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rienm</cp:lastModifiedBy>
  <dcterms:created xsi:type="dcterms:W3CDTF">2019-10-28T06:57:59Z</dcterms:created>
  <dcterms:modified xsi:type="dcterms:W3CDTF">2022-05-27T15:33:36Z</dcterms:modified>
</cp:coreProperties>
</file>