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AADD8E7-961B-4878-B7B4-D3FB05ADF102}" xr6:coauthVersionLast="47" xr6:coauthVersionMax="47" xr10:uidLastSave="{00000000-0000-0000-0000-000000000000}"/>
  <bookViews>
    <workbookView xWindow="840" yWindow="750" windowWidth="21600" windowHeight="12735" tabRatio="510" xr2:uid="{00000000-000D-0000-FFFF-FFFF00000000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">exercise_pipeline!$Y$67</definedName>
    <definedName name="calc_along_coord" localSheetId="0">exercise_pipeline!$U$29</definedName>
    <definedName name="calc_along_coord1" localSheetId="0">exercise_pipeline!$V$29</definedName>
    <definedName name="calc_flow_direction_" localSheetId="0">exercise_pipeline!$U$31</definedName>
    <definedName name="calc_flow_direction1_" localSheetId="0">exercise_pipeline!$V$31</definedName>
    <definedName name="calc_from_pwf_">exercise_pipeline!$B$67</definedName>
    <definedName name="calc_from_pwh_">exercise_pipeline!$N$67</definedName>
    <definedName name="calibr_fric" localSheetId="0">exercise_pipeline!$X$9</definedName>
    <definedName name="calibr_grav" localSheetId="0">exercise_pipeline!$X$8</definedName>
    <definedName name="calibr_li">exercise_pipeline!$U$30</definedName>
    <definedName name="calibr_st">exercise_pipeline!$U$31</definedName>
    <definedName name="calibr_type" localSheetId="0">exercise_pipeline!$X$4</definedName>
    <definedName name="construction">exercise_pipeline!$I$14</definedName>
    <definedName name="dcas">exercise_pipeline!$U$28</definedName>
    <definedName name="dint">exercise_pipeline!$U$29</definedName>
    <definedName name="ESP_freq">exercise_pipeline!$K$31</definedName>
    <definedName name="ESP_head_nom">exercise_pipeline!$K$28</definedName>
    <definedName name="ESP_ID">exercise_pipeline!$K$29</definedName>
    <definedName name="esp_json_">exercise_pipeline!$I$15</definedName>
    <definedName name="ESP_num_stages">exercise_pipeline!$K$30</definedName>
    <definedName name="ESP_q_nom">exercise_pipeline!$K$27</definedName>
    <definedName name="feed">exercise_pipeline!$I$12</definedName>
    <definedName name="flow_along_coord" localSheetId="0">exercise_pipeline!$U$30</definedName>
    <definedName name="flow_along_coord1" localSheetId="0">exercise_pipeline!$V$30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model">exercise_pipeline!$K$33</definedName>
    <definedName name="gas_only_" localSheetId="0">exercise_pipeline!$X$5</definedName>
    <definedName name="Gas_stage_by_stage">exercise_pipeline!$K$34</definedName>
    <definedName name="h_perf_">exercise_pipeline!$C$28</definedName>
    <definedName name="h_tub_">exercise_pipeline!$C$29</definedName>
    <definedName name="hcor" localSheetId="0">exercise_pipeline!$Q$23</definedName>
    <definedName name="Hydr_corr_" localSheetId="0">exercise_pipeline!$X$3</definedName>
    <definedName name="inclinometry" localSheetId="0">exercise_pipeline!$B$40:$C$62</definedName>
    <definedName name="input_0" localSheetId="0">exercise_pipeline!$C$11:$C$32</definedName>
    <definedName name="input_1" localSheetId="0">exercise_pipeline!$C$28:$C$32</definedName>
    <definedName name="input_2" localSheetId="0">exercise_pipeline!$X$6:$X$9</definedName>
    <definedName name="input_3" localSheetId="0">exercise_pipeline!$U$28:$U$30</definedName>
    <definedName name="input_5" localSheetId="0">exercise_pipeline!$B$40:$C$62</definedName>
    <definedName name="input_6" localSheetId="0">exercise_pipeline!$E$40:$F$59</definedName>
    <definedName name="input_7" localSheetId="0">exercise_pipeline!$H$40:$I$59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ipr_json_">exercise_pipeline!$I$16</definedName>
    <definedName name="Ksep" localSheetId="0">exercise_pipeline!$K$32</definedName>
    <definedName name="muob_" localSheetId="0">exercise_pipeline!$C$18</definedName>
    <definedName name="Pb_" localSheetId="0">exercise_pipeline!$C$15</definedName>
    <definedName name="Pb__">exercise_pipeline!$P$29</definedName>
    <definedName name="Pbuf_" localSheetId="0">exercise_pipeline!$K$21</definedName>
    <definedName name="PI_">exercise_pipeline!$P$28</definedName>
    <definedName name="Pint_">exercise_pipeline!$K$22</definedName>
    <definedName name="pkv_ratio">exercise_pipeline!$U$27</definedName>
    <definedName name="Pres">exercise_pipeline!$P$27</definedName>
    <definedName name="PVT_corr_" localSheetId="0">exercise_pipeline!$X$2</definedName>
    <definedName name="PVTstr_" localSheetId="0">exercise_pipeline!$I$11</definedName>
    <definedName name="Pwf_" localSheetId="0">exercise_pipeline!$K$23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crit_c_">exercise_pipeline!$P$34</definedName>
    <definedName name="t_model">exercise_pipeline!$I$13</definedName>
    <definedName name="T0" localSheetId="0">exercise_pipeline!$K$24</definedName>
    <definedName name="T1_" localSheetId="0">exercise_pipeline!$K$25</definedName>
    <definedName name="temp_model" localSheetId="0">exercise_pipeline!$Q$24</definedName>
    <definedName name="tempm" localSheetId="0">exercise_pipeline!$Q$24</definedName>
    <definedName name="Tres_" localSheetId="0">exercise_pipeline!$C$16</definedName>
    <definedName name="znlf">exercise_pipeline!$X$6</definedName>
  </definedNames>
  <calcPr calcId="191029" iterate="1"/>
  <extLst>
    <ext xmlns:x14="http://schemas.microsoft.com/office/spreadsheetml/2009/9/main" uri="{8193D73E-4604-4355-AFF4-8A2333D13BE4}">
      <x14:definedNames>
        <x14:definedName name="crv_fit_linear">
          <x14:argumentDescriptions count="5">
            <x14:argumentDescription index="0" xml:space="preserve"> ya - y вектор исходных данных [0..n-1] (столбец или массив) </x14:argumentDescription>
            <x14:argumentDescription index="1" xml:space="preserve"> xa - x матрица исходных данных [0..n-1, 0..d-1]  (таблица или массив) </x14:argumentDescription>
            <x14:argumentDescription index="2" xml:space="preserve"> out - тип вывода,  out=0 (по умолчанию) коэффициенты аппроксимации [0..d-1],  out=1 код ошибки подбора аппроксимации  out=2 отчет по подбору аппроксимации,  avgerror, avgrele..см.мануал</x14:argumentDescription>
            <x14:argumentDescription index="3" xml:space="preserve"> weight - вектор весов [0..n-1] для каждого параметра </x14:argumentDescription>
            <x14:argumentDescription index="4" xml:space="preserve"> cnstraints - матрица ограничений с [0..k-1, 0..d] такая что  c[i,0]*m[0] + ... + c[i,d-1]*c[d-1] = cmatrix[i,d] </x14:argumentDescription>
          </x14:argumentDescriptions>
        </x14:definedName>
        <x14:definedName name="crv_fit_poly">
          <x14:argumentDescriptions count="7">
            <x14:argumentDescription index="0" xml:space="preserve"> ya - y вектор исходных данных [0..n-1] (столбец или массив) </x14:argumentDescription>
            <x14:argumentDescription index="1" xml:space="preserve"> xa - х вектор исходных данных [0..n-1] (таблица или массив) </x14:argumentDescription>
            <x14:argumentDescription index="2" xml:space="preserve"> m - степень полинома для аппроксимации </x14:argumentDescription>
            <x14:argumentDescription index="3" xml:space="preserve"> out - тип вывода, out=0 (по умолчанию) значения полинома для xia,  out=1 код ошибки аппроксимации  out=2 отчет по подбору аппроксимации,  avgerror, avgrelerror, maxerror, rmse..см.мануал</x14:argumentDescription>
            <x14:argumentDescription index="4" xml:space="preserve"> out - тип вывода, out=0 (по умолчанию) значения полинома для xia,  out=1 код ошибки аппроксимации  out=2 отчет по подбору аппроксимации,  avgerror, avgrelerror, maxerror, rmse..см.мануал</x14:argumentDescription>
            <x14:argumentDescription index="5" xml:space="preserve"> weight - вектор весов [0..n-1] для каждого параметра </x14:argumentDescription>
            <x14:argumentDescription index="6" xml:space="preserve"> cnstraints - матрица ограничений с[0..k-1,0..2].  с[i,0] - значение x где задано ограничение  с[i,1] - велична ограничения,  с[i,2] - тип ограничения (0 -значение,1 -производн..см.мануал</x14:argumentDescription>
          </x14:argumentDescriptions>
        </x14:definedName>
        <x14:definedName name="crv_fit_spline_1D">
          <x14:argumentDescriptions count="9">
            <x14:argumentDescription index="0" xml:space="preserve"> xa - x значения исходных данных (строка значений или массив) </x14:argumentDescription>
            <x14:argumentDescription index="1" xml:space="preserve"> ya - y значения исходных данных (столбец значений или массив)  м - количество точек для сплайна интерполяции </x14:argumentDescription>
            <x14:argumentDescription index="2" xml:space="preserve"> должно быть четное для hermite = true </x14:argumentDescription>
            <x14:argumentDescription index="3" xml:space="preserve"> xia - таблица выходных значений  столбц значений (x) или массив в возрастающем порядке  если не заданы возвращаются кубические коэффициента для сегментов </x14:argumentDescription>
            <x14:argumentDescription index="4" xml:space="preserve"> wa - веса исходных данных </x14:argumentDescription>
            <x14:argumentDescription index="5" xml:space="preserve"> xca - х значения матрицы ограничений (столбец или массив) </x14:argumentDescription>
            <x14:argumentDescription index="6" xml:space="preserve"> yca - величина ограничения для заданного значения  (столбец или массив) </x14:argumentDescription>
            <x14:argumentDescription index="7" xml:space="preserve"> dca - тип ограничения. 0 - значение, 1 - наклон.  (столбец или массив).  если хоть одно из ограничений не задано - они не учитываются </x14:argumentDescription>
            <x14:argumentDescription index="8" xml:space="preserve"> должно быть четное для hermite = true  xia - таблица выходных значений  столбц значений (x) или массив в возрастающем порядке  если не заданы возвращаются кубические коэффицие..см.мануал</x14:argumentDescription>
          </x14:argumentDescriptions>
        </x14:definedName>
        <x14:definedName name="crv_interpolation">
          <x14:argumentDescriptions count="4">
            <x14:argumentDescription index="0" xml:space="preserve"> x_points - таблица аргументов функции (или json строка - вектор) </x14:argumentDescription>
            <x14:argumentDescription index="1" xml:space="preserve"> y_points - таблица значений функции (или json строка - вектор)  количество агрументов и значений должно совпадать.  для табличной функции одному аргументу соответствует  строг..см.мануал</x14:argumentDescription>
            <x14:argumentDescription index="2" xml:space="preserve"> x_val - аргумент для которого надо найти значение  одно значение в ячейке или диапазон значений  для диапазона аргументов будет найден диапазон значений  диапазоны могут быть ..см.мануал</x14:argumentDescription>
            <x14:argumentDescription index="3" xml:space="preserve"> type_interpolation - тип интерполяции  0 - линейная интерполяция  1 - кубическая интерполяция  2 - интерполяция акима (выбросы)  www.en.wikipedia.org/wiki/akima_spline  3 - ..см.мануал</x14:argumentDescription>
          </x14:argumentDescriptions>
        </x14:definedName>
        <x14:definedName name="crv_interpolation_2D">
          <x14:argumentDescriptions count="6">
            <x14:argumentDescription index="0" xml:space="preserve"> xa - x значения исходных данных (строка значений или массив) </x14:argumentDescription>
            <x14:argumentDescription index="1" xml:space="preserve"> ya - y значения исходных данных (столбец значений или массив) </x14:argumentDescription>
            <x14:argumentDescription index="2" xml:space="preserve"> fa - табличные значения интерполируемой функции,  двумерная таблица или массив </x14:argumentDescription>
            <x14:argumentDescription index="3" xml:space="preserve"> xyia - таблица значений для которой надо найти результат  два столбца значений (x,y) или массив с двумя колонками  если не заданы возвращаются кубические коэффициента  для каж..см.мануал</x14:argumentDescription>
            <x14:argumentDescription index="4" xml:space="preserve"> out - для интерполяции кубическими сплайнами  out = 0 возвращаются только значения  out = 1 возвращаются значения и производные </x14:argumentDescription>
            <x14:argumentDescription index="5" xml:space="preserve"> type_interpolation - тип интерполяции  0 - линейная интерполяция  1 - кубическая интерполяция </x14:argumentDescription>
          </x14:argumentDescriptions>
        </x14:definedName>
        <x14:definedName name="crv_intersection">
          <x14:argumentDescriptions count="4">
            <x14:argumentDescription index="0" xml:space="preserve"> x1_points - таблица аргументов функции 1 </x14:argumentDescription>
            <x14:argumentDescription index="1" xml:space="preserve"> y1_points - таблица значений функции 1  количество агрументов и значений функции должно совпадать  для табличной функции одному аргументу соответствует  строго одно значение ф..см.мануал</x14:argumentDescription>
            <x14:argumentDescription index="2" xml:space="preserve"> x2_points - таблица аргументов функции 2 </x14:argumentDescription>
            <x14:argumentDescription index="3" xml:space="preserve"> y2_points - таблица значений функции 2  количество агрументов и значений функции должно совпадать  для табличной функции одному аргументу соответствует  строго одно значение ф..см.мануал</x14:argumentDescription>
          </x14:argumentDescriptions>
        </x14:definedName>
        <x14:definedName name="crv_parametric_interpolation">
          <x14:argumentDescriptions count="5">
            <x14:argumentDescription index="0" xml:space="preserve"> x_points - таблица аргументов функции </x14:argumentDescription>
            <x14:argumentDescription index="1" xml:space="preserve"> y_points - таблица значений функции  количество агрументов и значений функции должно совпадать  для табличной функции одному аргументу соответствует  строго одно значение функ..см.мануал</x14:argumentDescription>
            <x14:argumentDescription index="2" xml:space="preserve"> x_val - аргумент для которого надо найти значение  одно значение в ячейке или диапазон значений  для диапазона аргументов будет найден диапазон значений  диапазоны могут быть ..см.мануал</x14:argumentDescription>
            <x14:argumentDescription index="3" xml:space="preserve"> type_interpolation - тип интерполяции  0 - линейная интерполяция  1 - кубическая интерполяция  2 - интерполяция акима (выбросы)  www.en.wikipedia.org/wiki/akima_spline  3 - ..см.мануал</x14:argumentDescription>
            <x14:argumentDescription index="4">param_points</x14:argumentDescription>
          </x14:argumentDescriptions>
        </x14:definedName>
        <x14:definedName name="crv_solve">
          <x14:argumentDescriptions count="3">
            <x14:argumentDescription index="0" xml:space="preserve"> x_points - таблица аргументов функции </x14:argumentDescription>
            <x14:argumentDescription index="1" xml:space="preserve"> y_points - таблица значений функции  количество агрументов и значений функции должно совпадать  для табличной функции одному аргументу соответствует  строго одно значение функ..см.мануал</x14:argumentDescription>
            <x14:argumentDescription index="2" xml:space="preserve"> y_val - значение функции для которого надо ищутся аргументы  строго одно вещественное число (ссылка на ячейку) </x14:argumentDescription>
          </x14:argumentDescriptions>
        </x14:definedName>
        <x14:definedName name="decode_json">
          <x14:argumentDescriptions count="6">
            <x14:argumentDescription index="0" xml:space="preserve"> json - строка содержащая результаты расчета </x14:argumentDescription>
            <x14:argumentDescription index="1" xml:space="preserve"> transpose - выбор вывода в строки или в столбцы </x14:argumentDescription>
            <x14:argumentDescription index="2" xml:space="preserve"> keys_filter - строка с ключами, которые надо вывести </x14:argumentDescription>
            <x14:argumentDescription index="3" xml:space="preserve"> only_values - если = 1 подписи выводиться не будут </x14:argumentDescription>
            <x14:argumentDescription index="4" xml:space="preserve"> safe_out - флаг заставляет выводить массив сторок,  что может работать лучше в офисе 2016 и ранее </x14:argumentDescription>
            <x14:argumentDescription index="5">null_val</x14:argumentDescription>
          </x14:argumentDescriptions>
        </x14:definedName>
        <x14:definedName name="decode_json_crv">
          <x14:argumentDescriptions count="4">
            <x14:argumentDescription index="0" xml:space="preserve"> json - строка содержащая результаты расчета </x14:argumentDescription>
            <x14:argumentDescription index="1" xml:space="preserve"> transpose - выбор вывода в строки или в столбцы </x14:argumentDescription>
            <x14:argumentDescription index="2">key_x</x14:argumentDescription>
            <x14:argumentDescription index="3">key_y</x14:argumentDescription>
          </x14:argumentDescriptions>
        </x14:definedName>
        <x14:definedName name="decode_json_k_sep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decode_json_p_atma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decode_json_pt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decode_json_q_liq_sm3day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decode_json_t_C">
          <x14:argumentDescriptions count="1">
            <x14:argumentDescription index="0" xml:space="preserve"> json - строка содержащая результаты расчета </x14:argumentDescription>
          </x14:argumentDescriptions>
        </x14:definedName>
        <x14:definedName name="E_1">
          <x14:argumentDescriptions count="1">
            <x14:argumentDescription index="0" xml:space="preserve"> x - агрумент функции, может быть и положительным и отрицательным </x14:argumentDescription>
          </x14:argumentDescriptions>
        </x14:definedName>
        <x14:definedName name="Ei">
          <x14:argumentDescriptions count="1">
            <x14:argumentDescription index="0" xml:space="preserve"> x - агрумент функции, может быть и положительным и отрицательным </x14:argumentDescription>
          </x14:argumentDescriptions>
        </x14:definedName>
        <x14:definedName name="encode_ambient_formation_string">
          <x14:argumentDescriptions count="9">
            <x14:argumentDescription index="0" xml:space="preserve"> therm_cond_form_wmc - теплопроводность породы окружающей среды </x14:argumentDescription>
            <x14:argumentDescription index="1" xml:space="preserve"> sp_heat_capacity_form_jkgc - удельная теплоемкость породы окружающей среды </x14:argumentDescription>
            <x14:argumentDescription index="2" xml:space="preserve"> therm_cond_cement_wmc - теплопроводность цементного камня вокруг скважины </x14:argumentDescription>
            <x14:argumentDescription index="3" xml:space="preserve"> therm_cond_tubing_wmc - теплопроводность стенок нкт </x14:argumentDescription>
            <x14:argumentDescription index="4">therm_cond_casing_wmc</x14:argumentDescription>
            <x14:argumentDescription index="5" xml:space="preserve"> heat_transfer_casing_liquid_wm2c - теплопередача через затруб с жидкостью </x14:argumentDescription>
            <x14:argumentDescription index="6" xml:space="preserve"> heat_transfer_casing_gas_wm2c - теплопередача через затруб с газом </x14:argumentDescription>
            <x14:argumentDescription index="7" xml:space="preserve"> heat_transfer_fluid_convection_wm2c - теплопередача в потоке  с жидкостью за счет конвекции </x14:argumentDescription>
            <x14:argumentDescription index="8" xml:space="preserve"> t_calc_hr - время на которое расчитывается распределение температуры </x14:argumentDescription>
          </x14:argumentDescriptions>
        </x14:definedName>
        <x14:definedName name="encode_arange">
          <x14:argumentDescriptions count="3">
            <x14:argumentDescription index="0" xml:space="preserve"> val_from - первое значение списка </x14:argumentDescription>
            <x14:argumentDescription index="1" xml:space="preserve"> val_to - последнее значение списка </x14:argumentDescription>
            <x14:argumentDescription index="2" xml:space="preserve"> step - шаг значений списка </x14:argumentDescription>
          </x14:argumentDescriptions>
        </x14:definedName>
        <x14:definedName name="encode_ESP_cable">
          <x14:argumentDescriptions count="7">
            <x14:argumentDescription index="0" xml:space="preserve"> length_m - длина кабельной линии, м </x14:argumentDescription>
            <x14:argumentDescription index="1" xml:space="preserve"> cable_r_omkm - удельное активное сопротивление </x14:argumentDescription>
            <x14:argumentDescription index="2" xml:space="preserve"> cable_x_omkm - удельное реактивное сопротивление </x14:argumentDescription>
            <x14:argumentDescription index="3" xml:space="preserve"> cable_t_max_c - максимально допустимая температура </x14:argumentDescription>
            <x14:argumentDescription index="4" xml:space="preserve"> manufacturer - производитель, для справки </x14:argumentDescription>
            <x14:argumentDescription index="5" xml:space="preserve"> name - название кабеля, для справки </x14:argumentDescription>
            <x14:argumentDescription index="6" xml:space="preserve"> d_mm - диаметр жилы </x14:argumentDescription>
          </x14:argumentDescriptions>
        </x14:definedName>
        <x14:definedName name="encode_ESP_motor">
          <x14:argumentDescriptions count="15">
            <x14:argumentDescription index="0" xml:space="preserve">motor_id - тип 0 - постоянные значения,  1 - задается по каталожным кривым, ассинхронный  2 - задается по схеме замещения, ассинхронный </x14:argumentDescription>
            <x14:argumentDescription index="1" xml:space="preserve">p_nom_kw - номинальная мощность двигателя квт </x14:argumentDescription>
            <x14:argumentDescription index="2" xml:space="preserve">u_nom_lin_v - номинальное напряжение двигателя, линейное, в </x14:argumentDescription>
            <x14:argumentDescription index="3" xml:space="preserve">f_nom_hz - номинальная частота тока, гц </x14:argumentDescription>
            <x14:argumentDescription index="4" xml:space="preserve">eff_nom_fr - кпд при номинальном режиме работы </x14:argumentDescription>
            <x14:argumentDescription index="5" xml:space="preserve">cosphi_nom_fr - коэффициент мощности при номинальный </x14:argumentDescription>
            <x14:argumentDescription index="6" xml:space="preserve">slip_nom_fr - скольжение при номинальном режиме работы </x14:argumentDescription>
            <x14:argumentDescription index="7" xml:space="preserve">u_surf_high_lin_v - напряжение на поверхности </x14:argumentDescription>
            <x14:argumentDescription index="8" xml:space="preserve">f_surf_hz - частота тока на поверхности </x14:argumentDescription>
            <x14:argumentDescription index="9" xml:space="preserve">power_fact_kw - фактическая потребляемая мощность </x14:argumentDescription>
            <x14:argumentDescription index="10" xml:space="preserve">d_od_mm - внешний диаметр - габарит пэд </x14:argumentDescription>
            <x14:argumentDescription index="11" xml:space="preserve">lambda_ - для motorid = 2 перегрузочный коэффициент  отношение макс момента к номинальному </x14:argumentDescription>
            <x14:argumentDescription index="12" xml:space="preserve">alpha0 - параметр. влияет на положение макс кпд.для motorid = 2 </x14:argumentDescription>
            <x14:argumentDescription index="13" xml:space="preserve">xi0 - параметр. определяет потери момента при холостом ходе.  для motorid = 2 </x14:argumentDescription>
            <x14:argumentDescription index="14" xml:space="preserve">ixcf - поправка на поправку тока холостого хода  при изменении напряжения и частоты от минимальной. </x14:argumentDescription>
          </x14:argumentDescriptions>
        </x14:definedName>
        <x14:definedName name="encode_ESP_pump">
          <x14:argumentDescriptions count="10">
            <x14:argumentDescription index="0" xml:space="preserve"> esp_id - идентификатор насоса </x14:argumentDescription>
            <x14:argumentDescription index="1" xml:space="preserve"> head_nom_m - номинальный напор системы уэцн  - соответствует напора в записи эцн 50-2000 </x14:argumentDescription>
            <x14:argumentDescription index="2" xml:space="preserve"> num_stages - количество ступеней, если задано  перекрывает значение напора </x14:argumentDescription>
            <x14:argumentDescription index="3" xml:space="preserve"> freq_hz - частота, гц </x14:argumentDescription>
            <x14:argumentDescription index="4" xml:space="preserve"> calibr_head - калибровка по напору </x14:argumentDescription>
            <x14:argumentDescription index="5" xml:space="preserve"> calibr_rate - калибровка по подаче </x14:argumentDescription>
            <x14:argumentDescription index="6" xml:space="preserve"> calibr_power - калибровка по мощности </x14:argumentDescription>
            <x14:argumentDescription index="7" xml:space="preserve"> gas_correct_model - модель калибровки по газу </x14:argumentDescription>
            <x14:argumentDescription index="8" xml:space="preserve"> gas_correct_stage_by_stage - флаг метода применения калибровки по газу </x14:argumentDescription>
            <x14:argumentDescription index="9" xml:space="preserve"> dnum_stages_integrate - шаг интегрирования для расчета </x14:argumentDescription>
          </x14:argumentDescriptions>
        </x14:definedName>
        <x14:definedName name="encode_ESP_separation">
          <x14:argumentDescriptions count="12">
            <x14:argumentDescription index="0" xml:space="preserve"> separation_mode - режим расчета сепарации </x14:argumentDescription>
            <x14:argumentDescription index="1" xml:space="preserve"> gassep_type - тип - номер из базы </x14:argumentDescription>
            <x14:argumentDescription index="2" xml:space="preserve"> natsep_type - модель расчета естественной сепарации </x14:argumentDescription>
            <x14:argumentDescription index="3" xml:space="preserve"> psep_man_atma - давление для расчета  коэффициента сепарации заданного вручную </x14:argumentDescription>
            <x14:argumentDescription index="4" xml:space="preserve"> tsep_man_c - температура для расчета  коэффициента сепарации заданного вручную </x14:argumentDescription>
            <x14:argumentDescription index="5" xml:space="preserve"> ksep_gassep_man_d - коэффициент сепарации гс заданный вручную </x14:argumentDescription>
            <x14:argumentDescription index="6" xml:space="preserve"> ksep_nat_man_d - коэффициент сепарации натуральной  заданный вручную </x14:argumentDescription>
            <x14:argumentDescription index="7" xml:space="preserve"> ksep_liquid_man_d - коэффициент сепарации жидкости для режима  потока через затруб </x14:argumentDescription>
            <x14:argumentDescription index="8" xml:space="preserve"> m_nm - момент на валу </x14:argumentDescription>
            <x14:argumentDescription index="9" xml:space="preserve"> manufacturer - производитель, для справки </x14:argumentDescription>
            <x14:argumentDescription index="10" xml:space="preserve"> name - название кабеля, для справки </x14:argumentDescription>
            <x14:argumentDescription index="11" xml:space="preserve"> length_m - длина кабельной линии, м </x14:argumentDescription>
          </x14:argumentDescriptions>
        </x14:definedName>
        <x14:definedName name="encode_feed">
          <x14:argumentDescriptions count="5">
            <x14:argumentDescription index="0" xml:space="preserve"> q_liq_sm3day - дебит жидкости в ст.условиях. </x14:argumentDescription>
            <x14:argumentDescription index="1" xml:space="preserve"> fw_perc - ободненность, % </x14:argumentDescription>
            <x14:argumentDescription index="2" xml:space="preserve"> rp_m3m3 - газовый фактор, м3/м3: </x14:argumentDescription>
            <x14:argumentDescription index="3" xml:space="preserve"> q_gas_free_sm3day - расход свободного газа, ст. м3/сут </x14:argumentDescription>
            <x14:argumentDescription index="4" xml:space="preserve"> fluid - закодированная pvt строка  с параметрами флюида </x14:argumentDescription>
          </x14:argumentDescriptions>
        </x14:definedName>
        <x14:definedName name="encode_feed_list">
          <x14:argumentDescriptions count="5">
            <x14:argumentDescription index="0" xml:space="preserve"> q_liq_sm3day - дебит жидкости в ст.условиях. </x14:argumentDescription>
            <x14:argumentDescription index="1" xml:space="preserve"> fw_perc - ободненность, % </x14:argumentDescription>
            <x14:argumentDescription index="2" xml:space="preserve"> rp_m3m3 - газовый фактор, м3/м3: </x14:argumentDescription>
            <x14:argumentDescription index="3" xml:space="preserve"> q_gas_free_sm3day - расход свободного газа, ст. м3/сут </x14:argumentDescription>
            <x14:argumentDescription index="4">fluid</x14:argumentDescription>
          </x14:argumentDescriptions>
        </x14:definedName>
        <x14:definedName name="encode_json">
          <x14:argumentDescriptions count="2">
            <x14:argumentDescription index="0" xml:space="preserve"> rng - диапазон ячеек для кодирования  один столбец кодируется в коллекцию  два столбца кодируются в словарь </x14:argumentDescription>
            <x14:argumentDescription index="1" xml:space="preserve"> always_collection - флаг принудительного кодирования  в коллекцию </x14:argumentDescription>
          </x14:argumentDescriptions>
        </x14:definedName>
        <x14:definedName name="encode_linspace">
          <x14:argumentDescriptions count="3">
            <x14:argumentDescription index="0" xml:space="preserve"> val_from - первое значение списка </x14:argumentDescription>
            <x14:argumentDescription index="1" xml:space="preserve"> val_to - последнее значение списка </x14:argumentDescription>
            <x14:argumentDescription index="2" xml:space="preserve"> num - количество значений </x14:argumentDescription>
          </x14:argumentDescriptions>
        </x14:definedName>
        <x14:definedName name="encode_logspace">
          <x14:argumentDescriptions count="3">
            <x14:argumentDescription index="0" xml:space="preserve"> val_from - первое значение списка </x14:argumentDescription>
            <x14:argumentDescription index="1" xml:space="preserve"> val_to - последнее значение списка </x14:argumentDescription>
            <x14:argumentDescription index="2" xml:space="preserve"> num - количество значений </x14:argumentDescription>
          </x14:argumentDescriptions>
        </x14:definedName>
        <x14:definedName name="encode_pipe">
          <x14:argumentDescriptions count="4">
            <x14:argumentDescription index="0" xml:space="preserve">h_list_m - число - длина вертикальной трубы или массив или range  содержащий зависимость вертикальной глубины от измеренной </x14:argumentDescription>
            <x14:argumentDescription index="1" xml:space="preserve">diam_list_mm - число-внутренний диаметр трубы или массив или range  содержащий зависимость внутреннего от измеренной глубины </x14:argumentDescription>
            <x14:argumentDescription index="2" xml:space="preserve">roughness_m - число - шероховатость, одна для всей трубы </x14:argumentDescription>
            <x14:argumentDescription index="3" xml:space="preserve">h_vert_m - число или массив вертикальных глубин  если задано то инклинометрия задается двумя векторами </x14:argumentDescription>
          </x14:argumentDescriptions>
        </x14:definedName>
        <x14:definedName name="encode_PVT">
          <x14:argumentDescriptions count="9">
            <x14:argumentDescription index="0" xml:space="preserve"> gamma_gas - удельная плотность газа, по воздуху.  по умолчанию const_gg_ = 0.6 </x14:argumentDescription>
            <x14:argumentDescription index="1" xml:space="preserve"> gamma_oil - удельная плотность нефти, по воде.  по умолчанию const_go_ = 0.86 </x14:argumentDescription>
            <x14:argumentDescription index="2" xml:space="preserve"> gamma_wat - удельная плотность воды, по воде.  по умолчанию const_gw_ = 1 </x14:argumentDescription>
            <x14:argumentDescription index="3" xml:space="preserve"> rsb_m3m3 - газосодержание при давлении насыщения, м3/м3.  по умолчанию const_rsb_default = 100 </x14:argumentDescription>
            <x14:argumentDescription index="4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5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6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7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8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encode_t_model">
          <x14:argumentDescriptions count="5">
            <x14:argumentDescription index="0" xml:space="preserve"> t_model - номер температурной модели </x14:argumentDescription>
            <x14:argumentDescription index="1" xml:space="preserve"> t_list_c - массив n*2 распределения температуры </x14:argumentDescription>
            <x14:argumentDescription index="2" xml:space="preserve"> t_start_c - температура в начале трубы </x14:argumentDescription>
            <x14:argumentDescription index="3" xml:space="preserve"> t_end_c - температура в конце трубы </x14:argumentDescription>
            <x14:argumentDescription index="4" xml:space="preserve"> param - параметры температурной модели  список параметров в мануале </x14:argumentDescription>
          </x14:argumentDescriptions>
        </x14:definedName>
        <x14:definedName name="encode_table_json">
          <x14:argumentDescriptions count="3">
            <x14:argumentDescription index="0">keyrange</x14:argumentDescription>
            <x14:argumentDescription index="1">val_namerange</x14:argumentDescription>
            <x14:argumentDescription index="2">valrange</x14:argumentDescription>
          </x14:argumentDescriptions>
        </x14:definedName>
        <x14:definedName name="encode_well_construction_string">
          <x14:argumentDescriptions count="8">
            <x14:argumentDescription index="0" xml:space="preserve">h_perf_m - глубина перфорации по длине скважины  точка узлового анализа для забоя </x14:argumentDescription>
            <x14:argumentDescription index="1" xml:space="preserve">h_tub_m - глубина спуска нкт, или глубина  спуска эцн </x14:argumentDescription>
            <x14:argumentDescription index="2" xml:space="preserve">h_list_m - траектория скважины, если число то измеренная  длина, range или таблица [0..n,0..1] то траектория </x14:argumentDescription>
            <x14:argumentDescription index="3" xml:space="preserve">d_tub_list_mm - диаметр нкт. range или таблица [0..n,0..1] </x14:argumentDescription>
            <x14:argumentDescription index="4" xml:space="preserve">d_cas_list_mm - диаметр эксп колонны.  range или таблица [0..n,0..1] </x14:argumentDescription>
            <x14:argumentDescription index="5" xml:space="preserve">d_choke_mm - диаметр штуцера </x14:argumentDescription>
            <x14:argumentDescription index="6">t_val_c - температура вдоль скважины  если число то температура на устье скважины  если range или таблица [0..n,0..1] то температура  окружающей среды по вертикальной глубине, ..см.мануал</x14:argumentDescription>
            <x14:argumentDescription index="7" xml:space="preserve">rough_m - шероховатость трубы </x14:argumentDescription>
          </x14:argumentDescriptions>
        </x14:definedName>
        <x14:definedName name="ESP_calc_stages_num">
          <x14:argumentDescriptions count="2">
            <x14:argumentDescription index="0" xml:space="preserve"> pump_id - идентификатор насоса в базе данных </x14:argumentDescription>
            <x14:argumentDescription index="1">head</x14:argumentDescription>
          </x14:argumentDescriptions>
        </x14:definedName>
        <x14:definedName name="ESP_eff_fr">
          <x14:argumentDescriptions count="8">
            <x14:argumentDescription index="0" xml:space="preserve"> qliq_m3day - дебит жидкости в условиях насоса (стенд) </x14:argumentDescription>
            <x14:argumentDescription index="1" xml:space="preserve"> num_stages - количество ступеней </x14:argumentDescription>
            <x14:argumentDescription index="2" xml:space="preserve"> freq_hz - частота вращения насоса </x14:argumentDescription>
            <x14:argumentDescription index="3" xml:space="preserve"> pump_id - номер насоса в базе данных </x14:argumentDescription>
            <x14:argumentDescription index="4" xml:space="preserve"> mu_cst - вязкость жидкости, сст; </x14:argumentDescription>
            <x14:argumentDescription index="5" xml:space="preserve"> calibr_head - калибровка (множитель) на напор </x14:argumentDescription>
            <x14:argumentDescription index="6" xml:space="preserve"> calibr_rate - калибровка (множитель) на расход </x14:argumentDescription>
            <x14:argumentDescription index="7" xml:space="preserve"> calibr_power - калибровка (множитель) на мощность </x14:argumentDescription>
          </x14:argumentDescriptions>
        </x14:definedName>
        <x14:definedName name="ESP_freq_nom">
          <x14:argumentDescriptions count="1">
            <x14:argumentDescription index="0" xml:space="preserve"> pump_id - идентификатор насоса в базе данных </x14:argumentDescription>
          </x14:argumentDescriptions>
        </x14:definedName>
        <x14:definedName name="ESP_gassep_ksep_d">
          <x14:argumentDescriptions count="4">
            <x14:argumentDescription index="0" xml:space="preserve"> gsep_type_type - тип сепаратора (номер от 1 до 29) </x14:argumentDescription>
            <x14:argumentDescription index="1" xml:space="preserve"> gas_frac_d - газосодержание на входе в газосепаратор </x14:argumentDescription>
            <x14:argumentDescription index="2" xml:space="preserve"> qliq_sm3day - дебит жидкости в стандартных условиях </x14:argumentDescription>
            <x14:argumentDescription index="3" xml:space="preserve"> freq_hz - частота врашения, гц </x14:argumentDescription>
          </x14:argumentDescriptions>
        </x14:definedName>
        <x14:definedName name="ESP_head_m">
          <x14:argumentDescriptions count="8">
            <x14:argumentDescription index="0" xml:space="preserve"> qliq_m3day - дебит жидкости в условиях насоса (стенд) </x14:argumentDescription>
            <x14:argumentDescription index="1" xml:space="preserve"> num_stages - количество ступеней </x14:argumentDescription>
            <x14:argumentDescription index="2" xml:space="preserve"> freq_hz - частота вращения насоса </x14:argumentDescription>
            <x14:argumentDescription index="3" xml:space="preserve"> pump_id - номер насоса в базе данных </x14:argumentDescription>
            <x14:argumentDescription index="4" xml:space="preserve"> mu_cst - вязкость жидкости, сст; </x14:argumentDescription>
            <x14:argumentDescription index="5" xml:space="preserve"> calibr_head - калибровка (множитель) на напор </x14:argumentDescription>
            <x14:argumentDescription index="6" xml:space="preserve"> calibr_rate - калибровка (множитель) на расход </x14:argumentDescription>
            <x14:argumentDescription index="7" xml:space="preserve"> calibr_power - калибровка (множитель) на мощность </x14:argumentDescription>
          </x14:argumentDescriptions>
        </x14:definedName>
        <x14:definedName name="ESP_id_by_rate">
          <x14:argumentDescriptions count="1">
            <x14:argumentDescription index="0" xml:space="preserve"> q - номинальный дебит </x14:argumentDescription>
          </x14:argumentDescriptions>
        </x14:definedName>
        <x14:definedName name="ESP_motor_calc_mom">
          <x14:argumentDescriptions count="6">
            <x14:argumentDescription index="0" xml:space="preserve"> mom_nm - момент развиваемый двигателем на валу, нм </x14:argumentDescription>
            <x14:argumentDescription index="1" xml:space="preserve"> freq_hz - частота вращения внешнего поля </x14:argumentDescription>
            <x14:argumentDescription index="2" xml:space="preserve"> u_v - напряжение рабочее, на поверхности, линейное, в  если задана кабельная линия, то учитывается </x14:argumentDescription>
            <x14:argumentDescription index="3" xml:space="preserve"> motor_json - строка с закодированными данными пэд </x14:argumentDescription>
            <x14:argumentDescription index="4" xml:space="preserve"> cable_json - строка с закодированными параметрами кабеля </x14:argumentDescription>
            <x14:argumentDescription index="5" xml:space="preserve"> param - строка с закодированными параметрами </x14:argumentDescription>
          </x14:argumentDescriptions>
        </x14:definedName>
        <x14:definedName name="ESP_motor_calc_slip">
          <x14:argumentDescriptions count="6">
            <x14:argumentDescription index="0" xml:space="preserve"> s - проскальзывание, </x14:argumentDescription>
            <x14:argumentDescription index="1" xml:space="preserve"> freq_hz - частота вращения внешнего поля </x14:argumentDescription>
            <x14:argumentDescription index="2" xml:space="preserve"> u_v - напряжение рабочее, на поверхности, линейное, в  если задана кабельная линия, то учитывается </x14:argumentDescription>
            <x14:argumentDescription index="3" xml:space="preserve"> motor_json - строка с закодированными данными пэд </x14:argumentDescription>
            <x14:argumentDescription index="4" xml:space="preserve"> cable_json - строка с закодированными параметрами кабеля </x14:argumentDescription>
            <x14:argumentDescription index="5" xml:space="preserve"> param - строка с закодированными параметрами </x14:argumentDescription>
          </x14:argumentDescriptions>
        </x14:definedName>
        <x14:definedName name="ESP_motor_nameplate">
          <x14:argumentDescriptions count="4">
            <x14:argumentDescription index="0" xml:space="preserve"> motor_json - строка с закодированными данными пэд </x14:argumentDescription>
            <x14:argumentDescription index="1" xml:space="preserve"> cable_json - строка с закодированными параметрами кабеля </x14:argumentDescription>
            <x14:argumentDescription index="2" xml:space="preserve"> freq_hz - частота тока, гц </x14:argumentDescription>
            <x14:argumentDescription index="3" xml:space="preserve"> param - строка с закодированными параметрами </x14:argumentDescription>
          </x14:argumentDescriptions>
        </x14:definedName>
        <x14:definedName name="ESP_name">
          <x14:argumentDescriptions count="1">
            <x14:argumentDescription index="0" xml:space="preserve"> pump_id - идентификатор насоса в базе данных </x14:argumentDescription>
          </x14:argumentDescriptions>
        </x14:definedName>
        <x14:definedName name="ESP_optRate_m3day">
          <x14:argumentDescriptions count="4">
            <x14:argumentDescription index="0" xml:space="preserve"> freq_hz - частота вращения эцн </x14:argumentDescription>
            <x14:argumentDescription index="1" xml:space="preserve"> pump_id - идентификатор насоса в базе данных </x14:argumentDescription>
            <x14:argumentDescription index="2">mu_cst</x14:argumentDescription>
            <x14:argumentDescription index="3">calibr_rate</x14:argumentDescription>
          </x14:argumentDescriptions>
        </x14:definedName>
        <x14:definedName name="ESP_p_atma">
          <x14:argumentDescriptions count="19">
            <x14:argumentDescription index="0" xml:space="preserve"> p_calc_atma - давление для которого делается расчет  либо давление на приеме насоса  либо давление на выкиде насоса </x14:argumentDescription>
            <x14:argumentDescription index="1" xml:space="preserve"> t_intake_c - температура на приеме насоcа </x14:argumentDescription>
            <x14:argumentDescription index="2" xml:space="preserve"> t_dis_c - температура на выкиде насоса. </x14:argumentDescription>
            <x14:argumentDescription index="3" xml:space="preserve"> feed - параметры потока флюидов json строка. используйте  функцию encode_feed() для генерации </x14:argumentDescription>
            <x14:argumentDescription index="4" xml:space="preserve"> pump_id - идентификатор насоса </x14:argumentDescription>
            <x14:argumentDescription index="5" xml:space="preserve"> num_stages - количество ступеней </x14:argumentDescription>
            <x14:argumentDescription index="6" xml:space="preserve"> freq_hz - частота вращения вала эцн, гц </x14:argumentDescription>
            <x14:argumentDescription index="7" xml:space="preserve"> определяется параметром calc_along_flow  t_intake_c - температура на приеме насоcа  t_dis_c - температура на выкиде насоса.  если = 0 и calc_along_flow = 1 то рассчитывается ..см.мануал</x14:argumentDescription>
            <x14:argumentDescription index="8" xml:space="preserve"> calibr_head - калибровка (множитель) на напор </x14:argumentDescription>
            <x14:argumentDescription index="9" xml:space="preserve"> calibr_rate - калибровка (множитель) на расход </x14:argumentDescription>
            <x14:argumentDescription index="10" xml:space="preserve"> calibr_power - калибровка (множитель) на мощность </x14:argumentDescription>
            <x14:argumentDescription index="11" xml:space="preserve"> gas_correct_model - модель калибровки по газу, 1 - стандартный эцн  25% предел, 2 - предел 50%, 3 - предел 75%, 4 - предел 35%, 5 - 25% </x14:argumentDescription>
            <x14:argumentDescription index="12" xml:space="preserve"> gas_correct_stage_by_stage - модель применятеся  для всех ступеней сразу или для каждой по отдельности </x14:argumentDescription>
            <x14:argumentDescription index="13" xml:space="preserve"> param - дополнительные параметры расчета потока </x14:argumentDescription>
            <x14:argumentDescription index="14" xml:space="preserve"> h_mes_top - глубина установки эцн (верх эцн) </x14:argumentDescription>
            <x14:argumentDescription index="15" xml:space="preserve"> q_liq_sm3day - дебит жидкости, перекрывает feed если задан,  может быть вектором </x14:argumentDescription>
            <x14:argumentDescription index="16" xml:space="preserve"> fw_perc - обводненность, перекрывает feed если задан,  может быть вектором </x14:argumentDescription>
            <x14:argumentDescription index="17" xml:space="preserve"> rp_m3m3 - газовый фактор, перекрывает feed если задан,  может быть вектором </x14:argumentDescription>
            <x14:argumentDescription index="18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ESP_p_json_atma">
          <x14:argumentDescriptions count="12">
            <x14:argumentDescription index="0" xml:space="preserve"> p_calc_atma - давление для которого делается расчет  либо давление на приеме насоса  либо давление на выкиде насоса </x14:argumentDescription>
            <x14:argumentDescription index="1" xml:space="preserve"> t_intake_c - температура на приеме насоcа </x14:argumentDescription>
            <x14:argumentDescription index="2" xml:space="preserve"> t_dis_c - температура на выкиде насоса. </x14:argumentDescription>
            <x14:argumentDescription index="3" xml:space="preserve"> feed - параметры потока флюидов json строка. используйте  функцию encode_feed() для генерации </x14:argumentDescription>
            <x14:argumentDescription index="4" xml:space="preserve"> json_esp_pump - параметры насоса насоса </x14:argumentDescription>
            <x14:argumentDescription index="5" xml:space="preserve"> определяется параметром calc_along_flow  t_intake_c - температура на приеме насоcа  t_dis_c - температура на выкиде насоса.  если = 0 и calc_along_flow = 1 то рассчитывается ..см.мануал</x14:argumentDescription>
            <x14:argumentDescription index="6" xml:space="preserve"> param - дополнительные параметры расчета потока </x14:argumentDescription>
            <x14:argumentDescription index="7" xml:space="preserve"> h_mes_top - глубина установки эцн (верх эцн) </x14:argumentDescription>
            <x14:argumentDescription index="8" xml:space="preserve"> q_liq_sm3day - дебит жидкости, перекрывает feed если задан,  может быть вектором </x14:argumentDescription>
            <x14:argumentDescription index="9" xml:space="preserve"> fw_perc - обводненность, перекрывает feed если задан,  может быть вектором </x14:argumentDescription>
            <x14:argumentDescription index="10" xml:space="preserve"> rp_m3m3 - газовый фактор, перекрывает feed если задан,  может быть вектором </x14:argumentDescription>
            <x14:argumentDescription index="11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ESP_power_W">
          <x14:argumentDescriptions count="8">
            <x14:argumentDescription index="0" xml:space="preserve"> qliq_m3day - дебит жидкости в условиях насоса (стенд) </x14:argumentDescription>
            <x14:argumentDescription index="1" xml:space="preserve"> num_stages - количество ступеней </x14:argumentDescription>
            <x14:argumentDescription index="2" xml:space="preserve"> freq_hz - частота вращения насоса </x14:argumentDescription>
            <x14:argumentDescription index="3" xml:space="preserve"> pump_id - номер насоса в базе данных </x14:argumentDescription>
            <x14:argumentDescription index="4" xml:space="preserve"> mu_cst - вязкость жидкости, сст; </x14:argumentDescription>
            <x14:argumentDescription index="5" xml:space="preserve"> calibr_head - калибровка (множитель) на напор </x14:argumentDescription>
            <x14:argumentDescription index="6" xml:space="preserve"> calibr_rate - калибровка (множитель) на расход </x14:argumentDescription>
            <x14:argumentDescription index="7" xml:space="preserve"> calibr_power - калибровка (множитель) на мощность </x14:argumentDescription>
          </x14:argumentDescriptions>
        </x14:definedName>
        <x14:definedName name="ESP_rate_max_sm3day">
          <x14:argumentDescriptions count="4">
            <x14:argumentDescription index="0" xml:space="preserve"> freq_hz - частота вращения эцн </x14:argumentDescription>
            <x14:argumentDescription index="1" xml:space="preserve"> pump_id - идентификатор насоса в базе данных </x14:argumentDescription>
            <x14:argumentDescription index="2" xml:space="preserve"> mu_cst - вязкость для расчета поправок </x14:argumentDescription>
            <x14:argumentDescription index="3" xml:space="preserve"> calibr_rate - калибровка на расход </x14:argumentDescription>
          </x14:argumentDescriptions>
        </x14:definedName>
        <x14:definedName name="ESP_system_calc">
          <x14:argumentDescriptions count="17">
            <x14:argumentDescription index="0" xml:space="preserve"> p_calc_atma - давление для которого делается расчет  либо давление на приеме насоса  либо давление на выкиде насоса </x14:argumentDescription>
            <x14:argumentDescription index="1" xml:space="preserve"> u_surf_high_lin_v - напряжение питания </x14:argumentDescription>
            <x14:argumentDescription index="2" xml:space="preserve"> f_surf_hz - фактическая частота </x14:argumentDescription>
            <x14:argumentDescription index="3" xml:space="preserve"> power_fact_kw - фактическое потребление энергии </x14:argumentDescription>
            <x14:argumentDescription index="4" xml:space="preserve"> t_intake_c - температура на приеме насоcа </x14:argumentDescription>
            <x14:argumentDescription index="5" xml:space="preserve"> t_dis_c - температура на выкиде насоса. </x14:argumentDescription>
            <x14:argumentDescription index="6" xml:space="preserve"> feed - параметры потока флюидов json строка. используйте  функцию encode_feed() для генерации </x14:argumentDescription>
            <x14:argumentDescription index="7" xml:space="preserve"> pump_json - строка с параметрами насоса </x14:argumentDescription>
            <x14:argumentDescription index="8" xml:space="preserve"> motor_json - строка с параметрами пэд </x14:argumentDescription>
            <x14:argumentDescription index="9" xml:space="preserve"> cable_json - строка с параметрами кабеля пэд </x14:argumentDescription>
            <x14:argumentDescription index="10" xml:space="preserve"> gassep_json - строка с параметрами сепарации флюида на приеме </x14:argumentDescription>
            <x14:argumentDescription index="11" xml:space="preserve"> определяется параметром calc_along_flow  u_surf_high_lin_v - напряжение питания  f_surf_hz - фактическая частота  power_fact_kw - фактическое потребление энергии  t_intake_c ..см.мануал</x14:argumentDescription>
            <x14:argumentDescription index="12" xml:space="preserve"> param - дополнительные параметры расчета потока </x14:argumentDescription>
            <x14:argumentDescription index="13">q_liq_sm3day</x14:argumentDescription>
            <x14:argumentDescription index="14">fw_perc</x14:argumentDescription>
            <x14:argumentDescription index="15">rp_m3m3</x14:argumentDescription>
            <x14:argumentDescription index="16">q_gas_free_sm3day</x14:argumentDescription>
          </x14:argumentDescriptions>
        </x14:definedName>
        <x14:definedName name="feed_cJT_Katm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gas_fraction_d">
          <x14:argumentDescriptions count="4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  <x14:argumentDescription index="3" xml:space="preserve"> ksep_add_fr - коэффициент сепарации газа из потока </x14:argumentDescription>
          </x14:argumentDescriptions>
        </x14:definedName>
        <x14:definedName name="feed_m_gas_kgsec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m_oil_kgsec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m_wat_kgsec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mod_mix">
          <x14:argumentDescriptions count="2">
            <x14:argumentDescription index="0" xml:space="preserve"> feed_1 - feed 1 encoded string </x14:argumentDescription>
            <x14:argumentDescription index="1" xml:space="preserve"> feed_2 - feed 2 encoded string  result - json encoded feed string </x14:argumentDescription>
          </x14:argumentDescriptions>
        </x14:definedName>
        <x14:definedName name="feed_mod_separate_gas">
          <x14:argumentDescriptions count="5">
            <x14:argumentDescription index="0" xml:space="preserve"> k_sep - gas separation factor, fraction, number or list </x14:argumentDescription>
            <x14:argumentDescription index="1" xml:space="preserve"> p_atma - pressure, atm, number or list </x14:argumentDescription>
            <x14:argumentDescription index="2" xml:space="preserve"> t_c - temperature, c, number or list </x14:argumentDescription>
            <x14:argumentDescription index="3" xml:space="preserve"> feed - json encoded fluid flow parameters,  use encode_feed to generate </x14:argumentDescription>
            <x14:argumentDescription index="4" xml:space="preserve"> feed - json encoded fluid flow parameters,  use encode_feed to generate  param - json encoded calculation and output parameters  result - json encoded feed string </x14:argumentDescription>
          </x14:argumentDescriptions>
        </x14:definedName>
        <x14:definedName name="feed_mod_split">
          <x14:argumentDescriptions count="7">
            <x14:argumentDescription index="0" xml:space="preserve"> k_sep_gas - gas separation factor </x14:argumentDescription>
            <x14:argumentDescription index="1" xml:space="preserve"> k_sep_oil - oil separation factor </x14:argumentDescription>
            <x14:argumentDescription index="2" xml:space="preserve"> k_sep_wat - water separation factor </x14:argumentDescription>
            <x14:argumentDescription index="3" xml:space="preserve"> p_atma - pressure, atm </x14:argumentDescription>
            <x14:argumentDescription index="4" xml:space="preserve"> t_c - temperature, c. </x14:argumentDescription>
            <x14:argumentDescription index="5" xml:space="preserve"> feed - fluid flow parameters, flow rate, watercut, etc.  use encode_feed for generation </x14:argumentDescription>
            <x14:argumentDescription index="6" xml:space="preserve"> feed - fluid flow parameters, flow rate, watercut, etc.  use encode_feed for generation  param - json encoded parameters for calculation and output  result - array, gjs flow r..см.мануал</x14:argumentDescription>
          </x14:argumentDescriptions>
        </x14:definedName>
        <x14:definedName name="feed_mu_liq_cP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mu_mix_cP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p_gas_fraction_atma">
          <x14:argumentDescriptions count="4">
            <x14:argumentDescription index="0" xml:space="preserve"> free_gas_d - допустимая доля газа в потоке;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  <x14:argumentDescription index="3" xml:space="preserve"> ksep_add_fr - коэффициент сепарации газа из потока </x14:argumentDescription>
          </x14:argumentDescriptions>
        </x14:definedName>
        <x14:definedName name="feed_q_gas_free_sm3day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q_gas_rc_m3day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q_liq_rc_m3day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q_mix_rc_m3day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rho_liq_kgm3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rho_mix_kgm3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</x14:argumentDescriptions>
        </x14:definedName>
        <x14:definedName name="feed_rp_gas_fraction_m3m3">
          <x14:argumentDescriptions count="5">
            <x14:argumentDescription index="0" xml:space="preserve"> free_gas_d - допустимая доля газа в потоке; </x14:argumentDescription>
            <x14:argumentDescription index="1">p_atma</x14:argumentDescription>
            <x14:argumentDescription index="2" xml:space="preserve"> t_c - температура, с. </x14:argumentDescription>
            <x14:argumentDescription index="3" xml:space="preserve"> feed - параметры потока флюидов, дебит, обводненность и пр  используйте encode_feed для генерации </x14:argumentDescription>
            <x14:argumentDescription index="4" xml:space="preserve"> ksep_add_fr - коэффициент сепарации газа из потока </x14:argumentDescription>
          </x14:argumentDescriptions>
        </x14:definedName>
        <x14:definedName name="feed_ST_liqgas_Nm">
          <x14:argumentDescriptions count="3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строка с параметрами флюида,  используйте encode_pvt для ее генерации,  если задана перекрывает остальные параметры </x14:argumentDescription>
          </x14:argumentDescriptions>
        </x14:definedName>
        <x14:definedName name="GLV_d_choke_mm">
          <x14:argumentDescriptions count="5">
            <x14:argumentDescription index="0" xml:space="preserve"> q_gas_sm3day - расход газа, ст. м3/сут </x14:argumentDescription>
            <x14:argumentDescription index="1" xml:space="preserve"> p_in_atma - давление на входе в клапан (затруб), атма </x14:argumentDescription>
            <x14:argumentDescription index="2" xml:space="preserve"> p_out_atma - давление на выходе клапана (нкт), атма </x14:argumentDescription>
            <x14:argumentDescription index="3" xml:space="preserve"> gamma_g - удельная плотность газа </x14:argumentDescription>
            <x14:argumentDescription index="4" xml:space="preserve"> t_c - температура клапана, с </x14:argumentDescription>
          </x14:argumentDescriptions>
        </x14:definedName>
        <x14:definedName name="GLV_IPO_p_atma">
          <x14:argumentDescriptions count="12">
            <x14:argumentDescription index="0" xml:space="preserve"> p_bellow_atma - давление зарядки сильфона на стенде, атма </x14:argumentDescription>
            <x14:argumentDescription index="1" xml:space="preserve"> d_port_mm - диаметр порта клапана </x14:argumentDescription>
            <x14:argumentDescription index="2" xml:space="preserve"> p_calc_atma - давление на выходе клапана (нкт), атма </x14:argumentDescription>
            <x14:argumentDescription index="3" xml:space="preserve"> q_gas_sm3day - расход газа </x14:argumentDescription>
            <x14:argumentDescription index="4" xml:space="preserve"> t_c - температура клапана в рабочих условиях, с </x14:argumentDescription>
            <x14:argumentDescription index="5" xml:space="preserve"> calc_along_flow - направление расчета </x14:argumentDescription>
            <x14:argumentDescription index="6" xml:space="preserve"> glv_type - тип газлифтного клапана (сейчас только r1) </x14:argumentDescription>
            <x14:argumentDescription index="7" xml:space="preserve"> d_vkr1_mm - диаметр вкрутки 1, если есть </x14:argumentDescription>
            <x14:argumentDescription index="8" xml:space="preserve"> d_vkr2_mm - диаметр вкрутки 2, если есть </x14:argumentDescription>
            <x14:argumentDescription index="9" xml:space="preserve"> d_vkr3_mm - диаметр вкрутки 3, если есть </x14:argumentDescription>
            <x14:argumentDescription index="10" xml:space="preserve"> d_vkr4_mm - диаметр вкрутки 4, если есть </x14:argumentDescription>
            <x14:argumentDescription index="11" xml:space="preserve"> gamma_gas - плотность газа </x14:argumentDescription>
          </x14:argumentDescriptions>
        </x14:definedName>
        <x14:definedName name="GLV_IPO_p_close">
          <x14:argumentDescriptions count="10">
            <x14:argumentDescription index="0" xml:space="preserve"> p_bellow_atma - давление зарядки сильфона на стенде, атма </x14:argumentDescription>
            <x14:argumentDescription index="1" xml:space="preserve"> p_out_atma - давление на выходе клапана (нкт), атма </x14:argumentDescription>
            <x14:argumentDescription index="2" xml:space="preserve"> t_c - температура клапана в рабочих условиях, с </x14:argumentDescription>
            <x14:argumentDescription index="3" xml:space="preserve"> glv_type - тип газлифтного клапана (сейчас только r1) </x14:argumentDescription>
            <x14:argumentDescription index="4" xml:space="preserve"> d_port_mm - диаметр порта клапана </x14:argumentDescription>
            <x14:argumentDescription index="5" xml:space="preserve"> d_vkr1_mm - диаметр вкрутки 1, если есть </x14:argumentDescription>
            <x14:argumentDescription index="6" xml:space="preserve"> d_vkr2_mm - диаметр вкрутки 2, если есть </x14:argumentDescription>
            <x14:argumentDescription index="7" xml:space="preserve"> d_vkr3_mm - диаметр вкрутки 3, если есть </x14:argumentDescription>
            <x14:argumentDescription index="8" xml:space="preserve"> d_vkr4_mm - диаметр вкрутки 4, если есть </x14:argumentDescription>
            <x14:argumentDescription index="9" xml:space="preserve"> gamma_gas - плотность газа </x14:argumentDescription>
          </x14:argumentDescriptions>
        </x14:definedName>
        <x14:definedName name="GLV_IPO_p_open">
          <x14:argumentDescriptions count="10">
            <x14:argumentDescription index="0" xml:space="preserve"> p_bellow_atma - давление зарядки сильфона на стенде, атма </x14:argumentDescription>
            <x14:argumentDescription index="1" xml:space="preserve"> p_out_atma - давление на выходе клапана (нкт), атма </x14:argumentDescription>
            <x14:argumentDescription index="2" xml:space="preserve"> t_c - температура клапана в рабочих условиях, с </x14:argumentDescription>
            <x14:argumentDescription index="3" xml:space="preserve"> glv_type - тип газлифтного клапана (сейчас только r1) </x14:argumentDescription>
            <x14:argumentDescription index="4" xml:space="preserve"> d_port_mm - диаметр порта клапана </x14:argumentDescription>
            <x14:argumentDescription index="5" xml:space="preserve"> d_vkr1_mm - диаметр вкрутки 1, если есть </x14:argumentDescription>
            <x14:argumentDescription index="6" xml:space="preserve"> d_vkr2_mm - диаметр вкрутки 2, если есть </x14:argumentDescription>
            <x14:argumentDescription index="7" xml:space="preserve"> d_vkr3_mm - диаметр вкрутки 3, если есть </x14:argumentDescription>
            <x14:argumentDescription index="8" xml:space="preserve"> d_vkr4_mm - диаметр вкрутки 4, если есть </x14:argumentDescription>
            <x14:argumentDescription index="9" xml:space="preserve"> gamma_gas - плотность газа </x14:argumentDescription>
          </x14:argumentDescriptions>
        </x14:definedName>
        <x14:definedName name="GLV_p_atma">
          <x14:argumentDescriptions count="8">
            <x14:argumentDescription index="0" xml:space="preserve"> d_mm - диаметр клапана, мм </x14:argumentDescription>
            <x14:argumentDescription index="1" xml:space="preserve"> p_calc_atma - давление на входе (выходе) клапана, атма </x14:argumentDescription>
            <x14:argumentDescription index="2" xml:space="preserve"> q_gas_sm3day - расход газа, ст. м3/сут </x14:argumentDescription>
            <x14:argumentDescription index="3" xml:space="preserve"> gamma_g - удельная плотность газа </x14:argumentDescription>
            <x14:argumentDescription index="4" xml:space="preserve"> t_c - температура в точке установки клапана </x14:argumentDescription>
            <x14:argumentDescription index="5" xml:space="preserve"> calc_along_flow - направление расчета:  0 - против потока (расчет давления на входе);  1 - по потоку (расчет давления на выходе). </x14:argumentDescription>
            <x14:argumentDescription index="6" xml:space="preserve"> p_open_atma - давление открытия/закрытия клапана, атм </x14:argumentDescription>
            <x14:argumentDescription index="7">c_calibr</x14:argumentDescription>
          </x14:argumentDescriptions>
        </x14:definedName>
        <x14:definedName name="GLV_p_bellow_atma">
          <x14:argumentDescriptions count="2">
            <x14:argumentDescription index="0" xml:space="preserve"> p_atma - рабочее давление открытия клапана в скважине, атм </x14:argumentDescription>
            <x14:argumentDescription index="1" xml:space="preserve"> t_c - рабочая температура открытия клапана в скважине, с </x14:argumentDescription>
          </x14:argumentDescriptions>
        </x14:definedName>
        <x14:definedName name="GLV_p_close_atma">
          <x14:argumentDescriptions count="2">
            <x14:argumentDescription index="0" xml:space="preserve"> p_bellow_atm - давление зарядки сильфона при стандартных условиях </x14:argumentDescription>
            <x14:argumentDescription index="1" xml:space="preserve"> t_c - температура рабочая </x14:argumentDescription>
          </x14:argumentDescriptions>
        </x14:definedName>
        <x14:definedName name="GLV_p_vkr_atma">
          <x14:argumentDescriptions count="7">
            <x14:argumentDescription index="0" xml:space="preserve"> d_port_mm - диаметр порта клапана, мм </x14:argumentDescription>
            <x14:argumentDescription index="1" xml:space="preserve"> d_vkr_mm - диаметр вкрутки клапана, мм </x14:argumentDescription>
            <x14:argumentDescription index="2" xml:space="preserve"> p_calc_atma - давление на входе (выходе) клапана, атма </x14:argumentDescription>
            <x14:argumentDescription index="3" xml:space="preserve"> q_gas_sm3day - расход газа, ст. м3/сут </x14:argumentDescription>
            <x14:argumentDescription index="4" xml:space="preserve"> gamma_g - удельная плотность газа </x14:argumentDescription>
            <x14:argumentDescription index="5" xml:space="preserve"> t_c - температура в точке установки клапана </x14:argumentDescription>
            <x14:argumentDescription index="6" xml:space="preserve"> calc_along_flow - направление расчета:  0 - против потока (расчет давления на входе);  1 - по потоку (расчет давления на выходе). </x14:argumentDescription>
          </x14:argumentDescriptions>
        </x14:definedName>
        <x14:definedName name="GLV_q_gas_sm3day">
          <x14:argumentDescriptions count="6">
            <x14:argumentDescription index="0" xml:space="preserve"> d_mm - диаметр основного порта клапана, мм </x14:argumentDescription>
            <x14:argumentDescription index="1" xml:space="preserve"> p_in_atma - давление на входе в клапан (затруб), атма </x14:argumentDescription>
            <x14:argumentDescription index="2" xml:space="preserve"> p_out_atma - давление на выходе клапана (нкт), атма </x14:argumentDescription>
            <x14:argumentDescription index="3" xml:space="preserve"> gamma_g - удельная плотность газа </x14:argumentDescription>
            <x14:argumentDescription index="4" xml:space="preserve"> t_c - температура клапана, с </x14:argumentDescription>
            <x14:argumentDescription index="5">c_calibr</x14:argumentDescription>
          </x14:argumentDescriptions>
        </x14:definedName>
        <x14:definedName name="GLV_q_gas_vkr_sm3day">
          <x14:argumentDescriptions count="6">
            <x14:argumentDescription index="0" xml:space="preserve"> d_port_mm - диаметр основного порта клапана, мм </x14:argumentDescription>
            <x14:argumentDescription index="1" xml:space="preserve"> d_vkr_mm - эффективный диаметр вкруток на выходе, мм </x14:argumentDescription>
            <x14:argumentDescription index="2" xml:space="preserve"> p_in_atma - давление на входе в клапан (затруб), атма </x14:argumentDescription>
            <x14:argumentDescription index="3" xml:space="preserve"> p_out_atma - давление на выходе клапана (нкт), атма </x14:argumentDescription>
            <x14:argumentDescription index="4" xml:space="preserve"> gamma_g - удельная плотность газа </x14:argumentDescription>
            <x14:argumentDescription index="5" xml:space="preserve"> t_c - температура клапана, с </x14:argumentDescription>
          </x14:argumentDescriptions>
        </x14:definedName>
        <x14:definedName name="IPR_p_wf_atma">
          <x14:argumentDescriptions count="6">
            <x14:argumentDescription index="0" xml:space="preserve">  pi_sm3dayatm - коэффициент продуктивности, ст.м3/сут/атм </x14:argumentDescription>
            <x14:argumentDescription index="1" xml:space="preserve"> p_res_atma - пластовое давление, абс. атм </x14:argumentDescription>
            <x14:argumentDescription index="2" xml:space="preserve"> q_liq_sm3day - дебит жидкости скважины на поверхности, ст.м3/сут </x14:argumentDescription>
            <x14:argumentDescription index="3" xml:space="preserve"> fw_perc - обводненность, % </x14:argumentDescription>
            <x14:argumentDescription index="4" xml:space="preserve"> pb_atma - давление насыщения, абс. атм </x14:argumentDescription>
            <x14:argumentDescription index="5" xml:space="preserve"> t_res_c - температура флюида в пласте, с </x14:argumentDescription>
          </x14:argumentDescriptions>
        </x14:definedName>
        <x14:definedName name="IPR_pi_sm3dayatm">
          <x14:argumentDescriptions count="5">
            <x14:argumentDescription index="0" xml:space="preserve"> qtest_sm3day - тестовый дебит скважины, ст.м3/сут </x14:argumentDescription>
            <x14:argumentDescription index="1" xml:space="preserve"> pwf_test_atma - тестовое забойное давление, абс. атм </x14:argumentDescription>
            <x14:argumentDescription index="2" xml:space="preserve"> p_res_atma - пластовое давление, абс. атм </x14:argumentDescription>
            <x14:argumentDescription index="3" xml:space="preserve"> fw_perc - обводненность, % </x14:argumentDescription>
            <x14:argumentDescription index="4" xml:space="preserve"> pb_atma - давление насыщения, абс. атм </x14:argumentDescription>
          </x14:argumentDescriptions>
        </x14:definedName>
        <x14:definedName name="IPR_pq_crv">
          <x14:argumentDescriptions count="5">
            <x14:argumentDescription index="0" xml:space="preserve"> pi_sm3dayatm - коэффициент продуктивности, ст.м3/сут/атм </x14:argumentDescription>
            <x14:argumentDescription index="1" xml:space="preserve"> p_res_atma - пластовое давление, абс. атм </x14:argumentDescription>
            <x14:argumentDescription index="2" xml:space="preserve"> fw_perc - обводненность, % </x14:argumentDescription>
            <x14:argumentDescription index="3" xml:space="preserve"> pb_atma - давление насыщения, абс. атм </x14:argumentDescription>
            <x14:argumentDescription index="4" xml:space="preserve"> param - дополнительные параметры построения </x14:argumentDescription>
          </x14:argumentDescriptions>
        </x14:definedName>
        <x14:definedName name="IPR_q_liq_sm3day">
          <x14:argumentDescriptions count="6">
            <x14:argumentDescription index="0" xml:space="preserve"> pi_sm3dayatm - коэффициент продуктивности, ст.м3/сут/атм </x14:argumentDescription>
            <x14:argumentDescription index="1" xml:space="preserve"> p_res_atma - пластовое давление, абс. атм </x14:argumentDescription>
            <x14:argumentDescription index="2" xml:space="preserve"> p_wf_atma - забойное давление, абс. атм.  можно задать список [], </x14:argumentDescription>
            <x14:argumentDescription index="3" xml:space="preserve"> fw_perc - обводненность, % </x14:argumentDescription>
            <x14:argumentDescription index="4" xml:space="preserve"> pb_atma - давление насыщения, абс. атм </x14:argumentDescription>
            <x14:argumentDescription index="5" xml:space="preserve"> t_res_c - температура флюида в пласте, с </x14:argumentDescription>
          </x14:argumentDescriptions>
        </x14:definedName>
        <x14:definedName name="Jet_p_in_atma">
          <x14:argumentDescriptions count="9">
            <x14:argumentDescription index="0" xml:space="preserve"> feed_act - поток рабочий (высокого давления), строка  расход игнорируется - будет расчтан </x14:argumentDescription>
            <x14:argumentDescription index="1" xml:space="preserve"> feed_in - поток перекачиваемый (низкого давления), строка </x14:argumentDescription>
            <x14:argumentDescription index="2" xml:space="preserve"> d_nozzle_mm - диаметр сопла, мм </x14:argumentDescription>
            <x14:argumentDescription index="3" xml:space="preserve"> d_throat_mm - диаметр камеры смешения, мм  p_act_atma - давление активного потока, высокое, атм  p_in_atma - давление входного потока, низкое, атм </x14:argumentDescription>
            <x14:argumentDescription index="4">p_out_atma</x14:argumentDescription>
            <x14:argumentDescription index="5" xml:space="preserve"> t_c - температура потоков в струйном насосе, с. </x14:argumentDescription>
            <x14:argumentDescription index="6" xml:space="preserve"> param - дополнительные параметры расчета </x14:argumentDescription>
            <x14:argumentDescription index="7">type_q</x14:argumentDescription>
            <x14:argumentDescription index="8">model</x14:argumentDescription>
          </x14:argumentDescriptions>
        </x14:definedName>
        <x14:definedName name="Jet_p_out_atma">
          <x14:argumentDescriptions count="13">
            <x14:argumentDescription index="0" xml:space="preserve"> feed_act - поток рабочий (высокого давления), строка  расход игнорируется - будет расчтан </x14:argumentDescription>
            <x14:argumentDescription index="1" xml:space="preserve"> feed_in - поток перекачиваемый (низкого давления), строка </x14:argumentDescription>
            <x14:argumentDescription index="2" xml:space="preserve"> d_nozzle_mm - диаметр сопла, мм </x14:argumentDescription>
            <x14:argumentDescription index="3" xml:space="preserve"> d_throat_mm - диаметр камеры смешения, мм </x14:argumentDescription>
            <x14:argumentDescription index="4" xml:space="preserve"> p_act_atma - давление активного потока, высокое, атм </x14:argumentDescription>
            <x14:argumentDescription index="5" xml:space="preserve"> p_in_atma - давление входного потока, низкое, атм </x14:argumentDescription>
            <x14:argumentDescription index="6" xml:space="preserve"> t_c - температура потоков в струйном насосе, с. </x14:argumentDescription>
            <x14:argumentDescription index="7" xml:space="preserve"> param - дополнительные параметры расчета </x14:argumentDescription>
            <x14:argumentDescription index="8">type_q</x14:argumentDescription>
            <x14:argumentDescription index="9">model</x14:argumentDescription>
            <x14:argumentDescription index="10">k_n</x14:argumentDescription>
            <x14:argumentDescription index="11">k_td</x14:argumentDescription>
            <x14:argumentDescription index="12">kchoke</x14:argumentDescription>
          </x14:argumentDescriptions>
        </x14:definedName>
        <x14:definedName name="Jet_q_nozzle_sm3day">
          <x14:argumentDescriptions count="9">
            <x14:argumentDescription index="0" xml:space="preserve"> feed_act - поток рабочий (высокого давления), строка  расход игнорируется - будет расчтан </x14:argumentDescription>
            <x14:argumentDescription index="1" xml:space="preserve"> d_nozzle_mm - диаметр сопла, мм </x14:argumentDescription>
            <x14:argumentDescription index="2" xml:space="preserve"> p_act_atma - давление активного потока, высокое, атм </x14:argumentDescription>
            <x14:argumentDescription index="3" xml:space="preserve"> p_in_atma - давление входного потока, низкое, атм </x14:argumentDescription>
            <x14:argumentDescription index="4" xml:space="preserve"> t_c - температура потоков в струйном насосе, с. </x14:argumentDescription>
            <x14:argumentDescription index="5" xml:space="preserve"> param - дополнительные параметры расчета </x14:argumentDescription>
            <x14:argumentDescription index="6">type_q</x14:argumentDescription>
            <x14:argumentDescription index="7">kchoke</x14:argumentDescription>
            <x14:argumentDescription index="8">d_throat_mm</x14:argumentDescription>
          </x14:argumentDescriptions>
        </x14:definedName>
        <x14:definedName name="json_choke_pq_crv">
          <x14:argumentDescriptions count="13">
            <x14:argumentDescription index="0" xml:space="preserve"> d_choke_mm - диаметр штуцера (эффективный) </x14:argumentDescription>
            <x14:argumentDescription index="1" xml:space="preserve"> feed - закодированная строка с параметрами потока. </x14:argumentDescription>
            <x14:argumentDescription index="2" xml:space="preserve"> p_calc_from_atma - давление с которого начинается расчет, атм  граничное значение для проведения расчета  либо давление на входе, либо на выходе </x14:argumentDescription>
            <x14:argumentDescription index="3" xml:space="preserve"> t_choke_c - температура потока, с. </x14:argumentDescription>
            <x14:argumentDescription index="4" xml:space="preserve"> d_pipe_mm - диаметр трубы до и после штуцера </x14:argumentDescription>
            <x14:argumentDescription index="5" xml:space="preserve"> calc_along_flow - флаг направления расчета относительно потока </x14:argumentDescription>
            <x14:argumentDescription index="6">calibr</x14:argumentDescription>
            <x14:argumentDescription index="7" xml:space="preserve"> param - параметры расчета json строка </x14:argumentDescription>
            <x14:argumentDescription index="8" xml:space="preserve"> cdischarge - коэффициент совершенства штуцера </x14:argumentDescription>
            <x14:argumentDescription index="9" xml:space="preserve"> q_liq_sm3day - дебит жидкости, перекрывает feed если задан,  может быть вектором </x14:argumentDescription>
            <x14:argumentDescription index="10" xml:space="preserve"> fw_perc - обводненность, перекрывает feed если задан,  может быть вектором </x14:argumentDescription>
            <x14:argumentDescription index="11" xml:space="preserve"> rp_m3m3 - газовый фактор, перекрывает feed если задан,  может быть вектором </x14:argumentDescription>
            <x14:argumentDescription index="12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json_feed_calc">
          <x14:argumentDescriptions count="4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feed - параметры потока флюидов, дебит, обводненность и пр  используйте encode_feed для генерации </x14:argumentDescription>
            <x14:argumentDescription index="3" xml:space="preserve"> show_log - показывать ли лог </x14:argumentDescription>
          </x14:argumentDescriptions>
        </x14:definedName>
        <x14:definedName name="json_pipe_calc">
          <x14:argumentDescriptions count="18">
            <x14:argumentDescription index="0" xml:space="preserve"> p_calc_from_atma - давление с которого начинается расчет, атм  граничное значение для проведения расчета </x14:argumentDescription>
            <x14:argumentDescription index="1" xml:space="preserve"> t_calc_from_c - температура в точке где задано давление расчета </x14:argumentDescription>
            <x14:argumentDescription index="2" xml:space="preserve"> construction - параметры конструкции json строка. используйте  функцию encode_pipe() для генерации </x14:argumentDescription>
            <x14:argumentDescription index="3" xml:space="preserve"> feed - параметры потока флюидов json строка. используйте  функции encode_feed() или encode_feed_list()  construction - параметры конструкции json строка. используйте  функцию ..см.мануал</x14:argumentDescription>
            <x14:argumentDescription index="4" xml:space="preserve"> t_model - параметры температурной модели json строка.  используйте функцию encode_t_model() для генерации </x14:argumentDescription>
            <x14:argumentDescription index="5" xml:space="preserve"> calc_along_coord - направление расчета относительно координат. </x14:argumentDescription>
            <x14:argumentDescription index="6" xml:space="preserve"> flow_along_coord - направление потока относительно координат.  flow_correl ation - гидравлическая корреляция, номер </x14:argumentDescription>
            <x14:argumentDescription index="7">flow_correlation</x14:argumentDescription>
            <x14:argumentDescription index="8" xml:space="preserve"> calibr_grav - калибровка на гравитационную составляющую  градиента давления </x14:argumentDescription>
            <x14:argumentDescription index="9" xml:space="preserve"> calibr_fric - калибровка на составляющую трения  градиента давления </x14:argumentDescription>
            <x14:argumentDescription index="10" xml:space="preserve"> param - дополнительные параметры расчета потока </x14:argumentDescription>
            <x14:argumentDescription index="11" xml:space="preserve"> h_start_m - начало расчета по трубе, м </x14:argumentDescription>
            <x14:argumentDescription index="12" xml:space="preserve"> h_end_m - конечная точка расчета по трубе, м </x14:argumentDescription>
            <x14:argumentDescription index="13" xml:space="preserve"> znlf - флаг для режима барботажа </x14:argumentDescription>
            <x14:argumentDescription index="14" xml:space="preserve"> q_liq_sm3day - дебит жидкости, перекрывает feed если задан,  может быть вектором </x14:argumentDescription>
            <x14:argumentDescription index="15" xml:space="preserve"> fw_perc - обводненность, перекрывает feed если задан,  может быть вектором </x14:argumentDescription>
            <x14:argumentDescription index="16" xml:space="preserve"> rp_m3m3 - газовый фактор, перекрывает feed если задан,  может быть вектором </x14:argumentDescription>
            <x14:argumentDescription index="17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json_PVT_calc">
          <x14:argumentDescriptions count="4">
            <x14:argumentDescription index="0" xml:space="preserve"> p_atma - pressure, atm </x14:argumentDescription>
            <x14:argumentDescription index="1" xml:space="preserve"> t_c - temperature, c. </x14:argumentDescription>
            <x14:argumentDescription index="2" xml:space="preserve"> pvt_prop - static fluid properties - densities rsb, etc.  use encode_pvt to generate </x14:argumentDescription>
            <x14:argumentDescription index="3">show_log</x14:argumentDescription>
          </x14:argumentDescriptions>
        </x14:definedName>
        <x14:definedName name="list_concatenate">
          <x14:argumentDescriptions count="1">
            <x14:argumentDescription index="0">paramarrayvar</x14:argumentDescription>
          </x14:argumentDescriptions>
        </x14:definedName>
        <x14:definedName name="list_merge">
          <x14:argumentDescriptions count="1">
            <x14:argumentDescription index="0">paramarrayvar</x14:argumentDescription>
          </x14:argumentDescriptions>
        </x14:definedName>
        <x14:definedName name="MF_choke_calibr">
          <x14:argumentDescriptions count="14">
            <x14:argumentDescription index="0" xml:space="preserve"> d_choke_mm - диаметр штуцера (эффективный), мм </x14:argumentDescription>
            <x14:argumentDescription index="1" xml:space="preserve"> feed - закодированная строка с параметрами потока. </x14:argumentDescription>
            <x14:argumentDescription index="2" xml:space="preserve"> calibr_type </x14:argumentDescription>
            <x14:argumentDescription index="3" xml:space="preserve"> p_in_atma - давление на входе (высокой стороне) </x14:argumentDescription>
            <x14:argumentDescription index="4" xml:space="preserve"> p_out_atma - давление на выходе (низкой стороне) </x14:argumentDescription>
            <x14:argumentDescription index="5" xml:space="preserve"> t_choke_c - температура, с. </x14:argumentDescription>
            <x14:argumentDescription index="6" xml:space="preserve"> calibr_type  p_in_atma - давление на входе (высокой стороне)  p_out_atma - давление на выходе (низкой стороне)  t_choke_c - температура, с.  calibr - параметр калибровки </x14:argumentDescription>
            <x14:argumentDescription index="7" xml:space="preserve"> d_pipe_mm - диаметр трубы до и после штуцера, мм </x14:argumentDescription>
            <x14:argumentDescription index="8" xml:space="preserve"> param - параметры расчета json строка </x14:argumentDescription>
            <x14:argumentDescription index="9" xml:space="preserve"> cdischarge - коэффициент совершенства штуцера </x14:argumentDescription>
            <x14:argumentDescription index="10" xml:space="preserve"> q_liq_sm3day - дебит жидкости, перекрывает feed если задан,  может быть вектором </x14:argumentDescription>
            <x14:argumentDescription index="11" xml:space="preserve"> fw_perc - обводненность, перекрывает feed если задан,  может быть вектором </x14:argumentDescription>
            <x14:argumentDescription index="12" xml:space="preserve"> rp_m3m3 - газовый фактор, перекрывает feed если задан,  может быть вектором </x14:argumentDescription>
            <x14:argumentDescription index="13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MF_choke_calibr_fast">
          <x14:argumentDescriptions count="12">
            <x14:argumentDescription index="0" xml:space="preserve"> feed - закодированная строка с параметрами потока. </x14:argumentDescription>
            <x14:argumentDescription index="1" xml:space="preserve"> d_choke_mm - диаметр штуцера (эффективный), мм </x14:argumentDescription>
            <x14:argumentDescription index="2" xml:space="preserve"> p_in_atma - давление на входе (высокой стороне) </x14:argumentDescription>
            <x14:argumentDescription index="3" xml:space="preserve"> p_out_atma - давление на выходе (низкой стороне) </x14:argumentDescription>
            <x14:argumentDescription index="4" xml:space="preserve"> d_pipe_mm - диаметр трубы до и после штуцера, мм </x14:argumentDescription>
            <x14:argumentDescription index="5" xml:space="preserve"> t_choke_c - температура, с. </x14:argumentDescription>
            <x14:argumentDescription index="6" xml:space="preserve"> param - параметры расчета json строка </x14:argumentDescription>
            <x14:argumentDescription index="7" xml:space="preserve"> cdischarge - коэффициент совершенства штуцера </x14:argumentDescription>
            <x14:argumentDescription index="8" xml:space="preserve"> q_liq_sm3day - дебит жидкости, перекрывает feed если задан,  может быть вектором </x14:argumentDescription>
            <x14:argumentDescription index="9" xml:space="preserve"> fw_perc - обводненность, перекрывает feed если задан,  может быть вектором </x14:argumentDescription>
            <x14:argumentDescription index="10" xml:space="preserve"> rp_m3m3 - газовый фактор, перекрывает feed если задан,  может быть вектором </x14:argumentDescription>
            <x14:argumentDescription index="11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MF_choke_p_atma">
          <x14:argumentDescriptions count="13">
            <x14:argumentDescription index="0" xml:space="preserve"> d_choke_mm - диаметр штуцера (эффективный) </x14:argumentDescription>
            <x14:argumentDescription index="1" xml:space="preserve"> feed - параметры потока флюидов json строка. используйте  функции encode_feed() или encode_feed_list() </x14:argumentDescription>
            <x14:argumentDescription index="2" xml:space="preserve"> p_calc_from_atma - давление с которого начинается расчет, атм  граничное значение для проведения расчета  либо давление на входе, либо на выходе.  может быть списком. </x14:argumentDescription>
            <x14:argumentDescription index="3" xml:space="preserve"> t_choke_c - температура потока, с.  может быть списком. </x14:argumentDescription>
            <x14:argumentDescription index="4" xml:space="preserve"> d_pipe_mm - диаметр трубы до и после штуцера </x14:argumentDescription>
            <x14:argumentDescription index="5" xml:space="preserve"> calc_along_flow - флаг направления расчета относительно потока </x14:argumentDescription>
            <x14:argumentDescription index="6" xml:space="preserve"> calibr - параметр калибровки штуцера, множитель  перепад давления </x14:argumentDescription>
            <x14:argumentDescription index="7" xml:space="preserve"> param - параметры расчета json строка </x14:argumentDescription>
            <x14:argumentDescription index="8" xml:space="preserve"> cdischarge - коэффициент совершенства штуцера </x14:argumentDescription>
            <x14:argumentDescription index="9" xml:space="preserve"> q_liq_sm3day - дебит жидкости, перекрывает feed если задан,  может быть вектором </x14:argumentDescription>
            <x14:argumentDescription index="10" xml:space="preserve"> fw_perc - обводненность, перекрывает feed если задан,  может быть вектором </x14:argumentDescription>
            <x14:argumentDescription index="11" xml:space="preserve"> rp_m3m3 - газовый фактор, перекрывает feed если задан,  может быть вектором </x14:argumentDescription>
            <x14:argumentDescription index="12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MF_choke_q_sm3day">
          <x14:argumentDescriptions count="13">
            <x14:argumentDescription index="0" xml:space="preserve"> feed - закодированная строка с параметрами потока. </x14:argumentDescription>
            <x14:argumentDescription index="1" xml:space="preserve"> d_choke_mm - диаметр штуцера (эффективный) </x14:argumentDescription>
            <x14:argumentDescription index="2" xml:space="preserve"> p_in_atma - давление на входе в штуцер, атм.  высокая сторона </x14:argumentDescription>
            <x14:argumentDescription index="3" xml:space="preserve"> p_out_atma - давление на выходе из штуцера, атм.  низкая сторона </x14:argumentDescription>
            <x14:argumentDescription index="4" xml:space="preserve"> t_choke_c - температура потока, с. </x14:argumentDescription>
            <x14:argumentDescription index="5" xml:space="preserve"> d_pipe_mm - диаметр трубы до и после штуцера </x14:argumentDescription>
            <x14:argumentDescription index="6" xml:space="preserve"> calibr - параметр калибровки штуцера </x14:argumentDescription>
            <x14:argumentDescription index="7" xml:space="preserve"> param - параметры расчета json строка </x14:argumentDescription>
            <x14:argumentDescription index="8" xml:space="preserve"> cdischarge - коэффициент совершенства штуцера </x14:argumentDescription>
            <x14:argumentDescription index="9" xml:space="preserve"> q_liq_sm3day - дебит жидкости, перекрывает feed если задан,  может быть вектором </x14:argumentDescription>
            <x14:argumentDescription index="10" xml:space="preserve"> fw_perc - обводненность, перекрывает feed если задан,  может быть вектором </x14:argumentDescription>
            <x14:argumentDescription index="11" xml:space="preserve"> rp_m3m3 - газовый фактор, перекрывает feed если задан,  может быть вектором </x14:argumentDescription>
            <x14:argumentDescription index="12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MF_dpdl_atmm">
          <x14:argumentDescriptions count="15">
            <x14:argumentDescription index="0" xml:space="preserve"> d_m - диаметр трубы в которой идет поток </x14:argumentDescription>
            <x14:argumentDescription index="1" xml:space="preserve"> p_atma - давление в точке расчета </x14:argumentDescription>
            <x14:argumentDescription index="2" xml:space="preserve"> ql_rc_m3day - дебит жидкости в рабочих условиях </x14:argumentDescription>
            <x14:argumentDescription index="3" xml:space="preserve"> qg_rc_m3day - дебит газа в рабочих условиях </x14:argumentDescription>
            <x14:argumentDescription index="4" xml:space="preserve"> mu_oil_cp - вязкость нефти в рабочих условиях </x14:argumentDescription>
            <x14:argumentDescription index="5" xml:space="preserve"> mu_gas_cp - вязкость газа в рабочих условиях </x14:argumentDescription>
            <x14:argumentDescription index="6" xml:space="preserve"> sigma_oil_gas_nm - поверхностное натяжение  жидкость газ </x14:argumentDescription>
            <x14:argumentDescription index="7" xml:space="preserve"> rho_lrc_kgm3 - плотность нефти </x14:argumentDescription>
            <x14:argumentDescription index="8" xml:space="preserve"> rho_grc_kgm3 - плотность газа </x14:argumentDescription>
            <x14:argumentDescription index="9" xml:space="preserve"> eps_m - шероховатость </x14:argumentDescription>
            <x14:argumentDescription index="10" xml:space="preserve"> theta_deg - угол от горизонтали </x14:argumentDescription>
            <x14:argumentDescription index="11" xml:space="preserve"> hcorr - тип корреляции </x14:argumentDescription>
            <x14:argumentDescription index="12" xml:space="preserve"> param_out - параметр для вывода </x14:argumentDescription>
            <x14:argumentDescription index="13" xml:space="preserve"> calibr_grav - калибровка гравитации </x14:argumentDescription>
            <x14:argumentDescription index="14" xml:space="preserve"> calibr_fric - калибровка трения </x14:argumentDescription>
          </x14:argumentDescriptions>
        </x14:definedName>
        <x14:definedName name="MF_pipe_p_atma">
          <x14:argumentDescriptions count="18">
            <x14:argumentDescription index="0" xml:space="preserve"> p_calc_from_atma - давление с которого начинается расчет, атм  граничное значение для проведения расчета </x14:argumentDescription>
            <x14:argumentDescription index="1" xml:space="preserve"> t_calc_from_c - температура в точке где задано давление расчета </x14:argumentDescription>
            <x14:argumentDescription index="2" xml:space="preserve"> construction - параметры конструкции json строка. используйте  функцию encode_pipe() для генерации </x14:argumentDescription>
            <x14:argumentDescription index="3" xml:space="preserve"> feed - параметры потока флюидов json строка. используйте  функции encode_feed() или encode_feed_list() </x14:argumentDescription>
            <x14:argumentDescription index="4" xml:space="preserve"> t_model - параметры температурной модели json строка.  используйте функцию encode_t_model() для генерации </x14:argumentDescription>
            <x14:argumentDescription index="5" xml:space="preserve"> calc_along_coord - направление расчета относительно координат. </x14:argumentDescription>
            <x14:argumentDescription index="6" xml:space="preserve"> flow_along_coord - направление потока относительно координат. </x14:argumentDescription>
            <x14:argumentDescription index="7" xml:space="preserve"> flow_correlation - гидравлическая корреляция, номер </x14:argumentDescription>
            <x14:argumentDescription index="8" xml:space="preserve"> calibr_grav - калибровка на гравитационную составляющую  градиента давления </x14:argumentDescription>
            <x14:argumentDescription index="9" xml:space="preserve"> calibr_fric - калибровка на составляющую трения  градиента давления </x14:argumentDescription>
            <x14:argumentDescription index="10" xml:space="preserve"> param - дополнительные параметры расчета потока </x14:argumentDescription>
            <x14:argumentDescription index="11" xml:space="preserve"> h_start_m - начало расчета по трубе, м </x14:argumentDescription>
            <x14:argumentDescription index="12" xml:space="preserve"> h_end_m - конечная точка расчета по трубе, м </x14:argumentDescription>
            <x14:argumentDescription index="13" xml:space="preserve"> znlf - флаг для режима барботажа </x14:argumentDescription>
            <x14:argumentDescription index="14" xml:space="preserve"> q_liq_sm3day - дебит жидкости, перекрывает feed если задан,  может быть вектором </x14:argumentDescription>
            <x14:argumentDescription index="15" xml:space="preserve"> fw_perc - обводненность, перекрывает feed если задан,  может быть вектором </x14:argumentDescription>
            <x14:argumentDescription index="16" xml:space="preserve"> rp_m3m3 - газовый фактор, перекрывает feed если задан,  может быть вектором </x14:argumentDescription>
            <x14:argumentDescription index="17" xml:space="preserve"> q_gas_free_sm3day - доп дебит газа, перекрывает feed если задан,  может быть вектором </x14:argumentDescription>
          </x14:argumentDescriptions>
        </x14:definedName>
        <x14:definedName name="PVT_bg_m3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bo_m3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bw_m3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ompressibility_gas_1at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ompressibility_oil_1at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ompressibility_wat_1at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p_gas_JkgC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p_oil_JkgC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p_wat_JkgC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cv_gas_JkgC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mu_gas_cP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mu_oil_cP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mu_wat_cP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pb_atma">
          <x14:argumentDescriptions count="11">
            <x14:argumentDescription index="0" xml:space="preserve"> t_c - температура, с. </x14:argumentDescription>
            <x14:argumentDescription index="1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2" xml:space="preserve"> gamma_gas - удельная плотность газа, по воздуху.  по умолчанию const_gg_ = 0.6 </x14:argumentDescription>
            <x14:argumentDescription index="3" xml:space="preserve"> gamma_oil - удельная плотность нефти, по воде.  по умолчанию const_go_ = 0.86 </x14:argumentDescription>
            <x14:argumentDescription index="4" xml:space="preserve"> gamma_wat - удельная плотность воды, по воде.  по умолчанию const_gw_ = 1 </x14:argumentDescription>
            <x14:argumentDescription index="5" xml:space="preserve"> rsb_m3m3 - газосодержание при давлении насыщения, м3/м3.  по умолчанию const_rsb_default = 100 </x14:argumentDescription>
            <x14:argumentDescription index="6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7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8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9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0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ho_gas_kg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ho_oil_kg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ho_wat_kg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s_m3m3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rsb_m3m3">
          <x14:argumentDescriptions count="10">
            <x14:argumentDescription index="0" xml:space="preserve"> pb_atma - давление насыщения,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 если не задан или = 0, то рассчитается по корреляции. </x14:argumentDescription>
            <x14:argumentDescription index="6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7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8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9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salinity_pp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ST_oilgas_N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ST_watgas_Nm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PVT_z">
          <x14:argumentDescriptions count="12">
            <x14:argumentDescription index="0" xml:space="preserve"> p_atma - давление, атм </x14:argumentDescription>
            <x14:argumentDescription index="1" xml:space="preserve"> t_c - температура, с. </x14:argumentDescription>
            <x14:argumentDescription index="2" xml:space="preserve"> pvt_prop - строка с параметрами флюида,  используйте encode_pvt для ее генерации,  если задана перекрывает остальные параметры </x14:argumentDescription>
            <x14:argumentDescription index="3" xml:space="preserve"> gamma_gas - удельная плотность газа, по воздуху.  по умолчанию const_gg_ = 0.6 </x14:argumentDescription>
            <x14:argumentDescription index="4" xml:space="preserve"> gamma_oil - удельная плотность нефти, по воде.  по умолчанию const_go_ = 0.86 </x14:argumentDescription>
            <x14:argumentDescription index="5" xml:space="preserve"> gamma_wat - удельная плотность воды, по воде.  по умолчанию const_gw_ = 1 </x14:argumentDescription>
            <x14:argumentDescription index="6" xml:space="preserve"> rsb_m3m3 - газосодержание при давлении насыщения, м3/м3.  по умолчанию const_rsb_default = 100 </x14:argumentDescription>
            <x14:argumentDescription index="7" xml:space="preserve"> pb_atma - давление насыщения при заданной температуре, атма.  опциональный калибровочный параметр,  если не задан или = 0, то рассчитается по корреляции. </x14:argumentDescription>
            <x14:argumentDescription index="8" xml:space="preserve"> t_res_c - пластовая температура, с.  учитывается при расчете давления насыщения.  по умолчанию const_tres_default = 90 </x14:argumentDescription>
            <x14:argumentDescription index="9" xml:space="preserve"> bob_m3m3 - объемный коэффициент нефти при давлении насыщения  и пластовой температуре, м3/м3.  по умолчанию рассчитывается по корреляции. </x14:argumentDescription>
            <x14:argumentDescription index="10" xml:space="preserve"> muob_cp - вязкость нефти при давлении насыщения.  и пластовой температуре, сп.  по умолчанию рассчитывается по корреляции. </x14:argumentDescription>
            <x14:argumentDescription index="11" xml:space="preserve"> pvt_corr_set - номер набора pvt корреляций для расчета:  0 - на основе корреляции стендинга;  1 - на основе кор-ии маккейна;  2 - на основе упрощенных зависимостей. </x14:argumentDescription>
          </x14:argumentDescriptions>
        </x14:definedName>
        <x14:definedName name="transient_cd_from_cs">
          <x14:argumentDescriptions count="5">
            <x14:argumentDescription index="0" xml:space="preserve"> cs_1atm - коэффициент влияния ствола скважины, 1/атм </x14:argumentDescription>
            <x14:argumentDescription index="1" xml:space="preserve"> rw_m - радиус скважины, м </x14:argumentDescription>
            <x14:argumentDescription index="2" xml:space="preserve"> h_m - толщина пласта, м </x14:argumentDescription>
            <x14:argumentDescription index="3" xml:space="preserve"> porosity - пористость </x14:argumentDescription>
            <x14:argumentDescription index="4" xml:space="preserve"> ct_1atm - общая сжимаемость системы в пласте, 1/атм </x14:argumentDescription>
          </x14:argumentDescriptions>
        </x14:definedName>
        <x14:definedName name="transient_cs_from_cd_1atm">
          <x14:argumentDescriptions count="5">
            <x14:argumentDescription index="0" xml:space="preserve"> cd - коэффициент влияния ствола скважины, безразмерный </x14:argumentDescription>
            <x14:argumentDescription index="1" xml:space="preserve"> rw_m - радиус скважины, м </x14:argumentDescription>
            <x14:argumentDescription index="2" xml:space="preserve"> h_m - толщина пласта, м </x14:argumentDescription>
            <x14:argumentDescription index="3" xml:space="preserve"> porosity - пористость </x14:argumentDescription>
            <x14:argumentDescription index="4" xml:space="preserve"> ct_1atm - общая сжимаемость системы в пласте, 1/атм </x14:argumentDescription>
          </x14:argumentDescriptions>
        </x14:definedName>
        <x14:definedName name="transient_p_from_pd_atma">
          <x14:argumentDescriptions count="7">
            <x14:argumentDescription index="0">pd</x14:argumentDescription>
            <x14:argumentDescription index="1" xml:space="preserve"> q_liq_sm3day - дебит запуска скважины, м3/сут в стандартных условиях </x14:argumentDescription>
            <x14:argumentDescription index="2" xml:space="preserve"> pi_atma - начальное пластовое давление, атма </x14:argumentDescription>
            <x14:argumentDescription index="3" xml:space="preserve"> k_md - проницаемость пласта, мд </x14:argumentDescription>
            <x14:argumentDescription index="4" xml:space="preserve"> h_m - толщина пласта, м </x14:argumentDescription>
            <x14:argumentDescription index="5" xml:space="preserve"> mu_cp - вязкость флюида в пласте, сп </x14:argumentDescription>
            <x14:argumentDescription index="6" xml:space="preserve"> b_m3m3 - объемный коэффициент нефти, м3/м3 </x14:argumentDescription>
          </x14:argumentDescriptions>
        </x14:definedName>
        <x14:definedName name="transient_pd_from_p">
          <x14:argumentDescriptions count="7">
            <x14:argumentDescription index="0" xml:space="preserve"> p_wf_atma - забойное давление, атма </x14:argumentDescription>
            <x14:argumentDescription index="1" xml:space="preserve"> q_liq_sm3day - дебит запуска скважины, м3/сут в стандартных условиях </x14:argumentDescription>
            <x14:argumentDescription index="2" xml:space="preserve"> pi_atma - начальное пластовое давление, атма </x14:argumentDescription>
            <x14:argumentDescription index="3" xml:space="preserve"> k_md - проницаемость пласта, мд </x14:argumentDescription>
            <x14:argumentDescription index="4" xml:space="preserve"> h_m - толщина пласта, м </x14:argumentDescription>
            <x14:argumentDescription index="5" xml:space="preserve"> mu_cp - вязкость флюида в пласте, сп </x14:argumentDescription>
            <x14:argumentDescription index="6" xml:space="preserve"> b_m3m3 - объемный коэффициент нефти, м3/м3 </x14:argumentDescription>
          </x14:argumentDescriptions>
        </x14:definedName>
        <x14:definedName name="transient_pd_radial">
          <x14:argumentDescriptions count="5">
            <x14:argumentDescription index="0" xml:space="preserve"> td - безразмерное время для которого проводится расчет  сd - безразмерный коэффициент влияния ствола скважины </x14:argumentDescription>
            <x14:argumentDescription index="1">cd</x14:argumentDescription>
            <x14:argumentDescription index="2" xml:space="preserve"> skin - скин-фактор, безразмерный skin&gt;0.  для skin&lt;0 используйте эффективный радиус скважины </x14:argumentDescription>
            <x14:argumentDescription index="3" xml:space="preserve"> rd - безразмерное расстояние для которого проводится расчет  rd=1 соответвует забою скважины </x14:argumentDescription>
            <x14:argumentDescription index="4" xml:space="preserve"> model - модель проведения расчета. 0 - модель линейного стока ei  1 - модель линейного стока через преобразование стефеста  2 - конечный радиус скважины  3 - линейный сток со ..см.мануал</x14:argumentDescription>
          </x14:argumentDescriptions>
        </x14:definedName>
        <x14:definedName name="transient_pwf_radial_atma">
          <x14:argumentDescriptions count="14">
            <x14:argumentDescription index="0" xml:space="preserve"> t_hr - время для которого проводится расчет, час </x14:argumentDescription>
            <x14:argumentDescription index="1" xml:space="preserve"> q_liq_sm3day - дебит запуска скважины, м3/сут в стандартных условиях </x14:argumentDescription>
            <x14:argumentDescription index="2" xml:space="preserve"> pi_atma - начальное пластовое давление, атма </x14:argumentDescription>
            <x14:argumentDescription index="3" xml:space="preserve"> skin - скин - фактор, может быть отрицательным </x14:argumentDescription>
            <x14:argumentDescription index="4" xml:space="preserve"> cs_1atm - коэффициент влияния ствола скважины, 1/атм </x14:argumentDescription>
            <x14:argumentDescription index="5" xml:space="preserve"> r_m - расстояние от скважины для которого проводится расчет, м </x14:argumentDescription>
            <x14:argumentDescription index="6" xml:space="preserve"> rw_m - радиус скважины, м </x14:argumentDescription>
            <x14:argumentDescription index="7" xml:space="preserve"> k_md - проницаемость пласта, мд </x14:argumentDescription>
            <x14:argumentDescription index="8" xml:space="preserve"> h_m - толщина пласта, м </x14:argumentDescription>
            <x14:argumentDescription index="9" xml:space="preserve"> porosity - пористость </x14:argumentDescription>
            <x14:argumentDescription index="10" xml:space="preserve"> mu_cp - вязкость флюида в пласте, сп </x14:argumentDescription>
            <x14:argumentDescription index="11" xml:space="preserve"> b_m3m3 - объемный коэффициент нефти, м3/м3 </x14:argumentDescription>
            <x14:argumentDescription index="12" xml:space="preserve"> ct_1atm - общая сжимаемость системы в пласте, 1/атм </x14:argumentDescription>
            <x14:argumentDescription index="13" xml:space="preserve"> model - модель проведения расчета. 0 - модель линейного стока ei  1 - модель линейного стока через преобразование стефеста  2 - конечный радиус скважины  3 - линейный сток со ..см.мануал</x14:argumentDescription>
          </x14:argumentDescriptions>
        </x14:definedName>
        <x14:definedName name="transient_t_from_td_hr">
          <x14:argumentDescriptions count="6">
            <x14:argumentDescription index="0" xml:space="preserve"> td - время для которого проводится расчет, безразмерное </x14:argumentDescription>
            <x14:argumentDescription index="1" xml:space="preserve"> rw_m - радиус скважины, м </x14:argumentDescription>
            <x14:argumentDescription index="2" xml:space="preserve"> k_md - проницаемость пласта, мд </x14:argumentDescription>
            <x14:argumentDescription index="3" xml:space="preserve"> porosity - пористость </x14:argumentDescription>
            <x14:argumentDescription index="4" xml:space="preserve"> mu_cp - вязкость флюида в пласте, сп </x14:argumentDescription>
            <x14:argumentDescription index="5" xml:space="preserve"> ct_1atm - общая сжимаемость системы в пласте, 1/атм </x14:argumentDescription>
          </x14:argumentDescriptions>
        </x14:definedName>
        <x14:definedName name="transient_td_from_t">
          <x14:argumentDescriptions count="6">
            <x14:argumentDescription index="0" xml:space="preserve"> t_hr - время для которого проводится расчет, час </x14:argumentDescription>
            <x14:argumentDescription index="1" xml:space="preserve"> rw_m - радиус скважины, м </x14:argumentDescription>
            <x14:argumentDescription index="2" xml:space="preserve"> k_md - проницаемость пласта, мд </x14:argumentDescription>
            <x14:argumentDescription index="3" xml:space="preserve"> porosity - пористость </x14:argumentDescription>
            <x14:argumentDescription index="4" xml:space="preserve"> mu_cp - вязкость флюида в пласте, сп </x14:argumentDescription>
            <x14:argumentDescription index="5" xml:space="preserve"> ct_1atm - общая сжимаемость системы в пласте, 1/атм </x14:argumentDescription>
          </x14:argumentDescriptions>
        </x14:definedName>
        <x14:definedName name="well_calc_from_pintake">
          <x14:argumentDescriptions count="16">
            <x14:argumentDescription index="0" xml:space="preserve">p_intake_atma - давление на приеме насоса </x14:argumentDescription>
            <x14:argumentDescription index="1" xml:space="preserve">t_wf_c - температура флюида на забое скважины </x14:argumentDescription>
            <x14:argumentDescription index="2" xml:space="preserve">feed_json - параметры потока в скважине (с забоя) </x14:argumentDescription>
            <x14:argumentDescription index="3" xml:space="preserve">construction_json - конструкция скважины (как для трубы) </x14:argumentDescription>
            <x14:argumentDescription index="4" xml:space="preserve">esp_json - параметры эцн, используйте encode_esp_pump  если не заданы, то скважина фонтанирующая </x14:argumentDescription>
            <x14:argumentDescription index="5" xml:space="preserve">t_model_json - температурная модель, рекомендуется модель 2 </x14:argumentDescription>
            <x14:argumentDescription index="6" xml:space="preserve">h_perf_m - глубина верхних дыр перфорации, точка расчета забойного  давления </x14:argumentDescription>
            <x14:argumentDescription index="7" xml:space="preserve">h_esp_m - глубина спуска эцн. длина эцн игнорируется  в конструкции диаметры должны учитывать глубину спуска эцн </x14:argumentDescription>
            <x14:argumentDescription index="8" xml:space="preserve">calibr_grav - калибровка для гидравлической корреляции по гравитации </x14:argumentDescription>
            <x14:argumentDescription index="9" xml:space="preserve">calibr_fric - калибровка для гидравлической корреляции по трению </x14:argumentDescription>
            <x14:argumentDescription index="10" xml:space="preserve">ksep - общий коэффициент сепарации газа на приеме эцн </x14:argumentDescription>
            <x14:argumentDescription index="11" xml:space="preserve">ipr_json - параметры пласта, используйте encode_ipr  если не заданы, считается для постоянного дебита из feed_json </x14:argumentDescription>
            <x14:argumentDescription index="12" xml:space="preserve">t_crit_c - критическая температура для аспо </x14:argumentDescription>
            <x14:argumentDescription index="13" xml:space="preserve">p_cas_atma - затрубное давление, если задано будет рассчитан h_dyn_m </x14:argumentDescription>
            <x14:argumentDescription index="14" xml:space="preserve">p_wh_atma - устьевое (буферное) давление </x14:argumentDescription>
            <x14:argumentDescription index="15" xml:space="preserve">flow_corr - номер гидравлической корреляции, как для трубы </x14:argumentDescription>
          </x14:argumentDescriptions>
        </x14:definedName>
        <x14:definedName name="well_calc_from_pwf">
          <x14:argumentDescriptions count="19">
            <x14:argumentDescription index="0" xml:space="preserve">p_wf_atma - забойное давление </x14:argumentDescription>
            <x14:argumentDescription index="1" xml:space="preserve">t_wf_c - температура флюида на забое скважины </x14:argumentDescription>
            <x14:argumentDescription index="2" xml:space="preserve">feed_json - параметры потока в скважине (с забоя) </x14:argumentDescription>
            <x14:argumentDescription index="3" xml:space="preserve">construction_json - конструкция скважины (как для трубы) </x14:argumentDescription>
            <x14:argumentDescription index="4" xml:space="preserve">esp_json - параметры эцн, используйте encode_esp_pump  если не заданы, то скважина фонтанирующая </x14:argumentDescription>
            <x14:argumentDescription index="5" xml:space="preserve">t_model_json - температурная модель, рекомендуется модель 2 </x14:argumentDescription>
            <x14:argumentDescription index="6" xml:space="preserve">h_perf_m - глубина верхних дыр перфорации, точка расчета забойного  давления </x14:argumentDescription>
            <x14:argumentDescription index="7" xml:space="preserve">h_esp_m - глубина спуска эцн. длина эцн игнорируется  в конструкции диаметры должны учитывать глубину спуска эцн </x14:argumentDescription>
            <x14:argumentDescription index="8" xml:space="preserve">calibr_grav - калибровка для гидравлической корреляции по гравитации </x14:argumentDescription>
            <x14:argumentDescription index="9" xml:space="preserve">calibr_fric - калибровка для гидравлической корреляции по трению </x14:argumentDescription>
            <x14:argumentDescription index="10" xml:space="preserve">ksep - общий коэффициент сепарации газа на приеме эцн, если 0 то  будет рассчитываться </x14:argumentDescription>
            <x14:argumentDescription index="11" xml:space="preserve">ipr_json - параметры пласта, используйте encode_ipr  если не заданы, считается для постоянного дебита из feed_json </x14:argumentDescription>
            <x14:argumentDescription index="12" xml:space="preserve">t_crit_c - критическая температура для аспо </x14:argumentDescription>
            <x14:argumentDescription index="13" xml:space="preserve">p_cas_atma - затрубное давление, если задано будет рассчитан h_dyn_m </x14:argumentDescription>
            <x14:argumentDescription index="14" xml:space="preserve">flow_corr - номер гидравлической корреляции, как для трубы </x14:argumentDescription>
            <x14:argumentDescription index="15" xml:space="preserve">fast - флаг, если 1 то будет рассчитано только давление, </x14:argumentDescription>
            <x14:argumentDescription index="16" xml:space="preserve">pkv_ratio - отношение пкв (работа на цикл). если больше 0 будет учитываться </x14:argumentDescription>
            <x14:argumentDescription index="17">dcas_mm</x14:argumentDescription>
            <x14:argumentDescription index="18">dint_mm</x14:argumentDescription>
          </x14:argumentDescriptions>
        </x14:definedName>
        <x14:definedName name="well_calc_from_pwh">
          <x14:argumentDescriptions count="18">
            <x14:argumentDescription index="0" xml:space="preserve">p_wh_atma - устьевое (буферное) давление </x14:argumentDescription>
            <x14:argumentDescription index="1" xml:space="preserve">t_wf_c - температура флюида на забое скважины </x14:argumentDescription>
            <x14:argumentDescription index="2" xml:space="preserve">feed_json - параметры потока в скважине (с забоя) </x14:argumentDescription>
            <x14:argumentDescription index="3" xml:space="preserve">construction_json - конструкция скважины (как для трубы) </x14:argumentDescription>
            <x14:argumentDescription index="4" xml:space="preserve">esp_json - параметры эцн, используйте encode_esp_pump  если не заданы, то скважина фонтанирующая </x14:argumentDescription>
            <x14:argumentDescription index="5" xml:space="preserve">t_model_json - температурная модель, рекомендуется модель 2 </x14:argumentDescription>
            <x14:argumentDescription index="6" xml:space="preserve">h_perf_m - глубина верхних дыр перфорации, точка расчета забойного  давления </x14:argumentDescription>
            <x14:argumentDescription index="7" xml:space="preserve">h_esp_m - глубина спуска эцн. длина эцн игнорируется  в конструкции диаметры должны учитывать глубину спуска эцн </x14:argumentDescription>
            <x14:argumentDescription index="8" xml:space="preserve">calibr_grav - калибровка для гидравлической корреляции по гравитации </x14:argumentDescription>
            <x14:argumentDescription index="9" xml:space="preserve">calibr_fric - калибровка для гидравлической корреляции по трению </x14:argumentDescription>
            <x14:argumentDescription index="10" xml:space="preserve">ksep - общий коэффициент сепарации газа на приеме эцн </x14:argumentDescription>
            <x14:argumentDescription index="11" xml:space="preserve">ipr_json - параметры пласта, используйте encode_ipr  если не заданы, считается для постоянного дебита из feed_json </x14:argumentDescription>
            <x14:argumentDescription index="12" xml:space="preserve">t_crit_c - критическая температура для аспо </x14:argumentDescription>
            <x14:argumentDescription index="13" xml:space="preserve">p_cas_atma - затрубное давление, если задано будет рассчитан h_dyn_m </x14:argumentDescription>
            <x14:argumentDescription index="14" xml:space="preserve">flow_corr - номер гидравлической корреляции, как для трубы </x14:argumentDescription>
            <x14:argumentDescription index="15" xml:space="preserve">pkv_ratio - отношение пкв (работа на цикл). если больше 0 будет учитываться </x14:argumentDescription>
            <x14:argumentDescription index="16">dcas_mm</x14:argumentDescription>
            <x14:argumentDescription index="17">dint_mm</x14:argumentDescription>
          </x14:argumentDescriptions>
        </x14:definedName>
        <x14:definedName name="well_ksep_natural_d">
          <x14:argumentDescriptions count="10">
            <x14:argumentDescription index="0" xml:space="preserve"> feed - закодированные параметры потока флюидов </x14:argumentDescription>
            <x14:argumentDescription index="1" xml:space="preserve"> p_intake_atma - давление сепарации </x14:argumentDescription>
            <x14:argumentDescription index="2" xml:space="preserve"> t_intake_c - температура сепарации </x14:argumentDescription>
            <x14:argumentDescription index="3" xml:space="preserve"> d_intake_mm - диаметр приемной сетки </x14:argumentDescription>
            <x14:argumentDescription index="4" xml:space="preserve"> d_cas_mm - диаметр эксплуатационной колонны </x14:argumentDescription>
            <x14:argumentDescription index="5" xml:space="preserve"> model - тип модели: 0 - упрощенная маркеса для эцн, 1 - механистическая маркеса для эцн,  2 - механистическая с эцн ниже перфорации,  3 - механистическая для скважин пкв. </x14:argumentDescription>
            <x14:argumentDescription index="6" xml:space="preserve"> pkv_prod_period_ratio - для пкв отношение времени работы к времени цикла </x14:argumentDescription>
            <x14:argumentDescription index="7" xml:space="preserve"> h_intake_m - высота приемной сейти насоса, м </x14:argumentDescription>
            <x14:argumentDescription index="8" xml:space="preserve"> h_perf_m - высота интервала перфорации (для модели эцн ниже перфорации), м </x14:argumentDescription>
            <x14:argumentDescription index="9" xml:space="preserve"> param - дополнительные параметры расчета </x14:argumentDescription>
          </x14:argumentDescriptions>
        </x14:definedName>
        <x14:definedName name="well_ksep_total_d">
          <x14:argumentDescriptions count="2">
            <x14:argumentDescription index="0" xml:space="preserve"> sepnat - естественная сепарация </x14:argumentDescription>
            <x14:argumentDescription index="1" xml:space="preserve"> sepgassep - искусственная сепарация (газосепаратор) 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9" i="3" l="1"/>
  <c r="E16" i="3"/>
  <c r="E15" i="3"/>
  <c r="E22" i="3"/>
  <c r="E14" i="3"/>
  <c r="E13" i="3"/>
  <c r="E12" i="3"/>
  <c r="E11" i="3"/>
  <c r="B70" i="3" a="1"/>
  <c r="I16" i="3"/>
  <c r="I11" i="3"/>
  <c r="I14" i="3" a="1"/>
  <c r="K29" i="3" a="1"/>
  <c r="G1" i="3"/>
  <c r="Q7" i="3" a="1"/>
  <c r="N70" i="3" a="1"/>
  <c r="I13" i="3" a="1"/>
  <c r="Y70" i="3" a="1"/>
  <c r="B70" i="3" l="1"/>
  <c r="Q7" i="3"/>
  <c r="K29" i="3"/>
  <c r="I14" i="3"/>
  <c r="Z71" i="3"/>
  <c r="Z73" i="3"/>
  <c r="Z75" i="3"/>
  <c r="Z77" i="3"/>
  <c r="Z79" i="3"/>
  <c r="Z81" i="3"/>
  <c r="Y75" i="3"/>
  <c r="Y79" i="3"/>
  <c r="Y70" i="3"/>
  <c r="Y72" i="3"/>
  <c r="Y74" i="3"/>
  <c r="Y76" i="3"/>
  <c r="Y78" i="3"/>
  <c r="Y80" i="3"/>
  <c r="Y82" i="3"/>
  <c r="Z70" i="3"/>
  <c r="Z72" i="3"/>
  <c r="Z74" i="3"/>
  <c r="Z76" i="3"/>
  <c r="Z78" i="3"/>
  <c r="Z80" i="3"/>
  <c r="Z82" i="3"/>
  <c r="Y71" i="3"/>
  <c r="Y73" i="3"/>
  <c r="Y77" i="3"/>
  <c r="Y81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I13" i="3"/>
  <c r="T89" i="3" a="1"/>
  <c r="Q89" i="3" a="1"/>
  <c r="N89" i="3" a="1"/>
  <c r="AB89" i="3" a="1"/>
  <c r="K30" i="3" a="1"/>
  <c r="I12" i="3" a="1"/>
  <c r="B89" i="3" a="1"/>
  <c r="Y89" i="3" a="1"/>
  <c r="AE89" i="3" a="1"/>
  <c r="H89" i="3" a="1"/>
  <c r="E89" i="3" a="1"/>
  <c r="I12" i="3" l="1"/>
  <c r="K30" i="3"/>
  <c r="AE89" i="3"/>
  <c r="AF89" i="3"/>
  <c r="AE90" i="3"/>
  <c r="AF90" i="3"/>
  <c r="AE91" i="3"/>
  <c r="AF91" i="3"/>
  <c r="AE92" i="3"/>
  <c r="AF92" i="3"/>
  <c r="AE93" i="3"/>
  <c r="AF93" i="3"/>
  <c r="AE94" i="3"/>
  <c r="AF94" i="3"/>
  <c r="AE95" i="3"/>
  <c r="AF95" i="3"/>
  <c r="AE96" i="3"/>
  <c r="AF96" i="3"/>
  <c r="AE97" i="3"/>
  <c r="AF97" i="3"/>
  <c r="AE98" i="3"/>
  <c r="AF98" i="3"/>
  <c r="AE99" i="3"/>
  <c r="AF99" i="3"/>
  <c r="AE100" i="3"/>
  <c r="AF100" i="3"/>
  <c r="AE101" i="3"/>
  <c r="AF101" i="3"/>
  <c r="AE102" i="3"/>
  <c r="AF102" i="3"/>
  <c r="AE103" i="3"/>
  <c r="AF103" i="3"/>
  <c r="AE104" i="3"/>
  <c r="AF104" i="3"/>
  <c r="AE105" i="3"/>
  <c r="AF105" i="3"/>
  <c r="AE106" i="3"/>
  <c r="AF106" i="3"/>
  <c r="AE107" i="3"/>
  <c r="AF107" i="3"/>
  <c r="AE108" i="3"/>
  <c r="AF108" i="3"/>
  <c r="AE109" i="3"/>
  <c r="AF109" i="3"/>
  <c r="AE110" i="3"/>
  <c r="AF110" i="3"/>
  <c r="AE111" i="3"/>
  <c r="AF111" i="3"/>
  <c r="AE112" i="3"/>
  <c r="AF112" i="3"/>
  <c r="AE113" i="3"/>
  <c r="AF113" i="3"/>
  <c r="AE114" i="3"/>
  <c r="AF114" i="3"/>
  <c r="AB89" i="3"/>
  <c r="AC89" i="3"/>
  <c r="AB90" i="3"/>
  <c r="AC90" i="3"/>
  <c r="AB91" i="3"/>
  <c r="AC91" i="3"/>
  <c r="AB92" i="3"/>
  <c r="AC92" i="3"/>
  <c r="AB93" i="3"/>
  <c r="AC93" i="3"/>
  <c r="AB94" i="3"/>
  <c r="AC94" i="3"/>
  <c r="AB95" i="3"/>
  <c r="AC95" i="3"/>
  <c r="AB96" i="3"/>
  <c r="AC96" i="3"/>
  <c r="AB97" i="3"/>
  <c r="AC97" i="3"/>
  <c r="AB98" i="3"/>
  <c r="AC98" i="3"/>
  <c r="AB99" i="3"/>
  <c r="AC99" i="3"/>
  <c r="AB100" i="3"/>
  <c r="AC100" i="3"/>
  <c r="AB101" i="3"/>
  <c r="AC101" i="3"/>
  <c r="AB102" i="3"/>
  <c r="AC102" i="3"/>
  <c r="AB103" i="3"/>
  <c r="AC103" i="3"/>
  <c r="AB104" i="3"/>
  <c r="AC104" i="3"/>
  <c r="AB105" i="3"/>
  <c r="AC105" i="3"/>
  <c r="AB106" i="3"/>
  <c r="AC106" i="3"/>
  <c r="AB107" i="3"/>
  <c r="AC107" i="3"/>
  <c r="AB108" i="3"/>
  <c r="AC108" i="3"/>
  <c r="AB109" i="3"/>
  <c r="AC109" i="3"/>
  <c r="AB110" i="3"/>
  <c r="AC110" i="3"/>
  <c r="AB111" i="3"/>
  <c r="AC111" i="3"/>
  <c r="AB112" i="3"/>
  <c r="AC112" i="3"/>
  <c r="AB113" i="3"/>
  <c r="AC113" i="3"/>
  <c r="AB114" i="3"/>
  <c r="AC114" i="3"/>
  <c r="AB115" i="3"/>
  <c r="AC115" i="3"/>
  <c r="AB116" i="3"/>
  <c r="AC116" i="3"/>
  <c r="AB117" i="3"/>
  <c r="AC117" i="3"/>
  <c r="AB118" i="3"/>
  <c r="AC118" i="3"/>
  <c r="AB119" i="3"/>
  <c r="AC119" i="3"/>
  <c r="AB120" i="3"/>
  <c r="AC120" i="3"/>
  <c r="AB121" i="3"/>
  <c r="AC121" i="3"/>
  <c r="AB122" i="3"/>
  <c r="AC122" i="3"/>
  <c r="AB123" i="3"/>
  <c r="AC123" i="3"/>
  <c r="AB124" i="3"/>
  <c r="AC124" i="3"/>
  <c r="Y89" i="3"/>
  <c r="Z89" i="3"/>
  <c r="Y90" i="3"/>
  <c r="Z90" i="3"/>
  <c r="Y91" i="3"/>
  <c r="Z91" i="3"/>
  <c r="Y92" i="3"/>
  <c r="Z92" i="3"/>
  <c r="Y93" i="3"/>
  <c r="Z93" i="3"/>
  <c r="Y94" i="3"/>
  <c r="Z94" i="3"/>
  <c r="Y95" i="3"/>
  <c r="Z95" i="3"/>
  <c r="Y96" i="3"/>
  <c r="Z96" i="3"/>
  <c r="Y97" i="3"/>
  <c r="Z97" i="3"/>
  <c r="Y98" i="3"/>
  <c r="Z98" i="3"/>
  <c r="Y99" i="3"/>
  <c r="Z99" i="3"/>
  <c r="Y100" i="3"/>
  <c r="Z100" i="3"/>
  <c r="Y101" i="3"/>
  <c r="Z101" i="3"/>
  <c r="Y102" i="3"/>
  <c r="Z102" i="3"/>
  <c r="Y103" i="3"/>
  <c r="Z103" i="3"/>
  <c r="Y104" i="3"/>
  <c r="Z104" i="3"/>
  <c r="Y105" i="3"/>
  <c r="Z105" i="3"/>
  <c r="Y106" i="3"/>
  <c r="Z106" i="3"/>
  <c r="Y107" i="3"/>
  <c r="Z107" i="3"/>
  <c r="Y108" i="3"/>
  <c r="Z108" i="3"/>
  <c r="Y109" i="3"/>
  <c r="Z109" i="3"/>
  <c r="Y110" i="3"/>
  <c r="Z110" i="3"/>
  <c r="Y111" i="3"/>
  <c r="Z111" i="3"/>
  <c r="Y112" i="3"/>
  <c r="Z112" i="3"/>
  <c r="Y113" i="3"/>
  <c r="Z113" i="3"/>
  <c r="Y114" i="3"/>
  <c r="Z114" i="3"/>
  <c r="Y115" i="3"/>
  <c r="Z115" i="3"/>
  <c r="Y116" i="3"/>
  <c r="Z116" i="3"/>
  <c r="Y117" i="3"/>
  <c r="Z117" i="3"/>
  <c r="Y118" i="3"/>
  <c r="Z118" i="3"/>
  <c r="Y119" i="3"/>
  <c r="Z119" i="3"/>
  <c r="Y120" i="3"/>
  <c r="Z120" i="3"/>
  <c r="Y121" i="3"/>
  <c r="Z121" i="3"/>
  <c r="Y122" i="3"/>
  <c r="Z122" i="3"/>
  <c r="Y123" i="3"/>
  <c r="Z123" i="3"/>
  <c r="Y124" i="3"/>
  <c r="Z124" i="3"/>
  <c r="T89" i="3"/>
  <c r="U89" i="3"/>
  <c r="T90" i="3"/>
  <c r="U90" i="3"/>
  <c r="T91" i="3"/>
  <c r="U91" i="3"/>
  <c r="T92" i="3"/>
  <c r="U92" i="3"/>
  <c r="T93" i="3"/>
  <c r="U93" i="3"/>
  <c r="T94" i="3"/>
  <c r="U94" i="3"/>
  <c r="T95" i="3"/>
  <c r="U95" i="3"/>
  <c r="T96" i="3"/>
  <c r="U96" i="3"/>
  <c r="T97" i="3"/>
  <c r="U97" i="3"/>
  <c r="T98" i="3"/>
  <c r="U98" i="3"/>
  <c r="T99" i="3"/>
  <c r="U99" i="3"/>
  <c r="T100" i="3"/>
  <c r="U100" i="3"/>
  <c r="T101" i="3"/>
  <c r="U101" i="3"/>
  <c r="T102" i="3"/>
  <c r="U102" i="3"/>
  <c r="T103" i="3"/>
  <c r="U103" i="3"/>
  <c r="T104" i="3"/>
  <c r="U104" i="3"/>
  <c r="T105" i="3"/>
  <c r="U105" i="3"/>
  <c r="T106" i="3"/>
  <c r="U106" i="3"/>
  <c r="T107" i="3"/>
  <c r="U107" i="3"/>
  <c r="T108" i="3"/>
  <c r="U108" i="3"/>
  <c r="T109" i="3"/>
  <c r="U109" i="3"/>
  <c r="T110" i="3"/>
  <c r="U110" i="3"/>
  <c r="T111" i="3"/>
  <c r="U111" i="3"/>
  <c r="T112" i="3"/>
  <c r="U112" i="3"/>
  <c r="T113" i="3"/>
  <c r="U113" i="3"/>
  <c r="T114" i="3"/>
  <c r="U114" i="3"/>
  <c r="Q89" i="3"/>
  <c r="R89" i="3"/>
  <c r="Q90" i="3"/>
  <c r="R90" i="3"/>
  <c r="Q91" i="3"/>
  <c r="R91" i="3"/>
  <c r="Q92" i="3"/>
  <c r="R92" i="3"/>
  <c r="Q93" i="3"/>
  <c r="R93" i="3"/>
  <c r="Q94" i="3"/>
  <c r="R94" i="3"/>
  <c r="Q95" i="3"/>
  <c r="R95" i="3"/>
  <c r="Q96" i="3"/>
  <c r="R96" i="3"/>
  <c r="Q97" i="3"/>
  <c r="R97" i="3"/>
  <c r="Q98" i="3"/>
  <c r="R98" i="3"/>
  <c r="Q99" i="3"/>
  <c r="R99" i="3"/>
  <c r="Q100" i="3"/>
  <c r="R100" i="3"/>
  <c r="Q101" i="3"/>
  <c r="R101" i="3"/>
  <c r="Q102" i="3"/>
  <c r="R102" i="3"/>
  <c r="Q103" i="3"/>
  <c r="R103" i="3"/>
  <c r="Q104" i="3"/>
  <c r="R104" i="3"/>
  <c r="Q105" i="3"/>
  <c r="R105" i="3"/>
  <c r="Q106" i="3"/>
  <c r="R106" i="3"/>
  <c r="Q107" i="3"/>
  <c r="R107" i="3"/>
  <c r="Q108" i="3"/>
  <c r="R108" i="3"/>
  <c r="Q109" i="3"/>
  <c r="R109" i="3"/>
  <c r="Q110" i="3"/>
  <c r="R110" i="3"/>
  <c r="Q111" i="3"/>
  <c r="R111" i="3"/>
  <c r="Q112" i="3"/>
  <c r="R112" i="3"/>
  <c r="Q113" i="3"/>
  <c r="R113" i="3"/>
  <c r="Q114" i="3"/>
  <c r="R114" i="3"/>
  <c r="Q115" i="3"/>
  <c r="R115" i="3"/>
  <c r="Q116" i="3"/>
  <c r="R116" i="3"/>
  <c r="Q117" i="3"/>
  <c r="R117" i="3"/>
  <c r="Q118" i="3"/>
  <c r="R118" i="3"/>
  <c r="Q119" i="3"/>
  <c r="R119" i="3"/>
  <c r="Q120" i="3"/>
  <c r="R120" i="3"/>
  <c r="Q121" i="3"/>
  <c r="R121" i="3"/>
  <c r="Q122" i="3"/>
  <c r="R122" i="3"/>
  <c r="Q123" i="3"/>
  <c r="R123" i="3"/>
  <c r="Q124" i="3"/>
  <c r="R124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N122" i="3"/>
  <c r="O122" i="3"/>
  <c r="N123" i="3"/>
  <c r="O123" i="3"/>
  <c r="N124" i="3"/>
  <c r="O124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101" i="3"/>
  <c r="I101" i="3"/>
  <c r="H102" i="3"/>
  <c r="I102" i="3"/>
  <c r="H103" i="3"/>
  <c r="I103" i="3"/>
  <c r="H104" i="3"/>
  <c r="I104" i="3"/>
  <c r="H105" i="3"/>
  <c r="I105" i="3"/>
  <c r="H106" i="3"/>
  <c r="I106" i="3"/>
  <c r="H107" i="3"/>
  <c r="I107" i="3"/>
  <c r="H108" i="3"/>
  <c r="I108" i="3"/>
  <c r="H109" i="3"/>
  <c r="I109" i="3"/>
  <c r="H110" i="3"/>
  <c r="I110" i="3"/>
  <c r="H111" i="3"/>
  <c r="I111" i="3"/>
  <c r="H112" i="3"/>
  <c r="I112" i="3"/>
  <c r="H113" i="3"/>
  <c r="I113" i="3"/>
  <c r="H114" i="3"/>
  <c r="I114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E98" i="3"/>
  <c r="F98" i="3"/>
  <c r="E99" i="3"/>
  <c r="F99" i="3"/>
  <c r="E100" i="3"/>
  <c r="F100" i="3"/>
  <c r="E101" i="3"/>
  <c r="F101" i="3"/>
  <c r="E102" i="3"/>
  <c r="F102" i="3"/>
  <c r="E103" i="3"/>
  <c r="F103" i="3"/>
  <c r="E104" i="3"/>
  <c r="F104" i="3"/>
  <c r="E105" i="3"/>
  <c r="F105" i="3"/>
  <c r="E106" i="3"/>
  <c r="F106" i="3"/>
  <c r="E107" i="3"/>
  <c r="F107" i="3"/>
  <c r="E108" i="3"/>
  <c r="F108" i="3"/>
  <c r="E109" i="3"/>
  <c r="F109" i="3"/>
  <c r="E110" i="3"/>
  <c r="F110" i="3"/>
  <c r="E111" i="3"/>
  <c r="F111" i="3"/>
  <c r="E112" i="3"/>
  <c r="F112" i="3"/>
  <c r="E113" i="3"/>
  <c r="F113" i="3"/>
  <c r="E114" i="3"/>
  <c r="F114" i="3"/>
  <c r="E115" i="3"/>
  <c r="F115" i="3"/>
  <c r="E116" i="3"/>
  <c r="F116" i="3"/>
  <c r="E117" i="3"/>
  <c r="F117" i="3"/>
  <c r="E118" i="3"/>
  <c r="F118" i="3"/>
  <c r="E119" i="3"/>
  <c r="F119" i="3"/>
  <c r="E120" i="3"/>
  <c r="F120" i="3"/>
  <c r="E121" i="3"/>
  <c r="F121" i="3"/>
  <c r="E122" i="3"/>
  <c r="F122" i="3"/>
  <c r="E123" i="3"/>
  <c r="F123" i="3"/>
  <c r="E124" i="3"/>
  <c r="F124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I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2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2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<sst xmlns="http://schemas.openxmlformats.org/spreadsheetml/2006/main" count="143" uniqueCount="113">
  <si>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</si>
  <si>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</si>
  <si>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</si>
  <si>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</si>
  <si>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</si>
  <si>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</si>
  <si>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</si>
  <si>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</si>
  <si>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</si>
  <si>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</si>
  <si>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</si>
  <si>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</si>
  <si>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</si>
  <si>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</si>
  <si>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</si>
  <si>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</si>
  <si>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</si>
  <si>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</si>
  <si>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</si>
  <si>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</si>
  <si>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</si>
  <si>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</si>
  <si>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</si>
  <si>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</si>
  <si>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</si>
  <si>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</si>
  <si>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</si>
  <si>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</si>
  <si>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</si>
  <si>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</si>
  <si>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</si>
  <si>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</si>
  <si>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</si>
  <si>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</si>
  <si>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</si>
  <si>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</si>
  <si>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</si>
  <si>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</si>
  <si>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</si>
  <si>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</si>
  <si>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</si>
  <si>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</si>
  <si>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</si>
  <si>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</si>
  <si>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</si>
  <si>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</si>
  <si>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 xml:space="preserve">Температура </t>
  </si>
  <si>
    <t>input_Date</t>
  </si>
  <si>
    <t>input_Version</t>
  </si>
  <si>
    <t>Курс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</si>
  <si>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</si>
  <si>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</si>
  <si>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</si>
  <si>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</si>
  <si>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</si>
  <si>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</si>
  <si>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</si>
  <si>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</si>
  <si>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</si>
  <si>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</si>
  <si>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</si>
  <si>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</si>
  <si>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</si>
  <si>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</si>
  <si>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</si>
  <si>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</si>
  <si>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</si>
  <si>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</si>
  <si>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</si>
  <si>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</si>
  <si>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</si>
  <si>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</si>
  <si>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</si>
  <si>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</si>
  <si>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</si>
  <si>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</si>
  <si>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</si>
  <si>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</si>
  <si>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Расчет скважины с УЭЦН</t>
  </si>
  <si>
    <t>Замеры по скважине</t>
  </si>
  <si>
    <t>Диаметры 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</si>
  <si>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</si>
  <si>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Параметры ЭЦН</t>
  </si>
  <si>
    <t>Номинал</t>
  </si>
  <si>
    <t>м3/сут</t>
  </si>
  <si>
    <t>ID</t>
  </si>
  <si>
    <t>Напор</t>
  </si>
  <si>
    <t xml:space="preserve">м </t>
  </si>
  <si>
    <t>ступеней</t>
  </si>
  <si>
    <t>частота</t>
  </si>
  <si>
    <t>шт</t>
  </si>
  <si>
    <t>ЭЦН</t>
  </si>
  <si>
    <t>Параметры пласта</t>
  </si>
  <si>
    <t>Рпл</t>
  </si>
  <si>
    <t>Кпр</t>
  </si>
  <si>
    <t>Рнас</t>
  </si>
  <si>
    <t>IPR</t>
  </si>
  <si>
    <t>t_crit_C</t>
  </si>
  <si>
    <t>Гц</t>
  </si>
  <si>
    <t xml:space="preserve"> </t>
  </si>
  <si>
    <t>Pwf</t>
  </si>
  <si>
    <t>Pbuf</t>
  </si>
  <si>
    <t>Pint</t>
  </si>
  <si>
    <t>Gas model</t>
  </si>
  <si>
    <t>Gas stage by stage</t>
  </si>
  <si>
    <t>Для АСПО</t>
  </si>
  <si>
    <t>pkv_ratio</t>
  </si>
  <si>
    <t>dcas</t>
  </si>
  <si>
    <t>dint</t>
  </si>
  <si>
    <t>calibr_li</t>
  </si>
  <si>
    <t>calibr_st</t>
  </si>
  <si>
    <t>{"q_liq_sm3day":13.98,"p_wf_atma":110,"p_intake_atma":45.23,"p_dis_atma":288.66,"p_buf_atma":90.73,"h_crit_m":1676.45279101446,"c_P":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[90.73,99.959,109.182,118.4,127.612,136.819,146.021,155.217,164.408,173.582,182.495,191.197,199.713,208.023,216.13,224.069,231.867,239.465,246.865,254.066,261.083,268.039,274.978,281.877,288.655,45.232,52.526,59.795,67.039,74.257,81.449,88.616,95.759,102.882,110]},"c_T":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[21.159,22.723,24.287,25.851,27.416,28.982,30.556,32.158,33.865,35.967,39.205,42.817,46.357,49.815,53.191,56.484,59.704,62.851,65.94,69.028,72.319,76.475,83.746,101.916,156.356,83.798,86.933,90.067,93.198,96.32,99.408,102.361,104.828,105.539,100]},"c_cas_P":{"curve_x":"h_mes,m","curve_y":"p,atma","h_mes,m":[0,119.048,238.095,357.143,476.19,595.238,714.286,833.333,952.381,1071.429,1190.476,1309.524,1428.571,1547.619,1550,1666.667,1785.714,1834.408,1904.762,2023.81,2100,2142.857,2261.905,2380.952,2500],"p,atma":[10,10.117,10.234,10.352,10.47,10.59,10.709,10.83,10.95,11.067,11.181,11.292,11.4,11.504,11.506,11.606,11.705,11.745,14.362,19.129,22.393,24.781,31.511,38.342,45.232]},"h_dyn_m":1834.41,"gas_fraction at pump":0.0848,"q_gas_cas_sm3day":561.77,"ksep":0.91,"t_intake_C":83.8,"t_dis_C":156.36,"q_liq_esp_sm3day":13.98}</t>
  </si>
  <si>
    <t>{"q_liq_sm3day":16.6,"p_wf_atma":79.99,"p_intake_atma":14.8,"p_dis_atma":201.86,"p_buf_atma":4.09,"h_crit_m":1662.12591024097,"c_P":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[4.094,12.959,22.136,31.36,40.592,49.816,59.033,68.245,77.449,86.636,95.56,104.273,112.799,121.119,129.236,137.184,144.991,152.598,160.006,167.216,174.241,181.203,188.147,195.053,201.864,14.8,22.134,29.445,36.733,43.996,51.235,58.45,65.642,72.817,79.988]},"c_T":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[21.405,22.948,24.5,26.061,27.628,29.199,30.786,32.419,34.195,36.41,39.691,43.295,46.825,50.272,53.639,56.924,60.14,63.291,66.406,69.574,73.054,77.554,85.072,101.297,141.749,84.261,87.397,90.531,93.657,96.761,99.795,102.617,104.807,105.134,100]},"c_cas_P":{"curve_x":"h_mes,m","curve_y":"p,atma","h_mes,m":[0,119.048,238.095,357.143,476.19,595.238,714.286,833.333,952.381,1071.429,1190.476,1309.524,1428.571,1547.619,1550,1666.667,1785.714,1904.762,2023.81,2100,2142.857,2261.905,2380.952,2448.16,2500],"p,atma":[10,10.117,10.234,10.352,10.47,10.59,10.709,10.83,10.95,11.067,11.181,11.292,11.4,11.504,11.506,11.606,11.705,11.801,11.894,11.952,11.984,12.075,12.165,12.215,14.8]},"h_dyn_m":2448.16,"gas_fraction at pump":0.3657,"q_gas_cas_sm3day":803.29,"ksep":0.87,"t_intake_C":84.26,"t_dis_C":141.75,"q_liq_esp_sm3day":16.6}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</si>
</sst>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7" borderId="0" xfId="0" applyFill="1" applyAlignment="1"/>
    <xf numFmtId="0" fontId="0" fillId="7" borderId="0" xfId="0" applyFill="1"/>
    <xf numFmtId="0" fontId="0" fillId="8" borderId="0" xfId="0" applyFill="1"/>
    <xf numFmtId="0" fontId="0" fillId="9" borderId="0" xfId="0" applyFill="1" applyAlignment="1"/>
    <xf numFmtId="0" fontId="0" fillId="9" borderId="0" xfId="0" applyFill="1"/>
    <xf numFmtId="2" fontId="0" fillId="3" borderId="1" xfId="0" applyNumberFormat="1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exercise_pipeline!$C$90:$C$124</c:f>
              <c:numCache>
                <c:formatCode>0</c:formatCode>
                <c:ptCount val="35"/>
                <c:pt idx="0">
                  <c:v>90.73</c:v>
                </c:pt>
                <c:pt idx="1">
                  <c:v>99.959000000000003</c:v>
                </c:pt>
                <c:pt idx="2">
                  <c:v>109.182</c:v>
                </c:pt>
                <c:pt idx="3">
                  <c:v>118.4</c:v>
                </c:pt>
                <c:pt idx="4">
                  <c:v>127.61199999999999</c:v>
                </c:pt>
                <c:pt idx="5">
                  <c:v>136.81899999999999</c:v>
                </c:pt>
                <c:pt idx="6">
                  <c:v>146.02099999999999</c:v>
                </c:pt>
                <c:pt idx="7">
                  <c:v>155.21700000000001</c:v>
                </c:pt>
                <c:pt idx="8">
                  <c:v>164.40799999999999</c:v>
                </c:pt>
                <c:pt idx="9">
                  <c:v>173.58199999999999</c:v>
                </c:pt>
                <c:pt idx="10">
                  <c:v>182.495</c:v>
                </c:pt>
                <c:pt idx="11">
                  <c:v>191.197</c:v>
                </c:pt>
                <c:pt idx="12">
                  <c:v>199.71299999999999</c:v>
                </c:pt>
                <c:pt idx="13">
                  <c:v>208.023</c:v>
                </c:pt>
                <c:pt idx="14">
                  <c:v>216.13</c:v>
                </c:pt>
                <c:pt idx="15">
                  <c:v>224.06899999999999</c:v>
                </c:pt>
                <c:pt idx="16">
                  <c:v>231.86699999999999</c:v>
                </c:pt>
                <c:pt idx="17">
                  <c:v>239.465</c:v>
                </c:pt>
                <c:pt idx="18">
                  <c:v>246.86500000000001</c:v>
                </c:pt>
                <c:pt idx="19">
                  <c:v>254.066</c:v>
                </c:pt>
                <c:pt idx="20">
                  <c:v>261.08300000000003</c:v>
                </c:pt>
                <c:pt idx="21">
                  <c:v>268.03899999999999</c:v>
                </c:pt>
                <c:pt idx="22">
                  <c:v>274.97800000000001</c:v>
                </c:pt>
                <c:pt idx="23">
                  <c:v>281.87700000000001</c:v>
                </c:pt>
                <c:pt idx="24">
                  <c:v>288.65499999999997</c:v>
                </c:pt>
                <c:pt idx="25">
                  <c:v>45.231999999999999</c:v>
                </c:pt>
                <c:pt idx="26">
                  <c:v>52.526000000000003</c:v>
                </c:pt>
                <c:pt idx="27">
                  <c:v>59.795000000000002</c:v>
                </c:pt>
                <c:pt idx="28">
                  <c:v>67.039000000000001</c:v>
                </c:pt>
                <c:pt idx="29">
                  <c:v>74.257000000000005</c:v>
                </c:pt>
                <c:pt idx="30">
                  <c:v>81.448999999999998</c:v>
                </c:pt>
                <c:pt idx="31">
                  <c:v>88.616</c:v>
                </c:pt>
                <c:pt idx="32">
                  <c:v>95.759</c:v>
                </c:pt>
                <c:pt idx="33">
                  <c:v>102.88200000000001</c:v>
                </c:pt>
                <c:pt idx="34">
                  <c:v>110</c:v>
                </c:pt>
              </c:numCache>
            </c:numRef>
          </c:xVal>
          <c:yVal>
            <c:numRef>
              <c:f>exercise_pipeline!$B$90:$B$124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tx>
            <c:v>затруб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exercise_pipeline!$I$90:$I$114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11.4</c:v>
                </c:pt>
                <c:pt idx="13">
                  <c:v>11.504</c:v>
                </c:pt>
                <c:pt idx="14">
                  <c:v>11.506</c:v>
                </c:pt>
                <c:pt idx="15">
                  <c:v>11.606</c:v>
                </c:pt>
                <c:pt idx="16">
                  <c:v>11.705</c:v>
                </c:pt>
                <c:pt idx="17">
                  <c:v>11.744999999999999</c:v>
                </c:pt>
                <c:pt idx="18">
                  <c:v>14.362</c:v>
                </c:pt>
                <c:pt idx="19">
                  <c:v>19.129000000000001</c:v>
                </c:pt>
                <c:pt idx="20">
                  <c:v>22.393000000000001</c:v>
                </c:pt>
                <c:pt idx="21">
                  <c:v>24.780999999999999</c:v>
                </c:pt>
                <c:pt idx="22">
                  <c:v>31.510999999999999</c:v>
                </c:pt>
                <c:pt idx="23">
                  <c:v>38.341999999999999</c:v>
                </c:pt>
                <c:pt idx="24">
                  <c:v>45.231999999999999</c:v>
                </c:pt>
              </c:numCache>
            </c:numRef>
          </c:xVal>
          <c:yVal>
            <c:numRef>
              <c:f>exercise_pipeline!$H$90:$H$114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1428.5709999999999</c:v>
                </c:pt>
                <c:pt idx="13">
                  <c:v>1547.6189999999999</c:v>
                </c:pt>
                <c:pt idx="14">
                  <c:v>1550</c:v>
                </c:pt>
                <c:pt idx="15">
                  <c:v>1666.6669999999999</c:v>
                </c:pt>
                <c:pt idx="16">
                  <c:v>1785.7139999999999</c:v>
                </c:pt>
                <c:pt idx="17">
                  <c:v>1834.4079999999999</c:v>
                </c:pt>
                <c:pt idx="18">
                  <c:v>1904.7619999999999</c:v>
                </c:pt>
                <c:pt idx="19">
                  <c:v>2023.81</c:v>
                </c:pt>
                <c:pt idx="20">
                  <c:v>2100</c:v>
                </c:pt>
                <c:pt idx="21">
                  <c:v>2142.857</c:v>
                </c:pt>
                <c:pt idx="22">
                  <c:v>2261.9050000000002</c:v>
                </c:pt>
                <c:pt idx="23">
                  <c:v>2380.9520000000002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2744"/>
        <c:axId val="268240392"/>
      </c:scatterChart>
      <c:valAx>
        <c:axId val="2682427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0392"/>
        <c:crosses val="autoZero"/>
        <c:crossBetween val="midCat"/>
      </c:valAx>
      <c:valAx>
        <c:axId val="268240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2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exercise_pipeline!$F$90:$F$124</c:f>
              <c:numCache>
                <c:formatCode>0</c:formatCode>
                <c:ptCount val="35"/>
                <c:pt idx="0">
                  <c:v>21.158999999999999</c:v>
                </c:pt>
                <c:pt idx="1">
                  <c:v>22.722999999999999</c:v>
                </c:pt>
                <c:pt idx="2">
                  <c:v>24.286999999999999</c:v>
                </c:pt>
                <c:pt idx="3">
                  <c:v>25.850999999999999</c:v>
                </c:pt>
                <c:pt idx="4">
                  <c:v>27.416</c:v>
                </c:pt>
                <c:pt idx="5">
                  <c:v>28.981999999999999</c:v>
                </c:pt>
                <c:pt idx="6">
                  <c:v>30.556000000000001</c:v>
                </c:pt>
                <c:pt idx="7">
                  <c:v>32.158000000000001</c:v>
                </c:pt>
                <c:pt idx="8">
                  <c:v>33.865000000000002</c:v>
                </c:pt>
                <c:pt idx="9">
                  <c:v>35.966999999999999</c:v>
                </c:pt>
                <c:pt idx="10">
                  <c:v>39.204999999999998</c:v>
                </c:pt>
                <c:pt idx="11">
                  <c:v>42.817</c:v>
                </c:pt>
                <c:pt idx="12">
                  <c:v>46.356999999999999</c:v>
                </c:pt>
                <c:pt idx="13">
                  <c:v>49.814999999999998</c:v>
                </c:pt>
                <c:pt idx="14">
                  <c:v>53.191000000000003</c:v>
                </c:pt>
                <c:pt idx="15">
                  <c:v>56.484000000000002</c:v>
                </c:pt>
                <c:pt idx="16">
                  <c:v>59.704000000000001</c:v>
                </c:pt>
                <c:pt idx="17">
                  <c:v>62.850999999999999</c:v>
                </c:pt>
                <c:pt idx="18">
                  <c:v>65.94</c:v>
                </c:pt>
                <c:pt idx="19">
                  <c:v>69.028000000000006</c:v>
                </c:pt>
                <c:pt idx="20">
                  <c:v>72.319000000000003</c:v>
                </c:pt>
                <c:pt idx="21">
                  <c:v>76.474999999999994</c:v>
                </c:pt>
                <c:pt idx="22">
                  <c:v>83.745999999999995</c:v>
                </c:pt>
                <c:pt idx="23">
                  <c:v>101.916</c:v>
                </c:pt>
                <c:pt idx="24">
                  <c:v>156.35599999999999</c:v>
                </c:pt>
                <c:pt idx="25">
                  <c:v>83.798000000000002</c:v>
                </c:pt>
                <c:pt idx="26">
                  <c:v>86.933000000000007</c:v>
                </c:pt>
                <c:pt idx="27">
                  <c:v>90.066999999999993</c:v>
                </c:pt>
                <c:pt idx="28">
                  <c:v>93.197999999999993</c:v>
                </c:pt>
                <c:pt idx="29">
                  <c:v>96.32</c:v>
                </c:pt>
                <c:pt idx="30">
                  <c:v>99.408000000000001</c:v>
                </c:pt>
                <c:pt idx="31">
                  <c:v>102.361</c:v>
                </c:pt>
                <c:pt idx="32">
                  <c:v>104.828</c:v>
                </c:pt>
                <c:pt idx="33">
                  <c:v>105.539</c:v>
                </c:pt>
                <c:pt idx="34">
                  <c:v>100</c:v>
                </c:pt>
              </c:numCache>
            </c:numRef>
          </c:xVal>
          <c:yVal>
            <c:numRef>
              <c:f>exercise_pipeline!$E$90:$E$124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449488"/>
        <c:axId val="266495720"/>
      </c:scatterChart>
      <c:valAx>
        <c:axId val="37944948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495720"/>
        <c:crosses val="autoZero"/>
        <c:crossBetween val="midCat"/>
      </c:valAx>
      <c:valAx>
        <c:axId val="2664957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44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exercise_pipeline!$O$90:$O$124</c:f>
              <c:numCache>
                <c:formatCode>0</c:formatCode>
                <c:ptCount val="35"/>
                <c:pt idx="0">
                  <c:v>4.0940000000000003</c:v>
                </c:pt>
                <c:pt idx="1">
                  <c:v>12.959</c:v>
                </c:pt>
                <c:pt idx="2">
                  <c:v>22.135999999999999</c:v>
                </c:pt>
                <c:pt idx="3">
                  <c:v>31.36</c:v>
                </c:pt>
                <c:pt idx="4">
                  <c:v>40.591999999999999</c:v>
                </c:pt>
                <c:pt idx="5">
                  <c:v>49.816000000000003</c:v>
                </c:pt>
                <c:pt idx="6">
                  <c:v>59.033000000000001</c:v>
                </c:pt>
                <c:pt idx="7">
                  <c:v>68.245000000000005</c:v>
                </c:pt>
                <c:pt idx="8">
                  <c:v>77.448999999999998</c:v>
                </c:pt>
                <c:pt idx="9">
                  <c:v>86.635999999999996</c:v>
                </c:pt>
                <c:pt idx="10">
                  <c:v>95.56</c:v>
                </c:pt>
                <c:pt idx="11">
                  <c:v>104.273</c:v>
                </c:pt>
                <c:pt idx="12">
                  <c:v>112.79900000000001</c:v>
                </c:pt>
                <c:pt idx="13">
                  <c:v>121.119</c:v>
                </c:pt>
                <c:pt idx="14">
                  <c:v>129.23599999999999</c:v>
                </c:pt>
                <c:pt idx="15">
                  <c:v>137.184</c:v>
                </c:pt>
                <c:pt idx="16">
                  <c:v>144.99100000000001</c:v>
                </c:pt>
                <c:pt idx="17">
                  <c:v>152.59800000000001</c:v>
                </c:pt>
                <c:pt idx="18">
                  <c:v>160.006</c:v>
                </c:pt>
                <c:pt idx="19">
                  <c:v>167.21600000000001</c:v>
                </c:pt>
                <c:pt idx="20">
                  <c:v>174.24100000000001</c:v>
                </c:pt>
                <c:pt idx="21">
                  <c:v>181.203</c:v>
                </c:pt>
                <c:pt idx="22">
                  <c:v>188.14699999999999</c:v>
                </c:pt>
                <c:pt idx="23">
                  <c:v>195.053</c:v>
                </c:pt>
                <c:pt idx="24">
                  <c:v>201.864</c:v>
                </c:pt>
                <c:pt idx="25">
                  <c:v>14.8</c:v>
                </c:pt>
                <c:pt idx="26">
                  <c:v>22.134</c:v>
                </c:pt>
                <c:pt idx="27">
                  <c:v>29.445</c:v>
                </c:pt>
                <c:pt idx="28">
                  <c:v>36.732999999999997</c:v>
                </c:pt>
                <c:pt idx="29">
                  <c:v>43.996000000000002</c:v>
                </c:pt>
                <c:pt idx="30">
                  <c:v>51.234999999999999</c:v>
                </c:pt>
                <c:pt idx="31">
                  <c:v>58.45</c:v>
                </c:pt>
                <c:pt idx="32">
                  <c:v>65.641999999999996</c:v>
                </c:pt>
                <c:pt idx="33">
                  <c:v>72.816999999999993</c:v>
                </c:pt>
                <c:pt idx="34">
                  <c:v>79.988</c:v>
                </c:pt>
              </c:numCache>
            </c:numRef>
          </c:xVal>
          <c:yVal>
            <c:numRef>
              <c:f>exercise_pipeline!$N$90:$N$124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exercise_pipeline!$U$90:$U$114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11.4</c:v>
                </c:pt>
                <c:pt idx="13">
                  <c:v>11.504</c:v>
                </c:pt>
                <c:pt idx="14">
                  <c:v>11.506</c:v>
                </c:pt>
                <c:pt idx="15">
                  <c:v>11.606</c:v>
                </c:pt>
                <c:pt idx="16">
                  <c:v>11.705</c:v>
                </c:pt>
                <c:pt idx="17">
                  <c:v>11.801</c:v>
                </c:pt>
                <c:pt idx="18">
                  <c:v>11.894</c:v>
                </c:pt>
                <c:pt idx="19">
                  <c:v>11.952</c:v>
                </c:pt>
                <c:pt idx="20">
                  <c:v>11.984</c:v>
                </c:pt>
                <c:pt idx="21">
                  <c:v>12.074999999999999</c:v>
                </c:pt>
                <c:pt idx="22">
                  <c:v>12.164999999999999</c:v>
                </c:pt>
                <c:pt idx="23">
                  <c:v>12.215</c:v>
                </c:pt>
                <c:pt idx="24">
                  <c:v>14.8</c:v>
                </c:pt>
              </c:numCache>
            </c:numRef>
          </c:xVal>
          <c:yVal>
            <c:numRef>
              <c:f>exercise_pipeline!$T$90:$T$114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1428.5709999999999</c:v>
                </c:pt>
                <c:pt idx="13">
                  <c:v>1547.6189999999999</c:v>
                </c:pt>
                <c:pt idx="14">
                  <c:v>1550</c:v>
                </c:pt>
                <c:pt idx="15">
                  <c:v>1666.6669999999999</c:v>
                </c:pt>
                <c:pt idx="16">
                  <c:v>1785.7139999999999</c:v>
                </c:pt>
                <c:pt idx="17">
                  <c:v>1904.7619999999999</c:v>
                </c:pt>
                <c:pt idx="18">
                  <c:v>2023.81</c:v>
                </c:pt>
                <c:pt idx="19">
                  <c:v>2100</c:v>
                </c:pt>
                <c:pt idx="20">
                  <c:v>2142.857</c:v>
                </c:pt>
                <c:pt idx="21">
                  <c:v>2261.9050000000002</c:v>
                </c:pt>
                <c:pt idx="22">
                  <c:v>2380.9520000000002</c:v>
                </c:pt>
                <c:pt idx="23">
                  <c:v>2448.16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9144"/>
        <c:axId val="384284832"/>
      </c:scatterChart>
      <c:valAx>
        <c:axId val="3842891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4832"/>
        <c:crosses val="autoZero"/>
        <c:crossBetween val="midCat"/>
      </c:valAx>
      <c:valAx>
        <c:axId val="3842848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9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exercise_pipeline!$R$90:$R$124</c:f>
              <c:numCache>
                <c:formatCode>0</c:formatCode>
                <c:ptCount val="35"/>
                <c:pt idx="0">
                  <c:v>21.405000000000001</c:v>
                </c:pt>
                <c:pt idx="1">
                  <c:v>22.948</c:v>
                </c:pt>
                <c:pt idx="2">
                  <c:v>24.5</c:v>
                </c:pt>
                <c:pt idx="3">
                  <c:v>26.061</c:v>
                </c:pt>
                <c:pt idx="4">
                  <c:v>27.628</c:v>
                </c:pt>
                <c:pt idx="5">
                  <c:v>29.199000000000002</c:v>
                </c:pt>
                <c:pt idx="6">
                  <c:v>30.786000000000001</c:v>
                </c:pt>
                <c:pt idx="7">
                  <c:v>32.418999999999997</c:v>
                </c:pt>
                <c:pt idx="8">
                  <c:v>34.195</c:v>
                </c:pt>
                <c:pt idx="9">
                  <c:v>36.409999999999997</c:v>
                </c:pt>
                <c:pt idx="10">
                  <c:v>39.691000000000003</c:v>
                </c:pt>
                <c:pt idx="11">
                  <c:v>43.295000000000002</c:v>
                </c:pt>
                <c:pt idx="12">
                  <c:v>46.825000000000003</c:v>
                </c:pt>
                <c:pt idx="13">
                  <c:v>50.271999999999998</c:v>
                </c:pt>
                <c:pt idx="14">
                  <c:v>53.639000000000003</c:v>
                </c:pt>
                <c:pt idx="15">
                  <c:v>56.923999999999999</c:v>
                </c:pt>
                <c:pt idx="16">
                  <c:v>60.14</c:v>
                </c:pt>
                <c:pt idx="17">
                  <c:v>63.290999999999997</c:v>
                </c:pt>
                <c:pt idx="18">
                  <c:v>66.406000000000006</c:v>
                </c:pt>
                <c:pt idx="19">
                  <c:v>69.573999999999998</c:v>
                </c:pt>
                <c:pt idx="20">
                  <c:v>73.054000000000002</c:v>
                </c:pt>
                <c:pt idx="21">
                  <c:v>77.554000000000002</c:v>
                </c:pt>
                <c:pt idx="22">
                  <c:v>85.072000000000003</c:v>
                </c:pt>
                <c:pt idx="23">
                  <c:v>101.297</c:v>
                </c:pt>
                <c:pt idx="24">
                  <c:v>141.749</c:v>
                </c:pt>
                <c:pt idx="25">
                  <c:v>84.260999999999996</c:v>
                </c:pt>
                <c:pt idx="26">
                  <c:v>87.397000000000006</c:v>
                </c:pt>
                <c:pt idx="27">
                  <c:v>90.531000000000006</c:v>
                </c:pt>
                <c:pt idx="28">
                  <c:v>93.656999999999996</c:v>
                </c:pt>
                <c:pt idx="29">
                  <c:v>96.760999999999996</c:v>
                </c:pt>
                <c:pt idx="30">
                  <c:v>99.795000000000002</c:v>
                </c:pt>
                <c:pt idx="31">
                  <c:v>102.617</c:v>
                </c:pt>
                <c:pt idx="32">
                  <c:v>104.807</c:v>
                </c:pt>
                <c:pt idx="33">
                  <c:v>105.134</c:v>
                </c:pt>
                <c:pt idx="34">
                  <c:v>100</c:v>
                </c:pt>
              </c:numCache>
            </c:numRef>
          </c:xVal>
          <c:yVal>
            <c:numRef>
              <c:f>exercise_pipeline!$Q$90:$Q$124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93064"/>
        <c:axId val="384282480"/>
      </c:scatterChart>
      <c:valAx>
        <c:axId val="38429306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2480"/>
        <c:crosses val="autoZero"/>
        <c:crossBetween val="midCat"/>
      </c:valAx>
      <c:valAx>
        <c:axId val="3842824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9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exercise_pipeline!$Z$90:$Z$124</c:f>
              <c:strCache>
                <c:ptCount val="35"/>
                <c:pt idx="0">
                  <c:v>error:decode_json_crv: Error parsing JSON:_x000d_
error_x000d_
^_x000d_
Expecting '{' or '['</c:v>
                </c:pt>
                <c:pt idx="1">
                  <c:v>error:decode_json_crv: Error parsing JSON:_x000d_
error_x000d_
^_x000d_
Expecting '{' or '['</c:v>
                </c:pt>
                <c:pt idx="2">
                  <c:v>error:decode_json_crv: Error parsing JSON:_x000d_
error_x000d_
^_x000d_
Expecting '{' or '['</c:v>
                </c:pt>
                <c:pt idx="3">
                  <c:v>error:decode_json_crv: Error parsing JSON:_x000d_
error_x000d_
^_x000d_
Expecting '{' or '['</c:v>
                </c:pt>
                <c:pt idx="4">
                  <c:v>error:decode_json_crv: Error parsing JSON:_x000d_
error_x000d_
^_x000d_
Expecting '{' or '['</c:v>
                </c:pt>
                <c:pt idx="5">
                  <c:v>error:decode_json_crv: Error parsing JSON:_x000d_
error_x000d_
^_x000d_
Expecting '{' or '['</c:v>
                </c:pt>
                <c:pt idx="6">
                  <c:v>error:decode_json_crv: Error parsing JSON:_x000d_
error_x000d_
^_x000d_
Expecting '{' or '['</c:v>
                </c:pt>
                <c:pt idx="7">
                  <c:v>error:decode_json_crv: Error parsing JSON:_x000d_
error_x000d_
^_x000d_
Expecting '{' or '['</c:v>
                </c:pt>
                <c:pt idx="8">
                  <c:v>error:decode_json_crv: Error parsing JSON:_x000d_
error_x000d_
^_x000d_
Expecting '{' or '['</c:v>
                </c:pt>
                <c:pt idx="9">
                  <c:v>error:decode_json_crv: Error parsing JSON:_x000d_
error_x000d_
^_x000d_
Expecting '{' or '['</c:v>
                </c:pt>
                <c:pt idx="10">
                  <c:v>error:decode_json_crv: Error parsing JSON:_x000d_
error_x000d_
^_x000d_
Expecting '{' or '['</c:v>
                </c:pt>
                <c:pt idx="11">
                  <c:v>error:decode_json_crv: Error parsing JSON:_x000d_
error_x000d_
^_x000d_
Expecting '{' or '['</c:v>
                </c:pt>
                <c:pt idx="12">
                  <c:v>error:decode_json_crv: Error parsing JSON:_x000d_
error_x000d_
^_x000d_
Expecting '{' or '['</c:v>
                </c:pt>
                <c:pt idx="13">
                  <c:v>error:decode_json_crv: Error parsing JSON:_x000d_
error_x000d_
^_x000d_
Expecting '{' or '['</c:v>
                </c:pt>
                <c:pt idx="14">
                  <c:v>error:decode_json_crv: Error parsing JSON:_x000d_
error_x000d_
^_x000d_
Expecting '{' or '['</c:v>
                </c:pt>
                <c:pt idx="15">
                  <c:v>error:decode_json_crv: Error parsing JSON:_x000d_
error_x000d_
^_x000d_
Expecting '{' or '['</c:v>
                </c:pt>
                <c:pt idx="16">
                  <c:v>error:decode_json_crv: Error parsing JSON:_x000d_
error_x000d_
^_x000d_
Expecting '{' or '['</c:v>
                </c:pt>
                <c:pt idx="17">
                  <c:v>error:decode_json_crv: Error parsing JSON:_x000d_
error_x000d_
^_x000d_
Expecting '{' or '['</c:v>
                </c:pt>
                <c:pt idx="18">
                  <c:v>error:decode_json_crv: Error parsing JSON:_x000d_
error_x000d_
^_x000d_
Expecting '{' or '['</c:v>
                </c:pt>
                <c:pt idx="19">
                  <c:v>error:decode_json_crv: Error parsing JSON:_x000d_
error_x000d_
^_x000d_
Expecting '{' or '['</c:v>
                </c:pt>
                <c:pt idx="20">
                  <c:v>error:decode_json_crv: Error parsing JSON:_x000d_
error_x000d_
^_x000d_
Expecting '{' or '['</c:v>
                </c:pt>
                <c:pt idx="21">
                  <c:v>error:decode_json_crv: Error parsing JSON:_x000d_
error_x000d_
^_x000d_
Expecting '{' or '['</c:v>
                </c:pt>
                <c:pt idx="22">
                  <c:v>error:decode_json_crv: Error parsing JSON:_x000d_
error_x000d_
^_x000d_
Expecting '{' or '['</c:v>
                </c:pt>
                <c:pt idx="23">
                  <c:v>error:decode_json_crv: Error parsing JSON:_x000d_
error_x000d_
^_x000d_
Expecting '{' or '['</c:v>
                </c:pt>
                <c:pt idx="24">
                  <c:v>error:decode_json_crv: Error parsing JSON:_x000d_
error_x000d_
^_x000d_
Expecting '{' or '['</c:v>
                </c:pt>
                <c:pt idx="25">
                  <c:v>error:decode_json_crv: Error parsing JSON:_x000d_
error_x000d_
^_x000d_
Expecting '{' or '['</c:v>
                </c:pt>
                <c:pt idx="26">
                  <c:v>error:decode_json_crv: Error parsing JSON:_x000d_
error_x000d_
^_x000d_
Expecting '{' or '['</c:v>
                </c:pt>
                <c:pt idx="27">
                  <c:v>error:decode_json_crv: Error parsing JSON:_x000d_
error_x000d_
^_x000d_
Expecting '{' or '['</c:v>
                </c:pt>
                <c:pt idx="28">
                  <c:v>error:decode_json_crv: Error parsing JSON:_x000d_
error_x000d_
^_x000d_
Expecting '{' or '['</c:v>
                </c:pt>
                <c:pt idx="29">
                  <c:v>error:decode_json_crv: Error parsing JSON:_x000d_
error_x000d_
^_x000d_
Expecting '{' or '['</c:v>
                </c:pt>
                <c:pt idx="30">
                  <c:v>error:decode_json_crv: Error parsing JSON:_x000d_
error_x000d_
^_x000d_
Expecting '{' or '['</c:v>
                </c:pt>
                <c:pt idx="31">
                  <c:v>error:decode_json_crv: Error parsing JSON:_x000d_
error_x000d_
^_x000d_
Expecting '{' or '['</c:v>
                </c:pt>
                <c:pt idx="32">
                  <c:v>error:decode_json_crv: Error parsing JSON:_x000d_
error_x000d_
^_x000d_
Expecting '{' or '['</c:v>
                </c:pt>
                <c:pt idx="33">
                  <c:v>error:decode_json_crv: Error parsing JSON:_x000d_
error_x000d_
^_x000d_
Expecting '{' or '['</c:v>
                </c:pt>
                <c:pt idx="34">
                  <c:v>error:decode_json_crv: Error parsing JSON:_x000d_
error_x000d_
^_x000d_
Expecting '{' or '['</c:v>
                </c:pt>
              </c:strCache>
            </c:strRef>
          </c:xVal>
          <c:yVal>
            <c:numRef>
              <c:f>exercise_pipeline!$Y$90:$Y$124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exercise_pipeline!$AF$90:$AF$114</c:f>
              <c:strCache>
                <c:ptCount val="25"/>
                <c:pt idx="0">
                  <c:v>error:decode_json_crv: Error parsing JSON:_x000d_
error_x000d_
^_x000d_
Expecting '{' or '['</c:v>
                </c:pt>
                <c:pt idx="1">
                  <c:v>error:decode_json_crv: Error parsing JSON:_x000d_
error_x000d_
^_x000d_
Expecting '{' or '['</c:v>
                </c:pt>
                <c:pt idx="2">
                  <c:v>error:decode_json_crv: Error parsing JSON:_x000d_
error_x000d_
^_x000d_
Expecting '{' or '['</c:v>
                </c:pt>
                <c:pt idx="3">
                  <c:v>error:decode_json_crv: Error parsing JSON:_x000d_
error_x000d_
^_x000d_
Expecting '{' or '['</c:v>
                </c:pt>
                <c:pt idx="4">
                  <c:v>error:decode_json_crv: Error parsing JSON:_x000d_
error_x000d_
^_x000d_
Expecting '{' or '['</c:v>
                </c:pt>
                <c:pt idx="5">
                  <c:v>error:decode_json_crv: Error parsing JSON:_x000d_
error_x000d_
^_x000d_
Expecting '{' or '['</c:v>
                </c:pt>
                <c:pt idx="6">
                  <c:v>error:decode_json_crv: Error parsing JSON:_x000d_
error_x000d_
^_x000d_
Expecting '{' or '['</c:v>
                </c:pt>
                <c:pt idx="7">
                  <c:v>error:decode_json_crv: Error parsing JSON:_x000d_
error_x000d_
^_x000d_
Expecting '{' or '['</c:v>
                </c:pt>
                <c:pt idx="8">
                  <c:v>error:decode_json_crv: Error parsing JSON:_x000d_
error_x000d_
^_x000d_
Expecting '{' or '['</c:v>
                </c:pt>
                <c:pt idx="9">
                  <c:v>error:decode_json_crv: Error parsing JSON:_x000d_
error_x000d_
^_x000d_
Expecting '{' or '['</c:v>
                </c:pt>
                <c:pt idx="10">
                  <c:v>error:decode_json_crv: Error parsing JSON:_x000d_
error_x000d_
^_x000d_
Expecting '{' or '['</c:v>
                </c:pt>
                <c:pt idx="11">
                  <c:v>error:decode_json_crv: Error parsing JSON:_x000d_
error_x000d_
^_x000d_
Expecting '{' or '['</c:v>
                </c:pt>
                <c:pt idx="12">
                  <c:v>error:decode_json_crv: Error parsing JSON:_x000d_
error_x000d_
^_x000d_
Expecting '{' or '['</c:v>
                </c:pt>
                <c:pt idx="13">
                  <c:v>error:decode_json_crv: Error parsing JSON:_x000d_
error_x000d_
^_x000d_
Expecting '{' or '['</c:v>
                </c:pt>
                <c:pt idx="14">
                  <c:v>error:decode_json_crv: Error parsing JSON:_x000d_
error_x000d_
^_x000d_
Expecting '{' or '['</c:v>
                </c:pt>
                <c:pt idx="15">
                  <c:v>error:decode_json_crv: Error parsing JSON:_x000d_
error_x000d_
^_x000d_
Expecting '{' or '['</c:v>
                </c:pt>
                <c:pt idx="16">
                  <c:v>error:decode_json_crv: Error parsing JSON:_x000d_
error_x000d_
^_x000d_
Expecting '{' or '['</c:v>
                </c:pt>
                <c:pt idx="17">
                  <c:v>error:decode_json_crv: Error parsing JSON:_x000d_
error_x000d_
^_x000d_
Expecting '{' or '['</c:v>
                </c:pt>
                <c:pt idx="18">
                  <c:v>error:decode_json_crv: Error parsing JSON:_x000d_
error_x000d_
^_x000d_
Expecting '{' or '['</c:v>
                </c:pt>
                <c:pt idx="19">
                  <c:v>error:decode_json_crv: Error parsing JSON:_x000d_
error_x000d_
^_x000d_
Expecting '{' or '['</c:v>
                </c:pt>
                <c:pt idx="20">
                  <c:v>error:decode_json_crv: Error parsing JSON:_x000d_
error_x000d_
^_x000d_
Expecting '{' or '['</c:v>
                </c:pt>
                <c:pt idx="21">
                  <c:v>error:decode_json_crv: Error parsing JSON:_x000d_
error_x000d_
^_x000d_
Expecting '{' or '['</c:v>
                </c:pt>
                <c:pt idx="22">
                  <c:v>error:decode_json_crv: Error parsing JSON:_x000d_
error_x000d_
^_x000d_
Expecting '{' or '['</c:v>
                </c:pt>
                <c:pt idx="23">
                  <c:v>error:decode_json_crv: Error parsing JSON:_x000d_
error_x000d_
^_x000d_
Expecting '{' or '['</c:v>
                </c:pt>
                <c:pt idx="24">
                  <c:v>error:decode_json_crv: Error parsing JSON:_x000d_
error_x000d_
^_x000d_
Expecting '{' or '['</c:v>
                </c:pt>
              </c:strCache>
            </c:strRef>
          </c:xVal>
          <c:yVal>
            <c:numRef>
              <c:f>exercise_pipeline!$AE$90:$AE$114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7184"/>
        <c:axId val="384288752"/>
      </c:scatterChart>
      <c:valAx>
        <c:axId val="38428718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8752"/>
        <c:crosses val="autoZero"/>
        <c:crossBetween val="midCat"/>
      </c:valAx>
      <c:valAx>
        <c:axId val="3842887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exercise_pipeline!$AC$90:$AC$124</c:f>
              <c:strCache>
                <c:ptCount val="35"/>
                <c:pt idx="0">
                  <c:v>error:decode_json_crv: Error parsing JSON:_x000d_
error_x000d_
^_x000d_
Expecting '{' or '['</c:v>
                </c:pt>
                <c:pt idx="1">
                  <c:v>error:decode_json_crv: Error parsing JSON:_x000d_
error_x000d_
^_x000d_
Expecting '{' or '['</c:v>
                </c:pt>
                <c:pt idx="2">
                  <c:v>error:decode_json_crv: Error parsing JSON:_x000d_
error_x000d_
^_x000d_
Expecting '{' or '['</c:v>
                </c:pt>
                <c:pt idx="3">
                  <c:v>error:decode_json_crv: Error parsing JSON:_x000d_
error_x000d_
^_x000d_
Expecting '{' or '['</c:v>
                </c:pt>
                <c:pt idx="4">
                  <c:v>error:decode_json_crv: Error parsing JSON:_x000d_
error_x000d_
^_x000d_
Expecting '{' or '['</c:v>
                </c:pt>
                <c:pt idx="5">
                  <c:v>error:decode_json_crv: Error parsing JSON:_x000d_
error_x000d_
^_x000d_
Expecting '{' or '['</c:v>
                </c:pt>
                <c:pt idx="6">
                  <c:v>error:decode_json_crv: Error parsing JSON:_x000d_
error_x000d_
^_x000d_
Expecting '{' or '['</c:v>
                </c:pt>
                <c:pt idx="7">
                  <c:v>error:decode_json_crv: Error parsing JSON:_x000d_
error_x000d_
^_x000d_
Expecting '{' or '['</c:v>
                </c:pt>
                <c:pt idx="8">
                  <c:v>error:decode_json_crv: Error parsing JSON:_x000d_
error_x000d_
^_x000d_
Expecting '{' or '['</c:v>
                </c:pt>
                <c:pt idx="9">
                  <c:v>error:decode_json_crv: Error parsing JSON:_x000d_
error_x000d_
^_x000d_
Expecting '{' or '['</c:v>
                </c:pt>
                <c:pt idx="10">
                  <c:v>error:decode_json_crv: Error parsing JSON:_x000d_
error_x000d_
^_x000d_
Expecting '{' or '['</c:v>
                </c:pt>
                <c:pt idx="11">
                  <c:v>error:decode_json_crv: Error parsing JSON:_x000d_
error_x000d_
^_x000d_
Expecting '{' or '['</c:v>
                </c:pt>
                <c:pt idx="12">
                  <c:v>error:decode_json_crv: Error parsing JSON:_x000d_
error_x000d_
^_x000d_
Expecting '{' or '['</c:v>
                </c:pt>
                <c:pt idx="13">
                  <c:v>error:decode_json_crv: Error parsing JSON:_x000d_
error_x000d_
^_x000d_
Expecting '{' or '['</c:v>
                </c:pt>
                <c:pt idx="14">
                  <c:v>error:decode_json_crv: Error parsing JSON:_x000d_
error_x000d_
^_x000d_
Expecting '{' or '['</c:v>
                </c:pt>
                <c:pt idx="15">
                  <c:v>error:decode_json_crv: Error parsing JSON:_x000d_
error_x000d_
^_x000d_
Expecting '{' or '['</c:v>
                </c:pt>
                <c:pt idx="16">
                  <c:v>error:decode_json_crv: Error parsing JSON:_x000d_
error_x000d_
^_x000d_
Expecting '{' or '['</c:v>
                </c:pt>
                <c:pt idx="17">
                  <c:v>error:decode_json_crv: Error parsing JSON:_x000d_
error_x000d_
^_x000d_
Expecting '{' or '['</c:v>
                </c:pt>
                <c:pt idx="18">
                  <c:v>error:decode_json_crv: Error parsing JSON:_x000d_
error_x000d_
^_x000d_
Expecting '{' or '['</c:v>
                </c:pt>
                <c:pt idx="19">
                  <c:v>error:decode_json_crv: Error parsing JSON:_x000d_
error_x000d_
^_x000d_
Expecting '{' or '['</c:v>
                </c:pt>
                <c:pt idx="20">
                  <c:v>error:decode_json_crv: Error parsing JSON:_x000d_
error_x000d_
^_x000d_
Expecting '{' or '['</c:v>
                </c:pt>
                <c:pt idx="21">
                  <c:v>error:decode_json_crv: Error parsing JSON:_x000d_
error_x000d_
^_x000d_
Expecting '{' or '['</c:v>
                </c:pt>
                <c:pt idx="22">
                  <c:v>error:decode_json_crv: Error parsing JSON:_x000d_
error_x000d_
^_x000d_
Expecting '{' or '['</c:v>
                </c:pt>
                <c:pt idx="23">
                  <c:v>error:decode_json_crv: Error parsing JSON:_x000d_
error_x000d_
^_x000d_
Expecting '{' or '['</c:v>
                </c:pt>
                <c:pt idx="24">
                  <c:v>error:decode_json_crv: Error parsing JSON:_x000d_
error_x000d_
^_x000d_
Expecting '{' or '['</c:v>
                </c:pt>
                <c:pt idx="25">
                  <c:v>error:decode_json_crv: Error parsing JSON:_x000d_
error_x000d_
^_x000d_
Expecting '{' or '['</c:v>
                </c:pt>
                <c:pt idx="26">
                  <c:v>error:decode_json_crv: Error parsing JSON:_x000d_
error_x000d_
^_x000d_
Expecting '{' or '['</c:v>
                </c:pt>
                <c:pt idx="27">
                  <c:v>error:decode_json_crv: Error parsing JSON:_x000d_
error_x000d_
^_x000d_
Expecting '{' or '['</c:v>
                </c:pt>
                <c:pt idx="28">
                  <c:v>error:decode_json_crv: Error parsing JSON:_x000d_
error_x000d_
^_x000d_
Expecting '{' or '['</c:v>
                </c:pt>
                <c:pt idx="29">
                  <c:v>error:decode_json_crv: Error parsing JSON:_x000d_
error_x000d_
^_x000d_
Expecting '{' or '['</c:v>
                </c:pt>
                <c:pt idx="30">
                  <c:v>error:decode_json_crv: Error parsing JSON:_x000d_
error_x000d_
^_x000d_
Expecting '{' or '['</c:v>
                </c:pt>
                <c:pt idx="31">
                  <c:v>error:decode_json_crv: Error parsing JSON:_x000d_
error_x000d_
^_x000d_
Expecting '{' or '['</c:v>
                </c:pt>
                <c:pt idx="32">
                  <c:v>error:decode_json_crv: Error parsing JSON:_x000d_
error_x000d_
^_x000d_
Expecting '{' or '['</c:v>
                </c:pt>
                <c:pt idx="33">
                  <c:v>error:decode_json_crv: Error parsing JSON:_x000d_
error_x000d_
^_x000d_
Expecting '{' or '['</c:v>
                </c:pt>
                <c:pt idx="34">
                  <c:v>error:decode_json_crv: Error parsing JSON:_x000d_
error_x000d_
^_x000d_
Expecting '{' or '['</c:v>
                </c:pt>
              </c:strCache>
            </c:strRef>
          </c:xVal>
          <c:yVal>
            <c:numRef>
              <c:f>exercise_pipeline!$AB$90:$AB$124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39704"/>
        <c:axId val="276330688"/>
      </c:scatterChart>
      <c:valAx>
        <c:axId val="2763397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0688"/>
        <c:crosses val="autoZero"/>
        <c:crossBetween val="midCat"/>
      </c:valAx>
      <c:valAx>
        <c:axId val="2763306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exercise_pipeline!$C$90:$C$124</c:f>
              <c:numCache>
                <c:formatCode>0</c:formatCode>
                <c:ptCount val="35"/>
                <c:pt idx="0">
                  <c:v>90.73</c:v>
                </c:pt>
                <c:pt idx="1">
                  <c:v>99.959000000000003</c:v>
                </c:pt>
                <c:pt idx="2">
                  <c:v>109.182</c:v>
                </c:pt>
                <c:pt idx="3">
                  <c:v>118.4</c:v>
                </c:pt>
                <c:pt idx="4">
                  <c:v>127.61199999999999</c:v>
                </c:pt>
                <c:pt idx="5">
                  <c:v>136.81899999999999</c:v>
                </c:pt>
                <c:pt idx="6">
                  <c:v>146.02099999999999</c:v>
                </c:pt>
                <c:pt idx="7">
                  <c:v>155.21700000000001</c:v>
                </c:pt>
                <c:pt idx="8">
                  <c:v>164.40799999999999</c:v>
                </c:pt>
                <c:pt idx="9">
                  <c:v>173.58199999999999</c:v>
                </c:pt>
                <c:pt idx="10">
                  <c:v>182.495</c:v>
                </c:pt>
                <c:pt idx="11">
                  <c:v>191.197</c:v>
                </c:pt>
                <c:pt idx="12">
                  <c:v>199.71299999999999</c:v>
                </c:pt>
                <c:pt idx="13">
                  <c:v>208.023</c:v>
                </c:pt>
                <c:pt idx="14">
                  <c:v>216.13</c:v>
                </c:pt>
                <c:pt idx="15">
                  <c:v>224.06899999999999</c:v>
                </c:pt>
                <c:pt idx="16">
                  <c:v>231.86699999999999</c:v>
                </c:pt>
                <c:pt idx="17">
                  <c:v>239.465</c:v>
                </c:pt>
                <c:pt idx="18">
                  <c:v>246.86500000000001</c:v>
                </c:pt>
                <c:pt idx="19">
                  <c:v>254.066</c:v>
                </c:pt>
                <c:pt idx="20">
                  <c:v>261.08300000000003</c:v>
                </c:pt>
                <c:pt idx="21">
                  <c:v>268.03899999999999</c:v>
                </c:pt>
                <c:pt idx="22">
                  <c:v>274.97800000000001</c:v>
                </c:pt>
                <c:pt idx="23">
                  <c:v>281.87700000000001</c:v>
                </c:pt>
                <c:pt idx="24">
                  <c:v>288.65499999999997</c:v>
                </c:pt>
                <c:pt idx="25">
                  <c:v>45.231999999999999</c:v>
                </c:pt>
                <c:pt idx="26">
                  <c:v>52.526000000000003</c:v>
                </c:pt>
                <c:pt idx="27">
                  <c:v>59.795000000000002</c:v>
                </c:pt>
                <c:pt idx="28">
                  <c:v>67.039000000000001</c:v>
                </c:pt>
                <c:pt idx="29">
                  <c:v>74.257000000000005</c:v>
                </c:pt>
                <c:pt idx="30">
                  <c:v>81.448999999999998</c:v>
                </c:pt>
                <c:pt idx="31">
                  <c:v>88.616</c:v>
                </c:pt>
                <c:pt idx="32">
                  <c:v>95.759</c:v>
                </c:pt>
                <c:pt idx="33">
                  <c:v>102.88200000000001</c:v>
                </c:pt>
                <c:pt idx="34">
                  <c:v>110</c:v>
                </c:pt>
              </c:numCache>
            </c:numRef>
          </c:xVal>
          <c:yVal>
            <c:numRef>
              <c:f>exercise_pipeline!$B$90:$B$124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EB-4470-AD52-7EC1DD7A043A}"/>
            </c:ext>
          </c:extLst>
        </c:ser>
        <c:ser>
          <c:idx val="1"/>
          <c:order val="1"/>
          <c:tx>
            <c:v>затруб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exercise_pipeline!$I$90:$I$114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11.4</c:v>
                </c:pt>
                <c:pt idx="13">
                  <c:v>11.504</c:v>
                </c:pt>
                <c:pt idx="14">
                  <c:v>11.506</c:v>
                </c:pt>
                <c:pt idx="15">
                  <c:v>11.606</c:v>
                </c:pt>
                <c:pt idx="16">
                  <c:v>11.705</c:v>
                </c:pt>
                <c:pt idx="17">
                  <c:v>11.744999999999999</c:v>
                </c:pt>
                <c:pt idx="18">
                  <c:v>14.362</c:v>
                </c:pt>
                <c:pt idx="19">
                  <c:v>19.129000000000001</c:v>
                </c:pt>
                <c:pt idx="20">
                  <c:v>22.393000000000001</c:v>
                </c:pt>
                <c:pt idx="21">
                  <c:v>24.780999999999999</c:v>
                </c:pt>
                <c:pt idx="22">
                  <c:v>31.510999999999999</c:v>
                </c:pt>
                <c:pt idx="23">
                  <c:v>38.341999999999999</c:v>
                </c:pt>
                <c:pt idx="24">
                  <c:v>45.231999999999999</c:v>
                </c:pt>
              </c:numCache>
            </c:numRef>
          </c:xVal>
          <c:yVal>
            <c:numRef>
              <c:f>exercise_pipeline!$H$90:$H$114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1428.5709999999999</c:v>
                </c:pt>
                <c:pt idx="13">
                  <c:v>1547.6189999999999</c:v>
                </c:pt>
                <c:pt idx="14">
                  <c:v>1550</c:v>
                </c:pt>
                <c:pt idx="15">
                  <c:v>1666.6669999999999</c:v>
                </c:pt>
                <c:pt idx="16">
                  <c:v>1785.7139999999999</c:v>
                </c:pt>
                <c:pt idx="17">
                  <c:v>1834.4079999999999</c:v>
                </c:pt>
                <c:pt idx="18">
                  <c:v>1904.7619999999999</c:v>
                </c:pt>
                <c:pt idx="19">
                  <c:v>2023.81</c:v>
                </c:pt>
                <c:pt idx="20">
                  <c:v>2100</c:v>
                </c:pt>
                <c:pt idx="21">
                  <c:v>2142.857</c:v>
                </c:pt>
                <c:pt idx="22">
                  <c:v>2261.9050000000002</c:v>
                </c:pt>
                <c:pt idx="23">
                  <c:v>2380.9520000000002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EB-4470-AD52-7EC1DD7A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2744"/>
        <c:axId val="268240392"/>
      </c:scatterChart>
      <c:valAx>
        <c:axId val="2682427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0392"/>
        <c:crosses val="autoZero"/>
        <c:crossBetween val="midCat"/>
      </c:valAx>
      <c:valAx>
        <c:axId val="268240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2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11206</xdr:colOff>
      <xdr:row>0</xdr:row>
      <xdr:rowOff>56030</xdr:rowOff>
    </xdr:from>
    <xdr:to>
      <xdr:col>14</xdr:col>
      <xdr:colOff>381451</xdr:colOff>
      <xdr:row>8</xdr:row>
      <xdr:rowOff>95250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238751" y="56030"/>
          <a:ext cx="5356862" cy="147357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0</xdr:col>
      <xdr:colOff>191949</xdr:colOff>
      <xdr:row>92</xdr:row>
      <xdr:rowOff>78888</xdr:rowOff>
    </xdr:from>
    <xdr:to>
      <xdr:col>4</xdr:col>
      <xdr:colOff>423906</xdr:colOff>
      <xdr:row>118</xdr:row>
      <xdr:rowOff>116988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112058</xdr:colOff>
      <xdr:row>61</xdr:row>
      <xdr:rowOff>142875</xdr:rowOff>
    </xdr:from>
    <xdr:to>
      <xdr:col>17</xdr:col>
      <xdr:colOff>423874</xdr:colOff>
      <xdr:row>65</xdr:row>
      <xdr:rowOff>145679</xdr:rowOff>
    </xdr:to>
    <xdr:sp macro="" textlink="">
      <xdr:nvSpPr>
        <xdr:cNvPr id="4" name="Callout: Down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189383" y="13211175"/>
          <a:ext cx="3597941" cy="764804"/>
        </a:xfrm>
        <a:prstGeom prst="downArrowCallou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сверху вниз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669164</xdr:colOff>
      <xdr:row>61</xdr:row>
      <xdr:rowOff>153865</xdr:rowOff>
    </xdr:from>
    <xdr:to>
      <xdr:col>9</xdr:col>
      <xdr:colOff>68431</xdr:colOff>
      <xdr:row>65</xdr:row>
      <xdr:rowOff>129467</xdr:rowOff>
    </xdr:to>
    <xdr:sp macro="" textlink="">
      <xdr:nvSpPr>
        <xdr:cNvPr id="21" name="Callout: Down Arrow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266433" y="13225096"/>
          <a:ext cx="3985921" cy="737602"/>
        </a:xfrm>
        <a:prstGeom prst="down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снизу вверх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62</xdr:row>
          <xdr:rowOff>28575</xdr:rowOff>
        </xdr:from>
        <xdr:to>
          <xdr:col>12</xdr:col>
          <xdr:colOff>257175</xdr:colOff>
          <xdr:row>64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533141</xdr:colOff>
      <xdr:row>92</xdr:row>
      <xdr:rowOff>63356</xdr:rowOff>
    </xdr:from>
    <xdr:to>
      <xdr:col>9</xdr:col>
      <xdr:colOff>453238</xdr:colOff>
      <xdr:row>118</xdr:row>
      <xdr:rowOff>101456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293078</xdr:colOff>
      <xdr:row>92</xdr:row>
      <xdr:rowOff>52166</xdr:rowOff>
    </xdr:from>
    <xdr:to>
      <xdr:col>16</xdr:col>
      <xdr:colOff>395055</xdr:colOff>
      <xdr:row>118</xdr:row>
      <xdr:rowOff>90266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468305</xdr:colOff>
      <xdr:row>92</xdr:row>
      <xdr:rowOff>65941</xdr:rowOff>
    </xdr:from>
    <xdr:to>
      <xdr:col>21</xdr:col>
      <xdr:colOff>329787</xdr:colOff>
      <xdr:row>118</xdr:row>
      <xdr:rowOff>104041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578826</xdr:colOff>
      <xdr:row>61</xdr:row>
      <xdr:rowOff>95249</xdr:rowOff>
    </xdr:from>
    <xdr:to>
      <xdr:col>29</xdr:col>
      <xdr:colOff>531623</xdr:colOff>
      <xdr:row>65</xdr:row>
      <xdr:rowOff>102576</xdr:rowOff>
    </xdr:to>
    <xdr:sp macro="" textlink="">
      <xdr:nvSpPr>
        <xdr:cNvPr id="27" name="Callout: Down Arrow 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628451" y="13163549"/>
          <a:ext cx="3610397" cy="769327"/>
        </a:xfrm>
        <a:prstGeom prst="downArrowCallou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solidFill>
                <a:srgbClr val="FF0000"/>
              </a:solidFill>
            </a:rPr>
            <a:t>Результат</a:t>
          </a:r>
          <a:r>
            <a:rPr lang="ru-RU" sz="1100" baseline="0">
              <a:solidFill>
                <a:srgbClr val="FF0000"/>
              </a:solidFill>
            </a:rPr>
            <a:t> калибровки по ЭЦН для модели</a:t>
          </a:r>
          <a:r>
            <a:rPr lang="en-US" sz="1100" baseline="0">
              <a:solidFill>
                <a:srgbClr val="FF0000"/>
              </a:solidFill>
            </a:rPr>
            <a:t> (</a:t>
          </a:r>
          <a:r>
            <a:rPr lang="ru-RU" sz="1100" baseline="0">
              <a:solidFill>
                <a:srgbClr val="FF0000"/>
              </a:solidFill>
            </a:rPr>
            <a:t>временно отключено</a:t>
          </a:r>
          <a:r>
            <a:rPr lang="en-US" sz="1100" baseline="0">
              <a:solidFill>
                <a:srgbClr val="FF0000"/>
              </a:solidFill>
            </a:rPr>
            <a:t>)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505557</xdr:colOff>
      <xdr:row>92</xdr:row>
      <xdr:rowOff>7326</xdr:rowOff>
    </xdr:from>
    <xdr:to>
      <xdr:col>28</xdr:col>
      <xdr:colOff>21380</xdr:colOff>
      <xdr:row>118</xdr:row>
      <xdr:rowOff>45426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138592</xdr:colOff>
      <xdr:row>92</xdr:row>
      <xdr:rowOff>21101</xdr:rowOff>
    </xdr:from>
    <xdr:to>
      <xdr:col>33</xdr:col>
      <xdr:colOff>271170</xdr:colOff>
      <xdr:row>118</xdr:row>
      <xdr:rowOff>59201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653143</xdr:colOff>
      <xdr:row>33</xdr:row>
      <xdr:rowOff>326572</xdr:rowOff>
    </xdr:from>
    <xdr:to>
      <xdr:col>21</xdr:col>
      <xdr:colOff>514986</xdr:colOff>
      <xdr:row>59</xdr:row>
      <xdr:rowOff>146957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3182C09-6EDA-409B-91D6-E67A8793C5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json"/>
      <definedName name="encode_pipe"/>
      <definedName name="encode_PVT"/>
      <definedName name="encode_t_model"/>
      <definedName name="ESP_head_m"/>
      <definedName name="ESP_id_by_r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3"/>
  <dimension ref="A1:AF140"/>
  <sheetViews>
    <sheetView tabSelected="1" topLeftCell="A14" zoomScale="85" zoomScaleNormal="85" workbookViewId="0">
      <selection activeCell="M44" sqref="M44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0" max="10" width="13" customWidth="1"/>
    <col min="11" max="11" width="12" customWidth="1"/>
    <col min="14" max="14" width="11" bestFit="1" customWidth="1"/>
    <col min="15" max="15" width="15" customWidth="1"/>
    <col min="16" max="16" width="10.7109375" bestFit="1" customWidth="1"/>
    <col min="17" max="17" width="12.5703125" customWidth="1"/>
    <col min="18" max="20" width="9.28515625" bestFit="1" customWidth="1"/>
  </cols>
  <sheetData>
    <row r="1" spans="1:31" x14ac:dyDescent="0.25">
      <c r="A1" s="1" t="s">
        <v>0</v>
      </c>
      <c r="F1" t="s">
        <v>1</v>
      </c>
      <c r="G1" t="str">
        <f>[1]!unf_version()</f>
        <v>7.46</v>
      </c>
      <c r="H1" t="s">
        <v>47</v>
      </c>
      <c r="I1" s="20">
        <v>45041</v>
      </c>
      <c r="J1" s="21"/>
      <c r="K1" s="21"/>
      <c r="L1" s="21"/>
    </row>
    <row r="2" spans="1:31" x14ac:dyDescent="0.25">
      <c r="A2" t="s">
        <v>78</v>
      </c>
      <c r="H2" t="s">
        <v>48</v>
      </c>
      <c r="I2" s="22">
        <v>7.46</v>
      </c>
      <c r="J2" s="21"/>
      <c r="K2" s="21"/>
      <c r="L2" s="21"/>
      <c r="V2" s="50" t="s">
        <v>62</v>
      </c>
      <c r="W2" s="51"/>
      <c r="X2" s="3">
        <v>0</v>
      </c>
    </row>
    <row r="3" spans="1:31" x14ac:dyDescent="0.25">
      <c r="A3" s="23" t="s">
        <v>49</v>
      </c>
      <c r="B3" s="62"/>
      <c r="C3" s="63"/>
      <c r="D3" s="63"/>
      <c r="E3" s="64"/>
      <c r="H3" t="s">
        <v>50</v>
      </c>
      <c r="I3" s="21"/>
      <c r="J3" s="21"/>
      <c r="K3" s="21"/>
      <c r="L3" s="21"/>
      <c r="Q3" s="33" t="s">
        <v>77</v>
      </c>
      <c r="V3" s="50" t="s">
        <v>63</v>
      </c>
      <c r="W3" s="51"/>
      <c r="X3" s="3">
        <v>0</v>
      </c>
    </row>
    <row r="4" spans="1:31" x14ac:dyDescent="0.25">
      <c r="A4" s="23" t="s">
        <v>51</v>
      </c>
      <c r="B4" s="62" t="s">
        <v>52</v>
      </c>
      <c r="C4" s="63"/>
      <c r="D4" s="63"/>
      <c r="E4" s="64"/>
      <c r="H4" t="s">
        <v>53</v>
      </c>
      <c r="I4" s="21" t="s">
        <v>52</v>
      </c>
      <c r="J4" s="21"/>
      <c r="K4" s="21"/>
      <c r="L4" s="21"/>
      <c r="Q4" s="6" t="s">
        <v>74</v>
      </c>
      <c r="R4" s="35">
        <v>0</v>
      </c>
      <c r="V4" s="50" t="s">
        <v>64</v>
      </c>
      <c r="W4" s="51"/>
      <c r="X4" s="3">
        <v>0</v>
      </c>
    </row>
    <row r="5" spans="1:31" x14ac:dyDescent="0.25">
      <c r="A5" s="23" t="s">
        <v>54</v>
      </c>
      <c r="B5" s="62" t="s">
        <v>55</v>
      </c>
      <c r="C5" s="63"/>
      <c r="D5" s="63"/>
      <c r="E5" s="64"/>
      <c r="H5" t="s">
        <v>56</v>
      </c>
      <c r="I5" s="21" t="s">
        <v>55</v>
      </c>
      <c r="J5" s="21"/>
      <c r="K5" s="21"/>
      <c r="L5" s="21"/>
      <c r="Q5" s="6" t="s">
        <v>75</v>
      </c>
      <c r="R5" s="35">
        <v>0</v>
      </c>
      <c r="V5" s="50" t="s">
        <v>65</v>
      </c>
      <c r="W5" s="51"/>
      <c r="X5" s="3">
        <v>0</v>
      </c>
    </row>
    <row r="6" spans="1:31" x14ac:dyDescent="0.25">
      <c r="A6" s="24" t="s">
        <v>57</v>
      </c>
      <c r="B6" s="52" t="s">
        <v>58</v>
      </c>
      <c r="C6" s="53"/>
      <c r="D6" s="53"/>
      <c r="E6" s="54"/>
      <c r="H6" s="25" t="s">
        <v>59</v>
      </c>
      <c r="I6" s="26" t="s">
        <v>58</v>
      </c>
      <c r="J6" s="26"/>
      <c r="K6" s="26"/>
      <c r="L6" s="26"/>
      <c r="Q6" s="6" t="s">
        <v>76</v>
      </c>
      <c r="R6" s="35">
        <v>1</v>
      </c>
      <c r="V6" s="50" t="s">
        <v>69</v>
      </c>
      <c r="W6" s="51"/>
      <c r="X6" s="3">
        <v>0</v>
      </c>
    </row>
    <row r="7" spans="1:31" x14ac:dyDescent="0.25">
      <c r="A7" s="27"/>
      <c r="B7" s="55"/>
      <c r="C7" s="56"/>
      <c r="D7" s="56"/>
      <c r="E7" s="57"/>
      <c r="H7" s="25"/>
      <c r="I7" s="26"/>
      <c r="J7" s="26"/>
      <c r="K7" s="26"/>
      <c r="L7" s="26"/>
      <c r="Q7" s="21" t="str">
        <f t="array" ref="Q7">[1]!encode_json(Q4:R6)</f>
        <v>{"show_log":0,"num_value":0,"show_array":1}</v>
      </c>
      <c r="R7" s="21"/>
      <c r="V7" s="61" t="s">
        <v>66</v>
      </c>
      <c r="W7" s="61"/>
    </row>
    <row r="8" spans="1:31" x14ac:dyDescent="0.25">
      <c r="A8" s="28"/>
      <c r="B8" s="58"/>
      <c r="C8" s="59"/>
      <c r="D8" s="59"/>
      <c r="E8" s="60"/>
      <c r="H8" s="25"/>
      <c r="I8" s="26"/>
      <c r="J8" s="26"/>
      <c r="K8" s="26"/>
      <c r="L8" s="26"/>
      <c r="V8" s="50" t="s">
        <v>67</v>
      </c>
      <c r="W8" s="51"/>
      <c r="X8" s="3">
        <v>1</v>
      </c>
    </row>
    <row r="9" spans="1:31" x14ac:dyDescent="0.25">
      <c r="V9" s="50" t="s">
        <v>68</v>
      </c>
      <c r="W9" s="51"/>
      <c r="X9" s="3">
        <v>1</v>
      </c>
    </row>
    <row r="10" spans="1:31" x14ac:dyDescent="0.25">
      <c r="A10" s="1" t="s">
        <v>2</v>
      </c>
    </row>
    <row r="11" spans="1:31" ht="31.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  <c r="H11" s="11" t="s">
        <v>30</v>
      </c>
      <c r="I11" s="12" t="str">
        <f>[1]!encode_PVT(gamma_gas_,gamma_oil_,gamma_wat_,Rsb_,Pb_,Tres_,Bob_,muob_,PVT_corr_)</f>
        <v>{"gamma_gas":0.8,"gamma_oil":0.87,"gamma_wat":1,"rsb_m3m3":80,"pb_atma":120,"t_res_C":100,"bob_m3m3":1.2,"muob_cP":0.5,"PVT_corr_set":0}</v>
      </c>
      <c r="J11" s="12"/>
      <c r="K11" s="12"/>
      <c r="L11" s="12"/>
      <c r="M11" s="12"/>
      <c r="N11" s="12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9"/>
    </row>
    <row r="12" spans="1:31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  <c r="H12" s="11" t="s">
        <v>70</v>
      </c>
      <c r="I12" s="12" t="str">
        <f t="array" ref="I12">[1]!encode_feed(qliq_,fw_,Rp_,Qgas_free,PVTstr_)</f>
        <v>{"gamma_gas":0.8,"gamma_oil":0.87,"gamma_wat":1,"rsb_m3m3":80,"pb_atma":120,"t_res_C":100,"bob_m3m3":1.2,"muob_cP":0.5,"PVT_corr_set":0,"q_liq_sm3day":2,"fw_perc":40,"rp_m3m3":100}</v>
      </c>
      <c r="J12" s="12"/>
      <c r="K12" s="12"/>
      <c r="L12" s="12"/>
      <c r="M12" s="12"/>
      <c r="N12" s="12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9"/>
    </row>
    <row r="13" spans="1:31" ht="46.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  <c r="H13" s="11" t="s">
        <v>71</v>
      </c>
      <c r="I13" s="12" t="str">
        <f t="array" ref="I13">[1]!encode_t_model(temp_model,input_6,T0,T1_)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":200,"time_calc_hr":240,"t_list_C":{"hvert_m":[0,1000,2500],"t_C":[20,35,90]}}</v>
      </c>
      <c r="J13" s="12"/>
      <c r="K13" s="12"/>
      <c r="L13" s="12"/>
      <c r="M13" s="12"/>
      <c r="N13" s="12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9"/>
    </row>
    <row r="14" spans="1:31" ht="31.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  <c r="H14" s="11" t="s">
        <v>72</v>
      </c>
      <c r="I14" s="12" t="str">
        <f t="array" ref="I14">[1]!encode_pipe(B40:C52,H40:I42)</f>
        <v>{"h_list_m":{"hmes_m":[0,1000,1100,1200,1300,1400,1500,1600,1700,1800,1900,2000,2100],"hvert_m":[0,1000,1096,1191,1284,1375,1464,1551,1636,1719,1800,1879,1956]},"diam_list_mm":{"hmes_m":[0,1550,2100],"diam_int_mm":[62,63,125]}}</v>
      </c>
      <c r="J14" s="12"/>
      <c r="K14" s="12"/>
      <c r="L14" s="12"/>
      <c r="M14" s="12"/>
      <c r="N14" s="12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9"/>
    </row>
    <row r="15" spans="1:31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  <c r="H15" s="11" t="s">
        <v>91</v>
      </c>
      <c r="I15" s="12" t="str">
        <f>encode_ESP_pump(ESP_ID,ESP_head_nom,ESP_num_stages,ESP_freq,,,,Gas_model,Gas_stage_by_stage)</f>
        <v>{"ESP_ID":737,"head_nom_m":2500,"num_stages":431,"freq_Hz":50,"gas_correct_model":1,"gas_correct_stage_by_stage":1,"calibr_head":1,"calibr_power":1,"calibr_rate":1,"dnum_stages_integrate":1}</v>
      </c>
      <c r="J15" s="12"/>
      <c r="K15" s="12"/>
      <c r="L15" s="12"/>
      <c r="M15" s="12"/>
      <c r="N15" s="12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9"/>
    </row>
    <row r="16" spans="1:31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  <c r="H16" s="11" t="s">
        <v>96</v>
      </c>
      <c r="I16" s="12" t="str">
        <f>encode_ipr(Pres,PI_,Pb__,fw_)</f>
        <v>{"p_res_atma":250,"pi_m3dayatm":0.1,"pb_atma":120,"fw_perc":40}</v>
      </c>
      <c r="J16" s="12"/>
      <c r="K16" s="12"/>
      <c r="L16" s="12"/>
      <c r="M16" s="12"/>
      <c r="N16" s="12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9"/>
    </row>
    <row r="17" spans="1:21" ht="18.75" x14ac:dyDescent="0.35">
      <c r="B17" s="7" t="s">
        <v>17</v>
      </c>
      <c r="C17" s="3">
        <v>1.2</v>
      </c>
      <c r="D17" s="6" t="s">
        <v>8</v>
      </c>
    </row>
    <row r="18" spans="1:21" ht="18" x14ac:dyDescent="0.35">
      <c r="B18" s="9" t="s">
        <v>18</v>
      </c>
      <c r="C18" s="3">
        <v>0.5</v>
      </c>
      <c r="D18" s="4" t="s">
        <v>19</v>
      </c>
    </row>
    <row r="20" spans="1:21" x14ac:dyDescent="0.25">
      <c r="A20" s="1" t="s">
        <v>20</v>
      </c>
      <c r="I20" s="32" t="s">
        <v>79</v>
      </c>
      <c r="J20" s="10"/>
    </row>
    <row r="21" spans="1:21" ht="15.75" x14ac:dyDescent="0.3">
      <c r="B21" s="9" t="s">
        <v>21</v>
      </c>
      <c r="C21" s="3">
        <v>2</v>
      </c>
      <c r="D21" s="6" t="s">
        <v>22</v>
      </c>
      <c r="J21" s="9" t="s">
        <v>101</v>
      </c>
      <c r="K21" s="29">
        <v>6</v>
      </c>
      <c r="L21" s="6" t="s">
        <v>12</v>
      </c>
    </row>
    <row r="22" spans="1:21" ht="18.75" x14ac:dyDescent="0.35">
      <c r="B22" s="7" t="s">
        <v>10</v>
      </c>
      <c r="C22" s="3">
        <v>100</v>
      </c>
      <c r="D22" s="6" t="s">
        <v>8</v>
      </c>
      <c r="E22" s="8">
        <f>Rsb_/gamma_oil_</f>
        <v>91.954022988505741</v>
      </c>
      <c r="F22" s="6" t="s">
        <v>9</v>
      </c>
      <c r="J22" s="9" t="s">
        <v>102</v>
      </c>
      <c r="K22" s="29">
        <v>80</v>
      </c>
      <c r="L22" s="6" t="s">
        <v>12</v>
      </c>
      <c r="O22" s="13" t="s">
        <v>45</v>
      </c>
      <c r="P22" s="14"/>
      <c r="Q22" s="14"/>
    </row>
    <row r="23" spans="1:21" ht="15.75" x14ac:dyDescent="0.3">
      <c r="B23" s="9" t="s">
        <v>23</v>
      </c>
      <c r="C23" s="3">
        <v>40</v>
      </c>
      <c r="D23" s="4" t="s">
        <v>24</v>
      </c>
      <c r="J23" s="9" t="s">
        <v>100</v>
      </c>
      <c r="K23" s="29">
        <v>110</v>
      </c>
      <c r="L23" s="6" t="s">
        <v>12</v>
      </c>
      <c r="O23" s="30"/>
      <c r="P23" s="31" t="s">
        <v>73</v>
      </c>
      <c r="Q23" s="3">
        <v>1</v>
      </c>
    </row>
    <row r="24" spans="1:21" ht="18" x14ac:dyDescent="0.35">
      <c r="B24" s="9" t="s">
        <v>43</v>
      </c>
      <c r="C24" s="3">
        <v>0</v>
      </c>
      <c r="D24" s="6" t="s">
        <v>44</v>
      </c>
      <c r="J24" s="9" t="s">
        <v>27</v>
      </c>
      <c r="K24" s="3">
        <v>100</v>
      </c>
      <c r="L24" s="6" t="s">
        <v>28</v>
      </c>
      <c r="O24" s="30"/>
      <c r="P24" s="31" t="s">
        <v>42</v>
      </c>
      <c r="Q24" s="3">
        <v>2</v>
      </c>
    </row>
    <row r="25" spans="1:21" x14ac:dyDescent="0.25">
      <c r="J25" s="9" t="s">
        <v>29</v>
      </c>
      <c r="K25" s="3">
        <v>50</v>
      </c>
      <c r="L25" s="6" t="s">
        <v>28</v>
      </c>
    </row>
    <row r="26" spans="1:21" ht="18" customHeight="1" x14ac:dyDescent="0.25">
      <c r="I26" s="32" t="s">
        <v>82</v>
      </c>
      <c r="J26" s="10"/>
      <c r="N26" s="32" t="s">
        <v>92</v>
      </c>
      <c r="O26" s="10"/>
    </row>
    <row r="27" spans="1:21" ht="15.75" customHeight="1" x14ac:dyDescent="0.25">
      <c r="A27" s="33" t="s">
        <v>31</v>
      </c>
      <c r="B27" s="34"/>
      <c r="C27" s="34"/>
      <c r="D27" s="34"/>
      <c r="J27" s="9" t="s">
        <v>83</v>
      </c>
      <c r="K27" s="29">
        <v>125</v>
      </c>
      <c r="L27" s="6" t="s">
        <v>84</v>
      </c>
      <c r="O27" s="9" t="s">
        <v>93</v>
      </c>
      <c r="P27" s="29">
        <v>250</v>
      </c>
      <c r="Q27" s="6"/>
      <c r="T27" s="6" t="s">
        <v>106</v>
      </c>
      <c r="U27" s="35">
        <v>0</v>
      </c>
    </row>
    <row r="28" spans="1:21" ht="15" customHeight="1" x14ac:dyDescent="0.35">
      <c r="B28" s="6" t="s">
        <v>32</v>
      </c>
      <c r="C28" s="35">
        <v>3500</v>
      </c>
      <c r="D28" s="36" t="s">
        <v>25</v>
      </c>
      <c r="J28" s="9" t="s">
        <v>86</v>
      </c>
      <c r="K28" s="29">
        <v>2500</v>
      </c>
      <c r="L28" s="6" t="s">
        <v>87</v>
      </c>
      <c r="O28" s="9" t="s">
        <v>94</v>
      </c>
      <c r="P28" s="49">
        <v>0.1</v>
      </c>
      <c r="Q28" s="6"/>
      <c r="T28" s="6" t="s">
        <v>107</v>
      </c>
      <c r="U28" s="35">
        <v>130</v>
      </c>
    </row>
    <row r="29" spans="1:21" ht="15" customHeight="1" x14ac:dyDescent="0.35">
      <c r="B29" s="6" t="s">
        <v>33</v>
      </c>
      <c r="C29" s="35">
        <v>2500</v>
      </c>
      <c r="D29" s="36" t="s">
        <v>34</v>
      </c>
      <c r="J29" s="9" t="s">
        <v>85</v>
      </c>
      <c r="K29" s="9">
        <f t="array" ref="K29">[1]!ESP_id_by_rate(K27)</f>
        <v>737</v>
      </c>
      <c r="L29" s="6"/>
      <c r="N29" s="32"/>
      <c r="O29" s="9" t="s">
        <v>95</v>
      </c>
      <c r="P29" s="29">
        <f>Pb_</f>
        <v>120</v>
      </c>
      <c r="Q29" s="6"/>
      <c r="T29" s="6" t="s">
        <v>108</v>
      </c>
      <c r="U29" s="35">
        <v>93</v>
      </c>
    </row>
    <row r="30" spans="1:21" ht="18" x14ac:dyDescent="0.35">
      <c r="B30" s="6" t="s">
        <v>35</v>
      </c>
      <c r="C30" s="35">
        <v>140</v>
      </c>
      <c r="D30" s="36" t="s">
        <v>26</v>
      </c>
      <c r="J30" s="9" t="s">
        <v>88</v>
      </c>
      <c r="K30" s="9">
        <f t="array" ref="K30">TRUNC(K28/[1]!ESP_head_m(K27,1,,K29))</f>
        <v>431</v>
      </c>
      <c r="L30" s="6" t="s">
        <v>90</v>
      </c>
      <c r="T30" s="6" t="s">
        <v>109</v>
      </c>
      <c r="U30" s="35">
        <v>2</v>
      </c>
    </row>
    <row r="31" spans="1:21" ht="15" customHeight="1" x14ac:dyDescent="0.35">
      <c r="B31" s="6" t="s">
        <v>36</v>
      </c>
      <c r="C31" s="35">
        <v>65</v>
      </c>
      <c r="D31" s="36" t="s">
        <v>26</v>
      </c>
      <c r="J31" s="9" t="s">
        <v>89</v>
      </c>
      <c r="K31" s="29">
        <v>50</v>
      </c>
      <c r="L31" s="6" t="s">
        <v>98</v>
      </c>
      <c r="T31" s="6" t="s">
        <v>110</v>
      </c>
      <c r="U31" s="35">
        <v>1</v>
      </c>
    </row>
    <row r="32" spans="1:21" ht="15" customHeight="1" x14ac:dyDescent="0.35">
      <c r="B32" s="6" t="s">
        <v>37</v>
      </c>
      <c r="C32" s="35">
        <v>12</v>
      </c>
      <c r="D32" s="36" t="s">
        <v>26</v>
      </c>
      <c r="I32" s="43" t="s">
        <v>60</v>
      </c>
      <c r="J32" s="9" t="s">
        <v>61</v>
      </c>
      <c r="K32" s="3">
        <v>0</v>
      </c>
      <c r="L32" s="6"/>
    </row>
    <row r="33" spans="2:16" x14ac:dyDescent="0.25">
      <c r="J33" s="9" t="s">
        <v>103</v>
      </c>
      <c r="K33" s="3">
        <v>1</v>
      </c>
      <c r="L33" s="6"/>
      <c r="N33" t="s">
        <v>105</v>
      </c>
    </row>
    <row r="34" spans="2:16" ht="30" x14ac:dyDescent="0.25">
      <c r="J34" s="9" t="s">
        <v>104</v>
      </c>
      <c r="K34" s="3">
        <v>1</v>
      </c>
      <c r="L34" s="6"/>
      <c r="O34" s="9" t="s">
        <v>97</v>
      </c>
      <c r="P34" s="3">
        <v>60</v>
      </c>
    </row>
    <row r="36" spans="2:16" x14ac:dyDescent="0.25">
      <c r="G36" s="10"/>
    </row>
    <row r="37" spans="2:16" x14ac:dyDescent="0.25">
      <c r="B37" s="34" t="s">
        <v>38</v>
      </c>
      <c r="C37" s="34"/>
      <c r="E37" t="s">
        <v>46</v>
      </c>
      <c r="G37" s="10"/>
      <c r="H37" t="s">
        <v>80</v>
      </c>
      <c r="I37" s="10"/>
    </row>
    <row r="38" spans="2:16" ht="18" x14ac:dyDescent="0.35">
      <c r="B38" s="17" t="s">
        <v>39</v>
      </c>
      <c r="C38" s="17" t="s">
        <v>40</v>
      </c>
      <c r="E38" s="17" t="s">
        <v>40</v>
      </c>
      <c r="F38" s="17" t="s">
        <v>41</v>
      </c>
      <c r="G38" s="10"/>
      <c r="H38" s="17" t="s">
        <v>39</v>
      </c>
      <c r="I38" s="15" t="s">
        <v>81</v>
      </c>
    </row>
    <row r="39" spans="2:16" x14ac:dyDescent="0.25">
      <c r="B39" s="17" t="s">
        <v>25</v>
      </c>
      <c r="C39" s="17" t="s">
        <v>25</v>
      </c>
      <c r="E39" s="17" t="s">
        <v>25</v>
      </c>
      <c r="F39" s="17" t="s">
        <v>34</v>
      </c>
      <c r="G39" s="10"/>
      <c r="H39" s="17" t="s">
        <v>25</v>
      </c>
      <c r="I39" s="17" t="s">
        <v>26</v>
      </c>
    </row>
    <row r="40" spans="2:16" x14ac:dyDescent="0.25">
      <c r="B40" s="16">
        <v>0</v>
      </c>
      <c r="C40" s="16">
        <v>0</v>
      </c>
      <c r="E40" s="39">
        <v>0</v>
      </c>
      <c r="F40" s="39">
        <v>20</v>
      </c>
      <c r="G40" s="10"/>
      <c r="H40" s="39">
        <v>0</v>
      </c>
      <c r="I40" s="40">
        <v>62</v>
      </c>
    </row>
    <row r="41" spans="2:16" x14ac:dyDescent="0.25">
      <c r="B41" s="16">
        <v>1000</v>
      </c>
      <c r="C41" s="16">
        <v>1000</v>
      </c>
      <c r="E41" s="39">
        <v>1000</v>
      </c>
      <c r="F41" s="39">
        <v>35</v>
      </c>
      <c r="G41" s="10"/>
      <c r="H41" s="39">
        <v>1550</v>
      </c>
      <c r="I41" s="40">
        <v>63</v>
      </c>
    </row>
    <row r="42" spans="2:16" x14ac:dyDescent="0.25">
      <c r="B42" s="16">
        <v>1100</v>
      </c>
      <c r="C42" s="16">
        <v>1096</v>
      </c>
      <c r="E42" s="39">
        <v>2500</v>
      </c>
      <c r="F42" s="39">
        <v>90</v>
      </c>
      <c r="G42" s="10"/>
      <c r="H42" s="39">
        <v>2500</v>
      </c>
      <c r="I42" s="40">
        <v>125</v>
      </c>
    </row>
    <row r="43" spans="2:16" x14ac:dyDescent="0.25">
      <c r="B43" s="16">
        <v>1200</v>
      </c>
      <c r="C43" s="16">
        <v>1191</v>
      </c>
      <c r="E43" s="39"/>
      <c r="F43" s="39"/>
      <c r="G43" s="10"/>
      <c r="H43" s="39"/>
      <c r="I43" s="39"/>
    </row>
    <row r="44" spans="2:16" x14ac:dyDescent="0.25">
      <c r="B44" s="16">
        <v>1300</v>
      </c>
      <c r="C44" s="16">
        <v>1284</v>
      </c>
      <c r="E44" s="39"/>
      <c r="F44" s="39"/>
      <c r="G44" s="10"/>
      <c r="H44" s="39"/>
      <c r="I44" s="39"/>
    </row>
    <row r="45" spans="2:16" x14ac:dyDescent="0.25">
      <c r="B45" s="16">
        <v>1400</v>
      </c>
      <c r="C45" s="16">
        <v>1375</v>
      </c>
      <c r="E45" s="39"/>
      <c r="F45" s="39"/>
      <c r="G45" s="10"/>
      <c r="H45" s="39"/>
      <c r="I45" s="39"/>
    </row>
    <row r="46" spans="2:16" x14ac:dyDescent="0.25">
      <c r="B46" s="16">
        <v>1500</v>
      </c>
      <c r="C46" s="16">
        <v>1464</v>
      </c>
      <c r="E46" s="39"/>
      <c r="F46" s="39"/>
      <c r="G46" s="10"/>
      <c r="H46" s="39"/>
      <c r="I46" s="39"/>
    </row>
    <row r="47" spans="2:16" x14ac:dyDescent="0.25">
      <c r="B47" s="16">
        <v>1600</v>
      </c>
      <c r="C47" s="16">
        <v>1551</v>
      </c>
      <c r="E47" s="39"/>
      <c r="F47" s="39"/>
      <c r="G47" s="10"/>
      <c r="H47" s="39"/>
      <c r="I47" s="39"/>
    </row>
    <row r="48" spans="2:16" x14ac:dyDescent="0.25">
      <c r="B48" s="16">
        <v>1700</v>
      </c>
      <c r="C48" s="16">
        <v>1636</v>
      </c>
      <c r="E48" s="39"/>
      <c r="F48" s="39"/>
      <c r="G48" s="10"/>
      <c r="H48" s="39"/>
      <c r="I48" s="39"/>
    </row>
    <row r="49" spans="2:31" x14ac:dyDescent="0.25">
      <c r="B49" s="16">
        <v>1800</v>
      </c>
      <c r="C49" s="16">
        <v>1719</v>
      </c>
      <c r="E49" s="39"/>
      <c r="F49" s="39"/>
      <c r="G49" s="10"/>
      <c r="H49" s="39"/>
      <c r="I49" s="39"/>
    </row>
    <row r="50" spans="2:31" x14ac:dyDescent="0.25">
      <c r="B50" s="16">
        <v>1900</v>
      </c>
      <c r="C50" s="16">
        <v>1800</v>
      </c>
      <c r="E50" s="39"/>
      <c r="F50" s="39"/>
      <c r="G50" s="10"/>
      <c r="H50" s="39"/>
      <c r="I50" s="39"/>
    </row>
    <row r="51" spans="2:31" x14ac:dyDescent="0.25">
      <c r="B51" s="16">
        <v>2000</v>
      </c>
      <c r="C51" s="16">
        <v>1879</v>
      </c>
      <c r="E51" s="39"/>
      <c r="F51" s="39"/>
      <c r="G51" s="10"/>
      <c r="H51" s="39"/>
      <c r="I51" s="39"/>
    </row>
    <row r="52" spans="2:31" x14ac:dyDescent="0.25">
      <c r="B52" s="16">
        <v>2100</v>
      </c>
      <c r="C52" s="16">
        <v>1956</v>
      </c>
      <c r="E52" s="39"/>
      <c r="F52" s="39"/>
      <c r="G52" s="10"/>
      <c r="H52" s="39"/>
      <c r="I52" s="39"/>
    </row>
    <row r="53" spans="2:31" x14ac:dyDescent="0.25">
      <c r="B53" s="16">
        <v>2200</v>
      </c>
      <c r="C53" s="16">
        <v>2031</v>
      </c>
      <c r="E53" s="39"/>
      <c r="F53" s="39"/>
      <c r="G53" s="10"/>
      <c r="H53" s="39"/>
      <c r="I53" s="39"/>
    </row>
    <row r="54" spans="2:31" x14ac:dyDescent="0.25">
      <c r="B54" s="16">
        <v>2300</v>
      </c>
      <c r="C54" s="16">
        <v>2104</v>
      </c>
      <c r="E54" s="39"/>
      <c r="F54" s="39"/>
      <c r="G54" s="10"/>
      <c r="H54" s="39"/>
      <c r="I54" s="39"/>
    </row>
    <row r="55" spans="2:31" x14ac:dyDescent="0.25">
      <c r="B55" s="16">
        <v>2400</v>
      </c>
      <c r="C55" s="16">
        <v>2175</v>
      </c>
      <c r="E55" s="39"/>
      <c r="F55" s="39"/>
      <c r="G55" s="10"/>
      <c r="H55" s="39"/>
      <c r="I55" s="39"/>
      <c r="AA55" s="37"/>
      <c r="AB55" s="37"/>
      <c r="AC55" s="38"/>
      <c r="AD55" s="38"/>
      <c r="AE55" s="37"/>
    </row>
    <row r="56" spans="2:31" x14ac:dyDescent="0.25">
      <c r="B56" s="16">
        <v>2500</v>
      </c>
      <c r="C56" s="16">
        <v>2244</v>
      </c>
      <c r="E56" s="39"/>
      <c r="F56" s="39"/>
      <c r="G56" s="10"/>
      <c r="H56" s="39"/>
      <c r="I56" s="39"/>
      <c r="AA56" s="37"/>
      <c r="AB56" s="37"/>
      <c r="AC56" s="38"/>
      <c r="AD56" s="38"/>
      <c r="AE56" s="37"/>
    </row>
    <row r="57" spans="2:31" x14ac:dyDescent="0.25">
      <c r="B57" s="16">
        <v>2600</v>
      </c>
      <c r="C57" s="16">
        <v>2311</v>
      </c>
      <c r="E57" s="39"/>
      <c r="F57" s="39"/>
      <c r="G57" s="10"/>
      <c r="H57" s="39"/>
      <c r="I57" s="39"/>
      <c r="AA57" s="37"/>
      <c r="AB57" s="37"/>
      <c r="AC57" s="38"/>
      <c r="AD57" s="38"/>
      <c r="AE57" s="37"/>
    </row>
    <row r="58" spans="2:31" x14ac:dyDescent="0.25">
      <c r="B58" s="16">
        <v>2700</v>
      </c>
      <c r="C58" s="16">
        <v>2376</v>
      </c>
      <c r="E58" s="39"/>
      <c r="F58" s="39"/>
      <c r="G58" s="10"/>
      <c r="H58" s="39"/>
      <c r="I58" s="39"/>
      <c r="AA58" s="37"/>
      <c r="AB58" s="37"/>
      <c r="AC58" s="38"/>
      <c r="AD58" s="38"/>
      <c r="AE58" s="37"/>
    </row>
    <row r="59" spans="2:31" x14ac:dyDescent="0.25">
      <c r="B59" s="16">
        <v>2800</v>
      </c>
      <c r="C59" s="16">
        <v>2439</v>
      </c>
      <c r="E59" s="39"/>
      <c r="F59" s="39"/>
      <c r="G59" s="10"/>
      <c r="H59" s="39"/>
      <c r="I59" s="39"/>
      <c r="AA59" s="37"/>
      <c r="AB59" s="37"/>
      <c r="AC59" s="38"/>
      <c r="AD59" s="38"/>
      <c r="AE59" s="37"/>
    </row>
    <row r="60" spans="2:31" x14ac:dyDescent="0.25">
      <c r="B60" s="16">
        <v>3500</v>
      </c>
      <c r="C60" s="16">
        <v>2500</v>
      </c>
      <c r="G60" s="10"/>
      <c r="AA60" s="37"/>
      <c r="AB60" s="37"/>
      <c r="AC60" s="38"/>
      <c r="AD60" s="38"/>
      <c r="AE60" s="37"/>
    </row>
    <row r="61" spans="2:31" x14ac:dyDescent="0.25">
      <c r="B61" s="16"/>
      <c r="C61" s="16"/>
      <c r="G61" s="10"/>
      <c r="AA61" s="37"/>
      <c r="AB61" s="37"/>
      <c r="AC61" s="38"/>
      <c r="AD61" s="38"/>
      <c r="AE61" s="37"/>
    </row>
    <row r="62" spans="2:31" x14ac:dyDescent="0.25">
      <c r="B62" s="16"/>
      <c r="C62" s="16"/>
      <c r="G62" s="10"/>
      <c r="AA62" s="37"/>
      <c r="AB62" s="37"/>
      <c r="AC62" s="38"/>
      <c r="AD62" s="38"/>
      <c r="AE62" s="37"/>
    </row>
    <row r="63" spans="2:31" x14ac:dyDescent="0.25">
      <c r="AA63" s="37"/>
      <c r="AB63" s="37"/>
      <c r="AC63" s="38"/>
      <c r="AD63" s="38"/>
      <c r="AE63" s="37"/>
    </row>
    <row r="64" spans="2:31" x14ac:dyDescent="0.25">
      <c r="AA64" s="37"/>
      <c r="AB64" s="37"/>
      <c r="AC64" s="38"/>
      <c r="AD64" s="38"/>
      <c r="AE64" s="37"/>
    </row>
    <row r="65" spans="2:31" x14ac:dyDescent="0.25">
      <c r="AA65" s="37"/>
      <c r="AB65" s="37"/>
      <c r="AC65" s="38"/>
      <c r="AD65" s="38"/>
      <c r="AE65" s="37"/>
    </row>
    <row r="66" spans="2:31" x14ac:dyDescent="0.25">
      <c r="AA66" s="37"/>
      <c r="AB66" s="37"/>
    </row>
    <row r="67" spans="2:31" x14ac:dyDescent="0.25">
      <c r="B67" s="44" t="s">
        <v>111</v>
      </c>
      <c r="C67" s="45"/>
      <c r="D67" s="45"/>
      <c r="E67" s="45"/>
      <c r="F67" s="45"/>
      <c r="G67" s="45"/>
      <c r="H67" t="s">
        <v>99</v>
      </c>
      <c r="I67" t="s">
        <v>99</v>
      </c>
      <c r="J67" t="s">
        <v>99</v>
      </c>
      <c r="K67" t="s">
        <v>99</v>
      </c>
      <c r="L67" t="s">
        <v>99</v>
      </c>
      <c r="M67" t="s">
        <v>99</v>
      </c>
      <c r="N67" s="46" t="s">
        <v>112</v>
      </c>
      <c r="O67" s="46"/>
      <c r="P67" s="46"/>
      <c r="Q67" s="46"/>
      <c r="R67" s="46"/>
      <c r="S67" s="46"/>
      <c r="T67" s="46"/>
      <c r="U67" t="s">
        <v>99</v>
      </c>
      <c r="Y67" s="47"/>
      <c r="Z67" s="48"/>
      <c r="AA67" s="48"/>
      <c r="AB67" s="48" t="s">
        <v>99</v>
      </c>
      <c r="AC67" s="48" t="s">
        <v>99</v>
      </c>
      <c r="AD67" s="48"/>
    </row>
    <row r="68" spans="2:31" x14ac:dyDescent="0.25">
      <c r="N68" s="37"/>
    </row>
    <row r="69" spans="2:31" x14ac:dyDescent="0.25">
      <c r="N69" s="37"/>
    </row>
    <row r="70" spans="2:31" x14ac:dyDescent="0.25">
      <c r="B70" s="45" t="str" cm="1">
        <f t="array" ref="B70:C85">decode_json(calc_from_pwf_)</f>
        <v>q_liq_sm3day</v>
      </c>
      <c r="C70" s="45" t="str">
        <v>13.98</v>
      </c>
      <c r="N70" s="46" t="str">
        <f t="array" ref="N70:O81">[1]!decode_json(calc_from_pwh_)</f>
        <v>q_liq_sm3day</v>
      </c>
      <c r="O70" s="46" t="str">
        <v>16.6</v>
      </c>
      <c r="Y70" s="48" t="str">
        <f t="array" ref="Y70:Z82">[1]!decode_json(calc_)</f>
        <v>error</v>
      </c>
      <c r="Z70" s="48" t="str">
        <v>error</v>
      </c>
    </row>
    <row r="71" spans="2:31" x14ac:dyDescent="0.25">
      <c r="B71" s="45" t="str">
        <v>p_wf_atma</v>
      </c>
      <c r="C71" s="45" t="str">
        <v>110</v>
      </c>
      <c r="N71" s="46" t="str">
        <v>p_wf_atma</v>
      </c>
      <c r="O71" s="46" t="str">
        <v>79.99</v>
      </c>
      <c r="Y71" s="48" t="str">
        <v>error</v>
      </c>
      <c r="Z71" s="48" t="str">
        <v>error</v>
      </c>
    </row>
    <row r="72" spans="2:31" x14ac:dyDescent="0.25">
      <c r="B72" s="45" t="str">
        <v>p_intake_atma</v>
      </c>
      <c r="C72" s="45" t="str">
        <v>45.23</v>
      </c>
      <c r="N72" s="46" t="str">
        <v>p_intake_atma</v>
      </c>
      <c r="O72" s="46" t="str">
        <v>14.8</v>
      </c>
      <c r="Y72" s="48" t="str">
        <v>error</v>
      </c>
      <c r="Z72" s="48" t="str">
        <v>error</v>
      </c>
    </row>
    <row r="73" spans="2:31" x14ac:dyDescent="0.25">
      <c r="B73" s="45" t="str">
        <v>p_dis_atma</v>
      </c>
      <c r="C73" s="45" t="str">
        <v>288.66</v>
      </c>
      <c r="N73" s="46" t="str">
        <v>p_dis_atma</v>
      </c>
      <c r="O73" s="46" t="str">
        <v>201.86</v>
      </c>
      <c r="Y73" s="48" t="str">
        <v>error</v>
      </c>
      <c r="Z73" s="48" t="str">
        <v>error</v>
      </c>
    </row>
    <row r="74" spans="2:31" x14ac:dyDescent="0.25">
      <c r="B74" s="45" t="str">
        <v>p_buf_atma</v>
      </c>
      <c r="C74" s="45" t="str">
        <v>90.73</v>
      </c>
      <c r="N74" s="46" t="str">
        <v>p_buf_atma</v>
      </c>
      <c r="O74" s="46" t="str">
        <v>4.09</v>
      </c>
      <c r="Y74" s="48" t="str">
        <v>error</v>
      </c>
      <c r="Z74" s="48" t="str">
        <v>error</v>
      </c>
    </row>
    <row r="75" spans="2:31" x14ac:dyDescent="0.25">
      <c r="B75" s="45" t="str">
        <v>h_crit_m</v>
      </c>
      <c r="C75" s="45" t="str">
        <v>1676.45279101446</v>
      </c>
      <c r="N75" s="46" t="str">
        <v>h_crit_m</v>
      </c>
      <c r="O75" s="46" t="str">
        <v>1662.12591024097</v>
      </c>
      <c r="Y75" s="48" t="str">
        <v>error</v>
      </c>
      <c r="Z75" s="48" t="str">
        <v>error</v>
      </c>
    </row>
    <row r="76" spans="2:31" x14ac:dyDescent="0.25">
      <c r="B76" s="45" t="str">
        <v>c_P</v>
      </c>
      <c r="C76" s="45" t="str">
        <v>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[90.73,99.959,109.182,118.4,127.612,136.819,146.021,155.217,164.408,173.582,182.495,191.197,199.713,208.023,216.13,224.069,231.867,239.465,246.865,254.066,261.083,268.039,274.978,281.877,288.655,45.232,52.526,59.795,67.039,74.257,81.449,88.616,95.759,102.882,110]}</v>
      </c>
      <c r="N76" s="46" t="str">
        <v>c_P</v>
      </c>
      <c r="O76" s="46" t="str">
        <v>{"curve_x":"h_mes,m","curve_y":"p,atma","h_mes,m":[0,104.167,208.333,312.5,416.667,520.833,625,729.167,833.333,937.5,1041.667,1145.833,1250,1354.167,1458.333,1562.5,1666.667,1770.833,1875,1979.167,2083.333,2187.5,2291.667,2395.833,2500,2501,2612,2723,2834,2945,3056,3167,3278,3389,3500],"p,atma":[4.094,12.959,22.136,31.36,40.592,49.816,59.033,68.245,77.449,86.636,95.56,104.273,112.799,121.119,129.236,137.184,144.991,152.598,160.006,167.216,174.241,181.203,188.147,195.053,201.864,14.8,22.134,29.445,36.733,43.996,51.235,58.45,65.642,72.817,79.988]}</v>
      </c>
      <c r="Y76" s="48" t="str">
        <v>error</v>
      </c>
      <c r="Z76" s="48" t="str">
        <v>error</v>
      </c>
    </row>
    <row r="77" spans="2:31" x14ac:dyDescent="0.25">
      <c r="B77" s="45" t="str">
        <v>c_T</v>
      </c>
      <c r="C77" s="45" t="str">
        <v>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[21.159,22.723,24.287,25.851,27.416,28.982,30.556,32.158,33.865,35.967,39.205,42.817,46.357,49.815,53.191,56.484,59.704,62.851,65.94,69.028,72.319,76.475,83.746,101.916,156.356,83.798,86.933,90.067,93.198,96.32,99.408,102.361,104.828,105.539,100]}</v>
      </c>
      <c r="N77" s="46" t="str">
        <v>c_T</v>
      </c>
      <c r="O77" s="46" t="str">
        <v>{"curve_x":"h_mes,m","curve_y":"t,C","h_mes,m":[0,104.167,208.333,312.5,416.667,520.833,625,729.167,833.333,937.5,1041.667,1145.833,1250,1354.167,1458.333,1562.5,1666.667,1770.833,1875,1979.167,2083.333,2187.5,2291.667,2395.833,2500,2501,2612,2723,2834,2945,3056,3167,3278,3389,3500],"t,C":[21.405,22.948,24.5,26.061,27.628,29.199,30.786,32.419,34.195,36.41,39.691,43.295,46.825,50.272,53.639,56.924,60.14,63.291,66.406,69.574,73.054,77.554,85.072,101.297,141.749,84.261,87.397,90.531,93.657,96.761,99.795,102.617,104.807,105.134,100]}</v>
      </c>
      <c r="Y77" s="48" t="str">
        <v>error</v>
      </c>
      <c r="Z77" s="48" t="str">
        <v>error</v>
      </c>
    </row>
    <row r="78" spans="2:31" x14ac:dyDescent="0.25">
      <c r="B78" s="45" t="str">
        <v>c_cas_P</v>
      </c>
      <c r="C78" s="45" t="str">
        <v>{"curve_x":"h_mes,m","curve_y":"p,atma","h_mes,m":[0,119.048,238.095,357.143,476.19,595.238,714.286,833.333,952.381,1071.429,1190.476,1309.524,1428.571,1547.619,1550,1666.667,1785.714,1834.408,1904.762,2023.81,2100,2142.857,2261.905,2380.952,2500],"p,atma":[10,10.117,10.234,10.352,10.47,10.59,10.709,10.83,10.95,11.067,11.181,11.292,11.4,11.504,11.506,11.606,11.705,11.745,14.362,19.129,22.393,24.781,31.511,38.342,45.232]}</v>
      </c>
      <c r="N78" s="46" t="str">
        <v>c_cas_P</v>
      </c>
      <c r="O78" s="46" t="str">
        <v>{"curve_x":"h_mes,m","curve_y":"p,atma","h_mes,m":[0,119.048,238.095,357.143,476.19,595.238,714.286,833.333,952.381,1071.429,1190.476,1309.524,1428.571,1547.619,1550,1666.667,1785.714,1904.762,2023.81,2100,2142.857,2261.905,2380.952,2448.16,2500],"p,atma":[10,10.117,10.234,10.352,10.47,10.59,10.709,10.83,10.95,11.067,11.181,11.292,11.4,11.504,11.506,11.606,11.705,11.801,11.894,11.952,11.984,12.075,12.165,12.215,14.8]}</v>
      </c>
      <c r="Y78" s="48" t="str">
        <v>error</v>
      </c>
      <c r="Z78" s="48" t="str">
        <v>error</v>
      </c>
    </row>
    <row r="79" spans="2:31" x14ac:dyDescent="0.25">
      <c r="B79" s="45" t="str">
        <v>h_dyn_m</v>
      </c>
      <c r="C79" s="45" t="str">
        <v>1834.41</v>
      </c>
      <c r="N79" s="46" t="str">
        <v>h_dyn_m</v>
      </c>
      <c r="O79" s="46" t="str">
        <v>2448.16</v>
      </c>
      <c r="Y79" s="48" t="str">
        <v>error</v>
      </c>
      <c r="Z79" s="48" t="str">
        <v>error</v>
      </c>
    </row>
    <row r="80" spans="2:31" x14ac:dyDescent="0.25">
      <c r="B80" s="45" t="str">
        <v>gas_fraction at pump</v>
      </c>
      <c r="C80" s="45" t="str">
        <v>0.0848</v>
      </c>
      <c r="N80" s="46" t="str">
        <v>gas_fraction at pump</v>
      </c>
      <c r="O80" s="46" t="str">
        <v>0.3657</v>
      </c>
      <c r="Y80" s="48" t="str">
        <v>error</v>
      </c>
      <c r="Z80" s="48" t="str">
        <v>error</v>
      </c>
    </row>
    <row r="81" spans="2:32" x14ac:dyDescent="0.25">
      <c r="B81" s="45" t="str">
        <v>q_gas_cas_sm3day</v>
      </c>
      <c r="C81" s="45" t="str">
        <v>561.77</v>
      </c>
      <c r="N81" s="46" t="str">
        <v>q_gas_cas_sm3day</v>
      </c>
      <c r="O81" s="46" t="str">
        <v>803.29</v>
      </c>
      <c r="Y81" s="48" t="str">
        <v>error</v>
      </c>
      <c r="Z81" s="48" t="str">
        <v>error</v>
      </c>
    </row>
    <row r="82" spans="2:32" x14ac:dyDescent="0.25">
      <c r="B82" t="str">
        <v>ksep</v>
      </c>
      <c r="C82" t="str">
        <v>0.91</v>
      </c>
      <c r="N82" s="37"/>
      <c r="Y82" s="48" t="str">
        <v>error</v>
      </c>
      <c r="Z82" s="48" t="str">
        <v>error</v>
      </c>
    </row>
    <row r="83" spans="2:32" x14ac:dyDescent="0.25">
      <c r="B83" t="str">
        <v>t_intake_C</v>
      </c>
      <c r="C83" t="str">
        <v>83.8</v>
      </c>
      <c r="N83" s="37"/>
      <c r="Y83" s="48"/>
      <c r="Z83" s="48"/>
    </row>
    <row r="84" spans="2:32" x14ac:dyDescent="0.25">
      <c r="B84" t="str">
        <v>t_dis_C</v>
      </c>
      <c r="C84" t="str">
        <v>156.36</v>
      </c>
      <c r="N84" s="37"/>
      <c r="Y84" s="48"/>
      <c r="Z84" s="48"/>
    </row>
    <row r="85" spans="2:32" x14ac:dyDescent="0.25">
      <c r="B85" t="str">
        <v>q_liq_esp_sm3day</v>
      </c>
      <c r="C85" t="str">
        <v>13.98</v>
      </c>
      <c r="N85" s="37"/>
      <c r="Y85" s="48"/>
      <c r="Z85" s="48"/>
    </row>
    <row r="86" spans="2:32" x14ac:dyDescent="0.25">
      <c r="N86" s="37"/>
    </row>
    <row r="87" spans="2:32" x14ac:dyDescent="0.25">
      <c r="N87" s="37"/>
    </row>
    <row r="88" spans="2:32" x14ac:dyDescent="0.25">
      <c r="N88" s="37"/>
    </row>
    <row r="89" spans="2:32" x14ac:dyDescent="0.25">
      <c r="B89" s="42" t="str">
        <f t="array" ref="B89:C124">[1]!decode_json_crv(C76)</f>
        <v>h_mes,m</v>
      </c>
      <c r="C89" s="42" t="str">
        <v>p,atma</v>
      </c>
      <c r="D89" s="42"/>
      <c r="E89" s="42" t="str">
        <f t="array" ref="E89:F124">[1]!decode_json_crv(C77)</f>
        <v>h_mes,m</v>
      </c>
      <c r="F89" s="42" t="str">
        <v>t,C</v>
      </c>
      <c r="G89" s="42"/>
      <c r="H89" s="42" t="str">
        <f t="array" ref="H89:I114">[1]!decode_json_crv(C78)</f>
        <v>h_mes,m</v>
      </c>
      <c r="I89" s="42" t="str">
        <v>p,atma</v>
      </c>
      <c r="N89" s="37" t="str">
        <f t="array" ref="N89:O124">[1]!decode_json_crv(O76)</f>
        <v>h_mes,m</v>
      </c>
      <c r="O89" t="str">
        <v>p,atma</v>
      </c>
      <c r="Q89" t="str">
        <f t="array" ref="Q89:R124">[1]!decode_json_crv(O77)</f>
        <v>h_mes,m</v>
      </c>
      <c r="R89" t="str">
        <v>t,C</v>
      </c>
      <c r="T89" t="str">
        <f t="array" ref="T89:U114">[1]!decode_json_crv(O78)</f>
        <v>h_mes,m</v>
      </c>
      <c r="U89" t="str">
        <v>p,atma</v>
      </c>
      <c r="Y89" t="str">
        <f t="array" ref="Y89:Z124">[1]!decode_json_crv(Z76)</f>
        <v>error:decode_json_crv: Error parsing JSON:_x000D_
error_x000D_
^_x000D_
Expecting '{' or '['</v>
      </c>
      <c r="Z89" t="str">
        <v>error:decode_json_crv: Error parsing JSON:_x000D_
error_x000D_
^_x000D_
Expecting '{' or '['</v>
      </c>
      <c r="AB89" t="str">
        <f t="array" ref="AB89:AC124">[1]!decode_json_crv(Z77)</f>
        <v>error:decode_json_crv: Error parsing JSON:_x000D_
error_x000D_
^_x000D_
Expecting '{' or '['</v>
      </c>
      <c r="AC89" t="str">
        <v>error:decode_json_crv: Error parsing JSON:_x000D_
error_x000D_
^_x000D_
Expecting '{' or '['</v>
      </c>
      <c r="AE89" t="str">
        <f t="array" ref="AE89:AF114">[1]!decode_json_crv(Z78)</f>
        <v>error:decode_json_crv: Error parsing JSON:_x000D_
error_x000D_
^_x000D_
Expecting '{' or '['</v>
      </c>
      <c r="AF89" t="str">
        <v>error:decode_json_crv: Error parsing JSON:_x000D_
error_x000D_
^_x000D_
Expecting '{' or '['</v>
      </c>
    </row>
    <row r="90" spans="2:32" x14ac:dyDescent="0.25">
      <c r="B90" s="38">
        <v>0</v>
      </c>
      <c r="C90" s="38">
        <v>90.73</v>
      </c>
      <c r="E90" s="38">
        <v>0</v>
      </c>
      <c r="F90" s="38">
        <v>21.158999999999999</v>
      </c>
      <c r="H90" s="38">
        <v>0</v>
      </c>
      <c r="I90" s="38">
        <v>10</v>
      </c>
      <c r="N90" s="37">
        <v>0</v>
      </c>
      <c r="O90" s="38">
        <v>4.0940000000000003</v>
      </c>
      <c r="Q90" s="37">
        <v>0</v>
      </c>
      <c r="R90" s="38">
        <v>21.405000000000001</v>
      </c>
      <c r="T90" s="37">
        <v>0</v>
      </c>
      <c r="U90" s="38">
        <v>10</v>
      </c>
      <c r="Y90" s="38" t="str">
        <v>error:decode_json_crv: Error parsing JSON:_x000D_
error_x000D_
^_x000D_
Expecting '{' or '['</v>
      </c>
      <c r="Z90" s="38" t="str">
        <v>error:decode_json_crv: Error parsing JSON:_x000D_
error_x000D_
^_x000D_
Expecting '{' or '['</v>
      </c>
      <c r="AB90" s="38" t="str">
        <v>error:decode_json_crv: Error parsing JSON:_x000D_
error_x000D_
^_x000D_
Expecting '{' or '['</v>
      </c>
      <c r="AC90" s="38" t="str">
        <v>error:decode_json_crv: Error parsing JSON:_x000D_
error_x000D_
^_x000D_
Expecting '{' or '['</v>
      </c>
      <c r="AE90" s="38" t="str">
        <v>error:decode_json_crv: Error parsing JSON:_x000D_
error_x000D_
^_x000D_
Expecting '{' or '['</v>
      </c>
      <c r="AF90" s="38" t="str">
        <v>error:decode_json_crv: Error parsing JSON:_x000D_
error_x000D_
^_x000D_
Expecting '{' or '['</v>
      </c>
    </row>
    <row r="91" spans="2:32" x14ac:dyDescent="0.25">
      <c r="B91" s="38">
        <v>104.167</v>
      </c>
      <c r="C91" s="38">
        <v>99.959000000000003</v>
      </c>
      <c r="E91" s="38">
        <v>104.167</v>
      </c>
      <c r="F91" s="38">
        <v>22.722999999999999</v>
      </c>
      <c r="H91" s="38">
        <v>119.048</v>
      </c>
      <c r="I91" s="38">
        <v>10.117000000000001</v>
      </c>
      <c r="N91" s="37">
        <v>104.167</v>
      </c>
      <c r="O91" s="38">
        <v>12.959</v>
      </c>
      <c r="Q91" s="37">
        <v>104.167</v>
      </c>
      <c r="R91" s="38">
        <v>22.948</v>
      </c>
      <c r="T91" s="37">
        <v>119.048</v>
      </c>
      <c r="U91" s="38">
        <v>10.117000000000001</v>
      </c>
      <c r="Y91" s="38" t="str">
        <v>error:decode_json_crv: Error parsing JSON:_x000D_
error_x000D_
^_x000D_
Expecting '{' or '['</v>
      </c>
      <c r="Z91" s="38" t="str">
        <v>error:decode_json_crv: Error parsing JSON:_x000D_
error_x000D_
^_x000D_
Expecting '{' or '['</v>
      </c>
      <c r="AB91" s="38" t="str">
        <v>error:decode_json_crv: Error parsing JSON:_x000D_
error_x000D_
^_x000D_
Expecting '{' or '['</v>
      </c>
      <c r="AC91" s="38" t="str">
        <v>error:decode_json_crv: Error parsing JSON:_x000D_
error_x000D_
^_x000D_
Expecting '{' or '['</v>
      </c>
      <c r="AE91" s="38" t="str">
        <v>error:decode_json_crv: Error parsing JSON:_x000D_
error_x000D_
^_x000D_
Expecting '{' or '['</v>
      </c>
      <c r="AF91" s="38" t="str">
        <v>error:decode_json_crv: Error parsing JSON:_x000D_
error_x000D_
^_x000D_
Expecting '{' or '['</v>
      </c>
    </row>
    <row r="92" spans="2:32" x14ac:dyDescent="0.25">
      <c r="B92" s="38">
        <v>208.333</v>
      </c>
      <c r="C92" s="38">
        <v>109.182</v>
      </c>
      <c r="E92" s="38">
        <v>208.333</v>
      </c>
      <c r="F92" s="38">
        <v>24.286999999999999</v>
      </c>
      <c r="H92" s="38">
        <v>238.095</v>
      </c>
      <c r="I92" s="38">
        <v>10.234</v>
      </c>
      <c r="N92" s="38">
        <v>208.333</v>
      </c>
      <c r="O92" s="38">
        <v>22.135999999999999</v>
      </c>
      <c r="Q92" s="38">
        <v>208.333</v>
      </c>
      <c r="R92" s="38">
        <v>24.5</v>
      </c>
      <c r="T92" s="38">
        <v>238.095</v>
      </c>
      <c r="U92" s="38">
        <v>10.234</v>
      </c>
      <c r="Y92" s="38" t="str">
        <v>error:decode_json_crv: Error parsing JSON:_x000D_
error_x000D_
^_x000D_
Expecting '{' or '['</v>
      </c>
      <c r="Z92" s="38" t="str">
        <v>error:decode_json_crv: Error parsing JSON:_x000D_
error_x000D_
^_x000D_
Expecting '{' or '['</v>
      </c>
      <c r="AB92" s="38" t="str">
        <v>error:decode_json_crv: Error parsing JSON:_x000D_
error_x000D_
^_x000D_
Expecting '{' or '['</v>
      </c>
      <c r="AC92" s="38" t="str">
        <v>error:decode_json_crv: Error parsing JSON:_x000D_
error_x000D_
^_x000D_
Expecting '{' or '['</v>
      </c>
      <c r="AE92" s="38" t="str">
        <v>error:decode_json_crv: Error parsing JSON:_x000D_
error_x000D_
^_x000D_
Expecting '{' or '['</v>
      </c>
      <c r="AF92" s="38" t="str">
        <v>error:decode_json_crv: Error parsing JSON:_x000D_
error_x000D_
^_x000D_
Expecting '{' or '['</v>
      </c>
    </row>
    <row r="93" spans="2:32" x14ac:dyDescent="0.25">
      <c r="B93" s="38">
        <v>312.5</v>
      </c>
      <c r="C93" s="38">
        <v>118.4</v>
      </c>
      <c r="E93" s="38">
        <v>312.5</v>
      </c>
      <c r="F93" s="38">
        <v>25.850999999999999</v>
      </c>
      <c r="H93" s="38">
        <v>357.14299999999997</v>
      </c>
      <c r="I93" s="38">
        <v>10.352</v>
      </c>
      <c r="N93" s="38">
        <v>312.5</v>
      </c>
      <c r="O93" s="38">
        <v>31.36</v>
      </c>
      <c r="Q93" s="38">
        <v>312.5</v>
      </c>
      <c r="R93" s="38">
        <v>26.061</v>
      </c>
      <c r="T93" s="38">
        <v>357.14299999999997</v>
      </c>
      <c r="U93" s="38">
        <v>10.352</v>
      </c>
      <c r="Y93" s="38" t="str">
        <v>error:decode_json_crv: Error parsing JSON:_x000D_
error_x000D_
^_x000D_
Expecting '{' or '['</v>
      </c>
      <c r="Z93" s="38" t="str">
        <v>error:decode_json_crv: Error parsing JSON:_x000D_
error_x000D_
^_x000D_
Expecting '{' or '['</v>
      </c>
      <c r="AB93" s="38" t="str">
        <v>error:decode_json_crv: Error parsing JSON:_x000D_
error_x000D_
^_x000D_
Expecting '{' or '['</v>
      </c>
      <c r="AC93" s="38" t="str">
        <v>error:decode_json_crv: Error parsing JSON:_x000D_
error_x000D_
^_x000D_
Expecting '{' or '['</v>
      </c>
      <c r="AE93" s="38" t="str">
        <v>error:decode_json_crv: Error parsing JSON:_x000D_
error_x000D_
^_x000D_
Expecting '{' or '['</v>
      </c>
      <c r="AF93" s="38" t="str">
        <v>error:decode_json_crv: Error parsing JSON:_x000D_
error_x000D_
^_x000D_
Expecting '{' or '['</v>
      </c>
    </row>
    <row r="94" spans="2:32" x14ac:dyDescent="0.25">
      <c r="B94" s="38">
        <v>416.66699999999997</v>
      </c>
      <c r="C94" s="38">
        <v>127.61199999999999</v>
      </c>
      <c r="E94" s="38">
        <v>416.66699999999997</v>
      </c>
      <c r="F94" s="38">
        <v>27.416</v>
      </c>
      <c r="H94" s="38">
        <v>476.19</v>
      </c>
      <c r="I94" s="38">
        <v>10.47</v>
      </c>
      <c r="N94" s="38">
        <v>416.66699999999997</v>
      </c>
      <c r="O94" s="38">
        <v>40.591999999999999</v>
      </c>
      <c r="Q94" s="38">
        <v>416.66699999999997</v>
      </c>
      <c r="R94" s="38">
        <v>27.628</v>
      </c>
      <c r="T94" s="38">
        <v>476.19</v>
      </c>
      <c r="U94" s="38">
        <v>10.47</v>
      </c>
      <c r="Y94" s="38" t="str">
        <v>error:decode_json_crv: Error parsing JSON:_x000D_
error_x000D_
^_x000D_
Expecting '{' or '['</v>
      </c>
      <c r="Z94" s="38" t="str">
        <v>error:decode_json_crv: Error parsing JSON:_x000D_
error_x000D_
^_x000D_
Expecting '{' or '['</v>
      </c>
      <c r="AB94" s="38" t="str">
        <v>error:decode_json_crv: Error parsing JSON:_x000D_
error_x000D_
^_x000D_
Expecting '{' or '['</v>
      </c>
      <c r="AC94" s="38" t="str">
        <v>error:decode_json_crv: Error parsing JSON:_x000D_
error_x000D_
^_x000D_
Expecting '{' or '['</v>
      </c>
      <c r="AE94" s="38" t="str">
        <v>error:decode_json_crv: Error parsing JSON:_x000D_
error_x000D_
^_x000D_
Expecting '{' or '['</v>
      </c>
      <c r="AF94" s="38" t="str">
        <v>error:decode_json_crv: Error parsing JSON:_x000D_
error_x000D_
^_x000D_
Expecting '{' or '['</v>
      </c>
    </row>
    <row r="95" spans="2:32" x14ac:dyDescent="0.25">
      <c r="B95" s="38">
        <v>520.83299999999997</v>
      </c>
      <c r="C95" s="38">
        <v>136.81899999999999</v>
      </c>
      <c r="E95" s="38">
        <v>520.83299999999997</v>
      </c>
      <c r="F95" s="38">
        <v>28.981999999999999</v>
      </c>
      <c r="H95" s="38">
        <v>595.23800000000006</v>
      </c>
      <c r="I95" s="38">
        <v>10.59</v>
      </c>
      <c r="N95" s="38">
        <v>520.83299999999997</v>
      </c>
      <c r="O95" s="38">
        <v>49.816000000000003</v>
      </c>
      <c r="Q95" s="38">
        <v>520.83299999999997</v>
      </c>
      <c r="R95" s="38">
        <v>29.199000000000002</v>
      </c>
      <c r="T95" s="38">
        <v>595.23800000000006</v>
      </c>
      <c r="U95" s="38">
        <v>10.59</v>
      </c>
      <c r="Y95" s="38" t="str">
        <v>error:decode_json_crv: Error parsing JSON:_x000D_
error_x000D_
^_x000D_
Expecting '{' or '['</v>
      </c>
      <c r="Z95" s="38" t="str">
        <v>error:decode_json_crv: Error parsing JSON:_x000D_
error_x000D_
^_x000D_
Expecting '{' or '['</v>
      </c>
      <c r="AB95" s="38" t="str">
        <v>error:decode_json_crv: Error parsing JSON:_x000D_
error_x000D_
^_x000D_
Expecting '{' or '['</v>
      </c>
      <c r="AC95" s="38" t="str">
        <v>error:decode_json_crv: Error parsing JSON:_x000D_
error_x000D_
^_x000D_
Expecting '{' or '['</v>
      </c>
      <c r="AE95" s="38" t="str">
        <v>error:decode_json_crv: Error parsing JSON:_x000D_
error_x000D_
^_x000D_
Expecting '{' or '['</v>
      </c>
      <c r="AF95" s="38" t="str">
        <v>error:decode_json_crv: Error parsing JSON:_x000D_
error_x000D_
^_x000D_
Expecting '{' or '['</v>
      </c>
    </row>
    <row r="96" spans="2:32" x14ac:dyDescent="0.25">
      <c r="B96" s="38">
        <v>625</v>
      </c>
      <c r="C96" s="38">
        <v>146.02099999999999</v>
      </c>
      <c r="E96" s="38">
        <v>625</v>
      </c>
      <c r="F96" s="38">
        <v>30.556000000000001</v>
      </c>
      <c r="H96" s="38">
        <v>714.28599999999994</v>
      </c>
      <c r="I96" s="38">
        <v>10.709</v>
      </c>
      <c r="N96" s="38">
        <v>625</v>
      </c>
      <c r="O96" s="38">
        <v>59.033000000000001</v>
      </c>
      <c r="Q96" s="38">
        <v>625</v>
      </c>
      <c r="R96" s="38">
        <v>30.786000000000001</v>
      </c>
      <c r="T96" s="38">
        <v>714.28599999999994</v>
      </c>
      <c r="U96" s="38">
        <v>10.709</v>
      </c>
      <c r="Y96" s="38" t="str">
        <v>error:decode_json_crv: Error parsing JSON:_x000D_
error_x000D_
^_x000D_
Expecting '{' or '['</v>
      </c>
      <c r="Z96" s="38" t="str">
        <v>error:decode_json_crv: Error parsing JSON:_x000D_
error_x000D_
^_x000D_
Expecting '{' or '['</v>
      </c>
      <c r="AB96" s="38" t="str">
        <v>error:decode_json_crv: Error parsing JSON:_x000D_
error_x000D_
^_x000D_
Expecting '{' or '['</v>
      </c>
      <c r="AC96" s="38" t="str">
        <v>error:decode_json_crv: Error parsing JSON:_x000D_
error_x000D_
^_x000D_
Expecting '{' or '['</v>
      </c>
      <c r="AE96" s="38" t="str">
        <v>error:decode_json_crv: Error parsing JSON:_x000D_
error_x000D_
^_x000D_
Expecting '{' or '['</v>
      </c>
      <c r="AF96" s="38" t="str">
        <v>error:decode_json_crv: Error parsing JSON:_x000D_
error_x000D_
^_x000D_
Expecting '{' or '['</v>
      </c>
    </row>
    <row r="97" spans="2:32" x14ac:dyDescent="0.25">
      <c r="B97" s="38">
        <v>729.16700000000003</v>
      </c>
      <c r="C97" s="38">
        <v>155.21700000000001</v>
      </c>
      <c r="E97" s="38">
        <v>729.16700000000003</v>
      </c>
      <c r="F97" s="38">
        <v>32.158000000000001</v>
      </c>
      <c r="H97" s="38">
        <v>833.33299999999997</v>
      </c>
      <c r="I97" s="38">
        <v>10.83</v>
      </c>
      <c r="N97" s="38">
        <v>729.16700000000003</v>
      </c>
      <c r="O97" s="38">
        <v>68.245000000000005</v>
      </c>
      <c r="Q97" s="38">
        <v>729.16700000000003</v>
      </c>
      <c r="R97" s="38">
        <v>32.418999999999997</v>
      </c>
      <c r="T97" s="38">
        <v>833.33299999999997</v>
      </c>
      <c r="U97" s="38">
        <v>10.83</v>
      </c>
      <c r="Y97" s="38" t="str">
        <v>error:decode_json_crv: Error parsing JSON:_x000D_
error_x000D_
^_x000D_
Expecting '{' or '['</v>
      </c>
      <c r="Z97" s="38" t="str">
        <v>error:decode_json_crv: Error parsing JSON:_x000D_
error_x000D_
^_x000D_
Expecting '{' or '['</v>
      </c>
      <c r="AB97" s="38" t="str">
        <v>error:decode_json_crv: Error parsing JSON:_x000D_
error_x000D_
^_x000D_
Expecting '{' or '['</v>
      </c>
      <c r="AC97" s="38" t="str">
        <v>error:decode_json_crv: Error parsing JSON:_x000D_
error_x000D_
^_x000D_
Expecting '{' or '['</v>
      </c>
      <c r="AE97" s="38" t="str">
        <v>error:decode_json_crv: Error parsing JSON:_x000D_
error_x000D_
^_x000D_
Expecting '{' or '['</v>
      </c>
      <c r="AF97" s="38" t="str">
        <v>error:decode_json_crv: Error parsing JSON:_x000D_
error_x000D_
^_x000D_
Expecting '{' or '['</v>
      </c>
    </row>
    <row r="98" spans="2:32" x14ac:dyDescent="0.25">
      <c r="B98" s="38">
        <v>833.33299999999997</v>
      </c>
      <c r="C98" s="38">
        <v>164.40799999999999</v>
      </c>
      <c r="E98" s="38">
        <v>833.33299999999997</v>
      </c>
      <c r="F98" s="38">
        <v>33.865000000000002</v>
      </c>
      <c r="H98" s="38">
        <v>952.38099999999997</v>
      </c>
      <c r="I98" s="38">
        <v>10.95</v>
      </c>
      <c r="N98" s="38">
        <v>833.33299999999997</v>
      </c>
      <c r="O98" s="38">
        <v>77.448999999999998</v>
      </c>
      <c r="Q98" s="38">
        <v>833.33299999999997</v>
      </c>
      <c r="R98" s="38">
        <v>34.195</v>
      </c>
      <c r="T98" s="38">
        <v>952.38099999999997</v>
      </c>
      <c r="U98" s="38">
        <v>10.95</v>
      </c>
      <c r="Y98" s="38" t="str">
        <v>error:decode_json_crv: Error parsing JSON:_x000D_
error_x000D_
^_x000D_
Expecting '{' or '['</v>
      </c>
      <c r="Z98" s="38" t="str">
        <v>error:decode_json_crv: Error parsing JSON:_x000D_
error_x000D_
^_x000D_
Expecting '{' or '['</v>
      </c>
      <c r="AB98" s="38" t="str">
        <v>error:decode_json_crv: Error parsing JSON:_x000D_
error_x000D_
^_x000D_
Expecting '{' or '['</v>
      </c>
      <c r="AC98" s="38" t="str">
        <v>error:decode_json_crv: Error parsing JSON:_x000D_
error_x000D_
^_x000D_
Expecting '{' or '['</v>
      </c>
      <c r="AE98" s="38" t="str">
        <v>error:decode_json_crv: Error parsing JSON:_x000D_
error_x000D_
^_x000D_
Expecting '{' or '['</v>
      </c>
      <c r="AF98" s="38" t="str">
        <v>error:decode_json_crv: Error parsing JSON:_x000D_
error_x000D_
^_x000D_
Expecting '{' or '['</v>
      </c>
    </row>
    <row r="99" spans="2:32" x14ac:dyDescent="0.25">
      <c r="B99" s="38">
        <v>937.5</v>
      </c>
      <c r="C99" s="38">
        <v>173.58199999999999</v>
      </c>
      <c r="E99" s="38">
        <v>937.5</v>
      </c>
      <c r="F99" s="38">
        <v>35.966999999999999</v>
      </c>
      <c r="H99" s="38">
        <v>1071.4290000000001</v>
      </c>
      <c r="I99" s="38">
        <v>11.067</v>
      </c>
      <c r="N99" s="38">
        <v>937.5</v>
      </c>
      <c r="O99" s="38">
        <v>86.635999999999996</v>
      </c>
      <c r="Q99" s="38">
        <v>937.5</v>
      </c>
      <c r="R99" s="38">
        <v>36.409999999999997</v>
      </c>
      <c r="T99" s="38">
        <v>1071.4290000000001</v>
      </c>
      <c r="U99" s="38">
        <v>11.067</v>
      </c>
      <c r="Y99" s="38" t="str">
        <v>error:decode_json_crv: Error parsing JSON:_x000D_
error_x000D_
^_x000D_
Expecting '{' or '['</v>
      </c>
      <c r="Z99" s="38" t="str">
        <v>error:decode_json_crv: Error parsing JSON:_x000D_
error_x000D_
^_x000D_
Expecting '{' or '['</v>
      </c>
      <c r="AB99" s="38" t="str">
        <v>error:decode_json_crv: Error parsing JSON:_x000D_
error_x000D_
^_x000D_
Expecting '{' or '['</v>
      </c>
      <c r="AC99" s="38" t="str">
        <v>error:decode_json_crv: Error parsing JSON:_x000D_
error_x000D_
^_x000D_
Expecting '{' or '['</v>
      </c>
      <c r="AE99" s="38" t="str">
        <v>error:decode_json_crv: Error parsing JSON:_x000D_
error_x000D_
^_x000D_
Expecting '{' or '['</v>
      </c>
      <c r="AF99" s="38" t="str">
        <v>error:decode_json_crv: Error parsing JSON:_x000D_
error_x000D_
^_x000D_
Expecting '{' or '['</v>
      </c>
    </row>
    <row r="100" spans="2:32" x14ac:dyDescent="0.25">
      <c r="B100" s="38">
        <v>1041.6669999999999</v>
      </c>
      <c r="C100" s="38">
        <v>182.495</v>
      </c>
      <c r="E100" s="38">
        <v>1041.6669999999999</v>
      </c>
      <c r="F100" s="38">
        <v>39.204999999999998</v>
      </c>
      <c r="H100" s="38">
        <v>1190.4760000000001</v>
      </c>
      <c r="I100" s="38">
        <v>11.180999999999999</v>
      </c>
      <c r="N100" s="38">
        <v>1041.6669999999999</v>
      </c>
      <c r="O100" s="38">
        <v>95.56</v>
      </c>
      <c r="Q100" s="38">
        <v>1041.6669999999999</v>
      </c>
      <c r="R100" s="38">
        <v>39.691000000000003</v>
      </c>
      <c r="T100" s="38">
        <v>1190.4760000000001</v>
      </c>
      <c r="U100" s="38">
        <v>11.180999999999999</v>
      </c>
      <c r="Y100" s="38" t="str">
        <v>error:decode_json_crv: Error parsing JSON:_x000D_
error_x000D_
^_x000D_
Expecting '{' or '['</v>
      </c>
      <c r="Z100" s="38" t="str">
        <v>error:decode_json_crv: Error parsing JSON:_x000D_
error_x000D_
^_x000D_
Expecting '{' or '['</v>
      </c>
      <c r="AB100" s="38" t="str">
        <v>error:decode_json_crv: Error parsing JSON:_x000D_
error_x000D_
^_x000D_
Expecting '{' or '['</v>
      </c>
      <c r="AC100" s="38" t="str">
        <v>error:decode_json_crv: Error parsing JSON:_x000D_
error_x000D_
^_x000D_
Expecting '{' or '['</v>
      </c>
      <c r="AE100" s="38" t="str">
        <v>error:decode_json_crv: Error parsing JSON:_x000D_
error_x000D_
^_x000D_
Expecting '{' or '['</v>
      </c>
      <c r="AF100" s="38" t="str">
        <v>error:decode_json_crv: Error parsing JSON:_x000D_
error_x000D_
^_x000D_
Expecting '{' or '['</v>
      </c>
    </row>
    <row r="101" spans="2:32" x14ac:dyDescent="0.25">
      <c r="B101" s="37">
        <v>1145.8330000000001</v>
      </c>
      <c r="C101" s="38">
        <v>191.197</v>
      </c>
      <c r="E101" s="38">
        <v>1145.8330000000001</v>
      </c>
      <c r="F101" s="38">
        <v>42.817</v>
      </c>
      <c r="H101" s="38">
        <v>1309.5239999999999</v>
      </c>
      <c r="I101" s="38">
        <v>11.292</v>
      </c>
      <c r="N101" s="38">
        <v>1145.8330000000001</v>
      </c>
      <c r="O101" s="38">
        <v>104.273</v>
      </c>
      <c r="Q101" s="38">
        <v>1145.8330000000001</v>
      </c>
      <c r="R101" s="38">
        <v>43.295000000000002</v>
      </c>
      <c r="T101" s="38">
        <v>1309.5239999999999</v>
      </c>
      <c r="U101" s="38">
        <v>11.292</v>
      </c>
      <c r="Y101" s="38" t="str">
        <v>error:decode_json_crv: Error parsing JSON:_x000D_
error_x000D_
^_x000D_
Expecting '{' or '['</v>
      </c>
      <c r="Z101" s="38" t="str">
        <v>error:decode_json_crv: Error parsing JSON:_x000D_
error_x000D_
^_x000D_
Expecting '{' or '['</v>
      </c>
      <c r="AB101" s="38" t="str">
        <v>error:decode_json_crv: Error parsing JSON:_x000D_
error_x000D_
^_x000D_
Expecting '{' or '['</v>
      </c>
      <c r="AC101" s="38" t="str">
        <v>error:decode_json_crv: Error parsing JSON:_x000D_
error_x000D_
^_x000D_
Expecting '{' or '['</v>
      </c>
      <c r="AE101" s="38" t="str">
        <v>error:decode_json_crv: Error parsing JSON:_x000D_
error_x000D_
^_x000D_
Expecting '{' or '['</v>
      </c>
      <c r="AF101" s="38" t="str">
        <v>error:decode_json_crv: Error parsing JSON:_x000D_
error_x000D_
^_x000D_
Expecting '{' or '['</v>
      </c>
    </row>
    <row r="102" spans="2:32" x14ac:dyDescent="0.25">
      <c r="B102" s="37">
        <v>1250</v>
      </c>
      <c r="C102" s="38">
        <v>199.71299999999999</v>
      </c>
      <c r="E102" s="38">
        <v>1250</v>
      </c>
      <c r="F102" s="38">
        <v>46.356999999999999</v>
      </c>
      <c r="H102" s="38">
        <v>1428.5709999999999</v>
      </c>
      <c r="I102" s="38">
        <v>11.4</v>
      </c>
      <c r="N102" s="38">
        <v>1250</v>
      </c>
      <c r="O102" s="38">
        <v>112.79900000000001</v>
      </c>
      <c r="Q102" s="38">
        <v>1250</v>
      </c>
      <c r="R102" s="38">
        <v>46.825000000000003</v>
      </c>
      <c r="T102" s="38">
        <v>1428.5709999999999</v>
      </c>
      <c r="U102" s="38">
        <v>11.4</v>
      </c>
      <c r="Y102" s="38" t="str">
        <v>error:decode_json_crv: Error parsing JSON:_x000D_
error_x000D_
^_x000D_
Expecting '{' or '['</v>
      </c>
      <c r="Z102" s="38" t="str">
        <v>error:decode_json_crv: Error parsing JSON:_x000D_
error_x000D_
^_x000D_
Expecting '{' or '['</v>
      </c>
      <c r="AB102" s="38" t="str">
        <v>error:decode_json_crv: Error parsing JSON:_x000D_
error_x000D_
^_x000D_
Expecting '{' or '['</v>
      </c>
      <c r="AC102" s="38" t="str">
        <v>error:decode_json_crv: Error parsing JSON:_x000D_
error_x000D_
^_x000D_
Expecting '{' or '['</v>
      </c>
      <c r="AE102" s="38" t="str">
        <v>error:decode_json_crv: Error parsing JSON:_x000D_
error_x000D_
^_x000D_
Expecting '{' or '['</v>
      </c>
      <c r="AF102" s="38" t="str">
        <v>error:decode_json_crv: Error parsing JSON:_x000D_
error_x000D_
^_x000D_
Expecting '{' or '['</v>
      </c>
    </row>
    <row r="103" spans="2:32" x14ac:dyDescent="0.25">
      <c r="B103" s="37">
        <v>1354.1669999999999</v>
      </c>
      <c r="C103" s="38">
        <v>208.023</v>
      </c>
      <c r="E103" s="38">
        <v>1354.1669999999999</v>
      </c>
      <c r="F103" s="38">
        <v>49.814999999999998</v>
      </c>
      <c r="H103" s="38">
        <v>1547.6189999999999</v>
      </c>
      <c r="I103" s="38">
        <v>11.504</v>
      </c>
      <c r="N103" s="38">
        <v>1354.1669999999999</v>
      </c>
      <c r="O103" s="38">
        <v>121.119</v>
      </c>
      <c r="Q103" s="38">
        <v>1354.1669999999999</v>
      </c>
      <c r="R103" s="38">
        <v>50.271999999999998</v>
      </c>
      <c r="T103" s="38">
        <v>1547.6189999999999</v>
      </c>
      <c r="U103" s="38">
        <v>11.504</v>
      </c>
      <c r="Y103" s="38" t="str">
        <v>error:decode_json_crv: Error parsing JSON:_x000D_
error_x000D_
^_x000D_
Expecting '{' or '['</v>
      </c>
      <c r="Z103" s="38" t="str">
        <v>error:decode_json_crv: Error parsing JSON:_x000D_
error_x000D_
^_x000D_
Expecting '{' or '['</v>
      </c>
      <c r="AB103" s="38" t="str">
        <v>error:decode_json_crv: Error parsing JSON:_x000D_
error_x000D_
^_x000D_
Expecting '{' or '['</v>
      </c>
      <c r="AC103" s="38" t="str">
        <v>error:decode_json_crv: Error parsing JSON:_x000D_
error_x000D_
^_x000D_
Expecting '{' or '['</v>
      </c>
      <c r="AE103" s="38" t="str">
        <v>error:decode_json_crv: Error parsing JSON:_x000D_
error_x000D_
^_x000D_
Expecting '{' or '['</v>
      </c>
      <c r="AF103" s="38" t="str">
        <v>error:decode_json_crv: Error parsing JSON:_x000D_
error_x000D_
^_x000D_
Expecting '{' or '['</v>
      </c>
    </row>
    <row r="104" spans="2:32" x14ac:dyDescent="0.25">
      <c r="B104" s="37">
        <v>1458.3330000000001</v>
      </c>
      <c r="C104" s="38">
        <v>216.13</v>
      </c>
      <c r="E104" s="38">
        <v>1458.3330000000001</v>
      </c>
      <c r="F104" s="38">
        <v>53.191000000000003</v>
      </c>
      <c r="H104" s="38">
        <v>1550</v>
      </c>
      <c r="I104" s="38">
        <v>11.506</v>
      </c>
      <c r="N104" s="38">
        <v>1458.3330000000001</v>
      </c>
      <c r="O104" s="38">
        <v>129.23599999999999</v>
      </c>
      <c r="Q104" s="38">
        <v>1458.3330000000001</v>
      </c>
      <c r="R104" s="38">
        <v>53.639000000000003</v>
      </c>
      <c r="T104" s="38">
        <v>1550</v>
      </c>
      <c r="U104" s="38">
        <v>11.506</v>
      </c>
      <c r="Y104" s="38" t="str">
        <v>error:decode_json_crv: Error parsing JSON:_x000D_
error_x000D_
^_x000D_
Expecting '{' or '['</v>
      </c>
      <c r="Z104" s="38" t="str">
        <v>error:decode_json_crv: Error parsing JSON:_x000D_
error_x000D_
^_x000D_
Expecting '{' or '['</v>
      </c>
      <c r="AB104" s="38" t="str">
        <v>error:decode_json_crv: Error parsing JSON:_x000D_
error_x000D_
^_x000D_
Expecting '{' or '['</v>
      </c>
      <c r="AC104" s="38" t="str">
        <v>error:decode_json_crv: Error parsing JSON:_x000D_
error_x000D_
^_x000D_
Expecting '{' or '['</v>
      </c>
      <c r="AE104" s="38" t="str">
        <v>error:decode_json_crv: Error parsing JSON:_x000D_
error_x000D_
^_x000D_
Expecting '{' or '['</v>
      </c>
      <c r="AF104" s="38" t="str">
        <v>error:decode_json_crv: Error parsing JSON:_x000D_
error_x000D_
^_x000D_
Expecting '{' or '['</v>
      </c>
    </row>
    <row r="105" spans="2:32" x14ac:dyDescent="0.25">
      <c r="B105" s="37">
        <v>1562.5</v>
      </c>
      <c r="C105" s="38">
        <v>224.06899999999999</v>
      </c>
      <c r="E105" s="38">
        <v>1562.5</v>
      </c>
      <c r="F105" s="38">
        <v>56.484000000000002</v>
      </c>
      <c r="H105" s="38">
        <v>1666.6669999999999</v>
      </c>
      <c r="I105" s="38">
        <v>11.606</v>
      </c>
      <c r="N105" s="38">
        <v>1562.5</v>
      </c>
      <c r="O105" s="38">
        <v>137.184</v>
      </c>
      <c r="Q105" s="38">
        <v>1562.5</v>
      </c>
      <c r="R105" s="38">
        <v>56.923999999999999</v>
      </c>
      <c r="T105" s="38">
        <v>1666.6669999999999</v>
      </c>
      <c r="U105" s="38">
        <v>11.606</v>
      </c>
      <c r="Y105" s="38" t="str">
        <v>error:decode_json_crv: Error parsing JSON:_x000D_
error_x000D_
^_x000D_
Expecting '{' or '['</v>
      </c>
      <c r="Z105" s="38" t="str">
        <v>error:decode_json_crv: Error parsing JSON:_x000D_
error_x000D_
^_x000D_
Expecting '{' or '['</v>
      </c>
      <c r="AB105" s="38" t="str">
        <v>error:decode_json_crv: Error parsing JSON:_x000D_
error_x000D_
^_x000D_
Expecting '{' or '['</v>
      </c>
      <c r="AC105" s="38" t="str">
        <v>error:decode_json_crv: Error parsing JSON:_x000D_
error_x000D_
^_x000D_
Expecting '{' or '['</v>
      </c>
      <c r="AE105" s="38" t="str">
        <v>error:decode_json_crv: Error parsing JSON:_x000D_
error_x000D_
^_x000D_
Expecting '{' or '['</v>
      </c>
      <c r="AF105" s="38" t="str">
        <v>error:decode_json_crv: Error parsing JSON:_x000D_
error_x000D_
^_x000D_
Expecting '{' or '['</v>
      </c>
    </row>
    <row r="106" spans="2:32" x14ac:dyDescent="0.25">
      <c r="B106" s="37">
        <v>1666.6669999999999</v>
      </c>
      <c r="C106" s="38">
        <v>231.86699999999999</v>
      </c>
      <c r="E106" s="38">
        <v>1666.6669999999999</v>
      </c>
      <c r="F106" s="38">
        <v>59.704000000000001</v>
      </c>
      <c r="H106" s="38">
        <v>1785.7139999999999</v>
      </c>
      <c r="I106" s="38">
        <v>11.705</v>
      </c>
      <c r="N106" s="38">
        <v>1666.6669999999999</v>
      </c>
      <c r="O106" s="38">
        <v>144.99100000000001</v>
      </c>
      <c r="Q106" s="38">
        <v>1666.6669999999999</v>
      </c>
      <c r="R106" s="38">
        <v>60.14</v>
      </c>
      <c r="T106" s="38">
        <v>1785.7139999999999</v>
      </c>
      <c r="U106" s="38">
        <v>11.705</v>
      </c>
      <c r="Y106" s="38" t="str">
        <v>error:decode_json_crv: Error parsing JSON:_x000D_
error_x000D_
^_x000D_
Expecting '{' or '['</v>
      </c>
      <c r="Z106" s="38" t="str">
        <v>error:decode_json_crv: Error parsing JSON:_x000D_
error_x000D_
^_x000D_
Expecting '{' or '['</v>
      </c>
      <c r="AB106" s="38" t="str">
        <v>error:decode_json_crv: Error parsing JSON:_x000D_
error_x000D_
^_x000D_
Expecting '{' or '['</v>
      </c>
      <c r="AC106" s="38" t="str">
        <v>error:decode_json_crv: Error parsing JSON:_x000D_
error_x000D_
^_x000D_
Expecting '{' or '['</v>
      </c>
      <c r="AE106" s="38" t="str">
        <v>error:decode_json_crv: Error parsing JSON:_x000D_
error_x000D_
^_x000D_
Expecting '{' or '['</v>
      </c>
      <c r="AF106" s="38" t="str">
        <v>error:decode_json_crv: Error parsing JSON:_x000D_
error_x000D_
^_x000D_
Expecting '{' or '['</v>
      </c>
    </row>
    <row r="107" spans="2:32" x14ac:dyDescent="0.25">
      <c r="B107" s="37">
        <v>1770.8330000000001</v>
      </c>
      <c r="C107" s="38">
        <v>239.465</v>
      </c>
      <c r="E107" s="38">
        <v>1770.8330000000001</v>
      </c>
      <c r="F107" s="38">
        <v>62.850999999999999</v>
      </c>
      <c r="H107" s="38">
        <v>1834.4079999999999</v>
      </c>
      <c r="I107" s="38">
        <v>11.744999999999999</v>
      </c>
      <c r="N107" s="38">
        <v>1770.8330000000001</v>
      </c>
      <c r="O107" s="38">
        <v>152.59800000000001</v>
      </c>
      <c r="Q107" s="38">
        <v>1770.8330000000001</v>
      </c>
      <c r="R107" s="38">
        <v>63.290999999999997</v>
      </c>
      <c r="T107" s="38">
        <v>1904.7619999999999</v>
      </c>
      <c r="U107" s="38">
        <v>11.801</v>
      </c>
      <c r="Y107" s="38" t="str">
        <v>error:decode_json_crv: Error parsing JSON:_x000D_
error_x000D_
^_x000D_
Expecting '{' or '['</v>
      </c>
      <c r="Z107" s="38" t="str">
        <v>error:decode_json_crv: Error parsing JSON:_x000D_
error_x000D_
^_x000D_
Expecting '{' or '['</v>
      </c>
      <c r="AB107" s="38" t="str">
        <v>error:decode_json_crv: Error parsing JSON:_x000D_
error_x000D_
^_x000D_
Expecting '{' or '['</v>
      </c>
      <c r="AC107" s="38" t="str">
        <v>error:decode_json_crv: Error parsing JSON:_x000D_
error_x000D_
^_x000D_
Expecting '{' or '['</v>
      </c>
      <c r="AE107" s="38" t="str">
        <v>error:decode_json_crv: Error parsing JSON:_x000D_
error_x000D_
^_x000D_
Expecting '{' or '['</v>
      </c>
      <c r="AF107" s="38" t="str">
        <v>error:decode_json_crv: Error parsing JSON:_x000D_
error_x000D_
^_x000D_
Expecting '{' or '['</v>
      </c>
    </row>
    <row r="108" spans="2:32" x14ac:dyDescent="0.25">
      <c r="B108" s="37">
        <v>1875</v>
      </c>
      <c r="C108" s="38">
        <v>246.86500000000001</v>
      </c>
      <c r="E108" s="38">
        <v>1875</v>
      </c>
      <c r="F108" s="38">
        <v>65.94</v>
      </c>
      <c r="H108" s="38">
        <v>1904.7619999999999</v>
      </c>
      <c r="I108" s="38">
        <v>14.362</v>
      </c>
      <c r="N108" s="38">
        <v>1875</v>
      </c>
      <c r="O108" s="38">
        <v>160.006</v>
      </c>
      <c r="Q108" s="38">
        <v>1875</v>
      </c>
      <c r="R108" s="38">
        <v>66.406000000000006</v>
      </c>
      <c r="T108" s="38">
        <v>2023.81</v>
      </c>
      <c r="U108" s="38">
        <v>11.894</v>
      </c>
      <c r="Y108" s="38" t="str">
        <v>error:decode_json_crv: Error parsing JSON:_x000D_
error_x000D_
^_x000D_
Expecting '{' or '['</v>
      </c>
      <c r="Z108" s="38" t="str">
        <v>error:decode_json_crv: Error parsing JSON:_x000D_
error_x000D_
^_x000D_
Expecting '{' or '['</v>
      </c>
      <c r="AB108" s="38" t="str">
        <v>error:decode_json_crv: Error parsing JSON:_x000D_
error_x000D_
^_x000D_
Expecting '{' or '['</v>
      </c>
      <c r="AC108" s="38" t="str">
        <v>error:decode_json_crv: Error parsing JSON:_x000D_
error_x000D_
^_x000D_
Expecting '{' or '['</v>
      </c>
      <c r="AE108" s="38" t="str">
        <v>error:decode_json_crv: Error parsing JSON:_x000D_
error_x000D_
^_x000D_
Expecting '{' or '['</v>
      </c>
      <c r="AF108" s="38" t="str">
        <v>error:decode_json_crv: Error parsing JSON:_x000D_
error_x000D_
^_x000D_
Expecting '{' or '['</v>
      </c>
    </row>
    <row r="109" spans="2:32" x14ac:dyDescent="0.25">
      <c r="B109" s="37">
        <v>1979.1669999999999</v>
      </c>
      <c r="C109" s="38">
        <v>254.066</v>
      </c>
      <c r="E109" s="38">
        <v>1979.1669999999999</v>
      </c>
      <c r="F109" s="38">
        <v>69.028000000000006</v>
      </c>
      <c r="H109" s="38">
        <v>2023.81</v>
      </c>
      <c r="I109" s="38">
        <v>19.129000000000001</v>
      </c>
      <c r="N109" s="38">
        <v>1979.1669999999999</v>
      </c>
      <c r="O109" s="38">
        <v>167.21600000000001</v>
      </c>
      <c r="Q109" s="38">
        <v>1979.1669999999999</v>
      </c>
      <c r="R109" s="38">
        <v>69.573999999999998</v>
      </c>
      <c r="T109" s="38">
        <v>2100</v>
      </c>
      <c r="U109" s="38">
        <v>11.952</v>
      </c>
      <c r="Y109" s="38" t="str">
        <v>error:decode_json_crv: Error parsing JSON:_x000D_
error_x000D_
^_x000D_
Expecting '{' or '['</v>
      </c>
      <c r="Z109" s="38" t="str">
        <v>error:decode_json_crv: Error parsing JSON:_x000D_
error_x000D_
^_x000D_
Expecting '{' or '['</v>
      </c>
      <c r="AB109" s="38" t="str">
        <v>error:decode_json_crv: Error parsing JSON:_x000D_
error_x000D_
^_x000D_
Expecting '{' or '['</v>
      </c>
      <c r="AC109" s="38" t="str">
        <v>error:decode_json_crv: Error parsing JSON:_x000D_
error_x000D_
^_x000D_
Expecting '{' or '['</v>
      </c>
      <c r="AE109" s="38" t="str">
        <v>error:decode_json_crv: Error parsing JSON:_x000D_
error_x000D_
^_x000D_
Expecting '{' or '['</v>
      </c>
      <c r="AF109" s="38" t="str">
        <v>error:decode_json_crv: Error parsing JSON:_x000D_
error_x000D_
^_x000D_
Expecting '{' or '['</v>
      </c>
    </row>
    <row r="110" spans="2:32" x14ac:dyDescent="0.25">
      <c r="B110" s="37">
        <v>2083.3330000000001</v>
      </c>
      <c r="C110" s="38">
        <v>261.08300000000003</v>
      </c>
      <c r="E110" s="38">
        <v>2083.3330000000001</v>
      </c>
      <c r="F110" s="38">
        <v>72.319000000000003</v>
      </c>
      <c r="H110" s="38">
        <v>2100</v>
      </c>
      <c r="I110" s="38">
        <v>22.393000000000001</v>
      </c>
      <c r="N110" s="38">
        <v>2083.3330000000001</v>
      </c>
      <c r="O110" s="38">
        <v>174.24100000000001</v>
      </c>
      <c r="Q110" s="38">
        <v>2083.3330000000001</v>
      </c>
      <c r="R110" s="38">
        <v>73.054000000000002</v>
      </c>
      <c r="T110" s="38">
        <v>2142.857</v>
      </c>
      <c r="U110" s="38">
        <v>11.984</v>
      </c>
      <c r="Y110" s="38" t="str">
        <v>error:decode_json_crv: Error parsing JSON:_x000D_
error_x000D_
^_x000D_
Expecting '{' or '['</v>
      </c>
      <c r="Z110" s="38" t="str">
        <v>error:decode_json_crv: Error parsing JSON:_x000D_
error_x000D_
^_x000D_
Expecting '{' or '['</v>
      </c>
      <c r="AB110" s="38" t="str">
        <v>error:decode_json_crv: Error parsing JSON:_x000D_
error_x000D_
^_x000D_
Expecting '{' or '['</v>
      </c>
      <c r="AC110" s="38" t="str">
        <v>error:decode_json_crv: Error parsing JSON:_x000D_
error_x000D_
^_x000D_
Expecting '{' or '['</v>
      </c>
      <c r="AE110" s="38" t="str">
        <v>error:decode_json_crv: Error parsing JSON:_x000D_
error_x000D_
^_x000D_
Expecting '{' or '['</v>
      </c>
      <c r="AF110" s="38" t="str">
        <v>error:decode_json_crv: Error parsing JSON:_x000D_
error_x000D_
^_x000D_
Expecting '{' or '['</v>
      </c>
    </row>
    <row r="111" spans="2:32" x14ac:dyDescent="0.25">
      <c r="B111" s="37">
        <v>2187.5</v>
      </c>
      <c r="C111" s="38">
        <v>268.03899999999999</v>
      </c>
      <c r="E111" s="38">
        <v>2187.5</v>
      </c>
      <c r="F111" s="38">
        <v>76.474999999999994</v>
      </c>
      <c r="H111" s="38">
        <v>2142.857</v>
      </c>
      <c r="I111" s="38">
        <v>24.780999999999999</v>
      </c>
      <c r="N111" s="38">
        <v>2187.5</v>
      </c>
      <c r="O111" s="38">
        <v>181.203</v>
      </c>
      <c r="Q111" s="38">
        <v>2187.5</v>
      </c>
      <c r="R111" s="38">
        <v>77.554000000000002</v>
      </c>
      <c r="T111" s="38">
        <v>2261.9050000000002</v>
      </c>
      <c r="U111" s="38">
        <v>12.074999999999999</v>
      </c>
      <c r="Y111" s="38" t="str">
        <v>error:decode_json_crv: Error parsing JSON:_x000D_
error_x000D_
^_x000D_
Expecting '{' or '['</v>
      </c>
      <c r="Z111" s="38" t="str">
        <v>error:decode_json_crv: Error parsing JSON:_x000D_
error_x000D_
^_x000D_
Expecting '{' or '['</v>
      </c>
      <c r="AB111" s="38" t="str">
        <v>error:decode_json_crv: Error parsing JSON:_x000D_
error_x000D_
^_x000D_
Expecting '{' or '['</v>
      </c>
      <c r="AC111" s="38" t="str">
        <v>error:decode_json_crv: Error parsing JSON:_x000D_
error_x000D_
^_x000D_
Expecting '{' or '['</v>
      </c>
      <c r="AE111" s="38" t="str">
        <v>error:decode_json_crv: Error parsing JSON:_x000D_
error_x000D_
^_x000D_
Expecting '{' or '['</v>
      </c>
      <c r="AF111" s="38" t="str">
        <v>error:decode_json_crv: Error parsing JSON:_x000D_
error_x000D_
^_x000D_
Expecting '{' or '['</v>
      </c>
    </row>
    <row r="112" spans="2:32" x14ac:dyDescent="0.25">
      <c r="B112" s="37">
        <v>2291.6669999999999</v>
      </c>
      <c r="C112" s="38">
        <v>274.97800000000001</v>
      </c>
      <c r="E112" s="38">
        <v>2291.6669999999999</v>
      </c>
      <c r="F112" s="38">
        <v>83.745999999999995</v>
      </c>
      <c r="H112" s="38">
        <v>2261.9050000000002</v>
      </c>
      <c r="I112" s="38">
        <v>31.510999999999999</v>
      </c>
      <c r="N112" s="38">
        <v>2291.6669999999999</v>
      </c>
      <c r="O112" s="38">
        <v>188.14699999999999</v>
      </c>
      <c r="Q112" s="38">
        <v>2291.6669999999999</v>
      </c>
      <c r="R112" s="38">
        <v>85.072000000000003</v>
      </c>
      <c r="T112" s="38">
        <v>2380.9520000000002</v>
      </c>
      <c r="U112" s="38">
        <v>12.164999999999999</v>
      </c>
      <c r="Y112" s="38" t="str">
        <v>error:decode_json_crv: Error parsing JSON:_x000D_
error_x000D_
^_x000D_
Expecting '{' or '['</v>
      </c>
      <c r="Z112" s="38" t="str">
        <v>error:decode_json_crv: Error parsing JSON:_x000D_
error_x000D_
^_x000D_
Expecting '{' or '['</v>
      </c>
      <c r="AB112" s="38" t="str">
        <v>error:decode_json_crv: Error parsing JSON:_x000D_
error_x000D_
^_x000D_
Expecting '{' or '['</v>
      </c>
      <c r="AC112" s="38" t="str">
        <v>error:decode_json_crv: Error parsing JSON:_x000D_
error_x000D_
^_x000D_
Expecting '{' or '['</v>
      </c>
      <c r="AE112" s="38" t="str">
        <v>error:decode_json_crv: Error parsing JSON:_x000D_
error_x000D_
^_x000D_
Expecting '{' or '['</v>
      </c>
      <c r="AF112" s="38" t="str">
        <v>error:decode_json_crv: Error parsing JSON:_x000D_
error_x000D_
^_x000D_
Expecting '{' or '['</v>
      </c>
    </row>
    <row r="113" spans="2:32" x14ac:dyDescent="0.25">
      <c r="B113" s="37">
        <v>2395.8330000000001</v>
      </c>
      <c r="C113" s="38">
        <v>281.87700000000001</v>
      </c>
      <c r="E113" s="38">
        <v>2395.8330000000001</v>
      </c>
      <c r="F113" s="38">
        <v>101.916</v>
      </c>
      <c r="H113" s="38">
        <v>2380.9520000000002</v>
      </c>
      <c r="I113" s="38">
        <v>38.341999999999999</v>
      </c>
      <c r="N113" s="38">
        <v>2395.8330000000001</v>
      </c>
      <c r="O113" s="38">
        <v>195.053</v>
      </c>
      <c r="Q113" s="38">
        <v>2395.8330000000001</v>
      </c>
      <c r="R113" s="38">
        <v>101.297</v>
      </c>
      <c r="T113" s="38">
        <v>2448.16</v>
      </c>
      <c r="U113" s="38">
        <v>12.215</v>
      </c>
      <c r="Y113" s="38" t="str">
        <v>error:decode_json_crv: Error parsing JSON:_x000D_
error_x000D_
^_x000D_
Expecting '{' or '['</v>
      </c>
      <c r="Z113" s="38" t="str">
        <v>error:decode_json_crv: Error parsing JSON:_x000D_
error_x000D_
^_x000D_
Expecting '{' or '['</v>
      </c>
      <c r="AB113" s="38" t="str">
        <v>error:decode_json_crv: Error parsing JSON:_x000D_
error_x000D_
^_x000D_
Expecting '{' or '['</v>
      </c>
      <c r="AC113" s="38" t="str">
        <v>error:decode_json_crv: Error parsing JSON:_x000D_
error_x000D_
^_x000D_
Expecting '{' or '['</v>
      </c>
      <c r="AE113" s="38" t="str">
        <v>error:decode_json_crv: Error parsing JSON:_x000D_
error_x000D_
^_x000D_
Expecting '{' or '['</v>
      </c>
      <c r="AF113" s="38" t="str">
        <v>error:decode_json_crv: Error parsing JSON:_x000D_
error_x000D_
^_x000D_
Expecting '{' or '['</v>
      </c>
    </row>
    <row r="114" spans="2:32" x14ac:dyDescent="0.25">
      <c r="B114" s="37">
        <v>2500</v>
      </c>
      <c r="C114" s="38">
        <v>288.65499999999997</v>
      </c>
      <c r="E114" s="38">
        <v>2500</v>
      </c>
      <c r="F114" s="38">
        <v>156.35599999999999</v>
      </c>
      <c r="H114" s="38">
        <v>2500</v>
      </c>
      <c r="I114" s="38">
        <v>45.231999999999999</v>
      </c>
      <c r="N114" s="38">
        <v>2500</v>
      </c>
      <c r="O114" s="38">
        <v>201.864</v>
      </c>
      <c r="Q114" s="38">
        <v>2500</v>
      </c>
      <c r="R114" s="38">
        <v>141.749</v>
      </c>
      <c r="T114" s="38">
        <v>2500</v>
      </c>
      <c r="U114" s="38">
        <v>14.8</v>
      </c>
      <c r="Y114" s="38" t="str">
        <v>error:decode_json_crv: Error parsing JSON:_x000D_
error_x000D_
^_x000D_
Expecting '{' or '['</v>
      </c>
      <c r="Z114" s="38" t="str">
        <v>error:decode_json_crv: Error parsing JSON:_x000D_
error_x000D_
^_x000D_
Expecting '{' or '['</v>
      </c>
      <c r="AB114" s="38" t="str">
        <v>error:decode_json_crv: Error parsing JSON:_x000D_
error_x000D_
^_x000D_
Expecting '{' or '['</v>
      </c>
      <c r="AC114" s="38" t="str">
        <v>error:decode_json_crv: Error parsing JSON:_x000D_
error_x000D_
^_x000D_
Expecting '{' or '['</v>
      </c>
      <c r="AE114" s="38" t="str">
        <v>error:decode_json_crv: Error parsing JSON:_x000D_
error_x000D_
^_x000D_
Expecting '{' or '['</v>
      </c>
      <c r="AF114" s="38" t="str">
        <v>error:decode_json_crv: Error parsing JSON:_x000D_
error_x000D_
^_x000D_
Expecting '{' or '['</v>
      </c>
    </row>
    <row r="115" spans="2:32" x14ac:dyDescent="0.25">
      <c r="B115" s="37">
        <v>2501</v>
      </c>
      <c r="C115" s="38">
        <v>45.231999999999999</v>
      </c>
      <c r="E115" s="38">
        <v>2501</v>
      </c>
      <c r="F115" s="38">
        <v>83.798000000000002</v>
      </c>
      <c r="N115" s="38">
        <v>2501</v>
      </c>
      <c r="O115" s="38">
        <v>14.8</v>
      </c>
      <c r="Q115" s="38">
        <v>2501</v>
      </c>
      <c r="R115" s="38">
        <v>84.260999999999996</v>
      </c>
      <c r="Y115" s="38" t="str">
        <v>error:decode_json_crv: Error parsing JSON:_x000D_
error_x000D_
^_x000D_
Expecting '{' or '['</v>
      </c>
      <c r="Z115" s="38" t="str">
        <v>error:decode_json_crv: Error parsing JSON:_x000D_
error_x000D_
^_x000D_
Expecting '{' or '['</v>
      </c>
      <c r="AB115" s="38" t="str">
        <v>error:decode_json_crv: Error parsing JSON:_x000D_
error_x000D_
^_x000D_
Expecting '{' or '['</v>
      </c>
      <c r="AC115" s="38" t="str">
        <v>error:decode_json_crv: Error parsing JSON:_x000D_
error_x000D_
^_x000D_
Expecting '{' or '['</v>
      </c>
    </row>
    <row r="116" spans="2:32" x14ac:dyDescent="0.25">
      <c r="B116" s="37">
        <v>2612</v>
      </c>
      <c r="C116" s="38">
        <v>52.526000000000003</v>
      </c>
      <c r="E116" s="38">
        <v>2612</v>
      </c>
      <c r="F116" s="38">
        <v>86.933000000000007</v>
      </c>
      <c r="N116" s="38">
        <v>2612</v>
      </c>
      <c r="O116" s="38">
        <v>22.134</v>
      </c>
      <c r="Q116" s="38">
        <v>2612</v>
      </c>
      <c r="R116" s="38">
        <v>87.397000000000006</v>
      </c>
      <c r="Y116" s="38" t="str">
        <v>error:decode_json_crv: Error parsing JSON:_x000D_
error_x000D_
^_x000D_
Expecting '{' or '['</v>
      </c>
      <c r="Z116" s="38" t="str">
        <v>error:decode_json_crv: Error parsing JSON:_x000D_
error_x000D_
^_x000D_
Expecting '{' or '['</v>
      </c>
      <c r="AB116" s="38" t="str">
        <v>error:decode_json_crv: Error parsing JSON:_x000D_
error_x000D_
^_x000D_
Expecting '{' or '['</v>
      </c>
      <c r="AC116" s="38" t="str">
        <v>error:decode_json_crv: Error parsing JSON:_x000D_
error_x000D_
^_x000D_
Expecting '{' or '['</v>
      </c>
    </row>
    <row r="117" spans="2:32" x14ac:dyDescent="0.25">
      <c r="B117" s="37">
        <v>2723</v>
      </c>
      <c r="C117" s="38">
        <v>59.795000000000002</v>
      </c>
      <c r="E117" s="38">
        <v>2723</v>
      </c>
      <c r="F117" s="38">
        <v>90.066999999999993</v>
      </c>
      <c r="N117" s="38">
        <v>2723</v>
      </c>
      <c r="O117" s="38">
        <v>29.445</v>
      </c>
      <c r="Q117" s="38">
        <v>2723</v>
      </c>
      <c r="R117" s="38">
        <v>90.531000000000006</v>
      </c>
      <c r="Y117" s="38" t="str">
        <v>error:decode_json_crv: Error parsing JSON:_x000D_
error_x000D_
^_x000D_
Expecting '{' or '['</v>
      </c>
      <c r="Z117" s="38" t="str">
        <v>error:decode_json_crv: Error parsing JSON:_x000D_
error_x000D_
^_x000D_
Expecting '{' or '['</v>
      </c>
      <c r="AB117" s="38" t="str">
        <v>error:decode_json_crv: Error parsing JSON:_x000D_
error_x000D_
^_x000D_
Expecting '{' or '['</v>
      </c>
      <c r="AC117" s="38" t="str">
        <v>error:decode_json_crv: Error parsing JSON:_x000D_
error_x000D_
^_x000D_
Expecting '{' or '['</v>
      </c>
    </row>
    <row r="118" spans="2:32" x14ac:dyDescent="0.25">
      <c r="B118" s="37">
        <v>2834</v>
      </c>
      <c r="C118" s="38">
        <v>67.039000000000001</v>
      </c>
      <c r="E118" s="38">
        <v>2834</v>
      </c>
      <c r="F118" s="38">
        <v>93.197999999999993</v>
      </c>
      <c r="N118" s="38">
        <v>2834</v>
      </c>
      <c r="O118" s="38">
        <v>36.732999999999997</v>
      </c>
      <c r="Q118" s="38">
        <v>2834</v>
      </c>
      <c r="R118" s="38">
        <v>93.656999999999996</v>
      </c>
      <c r="Y118" s="38" t="str">
        <v>error:decode_json_crv: Error parsing JSON:_x000D_
error_x000D_
^_x000D_
Expecting '{' or '['</v>
      </c>
      <c r="Z118" s="38" t="str">
        <v>error:decode_json_crv: Error parsing JSON:_x000D_
error_x000D_
^_x000D_
Expecting '{' or '['</v>
      </c>
      <c r="AB118" s="38" t="str">
        <v>error:decode_json_crv: Error parsing JSON:_x000D_
error_x000D_
^_x000D_
Expecting '{' or '['</v>
      </c>
      <c r="AC118" s="38" t="str">
        <v>error:decode_json_crv: Error parsing JSON:_x000D_
error_x000D_
^_x000D_
Expecting '{' or '['</v>
      </c>
    </row>
    <row r="119" spans="2:32" x14ac:dyDescent="0.25">
      <c r="B119" s="37">
        <v>2945</v>
      </c>
      <c r="C119" s="38">
        <v>74.257000000000005</v>
      </c>
      <c r="E119" s="38">
        <v>2945</v>
      </c>
      <c r="F119" s="38">
        <v>96.32</v>
      </c>
      <c r="N119" s="38">
        <v>2945</v>
      </c>
      <c r="O119" s="38">
        <v>43.996000000000002</v>
      </c>
      <c r="Q119" s="38">
        <v>2945</v>
      </c>
      <c r="R119" s="38">
        <v>96.760999999999996</v>
      </c>
      <c r="Y119" s="38" t="str">
        <v>error:decode_json_crv: Error parsing JSON:_x000D_
error_x000D_
^_x000D_
Expecting '{' or '['</v>
      </c>
      <c r="Z119" s="38" t="str">
        <v>error:decode_json_crv: Error parsing JSON:_x000D_
error_x000D_
^_x000D_
Expecting '{' or '['</v>
      </c>
      <c r="AB119" s="38" t="str">
        <v>error:decode_json_crv: Error parsing JSON:_x000D_
error_x000D_
^_x000D_
Expecting '{' or '['</v>
      </c>
      <c r="AC119" s="38" t="str">
        <v>error:decode_json_crv: Error parsing JSON:_x000D_
error_x000D_
^_x000D_
Expecting '{' or '['</v>
      </c>
    </row>
    <row r="120" spans="2:32" x14ac:dyDescent="0.25">
      <c r="B120" s="37">
        <v>3056</v>
      </c>
      <c r="C120" s="38">
        <v>81.448999999999998</v>
      </c>
      <c r="E120" s="38">
        <v>3056</v>
      </c>
      <c r="F120" s="38">
        <v>99.408000000000001</v>
      </c>
      <c r="N120" s="38">
        <v>3056</v>
      </c>
      <c r="O120" s="38">
        <v>51.234999999999999</v>
      </c>
      <c r="Q120" s="38">
        <v>3056</v>
      </c>
      <c r="R120" s="38">
        <v>99.795000000000002</v>
      </c>
      <c r="Y120" s="38" t="str">
        <v>error:decode_json_crv: Error parsing JSON:_x000D_
error_x000D_
^_x000D_
Expecting '{' or '['</v>
      </c>
      <c r="Z120" s="38" t="str">
        <v>error:decode_json_crv: Error parsing JSON:_x000D_
error_x000D_
^_x000D_
Expecting '{' or '['</v>
      </c>
      <c r="AB120" s="38" t="str">
        <v>error:decode_json_crv: Error parsing JSON:_x000D_
error_x000D_
^_x000D_
Expecting '{' or '['</v>
      </c>
      <c r="AC120" s="38" t="str">
        <v>error:decode_json_crv: Error parsing JSON:_x000D_
error_x000D_
^_x000D_
Expecting '{' or '['</v>
      </c>
    </row>
    <row r="121" spans="2:32" x14ac:dyDescent="0.25">
      <c r="B121" s="37">
        <v>3167</v>
      </c>
      <c r="C121" s="38">
        <v>88.616</v>
      </c>
      <c r="E121" s="38">
        <v>3167</v>
      </c>
      <c r="F121" s="38">
        <v>102.361</v>
      </c>
      <c r="N121" s="38">
        <v>3167</v>
      </c>
      <c r="O121" s="38">
        <v>58.45</v>
      </c>
      <c r="Q121" s="38">
        <v>3167</v>
      </c>
      <c r="R121" s="38">
        <v>102.617</v>
      </c>
      <c r="Y121" s="38" t="str">
        <v>error:decode_json_crv: Error parsing JSON:_x000D_
error_x000D_
^_x000D_
Expecting '{' or '['</v>
      </c>
      <c r="Z121" s="38" t="str">
        <v>error:decode_json_crv: Error parsing JSON:_x000D_
error_x000D_
^_x000D_
Expecting '{' or '['</v>
      </c>
      <c r="AB121" s="38" t="str">
        <v>error:decode_json_crv: Error parsing JSON:_x000D_
error_x000D_
^_x000D_
Expecting '{' or '['</v>
      </c>
      <c r="AC121" s="38" t="str">
        <v>error:decode_json_crv: Error parsing JSON:_x000D_
error_x000D_
^_x000D_
Expecting '{' or '['</v>
      </c>
    </row>
    <row r="122" spans="2:32" x14ac:dyDescent="0.25">
      <c r="B122" s="38">
        <v>3278</v>
      </c>
      <c r="C122" s="38">
        <v>95.759</v>
      </c>
      <c r="E122" s="38">
        <v>3278</v>
      </c>
      <c r="F122" s="38">
        <v>104.828</v>
      </c>
      <c r="N122" s="38">
        <v>3278</v>
      </c>
      <c r="O122" s="38">
        <v>65.641999999999996</v>
      </c>
      <c r="Q122" s="38">
        <v>3278</v>
      </c>
      <c r="R122" s="38">
        <v>104.807</v>
      </c>
      <c r="Y122" s="38" t="str">
        <v>error:decode_json_crv: Error parsing JSON:_x000D_
error_x000D_
^_x000D_
Expecting '{' or '['</v>
      </c>
      <c r="Z122" s="38" t="str">
        <v>error:decode_json_crv: Error parsing JSON:_x000D_
error_x000D_
^_x000D_
Expecting '{' or '['</v>
      </c>
      <c r="AB122" s="38" t="str">
        <v>error:decode_json_crv: Error parsing JSON:_x000D_
error_x000D_
^_x000D_
Expecting '{' or '['</v>
      </c>
      <c r="AC122" s="38" t="str">
        <v>error:decode_json_crv: Error parsing JSON:_x000D_
error_x000D_
^_x000D_
Expecting '{' or '['</v>
      </c>
    </row>
    <row r="123" spans="2:32" x14ac:dyDescent="0.25">
      <c r="B123" s="38">
        <v>3389</v>
      </c>
      <c r="C123" s="38">
        <v>102.88200000000001</v>
      </c>
      <c r="E123" s="38">
        <v>3389</v>
      </c>
      <c r="F123" s="38">
        <v>105.539</v>
      </c>
      <c r="N123" s="38">
        <v>3389</v>
      </c>
      <c r="O123" s="38">
        <v>72.816999999999993</v>
      </c>
      <c r="Q123" s="38">
        <v>3389</v>
      </c>
      <c r="R123" s="38">
        <v>105.134</v>
      </c>
      <c r="Y123" s="38" t="str">
        <v>error:decode_json_crv: Error parsing JSON:_x000D_
error_x000D_
^_x000D_
Expecting '{' or '['</v>
      </c>
      <c r="Z123" s="38" t="str">
        <v>error:decode_json_crv: Error parsing JSON:_x000D_
error_x000D_
^_x000D_
Expecting '{' or '['</v>
      </c>
      <c r="AB123" s="38" t="str">
        <v>error:decode_json_crv: Error parsing JSON:_x000D_
error_x000D_
^_x000D_
Expecting '{' or '['</v>
      </c>
      <c r="AC123" s="38" t="str">
        <v>error:decode_json_crv: Error parsing JSON:_x000D_
error_x000D_
^_x000D_
Expecting '{' or '['</v>
      </c>
    </row>
    <row r="124" spans="2:32" x14ac:dyDescent="0.25">
      <c r="B124" s="38">
        <v>3500</v>
      </c>
      <c r="C124" s="38">
        <v>110</v>
      </c>
      <c r="E124" s="38">
        <v>3500</v>
      </c>
      <c r="F124" s="38">
        <v>100</v>
      </c>
      <c r="N124" s="38">
        <v>3500</v>
      </c>
      <c r="O124" s="38">
        <v>79.988</v>
      </c>
      <c r="Q124" s="38">
        <v>3500</v>
      </c>
      <c r="R124" s="38">
        <v>100</v>
      </c>
      <c r="Y124" s="38" t="str">
        <v>error:decode_json_crv: Error parsing JSON:_x000D_
error_x000D_
^_x000D_
Expecting '{' or '['</v>
      </c>
      <c r="Z124" s="38" t="str">
        <v>error:decode_json_crv: Error parsing JSON:_x000D_
error_x000D_
^_x000D_
Expecting '{' or '['</v>
      </c>
      <c r="AB124" s="38" t="str">
        <v>error:decode_json_crv: Error parsing JSON:_x000D_
error_x000D_
^_x000D_
Expecting '{' or '['</v>
      </c>
      <c r="AC124" s="38" t="str">
        <v>error:decode_json_crv: Error parsing JSON:_x000D_
error_x000D_
^_x000D_
Expecting '{' or '['</v>
      </c>
    </row>
    <row r="125" spans="2:32" x14ac:dyDescent="0.25">
      <c r="B125" s="41"/>
    </row>
    <row r="126" spans="2:32" x14ac:dyDescent="0.25">
      <c r="O126" s="41"/>
    </row>
    <row r="127" spans="2:32" x14ac:dyDescent="0.25">
      <c r="O127" s="41"/>
    </row>
    <row r="128" spans="2:32" x14ac:dyDescent="0.25">
      <c r="O128" s="41"/>
    </row>
    <row r="129" spans="15:15" x14ac:dyDescent="0.25">
      <c r="O129" s="41"/>
    </row>
    <row r="130" spans="15:15" x14ac:dyDescent="0.25">
      <c r="O130" s="41"/>
    </row>
    <row r="131" spans="15:15" x14ac:dyDescent="0.25">
      <c r="O131" s="41"/>
    </row>
    <row r="132" spans="15:15" x14ac:dyDescent="0.25">
      <c r="O132" s="41"/>
    </row>
    <row r="133" spans="15:15" x14ac:dyDescent="0.25">
      <c r="O133" s="41"/>
    </row>
    <row r="134" spans="15:15" x14ac:dyDescent="0.25">
      <c r="O134" s="41"/>
    </row>
    <row r="135" spans="15:15" x14ac:dyDescent="0.25">
      <c r="O135" s="41"/>
    </row>
    <row r="136" spans="15:15" x14ac:dyDescent="0.25">
      <c r="O136" s="41"/>
    </row>
    <row r="137" spans="15:15" x14ac:dyDescent="0.25">
      <c r="O137" s="41"/>
    </row>
    <row r="138" spans="15:15" x14ac:dyDescent="0.25">
      <c r="O138" s="41"/>
    </row>
    <row r="139" spans="15:15" x14ac:dyDescent="0.25">
      <c r="O139" s="41"/>
    </row>
    <row r="140" spans="15:15" x14ac:dyDescent="0.25">
      <c r="O140" s="41"/>
    </row>
  </sheetData>
  <mergeCells count="12">
    <mergeCell ref="V2:W2"/>
    <mergeCell ref="V3:W3"/>
    <mergeCell ref="B3:E3"/>
    <mergeCell ref="B4:E4"/>
    <mergeCell ref="B5:E5"/>
    <mergeCell ref="V9:W9"/>
    <mergeCell ref="V6:W6"/>
    <mergeCell ref="B6:E8"/>
    <mergeCell ref="V4:W4"/>
    <mergeCell ref="V5:W5"/>
    <mergeCell ref="V7:W7"/>
    <mergeCell ref="V8:W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">
                <anchor moveWithCells="1" sizeWithCells="1">
                  <from>
                    <xdr:col>9</xdr:col>
                    <xdr:colOff>304800</xdr:colOff>
                    <xdr:row>62</xdr:row>
                    <xdr:rowOff>28575</xdr:rowOff>
                  </from>
                  <to>
                    <xdr:col>12</xdr:col>
                    <xdr:colOff>257175</xdr:colOff>
                    <xdr:row>64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75</vt:i4>
      </vt:variant>
    </vt:vector>
  </HeadingPairs>
  <TitlesOfParts>
    <vt:vector size="76" baseType="lpstr">
      <vt:lpstr>exercise_pipeline</vt:lpstr>
      <vt:lpstr>exercise_pipeline!Bob_</vt:lpstr>
      <vt:lpstr>calc_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calc_from_pwf_</vt:lpstr>
      <vt:lpstr>calc_from_pwh_</vt:lpstr>
      <vt:lpstr>exercise_pipeline!calibr_fric</vt:lpstr>
      <vt:lpstr>exercise_pipeline!calibr_grav</vt:lpstr>
      <vt:lpstr>calibr_li</vt:lpstr>
      <vt:lpstr>calibr_st</vt:lpstr>
      <vt:lpstr>exercise_pipeline!calibr_type</vt:lpstr>
      <vt:lpstr>construction</vt:lpstr>
      <vt:lpstr>dcas</vt:lpstr>
      <vt:lpstr>dint</vt:lpstr>
      <vt:lpstr>ESP_freq</vt:lpstr>
      <vt:lpstr>ESP_head_nom</vt:lpstr>
      <vt:lpstr>ESP_ID</vt:lpstr>
      <vt:lpstr>esp_json_</vt:lpstr>
      <vt:lpstr>ESP_num_stages</vt:lpstr>
      <vt:lpstr>ESP_q_nom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Gas_model</vt:lpstr>
      <vt:lpstr>exercise_pipeline!gas_only_</vt:lpstr>
      <vt:lpstr>Gas_stage_by_stage</vt:lpstr>
      <vt:lpstr>h_perf_</vt:lpstr>
      <vt:lpstr>h_tub_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ipr_json_</vt:lpstr>
      <vt:lpstr>exercise_pipeline!Ksep</vt:lpstr>
      <vt:lpstr>exercise_pipeline!muob_</vt:lpstr>
      <vt:lpstr>exercise_pipeline!Pb_</vt:lpstr>
      <vt:lpstr>Pb__</vt:lpstr>
      <vt:lpstr>exercise_pipeline!Pbuf_</vt:lpstr>
      <vt:lpstr>PI_</vt:lpstr>
      <vt:lpstr>Pint_</vt:lpstr>
      <vt:lpstr>pkv_ratio</vt:lpstr>
      <vt:lpstr>Pres</vt:lpstr>
      <vt:lpstr>exercise_pipeline!PVT_corr_</vt:lpstr>
      <vt:lpstr>exercise_pipeline!PVTstr_</vt:lpstr>
      <vt:lpstr>exercise_pipeline!Pwf_</vt:lpstr>
      <vt:lpstr>exercise_pipeline!Qgas_free</vt:lpstr>
      <vt:lpstr>exercise_pipeline!qliq_</vt:lpstr>
      <vt:lpstr>exercise_pipeline!Rp_</vt:lpstr>
      <vt:lpstr>exercise_pipeline!Rsb_</vt:lpstr>
      <vt:lpstr>t_crit_c_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2023-04-25T05:49:24Z</dcterms:modified>
</cp:coreProperties>
</file>