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F2F8D372-DEC3-4B2C-9D16-41BA4DCA46DE}" xr6:coauthVersionLast="47" xr6:coauthVersionMax="47" xr10:uidLastSave="{00000000-0000-0000-0000-000000000000}"/>
  <bookViews>
    <workbookView xWindow="-98" yWindow="-98" windowWidth="19396" windowHeight="10395" tabRatio="510" xr2:uid="{00000000-000D-0000-FFFF-FFFF00000000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">exercise_pipeline!$Y$67</definedName>
    <definedName name="calc_along_coord" localSheetId="0">exercise_pipeline!$U$29</definedName>
    <definedName name="calc_along_coord1" localSheetId="0">exercise_pipeline!$V$29</definedName>
    <definedName name="calc_flow_direction_" localSheetId="0">exercise_pipeline!$U$31</definedName>
    <definedName name="calc_flow_direction1_" localSheetId="0">exercise_pipeline!$V$31</definedName>
    <definedName name="calc_from_pwf_">exercise_pipeline!$B$67</definedName>
    <definedName name="calc_from_pwh_">exercise_pipeline!$N$67</definedName>
    <definedName name="calibr_fric" localSheetId="0">exercise_pipeline!$X$9</definedName>
    <definedName name="calibr_grav" localSheetId="0">exercise_pipeline!$X$8</definedName>
    <definedName name="calibr_type" localSheetId="0">exercise_pipeline!$X$4</definedName>
    <definedName name="construction">exercise_pipeline!$I$14</definedName>
    <definedName name="ESP_freq">exercise_pipeline!$K$31</definedName>
    <definedName name="ESP_head_nom">exercise_pipeline!$K$28</definedName>
    <definedName name="ESP_ID">exercise_pipeline!$K$29</definedName>
    <definedName name="esp_json_">exercise_pipeline!$I$15</definedName>
    <definedName name="ESP_num_stages">exercise_pipeline!$K$30</definedName>
    <definedName name="ESP_q_nom">exercise_pipeline!$K$27</definedName>
    <definedName name="feed">exercise_pipeline!$I$12</definedName>
    <definedName name="flow_along_coord" localSheetId="0">exercise_pipeline!$U$30</definedName>
    <definedName name="flow_along_coord1" localSheetId="0">exercise_pipeline!$V$30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model">exercise_pipeline!$K$33</definedName>
    <definedName name="gas_only_" localSheetId="0">exercise_pipeline!$X$5</definedName>
    <definedName name="Gas_stage_by_stage">exercise_pipeline!$K$34</definedName>
    <definedName name="h_perf_">exercise_pipeline!$C$28</definedName>
    <definedName name="h_tub_">exercise_pipeline!$C$29</definedName>
    <definedName name="hcor" localSheetId="0">exercise_pipeline!$Q$23</definedName>
    <definedName name="Hydr_corr_" localSheetId="0">exercise_pipeline!$X$3</definedName>
    <definedName name="inclinometry" localSheetId="0">exercise_pipeline!$B$40:$C$62</definedName>
    <definedName name="input_0" localSheetId="0">exercise_pipeline!$C$11:$C$32</definedName>
    <definedName name="input_1" localSheetId="0">exercise_pipeline!$C$28:$C$32</definedName>
    <definedName name="input_2" localSheetId="0">exercise_pipeline!$X$6:$X$9</definedName>
    <definedName name="input_3" localSheetId="0">exercise_pipeline!$U$28:$U$30</definedName>
    <definedName name="input_5" localSheetId="0">exercise_pipeline!$B$40:$C$62</definedName>
    <definedName name="input_6" localSheetId="0">exercise_pipeline!$E$40:$F$59</definedName>
    <definedName name="input_7" localSheetId="0">exercise_pipeline!$H$40:$I$59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ipr_json_">exercise_pipeline!$I$16</definedName>
    <definedName name="Ksep" localSheetId="0">exercise_pipeline!$K$32</definedName>
    <definedName name="muob_" localSheetId="0">exercise_pipeline!$C$18</definedName>
    <definedName name="Pb_" localSheetId="0">exercise_pipeline!$C$15</definedName>
    <definedName name="Pb__">exercise_pipeline!$P$29</definedName>
    <definedName name="Pbuf_" localSheetId="0">exercise_pipeline!$K$21</definedName>
    <definedName name="PI_">exercise_pipeline!$P$28</definedName>
    <definedName name="Pint_">exercise_pipeline!$K$22</definedName>
    <definedName name="Pres">exercise_pipeline!$P$27</definedName>
    <definedName name="PVT_corr_" localSheetId="0">exercise_pipeline!$X$2</definedName>
    <definedName name="PVTstr_" localSheetId="0">exercise_pipeline!$I$11</definedName>
    <definedName name="Pwf_" localSheetId="0">exercise_pipeline!$K$23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crit_c_">exercise_pipeline!$P$34</definedName>
    <definedName name="t_model">exercise_pipeline!$I$13</definedName>
    <definedName name="T0" localSheetId="0">exercise_pipeline!$K$24</definedName>
    <definedName name="T1_" localSheetId="0">exercise_pipeline!$K$25</definedName>
    <definedName name="temp_model" localSheetId="0">exercise_pipeline!$Q$24</definedName>
    <definedName name="tempm" localSheetId="0">exercise_pipeline!$Q$24</definedName>
    <definedName name="Tres_" localSheetId="0">exercise_pipeline!$C$16</definedName>
    <definedName name="znlf">exercise_pipeline!$X$6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9" i="3" l="1"/>
  <c r="E16" i="3"/>
  <c r="E15" i="3"/>
  <c r="E22" i="3"/>
  <c r="E14" i="3"/>
  <c r="E13" i="3"/>
  <c r="E12" i="3"/>
  <c r="E11" i="3"/>
  <c r="Y70" i="3" a="1"/>
  <c r="I11" i="3"/>
  <c r="I12" i="3" s="1" a="1"/>
  <c r="I14" i="3" a="1"/>
  <c r="K29" i="3" a="1"/>
  <c r="G1" i="3"/>
  <c r="Q7" i="3" a="1"/>
  <c r="I16" i="3"/>
  <c r="N70" i="3" a="1"/>
  <c r="B70" i="3" a="1"/>
  <c r="I13" i="3" a="1"/>
  <c r="Q7" i="3" l="1"/>
  <c r="K29" i="3"/>
  <c r="I14" i="3"/>
  <c r="I12" i="3"/>
  <c r="Z71" i="3"/>
  <c r="Z73" i="3"/>
  <c r="Z75" i="3"/>
  <c r="Z77" i="3"/>
  <c r="Z79" i="3"/>
  <c r="Z81" i="3"/>
  <c r="Y75" i="3"/>
  <c r="Y79" i="3"/>
  <c r="Y70" i="3"/>
  <c r="Y72" i="3"/>
  <c r="Y74" i="3"/>
  <c r="Y76" i="3"/>
  <c r="Y78" i="3"/>
  <c r="Y80" i="3"/>
  <c r="Y82" i="3"/>
  <c r="Z70" i="3"/>
  <c r="Z72" i="3"/>
  <c r="Z74" i="3"/>
  <c r="Z76" i="3"/>
  <c r="Z78" i="3"/>
  <c r="Z80" i="3"/>
  <c r="Z82" i="3"/>
  <c r="Y71" i="3"/>
  <c r="Y73" i="3"/>
  <c r="Y77" i="3"/>
  <c r="Y81" i="3"/>
  <c r="N70" i="3"/>
  <c r="O70" i="3"/>
  <c r="N71" i="3"/>
  <c r="O71" i="3"/>
  <c r="N72" i="3"/>
  <c r="O72" i="3"/>
  <c r="N73" i="3"/>
  <c r="O73" i="3"/>
  <c r="N74" i="3"/>
  <c r="O74" i="3"/>
  <c r="N75" i="3"/>
  <c r="O75" i="3"/>
  <c r="N76" i="3"/>
  <c r="O76" i="3"/>
  <c r="N77" i="3"/>
  <c r="O77" i="3"/>
  <c r="N78" i="3"/>
  <c r="O78" i="3"/>
  <c r="N79" i="3"/>
  <c r="O79" i="3"/>
  <c r="N80" i="3"/>
  <c r="O80" i="3"/>
  <c r="N81" i="3"/>
  <c r="O81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I13" i="3"/>
  <c r="K30" i="3" a="1"/>
  <c r="AB86" i="3" a="1"/>
  <c r="T86" i="3" a="1"/>
  <c r="I15" i="3"/>
  <c r="AE86" i="3" a="1"/>
  <c r="B86" i="3" a="1"/>
  <c r="N86" i="3" a="1"/>
  <c r="E86" i="3" a="1"/>
  <c r="Y86" i="3" a="1"/>
  <c r="Q86" i="3" a="1"/>
  <c r="H86" i="3" a="1"/>
  <c r="K30" i="3" l="1"/>
  <c r="AE86" i="3"/>
  <c r="AF86" i="3"/>
  <c r="AE87" i="3"/>
  <c r="AF87" i="3"/>
  <c r="AE88" i="3"/>
  <c r="AF88" i="3"/>
  <c r="AE89" i="3"/>
  <c r="AF89" i="3"/>
  <c r="AE90" i="3"/>
  <c r="AF90" i="3"/>
  <c r="AE91" i="3"/>
  <c r="AF91" i="3"/>
  <c r="AE92" i="3"/>
  <c r="AF92" i="3"/>
  <c r="AE93" i="3"/>
  <c r="AF93" i="3"/>
  <c r="AE94" i="3"/>
  <c r="AF94" i="3"/>
  <c r="AE95" i="3"/>
  <c r="AF95" i="3"/>
  <c r="AE96" i="3"/>
  <c r="AF96" i="3"/>
  <c r="AE97" i="3"/>
  <c r="AF97" i="3"/>
  <c r="AE98" i="3"/>
  <c r="AF98" i="3"/>
  <c r="AE99" i="3"/>
  <c r="AF99" i="3"/>
  <c r="AE100" i="3"/>
  <c r="AF100" i="3"/>
  <c r="AE101" i="3"/>
  <c r="AF101" i="3"/>
  <c r="AE102" i="3"/>
  <c r="AF102" i="3"/>
  <c r="AE103" i="3"/>
  <c r="AF103" i="3"/>
  <c r="AE104" i="3"/>
  <c r="AF104" i="3"/>
  <c r="AE105" i="3"/>
  <c r="AF105" i="3"/>
  <c r="AE106" i="3"/>
  <c r="AF106" i="3"/>
  <c r="AE107" i="3"/>
  <c r="AF107" i="3"/>
  <c r="AE108" i="3"/>
  <c r="AF108" i="3"/>
  <c r="AE109" i="3"/>
  <c r="AF109" i="3"/>
  <c r="AE110" i="3"/>
  <c r="AF110" i="3"/>
  <c r="AE111" i="3"/>
  <c r="AF111" i="3"/>
  <c r="AB86" i="3"/>
  <c r="AC86" i="3"/>
  <c r="AB87" i="3"/>
  <c r="AC87" i="3"/>
  <c r="AB88" i="3"/>
  <c r="AC88" i="3"/>
  <c r="AB89" i="3"/>
  <c r="AC89" i="3"/>
  <c r="AB90" i="3"/>
  <c r="AC90" i="3"/>
  <c r="AB91" i="3"/>
  <c r="AC91" i="3"/>
  <c r="AB92" i="3"/>
  <c r="AC92" i="3"/>
  <c r="AB93" i="3"/>
  <c r="AC93" i="3"/>
  <c r="AB94" i="3"/>
  <c r="AC94" i="3"/>
  <c r="AB95" i="3"/>
  <c r="AC95" i="3"/>
  <c r="AB96" i="3"/>
  <c r="AC96" i="3"/>
  <c r="AB97" i="3"/>
  <c r="AC97" i="3"/>
  <c r="AB98" i="3"/>
  <c r="AC98" i="3"/>
  <c r="AB99" i="3"/>
  <c r="AC99" i="3"/>
  <c r="AB100" i="3"/>
  <c r="AC100" i="3"/>
  <c r="AB101" i="3"/>
  <c r="AC101" i="3"/>
  <c r="AB102" i="3"/>
  <c r="AC102" i="3"/>
  <c r="AB103" i="3"/>
  <c r="AC103" i="3"/>
  <c r="AB104" i="3"/>
  <c r="AC104" i="3"/>
  <c r="AB105" i="3"/>
  <c r="AC105" i="3"/>
  <c r="AB106" i="3"/>
  <c r="AC106" i="3"/>
  <c r="AB107" i="3"/>
  <c r="AC107" i="3"/>
  <c r="AB108" i="3"/>
  <c r="AC108" i="3"/>
  <c r="AB109" i="3"/>
  <c r="AC109" i="3"/>
  <c r="AB110" i="3"/>
  <c r="AC110" i="3"/>
  <c r="AB111" i="3"/>
  <c r="AC111" i="3"/>
  <c r="AB112" i="3"/>
  <c r="AC112" i="3"/>
  <c r="AB113" i="3"/>
  <c r="AC113" i="3"/>
  <c r="AB114" i="3"/>
  <c r="AC114" i="3"/>
  <c r="AB115" i="3"/>
  <c r="AC115" i="3"/>
  <c r="AB116" i="3"/>
  <c r="AC116" i="3"/>
  <c r="AB117" i="3"/>
  <c r="AC117" i="3"/>
  <c r="AB118" i="3"/>
  <c r="AC118" i="3"/>
  <c r="AB119" i="3"/>
  <c r="AC119" i="3"/>
  <c r="AB120" i="3"/>
  <c r="AC120" i="3"/>
  <c r="AB121" i="3"/>
  <c r="AC121" i="3"/>
  <c r="Y86" i="3"/>
  <c r="Z86" i="3"/>
  <c r="Y87" i="3"/>
  <c r="Z87" i="3"/>
  <c r="Y88" i="3"/>
  <c r="Z88" i="3"/>
  <c r="Y89" i="3"/>
  <c r="Z89" i="3"/>
  <c r="Y90" i="3"/>
  <c r="Z90" i="3"/>
  <c r="Y91" i="3"/>
  <c r="Z91" i="3"/>
  <c r="Y92" i="3"/>
  <c r="Z92" i="3"/>
  <c r="Y93" i="3"/>
  <c r="Z93" i="3"/>
  <c r="Y94" i="3"/>
  <c r="Z94" i="3"/>
  <c r="Y95" i="3"/>
  <c r="Z95" i="3"/>
  <c r="Y96" i="3"/>
  <c r="Z96" i="3"/>
  <c r="Y97" i="3"/>
  <c r="Z97" i="3"/>
  <c r="Y98" i="3"/>
  <c r="Z98" i="3"/>
  <c r="Y99" i="3"/>
  <c r="Z99" i="3"/>
  <c r="Y100" i="3"/>
  <c r="Z100" i="3"/>
  <c r="Y101" i="3"/>
  <c r="Z101" i="3"/>
  <c r="Y102" i="3"/>
  <c r="Z102" i="3"/>
  <c r="Y103" i="3"/>
  <c r="Z103" i="3"/>
  <c r="Y104" i="3"/>
  <c r="Z104" i="3"/>
  <c r="Y105" i="3"/>
  <c r="Z105" i="3"/>
  <c r="Y106" i="3"/>
  <c r="Z106" i="3"/>
  <c r="Y107" i="3"/>
  <c r="Z107" i="3"/>
  <c r="Y108" i="3"/>
  <c r="Z108" i="3"/>
  <c r="Y109" i="3"/>
  <c r="Z109" i="3"/>
  <c r="Y110" i="3"/>
  <c r="Z110" i="3"/>
  <c r="Y111" i="3"/>
  <c r="Z111" i="3"/>
  <c r="Y112" i="3"/>
  <c r="Z112" i="3"/>
  <c r="Y113" i="3"/>
  <c r="Z113" i="3"/>
  <c r="Y114" i="3"/>
  <c r="Z114" i="3"/>
  <c r="Y115" i="3"/>
  <c r="Z115" i="3"/>
  <c r="Y116" i="3"/>
  <c r="Z116" i="3"/>
  <c r="Y117" i="3"/>
  <c r="Z117" i="3"/>
  <c r="Y118" i="3"/>
  <c r="Z118" i="3"/>
  <c r="Y119" i="3"/>
  <c r="Z119" i="3"/>
  <c r="Y120" i="3"/>
  <c r="Z120" i="3"/>
  <c r="Y121" i="3"/>
  <c r="Z121" i="3"/>
  <c r="T86" i="3"/>
  <c r="U86" i="3"/>
  <c r="T87" i="3"/>
  <c r="U87" i="3"/>
  <c r="T88" i="3"/>
  <c r="U88" i="3"/>
  <c r="T89" i="3"/>
  <c r="U89" i="3"/>
  <c r="T90" i="3"/>
  <c r="U90" i="3"/>
  <c r="T91" i="3"/>
  <c r="U91" i="3"/>
  <c r="T92" i="3"/>
  <c r="U92" i="3"/>
  <c r="T93" i="3"/>
  <c r="U93" i="3"/>
  <c r="T94" i="3"/>
  <c r="U94" i="3"/>
  <c r="T95" i="3"/>
  <c r="U95" i="3"/>
  <c r="T96" i="3"/>
  <c r="U96" i="3"/>
  <c r="T97" i="3"/>
  <c r="U97" i="3"/>
  <c r="T98" i="3"/>
  <c r="U98" i="3"/>
  <c r="T99" i="3"/>
  <c r="U99" i="3"/>
  <c r="T100" i="3"/>
  <c r="U100" i="3"/>
  <c r="T101" i="3"/>
  <c r="U101" i="3"/>
  <c r="T102" i="3"/>
  <c r="U102" i="3"/>
  <c r="T103" i="3"/>
  <c r="U103" i="3"/>
  <c r="T104" i="3"/>
  <c r="U104" i="3"/>
  <c r="T105" i="3"/>
  <c r="U105" i="3"/>
  <c r="T106" i="3"/>
  <c r="U106" i="3"/>
  <c r="T107" i="3"/>
  <c r="U107" i="3"/>
  <c r="T108" i="3"/>
  <c r="U108" i="3"/>
  <c r="T109" i="3"/>
  <c r="U109" i="3"/>
  <c r="T110" i="3"/>
  <c r="U110" i="3"/>
  <c r="T111" i="3"/>
  <c r="U111" i="3"/>
  <c r="Q86" i="3"/>
  <c r="R86" i="3"/>
  <c r="Q87" i="3"/>
  <c r="R87" i="3"/>
  <c r="Q88" i="3"/>
  <c r="R88" i="3"/>
  <c r="Q89" i="3"/>
  <c r="R89" i="3"/>
  <c r="Q90" i="3"/>
  <c r="R90" i="3"/>
  <c r="Q91" i="3"/>
  <c r="R91" i="3"/>
  <c r="Q92" i="3"/>
  <c r="R92" i="3"/>
  <c r="Q93" i="3"/>
  <c r="R93" i="3"/>
  <c r="Q94" i="3"/>
  <c r="R94" i="3"/>
  <c r="Q95" i="3"/>
  <c r="R95" i="3"/>
  <c r="Q96" i="3"/>
  <c r="R96" i="3"/>
  <c r="Q97" i="3"/>
  <c r="R97" i="3"/>
  <c r="Q98" i="3"/>
  <c r="R98" i="3"/>
  <c r="Q99" i="3"/>
  <c r="R99" i="3"/>
  <c r="Q100" i="3"/>
  <c r="R100" i="3"/>
  <c r="Q101" i="3"/>
  <c r="R101" i="3"/>
  <c r="Q102" i="3"/>
  <c r="R102" i="3"/>
  <c r="Q103" i="3"/>
  <c r="R103" i="3"/>
  <c r="Q104" i="3"/>
  <c r="R104" i="3"/>
  <c r="Q105" i="3"/>
  <c r="R105" i="3"/>
  <c r="Q106" i="3"/>
  <c r="R106" i="3"/>
  <c r="Q107" i="3"/>
  <c r="R107" i="3"/>
  <c r="Q108" i="3"/>
  <c r="R108" i="3"/>
  <c r="Q109" i="3"/>
  <c r="R109" i="3"/>
  <c r="Q110" i="3"/>
  <c r="R110" i="3"/>
  <c r="Q111" i="3"/>
  <c r="R111" i="3"/>
  <c r="Q112" i="3"/>
  <c r="R112" i="3"/>
  <c r="Q113" i="3"/>
  <c r="R113" i="3"/>
  <c r="Q114" i="3"/>
  <c r="R114" i="3"/>
  <c r="Q115" i="3"/>
  <c r="R115" i="3"/>
  <c r="Q116" i="3"/>
  <c r="R116" i="3"/>
  <c r="Q117" i="3"/>
  <c r="R117" i="3"/>
  <c r="Q118" i="3"/>
  <c r="R118" i="3"/>
  <c r="Q119" i="3"/>
  <c r="R119" i="3"/>
  <c r="Q120" i="3"/>
  <c r="R120" i="3"/>
  <c r="Q121" i="3"/>
  <c r="R121" i="3"/>
  <c r="N86" i="3"/>
  <c r="O86" i="3"/>
  <c r="N87" i="3"/>
  <c r="O87" i="3"/>
  <c r="N88" i="3"/>
  <c r="O88" i="3"/>
  <c r="N89" i="3"/>
  <c r="O89" i="3"/>
  <c r="N90" i="3"/>
  <c r="O90" i="3"/>
  <c r="N91" i="3"/>
  <c r="O91" i="3"/>
  <c r="N92" i="3"/>
  <c r="O92" i="3"/>
  <c r="N93" i="3"/>
  <c r="O93" i="3"/>
  <c r="N94" i="3"/>
  <c r="O94" i="3"/>
  <c r="N95" i="3"/>
  <c r="O95" i="3"/>
  <c r="N96" i="3"/>
  <c r="O96" i="3"/>
  <c r="N97" i="3"/>
  <c r="O97" i="3"/>
  <c r="N98" i="3"/>
  <c r="O98" i="3"/>
  <c r="N99" i="3"/>
  <c r="O99" i="3"/>
  <c r="N100" i="3"/>
  <c r="O100" i="3"/>
  <c r="N101" i="3"/>
  <c r="O101" i="3"/>
  <c r="N102" i="3"/>
  <c r="O102" i="3"/>
  <c r="N103" i="3"/>
  <c r="O103" i="3"/>
  <c r="N104" i="3"/>
  <c r="O104" i="3"/>
  <c r="N105" i="3"/>
  <c r="O105" i="3"/>
  <c r="N106" i="3"/>
  <c r="O106" i="3"/>
  <c r="N107" i="3"/>
  <c r="O107" i="3"/>
  <c r="N108" i="3"/>
  <c r="O108" i="3"/>
  <c r="N109" i="3"/>
  <c r="O109" i="3"/>
  <c r="N110" i="3"/>
  <c r="O110" i="3"/>
  <c r="N111" i="3"/>
  <c r="O111" i="3"/>
  <c r="N112" i="3"/>
  <c r="O112" i="3"/>
  <c r="N113" i="3"/>
  <c r="O113" i="3"/>
  <c r="N114" i="3"/>
  <c r="O114" i="3"/>
  <c r="N115" i="3"/>
  <c r="O115" i="3"/>
  <c r="N116" i="3"/>
  <c r="O116" i="3"/>
  <c r="N117" i="3"/>
  <c r="O117" i="3"/>
  <c r="N118" i="3"/>
  <c r="O118" i="3"/>
  <c r="N119" i="3"/>
  <c r="O119" i="3"/>
  <c r="N120" i="3"/>
  <c r="O120" i="3"/>
  <c r="N121" i="3"/>
  <c r="O121" i="3"/>
  <c r="H86" i="3"/>
  <c r="I86" i="3"/>
  <c r="H87" i="3"/>
  <c r="I87" i="3"/>
  <c r="H88" i="3"/>
  <c r="I88" i="3"/>
  <c r="H89" i="3"/>
  <c r="I89" i="3"/>
  <c r="H90" i="3"/>
  <c r="I90" i="3"/>
  <c r="H91" i="3"/>
  <c r="I91" i="3"/>
  <c r="H92" i="3"/>
  <c r="I92" i="3"/>
  <c r="H93" i="3"/>
  <c r="I93" i="3"/>
  <c r="H94" i="3"/>
  <c r="I94" i="3"/>
  <c r="H95" i="3"/>
  <c r="I95" i="3"/>
  <c r="H96" i="3"/>
  <c r="I96" i="3"/>
  <c r="H97" i="3"/>
  <c r="I97" i="3"/>
  <c r="H98" i="3"/>
  <c r="I98" i="3"/>
  <c r="H99" i="3"/>
  <c r="I99" i="3"/>
  <c r="H100" i="3"/>
  <c r="I100" i="3"/>
  <c r="H101" i="3"/>
  <c r="I101" i="3"/>
  <c r="H102" i="3"/>
  <c r="I102" i="3"/>
  <c r="H103" i="3"/>
  <c r="I103" i="3"/>
  <c r="H104" i="3"/>
  <c r="I104" i="3"/>
  <c r="H105" i="3"/>
  <c r="I105" i="3"/>
  <c r="H106" i="3"/>
  <c r="I106" i="3"/>
  <c r="H107" i="3"/>
  <c r="I107" i="3"/>
  <c r="H108" i="3"/>
  <c r="I108" i="3"/>
  <c r="H109" i="3"/>
  <c r="I109" i="3"/>
  <c r="H110" i="3"/>
  <c r="I110" i="3"/>
  <c r="H111" i="3"/>
  <c r="I111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E98" i="3"/>
  <c r="F98" i="3"/>
  <c r="E99" i="3"/>
  <c r="F99" i="3"/>
  <c r="E100" i="3"/>
  <c r="F100" i="3"/>
  <c r="E101" i="3"/>
  <c r="F101" i="3"/>
  <c r="E102" i="3"/>
  <c r="F102" i="3"/>
  <c r="E103" i="3"/>
  <c r="F103" i="3"/>
  <c r="E104" i="3"/>
  <c r="F104" i="3"/>
  <c r="E105" i="3"/>
  <c r="F105" i="3"/>
  <c r="E106" i="3"/>
  <c r="F106" i="3"/>
  <c r="E107" i="3"/>
  <c r="F107" i="3"/>
  <c r="E108" i="3"/>
  <c r="F108" i="3"/>
  <c r="E109" i="3"/>
  <c r="F109" i="3"/>
  <c r="E110" i="3"/>
  <c r="F110" i="3"/>
  <c r="E111" i="3"/>
  <c r="F111" i="3"/>
  <c r="E112" i="3"/>
  <c r="F112" i="3"/>
  <c r="E113" i="3"/>
  <c r="F113" i="3"/>
  <c r="E114" i="3"/>
  <c r="F114" i="3"/>
  <c r="E115" i="3"/>
  <c r="F115" i="3"/>
  <c r="E116" i="3"/>
  <c r="F116" i="3"/>
  <c r="E117" i="3"/>
  <c r="F117" i="3"/>
  <c r="E118" i="3"/>
  <c r="F118" i="3"/>
  <c r="E119" i="3"/>
  <c r="F119" i="3"/>
  <c r="E120" i="3"/>
  <c r="F120" i="3"/>
  <c r="E121" i="3"/>
  <c r="F121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2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2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sharedStrings.xml><?xml version="1.0" encoding="utf-8"?>
<sst xmlns="http://schemas.openxmlformats.org/spreadsheetml/2006/main" count="139" uniqueCount="109">
  <si>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</si>
  <si>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</si>
  <si>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</si>
  <si>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</si>
  <si>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</si>
  <si>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</si>
  <si>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</si>
  <si>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</si>
  <si>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</si>
  <si>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</si>
  <si>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</si>
  <si>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</si>
  <si>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</si>
  <si>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</si>
  <si>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</si>
  <si>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</si>
  <si>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</si>
  <si>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</si>
  <si>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</si>
  <si>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</si>
  <si>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</si>
  <si>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</si>
  <si>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</si>
  <si>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</si>
  <si>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</si>
  <si>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</si>
  <si>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</si>
  <si>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</si>
  <si>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</si>
  <si>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</si>
  <si>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</si>
  <si>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</si>
  <si>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</si>
  <si>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</si>
  <si>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</si>
  <si>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</si>
  <si>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</si>
  <si>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</si>
  <si>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</si>
  <si>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</si>
  <si>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</si>
  <si>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</si>
  <si>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</si>
  <si>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</si>
  <si>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</si>
  <si>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</si>
  <si>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 xml:space="preserve">Температура </t>
  </si>
  <si>
    <t>input_Date</t>
  </si>
  <si>
    <t>input_Version</t>
  </si>
  <si>
    <t>Курс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</si>
  <si>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</si>
  <si>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</si>
  <si>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</si>
  <si>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</si>
  <si>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</si>
  <si>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</si>
  <si>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</si>
  <si>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</si>
  <si>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</si>
  <si>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</si>
  <si>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</si>
  <si>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</si>
  <si>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</si>
  <si>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</si>
  <si>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</si>
  <si>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</si>
  <si>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</si>
  <si>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</si>
  <si>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</si>
  <si>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</si>
  <si>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</si>
  <si>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</si>
  <si>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</si>
  <si>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</si>
  <si>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</si>
  <si>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</si>
  <si>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</si>
  <si>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</si>
  <si>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Расчет скважины с УЭЦН</t>
  </si>
  <si>
    <t>Замеры по скважине</t>
  </si>
  <si>
    <t>Диаметры 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</si>
  <si>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</si>
  <si>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Параметры ЭЦН</t>
  </si>
  <si>
    <t>Номинал</t>
  </si>
  <si>
    <t>м3/сут</t>
  </si>
  <si>
    <t>ID</t>
  </si>
  <si>
    <t>Напор</t>
  </si>
  <si>
    <t xml:space="preserve">м </t>
  </si>
  <si>
    <t>ступеней</t>
  </si>
  <si>
    <t>частота</t>
  </si>
  <si>
    <t>шт</t>
  </si>
  <si>
    <t>ЭЦН</t>
  </si>
  <si>
    <t>Параметры пласта</t>
  </si>
  <si>
    <t>Рпл</t>
  </si>
  <si>
    <t>Кпр</t>
  </si>
  <si>
    <t>Рнас</t>
  </si>
  <si>
    <t>IPR</t>
  </si>
  <si>
    <t>t_crit_C</t>
  </si>
  <si>
    <t>Гц</t>
  </si>
  <si>
    <t xml:space="preserve"> </t>
  </si>
  <si>
    <t>Pwf</t>
  </si>
  <si>
    <t>Pbuf</t>
  </si>
  <si>
    <t>Pint</t>
  </si>
  <si>
    <t>Gas model</t>
  </si>
  <si>
    <t>Gas stage by stage</t>
  </si>
  <si>
    <t>Для АСПО</t>
  </si>
  <si>
    <t>{"q_liq_sm3day":44.7162536763739,"p_wf_atma":100,"p_intake_atma":35.2098729389597,"p_dis_atma":93.7032155109153,"p_buf_atma":0.87725841537653,"h_crit_m":1476.00499003892,"c_P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0.87725841537653,0.87725841537653,0.87725841537653,0.87725841537653,0.87725841537653,1.05441437653657,2.39572477505411,4.24303727639052,6.52318224218469,9.3020110356717,12.7330809001729,16.6823878264182,21.0643889241879,25.8060643986523,30.9423029957702,36.4716663548379,42.3904884493581,48.3844105395228,54.3895340677453,60.3596546098173,66.3036086260434,73.0672529229471,79.9640208737605,86.8440873557032,93.7032155109153,35.2098729389597,42.4948519667573,49.7530964850114,56.9870411429677,64.1984659843717,71.3887189340546,78.5600071412871,85.7158387800993,92.8604749950328,100]},"c_T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33.0868142762312,33.0868142762312,33.0868142762312,33.0868142762312,33.0868142762312,33.340783793741,35.1081634627041,37.2314191846858,39.6372186061712,42.465952086323,45.8497920224772,49.3365214927043,52.7600130149006,56.1241366830898,59.4422832888359,62.7297787237091,66.0109116117037,69.3146090635591,72.6897673460504,76.2085988271315,79.9760323838368,84.1437192322079,88.8894245527392,94.4767842725327,101.288653159857,88.996710867543,91.8990710118107,94.6830500389655,97.2923249201534,99.6436316290992,101.602492337735,102.968992931276,103.470587449901,102.687843576216,100]},"c_cas_P":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1785.71428571429,1904.7619047619,1988.95058102239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11.7051652840234,11.8010867038762,11.8669992303925,12.5502380490085,14.2406243738526,16.3813084375507,22.4629785675729,28.7458402026187,35.2098729389597]},"h_dyn_m":1988.95058102239,"gas_fraction at pump":0.630838142285702,"q_gas_cas_sm3day":1053.51939044852}</t>
  </si>
  <si>
    <t>{"q_liq_sm3day":42.0403443365912,"p_wf_atma":109.618347167969,"p_intake_atma":44.9425016354199,"p_dis_atma":157.188980423352,"p_buf_atma":6.00459042575247,"h_crit_m":1495.02579701765,"c_P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6.00459042575247,8.75781494145582,12.0163917461008,15.77972893998,20.0897536656751,25.0635040236323,30.6852640849913,36.9075274956307,43.6191532303159,50.7704977530091,58.3113090387658,65.889400088113,73.426947749591,80.86915741174,88.191801019177,95.4171543308696,102.596499759437,109.616216300596,116.470066368165,123.153076982584,129.688283811963,136.541768384106,143.445002432546,150.329145439845,157.188980423352,44.9425016354199,52.215967166125,59.463660896713,66.6868965220528,73.8869802612898,81.0650207263515,88.2231233146028,95.3648116716226,102.494439622001,109.618347167969]},"c_T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24.3584787883687,25.9508414847761,27.5641515043153,29.2098938280983,30.9059810056618,32.6809736249631,34.5778139132313,36.6629038631684,39.0332259083088,41.8368279323497,45.2227271680392,48.7184504422269,52.148957629635,55.5189454393219,58.8409567484576,62.1313782659224,65.4187154538339,68.7384144440203,72.1473130371675,75.7309885821685,79.6167638568493,83.988011149653,89.0839131052353,95.2598237700873,103.040484231765,88.6065482192472,91.5453341256186,94.3780295614462,97.0501691920482,99.4790616733438,101.528089832897,102.988467107015,103.567124928382,102.80367243026,100]},"c_cas_P":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1766.51545333219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11.6894038352123,12.1310835998976,15.8099171416949,19.9275277845052,22.7758714990275,25.0713890128368,31.5744465455865,38.2151770990264,44.9425016354199]},"h_dyn_m":1766.51545333219,"gas_fraction at pump":0.552657242624104,"q_gas_cas_sm3day":940.73166329423}</t>
  </si>
  <si>
    <t>{"q_liq_sm3day":31.7192321777344,"p_wf_atma":144.269226074219,"p_intake_atma":79.9963983582302,"p_dis_atma":169.490835116058,"p_buf_atma":6.00030966492727,"h_crit_m":1560.0113778642,"c_P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6.00030966492727,8.85644902695286,12.5337442951064,17.0480940643725,22.3738524185694,28.4662899500431,35.2674261287927,42.7091833822634,50.7082649733613,59.0194908167692,67.3176684863375,75.5028618474155,83.5550823134367,91.4410091700967,99.1549989438485,106.726691061956,114.19443338032,121.477834908633,128.57494626239,135.483849229327,142.221966235319,149.059146613317,155.903910141068,162.719442649584,169.490835116058,79.9963983582302,87.2173155884052,94.4127540194127,101.583122180272,108.729066925421,115.851159605652,122.951919648372,130.047284952056,137.149737010257,144.269226074219]},"c_T":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23.2681947369668,24.8333938532978,26.4068035848838,27.9952109912733,29.6097588166825,31.2702251271598,33.0129242067038,34.9044911423511,37.06504105961,39.7049942728673,43.0715481343389,46.601092659205,50.0610913376485,53.4527515866071,56.7866677519257,60.0786479499989,63.3611942009804,66.6797542513237,70.1181043466419,73.8205402635369,78.0328824755306,83.1582214952199,89.844314729928,99.1731285719527,112.930538854783,86.9522880709358,90.0119828781452,93.0178487413339,95.9289987696623,98.6744651214443,101.121556772578,103.03548110232,104.028953800401,103.414825275034,100]},"c_cas_P":{"curve_x":"x","curve_y":"y","x":[0,119.047619047619,238.095238095238,357.142857142857,476.190476190476,595.238095238095,714.285714285714,833.333333333333,952.380952380952,1071.42857142857,1190.47619047619,1238.23471638541,1309.52380952381,1428.57142857143,1547.61904761905,1550,1666.66666666667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11.22612369716,14.3696803001859,20.1072082755456,26.2336297054836,26.3584534000159,32.6778788415467,39.1849110045492,45.6802203955655,52.1139440297217,56.2282580252207,58.7803829289391,65.8653155859063,72.9385409039837,79.9963983582302]},"h_dyn_m":1238.23471638541,"gas_fraction at pump":0.329729208760732,"q_gas_cas_sm3day":560.592236484575,"calibr_esp_head":0.533037109375}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</si>
</sst>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7" borderId="0" xfId="0" applyFill="1" applyAlignment="1"/>
    <xf numFmtId="0" fontId="0" fillId="7" borderId="0" xfId="0" applyFill="1"/>
    <xf numFmtId="0" fontId="0" fillId="8" borderId="0" xfId="0" applyFill="1"/>
    <xf numFmtId="0" fontId="0" fillId="9" borderId="0" xfId="0" applyFill="1" applyAlignment="1"/>
    <xf numFmtId="0" fontId="0" fillId="9" borderId="0" xfId="0" applyFill="1"/>
    <xf numFmtId="2" fontId="0" fillId="3" borderId="1" xfId="0" applyNumberForma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exercise_pipeline!$C$87:$C$121</c:f>
              <c:numCache>
                <c:formatCode>0</c:formatCode>
                <c:ptCount val="35"/>
                <c:pt idx="0">
                  <c:v>0.87725841537653004</c:v>
                </c:pt>
                <c:pt idx="1">
                  <c:v>0.87725841537653004</c:v>
                </c:pt>
                <c:pt idx="2">
                  <c:v>0.87725841537653004</c:v>
                </c:pt>
                <c:pt idx="3">
                  <c:v>0.87725841537653004</c:v>
                </c:pt>
                <c:pt idx="4">
                  <c:v>0.87725841537653004</c:v>
                </c:pt>
                <c:pt idx="5">
                  <c:v>1.0544143765365701</c:v>
                </c:pt>
                <c:pt idx="6">
                  <c:v>2.3957247750541102</c:v>
                </c:pt>
                <c:pt idx="7">
                  <c:v>4.2430372763905204</c:v>
                </c:pt>
                <c:pt idx="8">
                  <c:v>6.5231822421846903</c:v>
                </c:pt>
                <c:pt idx="9">
                  <c:v>9.3020110356717005</c:v>
                </c:pt>
                <c:pt idx="10">
                  <c:v>12.733080900172901</c:v>
                </c:pt>
                <c:pt idx="11">
                  <c:v>16.6823878264182</c:v>
                </c:pt>
                <c:pt idx="12">
                  <c:v>21.064388924187899</c:v>
                </c:pt>
                <c:pt idx="13">
                  <c:v>25.8060643986523</c:v>
                </c:pt>
                <c:pt idx="14">
                  <c:v>30.942302995770198</c:v>
                </c:pt>
                <c:pt idx="15">
                  <c:v>36.4716663548379</c:v>
                </c:pt>
                <c:pt idx="16">
                  <c:v>42.390488449358102</c:v>
                </c:pt>
                <c:pt idx="17">
                  <c:v>48.384410539522797</c:v>
                </c:pt>
                <c:pt idx="18">
                  <c:v>54.389534067745302</c:v>
                </c:pt>
                <c:pt idx="19">
                  <c:v>60.359654609817298</c:v>
                </c:pt>
                <c:pt idx="20">
                  <c:v>66.303608626043399</c:v>
                </c:pt>
                <c:pt idx="21">
                  <c:v>73.067252922947105</c:v>
                </c:pt>
                <c:pt idx="22">
                  <c:v>79.964020873760504</c:v>
                </c:pt>
                <c:pt idx="23">
                  <c:v>86.844087355703195</c:v>
                </c:pt>
                <c:pt idx="24">
                  <c:v>93.7032155109153</c:v>
                </c:pt>
                <c:pt idx="25">
                  <c:v>35.209872938959698</c:v>
                </c:pt>
                <c:pt idx="26">
                  <c:v>42.494851966757302</c:v>
                </c:pt>
                <c:pt idx="27">
                  <c:v>49.753096485011397</c:v>
                </c:pt>
                <c:pt idx="28">
                  <c:v>56.987041142967698</c:v>
                </c:pt>
                <c:pt idx="29">
                  <c:v>64.198465984371694</c:v>
                </c:pt>
                <c:pt idx="30">
                  <c:v>71.388718934054594</c:v>
                </c:pt>
                <c:pt idx="31">
                  <c:v>78.560007141287102</c:v>
                </c:pt>
                <c:pt idx="32">
                  <c:v>85.715838780099304</c:v>
                </c:pt>
                <c:pt idx="33">
                  <c:v>92.860474995032803</c:v>
                </c:pt>
                <c:pt idx="34">
                  <c:v>100</c:v>
                </c:pt>
              </c:numCache>
            </c:numRef>
          </c:xVal>
          <c:yVal>
            <c:numRef>
              <c:f>exercise_pipeline!$B$87:$B$121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tx>
            <c:v>затруб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exercise_pipeline!$I$87:$I$111</c:f>
              <c:numCache>
                <c:formatCode>0</c:formatCode>
                <c:ptCount val="25"/>
                <c:pt idx="0">
                  <c:v>10</c:v>
                </c:pt>
                <c:pt idx="1">
                  <c:v>10.1167165975299</c:v>
                </c:pt>
                <c:pt idx="2">
                  <c:v>10.234021213615501</c:v>
                </c:pt>
                <c:pt idx="3">
                  <c:v>10.3519285098354</c:v>
                </c:pt>
                <c:pt idx="4">
                  <c:v>10.470448047353401</c:v>
                </c:pt>
                <c:pt idx="5">
                  <c:v>10.589553992399599</c:v>
                </c:pt>
                <c:pt idx="6">
                  <c:v>10.709276112990899</c:v>
                </c:pt>
                <c:pt idx="7">
                  <c:v>10.8295936596112</c:v>
                </c:pt>
                <c:pt idx="8">
                  <c:v>10.950273383387501</c:v>
                </c:pt>
                <c:pt idx="9">
                  <c:v>11.0672325290373</c:v>
                </c:pt>
                <c:pt idx="10">
                  <c:v>11.181295767210701</c:v>
                </c:pt>
                <c:pt idx="11">
                  <c:v>11.2920621399869</c:v>
                </c:pt>
                <c:pt idx="12">
                  <c:v>11.399501297395201</c:v>
                </c:pt>
                <c:pt idx="13">
                  <c:v>11.5040011741411</c:v>
                </c:pt>
                <c:pt idx="14">
                  <c:v>11.5060769760148</c:v>
                </c:pt>
                <c:pt idx="15">
                  <c:v>11.6061351613084</c:v>
                </c:pt>
                <c:pt idx="16">
                  <c:v>11.7051652840234</c:v>
                </c:pt>
                <c:pt idx="17">
                  <c:v>11.8010867038762</c:v>
                </c:pt>
                <c:pt idx="18">
                  <c:v>11.8669992303925</c:v>
                </c:pt>
                <c:pt idx="19">
                  <c:v>12.550238049008501</c:v>
                </c:pt>
                <c:pt idx="20">
                  <c:v>14.240624373852601</c:v>
                </c:pt>
                <c:pt idx="21">
                  <c:v>16.3813084375507</c:v>
                </c:pt>
                <c:pt idx="22">
                  <c:v>22.4629785675729</c:v>
                </c:pt>
                <c:pt idx="23">
                  <c:v>28.745840202618702</c:v>
                </c:pt>
                <c:pt idx="24">
                  <c:v>35.209872938959698</c:v>
                </c:pt>
              </c:numCache>
            </c:numRef>
          </c:xVal>
          <c:yVal>
            <c:numRef>
              <c:f>exercise_pipeline!$H$87:$H$111</c:f>
              <c:numCache>
                <c:formatCode>0</c:formatCode>
                <c:ptCount val="25"/>
                <c:pt idx="0">
                  <c:v>0</c:v>
                </c:pt>
                <c:pt idx="1">
                  <c:v>119.04761904761899</c:v>
                </c:pt>
                <c:pt idx="2">
                  <c:v>238.09523809523799</c:v>
                </c:pt>
                <c:pt idx="3">
                  <c:v>357.142857142857</c:v>
                </c:pt>
                <c:pt idx="4">
                  <c:v>476.19047619047598</c:v>
                </c:pt>
                <c:pt idx="5">
                  <c:v>595.23809523809496</c:v>
                </c:pt>
                <c:pt idx="6">
                  <c:v>714.28571428571399</c:v>
                </c:pt>
                <c:pt idx="7">
                  <c:v>833.33333333333303</c:v>
                </c:pt>
                <c:pt idx="8">
                  <c:v>952.38095238095195</c:v>
                </c:pt>
                <c:pt idx="9">
                  <c:v>1071.42857142857</c:v>
                </c:pt>
                <c:pt idx="10">
                  <c:v>1190.4761904761899</c:v>
                </c:pt>
                <c:pt idx="11">
                  <c:v>1309.5238095238101</c:v>
                </c:pt>
                <c:pt idx="12">
                  <c:v>1428.57142857143</c:v>
                </c:pt>
                <c:pt idx="13">
                  <c:v>1547.61904761905</c:v>
                </c:pt>
                <c:pt idx="14">
                  <c:v>1550</c:v>
                </c:pt>
                <c:pt idx="15">
                  <c:v>1666.6666666666699</c:v>
                </c:pt>
                <c:pt idx="16">
                  <c:v>1785.7142857142901</c:v>
                </c:pt>
                <c:pt idx="17">
                  <c:v>1904.7619047619</c:v>
                </c:pt>
                <c:pt idx="18">
                  <c:v>1988.95058102239</c:v>
                </c:pt>
                <c:pt idx="19">
                  <c:v>2023.80952380952</c:v>
                </c:pt>
                <c:pt idx="20">
                  <c:v>2100</c:v>
                </c:pt>
                <c:pt idx="21">
                  <c:v>2142.8571428571399</c:v>
                </c:pt>
                <c:pt idx="22">
                  <c:v>2261.9047619047601</c:v>
                </c:pt>
                <c:pt idx="23">
                  <c:v>2380.9523809523798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42744"/>
        <c:axId val="268240392"/>
      </c:scatterChart>
      <c:valAx>
        <c:axId val="2682427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0392"/>
        <c:crosses val="autoZero"/>
        <c:crossBetween val="midCat"/>
      </c:valAx>
      <c:valAx>
        <c:axId val="26824039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8242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скважина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exercise_pipeline!$F$87:$F$121</c:f>
              <c:numCache>
                <c:formatCode>0</c:formatCode>
                <c:ptCount val="35"/>
                <c:pt idx="0">
                  <c:v>33.086814276231202</c:v>
                </c:pt>
                <c:pt idx="1">
                  <c:v>33.086814276231202</c:v>
                </c:pt>
                <c:pt idx="2">
                  <c:v>33.086814276231202</c:v>
                </c:pt>
                <c:pt idx="3">
                  <c:v>33.086814276231202</c:v>
                </c:pt>
                <c:pt idx="4">
                  <c:v>33.086814276231202</c:v>
                </c:pt>
                <c:pt idx="5">
                  <c:v>33.340783793740997</c:v>
                </c:pt>
                <c:pt idx="6">
                  <c:v>35.108163462704098</c:v>
                </c:pt>
                <c:pt idx="7">
                  <c:v>37.231419184685798</c:v>
                </c:pt>
                <c:pt idx="8">
                  <c:v>39.637218606171203</c:v>
                </c:pt>
                <c:pt idx="9">
                  <c:v>42.465952086323</c:v>
                </c:pt>
                <c:pt idx="10">
                  <c:v>45.849792022477203</c:v>
                </c:pt>
                <c:pt idx="11">
                  <c:v>49.3365214927043</c:v>
                </c:pt>
                <c:pt idx="12">
                  <c:v>52.760013014900601</c:v>
                </c:pt>
                <c:pt idx="13">
                  <c:v>56.124136683089802</c:v>
                </c:pt>
                <c:pt idx="14">
                  <c:v>59.442283288835903</c:v>
                </c:pt>
                <c:pt idx="15">
                  <c:v>62.729778723709103</c:v>
                </c:pt>
                <c:pt idx="16">
                  <c:v>66.010911611703705</c:v>
                </c:pt>
                <c:pt idx="17">
                  <c:v>69.314609063559104</c:v>
                </c:pt>
                <c:pt idx="18">
                  <c:v>72.689767346050402</c:v>
                </c:pt>
                <c:pt idx="19">
                  <c:v>76.208598827131496</c:v>
                </c:pt>
                <c:pt idx="20">
                  <c:v>79.976032383836795</c:v>
                </c:pt>
                <c:pt idx="21">
                  <c:v>84.1437192322079</c:v>
                </c:pt>
                <c:pt idx="22">
                  <c:v>88.8894245527392</c:v>
                </c:pt>
                <c:pt idx="23">
                  <c:v>94.476784272532697</c:v>
                </c:pt>
                <c:pt idx="24">
                  <c:v>101.28865315985701</c:v>
                </c:pt>
                <c:pt idx="25">
                  <c:v>88.996710867543001</c:v>
                </c:pt>
                <c:pt idx="26">
                  <c:v>91.899071011810705</c:v>
                </c:pt>
                <c:pt idx="27">
                  <c:v>94.683050038965504</c:v>
                </c:pt>
                <c:pt idx="28">
                  <c:v>97.292324920153405</c:v>
                </c:pt>
                <c:pt idx="29">
                  <c:v>99.643631629099204</c:v>
                </c:pt>
                <c:pt idx="30">
                  <c:v>101.602492337735</c:v>
                </c:pt>
                <c:pt idx="31">
                  <c:v>102.96899293127601</c:v>
                </c:pt>
                <c:pt idx="32">
                  <c:v>103.470587449901</c:v>
                </c:pt>
                <c:pt idx="33">
                  <c:v>102.687843576216</c:v>
                </c:pt>
                <c:pt idx="34">
                  <c:v>100</c:v>
                </c:pt>
              </c:numCache>
            </c:numRef>
          </c:xVal>
          <c:yVal>
            <c:numRef>
              <c:f>exercise_pipeline!$E$87:$E$121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449488"/>
        <c:axId val="266495720"/>
      </c:scatterChart>
      <c:valAx>
        <c:axId val="37944948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495720"/>
        <c:crosses val="autoZero"/>
        <c:crossBetween val="midCat"/>
      </c:valAx>
      <c:valAx>
        <c:axId val="2664957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44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exercise_pipeline!$O$87:$O$121</c:f>
              <c:numCache>
                <c:formatCode>0</c:formatCode>
                <c:ptCount val="35"/>
                <c:pt idx="0">
                  <c:v>6.00459042575247</c:v>
                </c:pt>
                <c:pt idx="1">
                  <c:v>8.7578149414558197</c:v>
                </c:pt>
                <c:pt idx="2">
                  <c:v>12.016391746100799</c:v>
                </c:pt>
                <c:pt idx="3">
                  <c:v>15.77972893998</c:v>
                </c:pt>
                <c:pt idx="4">
                  <c:v>20.089753665675101</c:v>
                </c:pt>
                <c:pt idx="5">
                  <c:v>25.063504023632301</c:v>
                </c:pt>
                <c:pt idx="6">
                  <c:v>30.685264084991299</c:v>
                </c:pt>
                <c:pt idx="7">
                  <c:v>36.907527495630703</c:v>
                </c:pt>
                <c:pt idx="8">
                  <c:v>43.619153230315902</c:v>
                </c:pt>
                <c:pt idx="9">
                  <c:v>50.770497753009103</c:v>
                </c:pt>
                <c:pt idx="10">
                  <c:v>58.311309038765799</c:v>
                </c:pt>
                <c:pt idx="11">
                  <c:v>65.889400088113007</c:v>
                </c:pt>
                <c:pt idx="12">
                  <c:v>73.426947749590994</c:v>
                </c:pt>
                <c:pt idx="13">
                  <c:v>80.869157411740005</c:v>
                </c:pt>
                <c:pt idx="14">
                  <c:v>88.191801019177007</c:v>
                </c:pt>
                <c:pt idx="15">
                  <c:v>95.417154330869593</c:v>
                </c:pt>
                <c:pt idx="16">
                  <c:v>102.59649975943699</c:v>
                </c:pt>
                <c:pt idx="17">
                  <c:v>109.61621630059599</c:v>
                </c:pt>
                <c:pt idx="18">
                  <c:v>116.47006636816501</c:v>
                </c:pt>
                <c:pt idx="19">
                  <c:v>123.153076982584</c:v>
                </c:pt>
                <c:pt idx="20">
                  <c:v>129.688283811963</c:v>
                </c:pt>
                <c:pt idx="21">
                  <c:v>136.54176838410601</c:v>
                </c:pt>
                <c:pt idx="22">
                  <c:v>143.445002432546</c:v>
                </c:pt>
                <c:pt idx="23">
                  <c:v>150.32914543984501</c:v>
                </c:pt>
                <c:pt idx="24">
                  <c:v>157.18898042335201</c:v>
                </c:pt>
                <c:pt idx="25">
                  <c:v>44.942501635419902</c:v>
                </c:pt>
                <c:pt idx="26">
                  <c:v>52.215967166124997</c:v>
                </c:pt>
                <c:pt idx="27">
                  <c:v>59.463660896713002</c:v>
                </c:pt>
                <c:pt idx="28">
                  <c:v>66.686896522052805</c:v>
                </c:pt>
                <c:pt idx="29">
                  <c:v>73.886980261289807</c:v>
                </c:pt>
                <c:pt idx="30">
                  <c:v>81.065020726351506</c:v>
                </c:pt>
                <c:pt idx="31">
                  <c:v>88.223123314602802</c:v>
                </c:pt>
                <c:pt idx="32">
                  <c:v>95.364811671622604</c:v>
                </c:pt>
                <c:pt idx="33">
                  <c:v>102.494439622001</c:v>
                </c:pt>
                <c:pt idx="34">
                  <c:v>109.61834716796901</c:v>
                </c:pt>
              </c:numCache>
            </c:numRef>
          </c:xVal>
          <c:yVal>
            <c:numRef>
              <c:f>exercise_pipeline!$N$87:$N$121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exercise_pipeline!$U$87:$U$111</c:f>
              <c:numCache>
                <c:formatCode>0</c:formatCode>
                <c:ptCount val="25"/>
                <c:pt idx="0">
                  <c:v>10</c:v>
                </c:pt>
                <c:pt idx="1">
                  <c:v>10.1167165975299</c:v>
                </c:pt>
                <c:pt idx="2">
                  <c:v>10.234021213615501</c:v>
                </c:pt>
                <c:pt idx="3">
                  <c:v>10.3519285098354</c:v>
                </c:pt>
                <c:pt idx="4">
                  <c:v>10.470448047353401</c:v>
                </c:pt>
                <c:pt idx="5">
                  <c:v>10.589553992399599</c:v>
                </c:pt>
                <c:pt idx="6">
                  <c:v>10.709276112990899</c:v>
                </c:pt>
                <c:pt idx="7">
                  <c:v>10.8295936596112</c:v>
                </c:pt>
                <c:pt idx="8">
                  <c:v>10.950273383387501</c:v>
                </c:pt>
                <c:pt idx="9">
                  <c:v>11.0672325290373</c:v>
                </c:pt>
                <c:pt idx="10">
                  <c:v>11.181295767210701</c:v>
                </c:pt>
                <c:pt idx="11">
                  <c:v>11.2920621399869</c:v>
                </c:pt>
                <c:pt idx="12">
                  <c:v>11.399501297395201</c:v>
                </c:pt>
                <c:pt idx="13">
                  <c:v>11.5040011741411</c:v>
                </c:pt>
                <c:pt idx="14">
                  <c:v>11.5060769760148</c:v>
                </c:pt>
                <c:pt idx="15">
                  <c:v>11.6061351613084</c:v>
                </c:pt>
                <c:pt idx="16">
                  <c:v>11.6894038352123</c:v>
                </c:pt>
                <c:pt idx="17">
                  <c:v>12.1310835998976</c:v>
                </c:pt>
                <c:pt idx="18">
                  <c:v>15.8099171416949</c:v>
                </c:pt>
                <c:pt idx="19">
                  <c:v>19.927527784505202</c:v>
                </c:pt>
                <c:pt idx="20">
                  <c:v>22.775871499027499</c:v>
                </c:pt>
                <c:pt idx="21">
                  <c:v>25.0713890128368</c:v>
                </c:pt>
                <c:pt idx="22">
                  <c:v>31.5744465455865</c:v>
                </c:pt>
                <c:pt idx="23">
                  <c:v>38.215177099026398</c:v>
                </c:pt>
                <c:pt idx="24">
                  <c:v>44.942501635419902</c:v>
                </c:pt>
              </c:numCache>
            </c:numRef>
          </c:xVal>
          <c:yVal>
            <c:numRef>
              <c:f>exercise_pipeline!$T$87:$T$111</c:f>
              <c:numCache>
                <c:formatCode>0</c:formatCode>
                <c:ptCount val="25"/>
                <c:pt idx="0">
                  <c:v>0</c:v>
                </c:pt>
                <c:pt idx="1">
                  <c:v>119.04761904761899</c:v>
                </c:pt>
                <c:pt idx="2">
                  <c:v>238.09523809523799</c:v>
                </c:pt>
                <c:pt idx="3">
                  <c:v>357.142857142857</c:v>
                </c:pt>
                <c:pt idx="4">
                  <c:v>476.19047619047598</c:v>
                </c:pt>
                <c:pt idx="5">
                  <c:v>595.23809523809496</c:v>
                </c:pt>
                <c:pt idx="6">
                  <c:v>714.28571428571399</c:v>
                </c:pt>
                <c:pt idx="7">
                  <c:v>833.33333333333303</c:v>
                </c:pt>
                <c:pt idx="8">
                  <c:v>952.38095238095195</c:v>
                </c:pt>
                <c:pt idx="9">
                  <c:v>1071.42857142857</c:v>
                </c:pt>
                <c:pt idx="10">
                  <c:v>1190.4761904761899</c:v>
                </c:pt>
                <c:pt idx="11">
                  <c:v>1309.5238095238101</c:v>
                </c:pt>
                <c:pt idx="12">
                  <c:v>1428.57142857143</c:v>
                </c:pt>
                <c:pt idx="13">
                  <c:v>1547.61904761905</c:v>
                </c:pt>
                <c:pt idx="14">
                  <c:v>1550</c:v>
                </c:pt>
                <c:pt idx="15">
                  <c:v>1666.6666666666699</c:v>
                </c:pt>
                <c:pt idx="16">
                  <c:v>1766.51545333219</c:v>
                </c:pt>
                <c:pt idx="17">
                  <c:v>1785.7142857142901</c:v>
                </c:pt>
                <c:pt idx="18">
                  <c:v>1904.7619047619</c:v>
                </c:pt>
                <c:pt idx="19">
                  <c:v>2023.80952380952</c:v>
                </c:pt>
                <c:pt idx="20">
                  <c:v>2100</c:v>
                </c:pt>
                <c:pt idx="21">
                  <c:v>2142.8571428571399</c:v>
                </c:pt>
                <c:pt idx="22">
                  <c:v>2261.9047619047601</c:v>
                </c:pt>
                <c:pt idx="23">
                  <c:v>2380.9523809523798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9144"/>
        <c:axId val="384284832"/>
      </c:scatterChart>
      <c:valAx>
        <c:axId val="3842891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4832"/>
        <c:crosses val="autoZero"/>
        <c:crossBetween val="midCat"/>
      </c:valAx>
      <c:valAx>
        <c:axId val="3842848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9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exercise_pipeline!$R$87:$R$121</c:f>
              <c:numCache>
                <c:formatCode>0</c:formatCode>
                <c:ptCount val="35"/>
                <c:pt idx="0">
                  <c:v>24.3584787883687</c:v>
                </c:pt>
                <c:pt idx="1">
                  <c:v>25.950841484776099</c:v>
                </c:pt>
                <c:pt idx="2">
                  <c:v>27.564151504315301</c:v>
                </c:pt>
                <c:pt idx="3">
                  <c:v>29.209893828098298</c:v>
                </c:pt>
                <c:pt idx="4">
                  <c:v>30.905981005661801</c:v>
                </c:pt>
                <c:pt idx="5">
                  <c:v>32.680973624963102</c:v>
                </c:pt>
                <c:pt idx="6">
                  <c:v>34.577813913231303</c:v>
                </c:pt>
                <c:pt idx="7">
                  <c:v>36.662903863168403</c:v>
                </c:pt>
                <c:pt idx="8">
                  <c:v>39.0332259083088</c:v>
                </c:pt>
                <c:pt idx="9">
                  <c:v>41.836827932349699</c:v>
                </c:pt>
                <c:pt idx="10">
                  <c:v>45.222727168039199</c:v>
                </c:pt>
                <c:pt idx="11">
                  <c:v>48.718450442226903</c:v>
                </c:pt>
                <c:pt idx="12">
                  <c:v>52.148957629634999</c:v>
                </c:pt>
                <c:pt idx="13">
                  <c:v>55.518945439321897</c:v>
                </c:pt>
                <c:pt idx="14">
                  <c:v>58.8409567484576</c:v>
                </c:pt>
                <c:pt idx="15">
                  <c:v>62.1313782659224</c:v>
                </c:pt>
                <c:pt idx="16">
                  <c:v>65.418715453833897</c:v>
                </c:pt>
                <c:pt idx="17">
                  <c:v>68.738414444020293</c:v>
                </c:pt>
                <c:pt idx="18">
                  <c:v>72.147313037167507</c:v>
                </c:pt>
                <c:pt idx="19">
                  <c:v>75.730988582168493</c:v>
                </c:pt>
                <c:pt idx="20">
                  <c:v>79.616763856849303</c:v>
                </c:pt>
                <c:pt idx="21">
                  <c:v>83.988011149653005</c:v>
                </c:pt>
                <c:pt idx="22">
                  <c:v>89.083913105235297</c:v>
                </c:pt>
                <c:pt idx="23">
                  <c:v>95.259823770087294</c:v>
                </c:pt>
                <c:pt idx="24">
                  <c:v>103.04048423176501</c:v>
                </c:pt>
                <c:pt idx="25">
                  <c:v>88.606548219247202</c:v>
                </c:pt>
                <c:pt idx="26">
                  <c:v>91.545334125618595</c:v>
                </c:pt>
                <c:pt idx="27">
                  <c:v>94.378029561446198</c:v>
                </c:pt>
                <c:pt idx="28">
                  <c:v>97.050169192048202</c:v>
                </c:pt>
                <c:pt idx="29">
                  <c:v>99.479061673343793</c:v>
                </c:pt>
                <c:pt idx="30">
                  <c:v>101.528089832897</c:v>
                </c:pt>
                <c:pt idx="31">
                  <c:v>102.988467107015</c:v>
                </c:pt>
                <c:pt idx="32">
                  <c:v>103.567124928382</c:v>
                </c:pt>
                <c:pt idx="33">
                  <c:v>102.80367243025999</c:v>
                </c:pt>
                <c:pt idx="34">
                  <c:v>100</c:v>
                </c:pt>
              </c:numCache>
            </c:numRef>
          </c:xVal>
          <c:yVal>
            <c:numRef>
              <c:f>exercise_pipeline!$Q$87:$Q$121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93064"/>
        <c:axId val="384282480"/>
      </c:scatterChart>
      <c:valAx>
        <c:axId val="38429306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2480"/>
        <c:crosses val="autoZero"/>
        <c:crossBetween val="midCat"/>
      </c:valAx>
      <c:valAx>
        <c:axId val="3842824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9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давления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exercise_pipeline!$Z$87:$Z$121</c:f>
              <c:numCache>
                <c:formatCode>0</c:formatCode>
                <c:ptCount val="35"/>
                <c:pt idx="0">
                  <c:v>6.0003096649272702</c:v>
                </c:pt>
                <c:pt idx="1">
                  <c:v>8.8564490269528608</c:v>
                </c:pt>
                <c:pt idx="2">
                  <c:v>12.5337442951064</c:v>
                </c:pt>
                <c:pt idx="3">
                  <c:v>17.048094064372499</c:v>
                </c:pt>
                <c:pt idx="4">
                  <c:v>22.373852418569399</c:v>
                </c:pt>
                <c:pt idx="5">
                  <c:v>28.466289950043102</c:v>
                </c:pt>
                <c:pt idx="6">
                  <c:v>35.2674261287927</c:v>
                </c:pt>
                <c:pt idx="7">
                  <c:v>42.709183382263397</c:v>
                </c:pt>
                <c:pt idx="8">
                  <c:v>50.708264973361302</c:v>
                </c:pt>
                <c:pt idx="9">
                  <c:v>59.019490816769199</c:v>
                </c:pt>
                <c:pt idx="10">
                  <c:v>67.317668486337496</c:v>
                </c:pt>
                <c:pt idx="11">
                  <c:v>75.502861847415502</c:v>
                </c:pt>
                <c:pt idx="12">
                  <c:v>83.555082313436699</c:v>
                </c:pt>
                <c:pt idx="13">
                  <c:v>91.441009170096706</c:v>
                </c:pt>
                <c:pt idx="14">
                  <c:v>99.154998943848497</c:v>
                </c:pt>
                <c:pt idx="15">
                  <c:v>106.726691061956</c:v>
                </c:pt>
                <c:pt idx="16">
                  <c:v>114.19443338032001</c:v>
                </c:pt>
                <c:pt idx="17">
                  <c:v>121.477834908633</c:v>
                </c:pt>
                <c:pt idx="18">
                  <c:v>128.57494626239</c:v>
                </c:pt>
                <c:pt idx="19">
                  <c:v>135.48384922932701</c:v>
                </c:pt>
                <c:pt idx="20">
                  <c:v>142.221966235319</c:v>
                </c:pt>
                <c:pt idx="21">
                  <c:v>149.05914661331701</c:v>
                </c:pt>
                <c:pt idx="22">
                  <c:v>155.903910141068</c:v>
                </c:pt>
                <c:pt idx="23">
                  <c:v>162.71944264958401</c:v>
                </c:pt>
                <c:pt idx="24">
                  <c:v>169.49083511605801</c:v>
                </c:pt>
                <c:pt idx="25">
                  <c:v>79.996398358230195</c:v>
                </c:pt>
                <c:pt idx="26">
                  <c:v>87.217315588405199</c:v>
                </c:pt>
                <c:pt idx="27">
                  <c:v>94.412754019412702</c:v>
                </c:pt>
                <c:pt idx="28">
                  <c:v>101.583122180272</c:v>
                </c:pt>
                <c:pt idx="29">
                  <c:v>108.72906692542099</c:v>
                </c:pt>
                <c:pt idx="30">
                  <c:v>115.851159605652</c:v>
                </c:pt>
                <c:pt idx="31">
                  <c:v>122.951919648372</c:v>
                </c:pt>
                <c:pt idx="32">
                  <c:v>130.047284952056</c:v>
                </c:pt>
                <c:pt idx="33">
                  <c:v>137.14973701025701</c:v>
                </c:pt>
                <c:pt idx="34">
                  <c:v>144.26922607421901</c:v>
                </c:pt>
              </c:numCache>
            </c:numRef>
          </c:xVal>
          <c:yVal>
            <c:numRef>
              <c:f>exercise_pipeline!$Y$87:$Y$121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exercise_pipeline!$AF$87:$AF$111</c:f>
              <c:numCache>
                <c:formatCode>0</c:formatCode>
                <c:ptCount val="25"/>
                <c:pt idx="0">
                  <c:v>10</c:v>
                </c:pt>
                <c:pt idx="1">
                  <c:v>10.1167165975299</c:v>
                </c:pt>
                <c:pt idx="2">
                  <c:v>10.234021213615501</c:v>
                </c:pt>
                <c:pt idx="3">
                  <c:v>10.3519285098354</c:v>
                </c:pt>
                <c:pt idx="4">
                  <c:v>10.470448047353401</c:v>
                </c:pt>
                <c:pt idx="5">
                  <c:v>10.589553992399599</c:v>
                </c:pt>
                <c:pt idx="6">
                  <c:v>10.709276112990899</c:v>
                </c:pt>
                <c:pt idx="7">
                  <c:v>10.8295936596112</c:v>
                </c:pt>
                <c:pt idx="8">
                  <c:v>10.950273383387501</c:v>
                </c:pt>
                <c:pt idx="9">
                  <c:v>11.0672325290373</c:v>
                </c:pt>
                <c:pt idx="10">
                  <c:v>11.181295767210701</c:v>
                </c:pt>
                <c:pt idx="11">
                  <c:v>11.22612369716</c:v>
                </c:pt>
                <c:pt idx="12">
                  <c:v>14.3696803001859</c:v>
                </c:pt>
                <c:pt idx="13">
                  <c:v>20.107208275545599</c:v>
                </c:pt>
                <c:pt idx="14">
                  <c:v>26.233629705483601</c:v>
                </c:pt>
                <c:pt idx="15">
                  <c:v>26.3584534000159</c:v>
                </c:pt>
                <c:pt idx="16">
                  <c:v>32.677878841546701</c:v>
                </c:pt>
                <c:pt idx="17">
                  <c:v>39.1849110045492</c:v>
                </c:pt>
                <c:pt idx="18">
                  <c:v>45.680220395565499</c:v>
                </c:pt>
                <c:pt idx="19">
                  <c:v>52.113944029721701</c:v>
                </c:pt>
                <c:pt idx="20">
                  <c:v>56.228258025220697</c:v>
                </c:pt>
                <c:pt idx="21">
                  <c:v>58.780382928939098</c:v>
                </c:pt>
                <c:pt idx="22">
                  <c:v>65.865315585906302</c:v>
                </c:pt>
                <c:pt idx="23">
                  <c:v>72.938540903983693</c:v>
                </c:pt>
                <c:pt idx="24">
                  <c:v>79.996398358230195</c:v>
                </c:pt>
              </c:numCache>
            </c:numRef>
          </c:xVal>
          <c:yVal>
            <c:numRef>
              <c:f>exercise_pipeline!$AE$87:$AE$111</c:f>
              <c:numCache>
                <c:formatCode>0</c:formatCode>
                <c:ptCount val="25"/>
                <c:pt idx="0">
                  <c:v>0</c:v>
                </c:pt>
                <c:pt idx="1">
                  <c:v>119.04761904761899</c:v>
                </c:pt>
                <c:pt idx="2">
                  <c:v>238.09523809523799</c:v>
                </c:pt>
                <c:pt idx="3">
                  <c:v>357.142857142857</c:v>
                </c:pt>
                <c:pt idx="4">
                  <c:v>476.19047619047598</c:v>
                </c:pt>
                <c:pt idx="5">
                  <c:v>595.23809523809496</c:v>
                </c:pt>
                <c:pt idx="6">
                  <c:v>714.28571428571399</c:v>
                </c:pt>
                <c:pt idx="7">
                  <c:v>833.33333333333303</c:v>
                </c:pt>
                <c:pt idx="8">
                  <c:v>952.38095238095195</c:v>
                </c:pt>
                <c:pt idx="9">
                  <c:v>1071.42857142857</c:v>
                </c:pt>
                <c:pt idx="10">
                  <c:v>1190.4761904761899</c:v>
                </c:pt>
                <c:pt idx="11">
                  <c:v>1238.2347163854099</c:v>
                </c:pt>
                <c:pt idx="12">
                  <c:v>1309.5238095238101</c:v>
                </c:pt>
                <c:pt idx="13">
                  <c:v>1428.57142857143</c:v>
                </c:pt>
                <c:pt idx="14">
                  <c:v>1547.61904761905</c:v>
                </c:pt>
                <c:pt idx="15">
                  <c:v>1550</c:v>
                </c:pt>
                <c:pt idx="16">
                  <c:v>1666.6666666666699</c:v>
                </c:pt>
                <c:pt idx="17">
                  <c:v>1785.7142857142901</c:v>
                </c:pt>
                <c:pt idx="18">
                  <c:v>1904.7619047619</c:v>
                </c:pt>
                <c:pt idx="19">
                  <c:v>2023.80952380952</c:v>
                </c:pt>
                <c:pt idx="20">
                  <c:v>2100</c:v>
                </c:pt>
                <c:pt idx="21">
                  <c:v>2142.8571428571399</c:v>
                </c:pt>
                <c:pt idx="22">
                  <c:v>2261.9047619047601</c:v>
                </c:pt>
                <c:pt idx="23">
                  <c:v>2380.9523809523798</c:v>
                </c:pt>
                <c:pt idx="24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87184"/>
        <c:axId val="384288752"/>
      </c:scatterChart>
      <c:valAx>
        <c:axId val="38428718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8752"/>
        <c:crosses val="autoZero"/>
        <c:crossBetween val="midCat"/>
      </c:valAx>
      <c:valAx>
        <c:axId val="3842887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</a:t>
            </a:r>
            <a:r>
              <a:rPr lang="ru-RU" baseline="0"/>
              <a:t> температуры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exercise_pipeline!$AC$87:$AC$121</c:f>
              <c:numCache>
                <c:formatCode>0</c:formatCode>
                <c:ptCount val="35"/>
                <c:pt idx="0">
                  <c:v>23.268194736966802</c:v>
                </c:pt>
                <c:pt idx="1">
                  <c:v>24.8333938532978</c:v>
                </c:pt>
                <c:pt idx="2">
                  <c:v>26.4068035848838</c:v>
                </c:pt>
                <c:pt idx="3">
                  <c:v>27.9952109912733</c:v>
                </c:pt>
                <c:pt idx="4">
                  <c:v>29.609758816682501</c:v>
                </c:pt>
                <c:pt idx="5">
                  <c:v>31.270225127159801</c:v>
                </c:pt>
                <c:pt idx="6">
                  <c:v>33.012924206703801</c:v>
                </c:pt>
                <c:pt idx="7">
                  <c:v>34.904491142351098</c:v>
                </c:pt>
                <c:pt idx="8">
                  <c:v>37.065041059610003</c:v>
                </c:pt>
                <c:pt idx="9">
                  <c:v>39.704994272867303</c:v>
                </c:pt>
                <c:pt idx="10">
                  <c:v>43.071548134338897</c:v>
                </c:pt>
                <c:pt idx="11">
                  <c:v>46.601092659205001</c:v>
                </c:pt>
                <c:pt idx="12">
                  <c:v>50.061091337648499</c:v>
                </c:pt>
                <c:pt idx="13">
                  <c:v>53.4527515866071</c:v>
                </c:pt>
                <c:pt idx="14">
                  <c:v>56.786667751925698</c:v>
                </c:pt>
                <c:pt idx="15">
                  <c:v>60.078647949998903</c:v>
                </c:pt>
                <c:pt idx="16">
                  <c:v>63.3611942009804</c:v>
                </c:pt>
                <c:pt idx="17">
                  <c:v>66.6797542513237</c:v>
                </c:pt>
                <c:pt idx="18">
                  <c:v>70.1181043466419</c:v>
                </c:pt>
                <c:pt idx="19">
                  <c:v>73.820540263536898</c:v>
                </c:pt>
                <c:pt idx="20">
                  <c:v>78.032882475530599</c:v>
                </c:pt>
                <c:pt idx="21">
                  <c:v>83.158221495219905</c:v>
                </c:pt>
                <c:pt idx="22">
                  <c:v>89.844314729928001</c:v>
                </c:pt>
                <c:pt idx="23">
                  <c:v>99.173128571952702</c:v>
                </c:pt>
                <c:pt idx="24">
                  <c:v>112.93053885478299</c:v>
                </c:pt>
                <c:pt idx="25">
                  <c:v>86.952288070935793</c:v>
                </c:pt>
                <c:pt idx="26">
                  <c:v>90.011982878145204</c:v>
                </c:pt>
                <c:pt idx="27">
                  <c:v>93.017848741333907</c:v>
                </c:pt>
                <c:pt idx="28">
                  <c:v>95.9289987696623</c:v>
                </c:pt>
                <c:pt idx="29">
                  <c:v>98.6744651214443</c:v>
                </c:pt>
                <c:pt idx="30">
                  <c:v>101.121556772578</c:v>
                </c:pt>
                <c:pt idx="31">
                  <c:v>103.03548110232001</c:v>
                </c:pt>
                <c:pt idx="32">
                  <c:v>104.028953800401</c:v>
                </c:pt>
                <c:pt idx="33">
                  <c:v>103.414825275034</c:v>
                </c:pt>
                <c:pt idx="34">
                  <c:v>100</c:v>
                </c:pt>
              </c:numCache>
            </c:numRef>
          </c:xVal>
          <c:yVal>
            <c:numRef>
              <c:f>exercise_pipeline!$AB$87:$AB$121</c:f>
              <c:numCache>
                <c:formatCode>0</c:formatCode>
                <c:ptCount val="35"/>
                <c:pt idx="0">
                  <c:v>0</c:v>
                </c:pt>
                <c:pt idx="1">
                  <c:v>104.166666666667</c:v>
                </c:pt>
                <c:pt idx="2">
                  <c:v>208.333333333333</c:v>
                </c:pt>
                <c:pt idx="3">
                  <c:v>312.5</c:v>
                </c:pt>
                <c:pt idx="4">
                  <c:v>416.66666666666703</c:v>
                </c:pt>
                <c:pt idx="5">
                  <c:v>520.83333333333303</c:v>
                </c:pt>
                <c:pt idx="6">
                  <c:v>625</c:v>
                </c:pt>
                <c:pt idx="7">
                  <c:v>729.16666666666697</c:v>
                </c:pt>
                <c:pt idx="8">
                  <c:v>833.33333333333303</c:v>
                </c:pt>
                <c:pt idx="9">
                  <c:v>937.5</c:v>
                </c:pt>
                <c:pt idx="10">
                  <c:v>1041.6666666666699</c:v>
                </c:pt>
                <c:pt idx="11">
                  <c:v>1145.8333333333301</c:v>
                </c:pt>
                <c:pt idx="12">
                  <c:v>1250</c:v>
                </c:pt>
                <c:pt idx="13">
                  <c:v>1354.1666666666699</c:v>
                </c:pt>
                <c:pt idx="14">
                  <c:v>1458.3333333333301</c:v>
                </c:pt>
                <c:pt idx="15">
                  <c:v>1562.5</c:v>
                </c:pt>
                <c:pt idx="16">
                  <c:v>1666.6666666666699</c:v>
                </c:pt>
                <c:pt idx="17">
                  <c:v>1770.8333333333301</c:v>
                </c:pt>
                <c:pt idx="18">
                  <c:v>1875</c:v>
                </c:pt>
                <c:pt idx="19">
                  <c:v>1979.1666666666699</c:v>
                </c:pt>
                <c:pt idx="20">
                  <c:v>2083.3333333333298</c:v>
                </c:pt>
                <c:pt idx="21">
                  <c:v>2187.5</c:v>
                </c:pt>
                <c:pt idx="22">
                  <c:v>2291.6666666666702</c:v>
                </c:pt>
                <c:pt idx="23">
                  <c:v>2395.8333333333298</c:v>
                </c:pt>
                <c:pt idx="24">
                  <c:v>2500</c:v>
                </c:pt>
                <c:pt idx="25">
                  <c:v>2501</c:v>
                </c:pt>
                <c:pt idx="26">
                  <c:v>2612</c:v>
                </c:pt>
                <c:pt idx="27">
                  <c:v>2723</c:v>
                </c:pt>
                <c:pt idx="28">
                  <c:v>2834</c:v>
                </c:pt>
                <c:pt idx="29">
                  <c:v>2945</c:v>
                </c:pt>
                <c:pt idx="30">
                  <c:v>3056</c:v>
                </c:pt>
                <c:pt idx="31">
                  <c:v>3167</c:v>
                </c:pt>
                <c:pt idx="32">
                  <c:v>3278</c:v>
                </c:pt>
                <c:pt idx="33">
                  <c:v>3389</c:v>
                </c:pt>
                <c:pt idx="34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39704"/>
        <c:axId val="276330688"/>
      </c:scatterChart>
      <c:valAx>
        <c:axId val="2763397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0688"/>
        <c:crosses val="autoZero"/>
        <c:crossBetween val="midCat"/>
      </c:valAx>
      <c:valAx>
        <c:axId val="27633068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 измеренная,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633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11206</xdr:colOff>
      <xdr:row>0</xdr:row>
      <xdr:rowOff>56030</xdr:rowOff>
    </xdr:from>
    <xdr:to>
      <xdr:col>14</xdr:col>
      <xdr:colOff>381451</xdr:colOff>
      <xdr:row>8</xdr:row>
      <xdr:rowOff>95250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238751" y="56030"/>
          <a:ext cx="5356862" cy="147357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0</xdr:col>
      <xdr:colOff>57510</xdr:colOff>
      <xdr:row>89</xdr:row>
      <xdr:rowOff>78888</xdr:rowOff>
    </xdr:from>
    <xdr:to>
      <xdr:col>4</xdr:col>
      <xdr:colOff>291372</xdr:colOff>
      <xdr:row>115</xdr:row>
      <xdr:rowOff>116988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112058</xdr:colOff>
      <xdr:row>61</xdr:row>
      <xdr:rowOff>142875</xdr:rowOff>
    </xdr:from>
    <xdr:to>
      <xdr:col>17</xdr:col>
      <xdr:colOff>423874</xdr:colOff>
      <xdr:row>65</xdr:row>
      <xdr:rowOff>145679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189383" y="13211175"/>
          <a:ext cx="3597941" cy="764804"/>
        </a:xfrm>
        <a:prstGeom prst="downArrowCallou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сверху вниз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669164</xdr:colOff>
      <xdr:row>61</xdr:row>
      <xdr:rowOff>153865</xdr:rowOff>
    </xdr:from>
    <xdr:to>
      <xdr:col>9</xdr:col>
      <xdr:colOff>68431</xdr:colOff>
      <xdr:row>65</xdr:row>
      <xdr:rowOff>129467</xdr:rowOff>
    </xdr:to>
    <xdr:sp macro="" textlink="">
      <xdr:nvSpPr>
        <xdr:cNvPr id="21" name="Callout: Down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266433" y="13225096"/>
          <a:ext cx="3985921" cy="737602"/>
        </a:xfrm>
        <a:prstGeom prst="down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>
              <a:solidFill>
                <a:srgbClr val="FF0000"/>
              </a:solidFill>
            </a:rPr>
            <a:t>результат расчета снизу вверх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62</xdr:row>
          <xdr:rowOff>28575</xdr:rowOff>
        </xdr:from>
        <xdr:to>
          <xdr:col>12</xdr:col>
          <xdr:colOff>257175</xdr:colOff>
          <xdr:row>64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533141</xdr:colOff>
      <xdr:row>89</xdr:row>
      <xdr:rowOff>63356</xdr:rowOff>
    </xdr:from>
    <xdr:to>
      <xdr:col>9</xdr:col>
      <xdr:colOff>453238</xdr:colOff>
      <xdr:row>115</xdr:row>
      <xdr:rowOff>101456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293078</xdr:colOff>
      <xdr:row>89</xdr:row>
      <xdr:rowOff>52166</xdr:rowOff>
    </xdr:from>
    <xdr:to>
      <xdr:col>16</xdr:col>
      <xdr:colOff>395055</xdr:colOff>
      <xdr:row>115</xdr:row>
      <xdr:rowOff>90266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468305</xdr:colOff>
      <xdr:row>89</xdr:row>
      <xdr:rowOff>65941</xdr:rowOff>
    </xdr:from>
    <xdr:to>
      <xdr:col>21</xdr:col>
      <xdr:colOff>329787</xdr:colOff>
      <xdr:row>115</xdr:row>
      <xdr:rowOff>104041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578826</xdr:colOff>
      <xdr:row>61</xdr:row>
      <xdr:rowOff>95249</xdr:rowOff>
    </xdr:from>
    <xdr:to>
      <xdr:col>29</xdr:col>
      <xdr:colOff>531623</xdr:colOff>
      <xdr:row>65</xdr:row>
      <xdr:rowOff>102576</xdr:rowOff>
    </xdr:to>
    <xdr:sp macro="" textlink="">
      <xdr:nvSpPr>
        <xdr:cNvPr id="27" name="Callout: Down Arrow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628451" y="13163549"/>
          <a:ext cx="3610397" cy="769327"/>
        </a:xfrm>
        <a:prstGeom prst="downArrowCallou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solidFill>
                <a:srgbClr val="FF0000"/>
              </a:solidFill>
            </a:rPr>
            <a:t>Результат</a:t>
          </a:r>
          <a:r>
            <a:rPr lang="ru-RU" sz="1100" baseline="0">
              <a:solidFill>
                <a:srgbClr val="FF0000"/>
              </a:solidFill>
            </a:rPr>
            <a:t> калибровки по ЭЦН для модели</a:t>
          </a:r>
          <a:endParaRPr lang="ru-RU" sz="1100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505557</xdr:colOff>
      <xdr:row>89</xdr:row>
      <xdr:rowOff>7326</xdr:rowOff>
    </xdr:from>
    <xdr:to>
      <xdr:col>28</xdr:col>
      <xdr:colOff>21380</xdr:colOff>
      <xdr:row>115</xdr:row>
      <xdr:rowOff>45426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138592</xdr:colOff>
      <xdr:row>89</xdr:row>
      <xdr:rowOff>21101</xdr:rowOff>
    </xdr:from>
    <xdr:to>
      <xdr:col>33</xdr:col>
      <xdr:colOff>271170</xdr:colOff>
      <xdr:row>115</xdr:row>
      <xdr:rowOff>59201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ESP_pump"/>
      <definedName name="encode_feed"/>
      <definedName name="encode_json"/>
      <definedName name="encode_pipe"/>
      <definedName name="encode_PVT"/>
      <definedName name="encode_t_model"/>
      <definedName name="ESP_head_m"/>
      <definedName name="ESP_id_by_r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3"/>
  <dimension ref="A1:AF137"/>
  <sheetViews>
    <sheetView tabSelected="1" topLeftCell="A21" zoomScale="55" zoomScaleNormal="55" workbookViewId="0">
      <selection activeCell="K89" sqref="K89"/>
    </sheetView>
  </sheetViews>
  <sheetFormatPr defaultRowHeight="14.25" x14ac:dyDescent="0.45"/>
  <cols>
    <col min="2" max="2" width="14.86328125" customWidth="1"/>
    <col min="3" max="3" width="10.86328125" customWidth="1"/>
    <col min="7" max="7" width="11" customWidth="1"/>
    <col min="9" max="9" width="10.3984375" customWidth="1"/>
    <col min="10" max="10" width="13" customWidth="1"/>
    <col min="11" max="11" width="12" customWidth="1"/>
    <col min="14" max="14" width="11" bestFit="1" customWidth="1"/>
    <col min="15" max="15" width="15" customWidth="1"/>
    <col min="16" max="16" width="10.73046875" bestFit="1" customWidth="1"/>
    <col min="17" max="17" width="12.59765625" customWidth="1"/>
    <col min="18" max="20" width="9.265625" bestFit="1" customWidth="1"/>
  </cols>
  <sheetData>
    <row r="1" spans="1:31" x14ac:dyDescent="0.45">
      <c r="A1" s="1" t="s">
        <v>0</v>
      </c>
      <c r="F1" t="s">
        <v>1</v>
      </c>
      <c r="G1" t="str">
        <f>[1]!unf_version()</f>
        <v>7.38</v>
      </c>
      <c r="H1" t="s">
        <v>47</v>
      </c>
      <c r="I1" s="20">
        <v>44757</v>
      </c>
      <c r="J1" s="21"/>
      <c r="K1" s="21"/>
      <c r="L1" s="21"/>
    </row>
    <row r="2" spans="1:31" x14ac:dyDescent="0.45">
      <c r="A2" t="s">
        <v>78</v>
      </c>
      <c r="H2" t="s">
        <v>48</v>
      </c>
      <c r="I2" s="22">
        <v>7.38</v>
      </c>
      <c r="J2" s="21"/>
      <c r="K2" s="21"/>
      <c r="L2" s="21"/>
      <c r="V2" s="50" t="s">
        <v>62</v>
      </c>
      <c r="W2" s="51"/>
      <c r="X2" s="3">
        <v>0</v>
      </c>
    </row>
    <row r="3" spans="1:31" x14ac:dyDescent="0.45">
      <c r="A3" s="23" t="s">
        <v>49</v>
      </c>
      <c r="B3" s="62"/>
      <c r="C3" s="63"/>
      <c r="D3" s="63"/>
      <c r="E3" s="64"/>
      <c r="H3" t="s">
        <v>50</v>
      </c>
      <c r="I3" s="21"/>
      <c r="J3" s="21"/>
      <c r="K3" s="21"/>
      <c r="L3" s="21"/>
      <c r="Q3" s="33" t="s">
        <v>77</v>
      </c>
      <c r="V3" s="50" t="s">
        <v>63</v>
      </c>
      <c r="W3" s="51"/>
      <c r="X3" s="3">
        <v>0</v>
      </c>
    </row>
    <row r="4" spans="1:31" x14ac:dyDescent="0.45">
      <c r="A4" s="23" t="s">
        <v>51</v>
      </c>
      <c r="B4" s="62" t="s">
        <v>52</v>
      </c>
      <c r="C4" s="63"/>
      <c r="D4" s="63"/>
      <c r="E4" s="64"/>
      <c r="H4" t="s">
        <v>53</v>
      </c>
      <c r="I4" s="21" t="s">
        <v>52</v>
      </c>
      <c r="J4" s="21"/>
      <c r="K4" s="21"/>
      <c r="L4" s="21"/>
      <c r="Q4" s="6" t="s">
        <v>74</v>
      </c>
      <c r="R4" s="35">
        <v>0</v>
      </c>
      <c r="V4" s="50" t="s">
        <v>64</v>
      </c>
      <c r="W4" s="51"/>
      <c r="X4" s="3">
        <v>0</v>
      </c>
    </row>
    <row r="5" spans="1:31" x14ac:dyDescent="0.45">
      <c r="A5" s="23" t="s">
        <v>54</v>
      </c>
      <c r="B5" s="62" t="s">
        <v>55</v>
      </c>
      <c r="C5" s="63"/>
      <c r="D5" s="63"/>
      <c r="E5" s="64"/>
      <c r="H5" t="s">
        <v>56</v>
      </c>
      <c r="I5" s="21" t="s">
        <v>55</v>
      </c>
      <c r="J5" s="21"/>
      <c r="K5" s="21"/>
      <c r="L5" s="21"/>
      <c r="Q5" s="6" t="s">
        <v>75</v>
      </c>
      <c r="R5" s="35">
        <v>0</v>
      </c>
      <c r="V5" s="50" t="s">
        <v>65</v>
      </c>
      <c r="W5" s="51"/>
      <c r="X5" s="3">
        <v>0</v>
      </c>
    </row>
    <row r="6" spans="1:31" x14ac:dyDescent="0.45">
      <c r="A6" s="24" t="s">
        <v>57</v>
      </c>
      <c r="B6" s="52" t="s">
        <v>58</v>
      </c>
      <c r="C6" s="53"/>
      <c r="D6" s="53"/>
      <c r="E6" s="54"/>
      <c r="H6" s="25" t="s">
        <v>59</v>
      </c>
      <c r="I6" s="26" t="s">
        <v>58</v>
      </c>
      <c r="J6" s="26"/>
      <c r="K6" s="26"/>
      <c r="L6" s="26"/>
      <c r="Q6" s="6" t="s">
        <v>76</v>
      </c>
      <c r="R6" s="35">
        <v>1</v>
      </c>
      <c r="V6" s="50" t="s">
        <v>69</v>
      </c>
      <c r="W6" s="51"/>
      <c r="X6" s="3">
        <v>0</v>
      </c>
    </row>
    <row r="7" spans="1:31" x14ac:dyDescent="0.45">
      <c r="A7" s="27"/>
      <c r="B7" s="55"/>
      <c r="C7" s="56"/>
      <c r="D7" s="56"/>
      <c r="E7" s="57"/>
      <c r="H7" s="25"/>
      <c r="I7" s="26"/>
      <c r="J7" s="26"/>
      <c r="K7" s="26"/>
      <c r="L7" s="26"/>
      <c r="Q7" s="21" t="str">
        <f t="array" ref="Q7">[1]!encode_json(Q4:R6)</f>
        <v>{"show_log":0,"num_value":0,"show_array":1}</v>
      </c>
      <c r="R7" s="21"/>
      <c r="V7" s="61" t="s">
        <v>66</v>
      </c>
      <c r="W7" s="61"/>
    </row>
    <row r="8" spans="1:31" x14ac:dyDescent="0.45">
      <c r="A8" s="28"/>
      <c r="B8" s="58"/>
      <c r="C8" s="59"/>
      <c r="D8" s="59"/>
      <c r="E8" s="60"/>
      <c r="H8" s="25"/>
      <c r="I8" s="26"/>
      <c r="J8" s="26"/>
      <c r="K8" s="26"/>
      <c r="L8" s="26"/>
      <c r="V8" s="50" t="s">
        <v>67</v>
      </c>
      <c r="W8" s="51"/>
      <c r="X8" s="3">
        <v>1</v>
      </c>
    </row>
    <row r="9" spans="1:31" x14ac:dyDescent="0.45">
      <c r="V9" s="50" t="s">
        <v>68</v>
      </c>
      <c r="W9" s="51"/>
      <c r="X9" s="3">
        <v>1</v>
      </c>
    </row>
    <row r="10" spans="1:31" x14ac:dyDescent="0.45">
      <c r="A10" s="1" t="s">
        <v>2</v>
      </c>
    </row>
    <row r="11" spans="1:31" ht="29.25" x14ac:dyDescent="0.55000000000000004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  <c r="H11" s="11" t="s">
        <v>30</v>
      </c>
      <c r="I11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J11" s="12"/>
      <c r="K11" s="12"/>
      <c r="L11" s="12"/>
      <c r="M11" s="12"/>
      <c r="N11" s="12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9"/>
    </row>
    <row r="12" spans="1:31" ht="16.5" x14ac:dyDescent="0.55000000000000004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  <c r="H12" s="11" t="s">
        <v>70</v>
      </c>
      <c r="I12" s="12" t="str">
        <f t="array" ref="I12">[1]!encode_feed(qliq_,fw_,Rp_,Qgas_free,PVTstr_)</f>
        <v>{"gamma_gas":0.8,"gamma_oil":0.87,"gamma_wat":1,"rsb_m3m3":80,"pb_atma":120,"t_res_C":100,"bob_m3m3":1.2,"muob_cP":1,"PVT_corr_set":0,"q_liq_sm3day":2,"fw_perc":40,"rp_m3m3":150}</v>
      </c>
      <c r="J12" s="12"/>
      <c r="K12" s="12"/>
      <c r="L12" s="12"/>
      <c r="M12" s="12"/>
      <c r="N12" s="12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9"/>
    </row>
    <row r="13" spans="1:31" ht="43.5" x14ac:dyDescent="0.55000000000000004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  <c r="H13" s="11" t="s">
        <v>71</v>
      </c>
      <c r="I13" s="12" t="str">
        <f t="array" ref="I13">[1]!encode_t_model(temp_model,input_6,T0,T1_)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":200,"time_calc_hr":240,"t_list_C":{"curve_x":"hvert_m","curve_y":"t_C","hvert_m":[0,1000,2500],"t_C":[20,35,90]}}</v>
      </c>
      <c r="J13" s="12"/>
      <c r="K13" s="12"/>
      <c r="L13" s="12"/>
      <c r="M13" s="12"/>
      <c r="N13" s="12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9"/>
    </row>
    <row r="14" spans="1:31" ht="29.25" x14ac:dyDescent="0.55000000000000004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  <c r="H14" s="11" t="s">
        <v>72</v>
      </c>
      <c r="I14" s="12" t="str">
        <f t="array" ref="I14">[1]!encode_pipe(B40:C52,H40:I42)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[0,1550,2100],"diam_int_mm":[62,63,125]}}</v>
      </c>
      <c r="J14" s="12"/>
      <c r="K14" s="12"/>
      <c r="L14" s="12"/>
      <c r="M14" s="12"/>
      <c r="N14" s="12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9"/>
    </row>
    <row r="15" spans="1:31" ht="15.75" x14ac:dyDescent="0.55000000000000004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  <c r="H15" s="11" t="s">
        <v>91</v>
      </c>
      <c r="I15" s="12" t="str">
        <f>[1]!encode_ESP_pump(ESP_ID,ESP_head_nom,,ESP_freq,,,,Gas_model,Gas_stage_by_stage)</f>
        <v>{"ESP_ID":737,"head_nom_m":2500,"freq_Hz":50,"gas_correct_model":2,"gas_correct_stage_by_stage":1,"calibr_head":1,"calibr_power":1,"calibr_rate":1,"dnum_stages_integrate":1}</v>
      </c>
      <c r="J15" s="12"/>
      <c r="K15" s="12"/>
      <c r="L15" s="12"/>
      <c r="M15" s="12"/>
      <c r="N15" s="12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9"/>
    </row>
    <row r="16" spans="1:31" ht="15.75" x14ac:dyDescent="0.55000000000000004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  <c r="H16" s="11" t="s">
        <v>96</v>
      </c>
      <c r="I16" s="12" t="str">
        <f>encode_ipr(Pres,PI_,Pb__,fw_)</f>
        <v>{"p_res_atma":250,"pi_m3dayatm":0.3,"pb_atma":120,"fw_perc":40}</v>
      </c>
      <c r="J16" s="12"/>
      <c r="K16" s="12"/>
      <c r="L16" s="12"/>
      <c r="M16" s="12"/>
      <c r="N16" s="12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9"/>
    </row>
    <row r="17" spans="1:17" ht="16.5" x14ac:dyDescent="0.55000000000000004">
      <c r="B17" s="7" t="s">
        <v>17</v>
      </c>
      <c r="C17" s="3">
        <v>1.2</v>
      </c>
      <c r="D17" s="6" t="s">
        <v>8</v>
      </c>
    </row>
    <row r="18" spans="1:17" ht="15.75" x14ac:dyDescent="0.55000000000000004">
      <c r="B18" s="9" t="s">
        <v>18</v>
      </c>
      <c r="C18" s="3">
        <v>1</v>
      </c>
      <c r="D18" s="4" t="s">
        <v>19</v>
      </c>
    </row>
    <row r="20" spans="1:17" x14ac:dyDescent="0.45">
      <c r="A20" s="1" t="s">
        <v>20</v>
      </c>
      <c r="I20" s="32" t="s">
        <v>79</v>
      </c>
      <c r="J20" s="10"/>
    </row>
    <row r="21" spans="1:17" ht="15.4" x14ac:dyDescent="0.5">
      <c r="B21" s="9" t="s">
        <v>21</v>
      </c>
      <c r="C21" s="3">
        <v>2</v>
      </c>
      <c r="D21" s="6" t="s">
        <v>22</v>
      </c>
      <c r="J21" s="9" t="s">
        <v>101</v>
      </c>
      <c r="K21" s="29">
        <v>6</v>
      </c>
      <c r="L21" s="6" t="s">
        <v>12</v>
      </c>
    </row>
    <row r="22" spans="1:17" ht="16.5" x14ac:dyDescent="0.55000000000000004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J22" s="9" t="s">
        <v>102</v>
      </c>
      <c r="K22" s="29">
        <v>80</v>
      </c>
      <c r="L22" s="6" t="s">
        <v>12</v>
      </c>
      <c r="O22" s="13" t="s">
        <v>45</v>
      </c>
      <c r="P22" s="14"/>
      <c r="Q22" s="14"/>
    </row>
    <row r="23" spans="1:17" ht="15" x14ac:dyDescent="0.5">
      <c r="B23" s="9" t="s">
        <v>23</v>
      </c>
      <c r="C23" s="3">
        <v>40</v>
      </c>
      <c r="D23" s="4" t="s">
        <v>24</v>
      </c>
      <c r="J23" s="9" t="s">
        <v>100</v>
      </c>
      <c r="K23" s="29">
        <v>100</v>
      </c>
      <c r="L23" s="6" t="s">
        <v>12</v>
      </c>
      <c r="O23" s="30"/>
      <c r="P23" s="31" t="s">
        <v>73</v>
      </c>
      <c r="Q23" s="3">
        <v>1</v>
      </c>
    </row>
    <row r="24" spans="1:17" ht="15.75" x14ac:dyDescent="0.55000000000000004">
      <c r="B24" s="9" t="s">
        <v>43</v>
      </c>
      <c r="C24" s="3">
        <v>0</v>
      </c>
      <c r="D24" s="6" t="s">
        <v>44</v>
      </c>
      <c r="J24" s="9" t="s">
        <v>27</v>
      </c>
      <c r="K24" s="3">
        <v>100</v>
      </c>
      <c r="L24" s="6" t="s">
        <v>28</v>
      </c>
      <c r="O24" s="30"/>
      <c r="P24" s="31" t="s">
        <v>42</v>
      </c>
      <c r="Q24" s="3">
        <v>2</v>
      </c>
    </row>
    <row r="25" spans="1:17" x14ac:dyDescent="0.45">
      <c r="J25" s="9" t="s">
        <v>29</v>
      </c>
      <c r="K25" s="3">
        <v>50</v>
      </c>
      <c r="L25" s="6" t="s">
        <v>28</v>
      </c>
    </row>
    <row r="26" spans="1:17" ht="18" customHeight="1" x14ac:dyDescent="0.45">
      <c r="I26" s="32" t="s">
        <v>82</v>
      </c>
      <c r="J26" s="10"/>
      <c r="N26" s="32" t="s">
        <v>92</v>
      </c>
      <c r="O26" s="10"/>
    </row>
    <row r="27" spans="1:17" ht="15.75" customHeight="1" x14ac:dyDescent="0.45">
      <c r="A27" s="33" t="s">
        <v>31</v>
      </c>
      <c r="B27" s="34"/>
      <c r="C27" s="34"/>
      <c r="D27" s="34"/>
      <c r="J27" s="9" t="s">
        <v>83</v>
      </c>
      <c r="K27" s="29">
        <v>125</v>
      </c>
      <c r="L27" s="6" t="s">
        <v>84</v>
      </c>
      <c r="O27" s="9" t="s">
        <v>93</v>
      </c>
      <c r="P27" s="29">
        <v>250</v>
      </c>
      <c r="Q27" s="6"/>
    </row>
    <row r="28" spans="1:17" ht="15" customHeight="1" x14ac:dyDescent="0.55000000000000004">
      <c r="B28" s="6" t="s">
        <v>32</v>
      </c>
      <c r="C28" s="35">
        <v>3500</v>
      </c>
      <c r="D28" s="36" t="s">
        <v>25</v>
      </c>
      <c r="J28" s="9" t="s">
        <v>86</v>
      </c>
      <c r="K28" s="29">
        <v>2500</v>
      </c>
      <c r="L28" s="6" t="s">
        <v>87</v>
      </c>
      <c r="O28" s="9" t="s">
        <v>94</v>
      </c>
      <c r="P28" s="49">
        <v>0.3</v>
      </c>
      <c r="Q28" s="6"/>
    </row>
    <row r="29" spans="1:17" ht="15" customHeight="1" x14ac:dyDescent="0.55000000000000004">
      <c r="B29" s="6" t="s">
        <v>33</v>
      </c>
      <c r="C29" s="35">
        <v>2500</v>
      </c>
      <c r="D29" s="36" t="s">
        <v>34</v>
      </c>
      <c r="J29" s="9" t="s">
        <v>85</v>
      </c>
      <c r="K29" s="9">
        <f t="array" ref="K29">[1]!ESP_id_by_rate(K27)</f>
        <v>737</v>
      </c>
      <c r="L29" s="6"/>
      <c r="N29" s="32"/>
      <c r="O29" s="9" t="s">
        <v>95</v>
      </c>
      <c r="P29" s="29">
        <f>Pb_</f>
        <v>120</v>
      </c>
      <c r="Q29" s="6"/>
    </row>
    <row r="30" spans="1:17" ht="15.75" x14ac:dyDescent="0.55000000000000004">
      <c r="B30" s="6" t="s">
        <v>35</v>
      </c>
      <c r="C30" s="35">
        <v>140</v>
      </c>
      <c r="D30" s="36" t="s">
        <v>26</v>
      </c>
      <c r="J30" s="9" t="s">
        <v>88</v>
      </c>
      <c r="K30" s="9">
        <f t="array" ref="K30">TRUNC(K28/[1]!ESP_head_m(K27,1,,K29))</f>
        <v>431</v>
      </c>
      <c r="L30" s="6" t="s">
        <v>90</v>
      </c>
    </row>
    <row r="31" spans="1:17" ht="15" customHeight="1" x14ac:dyDescent="0.55000000000000004">
      <c r="B31" s="6" t="s">
        <v>36</v>
      </c>
      <c r="C31" s="35">
        <v>65</v>
      </c>
      <c r="D31" s="36" t="s">
        <v>26</v>
      </c>
      <c r="J31" s="9" t="s">
        <v>89</v>
      </c>
      <c r="K31" s="29">
        <v>50</v>
      </c>
      <c r="L31" s="6" t="s">
        <v>98</v>
      </c>
    </row>
    <row r="32" spans="1:17" ht="15" customHeight="1" x14ac:dyDescent="0.55000000000000004">
      <c r="B32" s="6" t="s">
        <v>37</v>
      </c>
      <c r="C32" s="35">
        <v>12</v>
      </c>
      <c r="D32" s="36" t="s">
        <v>26</v>
      </c>
      <c r="I32" s="43" t="s">
        <v>60</v>
      </c>
      <c r="J32" s="9" t="s">
        <v>61</v>
      </c>
      <c r="K32" s="3">
        <v>0.3</v>
      </c>
      <c r="L32" s="6"/>
    </row>
    <row r="33" spans="2:16" x14ac:dyDescent="0.45">
      <c r="J33" s="9" t="s">
        <v>103</v>
      </c>
      <c r="K33" s="3">
        <v>2</v>
      </c>
      <c r="L33" s="6"/>
      <c r="N33" t="s">
        <v>105</v>
      </c>
    </row>
    <row r="34" spans="2:16" ht="28.5" x14ac:dyDescent="0.45">
      <c r="J34" s="9" t="s">
        <v>104</v>
      </c>
      <c r="K34" s="3">
        <v>1</v>
      </c>
      <c r="L34" s="6"/>
      <c r="O34" s="9" t="s">
        <v>97</v>
      </c>
      <c r="P34" s="3">
        <v>60</v>
      </c>
    </row>
    <row r="36" spans="2:16" x14ac:dyDescent="0.45">
      <c r="G36" s="10"/>
    </row>
    <row r="37" spans="2:16" x14ac:dyDescent="0.45">
      <c r="B37" s="34" t="s">
        <v>38</v>
      </c>
      <c r="C37" s="34"/>
      <c r="E37" t="s">
        <v>46</v>
      </c>
      <c r="G37" s="10"/>
      <c r="H37" t="s">
        <v>80</v>
      </c>
      <c r="I37" s="10"/>
    </row>
    <row r="38" spans="2:16" ht="15.75" x14ac:dyDescent="0.55000000000000004">
      <c r="B38" s="17" t="s">
        <v>39</v>
      </c>
      <c r="C38" s="17" t="s">
        <v>40</v>
      </c>
      <c r="E38" s="17" t="s">
        <v>40</v>
      </c>
      <c r="F38" s="17" t="s">
        <v>41</v>
      </c>
      <c r="G38" s="10"/>
      <c r="H38" s="17" t="s">
        <v>39</v>
      </c>
      <c r="I38" s="15" t="s">
        <v>81</v>
      </c>
    </row>
    <row r="39" spans="2:16" x14ac:dyDescent="0.45">
      <c r="B39" s="17" t="s">
        <v>25</v>
      </c>
      <c r="C39" s="17" t="s">
        <v>25</v>
      </c>
      <c r="E39" s="17" t="s">
        <v>25</v>
      </c>
      <c r="F39" s="17" t="s">
        <v>34</v>
      </c>
      <c r="G39" s="10"/>
      <c r="H39" s="17" t="s">
        <v>25</v>
      </c>
      <c r="I39" s="17" t="s">
        <v>26</v>
      </c>
    </row>
    <row r="40" spans="2:16" x14ac:dyDescent="0.45">
      <c r="B40" s="16">
        <v>0</v>
      </c>
      <c r="C40" s="16">
        <v>0</v>
      </c>
      <c r="E40" s="39">
        <v>0</v>
      </c>
      <c r="F40" s="39">
        <v>20</v>
      </c>
      <c r="G40" s="10"/>
      <c r="H40" s="39">
        <v>0</v>
      </c>
      <c r="I40" s="40">
        <v>62</v>
      </c>
    </row>
    <row r="41" spans="2:16" x14ac:dyDescent="0.45">
      <c r="B41" s="16">
        <v>1000</v>
      </c>
      <c r="C41" s="16">
        <v>1000</v>
      </c>
      <c r="E41" s="39">
        <v>1000</v>
      </c>
      <c r="F41" s="39">
        <v>35</v>
      </c>
      <c r="G41" s="10"/>
      <c r="H41" s="39">
        <v>1550</v>
      </c>
      <c r="I41" s="40">
        <v>63</v>
      </c>
    </row>
    <row r="42" spans="2:16" x14ac:dyDescent="0.45">
      <c r="B42" s="16">
        <v>1100</v>
      </c>
      <c r="C42" s="16">
        <v>1096</v>
      </c>
      <c r="E42" s="39">
        <v>2500</v>
      </c>
      <c r="F42" s="39">
        <v>90</v>
      </c>
      <c r="G42" s="10"/>
      <c r="H42" s="39">
        <v>2500</v>
      </c>
      <c r="I42" s="40">
        <v>125</v>
      </c>
    </row>
    <row r="43" spans="2:16" x14ac:dyDescent="0.45">
      <c r="B43" s="16">
        <v>1200</v>
      </c>
      <c r="C43" s="16">
        <v>1191</v>
      </c>
      <c r="E43" s="39"/>
      <c r="F43" s="39"/>
      <c r="G43" s="10"/>
      <c r="H43" s="39"/>
      <c r="I43" s="39"/>
    </row>
    <row r="44" spans="2:16" x14ac:dyDescent="0.45">
      <c r="B44" s="16">
        <v>1300</v>
      </c>
      <c r="C44" s="16">
        <v>1284</v>
      </c>
      <c r="E44" s="39"/>
      <c r="F44" s="39"/>
      <c r="G44" s="10"/>
      <c r="H44" s="39"/>
      <c r="I44" s="39"/>
    </row>
    <row r="45" spans="2:16" x14ac:dyDescent="0.45">
      <c r="B45" s="16">
        <v>1400</v>
      </c>
      <c r="C45" s="16">
        <v>1375</v>
      </c>
      <c r="E45" s="39"/>
      <c r="F45" s="39"/>
      <c r="G45" s="10"/>
      <c r="H45" s="39"/>
      <c r="I45" s="39"/>
    </row>
    <row r="46" spans="2:16" x14ac:dyDescent="0.45">
      <c r="B46" s="16">
        <v>1500</v>
      </c>
      <c r="C46" s="16">
        <v>1464</v>
      </c>
      <c r="E46" s="39"/>
      <c r="F46" s="39"/>
      <c r="G46" s="10"/>
      <c r="H46" s="39"/>
      <c r="I46" s="39"/>
    </row>
    <row r="47" spans="2:16" x14ac:dyDescent="0.45">
      <c r="B47" s="16">
        <v>1600</v>
      </c>
      <c r="C47" s="16">
        <v>1551</v>
      </c>
      <c r="E47" s="39"/>
      <c r="F47" s="39"/>
      <c r="G47" s="10"/>
      <c r="H47" s="39"/>
      <c r="I47" s="39"/>
    </row>
    <row r="48" spans="2:16" x14ac:dyDescent="0.45">
      <c r="B48" s="16">
        <v>1700</v>
      </c>
      <c r="C48" s="16">
        <v>1636</v>
      </c>
      <c r="E48" s="39"/>
      <c r="F48" s="39"/>
      <c r="G48" s="10"/>
      <c r="H48" s="39"/>
      <c r="I48" s="39"/>
    </row>
    <row r="49" spans="2:31" x14ac:dyDescent="0.45">
      <c r="B49" s="16">
        <v>1800</v>
      </c>
      <c r="C49" s="16">
        <v>1719</v>
      </c>
      <c r="E49" s="39"/>
      <c r="F49" s="39"/>
      <c r="G49" s="10"/>
      <c r="H49" s="39"/>
      <c r="I49" s="39"/>
    </row>
    <row r="50" spans="2:31" x14ac:dyDescent="0.45">
      <c r="B50" s="16">
        <v>1900</v>
      </c>
      <c r="C50" s="16">
        <v>1800</v>
      </c>
      <c r="E50" s="39"/>
      <c r="F50" s="39"/>
      <c r="G50" s="10"/>
      <c r="H50" s="39"/>
      <c r="I50" s="39"/>
    </row>
    <row r="51" spans="2:31" x14ac:dyDescent="0.45">
      <c r="B51" s="16">
        <v>2000</v>
      </c>
      <c r="C51" s="16">
        <v>1879</v>
      </c>
      <c r="E51" s="39"/>
      <c r="F51" s="39"/>
      <c r="G51" s="10"/>
      <c r="H51" s="39"/>
      <c r="I51" s="39"/>
    </row>
    <row r="52" spans="2:31" x14ac:dyDescent="0.45">
      <c r="B52" s="16">
        <v>2100</v>
      </c>
      <c r="C52" s="16">
        <v>1956</v>
      </c>
      <c r="E52" s="39"/>
      <c r="F52" s="39"/>
      <c r="G52" s="10"/>
      <c r="H52" s="39"/>
      <c r="I52" s="39"/>
    </row>
    <row r="53" spans="2:31" x14ac:dyDescent="0.45">
      <c r="B53" s="16">
        <v>2200</v>
      </c>
      <c r="C53" s="16">
        <v>2031</v>
      </c>
      <c r="E53" s="39"/>
      <c r="F53" s="39"/>
      <c r="G53" s="10"/>
      <c r="H53" s="39"/>
      <c r="I53" s="39"/>
    </row>
    <row r="54" spans="2:31" x14ac:dyDescent="0.45">
      <c r="B54" s="16">
        <v>2300</v>
      </c>
      <c r="C54" s="16">
        <v>2104</v>
      </c>
      <c r="E54" s="39"/>
      <c r="F54" s="39"/>
      <c r="G54" s="10"/>
      <c r="H54" s="39"/>
      <c r="I54" s="39"/>
    </row>
    <row r="55" spans="2:31" x14ac:dyDescent="0.45">
      <c r="B55" s="16">
        <v>2400</v>
      </c>
      <c r="C55" s="16">
        <v>2175</v>
      </c>
      <c r="E55" s="39"/>
      <c r="F55" s="39"/>
      <c r="G55" s="10"/>
      <c r="H55" s="39"/>
      <c r="I55" s="39"/>
      <c r="AA55" s="37"/>
      <c r="AB55" s="37"/>
      <c r="AC55" s="38"/>
      <c r="AD55" s="38"/>
      <c r="AE55" s="37"/>
    </row>
    <row r="56" spans="2:31" x14ac:dyDescent="0.45">
      <c r="B56" s="16">
        <v>2500</v>
      </c>
      <c r="C56" s="16">
        <v>2244</v>
      </c>
      <c r="E56" s="39"/>
      <c r="F56" s="39"/>
      <c r="G56" s="10"/>
      <c r="H56" s="39"/>
      <c r="I56" s="39"/>
      <c r="AA56" s="37"/>
      <c r="AB56" s="37"/>
      <c r="AC56" s="38"/>
      <c r="AD56" s="38"/>
      <c r="AE56" s="37"/>
    </row>
    <row r="57" spans="2:31" x14ac:dyDescent="0.45">
      <c r="B57" s="16">
        <v>2600</v>
      </c>
      <c r="C57" s="16">
        <v>2311</v>
      </c>
      <c r="E57" s="39"/>
      <c r="F57" s="39"/>
      <c r="G57" s="10"/>
      <c r="H57" s="39"/>
      <c r="I57" s="39"/>
      <c r="AA57" s="37"/>
      <c r="AB57" s="37"/>
      <c r="AC57" s="38"/>
      <c r="AD57" s="38"/>
      <c r="AE57" s="37"/>
    </row>
    <row r="58" spans="2:31" x14ac:dyDescent="0.45">
      <c r="B58" s="16">
        <v>2700</v>
      </c>
      <c r="C58" s="16">
        <v>2376</v>
      </c>
      <c r="E58" s="39"/>
      <c r="F58" s="39"/>
      <c r="G58" s="10"/>
      <c r="H58" s="39"/>
      <c r="I58" s="39"/>
      <c r="AA58" s="37"/>
      <c r="AB58" s="37"/>
      <c r="AC58" s="38"/>
      <c r="AD58" s="38"/>
      <c r="AE58" s="37"/>
    </row>
    <row r="59" spans="2:31" x14ac:dyDescent="0.45">
      <c r="B59" s="16">
        <v>2800</v>
      </c>
      <c r="C59" s="16">
        <v>2439</v>
      </c>
      <c r="E59" s="39"/>
      <c r="F59" s="39"/>
      <c r="G59" s="10"/>
      <c r="H59" s="39"/>
      <c r="I59" s="39"/>
      <c r="AA59" s="37"/>
      <c r="AB59" s="37"/>
      <c r="AC59" s="38"/>
      <c r="AD59" s="38"/>
      <c r="AE59" s="37"/>
    </row>
    <row r="60" spans="2:31" x14ac:dyDescent="0.45">
      <c r="B60" s="16">
        <v>3500</v>
      </c>
      <c r="C60" s="16">
        <v>2500</v>
      </c>
      <c r="G60" s="10"/>
      <c r="AA60" s="37"/>
      <c r="AB60" s="37"/>
      <c r="AC60" s="38"/>
      <c r="AD60" s="38"/>
      <c r="AE60" s="37"/>
    </row>
    <row r="61" spans="2:31" x14ac:dyDescent="0.45">
      <c r="B61" s="16"/>
      <c r="C61" s="16"/>
      <c r="G61" s="10"/>
      <c r="AA61" s="37"/>
      <c r="AB61" s="37"/>
      <c r="AC61" s="38"/>
      <c r="AD61" s="38"/>
      <c r="AE61" s="37"/>
    </row>
    <row r="62" spans="2:31" x14ac:dyDescent="0.45">
      <c r="B62" s="16"/>
      <c r="C62" s="16"/>
      <c r="G62" s="10"/>
      <c r="AA62" s="37"/>
      <c r="AB62" s="37"/>
      <c r="AC62" s="38"/>
      <c r="AD62" s="38"/>
      <c r="AE62" s="37"/>
    </row>
    <row r="63" spans="2:31" x14ac:dyDescent="0.45">
      <c r="AA63" s="37"/>
      <c r="AB63" s="37"/>
      <c r="AC63" s="38"/>
      <c r="AD63" s="38"/>
      <c r="AE63" s="37"/>
    </row>
    <row r="64" spans="2:31" x14ac:dyDescent="0.45">
      <c r="AA64" s="37"/>
      <c r="AB64" s="37"/>
      <c r="AC64" s="38"/>
      <c r="AD64" s="38"/>
      <c r="AE64" s="37"/>
    </row>
    <row r="65" spans="2:31" x14ac:dyDescent="0.45">
      <c r="AA65" s="37"/>
      <c r="AB65" s="37"/>
      <c r="AC65" s="38"/>
      <c r="AD65" s="38"/>
      <c r="AE65" s="37"/>
    </row>
    <row r="66" spans="2:31" x14ac:dyDescent="0.45">
      <c r="AA66" s="37"/>
      <c r="AB66" s="37"/>
    </row>
    <row r="67" spans="2:31" x14ac:dyDescent="0.45">
      <c r="B67" s="44" t="s">
        <v>106</v>
      </c>
      <c r="C67" s="45"/>
      <c r="D67" s="45"/>
      <c r="E67" s="45"/>
      <c r="F67" s="45"/>
      <c r="G67" s="45"/>
      <c r="H67" t="s">
        <v>99</v>
      </c>
      <c r="I67" t="s">
        <v>99</v>
      </c>
      <c r="J67" t="s">
        <v>99</v>
      </c>
      <c r="K67" t="s">
        <v>99</v>
      </c>
      <c r="L67" t="s">
        <v>99</v>
      </c>
      <c r="M67" t="s">
        <v>99</v>
      </c>
      <c r="N67" s="46" t="s">
        <v>107</v>
      </c>
      <c r="O67" s="46"/>
      <c r="P67" s="46"/>
      <c r="Q67" s="46"/>
      <c r="R67" s="46"/>
      <c r="S67" s="46"/>
      <c r="T67" s="46"/>
      <c r="U67" t="s">
        <v>99</v>
      </c>
      <c r="Y67" s="47" t="s">
        <v>108</v>
      </c>
      <c r="Z67" s="48"/>
      <c r="AA67" s="48"/>
      <c r="AB67" s="48" t="s">
        <v>99</v>
      </c>
      <c r="AC67" s="48" t="s">
        <v>99</v>
      </c>
      <c r="AD67" s="48"/>
    </row>
    <row r="68" spans="2:31" x14ac:dyDescent="0.45">
      <c r="N68" s="37"/>
    </row>
    <row r="69" spans="2:31" x14ac:dyDescent="0.45">
      <c r="N69" s="37"/>
    </row>
    <row r="70" spans="2:31" x14ac:dyDescent="0.45">
      <c r="B70" s="45" t="str">
        <f t="array" ref="B70:C81">[1]!decode_json(calc_from_pwf_)</f>
        <v>q_liq_sm3day</v>
      </c>
      <c r="C70" s="45" t="str">
        <v>44.7162536763739</v>
      </c>
      <c r="N70" s="46" t="str">
        <f t="array" ref="N70:O81">[1]!decode_json(calc_from_pwh_)</f>
        <v>q_liq_sm3day</v>
      </c>
      <c r="O70" s="46" t="str">
        <v>42.0403443365912</v>
      </c>
      <c r="Y70" s="48" t="str">
        <f t="array" ref="Y70:Z82">[1]!decode_json(calc_)</f>
        <v>q_liq_sm3day</v>
      </c>
      <c r="Z70" s="48" t="str">
        <v>31.7192321777344</v>
      </c>
    </row>
    <row r="71" spans="2:31" x14ac:dyDescent="0.45">
      <c r="B71" s="45" t="str">
        <v>p_wf_atma</v>
      </c>
      <c r="C71" s="45" t="str">
        <v>100</v>
      </c>
      <c r="N71" s="46" t="str">
        <v>p_wf_atma</v>
      </c>
      <c r="O71" s="46" t="str">
        <v>109.618347167969</v>
      </c>
      <c r="Y71" s="48" t="str">
        <v>p_wf_atma</v>
      </c>
      <c r="Z71" s="48" t="str">
        <v>144.269226074219</v>
      </c>
    </row>
    <row r="72" spans="2:31" x14ac:dyDescent="0.45">
      <c r="B72" s="45" t="str">
        <v>p_intake_atma</v>
      </c>
      <c r="C72" s="45" t="str">
        <v>35.2098729389597</v>
      </c>
      <c r="N72" s="46" t="str">
        <v>p_intake_atma</v>
      </c>
      <c r="O72" s="46" t="str">
        <v>44.9425016354199</v>
      </c>
      <c r="Y72" s="48" t="str">
        <v>p_intake_atma</v>
      </c>
      <c r="Z72" s="48" t="str">
        <v>79.9963983582302</v>
      </c>
    </row>
    <row r="73" spans="2:31" x14ac:dyDescent="0.45">
      <c r="B73" s="45" t="str">
        <v>p_dis_atma</v>
      </c>
      <c r="C73" s="45" t="str">
        <v>93.7032155109153</v>
      </c>
      <c r="N73" s="46" t="str">
        <v>p_dis_atma</v>
      </c>
      <c r="O73" s="46" t="str">
        <v>157.188980423352</v>
      </c>
      <c r="Y73" s="48" t="str">
        <v>p_dis_atma</v>
      </c>
      <c r="Z73" s="48" t="str">
        <v>169.490835116058</v>
      </c>
    </row>
    <row r="74" spans="2:31" x14ac:dyDescent="0.45">
      <c r="B74" s="45" t="str">
        <v>p_buf_atma</v>
      </c>
      <c r="C74" s="45" t="str">
        <v>0.87725841537653</v>
      </c>
      <c r="N74" s="46" t="str">
        <v>p_buf_atma</v>
      </c>
      <c r="O74" s="46" t="str">
        <v>6.00459042575247</v>
      </c>
      <c r="Y74" s="48" t="str">
        <v>p_buf_atma</v>
      </c>
      <c r="Z74" s="48" t="str">
        <v>6.00030966492727</v>
      </c>
    </row>
    <row r="75" spans="2:31" x14ac:dyDescent="0.45">
      <c r="B75" s="45" t="str">
        <v>h_crit_m</v>
      </c>
      <c r="C75" s="45" t="str">
        <v>1476.00499003892</v>
      </c>
      <c r="N75" s="46" t="str">
        <v>h_crit_m</v>
      </c>
      <c r="O75" s="46" t="str">
        <v>1495.02579701765</v>
      </c>
      <c r="Y75" s="48" t="str">
        <v>h_crit_m</v>
      </c>
      <c r="Z75" s="48" t="str">
        <v>1560.0113778642</v>
      </c>
    </row>
    <row r="76" spans="2:31" x14ac:dyDescent="0.45">
      <c r="B76" s="45" t="str">
        <v>c_P</v>
      </c>
      <c r="C76" s="45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0.87725841537653,0.87725841537653,0.87725841537653,0.87725841537653,0.87725841537653,1.05441437653657,2.39572477505411,4.24303727639052,6.52318224218469,9.3020110356717,12.7330809001729,16.6823878264182,21.0643889241879,25.8060643986523,30.9423029957702,36.4716663548379,42.3904884493581,48.3844105395228,54.3895340677453,60.3596546098173,66.3036086260434,73.0672529229471,79.9640208737605,86.8440873557032,93.7032155109153,35.2098729389597,42.4948519667573,49.7530964850114,56.9870411429677,64.1984659843717,71.3887189340546,78.5600071412871,85.7158387800993,92.8604749950328,100]}</v>
      </c>
      <c r="N76" s="46" t="str">
        <v>c_P</v>
      </c>
      <c r="O76" s="46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6.00459042575247,8.75781494145582,12.0163917461008,15.77972893998,20.0897536656751,25.0635040236323,30.6852640849913,36.9075274956307,43.6191532303159,50.7704977530091,58.3113090387658,65.889400088113,73.426947749591,80.86915741174,88.191801019177,95.4171543308696,102.596499759437,109.616216300596,116.470066368165,123.153076982584,129.688283811963,136.541768384106,143.445002432546,150.329145439845,157.188980423352,44.9425016354199,52.215967166125,59.463660896713,66.6868965220528,73.8869802612898,81.0650207263515,88.2231233146028,95.3648116716226,102.494439622001,109.618347167969]}</v>
      </c>
      <c r="Y76" s="48" t="str">
        <v>c_P</v>
      </c>
      <c r="Z76" s="48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6.00030966492727,8.85644902695286,12.5337442951064,17.0480940643725,22.3738524185694,28.4662899500431,35.2674261287927,42.7091833822634,50.7082649733613,59.0194908167692,67.3176684863375,75.5028618474155,83.5550823134367,91.4410091700967,99.1549989438485,106.726691061956,114.19443338032,121.477834908633,128.57494626239,135.483849229327,142.221966235319,149.059146613317,155.903910141068,162.719442649584,169.490835116058,79.9963983582302,87.2173155884052,94.4127540194127,101.583122180272,108.729066925421,115.851159605652,122.951919648372,130.047284952056,137.149737010257,144.269226074219]}</v>
      </c>
    </row>
    <row r="77" spans="2:31" x14ac:dyDescent="0.45">
      <c r="B77" s="45" t="str">
        <v>c_T</v>
      </c>
      <c r="C77" s="45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33.0868142762312,33.0868142762312,33.0868142762312,33.0868142762312,33.0868142762312,33.340783793741,35.1081634627041,37.2314191846858,39.6372186061712,42.465952086323,45.8497920224772,49.3365214927043,52.7600130149006,56.1241366830898,59.4422832888359,62.7297787237091,66.0109116117037,69.3146090635591,72.6897673460504,76.2085988271315,79.9760323838368,84.1437192322079,88.8894245527392,94.4767842725327,101.288653159857,88.996710867543,91.8990710118107,94.6830500389655,97.2923249201534,99.6436316290992,101.602492337735,102.968992931276,103.470587449901,102.687843576216,100]}</v>
      </c>
      <c r="N77" s="46" t="str">
        <v>c_T</v>
      </c>
      <c r="O77" s="46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24.3584787883687,25.9508414847761,27.5641515043153,29.2098938280983,30.9059810056618,32.6809736249631,34.5778139132313,36.6629038631684,39.0332259083088,41.8368279323497,45.2227271680392,48.7184504422269,52.148957629635,55.5189454393219,58.8409567484576,62.1313782659224,65.4187154538339,68.7384144440203,72.1473130371675,75.7309885821685,79.6167638568493,83.988011149653,89.0839131052353,95.2598237700873,103.040484231765,88.6065482192472,91.5453341256186,94.3780295614462,97.0501691920482,99.4790616733438,101.528089832897,102.988467107015,103.567124928382,102.80367243026,100]}</v>
      </c>
      <c r="Y77" s="48" t="str">
        <v>c_T</v>
      </c>
      <c r="Z77" s="48" t="str">
        <v>{"curve_x":"x","curve_y":"y","x":[0,104.166666666667,208.333333333333,312.5,416.666666666667,520.833333333333,625,729.166666666667,833.333333333333,937.5,1041.66666666667,1145.83333333333,1250,1354.16666666667,1458.33333333333,1562.5,1666.66666666667,1770.83333333333,1875,1979.16666666667,2083.33333333333,2187.5,2291.66666666667,2395.83333333333,2500,2501,2612,2723,2834,2945,3056,3167,3278,3389,3500],"y":[23.2681947369668,24.8333938532978,26.4068035848838,27.9952109912733,29.6097588166825,31.2702251271598,33.0129242067038,34.9044911423511,37.06504105961,39.7049942728673,43.0715481343389,46.601092659205,50.0610913376485,53.4527515866071,56.7866677519257,60.0786479499989,63.3611942009804,66.6797542513237,70.1181043466419,73.8205402635369,78.0328824755306,83.1582214952199,89.844314729928,99.1731285719527,112.930538854783,86.9522880709358,90.0119828781452,93.0178487413339,95.9289987696623,98.6744651214443,101.121556772578,103.03548110232,104.028953800401,103.414825275034,100]}</v>
      </c>
    </row>
    <row r="78" spans="2:31" x14ac:dyDescent="0.45">
      <c r="B78" s="45" t="str">
        <v>c_cas_P</v>
      </c>
      <c r="C78" s="45" t="str">
        <v>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1785.71428571429,1904.7619047619,1988.95058102239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11.7051652840234,11.8010867038762,11.8669992303925,12.5502380490085,14.2406243738526,16.3813084375507,22.4629785675729,28.7458402026187,35.2098729389597]}</v>
      </c>
      <c r="N78" s="46" t="str">
        <v>c_cas_P</v>
      </c>
      <c r="O78" s="46" t="str">
        <v>{"curve_x":"x","curve_y":"y","x":[0,119.047619047619,238.095238095238,357.142857142857,476.190476190476,595.238095238095,714.285714285714,833.333333333333,952.380952380952,1071.42857142857,1190.47619047619,1309.52380952381,1428.57142857143,1547.61904761905,1550,1666.66666666667,1766.51545333219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11.2920621399869,11.3995012973952,11.5040011741411,11.5060769760148,11.6061351613084,11.6894038352123,12.1310835998976,15.8099171416949,19.9275277845052,22.7758714990275,25.0713890128368,31.5744465455865,38.2151770990264,44.9425016354199]}</v>
      </c>
      <c r="Y78" s="48" t="str">
        <v>c_cas_P</v>
      </c>
      <c r="Z78" s="48" t="str">
        <v>{"curve_x":"x","curve_y":"y","x":[0,119.047619047619,238.095238095238,357.142857142857,476.190476190476,595.238095238095,714.285714285714,833.333333333333,952.380952380952,1071.42857142857,1190.47619047619,1238.23471638541,1309.52380952381,1428.57142857143,1547.61904761905,1550,1666.66666666667,1785.71428571429,1904.7619047619,2023.80952380952,2100,2142.85714285714,2261.90476190476,2380.95238095238,2500],"y":[10,10.1167165975299,10.2340212136155,10.3519285098354,10.4704480473534,10.5895539923996,10.7092761129909,10.8295936596112,10.9502733833875,11.0672325290373,11.1812957672107,11.22612369716,14.3696803001859,20.1072082755456,26.2336297054836,26.3584534000159,32.6778788415467,39.1849110045492,45.6802203955655,52.1139440297217,56.2282580252207,58.7803829289391,65.8653155859063,72.9385409039837,79.9963983582302]}</v>
      </c>
    </row>
    <row r="79" spans="2:31" x14ac:dyDescent="0.45">
      <c r="B79" s="45" t="str">
        <v>h_dyn_m</v>
      </c>
      <c r="C79" s="45" t="str">
        <v>1988.95058102239</v>
      </c>
      <c r="N79" s="46" t="str">
        <v>h_dyn_m</v>
      </c>
      <c r="O79" s="46" t="str">
        <v>1766.51545333219</v>
      </c>
      <c r="Y79" s="48" t="str">
        <v>h_dyn_m</v>
      </c>
      <c r="Z79" s="48" t="str">
        <v>1238.23471638541</v>
      </c>
    </row>
    <row r="80" spans="2:31" x14ac:dyDescent="0.45">
      <c r="B80" s="45" t="str">
        <v>gas_fraction at pump</v>
      </c>
      <c r="C80" s="45" t="str">
        <v>0.630838142285702</v>
      </c>
      <c r="N80" s="46" t="str">
        <v>gas_fraction at pump</v>
      </c>
      <c r="O80" s="46" t="str">
        <v>0.552657242624104</v>
      </c>
      <c r="Y80" s="48" t="str">
        <v>gas_fraction at pump</v>
      </c>
      <c r="Z80" s="48" t="str">
        <v>0.329729208760732</v>
      </c>
    </row>
    <row r="81" spans="2:32" x14ac:dyDescent="0.45">
      <c r="B81" s="45" t="str">
        <v>q_gas_cas_sm3day</v>
      </c>
      <c r="C81" s="45" t="str">
        <v>1053.51939044852</v>
      </c>
      <c r="N81" s="46" t="str">
        <v>q_gas_cas_sm3day</v>
      </c>
      <c r="O81" s="46" t="str">
        <v>940.73166329423</v>
      </c>
      <c r="Y81" s="48" t="str">
        <v>q_gas_cas_sm3day</v>
      </c>
      <c r="Z81" s="48" t="str">
        <v>560.592236484575</v>
      </c>
    </row>
    <row r="82" spans="2:32" x14ac:dyDescent="0.45">
      <c r="N82" s="37"/>
      <c r="Y82" s="48" t="str">
        <v>calibr_esp_head</v>
      </c>
      <c r="Z82" s="48" t="str">
        <v>0.533037109375</v>
      </c>
    </row>
    <row r="83" spans="2:32" x14ac:dyDescent="0.45">
      <c r="N83" s="37"/>
    </row>
    <row r="84" spans="2:32" x14ac:dyDescent="0.45">
      <c r="N84" s="37"/>
    </row>
    <row r="85" spans="2:32" x14ac:dyDescent="0.45">
      <c r="N85" s="37"/>
    </row>
    <row r="86" spans="2:32" x14ac:dyDescent="0.45">
      <c r="B86" s="42" t="str">
        <f t="array" ref="B86:C121">[1]!decode_json_crv(C76)</f>
        <v>x</v>
      </c>
      <c r="C86" s="42" t="str">
        <v>y</v>
      </c>
      <c r="D86" s="42"/>
      <c r="E86" s="42" t="str">
        <f t="array" ref="E86:F121">[1]!decode_json_crv(C77)</f>
        <v>x</v>
      </c>
      <c r="F86" s="42" t="str">
        <v>y</v>
      </c>
      <c r="G86" s="42"/>
      <c r="H86" s="42" t="str">
        <f t="array" ref="H86:I111">[1]!decode_json_crv(C78)</f>
        <v>x</v>
      </c>
      <c r="I86" s="42" t="str">
        <v>y</v>
      </c>
      <c r="N86" s="37" t="str">
        <f t="array" ref="N86:O121">[1]!decode_json_crv(O76)</f>
        <v>x</v>
      </c>
      <c r="O86" t="str">
        <v>y</v>
      </c>
      <c r="Q86" t="str">
        <f t="array" ref="Q86:R121">[1]!decode_json_crv(O77)</f>
        <v>x</v>
      </c>
      <c r="R86" t="str">
        <v>y</v>
      </c>
      <c r="T86" t="str">
        <f t="array" ref="T86:U111">[1]!decode_json_crv(O78)</f>
        <v>x</v>
      </c>
      <c r="U86" t="str">
        <v>y</v>
      </c>
      <c r="Y86" t="str">
        <f t="array" ref="Y86:Z121">[1]!decode_json_crv(Z76)</f>
        <v>x</v>
      </c>
      <c r="Z86" t="str">
        <v>y</v>
      </c>
      <c r="AB86" t="str">
        <f t="array" ref="AB86:AC121">[1]!decode_json_crv(Z77)</f>
        <v>x</v>
      </c>
      <c r="AC86" t="str">
        <v>y</v>
      </c>
      <c r="AE86" t="str">
        <f t="array" ref="AE86:AF111">[1]!decode_json_crv(Z78)</f>
        <v>x</v>
      </c>
      <c r="AF86" t="str">
        <v>y</v>
      </c>
    </row>
    <row r="87" spans="2:32" x14ac:dyDescent="0.45">
      <c r="B87" s="38">
        <v>0</v>
      </c>
      <c r="C87" s="38">
        <v>0.87725841537653004</v>
      </c>
      <c r="E87" s="38">
        <v>0</v>
      </c>
      <c r="F87" s="38">
        <v>33.086814276231202</v>
      </c>
      <c r="H87" s="38">
        <v>0</v>
      </c>
      <c r="I87" s="38">
        <v>10</v>
      </c>
      <c r="N87" s="37">
        <v>0</v>
      </c>
      <c r="O87" s="38">
        <v>6.00459042575247</v>
      </c>
      <c r="Q87" s="37">
        <v>0</v>
      </c>
      <c r="R87" s="38">
        <v>24.3584787883687</v>
      </c>
      <c r="T87" s="37">
        <v>0</v>
      </c>
      <c r="U87" s="38">
        <v>10</v>
      </c>
      <c r="Y87" s="38">
        <v>0</v>
      </c>
      <c r="Z87" s="38">
        <v>6.0003096649272702</v>
      </c>
      <c r="AB87" s="38">
        <v>0</v>
      </c>
      <c r="AC87" s="38">
        <v>23.268194736966802</v>
      </c>
      <c r="AE87" s="38">
        <v>0</v>
      </c>
      <c r="AF87" s="38">
        <v>10</v>
      </c>
    </row>
    <row r="88" spans="2:32" x14ac:dyDescent="0.45">
      <c r="B88" s="38">
        <v>104.166666666667</v>
      </c>
      <c r="C88" s="38">
        <v>0.87725841537653004</v>
      </c>
      <c r="E88" s="38">
        <v>104.166666666667</v>
      </c>
      <c r="F88" s="38">
        <v>33.086814276231202</v>
      </c>
      <c r="H88" s="38">
        <v>119.04761904761899</v>
      </c>
      <c r="I88" s="38">
        <v>10.1167165975299</v>
      </c>
      <c r="N88" s="37">
        <v>104.166666666667</v>
      </c>
      <c r="O88" s="38">
        <v>8.7578149414558197</v>
      </c>
      <c r="Q88" s="37">
        <v>104.166666666667</v>
      </c>
      <c r="R88" s="38">
        <v>25.950841484776099</v>
      </c>
      <c r="T88" s="37">
        <v>119.04761904761899</v>
      </c>
      <c r="U88" s="38">
        <v>10.1167165975299</v>
      </c>
      <c r="Y88" s="38">
        <v>104.166666666667</v>
      </c>
      <c r="Z88" s="38">
        <v>8.8564490269528608</v>
      </c>
      <c r="AB88" s="38">
        <v>104.166666666667</v>
      </c>
      <c r="AC88" s="38">
        <v>24.8333938532978</v>
      </c>
      <c r="AE88" s="38">
        <v>119.04761904761899</v>
      </c>
      <c r="AF88" s="38">
        <v>10.1167165975299</v>
      </c>
    </row>
    <row r="89" spans="2:32" x14ac:dyDescent="0.45">
      <c r="B89" s="38">
        <v>208.333333333333</v>
      </c>
      <c r="C89" s="38">
        <v>0.87725841537653004</v>
      </c>
      <c r="E89" s="38">
        <v>208.333333333333</v>
      </c>
      <c r="F89" s="38">
        <v>33.086814276231202</v>
      </c>
      <c r="H89" s="38">
        <v>238.09523809523799</v>
      </c>
      <c r="I89" s="38">
        <v>10.234021213615501</v>
      </c>
      <c r="N89" s="38">
        <v>208.333333333333</v>
      </c>
      <c r="O89" s="38">
        <v>12.016391746100799</v>
      </c>
      <c r="Q89" s="38">
        <v>208.333333333333</v>
      </c>
      <c r="R89" s="38">
        <v>27.564151504315301</v>
      </c>
      <c r="T89" s="38">
        <v>238.09523809523799</v>
      </c>
      <c r="U89" s="38">
        <v>10.234021213615501</v>
      </c>
      <c r="Y89" s="38">
        <v>208.333333333333</v>
      </c>
      <c r="Z89" s="38">
        <v>12.5337442951064</v>
      </c>
      <c r="AB89" s="38">
        <v>208.333333333333</v>
      </c>
      <c r="AC89" s="38">
        <v>26.4068035848838</v>
      </c>
      <c r="AE89" s="38">
        <v>238.09523809523799</v>
      </c>
      <c r="AF89" s="38">
        <v>10.234021213615501</v>
      </c>
    </row>
    <row r="90" spans="2:32" x14ac:dyDescent="0.45">
      <c r="B90" s="38">
        <v>312.5</v>
      </c>
      <c r="C90" s="38">
        <v>0.87725841537653004</v>
      </c>
      <c r="E90" s="38">
        <v>312.5</v>
      </c>
      <c r="F90" s="38">
        <v>33.086814276231202</v>
      </c>
      <c r="H90" s="38">
        <v>357.142857142857</v>
      </c>
      <c r="I90" s="38">
        <v>10.3519285098354</v>
      </c>
      <c r="N90" s="38">
        <v>312.5</v>
      </c>
      <c r="O90" s="38">
        <v>15.77972893998</v>
      </c>
      <c r="Q90" s="38">
        <v>312.5</v>
      </c>
      <c r="R90" s="38">
        <v>29.209893828098298</v>
      </c>
      <c r="T90" s="38">
        <v>357.142857142857</v>
      </c>
      <c r="U90" s="38">
        <v>10.3519285098354</v>
      </c>
      <c r="Y90" s="38">
        <v>312.5</v>
      </c>
      <c r="Z90" s="38">
        <v>17.048094064372499</v>
      </c>
      <c r="AB90" s="38">
        <v>312.5</v>
      </c>
      <c r="AC90" s="38">
        <v>27.9952109912733</v>
      </c>
      <c r="AE90" s="38">
        <v>357.142857142857</v>
      </c>
      <c r="AF90" s="38">
        <v>10.3519285098354</v>
      </c>
    </row>
    <row r="91" spans="2:32" x14ac:dyDescent="0.45">
      <c r="B91" s="38">
        <v>416.66666666666703</v>
      </c>
      <c r="C91" s="38">
        <v>0.87725841537653004</v>
      </c>
      <c r="E91" s="38">
        <v>416.66666666666703</v>
      </c>
      <c r="F91" s="38">
        <v>33.086814276231202</v>
      </c>
      <c r="H91" s="38">
        <v>476.19047619047598</v>
      </c>
      <c r="I91" s="38">
        <v>10.470448047353401</v>
      </c>
      <c r="N91" s="38">
        <v>416.66666666666703</v>
      </c>
      <c r="O91" s="38">
        <v>20.089753665675101</v>
      </c>
      <c r="Q91" s="38">
        <v>416.66666666666703</v>
      </c>
      <c r="R91" s="38">
        <v>30.905981005661801</v>
      </c>
      <c r="T91" s="38">
        <v>476.19047619047598</v>
      </c>
      <c r="U91" s="38">
        <v>10.470448047353401</v>
      </c>
      <c r="Y91" s="38">
        <v>416.66666666666703</v>
      </c>
      <c r="Z91" s="38">
        <v>22.373852418569399</v>
      </c>
      <c r="AB91" s="38">
        <v>416.66666666666703</v>
      </c>
      <c r="AC91" s="38">
        <v>29.609758816682501</v>
      </c>
      <c r="AE91" s="38">
        <v>476.19047619047598</v>
      </c>
      <c r="AF91" s="38">
        <v>10.470448047353401</v>
      </c>
    </row>
    <row r="92" spans="2:32" x14ac:dyDescent="0.45">
      <c r="B92" s="38">
        <v>520.83333333333303</v>
      </c>
      <c r="C92" s="38">
        <v>1.0544143765365701</v>
      </c>
      <c r="E92" s="38">
        <v>520.83333333333303</v>
      </c>
      <c r="F92" s="38">
        <v>33.340783793740997</v>
      </c>
      <c r="H92" s="38">
        <v>595.23809523809496</v>
      </c>
      <c r="I92" s="38">
        <v>10.589553992399599</v>
      </c>
      <c r="N92" s="38">
        <v>520.83333333333303</v>
      </c>
      <c r="O92" s="38">
        <v>25.063504023632301</v>
      </c>
      <c r="Q92" s="38">
        <v>520.83333333333303</v>
      </c>
      <c r="R92" s="38">
        <v>32.680973624963102</v>
      </c>
      <c r="T92" s="38">
        <v>595.23809523809496</v>
      </c>
      <c r="U92" s="38">
        <v>10.589553992399599</v>
      </c>
      <c r="Y92" s="38">
        <v>520.83333333333303</v>
      </c>
      <c r="Z92" s="38">
        <v>28.466289950043102</v>
      </c>
      <c r="AB92" s="38">
        <v>520.83333333333303</v>
      </c>
      <c r="AC92" s="38">
        <v>31.270225127159801</v>
      </c>
      <c r="AE92" s="38">
        <v>595.23809523809496</v>
      </c>
      <c r="AF92" s="38">
        <v>10.589553992399599</v>
      </c>
    </row>
    <row r="93" spans="2:32" x14ac:dyDescent="0.45">
      <c r="B93" s="38">
        <v>625</v>
      </c>
      <c r="C93" s="38">
        <v>2.3957247750541102</v>
      </c>
      <c r="E93" s="38">
        <v>625</v>
      </c>
      <c r="F93" s="38">
        <v>35.108163462704098</v>
      </c>
      <c r="H93" s="38">
        <v>714.28571428571399</v>
      </c>
      <c r="I93" s="38">
        <v>10.709276112990899</v>
      </c>
      <c r="N93" s="38">
        <v>625</v>
      </c>
      <c r="O93" s="38">
        <v>30.685264084991299</v>
      </c>
      <c r="Q93" s="38">
        <v>625</v>
      </c>
      <c r="R93" s="38">
        <v>34.577813913231303</v>
      </c>
      <c r="T93" s="38">
        <v>714.28571428571399</v>
      </c>
      <c r="U93" s="38">
        <v>10.709276112990899</v>
      </c>
      <c r="Y93" s="38">
        <v>625</v>
      </c>
      <c r="Z93" s="38">
        <v>35.2674261287927</v>
      </c>
      <c r="AB93" s="38">
        <v>625</v>
      </c>
      <c r="AC93" s="38">
        <v>33.012924206703801</v>
      </c>
      <c r="AE93" s="38">
        <v>714.28571428571399</v>
      </c>
      <c r="AF93" s="38">
        <v>10.709276112990899</v>
      </c>
    </row>
    <row r="94" spans="2:32" x14ac:dyDescent="0.45">
      <c r="B94" s="38">
        <v>729.16666666666697</v>
      </c>
      <c r="C94" s="38">
        <v>4.2430372763905204</v>
      </c>
      <c r="E94" s="38">
        <v>729.16666666666697</v>
      </c>
      <c r="F94" s="38">
        <v>37.231419184685798</v>
      </c>
      <c r="H94" s="38">
        <v>833.33333333333303</v>
      </c>
      <c r="I94" s="38">
        <v>10.8295936596112</v>
      </c>
      <c r="N94" s="38">
        <v>729.16666666666697</v>
      </c>
      <c r="O94" s="38">
        <v>36.907527495630703</v>
      </c>
      <c r="Q94" s="38">
        <v>729.16666666666697</v>
      </c>
      <c r="R94" s="38">
        <v>36.662903863168403</v>
      </c>
      <c r="T94" s="38">
        <v>833.33333333333303</v>
      </c>
      <c r="U94" s="38">
        <v>10.8295936596112</v>
      </c>
      <c r="Y94" s="38">
        <v>729.16666666666697</v>
      </c>
      <c r="Z94" s="38">
        <v>42.709183382263397</v>
      </c>
      <c r="AB94" s="38">
        <v>729.16666666666697</v>
      </c>
      <c r="AC94" s="38">
        <v>34.904491142351098</v>
      </c>
      <c r="AE94" s="38">
        <v>833.33333333333303</v>
      </c>
      <c r="AF94" s="38">
        <v>10.8295936596112</v>
      </c>
    </row>
    <row r="95" spans="2:32" x14ac:dyDescent="0.45">
      <c r="B95" s="38">
        <v>833.33333333333303</v>
      </c>
      <c r="C95" s="38">
        <v>6.5231822421846903</v>
      </c>
      <c r="E95" s="38">
        <v>833.33333333333303</v>
      </c>
      <c r="F95" s="38">
        <v>39.637218606171203</v>
      </c>
      <c r="H95" s="38">
        <v>952.38095238095195</v>
      </c>
      <c r="I95" s="38">
        <v>10.950273383387501</v>
      </c>
      <c r="N95" s="38">
        <v>833.33333333333303</v>
      </c>
      <c r="O95" s="38">
        <v>43.619153230315902</v>
      </c>
      <c r="Q95" s="38">
        <v>833.33333333333303</v>
      </c>
      <c r="R95" s="38">
        <v>39.0332259083088</v>
      </c>
      <c r="T95" s="38">
        <v>952.38095238095195</v>
      </c>
      <c r="U95" s="38">
        <v>10.950273383387501</v>
      </c>
      <c r="Y95" s="38">
        <v>833.33333333333303</v>
      </c>
      <c r="Z95" s="38">
        <v>50.708264973361302</v>
      </c>
      <c r="AB95" s="38">
        <v>833.33333333333303</v>
      </c>
      <c r="AC95" s="38">
        <v>37.065041059610003</v>
      </c>
      <c r="AE95" s="38">
        <v>952.38095238095195</v>
      </c>
      <c r="AF95" s="38">
        <v>10.950273383387501</v>
      </c>
    </row>
    <row r="96" spans="2:32" x14ac:dyDescent="0.45">
      <c r="B96" s="38">
        <v>937.5</v>
      </c>
      <c r="C96" s="38">
        <v>9.3020110356717005</v>
      </c>
      <c r="E96" s="38">
        <v>937.5</v>
      </c>
      <c r="F96" s="38">
        <v>42.465952086323</v>
      </c>
      <c r="H96" s="38">
        <v>1071.42857142857</v>
      </c>
      <c r="I96" s="38">
        <v>11.0672325290373</v>
      </c>
      <c r="N96" s="38">
        <v>937.5</v>
      </c>
      <c r="O96" s="38">
        <v>50.770497753009103</v>
      </c>
      <c r="Q96" s="38">
        <v>937.5</v>
      </c>
      <c r="R96" s="38">
        <v>41.836827932349699</v>
      </c>
      <c r="T96" s="38">
        <v>1071.42857142857</v>
      </c>
      <c r="U96" s="38">
        <v>11.0672325290373</v>
      </c>
      <c r="Y96" s="38">
        <v>937.5</v>
      </c>
      <c r="Z96" s="38">
        <v>59.019490816769199</v>
      </c>
      <c r="AB96" s="38">
        <v>937.5</v>
      </c>
      <c r="AC96" s="38">
        <v>39.704994272867303</v>
      </c>
      <c r="AE96" s="38">
        <v>1071.42857142857</v>
      </c>
      <c r="AF96" s="38">
        <v>11.0672325290373</v>
      </c>
    </row>
    <row r="97" spans="2:32" x14ac:dyDescent="0.45">
      <c r="B97" s="38">
        <v>1041.6666666666699</v>
      </c>
      <c r="C97" s="38">
        <v>12.733080900172901</v>
      </c>
      <c r="E97" s="38">
        <v>1041.6666666666699</v>
      </c>
      <c r="F97" s="38">
        <v>45.849792022477203</v>
      </c>
      <c r="H97" s="38">
        <v>1190.4761904761899</v>
      </c>
      <c r="I97" s="38">
        <v>11.181295767210701</v>
      </c>
      <c r="N97" s="38">
        <v>1041.6666666666699</v>
      </c>
      <c r="O97" s="38">
        <v>58.311309038765799</v>
      </c>
      <c r="Q97" s="38">
        <v>1041.6666666666699</v>
      </c>
      <c r="R97" s="38">
        <v>45.222727168039199</v>
      </c>
      <c r="T97" s="38">
        <v>1190.4761904761899</v>
      </c>
      <c r="U97" s="38">
        <v>11.181295767210701</v>
      </c>
      <c r="Y97" s="38">
        <v>1041.6666666666699</v>
      </c>
      <c r="Z97" s="38">
        <v>67.317668486337496</v>
      </c>
      <c r="AB97" s="38">
        <v>1041.6666666666699</v>
      </c>
      <c r="AC97" s="38">
        <v>43.071548134338897</v>
      </c>
      <c r="AE97" s="38">
        <v>1190.4761904761899</v>
      </c>
      <c r="AF97" s="38">
        <v>11.181295767210701</v>
      </c>
    </row>
    <row r="98" spans="2:32" x14ac:dyDescent="0.45">
      <c r="B98" s="37">
        <v>1145.8333333333301</v>
      </c>
      <c r="C98" s="38">
        <v>16.6823878264182</v>
      </c>
      <c r="E98" s="38">
        <v>1145.8333333333301</v>
      </c>
      <c r="F98" s="38">
        <v>49.3365214927043</v>
      </c>
      <c r="H98" s="38">
        <v>1309.5238095238101</v>
      </c>
      <c r="I98" s="38">
        <v>11.2920621399869</v>
      </c>
      <c r="N98" s="38">
        <v>1145.8333333333301</v>
      </c>
      <c r="O98" s="38">
        <v>65.889400088113007</v>
      </c>
      <c r="Q98" s="38">
        <v>1145.8333333333301</v>
      </c>
      <c r="R98" s="38">
        <v>48.718450442226903</v>
      </c>
      <c r="T98" s="38">
        <v>1309.5238095238101</v>
      </c>
      <c r="U98" s="38">
        <v>11.2920621399869</v>
      </c>
      <c r="Y98" s="38">
        <v>1145.8333333333301</v>
      </c>
      <c r="Z98" s="38">
        <v>75.502861847415502</v>
      </c>
      <c r="AB98" s="38">
        <v>1145.8333333333301</v>
      </c>
      <c r="AC98" s="38">
        <v>46.601092659205001</v>
      </c>
      <c r="AE98" s="38">
        <v>1238.2347163854099</v>
      </c>
      <c r="AF98" s="38">
        <v>11.22612369716</v>
      </c>
    </row>
    <row r="99" spans="2:32" x14ac:dyDescent="0.45">
      <c r="B99" s="37">
        <v>1250</v>
      </c>
      <c r="C99" s="38">
        <v>21.064388924187899</v>
      </c>
      <c r="E99" s="38">
        <v>1250</v>
      </c>
      <c r="F99" s="38">
        <v>52.760013014900601</v>
      </c>
      <c r="H99" s="38">
        <v>1428.57142857143</v>
      </c>
      <c r="I99" s="38">
        <v>11.399501297395201</v>
      </c>
      <c r="N99" s="38">
        <v>1250</v>
      </c>
      <c r="O99" s="38">
        <v>73.426947749590994</v>
      </c>
      <c r="Q99" s="38">
        <v>1250</v>
      </c>
      <c r="R99" s="38">
        <v>52.148957629634999</v>
      </c>
      <c r="T99" s="38">
        <v>1428.57142857143</v>
      </c>
      <c r="U99" s="38">
        <v>11.399501297395201</v>
      </c>
      <c r="Y99" s="38">
        <v>1250</v>
      </c>
      <c r="Z99" s="38">
        <v>83.555082313436699</v>
      </c>
      <c r="AB99" s="38">
        <v>1250</v>
      </c>
      <c r="AC99" s="38">
        <v>50.061091337648499</v>
      </c>
      <c r="AE99" s="38">
        <v>1309.5238095238101</v>
      </c>
      <c r="AF99" s="38">
        <v>14.3696803001859</v>
      </c>
    </row>
    <row r="100" spans="2:32" x14ac:dyDescent="0.45">
      <c r="B100" s="37">
        <v>1354.1666666666699</v>
      </c>
      <c r="C100" s="38">
        <v>25.8060643986523</v>
      </c>
      <c r="E100" s="38">
        <v>1354.1666666666699</v>
      </c>
      <c r="F100" s="38">
        <v>56.124136683089802</v>
      </c>
      <c r="H100" s="38">
        <v>1547.61904761905</v>
      </c>
      <c r="I100" s="38">
        <v>11.5040011741411</v>
      </c>
      <c r="N100" s="38">
        <v>1354.1666666666699</v>
      </c>
      <c r="O100" s="38">
        <v>80.869157411740005</v>
      </c>
      <c r="Q100" s="38">
        <v>1354.1666666666699</v>
      </c>
      <c r="R100" s="38">
        <v>55.518945439321897</v>
      </c>
      <c r="T100" s="38">
        <v>1547.61904761905</v>
      </c>
      <c r="U100" s="38">
        <v>11.5040011741411</v>
      </c>
      <c r="Y100" s="38">
        <v>1354.1666666666699</v>
      </c>
      <c r="Z100" s="38">
        <v>91.441009170096706</v>
      </c>
      <c r="AB100" s="38">
        <v>1354.1666666666699</v>
      </c>
      <c r="AC100" s="38">
        <v>53.4527515866071</v>
      </c>
      <c r="AE100" s="38">
        <v>1428.57142857143</v>
      </c>
      <c r="AF100" s="38">
        <v>20.107208275545599</v>
      </c>
    </row>
    <row r="101" spans="2:32" x14ac:dyDescent="0.45">
      <c r="B101" s="37">
        <v>1458.3333333333301</v>
      </c>
      <c r="C101" s="38">
        <v>30.942302995770198</v>
      </c>
      <c r="E101" s="38">
        <v>1458.3333333333301</v>
      </c>
      <c r="F101" s="38">
        <v>59.442283288835903</v>
      </c>
      <c r="H101" s="38">
        <v>1550</v>
      </c>
      <c r="I101" s="38">
        <v>11.5060769760148</v>
      </c>
      <c r="N101" s="38">
        <v>1458.3333333333301</v>
      </c>
      <c r="O101" s="38">
        <v>88.191801019177007</v>
      </c>
      <c r="Q101" s="38">
        <v>1458.3333333333301</v>
      </c>
      <c r="R101" s="38">
        <v>58.8409567484576</v>
      </c>
      <c r="T101" s="38">
        <v>1550</v>
      </c>
      <c r="U101" s="38">
        <v>11.5060769760148</v>
      </c>
      <c r="Y101" s="38">
        <v>1458.3333333333301</v>
      </c>
      <c r="Z101" s="38">
        <v>99.154998943848497</v>
      </c>
      <c r="AB101" s="38">
        <v>1458.3333333333301</v>
      </c>
      <c r="AC101" s="38">
        <v>56.786667751925698</v>
      </c>
      <c r="AE101" s="38">
        <v>1547.61904761905</v>
      </c>
      <c r="AF101" s="38">
        <v>26.233629705483601</v>
      </c>
    </row>
    <row r="102" spans="2:32" x14ac:dyDescent="0.45">
      <c r="B102" s="37">
        <v>1562.5</v>
      </c>
      <c r="C102" s="38">
        <v>36.4716663548379</v>
      </c>
      <c r="E102" s="38">
        <v>1562.5</v>
      </c>
      <c r="F102" s="38">
        <v>62.729778723709103</v>
      </c>
      <c r="H102" s="38">
        <v>1666.6666666666699</v>
      </c>
      <c r="I102" s="38">
        <v>11.6061351613084</v>
      </c>
      <c r="N102" s="38">
        <v>1562.5</v>
      </c>
      <c r="O102" s="38">
        <v>95.417154330869593</v>
      </c>
      <c r="Q102" s="38">
        <v>1562.5</v>
      </c>
      <c r="R102" s="38">
        <v>62.1313782659224</v>
      </c>
      <c r="T102" s="38">
        <v>1666.6666666666699</v>
      </c>
      <c r="U102" s="38">
        <v>11.6061351613084</v>
      </c>
      <c r="Y102" s="38">
        <v>1562.5</v>
      </c>
      <c r="Z102" s="38">
        <v>106.726691061956</v>
      </c>
      <c r="AB102" s="38">
        <v>1562.5</v>
      </c>
      <c r="AC102" s="38">
        <v>60.078647949998903</v>
      </c>
      <c r="AE102" s="38">
        <v>1550</v>
      </c>
      <c r="AF102" s="38">
        <v>26.3584534000159</v>
      </c>
    </row>
    <row r="103" spans="2:32" x14ac:dyDescent="0.45">
      <c r="B103" s="37">
        <v>1666.6666666666699</v>
      </c>
      <c r="C103" s="38">
        <v>42.390488449358102</v>
      </c>
      <c r="E103" s="38">
        <v>1666.6666666666699</v>
      </c>
      <c r="F103" s="38">
        <v>66.010911611703705</v>
      </c>
      <c r="H103" s="38">
        <v>1785.7142857142901</v>
      </c>
      <c r="I103" s="38">
        <v>11.7051652840234</v>
      </c>
      <c r="N103" s="38">
        <v>1666.6666666666699</v>
      </c>
      <c r="O103" s="38">
        <v>102.59649975943699</v>
      </c>
      <c r="Q103" s="38">
        <v>1666.6666666666699</v>
      </c>
      <c r="R103" s="38">
        <v>65.418715453833897</v>
      </c>
      <c r="T103" s="38">
        <v>1766.51545333219</v>
      </c>
      <c r="U103" s="38">
        <v>11.6894038352123</v>
      </c>
      <c r="Y103" s="38">
        <v>1666.6666666666699</v>
      </c>
      <c r="Z103" s="38">
        <v>114.19443338032001</v>
      </c>
      <c r="AB103" s="38">
        <v>1666.6666666666699</v>
      </c>
      <c r="AC103" s="38">
        <v>63.3611942009804</v>
      </c>
      <c r="AE103" s="38">
        <v>1666.6666666666699</v>
      </c>
      <c r="AF103" s="38">
        <v>32.677878841546701</v>
      </c>
    </row>
    <row r="104" spans="2:32" x14ac:dyDescent="0.45">
      <c r="B104" s="37">
        <v>1770.8333333333301</v>
      </c>
      <c r="C104" s="38">
        <v>48.384410539522797</v>
      </c>
      <c r="E104" s="38">
        <v>1770.8333333333301</v>
      </c>
      <c r="F104" s="38">
        <v>69.314609063559104</v>
      </c>
      <c r="H104" s="38">
        <v>1904.7619047619</v>
      </c>
      <c r="I104" s="38">
        <v>11.8010867038762</v>
      </c>
      <c r="N104" s="38">
        <v>1770.8333333333301</v>
      </c>
      <c r="O104" s="38">
        <v>109.61621630059599</v>
      </c>
      <c r="Q104" s="38">
        <v>1770.8333333333301</v>
      </c>
      <c r="R104" s="38">
        <v>68.738414444020293</v>
      </c>
      <c r="T104" s="38">
        <v>1785.7142857142901</v>
      </c>
      <c r="U104" s="38">
        <v>12.1310835998976</v>
      </c>
      <c r="Y104" s="38">
        <v>1770.8333333333301</v>
      </c>
      <c r="Z104" s="38">
        <v>121.477834908633</v>
      </c>
      <c r="AB104" s="38">
        <v>1770.8333333333301</v>
      </c>
      <c r="AC104" s="38">
        <v>66.6797542513237</v>
      </c>
      <c r="AE104" s="38">
        <v>1785.7142857142901</v>
      </c>
      <c r="AF104" s="38">
        <v>39.1849110045492</v>
      </c>
    </row>
    <row r="105" spans="2:32" x14ac:dyDescent="0.45">
      <c r="B105" s="37">
        <v>1875</v>
      </c>
      <c r="C105" s="38">
        <v>54.389534067745302</v>
      </c>
      <c r="E105" s="38">
        <v>1875</v>
      </c>
      <c r="F105" s="38">
        <v>72.689767346050402</v>
      </c>
      <c r="H105" s="38">
        <v>1988.95058102239</v>
      </c>
      <c r="I105" s="38">
        <v>11.8669992303925</v>
      </c>
      <c r="N105" s="38">
        <v>1875</v>
      </c>
      <c r="O105" s="38">
        <v>116.47006636816501</v>
      </c>
      <c r="Q105" s="38">
        <v>1875</v>
      </c>
      <c r="R105" s="38">
        <v>72.147313037167507</v>
      </c>
      <c r="T105" s="38">
        <v>1904.7619047619</v>
      </c>
      <c r="U105" s="38">
        <v>15.8099171416949</v>
      </c>
      <c r="Y105" s="38">
        <v>1875</v>
      </c>
      <c r="Z105" s="38">
        <v>128.57494626239</v>
      </c>
      <c r="AB105" s="38">
        <v>1875</v>
      </c>
      <c r="AC105" s="38">
        <v>70.1181043466419</v>
      </c>
      <c r="AE105" s="38">
        <v>1904.7619047619</v>
      </c>
      <c r="AF105" s="38">
        <v>45.680220395565499</v>
      </c>
    </row>
    <row r="106" spans="2:32" x14ac:dyDescent="0.45">
      <c r="B106" s="37">
        <v>1979.1666666666699</v>
      </c>
      <c r="C106" s="38">
        <v>60.359654609817298</v>
      </c>
      <c r="E106" s="38">
        <v>1979.1666666666699</v>
      </c>
      <c r="F106" s="38">
        <v>76.208598827131496</v>
      </c>
      <c r="H106" s="38">
        <v>2023.80952380952</v>
      </c>
      <c r="I106" s="38">
        <v>12.550238049008501</v>
      </c>
      <c r="N106" s="38">
        <v>1979.1666666666699</v>
      </c>
      <c r="O106" s="38">
        <v>123.153076982584</v>
      </c>
      <c r="Q106" s="38">
        <v>1979.1666666666699</v>
      </c>
      <c r="R106" s="38">
        <v>75.730988582168493</v>
      </c>
      <c r="T106" s="38">
        <v>2023.80952380952</v>
      </c>
      <c r="U106" s="38">
        <v>19.927527784505202</v>
      </c>
      <c r="Y106" s="38">
        <v>1979.1666666666699</v>
      </c>
      <c r="Z106" s="38">
        <v>135.48384922932701</v>
      </c>
      <c r="AB106" s="38">
        <v>1979.1666666666699</v>
      </c>
      <c r="AC106" s="38">
        <v>73.820540263536898</v>
      </c>
      <c r="AE106" s="38">
        <v>2023.80952380952</v>
      </c>
      <c r="AF106" s="38">
        <v>52.113944029721701</v>
      </c>
    </row>
    <row r="107" spans="2:32" x14ac:dyDescent="0.45">
      <c r="B107" s="37">
        <v>2083.3333333333298</v>
      </c>
      <c r="C107" s="38">
        <v>66.303608626043399</v>
      </c>
      <c r="E107" s="38">
        <v>2083.3333333333298</v>
      </c>
      <c r="F107" s="38">
        <v>79.976032383836795</v>
      </c>
      <c r="H107" s="38">
        <v>2100</v>
      </c>
      <c r="I107" s="38">
        <v>14.240624373852601</v>
      </c>
      <c r="N107" s="38">
        <v>2083.3333333333298</v>
      </c>
      <c r="O107" s="38">
        <v>129.688283811963</v>
      </c>
      <c r="Q107" s="38">
        <v>2083.3333333333298</v>
      </c>
      <c r="R107" s="38">
        <v>79.616763856849303</v>
      </c>
      <c r="T107" s="38">
        <v>2100</v>
      </c>
      <c r="U107" s="38">
        <v>22.775871499027499</v>
      </c>
      <c r="Y107" s="38">
        <v>2083.3333333333298</v>
      </c>
      <c r="Z107" s="38">
        <v>142.221966235319</v>
      </c>
      <c r="AB107" s="38">
        <v>2083.3333333333298</v>
      </c>
      <c r="AC107" s="38">
        <v>78.032882475530599</v>
      </c>
      <c r="AE107" s="38">
        <v>2100</v>
      </c>
      <c r="AF107" s="38">
        <v>56.228258025220697</v>
      </c>
    </row>
    <row r="108" spans="2:32" x14ac:dyDescent="0.45">
      <c r="B108" s="37">
        <v>2187.5</v>
      </c>
      <c r="C108" s="38">
        <v>73.067252922947105</v>
      </c>
      <c r="E108" s="38">
        <v>2187.5</v>
      </c>
      <c r="F108" s="38">
        <v>84.1437192322079</v>
      </c>
      <c r="H108" s="38">
        <v>2142.8571428571399</v>
      </c>
      <c r="I108" s="38">
        <v>16.3813084375507</v>
      </c>
      <c r="N108" s="38">
        <v>2187.5</v>
      </c>
      <c r="O108" s="38">
        <v>136.54176838410601</v>
      </c>
      <c r="Q108" s="38">
        <v>2187.5</v>
      </c>
      <c r="R108" s="38">
        <v>83.988011149653005</v>
      </c>
      <c r="T108" s="38">
        <v>2142.8571428571399</v>
      </c>
      <c r="U108" s="38">
        <v>25.0713890128368</v>
      </c>
      <c r="Y108" s="38">
        <v>2187.5</v>
      </c>
      <c r="Z108" s="38">
        <v>149.05914661331701</v>
      </c>
      <c r="AB108" s="38">
        <v>2187.5</v>
      </c>
      <c r="AC108" s="38">
        <v>83.158221495219905</v>
      </c>
      <c r="AE108" s="38">
        <v>2142.8571428571399</v>
      </c>
      <c r="AF108" s="38">
        <v>58.780382928939098</v>
      </c>
    </row>
    <row r="109" spans="2:32" x14ac:dyDescent="0.45">
      <c r="B109" s="37">
        <v>2291.6666666666702</v>
      </c>
      <c r="C109" s="38">
        <v>79.964020873760504</v>
      </c>
      <c r="E109" s="38">
        <v>2291.6666666666702</v>
      </c>
      <c r="F109" s="38">
        <v>88.8894245527392</v>
      </c>
      <c r="H109" s="38">
        <v>2261.9047619047601</v>
      </c>
      <c r="I109" s="38">
        <v>22.4629785675729</v>
      </c>
      <c r="N109" s="38">
        <v>2291.6666666666702</v>
      </c>
      <c r="O109" s="38">
        <v>143.445002432546</v>
      </c>
      <c r="Q109" s="38">
        <v>2291.6666666666702</v>
      </c>
      <c r="R109" s="38">
        <v>89.083913105235297</v>
      </c>
      <c r="T109" s="38">
        <v>2261.9047619047601</v>
      </c>
      <c r="U109" s="38">
        <v>31.5744465455865</v>
      </c>
      <c r="Y109" s="38">
        <v>2291.6666666666702</v>
      </c>
      <c r="Z109" s="38">
        <v>155.903910141068</v>
      </c>
      <c r="AB109" s="38">
        <v>2291.6666666666702</v>
      </c>
      <c r="AC109" s="38">
        <v>89.844314729928001</v>
      </c>
      <c r="AE109" s="38">
        <v>2261.9047619047601</v>
      </c>
      <c r="AF109" s="38">
        <v>65.865315585906302</v>
      </c>
    </row>
    <row r="110" spans="2:32" x14ac:dyDescent="0.45">
      <c r="B110" s="37">
        <v>2395.8333333333298</v>
      </c>
      <c r="C110" s="38">
        <v>86.844087355703195</v>
      </c>
      <c r="E110" s="38">
        <v>2395.8333333333298</v>
      </c>
      <c r="F110" s="38">
        <v>94.476784272532697</v>
      </c>
      <c r="H110" s="38">
        <v>2380.9523809523798</v>
      </c>
      <c r="I110" s="38">
        <v>28.745840202618702</v>
      </c>
      <c r="N110" s="38">
        <v>2395.8333333333298</v>
      </c>
      <c r="O110" s="38">
        <v>150.32914543984501</v>
      </c>
      <c r="Q110" s="38">
        <v>2395.8333333333298</v>
      </c>
      <c r="R110" s="38">
        <v>95.259823770087294</v>
      </c>
      <c r="T110" s="38">
        <v>2380.9523809523798</v>
      </c>
      <c r="U110" s="38">
        <v>38.215177099026398</v>
      </c>
      <c r="Y110" s="38">
        <v>2395.8333333333298</v>
      </c>
      <c r="Z110" s="38">
        <v>162.71944264958401</v>
      </c>
      <c r="AB110" s="38">
        <v>2395.8333333333298</v>
      </c>
      <c r="AC110" s="38">
        <v>99.173128571952702</v>
      </c>
      <c r="AE110" s="38">
        <v>2380.9523809523798</v>
      </c>
      <c r="AF110" s="38">
        <v>72.938540903983693</v>
      </c>
    </row>
    <row r="111" spans="2:32" x14ac:dyDescent="0.45">
      <c r="B111" s="37">
        <v>2500</v>
      </c>
      <c r="C111" s="38">
        <v>93.7032155109153</v>
      </c>
      <c r="E111" s="38">
        <v>2500</v>
      </c>
      <c r="F111" s="38">
        <v>101.28865315985701</v>
      </c>
      <c r="H111" s="38">
        <v>2500</v>
      </c>
      <c r="I111" s="38">
        <v>35.209872938959698</v>
      </c>
      <c r="N111" s="38">
        <v>2500</v>
      </c>
      <c r="O111" s="38">
        <v>157.18898042335201</v>
      </c>
      <c r="Q111" s="38">
        <v>2500</v>
      </c>
      <c r="R111" s="38">
        <v>103.04048423176501</v>
      </c>
      <c r="T111" s="38">
        <v>2500</v>
      </c>
      <c r="U111" s="38">
        <v>44.942501635419902</v>
      </c>
      <c r="Y111" s="38">
        <v>2500</v>
      </c>
      <c r="Z111" s="38">
        <v>169.49083511605801</v>
      </c>
      <c r="AB111" s="38">
        <v>2500</v>
      </c>
      <c r="AC111" s="38">
        <v>112.93053885478299</v>
      </c>
      <c r="AE111" s="38">
        <v>2500</v>
      </c>
      <c r="AF111" s="38">
        <v>79.996398358230195</v>
      </c>
    </row>
    <row r="112" spans="2:32" x14ac:dyDescent="0.45">
      <c r="B112" s="37">
        <v>2501</v>
      </c>
      <c r="C112" s="38">
        <v>35.209872938959698</v>
      </c>
      <c r="E112" s="38">
        <v>2501</v>
      </c>
      <c r="F112" s="38">
        <v>88.996710867543001</v>
      </c>
      <c r="N112" s="38">
        <v>2501</v>
      </c>
      <c r="O112" s="38">
        <v>44.942501635419902</v>
      </c>
      <c r="Q112" s="38">
        <v>2501</v>
      </c>
      <c r="R112" s="38">
        <v>88.606548219247202</v>
      </c>
      <c r="Y112" s="38">
        <v>2501</v>
      </c>
      <c r="Z112" s="38">
        <v>79.996398358230195</v>
      </c>
      <c r="AB112" s="38">
        <v>2501</v>
      </c>
      <c r="AC112" s="38">
        <v>86.952288070935793</v>
      </c>
    </row>
    <row r="113" spans="2:29" x14ac:dyDescent="0.45">
      <c r="B113" s="37">
        <v>2612</v>
      </c>
      <c r="C113" s="38">
        <v>42.494851966757302</v>
      </c>
      <c r="E113" s="38">
        <v>2612</v>
      </c>
      <c r="F113" s="38">
        <v>91.899071011810705</v>
      </c>
      <c r="N113" s="38">
        <v>2612</v>
      </c>
      <c r="O113" s="38">
        <v>52.215967166124997</v>
      </c>
      <c r="Q113" s="38">
        <v>2612</v>
      </c>
      <c r="R113" s="38">
        <v>91.545334125618595</v>
      </c>
      <c r="Y113" s="38">
        <v>2612</v>
      </c>
      <c r="Z113" s="38">
        <v>87.217315588405199</v>
      </c>
      <c r="AB113" s="38">
        <v>2612</v>
      </c>
      <c r="AC113" s="38">
        <v>90.011982878145204</v>
      </c>
    </row>
    <row r="114" spans="2:29" x14ac:dyDescent="0.45">
      <c r="B114" s="37">
        <v>2723</v>
      </c>
      <c r="C114" s="38">
        <v>49.753096485011397</v>
      </c>
      <c r="E114" s="38">
        <v>2723</v>
      </c>
      <c r="F114" s="38">
        <v>94.683050038965504</v>
      </c>
      <c r="N114" s="38">
        <v>2723</v>
      </c>
      <c r="O114" s="38">
        <v>59.463660896713002</v>
      </c>
      <c r="Q114" s="38">
        <v>2723</v>
      </c>
      <c r="R114" s="38">
        <v>94.378029561446198</v>
      </c>
      <c r="Y114" s="38">
        <v>2723</v>
      </c>
      <c r="Z114" s="38">
        <v>94.412754019412702</v>
      </c>
      <c r="AB114" s="38">
        <v>2723</v>
      </c>
      <c r="AC114" s="38">
        <v>93.017848741333907</v>
      </c>
    </row>
    <row r="115" spans="2:29" x14ac:dyDescent="0.45">
      <c r="B115" s="37">
        <v>2834</v>
      </c>
      <c r="C115" s="38">
        <v>56.987041142967698</v>
      </c>
      <c r="E115" s="38">
        <v>2834</v>
      </c>
      <c r="F115" s="38">
        <v>97.292324920153405</v>
      </c>
      <c r="N115" s="38">
        <v>2834</v>
      </c>
      <c r="O115" s="38">
        <v>66.686896522052805</v>
      </c>
      <c r="Q115" s="38">
        <v>2834</v>
      </c>
      <c r="R115" s="38">
        <v>97.050169192048202</v>
      </c>
      <c r="Y115" s="38">
        <v>2834</v>
      </c>
      <c r="Z115" s="38">
        <v>101.583122180272</v>
      </c>
      <c r="AB115" s="38">
        <v>2834</v>
      </c>
      <c r="AC115" s="38">
        <v>95.9289987696623</v>
      </c>
    </row>
    <row r="116" spans="2:29" x14ac:dyDescent="0.45">
      <c r="B116" s="37">
        <v>2945</v>
      </c>
      <c r="C116" s="38">
        <v>64.198465984371694</v>
      </c>
      <c r="E116" s="38">
        <v>2945</v>
      </c>
      <c r="F116" s="38">
        <v>99.643631629099204</v>
      </c>
      <c r="N116" s="38">
        <v>2945</v>
      </c>
      <c r="O116" s="38">
        <v>73.886980261289807</v>
      </c>
      <c r="Q116" s="38">
        <v>2945</v>
      </c>
      <c r="R116" s="38">
        <v>99.479061673343793</v>
      </c>
      <c r="Y116" s="38">
        <v>2945</v>
      </c>
      <c r="Z116" s="38">
        <v>108.72906692542099</v>
      </c>
      <c r="AB116" s="38">
        <v>2945</v>
      </c>
      <c r="AC116" s="38">
        <v>98.6744651214443</v>
      </c>
    </row>
    <row r="117" spans="2:29" x14ac:dyDescent="0.45">
      <c r="B117" s="37">
        <v>3056</v>
      </c>
      <c r="C117" s="38">
        <v>71.388718934054594</v>
      </c>
      <c r="E117" s="38">
        <v>3056</v>
      </c>
      <c r="F117" s="38">
        <v>101.602492337735</v>
      </c>
      <c r="N117" s="38">
        <v>3056</v>
      </c>
      <c r="O117" s="38">
        <v>81.065020726351506</v>
      </c>
      <c r="Q117" s="38">
        <v>3056</v>
      </c>
      <c r="R117" s="38">
        <v>101.528089832897</v>
      </c>
      <c r="Y117" s="38">
        <v>3056</v>
      </c>
      <c r="Z117" s="38">
        <v>115.851159605652</v>
      </c>
      <c r="AB117" s="38">
        <v>3056</v>
      </c>
      <c r="AC117" s="38">
        <v>101.121556772578</v>
      </c>
    </row>
    <row r="118" spans="2:29" x14ac:dyDescent="0.45">
      <c r="B118" s="37">
        <v>3167</v>
      </c>
      <c r="C118" s="38">
        <v>78.560007141287102</v>
      </c>
      <c r="E118" s="38">
        <v>3167</v>
      </c>
      <c r="F118" s="38">
        <v>102.96899293127601</v>
      </c>
      <c r="N118" s="38">
        <v>3167</v>
      </c>
      <c r="O118" s="38">
        <v>88.223123314602802</v>
      </c>
      <c r="Q118" s="38">
        <v>3167</v>
      </c>
      <c r="R118" s="38">
        <v>102.988467107015</v>
      </c>
      <c r="Y118" s="38">
        <v>3167</v>
      </c>
      <c r="Z118" s="38">
        <v>122.951919648372</v>
      </c>
      <c r="AB118" s="38">
        <v>3167</v>
      </c>
      <c r="AC118" s="38">
        <v>103.03548110232001</v>
      </c>
    </row>
    <row r="119" spans="2:29" x14ac:dyDescent="0.45">
      <c r="B119" s="38">
        <v>3278</v>
      </c>
      <c r="C119" s="38">
        <v>85.715838780099304</v>
      </c>
      <c r="E119" s="38">
        <v>3278</v>
      </c>
      <c r="F119" s="38">
        <v>103.470587449901</v>
      </c>
      <c r="N119" s="38">
        <v>3278</v>
      </c>
      <c r="O119" s="38">
        <v>95.364811671622604</v>
      </c>
      <c r="Q119" s="38">
        <v>3278</v>
      </c>
      <c r="R119" s="38">
        <v>103.567124928382</v>
      </c>
      <c r="Y119" s="38">
        <v>3278</v>
      </c>
      <c r="Z119" s="38">
        <v>130.047284952056</v>
      </c>
      <c r="AB119" s="38">
        <v>3278</v>
      </c>
      <c r="AC119" s="38">
        <v>104.028953800401</v>
      </c>
    </row>
    <row r="120" spans="2:29" x14ac:dyDescent="0.45">
      <c r="B120" s="38">
        <v>3389</v>
      </c>
      <c r="C120" s="38">
        <v>92.860474995032803</v>
      </c>
      <c r="E120" s="38">
        <v>3389</v>
      </c>
      <c r="F120" s="38">
        <v>102.687843576216</v>
      </c>
      <c r="N120" s="38">
        <v>3389</v>
      </c>
      <c r="O120" s="38">
        <v>102.494439622001</v>
      </c>
      <c r="Q120" s="38">
        <v>3389</v>
      </c>
      <c r="R120" s="38">
        <v>102.80367243025999</v>
      </c>
      <c r="Y120" s="38">
        <v>3389</v>
      </c>
      <c r="Z120" s="38">
        <v>137.14973701025701</v>
      </c>
      <c r="AB120" s="38">
        <v>3389</v>
      </c>
      <c r="AC120" s="38">
        <v>103.414825275034</v>
      </c>
    </row>
    <row r="121" spans="2:29" x14ac:dyDescent="0.45">
      <c r="B121" s="38">
        <v>3500</v>
      </c>
      <c r="C121" s="38">
        <v>100</v>
      </c>
      <c r="E121" s="38">
        <v>3500</v>
      </c>
      <c r="F121" s="38">
        <v>100</v>
      </c>
      <c r="N121" s="38">
        <v>3500</v>
      </c>
      <c r="O121" s="38">
        <v>109.61834716796901</v>
      </c>
      <c r="Q121" s="38">
        <v>3500</v>
      </c>
      <c r="R121" s="38">
        <v>100</v>
      </c>
      <c r="Y121" s="38">
        <v>3500</v>
      </c>
      <c r="Z121" s="38">
        <v>144.26922607421901</v>
      </c>
      <c r="AB121" s="38">
        <v>3500</v>
      </c>
      <c r="AC121" s="38">
        <v>100</v>
      </c>
    </row>
    <row r="122" spans="2:29" x14ac:dyDescent="0.45">
      <c r="B122" s="41"/>
    </row>
    <row r="123" spans="2:29" x14ac:dyDescent="0.45">
      <c r="O123" s="41"/>
    </row>
    <row r="124" spans="2:29" x14ac:dyDescent="0.45">
      <c r="O124" s="41"/>
    </row>
    <row r="125" spans="2:29" x14ac:dyDescent="0.45">
      <c r="O125" s="41"/>
    </row>
    <row r="126" spans="2:29" x14ac:dyDescent="0.45">
      <c r="O126" s="41"/>
    </row>
    <row r="127" spans="2:29" x14ac:dyDescent="0.45">
      <c r="O127" s="41"/>
    </row>
    <row r="128" spans="2:29" x14ac:dyDescent="0.45">
      <c r="O128" s="41"/>
    </row>
    <row r="129" spans="15:15" x14ac:dyDescent="0.45">
      <c r="O129" s="41"/>
    </row>
    <row r="130" spans="15:15" x14ac:dyDescent="0.45">
      <c r="O130" s="41"/>
    </row>
    <row r="131" spans="15:15" x14ac:dyDescent="0.45">
      <c r="O131" s="41"/>
    </row>
    <row r="132" spans="15:15" x14ac:dyDescent="0.45">
      <c r="O132" s="41"/>
    </row>
    <row r="133" spans="15:15" x14ac:dyDescent="0.45">
      <c r="O133" s="41"/>
    </row>
    <row r="134" spans="15:15" x14ac:dyDescent="0.45">
      <c r="O134" s="41"/>
    </row>
    <row r="135" spans="15:15" x14ac:dyDescent="0.45">
      <c r="O135" s="41"/>
    </row>
    <row r="136" spans="15:15" x14ac:dyDescent="0.45">
      <c r="O136" s="41"/>
    </row>
    <row r="137" spans="15:15" x14ac:dyDescent="0.45">
      <c r="O137" s="41"/>
    </row>
  </sheetData>
  <mergeCells count="12">
    <mergeCell ref="V2:W2"/>
    <mergeCell ref="V3:W3"/>
    <mergeCell ref="B3:E3"/>
    <mergeCell ref="B4:E4"/>
    <mergeCell ref="B5:E5"/>
    <mergeCell ref="V9:W9"/>
    <mergeCell ref="V6:W6"/>
    <mergeCell ref="B6:E8"/>
    <mergeCell ref="V4:W4"/>
    <mergeCell ref="V5:W5"/>
    <mergeCell ref="V7:W7"/>
    <mergeCell ref="V8:W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">
                <anchor moveWithCells="1" sizeWithCells="1">
                  <from>
                    <xdr:col>9</xdr:col>
                    <xdr:colOff>304800</xdr:colOff>
                    <xdr:row>62</xdr:row>
                    <xdr:rowOff>28575</xdr:rowOff>
                  </from>
                  <to>
                    <xdr:col>12</xdr:col>
                    <xdr:colOff>257175</xdr:colOff>
                    <xdr:row>64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70</vt:i4>
      </vt:variant>
    </vt:vector>
  </HeadingPairs>
  <TitlesOfParts>
    <vt:vector size="71" baseType="lpstr">
      <vt:lpstr>exercise_pipeline</vt:lpstr>
      <vt:lpstr>exercise_pipeline!Bob_</vt:lpstr>
      <vt:lpstr>calc_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calc_from_pwf_</vt:lpstr>
      <vt:lpstr>calc_from_pwh_</vt:lpstr>
      <vt:lpstr>exercise_pipeline!calibr_fric</vt:lpstr>
      <vt:lpstr>exercise_pipeline!calibr_grav</vt:lpstr>
      <vt:lpstr>exercise_pipeline!calibr_type</vt:lpstr>
      <vt:lpstr>construction</vt:lpstr>
      <vt:lpstr>ESP_freq</vt:lpstr>
      <vt:lpstr>ESP_head_nom</vt:lpstr>
      <vt:lpstr>ESP_ID</vt:lpstr>
      <vt:lpstr>esp_json_</vt:lpstr>
      <vt:lpstr>ESP_num_stages</vt:lpstr>
      <vt:lpstr>ESP_q_nom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Gas_model</vt:lpstr>
      <vt:lpstr>exercise_pipeline!gas_only_</vt:lpstr>
      <vt:lpstr>Gas_stage_by_stage</vt:lpstr>
      <vt:lpstr>h_perf_</vt:lpstr>
      <vt:lpstr>h_tub_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ipr_json_</vt:lpstr>
      <vt:lpstr>exercise_pipeline!Ksep</vt:lpstr>
      <vt:lpstr>exercise_pipeline!muob_</vt:lpstr>
      <vt:lpstr>exercise_pipeline!Pb_</vt:lpstr>
      <vt:lpstr>Pb__</vt:lpstr>
      <vt:lpstr>exercise_pipeline!Pbuf_</vt:lpstr>
      <vt:lpstr>PI_</vt:lpstr>
      <vt:lpstr>Pint_</vt:lpstr>
      <vt:lpstr>Pres</vt:lpstr>
      <vt:lpstr>exercise_pipeline!PVT_corr_</vt:lpstr>
      <vt:lpstr>exercise_pipeline!PVTstr_</vt:lpstr>
      <vt:lpstr>exercise_pipeline!Pwf_</vt:lpstr>
      <vt:lpstr>exercise_pipeline!Qgas_free</vt:lpstr>
      <vt:lpstr>exercise_pipeline!qliq_</vt:lpstr>
      <vt:lpstr>exercise_pipeline!Rp_</vt:lpstr>
      <vt:lpstr>exercise_pipeline!Rsb_</vt:lpstr>
      <vt:lpstr>t_crit_c_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2022-07-15T10:08:37Z</dcterms:modified>
</cp:coreProperties>
</file>