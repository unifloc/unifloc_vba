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C:\projects\unifloc_vba\examples\"/>
    </mc:Choice>
  </mc:AlternateContent>
  <bookViews>
    <workbookView xWindow="-105" yWindow="-105" windowWidth="22155" windowHeight="13200" tabRatio="591"/>
  </bookViews>
  <sheets>
    <sheet name="Лист1" sheetId="121" r:id="rId1"/>
  </sheets>
  <externalReferences>
    <externalReference r:id="rId2"/>
  </externalReferences>
  <definedNames>
    <definedName name="calc_along_flow">#REF!</definedName>
    <definedName name="choke_calibr">Лист1!$C$88</definedName>
    <definedName name="choke_json">#REF!</definedName>
    <definedName name="choke_json_1">Лист1!$F$11</definedName>
    <definedName name="choke_p">Лист1!$C$55</definedName>
    <definedName name="choke_q">Лист1!$C$71</definedName>
    <definedName name="feed">#REF!</definedName>
    <definedName name="feed_json">Лист1!$C$21</definedName>
    <definedName name="param">#REF!</definedName>
    <definedName name="PVT_json">Лист1!$C$16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77" i="121" l="1"/>
  <c r="C76" i="121"/>
  <c r="C61" i="121"/>
  <c r="C60" i="121"/>
  <c r="C45" i="121"/>
  <c r="C44" i="121"/>
  <c r="I8" i="121"/>
  <c r="I7" i="121"/>
  <c r="C88" i="121" a="1"/>
  <c r="C83" i="121"/>
  <c r="C71" i="121" a="1"/>
  <c r="C66" i="121"/>
  <c r="C55" i="121" a="1"/>
  <c r="C50" i="121"/>
  <c r="D88" i="121" l="1"/>
  <c r="C89" i="121"/>
  <c r="F89" i="121"/>
  <c r="C88" i="121"/>
  <c r="E88" i="121"/>
  <c r="F88" i="121"/>
  <c r="D89" i="121"/>
  <c r="E89" i="121"/>
  <c r="C71" i="121"/>
  <c r="D71" i="121"/>
  <c r="E71" i="121"/>
  <c r="F71" i="121"/>
  <c r="G71" i="121"/>
  <c r="H71" i="121"/>
  <c r="I71" i="121"/>
  <c r="J71" i="121"/>
  <c r="K71" i="121"/>
  <c r="L71" i="121"/>
  <c r="M71" i="121"/>
  <c r="C72" i="121"/>
  <c r="E72" i="121"/>
  <c r="F72" i="121"/>
  <c r="G72" i="121"/>
  <c r="H72" i="121"/>
  <c r="I72" i="121"/>
  <c r="J72" i="121"/>
  <c r="K72" i="121"/>
  <c r="L72" i="121"/>
  <c r="M72" i="121"/>
  <c r="D72" i="121"/>
  <c r="D55" i="121"/>
  <c r="F55" i="121"/>
  <c r="H55" i="121"/>
  <c r="J55" i="121"/>
  <c r="L55" i="121"/>
  <c r="D56" i="121"/>
  <c r="E56" i="121"/>
  <c r="G56" i="121"/>
  <c r="I56" i="121"/>
  <c r="K56" i="121"/>
  <c r="M56" i="121"/>
  <c r="C55" i="121"/>
  <c r="E55" i="121"/>
  <c r="G55" i="121"/>
  <c r="I55" i="121"/>
  <c r="K55" i="121"/>
  <c r="M55" i="121"/>
  <c r="C56" i="121"/>
  <c r="F56" i="121"/>
  <c r="H56" i="121"/>
  <c r="J56" i="121"/>
  <c r="L56" i="121"/>
  <c r="B90" i="121" a="1"/>
  <c r="C21" i="121"/>
  <c r="C16" i="121"/>
  <c r="I12" i="121"/>
  <c r="F11" i="121"/>
  <c r="C90" i="121" l="1"/>
  <c r="B92" i="121"/>
  <c r="B93" i="121"/>
  <c r="C93" i="121"/>
  <c r="B94" i="121"/>
  <c r="C94" i="121"/>
  <c r="B91" i="121"/>
  <c r="C91" i="121"/>
  <c r="C92" i="121"/>
  <c r="B90" i="121"/>
  <c r="I13" i="121"/>
  <c r="H17" i="121" s="1" a="1"/>
  <c r="I14" i="121"/>
  <c r="I16" i="121" s="1" a="1"/>
  <c r="I15" i="121"/>
  <c r="K16" i="121" s="1" a="1"/>
  <c r="L31" i="121" l="1"/>
  <c r="K20" i="121"/>
  <c r="K32" i="121"/>
  <c r="K37" i="121"/>
  <c r="L16" i="121"/>
  <c r="L32" i="121"/>
  <c r="L22" i="121"/>
  <c r="K33" i="121"/>
  <c r="L23" i="121"/>
  <c r="L33" i="121"/>
  <c r="K25" i="121"/>
  <c r="L18" i="121"/>
  <c r="L34" i="121"/>
  <c r="K30" i="121"/>
  <c r="L19" i="121"/>
  <c r="L25" i="121"/>
  <c r="L29" i="121"/>
  <c r="K21" i="121"/>
  <c r="L37" i="121"/>
  <c r="K22" i="121"/>
  <c r="L39" i="121"/>
  <c r="K26" i="121"/>
  <c r="L27" i="121"/>
  <c r="K29" i="121"/>
  <c r="K19" i="121"/>
  <c r="K16" i="121"/>
  <c r="L20" i="121"/>
  <c r="L21" i="121"/>
  <c r="K38" i="121"/>
  <c r="K17" i="121"/>
  <c r="K39" i="121"/>
  <c r="L17" i="121"/>
  <c r="L24" i="121"/>
  <c r="K34" i="121"/>
  <c r="K27" i="121"/>
  <c r="K28" i="121"/>
  <c r="K35" i="121"/>
  <c r="L30" i="121"/>
  <c r="K36" i="121"/>
  <c r="L36" i="121"/>
  <c r="L38" i="121"/>
  <c r="K23" i="121"/>
  <c r="L26" i="121"/>
  <c r="L28" i="121"/>
  <c r="K18" i="121"/>
  <c r="L35" i="121"/>
  <c r="K24" i="121"/>
  <c r="K31" i="121"/>
  <c r="J17" i="121"/>
  <c r="I18" i="121"/>
  <c r="I34" i="121"/>
  <c r="J18" i="121"/>
  <c r="J34" i="121"/>
  <c r="I19" i="121"/>
  <c r="I35" i="121"/>
  <c r="J19" i="121"/>
  <c r="J21" i="121"/>
  <c r="J22" i="121"/>
  <c r="J38" i="121"/>
  <c r="I22" i="121"/>
  <c r="I23" i="121"/>
  <c r="J39" i="121"/>
  <c r="I26" i="121"/>
  <c r="J27" i="121"/>
  <c r="J28" i="121"/>
  <c r="I21" i="121"/>
  <c r="J32" i="121"/>
  <c r="J29" i="121"/>
  <c r="J33" i="121"/>
  <c r="J35" i="121"/>
  <c r="I20" i="121"/>
  <c r="I36" i="121"/>
  <c r="J20" i="121"/>
  <c r="I37" i="121"/>
  <c r="I38" i="121"/>
  <c r="J31" i="121"/>
  <c r="J36" i="121"/>
  <c r="I39" i="121"/>
  <c r="J23" i="121"/>
  <c r="I24" i="121"/>
  <c r="J25" i="121"/>
  <c r="I29" i="121"/>
  <c r="I28" i="121"/>
  <c r="I32" i="121"/>
  <c r="J16" i="121"/>
  <c r="I27" i="121"/>
  <c r="J37" i="121"/>
  <c r="I25" i="121"/>
  <c r="J26" i="121"/>
  <c r="I30" i="121"/>
  <c r="J30" i="121"/>
  <c r="I16" i="121"/>
  <c r="I31" i="121"/>
  <c r="J24" i="121"/>
  <c r="I17" i="121"/>
  <c r="I33" i="121"/>
  <c r="H18" i="121"/>
  <c r="H20" i="121"/>
  <c r="H21" i="121"/>
  <c r="H33" i="121"/>
  <c r="H34" i="121"/>
  <c r="H37" i="121"/>
  <c r="H17" i="121"/>
  <c r="H24" i="121"/>
  <c r="H27" i="121"/>
  <c r="H31" i="121"/>
  <c r="H35" i="121"/>
  <c r="H38" i="121"/>
  <c r="H19" i="121"/>
  <c r="H22" i="121"/>
  <c r="H23" i="121"/>
  <c r="H25" i="121"/>
  <c r="H30" i="121"/>
  <c r="H32" i="121"/>
  <c r="H26" i="121"/>
  <c r="H28" i="121"/>
  <c r="H29" i="121"/>
  <c r="H36" i="121"/>
  <c r="H39" i="121"/>
</calcChain>
</file>

<file path=xl/sharedStrings.xml><?xml version="1.0" encoding="utf-8"?>
<sst xmlns="http://schemas.openxmlformats.org/spreadsheetml/2006/main" count="67" uniqueCount="38">
  <si>
    <t>show_array</t>
  </si>
  <si>
    <t>calc_along_flow</t>
  </si>
  <si>
    <t>d_choke_mm</t>
  </si>
  <si>
    <t>d_pipe_mm</t>
  </si>
  <si>
    <t>calibr</t>
  </si>
  <si>
    <t>CDischarge</t>
  </si>
  <si>
    <t>choke json</t>
  </si>
  <si>
    <t>choke_json</t>
  </si>
  <si>
    <t>feed_json</t>
  </si>
  <si>
    <t>p_atma</t>
  </si>
  <si>
    <t>t_choke_C</t>
  </si>
  <si>
    <t>q_min</t>
  </si>
  <si>
    <t>q_max</t>
  </si>
  <si>
    <t>q_list</t>
  </si>
  <si>
    <t>p_down_list</t>
  </si>
  <si>
    <t>p_up_list</t>
  </si>
  <si>
    <t>q_values</t>
  </si>
  <si>
    <t>gamma_gas</t>
  </si>
  <si>
    <t>gamma_oil</t>
  </si>
  <si>
    <t>gamma_wat</t>
  </si>
  <si>
    <t>rsb_m3m3</t>
  </si>
  <si>
    <t>pb_atma</t>
  </si>
  <si>
    <t>t_res_C</t>
  </si>
  <si>
    <t>bob_m3m3</t>
  </si>
  <si>
    <t>muob_cP</t>
  </si>
  <si>
    <t>pvt_corr_set</t>
  </si>
  <si>
    <t>PVT</t>
  </si>
  <si>
    <t>q_liq_sm3day</t>
  </si>
  <si>
    <t>fw_perc</t>
  </si>
  <si>
    <t>rp_m3m3</t>
  </si>
  <si>
    <t>q_gas_free_sm3day</t>
  </si>
  <si>
    <t>feed</t>
  </si>
  <si>
    <t>p_calc_from_atma</t>
  </si>
  <si>
    <t>param</t>
  </si>
  <si>
    <t>result</t>
  </si>
  <si>
    <t>p_in_atma</t>
  </si>
  <si>
    <t>p_out_atma</t>
  </si>
  <si>
    <t>calibr_type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</si>
</sst>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(* #,##0.00_);_(* \(#,##0.00\);_(* &quot;-&quot;??_);_(@_)"/>
  </numFmts>
  <fonts count="7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sz val="10"/>
      <name val="Arial Cyr"/>
      <charset val="204"/>
    </font>
  </fonts>
  <fills count="6">
    <fill>
      <patternFill patternType="none"/>
    </fill>
    <fill>
      <patternFill patternType="gray125"/>
    </fill>
    <fill>
      <patternFill patternType="solid">
        <fgColor rgb="FFDCDCD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0FAFA"/>
        <bgColor indexed="64"/>
      </patternFill>
    </fill>
    <fill>
      <patternFill patternType="solid">
        <fgColor rgb="FFDCFAA0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8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  <xf numFmtId="164" fontId="6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5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</cellXfs>
  <cellStyles count="8">
    <cellStyle name="Iau?iue_AA_1" xfId="1"/>
    <cellStyle name="Обычный" xfId="0" builtinId="0"/>
    <cellStyle name="Обычный 2" xfId="2"/>
    <cellStyle name="Обычный 3" xfId="3"/>
    <cellStyle name="Обычный 3 2" xfId="4"/>
    <cellStyle name="Обычный 4" xfId="6"/>
    <cellStyle name="Процентный 2" xfId="7"/>
    <cellStyle name="Финансовый 2" xfId="5"/>
  </cellStyles>
  <dxfs count="0"/>
  <tableStyles count="0" defaultTableStyle="TableStyleMedium2" defaultPivotStyle="PivotStyleLight16"/>
  <colors>
    <mruColors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Choke curves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pressure down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Лист1!$H$17:$H$39</c:f>
              <c:numCache>
                <c:formatCode>General</c:formatCode>
                <c:ptCount val="23"/>
                <c:pt idx="0">
                  <c:v>1</c:v>
                </c:pt>
                <c:pt idx="1">
                  <c:v>4.875</c:v>
                </c:pt>
                <c:pt idx="2">
                  <c:v>8.75</c:v>
                </c:pt>
                <c:pt idx="3">
                  <c:v>12.625</c:v>
                </c:pt>
                <c:pt idx="4">
                  <c:v>16.501000000000001</c:v>
                </c:pt>
                <c:pt idx="5">
                  <c:v>20.376000000000001</c:v>
                </c:pt>
                <c:pt idx="6">
                  <c:v>24.251000000000001</c:v>
                </c:pt>
                <c:pt idx="7">
                  <c:v>28.126000000000001</c:v>
                </c:pt>
                <c:pt idx="8">
                  <c:v>32.000999999999998</c:v>
                </c:pt>
                <c:pt idx="9">
                  <c:v>35.875999999999998</c:v>
                </c:pt>
                <c:pt idx="10">
                  <c:v>39.752000000000002</c:v>
                </c:pt>
                <c:pt idx="11">
                  <c:v>43.627000000000002</c:v>
                </c:pt>
                <c:pt idx="12">
                  <c:v>47.502000000000002</c:v>
                </c:pt>
                <c:pt idx="13">
                  <c:v>51.377000000000002</c:v>
                </c:pt>
                <c:pt idx="14">
                  <c:v>55.252000000000002</c:v>
                </c:pt>
                <c:pt idx="15">
                  <c:v>59.127000000000002</c:v>
                </c:pt>
                <c:pt idx="16">
                  <c:v>63.002000000000002</c:v>
                </c:pt>
                <c:pt idx="17">
                  <c:v>66.878</c:v>
                </c:pt>
                <c:pt idx="18">
                  <c:v>70.753</c:v>
                </c:pt>
                <c:pt idx="19">
                  <c:v>74.628</c:v>
                </c:pt>
                <c:pt idx="20">
                  <c:v>78.503</c:v>
                </c:pt>
                <c:pt idx="21">
                  <c:v>78.522999999999996</c:v>
                </c:pt>
                <c:pt idx="22">
                  <c:v>86.353300000000004</c:v>
                </c:pt>
              </c:numCache>
            </c:numRef>
          </c:xVal>
          <c:yVal>
            <c:numRef>
              <c:f>Лист1!$K$17:$K$39</c:f>
              <c:numCache>
                <c:formatCode>General</c:formatCode>
                <c:ptCount val="23"/>
                <c:pt idx="0">
                  <c:v>24.998999999999999</c:v>
                </c:pt>
                <c:pt idx="1">
                  <c:v>24.984000000000002</c:v>
                </c:pt>
                <c:pt idx="2">
                  <c:v>24.949000000000002</c:v>
                </c:pt>
                <c:pt idx="3">
                  <c:v>24.893999999999998</c:v>
                </c:pt>
                <c:pt idx="4">
                  <c:v>24.818000000000001</c:v>
                </c:pt>
                <c:pt idx="5">
                  <c:v>24.721</c:v>
                </c:pt>
                <c:pt idx="6">
                  <c:v>24.600999999999999</c:v>
                </c:pt>
                <c:pt idx="7">
                  <c:v>24.457999999999998</c:v>
                </c:pt>
                <c:pt idx="8">
                  <c:v>24.29</c:v>
                </c:pt>
                <c:pt idx="9">
                  <c:v>24.094999999999999</c:v>
                </c:pt>
                <c:pt idx="10">
                  <c:v>23.870999999999999</c:v>
                </c:pt>
                <c:pt idx="11">
                  <c:v>23.614999999999998</c:v>
                </c:pt>
                <c:pt idx="12">
                  <c:v>23.321999999999999</c:v>
                </c:pt>
                <c:pt idx="13">
                  <c:v>22.986999999999998</c:v>
                </c:pt>
                <c:pt idx="14">
                  <c:v>22.603999999999999</c:v>
                </c:pt>
                <c:pt idx="15">
                  <c:v>22.158999999999999</c:v>
                </c:pt>
                <c:pt idx="16">
                  <c:v>21.637</c:v>
                </c:pt>
                <c:pt idx="17">
                  <c:v>21.007999999999999</c:v>
                </c:pt>
                <c:pt idx="18">
                  <c:v>20.221</c:v>
                </c:pt>
                <c:pt idx="19">
                  <c:v>19.122</c:v>
                </c:pt>
                <c:pt idx="20">
                  <c:v>16.454999999999998</c:v>
                </c:pt>
                <c:pt idx="21">
                  <c:v>-1</c:v>
                </c:pt>
                <c:pt idx="22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75-48F2-AAE7-94F0E5978BFD}"/>
            </c:ext>
          </c:extLst>
        </c:ser>
        <c:ser>
          <c:idx val="1"/>
          <c:order val="1"/>
          <c:tx>
            <c:v>pressure up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Лист1!$H$17:$H$39</c:f>
              <c:numCache>
                <c:formatCode>General</c:formatCode>
                <c:ptCount val="23"/>
                <c:pt idx="0">
                  <c:v>1</c:v>
                </c:pt>
                <c:pt idx="1">
                  <c:v>4.875</c:v>
                </c:pt>
                <c:pt idx="2">
                  <c:v>8.75</c:v>
                </c:pt>
                <c:pt idx="3">
                  <c:v>12.625</c:v>
                </c:pt>
                <c:pt idx="4">
                  <c:v>16.501000000000001</c:v>
                </c:pt>
                <c:pt idx="5">
                  <c:v>20.376000000000001</c:v>
                </c:pt>
                <c:pt idx="6">
                  <c:v>24.251000000000001</c:v>
                </c:pt>
                <c:pt idx="7">
                  <c:v>28.126000000000001</c:v>
                </c:pt>
                <c:pt idx="8">
                  <c:v>32.000999999999998</c:v>
                </c:pt>
                <c:pt idx="9">
                  <c:v>35.875999999999998</c:v>
                </c:pt>
                <c:pt idx="10">
                  <c:v>39.752000000000002</c:v>
                </c:pt>
                <c:pt idx="11">
                  <c:v>43.627000000000002</c:v>
                </c:pt>
                <c:pt idx="12">
                  <c:v>47.502000000000002</c:v>
                </c:pt>
                <c:pt idx="13">
                  <c:v>51.377000000000002</c:v>
                </c:pt>
                <c:pt idx="14">
                  <c:v>55.252000000000002</c:v>
                </c:pt>
                <c:pt idx="15">
                  <c:v>59.127000000000002</c:v>
                </c:pt>
                <c:pt idx="16">
                  <c:v>63.002000000000002</c:v>
                </c:pt>
                <c:pt idx="17">
                  <c:v>66.878</c:v>
                </c:pt>
                <c:pt idx="18">
                  <c:v>70.753</c:v>
                </c:pt>
                <c:pt idx="19">
                  <c:v>74.628</c:v>
                </c:pt>
                <c:pt idx="20">
                  <c:v>78.503</c:v>
                </c:pt>
                <c:pt idx="21">
                  <c:v>78.522999999999996</c:v>
                </c:pt>
                <c:pt idx="22">
                  <c:v>86.353300000000004</c:v>
                </c:pt>
              </c:numCache>
            </c:numRef>
          </c:xVal>
          <c:yVal>
            <c:numRef>
              <c:f>Лист1!$I$17:$I$39</c:f>
              <c:numCache>
                <c:formatCode>General</c:formatCode>
                <c:ptCount val="23"/>
                <c:pt idx="0">
                  <c:v>25.001000000000001</c:v>
                </c:pt>
                <c:pt idx="1">
                  <c:v>25.015999999999998</c:v>
                </c:pt>
                <c:pt idx="2">
                  <c:v>25.050999999999998</c:v>
                </c:pt>
                <c:pt idx="3">
                  <c:v>25.106000000000002</c:v>
                </c:pt>
                <c:pt idx="4">
                  <c:v>25.181000000000001</c:v>
                </c:pt>
                <c:pt idx="5">
                  <c:v>25.276</c:v>
                </c:pt>
                <c:pt idx="6">
                  <c:v>25.391999999999999</c:v>
                </c:pt>
                <c:pt idx="7">
                  <c:v>25.529</c:v>
                </c:pt>
                <c:pt idx="8">
                  <c:v>25.687999999999999</c:v>
                </c:pt>
                <c:pt idx="9">
                  <c:v>25.869</c:v>
                </c:pt>
                <c:pt idx="10">
                  <c:v>26.071999999999999</c:v>
                </c:pt>
                <c:pt idx="11">
                  <c:v>26.298999999999999</c:v>
                </c:pt>
                <c:pt idx="12">
                  <c:v>26.548999999999999</c:v>
                </c:pt>
                <c:pt idx="13">
                  <c:v>26.823</c:v>
                </c:pt>
                <c:pt idx="14">
                  <c:v>27.123999999999999</c:v>
                </c:pt>
                <c:pt idx="15">
                  <c:v>27.451000000000001</c:v>
                </c:pt>
                <c:pt idx="16">
                  <c:v>27.805</c:v>
                </c:pt>
                <c:pt idx="17">
                  <c:v>28.187999999999999</c:v>
                </c:pt>
                <c:pt idx="18">
                  <c:v>28.6</c:v>
                </c:pt>
                <c:pt idx="19">
                  <c:v>29.042000000000002</c:v>
                </c:pt>
                <c:pt idx="20">
                  <c:v>29.518000000000001</c:v>
                </c:pt>
                <c:pt idx="21">
                  <c:v>29.52</c:v>
                </c:pt>
                <c:pt idx="22">
                  <c:v>30.582999999999998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D75-48F2-AAE7-94F0E5978B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6370840"/>
        <c:axId val="596371168"/>
      </c:scatterChart>
      <c:valAx>
        <c:axId val="596370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Qliq, sm3/day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6371168"/>
        <c:crosses val="autoZero"/>
        <c:crossBetween val="midCat"/>
      </c:valAx>
      <c:valAx>
        <c:axId val="59637116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P, atma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63708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28575</xdr:colOff>
      <xdr:row>6</xdr:row>
      <xdr:rowOff>1</xdr:rowOff>
    </xdr:from>
    <xdr:to>
      <xdr:col>20</xdr:col>
      <xdr:colOff>28575</xdr:colOff>
      <xdr:row>26</xdr:row>
      <xdr:rowOff>19050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19050</xdr:colOff>
      <xdr:row>6</xdr:row>
      <xdr:rowOff>95250</xdr:rowOff>
    </xdr:from>
    <xdr:to>
      <xdr:col>8</xdr:col>
      <xdr:colOff>0</xdr:colOff>
      <xdr:row>10</xdr:row>
      <xdr:rowOff>57150</xdr:rowOff>
    </xdr:to>
    <xdr:cxnSp macro="">
      <xdr:nvCxnSpPr>
        <xdr:cNvPr id="4" name="Прямая со стрелкой 3"/>
        <xdr:cNvCxnSpPr/>
      </xdr:nvCxnSpPr>
      <xdr:spPr>
        <a:xfrm flipH="1">
          <a:off x="3676650" y="1066800"/>
          <a:ext cx="1200150" cy="6096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7</xdr:row>
      <xdr:rowOff>104775</xdr:rowOff>
    </xdr:from>
    <xdr:to>
      <xdr:col>8</xdr:col>
      <xdr:colOff>0</xdr:colOff>
      <xdr:row>20</xdr:row>
      <xdr:rowOff>0</xdr:rowOff>
    </xdr:to>
    <xdr:cxnSp macro="">
      <xdr:nvCxnSpPr>
        <xdr:cNvPr id="6" name="Прямая со стрелкой 5"/>
        <xdr:cNvCxnSpPr/>
      </xdr:nvCxnSpPr>
      <xdr:spPr>
        <a:xfrm flipH="1">
          <a:off x="1828800" y="1238250"/>
          <a:ext cx="3048000" cy="20002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ojects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"/>
      <definedName name="decode_json_crv"/>
      <definedName name="encode_choke"/>
      <definedName name="encode_feed"/>
      <definedName name="encode_json"/>
      <definedName name="encode_linspace"/>
      <definedName name="encode_PVT"/>
      <definedName name="list_concatenate"/>
      <definedName name="MF_choke_calibr"/>
      <definedName name="MF_choke_p_atma"/>
      <definedName name="MF_choke_q_sm3day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7:M94"/>
  <sheetViews>
    <sheetView tabSelected="1" workbookViewId="0">
      <selection activeCell="E50" sqref="E50"/>
    </sheetView>
  </sheetViews>
  <sheetFormatPr defaultRowHeight="12.75" x14ac:dyDescent="0.2"/>
  <sheetData>
    <row r="7" spans="2:12" x14ac:dyDescent="0.2">
      <c r="B7" s="1" t="s">
        <v>17</v>
      </c>
      <c r="C7" s="2">
        <v>0.6</v>
      </c>
      <c r="E7" s="1" t="s">
        <v>2</v>
      </c>
      <c r="F7" s="2">
        <v>10</v>
      </c>
      <c r="H7" s="1" t="s">
        <v>7</v>
      </c>
      <c r="I7" s="4" t="str">
        <f>choke_json_1</f>
        <v>{"d_choke_mm":10,"d_pipe_mm":70,"calibr":1,"CDischarge":0.82}</v>
      </c>
    </row>
    <row r="8" spans="2:12" x14ac:dyDescent="0.2">
      <c r="B8" s="1" t="s">
        <v>18</v>
      </c>
      <c r="C8" s="2">
        <v>0.86</v>
      </c>
      <c r="E8" s="1" t="s">
        <v>3</v>
      </c>
      <c r="F8" s="2">
        <v>70</v>
      </c>
      <c r="H8" s="1" t="s">
        <v>8</v>
      </c>
      <c r="I8" s="4" t="str">
        <f>feed_json</f>
        <v>{"gamma_gas":0.6,"gamma_oil":0.86,"gamma_wat":1.1,"rsb_m3m3":120,"pb_atma":130,"t_res_C":80,"bob_m3m3":1.2,"muob_cP":0.6,"PVT_corr_set":0,"q_liq_sm3day":30,"fw_perc":10,"rp_m3m3":120}</v>
      </c>
    </row>
    <row r="9" spans="2:12" x14ac:dyDescent="0.2">
      <c r="B9" s="1" t="s">
        <v>19</v>
      </c>
      <c r="C9" s="2">
        <v>1.1000000000000001</v>
      </c>
      <c r="E9" s="1" t="s">
        <v>4</v>
      </c>
      <c r="F9" s="2">
        <v>1</v>
      </c>
      <c r="H9" s="1" t="s">
        <v>9</v>
      </c>
      <c r="I9" s="2">
        <v>25</v>
      </c>
    </row>
    <row r="10" spans="2:12" x14ac:dyDescent="0.2">
      <c r="B10" s="1" t="s">
        <v>20</v>
      </c>
      <c r="C10" s="2">
        <v>120</v>
      </c>
      <c r="E10" s="1" t="s">
        <v>5</v>
      </c>
      <c r="F10" s="2">
        <v>0.82</v>
      </c>
      <c r="H10" s="1" t="s">
        <v>10</v>
      </c>
      <c r="I10" s="2">
        <v>30</v>
      </c>
    </row>
    <row r="11" spans="2:12" x14ac:dyDescent="0.2">
      <c r="B11" s="1" t="s">
        <v>21</v>
      </c>
      <c r="C11" s="2">
        <v>130</v>
      </c>
      <c r="E11" s="1" t="s">
        <v>6</v>
      </c>
      <c r="F11" s="3" t="str">
        <f>[1]!encode_choke(F7, F8, F9, F10)</f>
        <v>{"d_choke_mm":10,"d_pipe_mm":70,"calibr":1,"CDischarge":0.82}</v>
      </c>
      <c r="H11" s="1" t="s">
        <v>11</v>
      </c>
      <c r="I11" s="2">
        <v>1</v>
      </c>
    </row>
    <row r="12" spans="2:12" x14ac:dyDescent="0.2">
      <c r="B12" s="1" t="s">
        <v>22</v>
      </c>
      <c r="C12" s="2">
        <v>80</v>
      </c>
      <c r="H12" s="1" t="s">
        <v>12</v>
      </c>
      <c r="I12" s="3">
        <f>ROUND([1]!MF_choke_q_sm3day(I7,I8,I9,1,I10)-0.01,3)</f>
        <v>78.503</v>
      </c>
    </row>
    <row r="13" spans="2:12" x14ac:dyDescent="0.2">
      <c r="B13" s="1" t="s">
        <v>23</v>
      </c>
      <c r="C13" s="2">
        <v>1.2</v>
      </c>
      <c r="H13" s="1" t="s">
        <v>13</v>
      </c>
      <c r="I13" s="3" t="str">
        <f>[1]!list_concatenate([1]!encode_linspace(I11,I12,20), I12+0.02, I12*1.1)</f>
        <v>[1,4.875,8.75,12.625,16.501,20.376,24.251,28.126,32.001,35.876,39.752,43.627,47.502,51.377,55.252,59.127,63.002,66.878,70.753,74.628,78.503,78.523,86.3533]</v>
      </c>
    </row>
    <row r="14" spans="2:12" x14ac:dyDescent="0.2">
      <c r="B14" s="1" t="s">
        <v>24</v>
      </c>
      <c r="C14" s="2">
        <v>0.6</v>
      </c>
      <c r="H14" s="1" t="s">
        <v>14</v>
      </c>
      <c r="I14" s="3" t="str">
        <f>[1]!MF_choke_p_atma(I7,I8,I9,I10,0,,I13)</f>
        <v>{"p_atma":[25.001,25.016,25.051,25.106,25.181,25.276,25.392,25.529,25.688,25.869,26.072,26.299,26.549,26.823,27.124,27.451,27.805,28.188,28.6,29.042,29.518,29.52,30.583],"t_C":[30,30,30,30,30,30,30,30,30,30,30,30,30,30,30,30,30,30,30,30,30,30,30],"feed":[{"gamma_gas":0.6,"gamma_oil":0.86,"gamma_wat":1.1,"rsb_m3m3":120,"pb_atma":130,"t_res_C":80,"bob_m3m3":1.2,"muob_cP":0.6,"PVT_corr_set":0,"q_liq_sm3day":1,"fw_perc":10,"rp_m3m3":120},{"gamma_gas":0.6,"gamma_oil":0.86,"gamma_wat":1.1,"rsb_m3m3":120,"pb_atma":130,"t_res_C":80,"bob_m3m3":1.2,"muob_cP":0.6,"PVT_corr_set":0,"q_liq_sm3day":4.875,"fw_perc":10,"rp_m3m3":120},{"gamma_gas":0.6,"gamma_oil":0.86,"gamma_wat":1.1,"rsb_m3m3":120,"pb_atma":130,"t_res_C":80,"bob_m3m3":1.2,"muob_cP":0.6,"PVT_corr_set":0,"q_liq_sm3day":8.75,"fw_perc":10,"rp_m3m3":120},{"gamma_gas":0.6,"gamma_oil":0.86,"gamma_wat":1.1,"rsb_m3m3":120,"pb_atma":130,"t_res_C":80,"bob_m3m3":1.2,"muob_cP":0.6,"PVT_corr_set":0,"q_liq_sm3day":12.625,"fw_perc":10,"rp_m3m3":120},{"gamma_gas":0.6,"gamma_oil":0.86,"gamma_wat":1.1,"rsb_m3m3":120,"pb_atma":130,"t_res_C":80,"bob_m3m3":1.2,"muob_cP":0.6,"PVT_corr_set":0,"q_liq_sm3day":16.501,"fw_perc":10,"rp_m3m3":120},{"gamma_gas":0.6,"gamma_oil":0.86,"gamma_wat":1.1,"rsb_m3m3":120,"pb_atma":130,"t_res_C":80,"bob_m3m3":1.2,"muob_cP":0.6,"PVT_corr_set":0,"q_liq_sm3day":20.376,"fw_perc":10,"rp_m3m3":120},{"gamma_gas":0.6,"gamma_oil":0.86,"gamma_wat":1.1,"rsb_m3m3":120,"pb_atma":130,"t_res_C":80,"bob_m3m3":1.2,"muob_cP":0.6,"PVT_corr_set":0,"q_liq_sm3day":24.251,"fw_perc":10,"rp_m3m3":120},{"gamma_gas":0.6,"gamma_oil":0.86,"gamma_wat":1.1,"rsb_m3m3":120,"pb_atma":130,"t_res_C":80,"bob_m3m3":1.2,"muob_cP":0.6,"PVT_corr_set":0,"q_liq_sm3day":28.126,"fw_perc":10,"rp_m3m3":120},{"gamma_gas":0.6,"gamma_oil":0.86,"gamma_wat":1.1,"rsb_m3m3":120,"pb_atma":130,"t_res_C":80,"bob_m3m3":1.2,"muob_cP":0.6,"PVT_corr_set":0,"q_liq_sm3day":32.001,"fw_perc":10,"rp_m3m3":120},{"gamma_gas":0.6,"gamma_oil":0.86,"gamma_wat":1.1,"rsb_m3m3":120,"pb_atma":130,"t_res_C":80,"bob_m3m3":1.2,"muob_cP":0.6,"PVT_corr_set":0,"q_liq_sm3day":35.876,"fw_perc":10,"rp_m3m3":120},{"gamma_gas":0.6,"gamma_oil":0.86,"gamma_wat":1.1,"rsb_m3m3":120,"pb_atma":130,"t_res_C":80,"bob_m3m3":1.2,"muob_cP":0.6,"PVT_corr_set":0,"q_liq_sm3day":39.752,"fw_perc":10,"rp_m3m3":120},{"gamma_gas":0.6,"gamma_oil":0.86,"gamma_wat":1.1,"rsb_m3m3":120,"pb_atma":130,"t_res_C":80,"bob_m3m3":1.2,"muob_cP":0.6,"PVT_corr_set":0,"q_liq_sm3day":43.627,"fw_perc":10,"rp_m3m3":120},{"gamma_gas":0.6,"gamma_oil":0.86,"gamma_wat":1.1,"rsb_m3m3":120,"pb_atma":130,"t_res_C":80,"bob_m3m3":1.2,"muob_cP":0.6,"PVT_corr_set":0,"q_liq_sm3day":47.502,"fw_perc":10,"rp_m3m3":120},{"gamma_gas":0.6,"gamma_oil":0.86,"gamma_wat":1.1,"rsb_m3m3":120,"pb_atma":130,"t_res_C":80,"bob_m3m3":1.2,"muob_cP":0.6,"PVT_corr_set":0,"q_liq_sm3day":51.377,"fw_perc":10,"rp_m3m3":120},{"gamma_gas":0.6,"gamma_oil":0.86,"gamma_wat":1.1,"rsb_m3m3":120,"pb_atma":130,"t_res_C":80,"bob_m3m3":1.2,"muob_cP":0.6,"PVT_corr_set":0,"q_liq_sm3day":55.252,"fw_perc":10,"rp_m3m3":120},{"gamma_gas":0.6,"gamma_oil":0.86,"gamma_wat":1.1,"rsb_m3m3":120,"pb_atma":130,"t_res_C":80,"bob_m3m3":1.2,"muob_cP":0.6,"PVT_corr_set":0,"q_liq_sm3day":59.127,"fw_perc":10,"rp_m3m3":120},{"gamma_gas":0.6,"gamma_oil":0.86,"gamma_wat":1.1,"rsb_m3m3":120,"pb_atma":130,"t_res_C":80,"bob_m3m3":1.2,"muob_cP":0.6,"PVT_corr_set":0,"q_liq_sm3day":63.002,"fw_perc":10,"rp_m3m3":120},{"gamma_gas":0.6,"gamma_oil":0.86,"gamma_wat":1.1,"rsb_m3m3":120,"pb_atma":130,"t_res_C":80,"bob_m3m3":1.2,"muob_cP":0.6,"PVT_corr_set":0,"q_liq_sm3day":66.878,"fw_perc":10,"rp_m3m3":120},{"gamma_gas":0.6,"gamma_oil":0.86,"gamma_wat":1.1,"rsb_m3m3":120,"pb_atma":130,"t_res_C":80,"bob_m3m3":1.2,"muob_cP":0.6,"PVT_corr_set":0,"q_liq_sm3day":70.753,"fw_perc":10,"rp_m3m3":120},{"gamma_gas":0.6,"gamma_oil":0.86,"gamma_wat":1.1,"rsb_m3m3":120,"pb_atma":130,"t_res_C":80,"bob_m3m3":1.2,"muob_cP":0.6,"PVT_corr_set":0,"q_liq_sm3day":74.628,"fw_perc":10,"rp_m3m3":120},{"gamma_gas":0.6,"gamma_oil":0.86,"gamma_wat":1.1,"rsb_m3m3":120,"pb_atma":130,"t_res_C":80,"bob_m3m3":1.2,"muob_cP":0.6,"PVT_corr_set":0,"q_liq_sm3day":78.503,"fw_perc":10,"rp_m3m3":120},{"gamma_gas":0.6,"gamma_oil":0.86,"gamma_wat":1.1,"rsb_m3m3":120,"pb_atma":130,"t_res_C":80,"bob_m3m3":1.2,"muob_cP":0.6,"PVT_corr_set":0,"q_liq_sm3day":78.523,"fw_perc":10,"rp_m3m3":120},{"gamma_gas":0.6,"gamma_oil":0.86,"gamma_wat":1.1,"rsb_m3m3":120,"pb_atma":130,"t_res_C":80,"bob_m3m3":1.2,"muob_cP":0.6,"PVT_corr_set":0,"q_liq_sm3day":86.353,"fw_perc":10,"rp_m3m3":120}]}</v>
      </c>
    </row>
    <row r="15" spans="2:12" x14ac:dyDescent="0.2">
      <c r="B15" s="1" t="s">
        <v>25</v>
      </c>
      <c r="C15" s="2">
        <v>0</v>
      </c>
      <c r="H15" s="1" t="s">
        <v>15</v>
      </c>
      <c r="I15" s="3" t="str">
        <f>[1]!MF_choke_p_atma(I7,I8,I9,I10,1,,I13)</f>
        <v>{"p_atma":[24.999,24.984,24.949,24.894,24.818,24.721,24.601,24.458,24.29,24.095,23.871,23.615,23.322,22.987,22.604,22.159,21.637,21.008,20.221,19.122,16.455,-1,-1],"t_C":[30,30,30,30,30,30,30,30,30,30,30,30,30,30,30,30,30,30,30,30,30,30,30],"feed":[{"gamma_gas":0.6,"gamma_oil":0.86,"gamma_wat":1.1,"rsb_m3m3":120,"pb_atma":130,"t_res_C":80,"bob_m3m3":1.2,"muob_cP":0.6,"PVT_corr_set":0,"q_liq_sm3day":1,"fw_perc":10,"rp_m3m3":120},{"gamma_gas":0.6,"gamma_oil":0.86,"gamma_wat":1.1,"rsb_m3m3":120,"pb_atma":130,"t_res_C":80,"bob_m3m3":1.2,"muob_cP":0.6,"PVT_corr_set":0,"q_liq_sm3day":4.875,"fw_perc":10,"rp_m3m3":120},{"gamma_gas":0.6,"gamma_oil":0.86,"gamma_wat":1.1,"rsb_m3m3":120,"pb_atma":130,"t_res_C":80,"bob_m3m3":1.2,"muob_cP":0.6,"PVT_corr_set":0,"q_liq_sm3day":8.75,"fw_perc":10,"rp_m3m3":120},{"gamma_gas":0.6,"gamma_oil":0.86,"gamma_wat":1.1,"rsb_m3m3":120,"pb_atma":130,"t_res_C":80,"bob_m3m3":1.2,"muob_cP":0.6,"PVT_corr_set":0,"q_liq_sm3day":12.625,"fw_perc":10,"rp_m3m3":120},{"gamma_gas":0.6,"gamma_oil":0.86,"gamma_wat":1.1,"rsb_m3m3":120,"pb_atma":130,"t_res_C":80,"bob_m3m3":1.2,"muob_cP":0.6,"PVT_corr_set":0,"q_liq_sm3day":16.501,"fw_perc":10,"rp_m3m3":120},{"gamma_gas":0.6,"gamma_oil":0.86,"gamma_wat":1.1,"rsb_m3m3":120,"pb_atma":130,"t_res_C":80,"bob_m3m3":1.2,"muob_cP":0.6,"PVT_corr_set":0,"q_liq_sm3day":20.376,"fw_perc":10,"rp_m3m3":120},{"gamma_gas":0.6,"gamma_oil":0.86,"gamma_wat":1.1,"rsb_m3m3":120,"pb_atma":130,"t_res_C":80,"bob_m3m3":1.2,"muob_cP":0.6,"PVT_corr_set":0,"q_liq_sm3day":24.251,"fw_perc":10,"rp_m3m3":120},{"gamma_gas":0.6,"gamma_oil":0.86,"gamma_wat":1.1,"rsb_m3m3":120,"pb_atma":130,"t_res_C":80,"bob_m3m3":1.2,"muob_cP":0.6,"PVT_corr_set":0,"q_liq_sm3day":28.126,"fw_perc":10,"rp_m3m3":120},{"gamma_gas":0.6,"gamma_oil":0.86,"gamma_wat":1.1,"rsb_m3m3":120,"pb_atma":130,"t_res_C":80,"bob_m3m3":1.2,"muob_cP":0.6,"PVT_corr_set":0,"q_liq_sm3day":32.001,"fw_perc":10,"rp_m3m3":120},{"gamma_gas":0.6,"gamma_oil":0.86,"gamma_wat":1.1,"rsb_m3m3":120,"pb_atma":130,"t_res_C":80,"bob_m3m3":1.2,"muob_cP":0.6,"PVT_corr_set":0,"q_liq_sm3day":35.876,"fw_perc":10,"rp_m3m3":120},{"gamma_gas":0.6,"gamma_oil":0.86,"gamma_wat":1.1,"rsb_m3m3":120,"pb_atma":130,"t_res_C":80,"bob_m3m3":1.2,"muob_cP":0.6,"PVT_corr_set":0,"q_liq_sm3day":39.752,"fw_perc":10,"rp_m3m3":120},{"gamma_gas":0.6,"gamma_oil":0.86,"gamma_wat":1.1,"rsb_m3m3":120,"pb_atma":130,"t_res_C":80,"bob_m3m3":1.2,"muob_cP":0.6,"PVT_corr_set":0,"q_liq_sm3day":43.627,"fw_perc":10,"rp_m3m3":120},{"gamma_gas":0.6,"gamma_oil":0.86,"gamma_wat":1.1,"rsb_m3m3":120,"pb_atma":130,"t_res_C":80,"bob_m3m3":1.2,"muob_cP":0.6,"PVT_corr_set":0,"q_liq_sm3day":47.502,"fw_perc":10,"rp_m3m3":120},{"gamma_gas":0.6,"gamma_oil":0.86,"gamma_wat":1.1,"rsb_m3m3":120,"pb_atma":130,"t_res_C":80,"bob_m3m3":1.2,"muob_cP":0.6,"PVT_corr_set":0,"q_liq_sm3day":51.377,"fw_perc":10,"rp_m3m3":120},{"gamma_gas":0.6,"gamma_oil":0.86,"gamma_wat":1.1,"rsb_m3m3":120,"pb_atma":130,"t_res_C":80,"bob_m3m3":1.2,"muob_cP":0.6,"PVT_corr_set":0,"q_liq_sm3day":55.252,"fw_perc":10,"rp_m3m3":120},{"gamma_gas":0.6,"gamma_oil":0.86,"gamma_wat":1.1,"rsb_m3m3":120,"pb_atma":130,"t_res_C":80,"bob_m3m3":1.2,"muob_cP":0.6,"PVT_corr_set":0,"q_liq_sm3day":59.127,"fw_perc":10,"rp_m3m3":120},{"gamma_gas":0.6,"gamma_oil":0.86,"gamma_wat":1.1,"rsb_m3m3":120,"pb_atma":130,"t_res_C":80,"bob_m3m3":1.2,"muob_cP":0.6,"PVT_corr_set":0,"q_liq_sm3day":63.002,"fw_perc":10,"rp_m3m3":120},{"gamma_gas":0.6,"gamma_oil":0.86,"gamma_wat":1.1,"rsb_m3m3":120,"pb_atma":130,"t_res_C":80,"bob_m3m3":1.2,"muob_cP":0.6,"PVT_corr_set":0,"q_liq_sm3day":66.878,"fw_perc":10,"rp_m3m3":120},{"gamma_gas":0.6,"gamma_oil":0.86,"gamma_wat":1.1,"rsb_m3m3":120,"pb_atma":130,"t_res_C":80,"bob_m3m3":1.2,"muob_cP":0.6,"PVT_corr_set":0,"q_liq_sm3day":70.753,"fw_perc":10,"rp_m3m3":120},{"gamma_gas":0.6,"gamma_oil":0.86,"gamma_wat":1.1,"rsb_m3m3":120,"pb_atma":130,"t_res_C":80,"bob_m3m3":1.2,"muob_cP":0.6,"PVT_corr_set":0,"q_liq_sm3day":74.628,"fw_perc":10,"rp_m3m3":120},{"gamma_gas":0.6,"gamma_oil":0.86,"gamma_wat":1.1,"rsb_m3m3":120,"pb_atma":130,"t_res_C":80,"bob_m3m3":1.2,"muob_cP":0.6,"PVT_corr_set":0,"q_liq_sm3day":78.503,"fw_perc":10,"rp_m3m3":120},{"gamma_gas":0.6,"gamma_oil":0.86,"gamma_wat":1.1,"rsb_m3m3":120,"pb_atma":130,"t_res_C":80,"bob_m3m3":1.2,"muob_cP":0.6,"PVT_corr_set":0,"q_liq_sm3day":78.523,"fw_perc":10,"rp_m3m3":120},{"gamma_gas":0.6,"gamma_oil":0.86,"gamma_wat":1.1,"rsb_m3m3":120,"pb_atma":130,"t_res_C":80,"bob_m3m3":1.2,"muob_cP":0.6,"PVT_corr_set":0,"q_liq_sm3day":86.353,"fw_perc":10,"rp_m3m3":120}]}</v>
      </c>
    </row>
    <row r="16" spans="2:12" x14ac:dyDescent="0.2">
      <c r="B16" s="1" t="s">
        <v>26</v>
      </c>
      <c r="C16" s="3" t="str">
        <f>[1]!encode_PVT(C7,C8,C9,C10,C11,C12,C13,C14,C15)</f>
        <v>{"gamma_gas":0.6,"gamma_oil":0.86,"gamma_wat":1.1,"rsb_m3m3":120,"pb_atma":130,"t_res_C":80,"bob_m3m3":1.2,"muob_cP":0.6,"PVT_corr_set":0}</v>
      </c>
      <c r="H16" s="1" t="s">
        <v>16</v>
      </c>
      <c r="I16" s="1" t="str">
        <f t="array" ref="I16:J39">[1]!decode_json_crv(I14)</f>
        <v>p_atma</v>
      </c>
      <c r="J16" s="1" t="str">
        <v>t_C</v>
      </c>
      <c r="K16" s="1" t="str">
        <f t="array" ref="K16:L39">[1]!decode_json_crv(I15)</f>
        <v>p_atma</v>
      </c>
      <c r="L16" s="1" t="str">
        <v>t_C</v>
      </c>
    </row>
    <row r="17" spans="2:12" x14ac:dyDescent="0.2">
      <c r="B17" s="1" t="s">
        <v>27</v>
      </c>
      <c r="C17" s="2">
        <v>30</v>
      </c>
      <c r="H17" s="1">
        <f t="array" ref="H17:H39">[1]!decode_json(I13)</f>
        <v>1</v>
      </c>
      <c r="I17" s="1">
        <v>25.001000000000001</v>
      </c>
      <c r="J17" s="1">
        <v>30</v>
      </c>
      <c r="K17" s="1">
        <v>24.998999999999999</v>
      </c>
      <c r="L17" s="1">
        <v>30</v>
      </c>
    </row>
    <row r="18" spans="2:12" x14ac:dyDescent="0.2">
      <c r="B18" s="1" t="s">
        <v>28</v>
      </c>
      <c r="C18" s="2">
        <v>10</v>
      </c>
      <c r="H18" s="1">
        <v>4.875</v>
      </c>
      <c r="I18" s="1">
        <v>25.015999999999998</v>
      </c>
      <c r="J18" s="1">
        <v>30</v>
      </c>
      <c r="K18" s="1">
        <v>24.984000000000002</v>
      </c>
      <c r="L18" s="1">
        <v>30</v>
      </c>
    </row>
    <row r="19" spans="2:12" x14ac:dyDescent="0.2">
      <c r="B19" s="1" t="s">
        <v>29</v>
      </c>
      <c r="C19" s="2">
        <v>120</v>
      </c>
      <c r="H19" s="1">
        <v>8.75</v>
      </c>
      <c r="I19" s="1">
        <v>25.050999999999998</v>
      </c>
      <c r="J19" s="1">
        <v>30</v>
      </c>
      <c r="K19" s="1">
        <v>24.949000000000002</v>
      </c>
      <c r="L19" s="1">
        <v>30</v>
      </c>
    </row>
    <row r="20" spans="2:12" x14ac:dyDescent="0.2">
      <c r="B20" s="1" t="s">
        <v>30</v>
      </c>
      <c r="C20" s="2">
        <v>0</v>
      </c>
      <c r="H20" s="1">
        <v>12.625</v>
      </c>
      <c r="I20" s="1">
        <v>25.106000000000002</v>
      </c>
      <c r="J20" s="1">
        <v>30</v>
      </c>
      <c r="K20" s="1">
        <v>24.893999999999998</v>
      </c>
      <c r="L20" s="1">
        <v>30</v>
      </c>
    </row>
    <row r="21" spans="2:12" x14ac:dyDescent="0.2">
      <c r="B21" s="1" t="s">
        <v>31</v>
      </c>
      <c r="C21" s="3" t="str">
        <f>[1]!encode_feed(C17,C18,C19,C20,C16)</f>
        <v>{"gamma_gas":0.6,"gamma_oil":0.86,"gamma_wat":1.1,"rsb_m3m3":120,"pb_atma":130,"t_res_C":80,"bob_m3m3":1.2,"muob_cP":0.6,"PVT_corr_set":0,"q_liq_sm3day":30,"fw_perc":10,"rp_m3m3":120}</v>
      </c>
      <c r="H21" s="1">
        <v>16.501000000000001</v>
      </c>
      <c r="I21" s="1">
        <v>25.181000000000001</v>
      </c>
      <c r="J21" s="1">
        <v>30</v>
      </c>
      <c r="K21" s="1">
        <v>24.818000000000001</v>
      </c>
      <c r="L21" s="1">
        <v>30</v>
      </c>
    </row>
    <row r="22" spans="2:12" x14ac:dyDescent="0.2">
      <c r="H22" s="1">
        <v>20.376000000000001</v>
      </c>
      <c r="I22" s="1">
        <v>25.276</v>
      </c>
      <c r="J22" s="1">
        <v>30</v>
      </c>
      <c r="K22" s="1">
        <v>24.721</v>
      </c>
      <c r="L22" s="1">
        <v>30</v>
      </c>
    </row>
    <row r="23" spans="2:12" x14ac:dyDescent="0.2">
      <c r="H23" s="1">
        <v>24.251000000000001</v>
      </c>
      <c r="I23" s="1">
        <v>25.391999999999999</v>
      </c>
      <c r="J23" s="1">
        <v>30</v>
      </c>
      <c r="K23" s="1">
        <v>24.600999999999999</v>
      </c>
      <c r="L23" s="1">
        <v>30</v>
      </c>
    </row>
    <row r="24" spans="2:12" x14ac:dyDescent="0.2">
      <c r="H24" s="1">
        <v>28.126000000000001</v>
      </c>
      <c r="I24" s="1">
        <v>25.529</v>
      </c>
      <c r="J24" s="1">
        <v>30</v>
      </c>
      <c r="K24" s="1">
        <v>24.457999999999998</v>
      </c>
      <c r="L24" s="1">
        <v>30</v>
      </c>
    </row>
    <row r="25" spans="2:12" x14ac:dyDescent="0.2">
      <c r="H25" s="1">
        <v>32.000999999999998</v>
      </c>
      <c r="I25" s="1">
        <v>25.687999999999999</v>
      </c>
      <c r="J25" s="1">
        <v>30</v>
      </c>
      <c r="K25" s="1">
        <v>24.29</v>
      </c>
      <c r="L25" s="1">
        <v>30</v>
      </c>
    </row>
    <row r="26" spans="2:12" x14ac:dyDescent="0.2">
      <c r="H26" s="1">
        <v>35.875999999999998</v>
      </c>
      <c r="I26" s="1">
        <v>25.869</v>
      </c>
      <c r="J26" s="1">
        <v>30</v>
      </c>
      <c r="K26" s="1">
        <v>24.094999999999999</v>
      </c>
      <c r="L26" s="1">
        <v>30</v>
      </c>
    </row>
    <row r="27" spans="2:12" x14ac:dyDescent="0.2">
      <c r="H27" s="1">
        <v>39.752000000000002</v>
      </c>
      <c r="I27" s="1">
        <v>26.071999999999999</v>
      </c>
      <c r="J27" s="1">
        <v>30</v>
      </c>
      <c r="K27" s="1">
        <v>23.870999999999999</v>
      </c>
      <c r="L27" s="1">
        <v>30</v>
      </c>
    </row>
    <row r="28" spans="2:12" x14ac:dyDescent="0.2">
      <c r="H28" s="1">
        <v>43.627000000000002</v>
      </c>
      <c r="I28" s="1">
        <v>26.298999999999999</v>
      </c>
      <c r="J28" s="1">
        <v>30</v>
      </c>
      <c r="K28" s="1">
        <v>23.614999999999998</v>
      </c>
      <c r="L28" s="1">
        <v>30</v>
      </c>
    </row>
    <row r="29" spans="2:12" x14ac:dyDescent="0.2">
      <c r="H29" s="1">
        <v>47.502000000000002</v>
      </c>
      <c r="I29" s="1">
        <v>26.548999999999999</v>
      </c>
      <c r="J29" s="1">
        <v>30</v>
      </c>
      <c r="K29" s="1">
        <v>23.321999999999999</v>
      </c>
      <c r="L29" s="1">
        <v>30</v>
      </c>
    </row>
    <row r="30" spans="2:12" x14ac:dyDescent="0.2">
      <c r="H30" s="1">
        <v>51.377000000000002</v>
      </c>
      <c r="I30" s="1">
        <v>26.823</v>
      </c>
      <c r="J30" s="1">
        <v>30</v>
      </c>
      <c r="K30" s="1">
        <v>22.986999999999998</v>
      </c>
      <c r="L30" s="1">
        <v>30</v>
      </c>
    </row>
    <row r="31" spans="2:12" x14ac:dyDescent="0.2">
      <c r="H31" s="1">
        <v>55.252000000000002</v>
      </c>
      <c r="I31" s="1">
        <v>27.123999999999999</v>
      </c>
      <c r="J31" s="1">
        <v>30</v>
      </c>
      <c r="K31" s="1">
        <v>22.603999999999999</v>
      </c>
      <c r="L31" s="1">
        <v>30</v>
      </c>
    </row>
    <row r="32" spans="2:12" x14ac:dyDescent="0.2">
      <c r="H32" s="1">
        <v>59.127000000000002</v>
      </c>
      <c r="I32" s="1">
        <v>27.451000000000001</v>
      </c>
      <c r="J32" s="1">
        <v>30</v>
      </c>
      <c r="K32" s="1">
        <v>22.158999999999999</v>
      </c>
      <c r="L32" s="1">
        <v>30</v>
      </c>
    </row>
    <row r="33" spans="2:12" x14ac:dyDescent="0.2">
      <c r="H33" s="1">
        <v>63.002000000000002</v>
      </c>
      <c r="I33" s="1">
        <v>27.805</v>
      </c>
      <c r="J33" s="1">
        <v>30</v>
      </c>
      <c r="K33" s="1">
        <v>21.637</v>
      </c>
      <c r="L33" s="1">
        <v>30</v>
      </c>
    </row>
    <row r="34" spans="2:12" x14ac:dyDescent="0.2">
      <c r="H34" s="1">
        <v>66.878</v>
      </c>
      <c r="I34" s="1">
        <v>28.187999999999999</v>
      </c>
      <c r="J34" s="1">
        <v>30</v>
      </c>
      <c r="K34" s="1">
        <v>21.007999999999999</v>
      </c>
      <c r="L34" s="1">
        <v>30</v>
      </c>
    </row>
    <row r="35" spans="2:12" x14ac:dyDescent="0.2">
      <c r="H35" s="1">
        <v>70.753</v>
      </c>
      <c r="I35" s="1">
        <v>28.6</v>
      </c>
      <c r="J35" s="1">
        <v>30</v>
      </c>
      <c r="K35" s="1">
        <v>20.221</v>
      </c>
      <c r="L35" s="1">
        <v>30</v>
      </c>
    </row>
    <row r="36" spans="2:12" x14ac:dyDescent="0.2">
      <c r="H36" s="1">
        <v>74.628</v>
      </c>
      <c r="I36" s="1">
        <v>29.042000000000002</v>
      </c>
      <c r="J36" s="1">
        <v>30</v>
      </c>
      <c r="K36" s="1">
        <v>19.122</v>
      </c>
      <c r="L36" s="1">
        <v>30</v>
      </c>
    </row>
    <row r="37" spans="2:12" x14ac:dyDescent="0.2">
      <c r="H37" s="1">
        <v>78.503</v>
      </c>
      <c r="I37" s="1">
        <v>29.518000000000001</v>
      </c>
      <c r="J37" s="1">
        <v>30</v>
      </c>
      <c r="K37" s="1">
        <v>16.454999999999998</v>
      </c>
      <c r="L37" s="1">
        <v>30</v>
      </c>
    </row>
    <row r="38" spans="2:12" x14ac:dyDescent="0.2">
      <c r="H38" s="1">
        <v>78.522999999999996</v>
      </c>
      <c r="I38" s="1">
        <v>29.52</v>
      </c>
      <c r="J38" s="1">
        <v>30</v>
      </c>
      <c r="K38" s="1">
        <v>-1</v>
      </c>
      <c r="L38" s="1">
        <v>30</v>
      </c>
    </row>
    <row r="39" spans="2:12" x14ac:dyDescent="0.2">
      <c r="H39" s="1">
        <v>86.353300000000004</v>
      </c>
      <c r="I39" s="1">
        <v>30.582999999999998</v>
      </c>
      <c r="J39" s="1">
        <v>30</v>
      </c>
      <c r="K39" s="1">
        <v>-1</v>
      </c>
      <c r="L39" s="1">
        <v>30</v>
      </c>
    </row>
    <row r="44" spans="2:12" x14ac:dyDescent="0.2">
      <c r="B44" s="1" t="s">
        <v>7</v>
      </c>
      <c r="C44" s="4" t="str">
        <f>choke_json_1</f>
        <v>{"d_choke_mm":10,"d_pipe_mm":70,"calibr":1,"CDischarge":0.82}</v>
      </c>
    </row>
    <row r="45" spans="2:12" x14ac:dyDescent="0.2">
      <c r="B45" s="1" t="s">
        <v>8</v>
      </c>
      <c r="C45" s="4" t="str">
        <f>feed_json</f>
        <v>{"gamma_gas":0.6,"gamma_oil":0.86,"gamma_wat":1.1,"rsb_m3m3":120,"pb_atma":130,"t_res_C":80,"bob_m3m3":1.2,"muob_cP":0.6,"PVT_corr_set":0,"q_liq_sm3day":30,"fw_perc":10,"rp_m3m3":120}</v>
      </c>
    </row>
    <row r="46" spans="2:12" x14ac:dyDescent="0.2">
      <c r="B46" s="1" t="s">
        <v>32</v>
      </c>
      <c r="C46" s="2">
        <v>10</v>
      </c>
    </row>
    <row r="47" spans="2:12" x14ac:dyDescent="0.2">
      <c r="B47" s="1" t="s">
        <v>10</v>
      </c>
      <c r="C47" s="2">
        <v>30</v>
      </c>
    </row>
    <row r="48" spans="2:12" x14ac:dyDescent="0.2">
      <c r="B48" s="1" t="s">
        <v>1</v>
      </c>
      <c r="C48" s="2">
        <v>0</v>
      </c>
    </row>
    <row r="49" spans="2:13" x14ac:dyDescent="0.2">
      <c r="B49" s="1" t="s">
        <v>0</v>
      </c>
      <c r="C49" s="2">
        <v>1</v>
      </c>
    </row>
    <row r="50" spans="2:13" x14ac:dyDescent="0.2">
      <c r="B50" s="1" t="s">
        <v>33</v>
      </c>
      <c r="C50" s="4" t="str">
        <f>[1]!encode_json(B49:C49)</f>
        <v>{"show_array":1}</v>
      </c>
    </row>
    <row r="51" spans="2:13" x14ac:dyDescent="0.2">
      <c r="B51" s="1" t="s">
        <v>27</v>
      </c>
      <c r="C51" s="2"/>
    </row>
    <row r="52" spans="2:13" x14ac:dyDescent="0.2">
      <c r="B52" s="1" t="s">
        <v>28</v>
      </c>
      <c r="C52" s="2"/>
    </row>
    <row r="53" spans="2:13" x14ac:dyDescent="0.2">
      <c r="B53" s="1" t="s">
        <v>29</v>
      </c>
      <c r="C53" s="2"/>
    </row>
    <row r="54" spans="2:13" x14ac:dyDescent="0.2">
      <c r="B54" s="1" t="s">
        <v>30</v>
      </c>
      <c r="C54" s="2"/>
    </row>
    <row r="55" spans="2:13" x14ac:dyDescent="0.2">
      <c r="B55" s="1" t="s">
        <v>34</v>
      </c>
      <c r="C55" s="3">
        <f t="array" ref="C55:M56">[1]!MF_choke_p_atma(C44,C45,C46,C47,C48,C50,C51,C52,C53,C54)</f>
        <v>11.742000000000001</v>
      </c>
      <c r="D55" s="3">
        <v>11.742000000000001</v>
      </c>
      <c r="E55" s="3">
        <v>10</v>
      </c>
      <c r="F55" s="3">
        <v>30</v>
      </c>
      <c r="G55" s="3">
        <v>30</v>
      </c>
      <c r="H55" s="3">
        <v>29.279</v>
      </c>
      <c r="I55" s="3">
        <v>1</v>
      </c>
      <c r="J55" s="3">
        <v>112.242</v>
      </c>
      <c r="K55" s="3">
        <v>35.631999999999998</v>
      </c>
      <c r="L55" s="3">
        <v>7.548</v>
      </c>
      <c r="M55" s="3" t="str">
        <v>["set show_log=1 in param to show calc log"]</v>
      </c>
    </row>
    <row r="56" spans="2:13" x14ac:dyDescent="0.2">
      <c r="C56" s="3" t="str">
        <v>p_intake_atma</v>
      </c>
      <c r="D56" s="3" t="str">
        <v>p_intake_atma</v>
      </c>
      <c r="E56" s="3" t="str">
        <v>p_out_atma</v>
      </c>
      <c r="F56" s="3" t="str">
        <v>q_liq_sm3day</v>
      </c>
      <c r="G56" s="3" t="str">
        <v>t_choke_C</v>
      </c>
      <c r="H56" s="3" t="str">
        <v>t_choke_throat_C</v>
      </c>
      <c r="I56" s="3" t="str">
        <v>calibr_fr</v>
      </c>
      <c r="J56" s="3" t="str">
        <v>sonic_vel_msec</v>
      </c>
      <c r="K56" s="3" t="str">
        <v>q_liq_max_sm3day</v>
      </c>
      <c r="L56" s="3" t="str">
        <v>p_crit_atma</v>
      </c>
      <c r="M56" s="3" t="str">
        <v>log</v>
      </c>
    </row>
    <row r="60" spans="2:13" x14ac:dyDescent="0.2">
      <c r="B60" s="1" t="s">
        <v>7</v>
      </c>
      <c r="C60" s="4" t="str">
        <f>choke_json_1</f>
        <v>{"d_choke_mm":10,"d_pipe_mm":70,"calibr":1,"CDischarge":0.82}</v>
      </c>
    </row>
    <row r="61" spans="2:13" x14ac:dyDescent="0.2">
      <c r="B61" s="1" t="s">
        <v>8</v>
      </c>
      <c r="C61" s="4" t="str">
        <f>feed_json</f>
        <v>{"gamma_gas":0.6,"gamma_oil":0.86,"gamma_wat":1.1,"rsb_m3m3":120,"pb_atma":130,"t_res_C":80,"bob_m3m3":1.2,"muob_cP":0.6,"PVT_corr_set":0,"q_liq_sm3day":30,"fw_perc":10,"rp_m3m3":120}</v>
      </c>
    </row>
    <row r="62" spans="2:13" x14ac:dyDescent="0.2">
      <c r="B62" s="1" t="s">
        <v>35</v>
      </c>
      <c r="C62" s="2">
        <v>12</v>
      </c>
    </row>
    <row r="63" spans="2:13" x14ac:dyDescent="0.2">
      <c r="B63" s="1" t="s">
        <v>36</v>
      </c>
      <c r="C63" s="2">
        <v>10</v>
      </c>
    </row>
    <row r="64" spans="2:13" x14ac:dyDescent="0.2">
      <c r="B64" s="1" t="s">
        <v>10</v>
      </c>
      <c r="C64" s="2">
        <v>30</v>
      </c>
    </row>
    <row r="65" spans="2:13" x14ac:dyDescent="0.2">
      <c r="B65" s="1" t="s">
        <v>0</v>
      </c>
      <c r="C65" s="2">
        <v>1</v>
      </c>
    </row>
    <row r="66" spans="2:13" x14ac:dyDescent="0.2">
      <c r="B66" s="1" t="s">
        <v>33</v>
      </c>
      <c r="C66" s="4" t="str">
        <f>[1]!encode_json(B65:C65)</f>
        <v>{"show_array":1}</v>
      </c>
    </row>
    <row r="67" spans="2:13" x14ac:dyDescent="0.2">
      <c r="B67" s="1" t="s">
        <v>27</v>
      </c>
      <c r="C67" s="2"/>
    </row>
    <row r="68" spans="2:13" x14ac:dyDescent="0.2">
      <c r="B68" s="1" t="s">
        <v>28</v>
      </c>
      <c r="C68" s="2"/>
    </row>
    <row r="69" spans="2:13" x14ac:dyDescent="0.2">
      <c r="B69" s="1" t="s">
        <v>29</v>
      </c>
      <c r="C69" s="2"/>
    </row>
    <row r="70" spans="2:13" x14ac:dyDescent="0.2">
      <c r="B70" s="1" t="s">
        <v>30</v>
      </c>
      <c r="C70" s="2"/>
    </row>
    <row r="71" spans="2:13" x14ac:dyDescent="0.2">
      <c r="B71" s="1" t="s">
        <v>34</v>
      </c>
      <c r="C71" s="3">
        <f t="array" ref="C71:M72">[1]!MF_choke_q_sm3day(C60,C61,C62,C63,C64,C66,C67,C68,C69,C70)</f>
        <v>31.846</v>
      </c>
      <c r="D71" s="3">
        <v>12</v>
      </c>
      <c r="E71" s="3">
        <v>10</v>
      </c>
      <c r="F71" s="3">
        <v>31.846</v>
      </c>
      <c r="G71" s="3">
        <v>30</v>
      </c>
      <c r="H71" s="3">
        <v>29.183</v>
      </c>
      <c r="I71" s="3">
        <v>1</v>
      </c>
      <c r="J71" s="3">
        <v>112.28700000000001</v>
      </c>
      <c r="K71" s="3">
        <v>36.436</v>
      </c>
      <c r="L71" s="3">
        <v>7.7110000000000003</v>
      </c>
      <c r="M71" s="3" t="str">
        <v>["set show_log=1 in param to show calc log"]</v>
      </c>
    </row>
    <row r="72" spans="2:13" x14ac:dyDescent="0.2">
      <c r="C72" s="3" t="str">
        <v>q_liq_sm3day</v>
      </c>
      <c r="D72" s="3" t="str">
        <v>p_intake_atma</v>
      </c>
      <c r="E72" s="3" t="str">
        <v>p_out_atma</v>
      </c>
      <c r="F72" s="3" t="str">
        <v>q_liq_sm3day</v>
      </c>
      <c r="G72" s="3" t="str">
        <v>t_choke_C</v>
      </c>
      <c r="H72" s="3" t="str">
        <v>t_choke_throat_C</v>
      </c>
      <c r="I72" s="3" t="str">
        <v>calibr_fr</v>
      </c>
      <c r="J72" s="3" t="str">
        <v>sonic_vel_msec</v>
      </c>
      <c r="K72" s="3" t="str">
        <v>q_liq_max_sm3day</v>
      </c>
      <c r="L72" s="3" t="str">
        <v>p_crit_atma</v>
      </c>
      <c r="M72" s="3" t="str">
        <v>log</v>
      </c>
    </row>
    <row r="76" spans="2:13" x14ac:dyDescent="0.2">
      <c r="B76" s="1" t="s">
        <v>7</v>
      </c>
      <c r="C76" s="4" t="str">
        <f>choke_json_1</f>
        <v>{"d_choke_mm":10,"d_pipe_mm":70,"calibr":1,"CDischarge":0.82}</v>
      </c>
    </row>
    <row r="77" spans="2:13" x14ac:dyDescent="0.2">
      <c r="B77" s="1" t="s">
        <v>8</v>
      </c>
      <c r="C77" s="4" t="str">
        <f>feed_json</f>
        <v>{"gamma_gas":0.6,"gamma_oil":0.86,"gamma_wat":1.1,"rsb_m3m3":120,"pb_atma":130,"t_res_C":80,"bob_m3m3":1.2,"muob_cP":0.6,"PVT_corr_set":0,"q_liq_sm3day":30,"fw_perc":10,"rp_m3m3":120}</v>
      </c>
    </row>
    <row r="78" spans="2:13" x14ac:dyDescent="0.2">
      <c r="B78" s="1" t="s">
        <v>37</v>
      </c>
      <c r="C78" s="2">
        <v>1</v>
      </c>
    </row>
    <row r="79" spans="2:13" x14ac:dyDescent="0.2">
      <c r="B79" s="1" t="s">
        <v>35</v>
      </c>
      <c r="C79" s="2">
        <v>12</v>
      </c>
    </row>
    <row r="80" spans="2:13" x14ac:dyDescent="0.2">
      <c r="B80" s="1" t="s">
        <v>36</v>
      </c>
      <c r="C80" s="2">
        <v>10</v>
      </c>
    </row>
    <row r="81" spans="2:6" x14ac:dyDescent="0.2">
      <c r="B81" s="1" t="s">
        <v>10</v>
      </c>
      <c r="C81" s="2">
        <v>30</v>
      </c>
    </row>
    <row r="82" spans="2:6" x14ac:dyDescent="0.2">
      <c r="B82" s="1" t="s">
        <v>0</v>
      </c>
      <c r="C82" s="2">
        <v>1</v>
      </c>
    </row>
    <row r="83" spans="2:6" x14ac:dyDescent="0.2">
      <c r="B83" s="1" t="s">
        <v>33</v>
      </c>
      <c r="C83" s="4" t="str">
        <f>[1]!encode_json(B82:C82)</f>
        <v>{"show_array":1}</v>
      </c>
    </row>
    <row r="84" spans="2:6" x14ac:dyDescent="0.2">
      <c r="B84" s="1" t="s">
        <v>27</v>
      </c>
      <c r="C84" s="2"/>
    </row>
    <row r="85" spans="2:6" x14ac:dyDescent="0.2">
      <c r="B85" s="1" t="s">
        <v>28</v>
      </c>
      <c r="C85" s="2"/>
    </row>
    <row r="86" spans="2:6" x14ac:dyDescent="0.2">
      <c r="B86" s="1" t="s">
        <v>29</v>
      </c>
      <c r="C86" s="2"/>
    </row>
    <row r="87" spans="2:6" x14ac:dyDescent="0.2">
      <c r="B87" s="1" t="s">
        <v>30</v>
      </c>
      <c r="C87" s="2"/>
    </row>
    <row r="88" spans="2:6" x14ac:dyDescent="0.2">
      <c r="B88" s="1" t="s">
        <v>34</v>
      </c>
      <c r="C88" s="3" t="str">
        <f t="array" ref="C88:F89">[1]!MF_choke_calibr(C76,C77,C78,C79,C80,C81,C83,C84,C85,C86,C87)</f>
        <v>{"x_solution":9.68391847493887E-03,"y_solution":0,"cal_type":"diam_choke","iterations":11,"description":"solve_equation_bisection: almost done by  11 iterations, tolerance 0,0051"}</v>
      </c>
      <c r="D88" s="3" t="str">
        <v>{"p_intake_atma":11.98,"p_out_atma":10,"t_choke_C":30,"calibr_fr":1,"q_liq_sm3day":30,"q_gas_sm3day":3240,"q_gas_free_sm3day":0,"rp_m3m3":120,"fw_perc":10,"t_choke_throat_C":29.192,"sonic_vel_msec":112.284,"q_liq_max_sm3day":34.429}</v>
      </c>
      <c r="E88" s="3" t="str">
        <v>{"gamma_gas":0.6,"gamma_oil":0.86,"gamma_wat":1.1,"rsb_m3m3":120,"pb_atma":130,"t_res_C":80,"bob_m3m3":1.2,"muob_cP":0.6,"PVT_corr_set":0,"q_liq_sm3day":30,"fw_perc":10,"rp_m3m3":120}</v>
      </c>
      <c r="F88" s="3" t="str">
        <v>["set show_log=1 in param to show calc log"]</v>
      </c>
    </row>
    <row r="89" spans="2:6" x14ac:dyDescent="0.2">
      <c r="C89" s="3" t="str">
        <v>result</v>
      </c>
      <c r="D89" s="3" t="str">
        <v>last calc</v>
      </c>
      <c r="E89" s="3" t="str">
        <v>feed</v>
      </c>
      <c r="F89" s="3" t="str">
        <v>log</v>
      </c>
    </row>
    <row r="90" spans="2:6" x14ac:dyDescent="0.2">
      <c r="B90" t="str">
        <f t="array" ref="B90:C94">[1]!decode_json(C88)</f>
        <v>x_solution</v>
      </c>
      <c r="C90" s="3">
        <v>9.6839184749388692E-3</v>
      </c>
    </row>
    <row r="91" spans="2:6" x14ac:dyDescent="0.2">
      <c r="B91" t="str">
        <v>y_solution</v>
      </c>
      <c r="C91">
        <v>0</v>
      </c>
    </row>
    <row r="92" spans="2:6" x14ac:dyDescent="0.2">
      <c r="B92" t="str">
        <v>cal_type</v>
      </c>
      <c r="C92" t="str">
        <v>diam_choke</v>
      </c>
    </row>
    <row r="93" spans="2:6" x14ac:dyDescent="0.2">
      <c r="B93" t="str">
        <v>iterations</v>
      </c>
      <c r="C93">
        <v>11</v>
      </c>
    </row>
    <row r="94" spans="2:6" x14ac:dyDescent="0.2">
      <c r="B94" t="str">
        <v>description</v>
      </c>
      <c r="C94" t="str">
        <v>solve_equation_bisection: almost done by  11 iterations, tolerance 0,0051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6</vt:i4>
      </vt:variant>
    </vt:vector>
  </HeadingPairs>
  <TitlesOfParts>
    <vt:vector size="7" baseType="lpstr">
      <vt:lpstr>Лист1</vt:lpstr>
      <vt:lpstr>choke_calibr</vt:lpstr>
      <vt:lpstr>choke_json_1</vt:lpstr>
      <vt:lpstr>choke_p</vt:lpstr>
      <vt:lpstr>choke_q</vt:lpstr>
      <vt:lpstr>feed_json</vt:lpstr>
      <vt:lpstr>PVT_json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rnt</cp:lastModifiedBy>
  <cp:lastPrinted>2007-08-27T05:31:44Z</cp:lastPrinted>
  <dcterms:created xsi:type="dcterms:W3CDTF">2005-04-11T05:46:28Z</dcterms:created>
  <dcterms:modified xsi:type="dcterms:W3CDTF">2025-02-28T05:31:27Z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