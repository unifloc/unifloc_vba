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A9F5BBF-5477-4F20-83E1-5C5F527157AF}" xr6:coauthVersionLast="46" xr6:coauthVersionMax="46" xr10:uidLastSave="{00000000-0000-0000-0000-000000000000}"/>
  <bookViews>
    <workbookView xWindow="624" yWindow="540" windowWidth="28800" windowHeight="15372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X50" i="120" a="1"/>
  <c r="G24" i="120"/>
  <c r="I28" i="120" a="1"/>
  <c r="G1" i="120"/>
  <c r="X50" i="120" l="1"/>
  <c r="I28" i="120"/>
  <c r="G25" i="120" a="1"/>
  <c r="G25" i="120" l="1"/>
  <c r="X35" i="120" a="1"/>
  <c r="AF74" i="120" a="1"/>
  <c r="S78" i="120" a="1"/>
  <c r="Q78" i="120" a="1"/>
  <c r="R74" i="120" a="1"/>
  <c r="G79" i="120" a="1"/>
  <c r="AC78" i="120" a="1"/>
  <c r="H67" i="120" a="1"/>
  <c r="AK76" i="120" a="1"/>
  <c r="AI74" i="120" a="1"/>
  <c r="AC64" i="120" a="1"/>
  <c r="Z62" i="120" a="1"/>
  <c r="S74" i="120" a="1"/>
  <c r="T75" i="120" a="1"/>
  <c r="E79" i="120" a="1"/>
  <c r="U63" i="120" a="1"/>
  <c r="K76" i="120" a="1"/>
  <c r="P78" i="120" a="1"/>
  <c r="W65" i="120" a="1"/>
  <c r="L65" i="120" a="1"/>
  <c r="H63" i="120" a="1"/>
  <c r="U79" i="120" a="1"/>
  <c r="O78" i="120" a="1"/>
  <c r="I64" i="120" a="1"/>
  <c r="T79" i="120" a="1"/>
  <c r="Y65" i="120" a="1"/>
  <c r="Y67" i="120" a="1"/>
  <c r="P63" i="120" a="1"/>
  <c r="R77" i="120" a="1"/>
  <c r="T74" i="120" a="1"/>
  <c r="R65" i="120" a="1"/>
  <c r="AD77" i="120" a="1"/>
  <c r="M66" i="120" a="1"/>
  <c r="F78" i="120" a="1"/>
  <c r="AK79" i="120" a="1"/>
  <c r="Y78" i="120" a="1"/>
  <c r="S75" i="120" a="1"/>
  <c r="R64" i="120" a="1"/>
  <c r="L77" i="120" a="1"/>
  <c r="B40" i="120" a="1"/>
  <c r="AH79" i="120" a="1"/>
  <c r="AB79" i="120" a="1"/>
  <c r="T76" i="120" a="1"/>
  <c r="AD62" i="120" a="1"/>
  <c r="D67" i="120" a="1"/>
  <c r="F63" i="120" a="1"/>
  <c r="M65" i="120" a="1"/>
  <c r="Z65" i="120" a="1"/>
  <c r="Y62" i="120" a="1"/>
  <c r="T62" i="120" a="1"/>
  <c r="I78" i="120" a="1"/>
  <c r="S67" i="120" a="1"/>
  <c r="AC62" i="120" a="1"/>
  <c r="AK75" i="120" a="1"/>
  <c r="N78" i="120" a="1"/>
  <c r="F75" i="120" a="1"/>
  <c r="AK77" i="120" a="1"/>
  <c r="F79" i="120" a="1"/>
  <c r="E63" i="120" a="1"/>
  <c r="AE79" i="120" a="1"/>
  <c r="S62" i="120" a="1"/>
  <c r="C78" i="120" a="1"/>
  <c r="AC63" i="120" a="1"/>
  <c r="Q79" i="120" a="1"/>
  <c r="V75" i="120" a="1"/>
  <c r="G75" i="120" a="1"/>
  <c r="C74" i="120" a="1"/>
  <c r="G77" i="120" a="1"/>
  <c r="W67" i="120" a="1"/>
  <c r="F77" i="120" a="1"/>
  <c r="J65" i="120" a="1"/>
  <c r="P64" i="120" a="1"/>
  <c r="D79" i="120" a="1"/>
  <c r="X75" i="120" a="1"/>
  <c r="W79" i="120" a="1"/>
  <c r="AB62" i="120" a="1"/>
  <c r="D65" i="120" a="1"/>
  <c r="V77" i="120" a="1"/>
  <c r="AL77" i="120" a="1"/>
  <c r="U76" i="120" a="1"/>
  <c r="S79" i="120" a="1"/>
  <c r="S65" i="120" a="1"/>
  <c r="AL76" i="120" a="1"/>
  <c r="D74" i="120" a="1"/>
  <c r="G76" i="120" a="1"/>
  <c r="AA75" i="120" a="1"/>
  <c r="U64" i="120" a="1"/>
  <c r="N62" i="120" a="1"/>
  <c r="M74" i="120" a="1"/>
  <c r="S66" i="120" a="1"/>
  <c r="G74" i="120" a="1"/>
  <c r="W75" i="120" a="1"/>
  <c r="W77" i="120" a="1"/>
  <c r="L66" i="120" a="1"/>
  <c r="H75" i="120" a="1"/>
  <c r="X79" i="120" a="1"/>
  <c r="AH77" i="120" a="1"/>
  <c r="X62" i="120" a="1"/>
  <c r="O67" i="120" a="1"/>
  <c r="AE78" i="120" a="1"/>
  <c r="C76" i="120" a="1"/>
  <c r="L74" i="120" a="1"/>
  <c r="C75" i="120" a="1"/>
  <c r="AH74" i="120" a="1"/>
  <c r="AE76" i="120" a="1"/>
  <c r="J67" i="120" a="1"/>
  <c r="S63" i="120" a="1"/>
  <c r="U75" i="120" a="1"/>
  <c r="W78" i="120" a="1"/>
  <c r="AJ75" i="120" a="1"/>
  <c r="O76" i="120" a="1"/>
  <c r="AD63" i="120" a="1"/>
  <c r="V63" i="120" a="1"/>
  <c r="H78" i="120" a="1"/>
  <c r="L76" i="120" a="1"/>
  <c r="AG79" i="120" a="1"/>
  <c r="AC75" i="120" a="1"/>
  <c r="K62" i="120" a="1"/>
  <c r="C67" i="120" a="1"/>
  <c r="I74" i="120" a="1"/>
  <c r="R76" i="120" a="1"/>
  <c r="X78" i="120" a="1"/>
  <c r="L63" i="120" a="1"/>
  <c r="AC66" i="120" a="1"/>
  <c r="P74" i="120" a="1"/>
  <c r="D77" i="120" a="1"/>
  <c r="AB64" i="120" a="1"/>
  <c r="Z67" i="120" a="1"/>
  <c r="AI78" i="120" a="1"/>
  <c r="C77" i="120" a="1"/>
  <c r="AJ79" i="120" a="1"/>
  <c r="V79" i="120" a="1"/>
  <c r="H65" i="120" a="1"/>
  <c r="F64" i="120" a="1"/>
  <c r="B45" i="120" a="1"/>
  <c r="Z76" i="120" a="1"/>
  <c r="AF77" i="120" a="1"/>
  <c r="AA67" i="120" a="1"/>
  <c r="O64" i="120" a="1"/>
  <c r="F65" i="120" a="1"/>
  <c r="Y76" i="120" a="1"/>
  <c r="Z77" i="120" a="1"/>
  <c r="AG77" i="120" a="1"/>
  <c r="U67" i="120" a="1"/>
  <c r="G78" i="120" a="1"/>
  <c r="F66" i="120" a="1"/>
  <c r="J79" i="120" a="1"/>
  <c r="O65" i="120" a="1"/>
  <c r="R78" i="120" a="1"/>
  <c r="S77" i="120" a="1"/>
  <c r="I63" i="120" a="1"/>
  <c r="I65" i="120" a="1"/>
  <c r="AB78" i="120" a="1"/>
  <c r="L78" i="120" a="1"/>
  <c r="D78" i="120" a="1"/>
  <c r="V65" i="120" a="1"/>
  <c r="D62" i="120" a="1"/>
  <c r="N67" i="120" a="1"/>
  <c r="U62" i="120" a="1"/>
  <c r="L79" i="120" a="1"/>
  <c r="E65" i="120" a="1"/>
  <c r="J75" i="120" a="1"/>
  <c r="X64" i="120" a="1"/>
  <c r="AA66" i="120" a="1"/>
  <c r="U78" i="120" a="1"/>
  <c r="Z63" i="120" a="1"/>
  <c r="Y66" i="120" a="1"/>
  <c r="AA62" i="120" a="1"/>
  <c r="AD65" i="120" a="1"/>
  <c r="AD67" i="120" a="1"/>
  <c r="AC65" i="120" a="1"/>
  <c r="AA64" i="120" a="1"/>
  <c r="Q66" i="120" a="1"/>
  <c r="P77" i="120" a="1"/>
  <c r="Y79" i="120" a="1"/>
  <c r="D75" i="120" a="1"/>
  <c r="AI77" i="120" a="1"/>
  <c r="N63" i="120" a="1"/>
  <c r="AC77" i="120" a="1"/>
  <c r="W74" i="120" a="1"/>
  <c r="P65" i="120" a="1"/>
  <c r="Q67" i="120" a="1"/>
  <c r="O62" i="120" a="1"/>
  <c r="AE77" i="120" a="1"/>
  <c r="AL78" i="120" a="1"/>
  <c r="AD76" i="120" a="1"/>
  <c r="E78" i="120" a="1"/>
  <c r="AK74" i="120" a="1"/>
  <c r="J63" i="120" a="1"/>
  <c r="O75" i="120" a="1"/>
  <c r="AD75" i="120" a="1"/>
  <c r="C66" i="120" a="1"/>
  <c r="AB63" i="120" a="1"/>
  <c r="T65" i="120" a="1"/>
  <c r="AI75" i="120" a="1"/>
  <c r="AD78" i="120" a="1"/>
  <c r="L67" i="120" a="1"/>
  <c r="J76" i="120" a="1"/>
  <c r="Z64" i="120" a="1"/>
  <c r="Z78" i="120" a="1"/>
  <c r="E67" i="120" a="1"/>
  <c r="H76" i="120" a="1"/>
  <c r="AD66" i="120" a="1"/>
  <c r="Z66" i="120" a="1"/>
  <c r="P75" i="120" a="1"/>
  <c r="U77" i="120" a="1"/>
  <c r="M77" i="120" a="1"/>
  <c r="Q75" i="120" a="1"/>
  <c r="V64" i="120" a="1"/>
  <c r="R67" i="120" a="1"/>
  <c r="X74" i="120" a="1"/>
  <c r="V76" i="120" a="1"/>
  <c r="E62" i="120" a="1"/>
  <c r="X65" i="120" a="1"/>
  <c r="T64" i="120" a="1"/>
  <c r="W64" i="120" a="1"/>
  <c r="AE74" i="120" a="1"/>
  <c r="G66" i="120" a="1"/>
  <c r="AD74" i="120" a="1"/>
  <c r="S76" i="120" a="1"/>
  <c r="O66" i="120" a="1"/>
  <c r="K63" i="120" a="1"/>
  <c r="I75" i="120" a="1"/>
  <c r="AL75" i="120" a="1"/>
  <c r="R62" i="120" a="1"/>
  <c r="C62" i="120" a="1"/>
  <c r="W62" i="120" a="1"/>
  <c r="N77" i="120" a="1"/>
  <c r="D63" i="120" a="1"/>
  <c r="AB74" i="120" a="1"/>
  <c r="Z79" i="120" a="1"/>
  <c r="J62" i="120" a="1"/>
  <c r="M76" i="120" a="1"/>
  <c r="AB77" i="120" a="1"/>
  <c r="Y77" i="120" a="1"/>
  <c r="M63" i="120" a="1"/>
  <c r="K74" i="120" a="1"/>
  <c r="AB66" i="120" a="1"/>
  <c r="R75" i="120" a="1"/>
  <c r="C79" i="120" a="1"/>
  <c r="V78" i="120" a="1"/>
  <c r="K64" i="120" a="1"/>
  <c r="AL79" i="120" a="1"/>
  <c r="Z75" i="120" a="1"/>
  <c r="Q77" i="120" a="1"/>
  <c r="V67" i="120" a="1"/>
  <c r="Y63" i="120" a="1"/>
  <c r="H62" i="120" a="1"/>
  <c r="D66" i="120" a="1"/>
  <c r="K66" i="120" a="1"/>
  <c r="H77" i="120" a="1"/>
  <c r="AA77" i="120" a="1"/>
  <c r="D64" i="120" a="1"/>
  <c r="AA63" i="120" a="1"/>
  <c r="Q74" i="120" a="1"/>
  <c r="AF75" i="120" a="1"/>
  <c r="T63" i="120" a="1"/>
  <c r="P79" i="120" a="1"/>
  <c r="F62" i="120" a="1"/>
  <c r="AF79" i="120" a="1"/>
  <c r="I67" i="120" a="1"/>
  <c r="X67" i="120" a="1"/>
  <c r="H79" i="120" a="1"/>
  <c r="N74" i="120" a="1"/>
  <c r="G64" i="120" a="1"/>
  <c r="Q65" i="120" a="1"/>
  <c r="M79" i="120" a="1"/>
  <c r="AE75" i="120" a="1"/>
  <c r="M67" i="120" a="1"/>
  <c r="AI76" i="120" a="1"/>
  <c r="T78" i="120" a="1"/>
  <c r="J64" i="120" a="1"/>
  <c r="Y75" i="120" a="1"/>
  <c r="E74" i="120" a="1"/>
  <c r="W66" i="120" a="1"/>
  <c r="AB65" i="120" a="1"/>
  <c r="AA78" i="120" a="1"/>
  <c r="W63" i="120" a="1"/>
  <c r="C63" i="120" a="1"/>
  <c r="M64" i="120" a="1"/>
  <c r="B50" i="120" a="1"/>
  <c r="I77" i="120" a="1"/>
  <c r="X76" i="120" a="1"/>
  <c r="AC79" i="120" a="1"/>
  <c r="O63" i="120" a="1"/>
  <c r="N66" i="120" a="1"/>
  <c r="AB75" i="120" a="1"/>
  <c r="L64" i="120" a="1"/>
  <c r="Y64" i="120" a="1"/>
  <c r="P76" i="120" a="1"/>
  <c r="AA65" i="120" a="1"/>
  <c r="R63" i="120" a="1"/>
  <c r="T67" i="120" a="1"/>
  <c r="AD79" i="120" a="1"/>
  <c r="L62" i="120" a="1"/>
  <c r="AC76" i="120" a="1"/>
  <c r="G65" i="120" a="1"/>
  <c r="P62" i="120" a="1"/>
  <c r="P66" i="120" a="1"/>
  <c r="N65" i="120" a="1"/>
  <c r="V74" i="120" a="1"/>
  <c r="AJ77" i="120" a="1"/>
  <c r="G67" i="120" a="1"/>
  <c r="K79" i="120" a="1"/>
  <c r="R66" i="120" a="1"/>
  <c r="AL74" i="120" a="1"/>
  <c r="E76" i="120" a="1"/>
  <c r="U66" i="120" a="1"/>
  <c r="Q63" i="120" a="1"/>
  <c r="AF78" i="120" a="1"/>
  <c r="M78" i="120" a="1"/>
  <c r="X77" i="120" a="1"/>
  <c r="F76" i="120" a="1"/>
  <c r="J78" i="120" a="1"/>
  <c r="AH76" i="120" a="1"/>
  <c r="T66" i="120" a="1"/>
  <c r="K78" i="120" a="1"/>
  <c r="E77" i="120" a="1"/>
  <c r="I66" i="120" a="1"/>
  <c r="AG78" i="120" a="1"/>
  <c r="U65" i="120" a="1"/>
  <c r="T77" i="120" a="1"/>
  <c r="N76" i="120" a="1"/>
  <c r="V62" i="120" a="1"/>
  <c r="AF76" i="120" a="1"/>
  <c r="AG75" i="120" a="1"/>
  <c r="H66" i="120" a="1"/>
  <c r="M75" i="120" a="1"/>
  <c r="U74" i="120" a="1"/>
  <c r="Q64" i="120" a="1"/>
  <c r="F67" i="120" a="1"/>
  <c r="AH75" i="120" a="1"/>
  <c r="E66" i="120" a="1"/>
  <c r="AA79" i="120" a="1"/>
  <c r="G63" i="120" a="1"/>
  <c r="AG76" i="120" a="1"/>
  <c r="N64" i="120" a="1"/>
  <c r="N75" i="120" a="1"/>
  <c r="AA76" i="120" a="1"/>
  <c r="AJ78" i="120" a="1"/>
  <c r="J77" i="120" a="1"/>
  <c r="K65" i="120" a="1"/>
  <c r="F74" i="120" a="1"/>
  <c r="X66" i="120" a="1"/>
  <c r="Q76" i="120" a="1"/>
  <c r="AC67" i="120" a="1"/>
  <c r="I79" i="120" a="1"/>
  <c r="M62" i="120" a="1"/>
  <c r="S64" i="120" a="1"/>
  <c r="E75" i="120" a="1"/>
  <c r="K67" i="120" a="1"/>
  <c r="C65" i="120" a="1"/>
  <c r="X63" i="120" a="1"/>
  <c r="O74" i="120" a="1"/>
  <c r="W76" i="120" a="1"/>
  <c r="E64" i="120" a="1"/>
  <c r="D76" i="120" a="1"/>
  <c r="J74" i="120" a="1"/>
  <c r="O79" i="120" a="1"/>
  <c r="I62" i="120" a="1"/>
  <c r="AJ74" i="120" a="1"/>
  <c r="P67" i="120" a="1"/>
  <c r="J66" i="120" a="1"/>
  <c r="AG74" i="120" a="1"/>
  <c r="Z74" i="120" a="1"/>
  <c r="AD64" i="120" a="1"/>
  <c r="H64" i="120" a="1"/>
  <c r="H74" i="120" a="1"/>
  <c r="K77" i="120" a="1"/>
  <c r="AB76" i="120" a="1"/>
  <c r="C64" i="120" a="1"/>
  <c r="Y74" i="120" a="1"/>
  <c r="AC74" i="120" a="1"/>
  <c r="AH78" i="120" a="1"/>
  <c r="AA74" i="120" a="1"/>
  <c r="O77" i="120" a="1"/>
  <c r="V66" i="120" a="1"/>
  <c r="AF50" i="120" a="1"/>
  <c r="AK78" i="120" a="1"/>
  <c r="AI79" i="120" a="1"/>
  <c r="K75" i="120" a="1"/>
  <c r="AB67" i="120" a="1"/>
  <c r="Q62" i="120" a="1"/>
  <c r="N79" i="120" a="1"/>
  <c r="B35" i="120" a="1"/>
  <c r="I76" i="120" a="1"/>
  <c r="L75" i="120" a="1"/>
  <c r="G62" i="120" a="1"/>
  <c r="AJ76" i="120" a="1"/>
  <c r="R79" i="120" a="1"/>
  <c r="N50" i="120" a="1"/>
  <c r="N40" i="120" a="1"/>
  <c r="N35" i="120" a="1"/>
  <c r="AI50" i="120" a="1"/>
  <c r="N45" i="120" a="1"/>
  <c r="AI35" i="120" a="1"/>
  <c r="AF35" i="120" a="1"/>
  <c r="X35" i="120" l="1"/>
  <c r="AF35" i="120"/>
  <c r="AI35" i="120"/>
  <c r="AF50" i="120"/>
  <c r="R79" i="120"/>
  <c r="AJ76" i="120"/>
  <c r="G62" i="120"/>
  <c r="L75" i="120"/>
  <c r="I76" i="120"/>
  <c r="B35" i="120"/>
  <c r="N79" i="120"/>
  <c r="Q62" i="120"/>
  <c r="AB67" i="120"/>
  <c r="K75" i="120"/>
  <c r="AI79" i="120"/>
  <c r="AK78" i="120"/>
  <c r="V66" i="120"/>
  <c r="O77" i="120"/>
  <c r="AA74" i="120"/>
  <c r="AH78" i="120"/>
  <c r="AC74" i="120"/>
  <c r="Y74" i="120"/>
  <c r="C64" i="120"/>
  <c r="AB76" i="120"/>
  <c r="K77" i="120"/>
  <c r="H74" i="120"/>
  <c r="H64" i="120"/>
  <c r="AD64" i="120"/>
  <c r="Z74" i="120"/>
  <c r="AG74" i="120"/>
  <c r="J66" i="120"/>
  <c r="P67" i="120"/>
  <c r="AJ74" i="120"/>
  <c r="I62" i="120"/>
  <c r="O79" i="120"/>
  <c r="J74" i="120"/>
  <c r="D76" i="120"/>
  <c r="E64" i="120"/>
  <c r="W76" i="120"/>
  <c r="O74" i="120"/>
  <c r="X63" i="120"/>
  <c r="C65" i="120"/>
  <c r="K67" i="120"/>
  <c r="E75" i="120"/>
  <c r="S64" i="120"/>
  <c r="M62" i="120"/>
  <c r="I79" i="120"/>
  <c r="AC67" i="120"/>
  <c r="Q76" i="120"/>
  <c r="X66" i="120"/>
  <c r="F74" i="120"/>
  <c r="K65" i="120"/>
  <c r="J77" i="120"/>
  <c r="AJ78" i="120"/>
  <c r="AA76" i="120"/>
  <c r="N75" i="120"/>
  <c r="N64" i="120"/>
  <c r="AG76" i="120"/>
  <c r="G63" i="120"/>
  <c r="AA79" i="120"/>
  <c r="E66" i="120"/>
  <c r="AH75" i="120"/>
  <c r="F67" i="120"/>
  <c r="Q64" i="120"/>
  <c r="U74" i="120"/>
  <c r="M75" i="120"/>
  <c r="H66" i="120"/>
  <c r="AG75" i="120"/>
  <c r="AF76" i="120"/>
  <c r="V62" i="120"/>
  <c r="N76" i="120"/>
  <c r="T77" i="120"/>
  <c r="U65" i="120"/>
  <c r="AG78" i="120"/>
  <c r="I66" i="120"/>
  <c r="E77" i="120"/>
  <c r="K78" i="120"/>
  <c r="T66" i="120"/>
  <c r="AH76" i="120"/>
  <c r="J78" i="120"/>
  <c r="F76" i="120"/>
  <c r="X77" i="120"/>
  <c r="M78" i="120"/>
  <c r="AF78" i="120"/>
  <c r="Q63" i="120"/>
  <c r="U66" i="120"/>
  <c r="E76" i="120"/>
  <c r="AL74" i="120"/>
  <c r="R66" i="120"/>
  <c r="K79" i="120"/>
  <c r="G67" i="120"/>
  <c r="AJ77" i="120"/>
  <c r="V74" i="120"/>
  <c r="N65" i="120"/>
  <c r="P66" i="120"/>
  <c r="P62" i="120"/>
  <c r="G65" i="120"/>
  <c r="AC76" i="120"/>
  <c r="L62" i="120"/>
  <c r="AD79" i="120"/>
  <c r="T67" i="120"/>
  <c r="R63" i="120"/>
  <c r="AA65" i="120"/>
  <c r="P76" i="120"/>
  <c r="Y64" i="120"/>
  <c r="L64" i="120"/>
  <c r="AB75" i="120"/>
  <c r="N66" i="120"/>
  <c r="O63" i="120"/>
  <c r="AC79" i="120"/>
  <c r="X76" i="120"/>
  <c r="I77" i="120"/>
  <c r="B50" i="120"/>
  <c r="M64" i="120"/>
  <c r="C63" i="120"/>
  <c r="W63" i="120"/>
  <c r="AA78" i="120"/>
  <c r="AB65" i="120"/>
  <c r="W66" i="120"/>
  <c r="E74" i="120"/>
  <c r="Y75" i="120"/>
  <c r="J64" i="120"/>
  <c r="T78" i="120"/>
  <c r="AI76" i="120"/>
  <c r="M67" i="120"/>
  <c r="AE75" i="120"/>
  <c r="M79" i="120"/>
  <c r="Q65" i="120"/>
  <c r="G64" i="120"/>
  <c r="N74" i="120"/>
  <c r="H79" i="120"/>
  <c r="X67" i="120"/>
  <c r="I67" i="120"/>
  <c r="AF79" i="120"/>
  <c r="F62" i="120"/>
  <c r="P79" i="120"/>
  <c r="T63" i="120"/>
  <c r="AF75" i="120"/>
  <c r="Q74" i="120"/>
  <c r="AA63" i="120"/>
  <c r="D64" i="120"/>
  <c r="AA77" i="120"/>
  <c r="H77" i="120"/>
  <c r="K66" i="120"/>
  <c r="D66" i="120"/>
  <c r="H62" i="120"/>
  <c r="Y63" i="120"/>
  <c r="V67" i="120"/>
  <c r="Q77" i="120"/>
  <c r="Z75" i="120"/>
  <c r="AL79" i="120"/>
  <c r="K64" i="120"/>
  <c r="V78" i="120"/>
  <c r="C79" i="120"/>
  <c r="R75" i="120"/>
  <c r="AB66" i="120"/>
  <c r="K74" i="120"/>
  <c r="M63" i="120"/>
  <c r="Y77" i="120"/>
  <c r="AB77" i="120"/>
  <c r="M76" i="120"/>
  <c r="J62" i="120"/>
  <c r="Z79" i="120"/>
  <c r="AB74" i="120"/>
  <c r="D63" i="120"/>
  <c r="N77" i="120"/>
  <c r="W62" i="120"/>
  <c r="C62" i="120"/>
  <c r="C58" i="120" s="1"/>
  <c r="R62" i="120"/>
  <c r="AL75" i="120"/>
  <c r="I75" i="120"/>
  <c r="K63" i="120"/>
  <c r="O66" i="120"/>
  <c r="S76" i="120"/>
  <c r="AD74" i="120"/>
  <c r="G66" i="120"/>
  <c r="AE74" i="120"/>
  <c r="W64" i="120"/>
  <c r="T64" i="120"/>
  <c r="X65" i="120"/>
  <c r="E62" i="120"/>
  <c r="V76" i="120"/>
  <c r="X74" i="120"/>
  <c r="R67" i="120"/>
  <c r="V64" i="120"/>
  <c r="Q75" i="120"/>
  <c r="M77" i="120"/>
  <c r="U77" i="120"/>
  <c r="P75" i="120"/>
  <c r="Z66" i="120"/>
  <c r="AD66" i="120"/>
  <c r="H76" i="120"/>
  <c r="E67" i="120"/>
  <c r="Z78" i="120"/>
  <c r="Z64" i="120"/>
  <c r="J76" i="120"/>
  <c r="L67" i="120"/>
  <c r="AD78" i="120"/>
  <c r="AI75" i="120"/>
  <c r="T65" i="120"/>
  <c r="AB63" i="120"/>
  <c r="C66" i="120"/>
  <c r="AD75" i="120"/>
  <c r="O75" i="120"/>
  <c r="J63" i="120"/>
  <c r="AK74" i="120"/>
  <c r="E78" i="120"/>
  <c r="AD76" i="120"/>
  <c r="AL78" i="120"/>
  <c r="AE77" i="120"/>
  <c r="O62" i="120"/>
  <c r="Q67" i="120"/>
  <c r="P65" i="120"/>
  <c r="W74" i="120"/>
  <c r="AC77" i="120"/>
  <c r="N63" i="120"/>
  <c r="AI77" i="120"/>
  <c r="D75" i="120"/>
  <c r="Y79" i="120"/>
  <c r="P77" i="120"/>
  <c r="Q66" i="120"/>
  <c r="AA64" i="120"/>
  <c r="AC65" i="120"/>
  <c r="AD67" i="120"/>
  <c r="AD65" i="120"/>
  <c r="AA62" i="120"/>
  <c r="Y66" i="120"/>
  <c r="Z63" i="120"/>
  <c r="U78" i="120"/>
  <c r="AA66" i="120"/>
  <c r="X64" i="120"/>
  <c r="J75" i="120"/>
  <c r="E65" i="120"/>
  <c r="L79" i="120"/>
  <c r="U62" i="120"/>
  <c r="N67" i="120"/>
  <c r="D62" i="120"/>
  <c r="V65" i="120"/>
  <c r="D78" i="120"/>
  <c r="L78" i="120"/>
  <c r="AB78" i="120"/>
  <c r="I65" i="120"/>
  <c r="I63" i="120"/>
  <c r="S77" i="120"/>
  <c r="R78" i="120"/>
  <c r="O65" i="120"/>
  <c r="J79" i="120"/>
  <c r="F66" i="120"/>
  <c r="G78" i="120"/>
  <c r="U67" i="120"/>
  <c r="AG77" i="120"/>
  <c r="Z77" i="120"/>
  <c r="Y76" i="120"/>
  <c r="F65" i="120"/>
  <c r="O64" i="120"/>
  <c r="AA67" i="120"/>
  <c r="AF77" i="120"/>
  <c r="Z76" i="120"/>
  <c r="B45" i="120"/>
  <c r="F64" i="120"/>
  <c r="H65" i="120"/>
  <c r="V79" i="120"/>
  <c r="AJ79" i="120"/>
  <c r="C77" i="120"/>
  <c r="AI78" i="120"/>
  <c r="Z67" i="120"/>
  <c r="AB64" i="120"/>
  <c r="D77" i="120"/>
  <c r="P74" i="120"/>
  <c r="AC66" i="120"/>
  <c r="L63" i="120"/>
  <c r="X78" i="120"/>
  <c r="R76" i="120"/>
  <c r="I74" i="120"/>
  <c r="C67" i="120"/>
  <c r="K62" i="120"/>
  <c r="AC75" i="120"/>
  <c r="AG79" i="120"/>
  <c r="L76" i="120"/>
  <c r="H78" i="120"/>
  <c r="V63" i="120"/>
  <c r="AD63" i="120"/>
  <c r="O76" i="120"/>
  <c r="AJ75" i="120"/>
  <c r="W78" i="120"/>
  <c r="U75" i="120"/>
  <c r="S63" i="120"/>
  <c r="J67" i="120"/>
  <c r="AE76" i="120"/>
  <c r="AH74" i="120"/>
  <c r="C75" i="120"/>
  <c r="L74" i="120"/>
  <c r="C76" i="120"/>
  <c r="AE78" i="120"/>
  <c r="O67" i="120"/>
  <c r="X62" i="120"/>
  <c r="AH77" i="120"/>
  <c r="X79" i="120"/>
  <c r="H75" i="120"/>
  <c r="L66" i="120"/>
  <c r="W77" i="120"/>
  <c r="W75" i="120"/>
  <c r="G74" i="120"/>
  <c r="S66" i="120"/>
  <c r="M74" i="120"/>
  <c r="N62" i="120"/>
  <c r="U64" i="120"/>
  <c r="AA75" i="120"/>
  <c r="G76" i="120"/>
  <c r="D74" i="120"/>
  <c r="AL76" i="120"/>
  <c r="S65" i="120"/>
  <c r="S79" i="120"/>
  <c r="U76" i="120"/>
  <c r="AL77" i="120"/>
  <c r="V77" i="120"/>
  <c r="D65" i="120"/>
  <c r="AB62" i="120"/>
  <c r="W79" i="120"/>
  <c r="X75" i="120"/>
  <c r="D79" i="120"/>
  <c r="P64" i="120"/>
  <c r="J65" i="120"/>
  <c r="F77" i="120"/>
  <c r="W67" i="120"/>
  <c r="G77" i="120"/>
  <c r="C74" i="120"/>
  <c r="G75" i="120"/>
  <c r="V75" i="120"/>
  <c r="Q79" i="120"/>
  <c r="AC63" i="120"/>
  <c r="C78" i="120"/>
  <c r="S62" i="120"/>
  <c r="AE79" i="120"/>
  <c r="E63" i="120"/>
  <c r="F79" i="120"/>
  <c r="AK77" i="120"/>
  <c r="F75" i="120"/>
  <c r="N78" i="120"/>
  <c r="AK75" i="120"/>
  <c r="AC62" i="120"/>
  <c r="S67" i="120"/>
  <c r="I78" i="120"/>
  <c r="T62" i="120"/>
  <c r="Y62" i="120"/>
  <c r="Z65" i="120"/>
  <c r="M65" i="120"/>
  <c r="F63" i="120"/>
  <c r="D67" i="120"/>
  <c r="AD62" i="120"/>
  <c r="T76" i="120"/>
  <c r="AB79" i="120"/>
  <c r="AH79" i="120"/>
  <c r="B40" i="120"/>
  <c r="L77" i="120"/>
  <c r="R64" i="120"/>
  <c r="S75" i="120"/>
  <c r="Y78" i="120"/>
  <c r="AK79" i="120"/>
  <c r="F78" i="120"/>
  <c r="M66" i="120"/>
  <c r="AD77" i="120"/>
  <c r="R65" i="120"/>
  <c r="T74" i="120"/>
  <c r="R77" i="120"/>
  <c r="P63" i="120"/>
  <c r="Y67" i="120"/>
  <c r="Y65" i="120"/>
  <c r="T79" i="120"/>
  <c r="I64" i="120"/>
  <c r="O78" i="120"/>
  <c r="U79" i="120"/>
  <c r="H63" i="120"/>
  <c r="L65" i="120"/>
  <c r="W65" i="120"/>
  <c r="P78" i="120"/>
  <c r="K76" i="120"/>
  <c r="U63" i="120"/>
  <c r="E79" i="120"/>
  <c r="T75" i="120"/>
  <c r="S74" i="120"/>
  <c r="Z62" i="120"/>
  <c r="AC64" i="120"/>
  <c r="AI74" i="120"/>
  <c r="AK76" i="120"/>
  <c r="H67" i="120"/>
  <c r="AC78" i="120"/>
  <c r="G79" i="120"/>
  <c r="R74" i="120"/>
  <c r="Q78" i="120"/>
  <c r="S78" i="120"/>
  <c r="AF74" i="120"/>
  <c r="AI50" i="120"/>
  <c r="N50" i="120"/>
  <c r="N45" i="120"/>
  <c r="N35" i="120"/>
  <c r="N40" i="120"/>
  <c r="AC50" i="120" a="1"/>
  <c r="AC35" i="120" a="1"/>
  <c r="AC50" i="120" l="1"/>
  <c r="AC3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<sst xmlns="http://schemas.openxmlformats.org/spreadsheetml/2006/main" count="105" uniqueCount="85">
  <si>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</si>
  <si>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</si>
  <si>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</si>
  <si>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</si>
  <si>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</si>
  <si>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</si>
  <si>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</si>
  <si>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</si>
  <si>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</si>
  <si>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</si>
  <si>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</si>
  <si>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</si>
  <si>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</si>
  <si>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</si>
  <si>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</si>
  <si>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</si>
  <si>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</si>
  <si>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</si>
  <si>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</si>
  <si>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</si>
  <si>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</si>
  <si>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</si>
  <si>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</si>
  <si>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</si>
  <si>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</si>
  <si>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</si>
  <si>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</si>
  <si>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</si>
  <si>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</si>
  <si>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</si>
  <si>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</si>
  <si>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</si>
  <si>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</si>
  <si>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</si>
  <si>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</si>
  <si>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</si>
  <si>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</si>
  <si>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</si>
  <si>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</si>
  <si>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</si>
  <si>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</si>
  <si>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</si>
  <si>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</si>
  <si>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</si>
  <si>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</si>
  <si>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</si>
  <si>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</si>
  <si>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</si>
  <si>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</si>
  <si>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</si>
  <si>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</si>
  <si>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</si>
  <si>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</si>
  <si>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</si>
  <si>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</si>
  <si>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</si>
  <si>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</si>
  <si>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</si>
  <si>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</si>
  <si>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</si>
  <si>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</si>
  <si>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</si>
  <si>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</si>
  <si>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</si>
  <si>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</si>
  <si>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</si>
  <si>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</si>
  <si>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</si>
  <si>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</si>
  <si>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</si>
  <si>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show_array</t>
  </si>
  <si>
    <t>calc_along_flow</t>
  </si>
  <si>
    <t>7.27с</t>
  </si>
  <si>
    <t>p_intake_atma</t>
  </si>
  <si>
    <t>p_out_atma</t>
  </si>
  <si>
    <t>t_choke_C</t>
  </si>
  <si>
    <t>calibr_fr</t>
  </si>
  <si>
    <t>q_liq_sm3day</t>
  </si>
  <si>
    <t>q_gas_sm3day</t>
  </si>
  <si>
    <t>q_gas_free_sm3day</t>
  </si>
  <si>
    <t>rp_m3m3</t>
  </si>
  <si>
    <t>fw_perc</t>
  </si>
  <si>
    <t>t_choke_throat_C</t>
  </si>
  <si>
    <t>sonic_vel_msec</t>
  </si>
  <si>
    <t>q_liq_max_sm3day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</si>
</sst>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7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1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left"/>
    </xf>
    <xf numFmtId="0" fontId="0" fillId="11" borderId="0" xfId="0" applyFill="1"/>
    <xf numFmtId="165" fontId="0" fillId="0" borderId="0" xfId="0" applyNumberFormat="1"/>
    <xf numFmtId="166" fontId="0" fillId="10" borderId="0" xfId="0" applyNumberFormat="1" applyFill="1" applyBorder="1" applyAlignment="1">
      <alignment horizontal="left"/>
    </xf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exercise_choke!$C$74:$AL$74</c:f>
              <c:numCache>
                <c:formatCode>0</c:formatCode>
                <c:ptCount val="36"/>
                <c:pt idx="0">
                  <c:v>10</c:v>
                </c:pt>
                <c:pt idx="1">
                  <c:v>8.7939453125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exercise_choke!$C$75:$AL$75</c:f>
              <c:numCache>
                <c:formatCode>0</c:formatCode>
                <c:ptCount val="36"/>
                <c:pt idx="0">
                  <c:v>15</c:v>
                </c:pt>
                <c:pt idx="1">
                  <c:v>14.333267211914063</c:v>
                </c:pt>
                <c:pt idx="2">
                  <c:v>11.3818359375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3C-49A1-BD08-67B48AB2B5DA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exercise_choke!$C$76:$AL$76</c:f>
              <c:numCache>
                <c:formatCode>0</c:formatCode>
                <c:ptCount val="36"/>
                <c:pt idx="0">
                  <c:v>20</c:v>
                </c:pt>
                <c:pt idx="1">
                  <c:v>19.53399658203125</c:v>
                </c:pt>
                <c:pt idx="2">
                  <c:v>18.128662109375</c:v>
                </c:pt>
                <c:pt idx="3">
                  <c:v>16.50146484375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3C-49A1-BD08-67B48AB2B5DA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exercise_choke!$C$77:$AL$77</c:f>
              <c:numCache>
                <c:formatCode>0</c:formatCode>
                <c:ptCount val="36"/>
                <c:pt idx="0">
                  <c:v>25</c:v>
                </c:pt>
                <c:pt idx="1">
                  <c:v>24.644851684570313</c:v>
                </c:pt>
                <c:pt idx="2">
                  <c:v>23.664093017578125</c:v>
                </c:pt>
                <c:pt idx="3">
                  <c:v>22.75238037109375</c:v>
                </c:pt>
                <c:pt idx="4">
                  <c:v>21.8231201171875</c:v>
                </c:pt>
                <c:pt idx="5">
                  <c:v>21.08001708984375</c:v>
                </c:pt>
                <c:pt idx="6">
                  <c:v>20.79620361328125</c:v>
                </c:pt>
                <c:pt idx="7">
                  <c:v>20.78399658203125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3C-49A1-BD08-67B48AB2B5DA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exercise_choke!$C$78:$AL$78</c:f>
              <c:numCache>
                <c:formatCode>0</c:formatCode>
                <c:ptCount val="36"/>
                <c:pt idx="0">
                  <c:v>30</c:v>
                </c:pt>
                <c:pt idx="1">
                  <c:v>29.7161865234375</c:v>
                </c:pt>
                <c:pt idx="2">
                  <c:v>28.96270751953125</c:v>
                </c:pt>
                <c:pt idx="3">
                  <c:v>28.30902099609375</c:v>
                </c:pt>
                <c:pt idx="4">
                  <c:v>27.69927978515625</c:v>
                </c:pt>
                <c:pt idx="5">
                  <c:v>27.2607421875</c:v>
                </c:pt>
                <c:pt idx="6">
                  <c:v>27.10693359375</c:v>
                </c:pt>
                <c:pt idx="7">
                  <c:v>27.099609375</c:v>
                </c:pt>
                <c:pt idx="8">
                  <c:v>25.162353515625</c:v>
                </c:pt>
                <c:pt idx="9">
                  <c:v>23.3056640625</c:v>
                </c:pt>
                <c:pt idx="10">
                  <c:v>22.03125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3C-49A1-BD08-67B48AB2B5DA}"/>
            </c:ext>
          </c:extLst>
        </c:ser>
        <c:ser>
          <c:idx val="4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  <c:pt idx="0">
                  <c:v>35</c:v>
                </c:pt>
                <c:pt idx="1">
                  <c:v>34.766082763671875</c:v>
                </c:pt>
                <c:pt idx="2">
                  <c:v>34.1583251953125</c:v>
                </c:pt>
                <c:pt idx="3">
                  <c:v>33.64776611328125</c:v>
                </c:pt>
                <c:pt idx="4">
                  <c:v>33.189010620117188</c:v>
                </c:pt>
                <c:pt idx="5">
                  <c:v>32.869110107421875</c:v>
                </c:pt>
                <c:pt idx="6">
                  <c:v>32.75909423828125</c:v>
                </c:pt>
                <c:pt idx="7">
                  <c:v>32.75482177734375</c:v>
                </c:pt>
                <c:pt idx="8">
                  <c:v>31.49871826171875</c:v>
                </c:pt>
                <c:pt idx="9">
                  <c:v>30.565185546875</c:v>
                </c:pt>
                <c:pt idx="10">
                  <c:v>30.1251220703125</c:v>
                </c:pt>
                <c:pt idx="11">
                  <c:v>29.6295166015625</c:v>
                </c:pt>
                <c:pt idx="12">
                  <c:v>28.7579345703125</c:v>
                </c:pt>
                <c:pt idx="13">
                  <c:v>28.052978515625</c:v>
                </c:pt>
                <c:pt idx="14">
                  <c:v>27.97607421875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3C-49A1-BD08-67B48AB2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1</c:v>
                </c:pt>
                <c:pt idx="1">
                  <c:v>1.0453033447265625</c:v>
                </c:pt>
                <c:pt idx="2">
                  <c:v>1.208251953125</c:v>
                </c:pt>
                <c:pt idx="3">
                  <c:v>2.156005859375</c:v>
                </c:pt>
                <c:pt idx="4">
                  <c:v>4.2900390625</c:v>
                </c:pt>
                <c:pt idx="5">
                  <c:v>5.34814453125</c:v>
                </c:pt>
                <c:pt idx="6">
                  <c:v>10.5458984375</c:v>
                </c:pt>
                <c:pt idx="7">
                  <c:v>15.5830078125</c:v>
                </c:pt>
                <c:pt idx="8">
                  <c:v>20.4541015625</c:v>
                </c:pt>
                <c:pt idx="9">
                  <c:v>25.1572265625</c:v>
                </c:pt>
                <c:pt idx="10">
                  <c:v>29.6962890625</c:v>
                </c:pt>
                <c:pt idx="11">
                  <c:v>34.0732421875</c:v>
                </c:pt>
                <c:pt idx="12">
                  <c:v>38.2958984375</c:v>
                </c:pt>
                <c:pt idx="13">
                  <c:v>42.3720703125</c:v>
                </c:pt>
                <c:pt idx="14">
                  <c:v>46.3115234375</c:v>
                </c:pt>
                <c:pt idx="15">
                  <c:v>50.1259765625</c:v>
                </c:pt>
                <c:pt idx="16">
                  <c:v>53.8251953125</c:v>
                </c:pt>
                <c:pt idx="17">
                  <c:v>57.4208984375</c:v>
                </c:pt>
                <c:pt idx="18">
                  <c:v>60.9228515625</c:v>
                </c:pt>
                <c:pt idx="19">
                  <c:v>64.3427734375</c:v>
                </c:pt>
                <c:pt idx="20">
                  <c:v>67.6884765625</c:v>
                </c:pt>
                <c:pt idx="21">
                  <c:v>70.9677734375</c:v>
                </c:pt>
                <c:pt idx="22">
                  <c:v>74.1923828125</c:v>
                </c:pt>
                <c:pt idx="23">
                  <c:v>77.3662109375</c:v>
                </c:pt>
                <c:pt idx="24">
                  <c:v>80.4970703125</c:v>
                </c:pt>
                <c:pt idx="25">
                  <c:v>83.5908203125</c:v>
                </c:pt>
                <c:pt idx="26">
                  <c:v>86.6533203125</c:v>
                </c:pt>
                <c:pt idx="27">
                  <c:v>89.6884765625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5</c:v>
                </c:pt>
                <c:pt idx="1">
                  <c:v>5.0085616111755371</c:v>
                </c:pt>
                <c:pt idx="2">
                  <c:v>5.0344085693359375</c:v>
                </c:pt>
                <c:pt idx="3">
                  <c:v>5.1403427124023438</c:v>
                </c:pt>
                <c:pt idx="4">
                  <c:v>5.60882568359375</c:v>
                </c:pt>
                <c:pt idx="5">
                  <c:v>6.014251708984375</c:v>
                </c:pt>
                <c:pt idx="6">
                  <c:v>10.5450439453125</c:v>
                </c:pt>
                <c:pt idx="7">
                  <c:v>15.5828857421875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10</c:v>
                </c:pt>
                <c:pt idx="1">
                  <c:v>10.004180669784546</c:v>
                </c:pt>
                <c:pt idx="2">
                  <c:v>10.016741752624512</c:v>
                </c:pt>
                <c:pt idx="3">
                  <c:v>10.067253112792969</c:v>
                </c:pt>
                <c:pt idx="4">
                  <c:v>10.273971557617188</c:v>
                </c:pt>
                <c:pt idx="5">
                  <c:v>10.4339599609375</c:v>
                </c:pt>
                <c:pt idx="6">
                  <c:v>11.9549560546875</c:v>
                </c:pt>
                <c:pt idx="7">
                  <c:v>15.4571533203125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15</c:v>
                </c:pt>
                <c:pt idx="1">
                  <c:v>15.002716183662415</c:v>
                </c:pt>
                <c:pt idx="2">
                  <c:v>15.010871887207031</c:v>
                </c:pt>
                <c:pt idx="3">
                  <c:v>15.043559074401855</c:v>
                </c:pt>
                <c:pt idx="4">
                  <c:v>15.175552368164063</c:v>
                </c:pt>
                <c:pt idx="5">
                  <c:v>15.275802612304688</c:v>
                </c:pt>
                <c:pt idx="6">
                  <c:v>16.155624389648438</c:v>
                </c:pt>
                <c:pt idx="7">
                  <c:v>17.81524658203125</c:v>
                </c:pt>
                <c:pt idx="8">
                  <c:v>20.61309814453125</c:v>
                </c:pt>
                <c:pt idx="9">
                  <c:v>25.15777587890625</c:v>
                </c:pt>
                <c:pt idx="10">
                  <c:v>29.69696044921875</c:v>
                </c:pt>
                <c:pt idx="11">
                  <c:v>34.07318115234375</c:v>
                </c:pt>
                <c:pt idx="12">
                  <c:v>38.29559326171875</c:v>
                </c:pt>
                <c:pt idx="13">
                  <c:v>42.37152099609375</c:v>
                </c:pt>
                <c:pt idx="14">
                  <c:v>46.31195068359375</c:v>
                </c:pt>
                <c:pt idx="15">
                  <c:v>50.12603759765625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  <c:pt idx="0">
                  <c:v>20</c:v>
                </c:pt>
                <c:pt idx="1">
                  <c:v>20.001980662345886</c:v>
                </c:pt>
                <c:pt idx="2">
                  <c:v>20.007925033569336</c:v>
                </c:pt>
                <c:pt idx="3">
                  <c:v>20.031728744506836</c:v>
                </c:pt>
                <c:pt idx="4">
                  <c:v>20.127372741699219</c:v>
                </c:pt>
                <c:pt idx="5">
                  <c:v>20.1995849609375</c:v>
                </c:pt>
                <c:pt idx="6">
                  <c:v>20.8172607421875</c:v>
                </c:pt>
                <c:pt idx="7">
                  <c:v>21.9122314453125</c:v>
                </c:pt>
                <c:pt idx="8">
                  <c:v>23.5931396484375</c:v>
                </c:pt>
                <c:pt idx="9">
                  <c:v>26.0284423828125</c:v>
                </c:pt>
                <c:pt idx="10">
                  <c:v>29.4622802734375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  <c:pt idx="0">
                  <c:v>30</c:v>
                </c:pt>
                <c:pt idx="1">
                  <c:v>30.001239627599716</c:v>
                </c:pt>
                <c:pt idx="2">
                  <c:v>30.004958510398865</c:v>
                </c:pt>
                <c:pt idx="3">
                  <c:v>30.019841194152832</c:v>
                </c:pt>
                <c:pt idx="4">
                  <c:v>30.079450607299805</c:v>
                </c:pt>
                <c:pt idx="5">
                  <c:v>30.124282836914063</c:v>
                </c:pt>
                <c:pt idx="6">
                  <c:v>30.501136779785156</c:v>
                </c:pt>
                <c:pt idx="7">
                  <c:v>31.142807006835938</c:v>
                </c:pt>
                <c:pt idx="8">
                  <c:v>32.07000732421875</c:v>
                </c:pt>
                <c:pt idx="9">
                  <c:v>33.31146240234375</c:v>
                </c:pt>
                <c:pt idx="10">
                  <c:v>34.90631103515625</c:v>
                </c:pt>
                <c:pt idx="11">
                  <c:v>36.89849853515625</c:v>
                </c:pt>
                <c:pt idx="12">
                  <c:v>39.34295654296875</c:v>
                </c:pt>
                <c:pt idx="13">
                  <c:v>42.29278564453125</c:v>
                </c:pt>
                <c:pt idx="14">
                  <c:v>45.79193115234375</c:v>
                </c:pt>
                <c:pt idx="15">
                  <c:v>49.87152099609375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103654</xdr:colOff>
      <xdr:row>5</xdr:row>
      <xdr:rowOff>109743</xdr:rowOff>
    </xdr:from>
    <xdr:to>
      <xdr:col>48</xdr:col>
      <xdr:colOff>32215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2264407" y="988284"/>
          <a:ext cx="5325314" cy="2217353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30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24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24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8</xdr:col>
      <xdr:colOff>538433</xdr:colOff>
      <xdr:row>91</xdr:row>
      <xdr:rowOff>47496</xdr:rowOff>
    </xdr:from>
    <xdr:to>
      <xdr:col>18</xdr:col>
      <xdr:colOff>300441</xdr:colOff>
      <xdr:row>118</xdr:row>
      <xdr:rowOff>103230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111552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hoke_calc"/>
      <definedName name="MF_choke_calibr"/>
      <definedName name="MF_choke_calibr_fast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260 4 80 0 0,'0'0'343'0'0,"0"0"11"0"0,0 0-10 0 0,0 0 1 0 0,0 0 11 0 0,0 0 13 0 0,0 0 36 0 0,-15 10 4782 0 0,11-9-4939 0 0,0 2 1 0 0,1-1 0 0 0,0-1-1 0 0,-1 2 1 0 0,1 0 0 0 0,0-1-1 0 0,0 1 1 0 0,0-2 0 0 0,0 3-1 0 0,0-2 1 0 0,2 2-249 0 0,-23 18 881 0 0,0-1-273 0 0,0 0 0 0 0,2 1 0 0 0,-2 5-608 0 0,-20 21 252 0 0,13-12-1105 0 0,26-31 1372 0 0,-3 5-4151 0 0,7-7-955 0 0,9-9 988 0 0,-2 3 2444 0 0</inkml:trace>
  <inkml:trace contextRef="#ctx0" brushRef="#br0" timeOffset="1">460 39 116 0 0,'-8'5'514'0'0,"2"0"0"0"0,-1 0 1 0 0,1 1-1 0 0,0 0 0 0 0,-1-1 0 0 0,1 2 1 0 0,-2 4-515 0 0,3-4 350 0 0,-165 165 2748 0 0,170-172-3369 0 0,-15 16 68 0 0,14-10-5204 0 0,1-6 4460 0 0</inkml:trace>
  <inkml:trace contextRef="#ctx0" brushRef="#br0" timeOffset="2">630 68 188 0 0,'-12'19'773'0'0,"-1"-1"0"0"0,-1 0-1 0 0,-5 3-772 0 0,3-4 684 0 0,2 1 0 0 0,-1 1 0 0 0,-1 5-684 0 0,-25 25-144 0 0,39-43-155 0 0,1-2-2709 0 0,1-4 2165 0 0</inkml:trace>
  <inkml:trace contextRef="#ctx0" brushRef="#br0" timeOffset="3">861 52 188 0 0,'-3'5'375'0'0,"0"1"-1"0"0,-1-1 1 0 0,1 0 0 0 0,-1 0-1 0 0,1 0 1 0 0,-2 0 0 0 0,1 0-1 0 0,-2 0 1 0 0,0-1-1 0 0,0-1 1 0 0,1 2-375 0 0,-13 11 823 0 0,-1 1 1 0 0,0-1-1 0 0,3 4-823 0 0,1-4 561 0 0,0 0-1 0 0,-2-1 1 0 0,-10 8-561 0 0,25-21-167 0 0,-1-1 1 0 0,1 1 0 0 0,0 0-1 0 0,0 0 1 0 0,0 0 0 0 0,1 0-1 0 0,-1 1 1 0 0,1-1 0 0 0,0-1-1 0 0,0 2 1 0 0,0 0 0 0 0,0-1-1 0 0,-1 2 1 0 0,1-3 0 0 0,1 1 0 0 0,-1 0-1 0 0,1 3 167 0 0,0-5-1060 0 0,14-5-2464 0 0,-4 1 2535 0 0</inkml:trace>
  <inkml:trace contextRef="#ctx0" brushRef="#br0" timeOffset="4">1084 65 592 0 0,'-36'30'2652'0'0,"10"-9"-1656"0"0,1 0 0 0 0,1 0 0 0 0,3 2 1 0 0,-1 1-1 0 0,1-1 0 0 0,3 5-996 0 0,17-27-192 0 0,-11 19-100 0 0,8-12-1049 0 0,8-7-2062 0 0,4-6 967 0 0,-3 2 1359 0 0</inkml:trace>
  <inkml:trace contextRef="#ctx0" brushRef="#br0" timeOffset="5">1366 1 572 0 0,'-118'121'4885'0'0,"94"-98"-4182"0"0,0 1 0 0 0,3 1 0 0 0,-15 20-703 0 0,30-36-557 0 0,0-1 0 0 0,-2 1 0 0 0,1-3 0 0 0,-9 9 557 0 0,15-15-971 0 0,1 0-138 0 0,7-1-1114 0 0,0-3 1252 0 0</inkml:trace>
  <inkml:trace contextRef="#ctx0" brushRef="#br0" timeOffset="6">1462 90 168 0 0,'-58'89'6461'0'0,"19"-36"-4030"0"0,15-19-1163 0 0,-25 25-1268 0 0,32-38-1721 0 0,12-13-4629 0 0,5-8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79"/>
  <sheetViews>
    <sheetView tabSelected="1" topLeftCell="A19" zoomScale="85" zoomScaleNormal="85" workbookViewId="0">
      <selection activeCell="R42" sqref="R42"/>
    </sheetView>
  </sheetViews>
  <sheetFormatPr defaultRowHeight="13.2" x14ac:dyDescent="0.25"/>
  <cols>
    <col min="2" max="2" width="13.88671875" customWidth="1"/>
    <col min="3" max="3" width="13.44140625" customWidth="1"/>
    <col min="4" max="4" width="11.5546875" customWidth="1"/>
    <col min="5" max="5" width="12.44140625" customWidth="1"/>
    <col min="6" max="6" width="12.6640625" customWidth="1"/>
    <col min="7" max="7" width="15.6640625" customWidth="1"/>
    <col min="8" max="8" width="10.44140625" customWidth="1"/>
    <col min="9" max="9" width="14.33203125" customWidth="1"/>
    <col min="10" max="12" width="10.44140625" customWidth="1"/>
    <col min="13" max="13" width="9.6640625" customWidth="1"/>
    <col min="14" max="14" width="9.109375" customWidth="1"/>
    <col min="15" max="16" width="5.6640625" customWidth="1"/>
    <col min="17" max="17" width="9.6640625" customWidth="1"/>
    <col min="18" max="22" width="5.6640625" customWidth="1"/>
    <col min="23" max="23" width="13.5546875" customWidth="1"/>
    <col min="24" max="26" width="13.109375" customWidth="1"/>
    <col min="27" max="28" width="5.6640625" customWidth="1"/>
    <col min="29" max="29" width="14" customWidth="1"/>
    <col min="30" max="30" width="10.109375" customWidth="1"/>
    <col min="31" max="51" width="5.6640625" customWidth="1"/>
  </cols>
  <sheetData>
    <row r="1" spans="1:38" x14ac:dyDescent="0.25">
      <c r="A1" s="1" t="s">
        <v>14</v>
      </c>
      <c r="F1" t="s">
        <v>15</v>
      </c>
      <c r="G1" t="str">
        <f>[1]!unf_version()</f>
        <v>7.27с</v>
      </c>
      <c r="H1" t="s">
        <v>45</v>
      </c>
      <c r="I1" s="28">
        <v>44334</v>
      </c>
      <c r="J1" s="29"/>
      <c r="K1" s="29"/>
      <c r="L1" s="29"/>
      <c r="AL1" t="str">
        <f>"dchoke = "&amp;Plin_&amp;" mm"</f>
        <v>dchoke = 24 mm</v>
      </c>
    </row>
    <row r="2" spans="1:38" x14ac:dyDescent="0.25">
      <c r="A2" t="s">
        <v>59</v>
      </c>
      <c r="H2" t="s">
        <v>46</v>
      </c>
      <c r="I2" s="30" t="s">
        <v>72</v>
      </c>
      <c r="J2" s="29"/>
      <c r="K2" s="29"/>
      <c r="L2" s="29"/>
      <c r="AL2" t="str">
        <f>"Pbuf = "&amp;Pbuf_&amp;" atm"</f>
        <v>Pbuf = 26 atm</v>
      </c>
    </row>
    <row r="3" spans="1:38" ht="14.4" x14ac:dyDescent="0.3">
      <c r="A3" s="31" t="s">
        <v>47</v>
      </c>
      <c r="B3" s="62" t="s">
        <v>48</v>
      </c>
      <c r="C3" s="63"/>
      <c r="D3" s="63"/>
      <c r="E3" s="64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24 atm</v>
      </c>
    </row>
    <row r="4" spans="1:38" ht="14.4" x14ac:dyDescent="0.3">
      <c r="A4" s="31" t="s">
        <v>50</v>
      </c>
      <c r="B4" s="62" t="s">
        <v>51</v>
      </c>
      <c r="C4" s="63"/>
      <c r="D4" s="63"/>
      <c r="E4" s="64"/>
      <c r="H4" t="s">
        <v>52</v>
      </c>
      <c r="I4" s="29" t="s">
        <v>51</v>
      </c>
      <c r="J4" s="29"/>
      <c r="K4" s="29"/>
      <c r="L4" s="29"/>
      <c r="AL4" t="str">
        <f>"Q = "&amp;Qliq_&amp;" m3/day"</f>
        <v>Q = 30 m3/day</v>
      </c>
    </row>
    <row r="5" spans="1:38" ht="14.4" x14ac:dyDescent="0.3">
      <c r="A5" s="31" t="s">
        <v>53</v>
      </c>
      <c r="B5" s="62" t="s">
        <v>54</v>
      </c>
      <c r="C5" s="63"/>
      <c r="D5" s="63"/>
      <c r="E5" s="64"/>
      <c r="H5" t="s">
        <v>55</v>
      </c>
      <c r="I5" s="29" t="s">
        <v>54</v>
      </c>
      <c r="J5" s="29"/>
      <c r="K5" s="29"/>
      <c r="L5" s="29"/>
    </row>
    <row r="6" spans="1:38" x14ac:dyDescent="0.25">
      <c r="A6" s="32" t="s">
        <v>56</v>
      </c>
      <c r="B6" s="65" t="s">
        <v>57</v>
      </c>
      <c r="C6" s="66"/>
      <c r="D6" s="66"/>
      <c r="E6" s="67"/>
      <c r="H6" s="33" t="s">
        <v>58</v>
      </c>
      <c r="I6" s="34" t="s">
        <v>57</v>
      </c>
      <c r="J6" s="34"/>
      <c r="K6" s="34"/>
      <c r="L6" s="34"/>
    </row>
    <row r="7" spans="1:38" x14ac:dyDescent="0.25">
      <c r="A7" s="35"/>
      <c r="B7" s="68"/>
      <c r="C7" s="69"/>
      <c r="D7" s="69"/>
      <c r="E7" s="70"/>
      <c r="H7" s="33"/>
      <c r="I7" s="34"/>
      <c r="J7" s="34"/>
      <c r="K7" s="34"/>
      <c r="L7" s="34"/>
    </row>
    <row r="8" spans="1:38" x14ac:dyDescent="0.25">
      <c r="A8" s="36"/>
      <c r="B8" s="71"/>
      <c r="C8" s="72"/>
      <c r="D8" s="72"/>
      <c r="E8" s="73"/>
      <c r="H8" s="33"/>
      <c r="I8" s="34"/>
      <c r="J8" s="34"/>
      <c r="K8" s="34"/>
      <c r="L8" s="34"/>
    </row>
    <row r="10" spans="1:38" x14ac:dyDescent="0.25">
      <c r="A10" s="1" t="s">
        <v>0</v>
      </c>
    </row>
    <row r="11" spans="1:38" ht="16.8" x14ac:dyDescent="0.35">
      <c r="B11" s="8" t="s">
        <v>23</v>
      </c>
      <c r="C11" s="2">
        <v>0.86</v>
      </c>
      <c r="D11" s="41"/>
      <c r="E11" s="12">
        <f>gamma_oil_*1000</f>
        <v>860</v>
      </c>
      <c r="F11" s="14" t="s">
        <v>32</v>
      </c>
    </row>
    <row r="12" spans="1:38" ht="16.8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6.8" x14ac:dyDescent="0.35">
      <c r="B13" s="9" t="s">
        <v>25</v>
      </c>
      <c r="C13" s="2">
        <v>0.9</v>
      </c>
      <c r="D13" s="41"/>
      <c r="E13" s="12">
        <f>gamma_gas_*1.22</f>
        <v>1.0980000000000001</v>
      </c>
      <c r="F13" s="14" t="s">
        <v>32</v>
      </c>
    </row>
    <row r="14" spans="1:38" ht="16.8" x14ac:dyDescent="0.35">
      <c r="B14" s="10" t="s">
        <v>26</v>
      </c>
      <c r="C14" s="2">
        <v>200</v>
      </c>
      <c r="D14" s="9" t="s">
        <v>35</v>
      </c>
      <c r="E14" s="13">
        <f>Rsb_/gamma_oil_</f>
        <v>232.55813953488374</v>
      </c>
      <c r="F14" s="14" t="s">
        <v>33</v>
      </c>
    </row>
    <row r="15" spans="1:38" ht="16.8" x14ac:dyDescent="0.35">
      <c r="B15" s="10" t="s">
        <v>27</v>
      </c>
      <c r="C15" s="2">
        <v>250</v>
      </c>
      <c r="D15" s="9" t="s">
        <v>35</v>
      </c>
      <c r="E15" s="13">
        <f>Rsb_/gamma_oil_</f>
        <v>232.55813953488374</v>
      </c>
      <c r="F15" s="14" t="s">
        <v>33</v>
      </c>
    </row>
    <row r="16" spans="1:38" ht="15.6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5.6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5.6" x14ac:dyDescent="0.35">
      <c r="B18" s="10" t="s">
        <v>30</v>
      </c>
      <c r="C18" s="2"/>
      <c r="D18" s="40" t="s">
        <v>1</v>
      </c>
    </row>
    <row r="19" spans="1:52" ht="15.6" x14ac:dyDescent="0.35">
      <c r="B19" s="11" t="s">
        <v>31</v>
      </c>
      <c r="C19" s="2"/>
      <c r="D19" s="41" t="s">
        <v>4</v>
      </c>
    </row>
    <row r="20" spans="1:52" ht="16.8" x14ac:dyDescent="0.35">
      <c r="B20" s="9" t="s">
        <v>24</v>
      </c>
      <c r="C20" s="2">
        <v>1.2</v>
      </c>
      <c r="D20" s="41"/>
      <c r="E20" s="12">
        <f>gamma_wat_kf_*1000</f>
        <v>1200</v>
      </c>
      <c r="F20" s="14" t="s">
        <v>32</v>
      </c>
    </row>
    <row r="21" spans="1:52" x14ac:dyDescent="0.25">
      <c r="A21" s="1" t="s">
        <v>9</v>
      </c>
      <c r="C21" s="7"/>
    </row>
    <row r="22" spans="1:52" ht="29.4" x14ac:dyDescent="0.35">
      <c r="B22" s="11" t="s">
        <v>34</v>
      </c>
      <c r="C22" s="2">
        <v>0</v>
      </c>
      <c r="D22" s="41" t="s">
        <v>3</v>
      </c>
      <c r="F22" s="11" t="s">
        <v>71</v>
      </c>
      <c r="G22" s="2">
        <v>0</v>
      </c>
    </row>
    <row r="23" spans="1:52" ht="14.4" x14ac:dyDescent="0.3">
      <c r="B23" s="11" t="s">
        <v>39</v>
      </c>
      <c r="C23" s="2">
        <v>20</v>
      </c>
      <c r="D23" s="41" t="s">
        <v>2</v>
      </c>
      <c r="AZ23" s="37" t="s">
        <v>60</v>
      </c>
    </row>
    <row r="24" spans="1:52" x14ac:dyDescent="0.25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{"gamma_gas":0.9,"gamma_oil":0.86,"gamma_wat":1,"rsb_m3m3":200,"t_res_C":100}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6" x14ac:dyDescent="0.35">
      <c r="B25" s="11" t="s">
        <v>40</v>
      </c>
      <c r="C25" s="2">
        <v>70</v>
      </c>
      <c r="D25" s="41" t="s">
        <v>12</v>
      </c>
      <c r="F25" t="s">
        <v>62</v>
      </c>
      <c r="G25" s="24" t="str" cm="1">
        <f t="array" ref="G25">[1]!encode_feed(Qliq_,fw_,Rp_,qgas_free,PVTstr_)</f>
        <v>{"gamma_gas":0.9,"gamma_oil":0.86,"gamma_wat":1,"rsb_m3m3":200,"t_res_C":100,"q_liq_sm3day":30,"fw_perc":0,"rp_m3m3":250}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6" x14ac:dyDescent="0.35">
      <c r="B26" s="11" t="s">
        <v>41</v>
      </c>
      <c r="C26" s="2">
        <v>10</v>
      </c>
      <c r="D26" s="41" t="s">
        <v>12</v>
      </c>
    </row>
    <row r="27" spans="1:52" ht="15.6" x14ac:dyDescent="0.35">
      <c r="B27" s="11" t="s">
        <v>44</v>
      </c>
      <c r="C27" s="2">
        <v>30</v>
      </c>
      <c r="D27" s="41" t="s">
        <v>17</v>
      </c>
      <c r="F27" t="s">
        <v>63</v>
      </c>
      <c r="I27" t="s">
        <v>64</v>
      </c>
    </row>
    <row r="28" spans="1:52" ht="15.6" x14ac:dyDescent="0.35">
      <c r="B28" s="11" t="s">
        <v>43</v>
      </c>
      <c r="C28" s="2">
        <v>26</v>
      </c>
      <c r="D28" s="41" t="s">
        <v>18</v>
      </c>
      <c r="F28" s="23" t="s">
        <v>70</v>
      </c>
      <c r="G28" s="23">
        <v>0</v>
      </c>
      <c r="I28" s="24" t="str" cm="1">
        <f t="array" ref="I28">[1]!encode_json(F28:G31)</f>
        <v>{"show_array":0,"num_value":0,"choke_calibr_type":5,"show_log":1}</v>
      </c>
      <c r="J28" s="24"/>
      <c r="K28" s="24"/>
      <c r="L28" s="24"/>
      <c r="M28" s="24"/>
      <c r="N28" s="24"/>
    </row>
    <row r="29" spans="1:52" ht="15.6" x14ac:dyDescent="0.35">
      <c r="B29" s="38" t="s">
        <v>42</v>
      </c>
      <c r="C29" s="39">
        <v>24</v>
      </c>
      <c r="D29" s="16" t="s">
        <v>18</v>
      </c>
      <c r="F29" s="23" t="s">
        <v>69</v>
      </c>
      <c r="G29" s="23">
        <v>0</v>
      </c>
    </row>
    <row r="30" spans="1:52" ht="15.6" x14ac:dyDescent="0.35">
      <c r="B30" s="11" t="s">
        <v>61</v>
      </c>
      <c r="C30" s="2"/>
      <c r="D30" s="41" t="s">
        <v>17</v>
      </c>
      <c r="F30" s="23" t="s">
        <v>67</v>
      </c>
      <c r="G30" s="23">
        <v>5</v>
      </c>
    </row>
    <row r="31" spans="1:52" x14ac:dyDescent="0.25">
      <c r="B31" s="6"/>
      <c r="F31" s="23" t="s">
        <v>68</v>
      </c>
      <c r="G31" s="23">
        <v>1</v>
      </c>
    </row>
    <row r="32" spans="1:52" x14ac:dyDescent="0.25">
      <c r="B32" s="25" t="s">
        <v>36</v>
      </c>
      <c r="C32" s="25"/>
      <c r="D32" s="25"/>
      <c r="E32" s="25"/>
      <c r="F32" s="25"/>
    </row>
    <row r="34" spans="2:37" x14ac:dyDescent="0.25">
      <c r="B34" s="18" t="s">
        <v>19</v>
      </c>
      <c r="N34" t="s">
        <v>65</v>
      </c>
    </row>
    <row r="35" spans="2:37" x14ac:dyDescent="0.25">
      <c r="B35" s="50" cm="1">
        <f t="array" ref="B35">[1]!MF_choke_p_atma(d_choke,feed,Pbuf_,T_choke,d_pipe,calc_along_flow,,param)</f>
        <v>27.369308471679688</v>
      </c>
      <c r="C35" s="51"/>
      <c r="D35" s="51"/>
      <c r="E35" s="52"/>
      <c r="F35" s="52"/>
      <c r="G35" s="52"/>
      <c r="H35" s="52"/>
      <c r="I35" s="53"/>
      <c r="J35" s="53"/>
      <c r="K35" s="29"/>
      <c r="L35" t="s">
        <v>66</v>
      </c>
      <c r="M35" s="48"/>
      <c r="N35" s="45" t="str" cm="1">
        <f t="array" ref="N35">[1]!decode_json(K35,1)</f>
        <v>error</v>
      </c>
      <c r="X35" s="29" t="str" cm="1">
        <f t="array" ref="X35">[1]!MF_choke_calc(d_choke,feed,Pbuf_,Plin_,T_choke,d_pipe,,I28)</f>
        <v>{"p_intake_atma":26,"p_out_atma":24,"t_choke_C":20,"calibr_fr":1,"q_liq_sm3day":34.237,"q_gas_sm3day":8559.212,"q_gas_free_sm3day":0,"rp_m3m3":250,"fw_perc":0,"t_choke_throat_C":19.277,"sonic_vel_msec":164.225,"q_liq_max_sm3day":51.828}</v>
      </c>
      <c r="Y35" s="29"/>
      <c r="Z35" s="29"/>
      <c r="AA35" t="s">
        <v>66</v>
      </c>
      <c r="AC35" t="str" cm="1">
        <f t="array" ref="AC35:AD46">[1]!decode_json(X35)</f>
        <v>p_intake_atma</v>
      </c>
      <c r="AD35">
        <v>26</v>
      </c>
      <c r="AF35" t="str" cm="1">
        <f t="array" ref="AF35">[1]!decode_json(Y35)</f>
        <v>error</v>
      </c>
      <c r="AI35" t="str" cm="1">
        <f t="array" ref="AI35">[1]!decode_json(Z35)</f>
        <v>error</v>
      </c>
      <c r="AK35" t="s">
        <v>73</v>
      </c>
    </row>
    <row r="36" spans="2:37" x14ac:dyDescent="0.25">
      <c r="B36" s="51"/>
      <c r="C36" s="51"/>
      <c r="D36" s="51"/>
      <c r="E36" s="52"/>
      <c r="F36" s="56"/>
      <c r="G36" s="56"/>
      <c r="H36" s="56"/>
      <c r="I36" s="56"/>
      <c r="J36" s="56"/>
      <c r="K36" s="29"/>
      <c r="M36" s="49"/>
      <c r="X36" s="29"/>
      <c r="Y36" s="29"/>
      <c r="Z36" s="29"/>
      <c r="AC36" t="str">
        <v>p_out_atma</v>
      </c>
      <c r="AD36">
        <v>24</v>
      </c>
      <c r="AK36" t="s">
        <v>74</v>
      </c>
    </row>
    <row r="37" spans="2:37" x14ac:dyDescent="0.25">
      <c r="C37" s="46"/>
      <c r="AC37" t="str">
        <v>t_choke_C</v>
      </c>
      <c r="AD37">
        <v>20</v>
      </c>
      <c r="AK37" t="s">
        <v>75</v>
      </c>
    </row>
    <row r="38" spans="2:37" x14ac:dyDescent="0.25">
      <c r="AC38" t="str">
        <v>calibr_fr</v>
      </c>
      <c r="AD38">
        <v>1</v>
      </c>
      <c r="AK38" t="s">
        <v>76</v>
      </c>
    </row>
    <row r="39" spans="2:37" x14ac:dyDescent="0.25">
      <c r="B39" s="18" t="s">
        <v>20</v>
      </c>
      <c r="AC39" t="str">
        <v>q_liq_sm3day</v>
      </c>
      <c r="AD39">
        <v>34.237000000000002</v>
      </c>
      <c r="AK39" t="s">
        <v>77</v>
      </c>
    </row>
    <row r="40" spans="2:37" x14ac:dyDescent="0.25">
      <c r="B40" s="50" cm="1">
        <f t="array" ref="B40">[1]!MF_choke_p_atma(d_choke,feed,Plin_,T_choke,d_pipe,0,,I28)</f>
        <v>25.515380859375</v>
      </c>
      <c r="C40" s="51"/>
      <c r="D40" s="51"/>
      <c r="E40" s="52"/>
      <c r="F40" s="55"/>
      <c r="G40" s="52"/>
      <c r="H40" s="52"/>
      <c r="I40" s="53"/>
      <c r="J40" s="53"/>
      <c r="K40" s="29"/>
      <c r="L40" t="s">
        <v>66</v>
      </c>
      <c r="M40" s="48"/>
      <c r="N40" s="45" t="str" cm="1">
        <f t="array" ref="N40">[1]!decode_json(K40,1)</f>
        <v>error</v>
      </c>
      <c r="AC40" t="str">
        <v>q_gas_sm3day</v>
      </c>
      <c r="AD40">
        <v>8559.2119999999995</v>
      </c>
      <c r="AK40" t="s">
        <v>78</v>
      </c>
    </row>
    <row r="41" spans="2:37" x14ac:dyDescent="0.25">
      <c r="B41" s="51"/>
      <c r="C41" s="51"/>
      <c r="D41" s="51"/>
      <c r="E41" s="52"/>
      <c r="F41" s="56"/>
      <c r="G41" s="56"/>
      <c r="H41" s="56"/>
      <c r="I41" s="56"/>
      <c r="J41" s="56"/>
      <c r="K41" s="29"/>
      <c r="M41" s="49"/>
      <c r="AC41" t="str">
        <v>q_gas_free_sm3day</v>
      </c>
      <c r="AD41">
        <v>0</v>
      </c>
      <c r="AK41" t="s">
        <v>79</v>
      </c>
    </row>
    <row r="42" spans="2:37" x14ac:dyDescent="0.25">
      <c r="AC42" t="str">
        <v>rp_m3m3</v>
      </c>
      <c r="AD42">
        <v>250</v>
      </c>
      <c r="AK42" t="s">
        <v>80</v>
      </c>
    </row>
    <row r="43" spans="2:37" x14ac:dyDescent="0.25">
      <c r="AC43" t="str">
        <v>fw_perc</v>
      </c>
      <c r="AD43">
        <v>0</v>
      </c>
      <c r="AK43" t="s">
        <v>81</v>
      </c>
    </row>
    <row r="44" spans="2:37" x14ac:dyDescent="0.25">
      <c r="B44" t="s">
        <v>22</v>
      </c>
      <c r="AC44" t="str">
        <v>t_choke_throat_C</v>
      </c>
      <c r="AD44">
        <v>19.277000000000001</v>
      </c>
      <c r="AK44" t="s">
        <v>82</v>
      </c>
    </row>
    <row r="45" spans="2:37" x14ac:dyDescent="0.25">
      <c r="B45" s="50" cm="1">
        <f t="array" ref="B45">[1]!MF_choke_q_sm3day(feed,d_choke,Pbuf_,Plin_,T_choke,,,I28)</f>
        <v>34.236849768033551</v>
      </c>
      <c r="C45" s="51"/>
      <c r="D45" s="51"/>
      <c r="E45" s="52"/>
      <c r="F45" s="52"/>
      <c r="G45" s="52"/>
      <c r="H45" s="52"/>
      <c r="I45" s="53"/>
      <c r="J45" s="53"/>
      <c r="K45" s="29"/>
      <c r="L45" t="s">
        <v>66</v>
      </c>
      <c r="M45" s="48"/>
      <c r="N45" s="45" t="str" cm="1">
        <f t="array" ref="N45">[1]!decode_json(K45,1)</f>
        <v>error</v>
      </c>
      <c r="AC45" t="str">
        <v>sonic_vel_msec</v>
      </c>
      <c r="AD45">
        <v>164.22499999999999</v>
      </c>
      <c r="AK45" t="s">
        <v>83</v>
      </c>
    </row>
    <row r="46" spans="2:37" x14ac:dyDescent="0.25">
      <c r="B46" s="51"/>
      <c r="C46" s="51"/>
      <c r="D46" s="51"/>
      <c r="E46" s="52"/>
      <c r="F46" s="54"/>
      <c r="G46" s="54"/>
      <c r="H46" s="54"/>
      <c r="I46" s="54"/>
      <c r="J46" s="54"/>
      <c r="K46" s="29"/>
      <c r="M46" s="49"/>
      <c r="N46" s="49"/>
      <c r="AC46" t="str">
        <v>q_liq_max_sm3day</v>
      </c>
      <c r="AD46">
        <v>51.828000000000003</v>
      </c>
      <c r="AK46" t="s">
        <v>84</v>
      </c>
    </row>
    <row r="49" spans="2:35" x14ac:dyDescent="0.25">
      <c r="B49" t="s">
        <v>21</v>
      </c>
    </row>
    <row r="50" spans="2:35" x14ac:dyDescent="0.25">
      <c r="B50" s="29" t="str" cm="1">
        <f t="array" ref="B50">[1]!MF_choke_calibr_fast(feed,d_choke,Pbuf_,Plin_,d_pipe,T_choke,I28)</f>
        <v>0,87624884308166</v>
      </c>
      <c r="C50" s="29"/>
      <c r="D50" s="29"/>
      <c r="E50" s="29"/>
      <c r="F50" s="58"/>
      <c r="G50" s="29"/>
      <c r="H50" t="s">
        <v>66</v>
      </c>
      <c r="N50" s="45" t="str" cm="1">
        <f t="array" ref="N50">[1]!decode_json(G50,1)</f>
        <v>error</v>
      </c>
      <c r="X50" s="47" t="str" cm="1">
        <f t="array" ref="X50">[1]!MF_choke_calibr(feed,d_choke,Pbuf_,Plin_,G30,d_pipe,T_choke,I28)</f>
        <v>{"x_solution":1425.78125,"y_solution":-0.0008544921875,"cal_type":"qgas_free","iterations":9,"description":"solve_equation_bisection: done by  9 iterations, tolerance 0,001"}</v>
      </c>
      <c r="Y50" s="43"/>
      <c r="Z50" s="43"/>
      <c r="AA50" s="44"/>
      <c r="AB50" t="s">
        <v>66</v>
      </c>
      <c r="AC50" t="str" cm="1">
        <f t="array" ref="AC50:AD54">[1]!decode_json(X50)</f>
        <v>x_solution</v>
      </c>
      <c r="AD50">
        <v>1425.78125</v>
      </c>
      <c r="AF50" t="str" cm="1">
        <f t="array" ref="AF50">[1]!decode_json(Y50)</f>
        <v>error</v>
      </c>
      <c r="AI50" t="str" cm="1">
        <f t="array" ref="AI50">[1]!decode_json(Z50)</f>
        <v>error</v>
      </c>
    </row>
    <row r="51" spans="2:35" x14ac:dyDescent="0.25">
      <c r="B51" s="29"/>
      <c r="C51" s="29"/>
      <c r="D51" s="29"/>
      <c r="E51" s="29"/>
      <c r="F51" s="59"/>
      <c r="G51" s="29"/>
      <c r="X51" s="44"/>
      <c r="Y51" s="44"/>
      <c r="Z51" s="44"/>
      <c r="AA51" s="44"/>
      <c r="AC51" t="str">
        <v>y_solution</v>
      </c>
      <c r="AD51">
        <v>-8.544921875E-4</v>
      </c>
    </row>
    <row r="52" spans="2:35" x14ac:dyDescent="0.25">
      <c r="AC52" t="str">
        <v>cal_type</v>
      </c>
      <c r="AD52" t="str">
        <v>qgas_free</v>
      </c>
    </row>
    <row r="53" spans="2:35" x14ac:dyDescent="0.25">
      <c r="AC53" t="str">
        <v>iterations</v>
      </c>
      <c r="AD53">
        <v>9</v>
      </c>
    </row>
    <row r="54" spans="2:35" x14ac:dyDescent="0.25">
      <c r="AC54" t="str">
        <v>description</v>
      </c>
      <c r="AD54" t="str">
        <v>solve_equation_bisection: done by  9 iterations, tolerance 0,001</v>
      </c>
    </row>
    <row r="58" spans="2:35" x14ac:dyDescent="0.25">
      <c r="C58" s="57">
        <f>C62</f>
        <v>1</v>
      </c>
    </row>
    <row r="59" spans="2:35" x14ac:dyDescent="0.25">
      <c r="C59" t="s">
        <v>10</v>
      </c>
    </row>
    <row r="60" spans="2:35" x14ac:dyDescent="0.25">
      <c r="C60" s="61" t="s">
        <v>8</v>
      </c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</row>
    <row r="61" spans="2:35" x14ac:dyDescent="0.25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</row>
    <row r="62" spans="2:35" x14ac:dyDescent="0.25">
      <c r="B62" s="26">
        <v>1</v>
      </c>
      <c r="C62" s="27" cm="1">
        <f t="array" ref="C62">[1]!MF_choke_p_atma(d_choke,[1]!encode_feed(C$61,,,,feed),$B62,T_choke,d_pipe,0)</f>
        <v>1</v>
      </c>
      <c r="D62" s="27" cm="1">
        <f t="array" ref="D62">[1]!MF_choke_p_atma(d_choke,[1]!encode_feed(D$61,,,,feed),$B62,T_choke,d_pipe,0)</f>
        <v>1.0453033447265625</v>
      </c>
      <c r="E62" s="27" cm="1">
        <f t="array" ref="E62">[1]!MF_choke_p_atma(d_choke,[1]!encode_feed(E$61,,,,feed),$B62,T_choke,d_pipe,0)</f>
        <v>1.208251953125</v>
      </c>
      <c r="F62" s="27" cm="1">
        <f t="array" ref="F62">[1]!MF_choke_p_atma(d_choke,[1]!encode_feed(F$61,,,,feed),$B62,T_choke,d_pipe,0)</f>
        <v>2.156005859375</v>
      </c>
      <c r="G62" s="27" cm="1">
        <f t="array" ref="G62">[1]!MF_choke_p_atma(d_choke,[1]!encode_feed(G$61,,,,feed),$B62,T_choke,d_pipe,0)</f>
        <v>4.2900390625</v>
      </c>
      <c r="H62" s="27" cm="1">
        <f t="array" ref="H62">[1]!MF_choke_p_atma(d_choke,[1]!encode_feed(H$61,,,,feed),$B62,T_choke,d_pipe,0)</f>
        <v>5.34814453125</v>
      </c>
      <c r="I62" s="27" cm="1">
        <f t="array" ref="I62">[1]!MF_choke_p_atma(d_choke,[1]!encode_feed(I$61,,,,feed),$B62,T_choke,d_pipe,0)</f>
        <v>10.5458984375</v>
      </c>
      <c r="J62" s="27" cm="1">
        <f t="array" ref="J62">[1]!MF_choke_p_atma(d_choke,[1]!encode_feed(J$61,,,,feed),$B62,T_choke,d_pipe,0)</f>
        <v>15.5830078125</v>
      </c>
      <c r="K62" s="27" cm="1">
        <f t="array" ref="K62">[1]!MF_choke_p_atma(d_choke,[1]!encode_feed(K$61,,,,feed),$B62,T_choke,d_pipe,0)</f>
        <v>20.4541015625</v>
      </c>
      <c r="L62" s="27" cm="1">
        <f t="array" ref="L62">[1]!MF_choke_p_atma(d_choke,[1]!encode_feed(L$61,,,,feed),$B62,T_choke,d_pipe,0)</f>
        <v>25.1572265625</v>
      </c>
      <c r="M62" s="27" cm="1">
        <f t="array" ref="M62">[1]!MF_choke_p_atma(d_choke,[1]!encode_feed(M$61,,,,feed),$B62,T_choke,d_pipe,0)</f>
        <v>29.6962890625</v>
      </c>
      <c r="N62" s="27" cm="1">
        <f t="array" ref="N62">[1]!MF_choke_p_atma(d_choke,[1]!encode_feed(N$61,,,,feed),$B62,T_choke,d_pipe,0)</f>
        <v>34.0732421875</v>
      </c>
      <c r="O62" s="27" cm="1">
        <f t="array" ref="O62">[1]!MF_choke_p_atma(d_choke,[1]!encode_feed(O$61,,,,feed),$B62,T_choke,d_pipe,0)</f>
        <v>38.2958984375</v>
      </c>
      <c r="P62" s="27" cm="1">
        <f t="array" ref="P62">[1]!MF_choke_p_atma(d_choke,[1]!encode_feed(P$61,,,,feed),$B62,T_choke,d_pipe,0)</f>
        <v>42.3720703125</v>
      </c>
      <c r="Q62" s="27" cm="1">
        <f t="array" ref="Q62">[1]!MF_choke_p_atma(d_choke,[1]!encode_feed(Q$61,,,,feed),$B62,T_choke,d_pipe,0)</f>
        <v>46.3115234375</v>
      </c>
      <c r="R62" s="27" cm="1">
        <f t="array" ref="R62">[1]!MF_choke_p_atma(d_choke,[1]!encode_feed(R$61,,,,feed),$B62,T_choke,d_pipe,0)</f>
        <v>50.1259765625</v>
      </c>
      <c r="S62" s="27" cm="1">
        <f t="array" ref="S62">[1]!MF_choke_p_atma(d_choke,[1]!encode_feed(S$61,,,,feed),$B62,T_choke,d_pipe,0)</f>
        <v>53.8251953125</v>
      </c>
      <c r="T62" s="27" cm="1">
        <f t="array" ref="T62">[1]!MF_choke_p_atma(d_choke,[1]!encode_feed(T$61,,,,feed),$B62,T_choke,d_pipe,0)</f>
        <v>57.4208984375</v>
      </c>
      <c r="U62" s="27" cm="1">
        <f t="array" ref="U62">[1]!MF_choke_p_atma(d_choke,[1]!encode_feed(U$61,,,,feed),$B62,T_choke,d_pipe,0)</f>
        <v>60.9228515625</v>
      </c>
      <c r="V62" s="27" cm="1">
        <f t="array" ref="V62">[1]!MF_choke_p_atma(d_choke,[1]!encode_feed(V$61,,,,feed),$B62,T_choke,d_pipe,0)</f>
        <v>64.3427734375</v>
      </c>
      <c r="W62" s="27" cm="1">
        <f t="array" ref="W62">[1]!MF_choke_p_atma(d_choke,[1]!encode_feed(W$61,,,,feed),$B62,T_choke,d_pipe,0)</f>
        <v>67.6884765625</v>
      </c>
      <c r="X62" s="27" cm="1">
        <f t="array" ref="X62">[1]!MF_choke_p_atma(d_choke,[1]!encode_feed(X$61,,,,feed),$B62,T_choke,d_pipe,0)</f>
        <v>70.9677734375</v>
      </c>
      <c r="Y62" s="27" cm="1">
        <f t="array" ref="Y62">[1]!MF_choke_p_atma(d_choke,[1]!encode_feed(Y$61,,,,feed),$B62,T_choke,d_pipe,0)</f>
        <v>74.1923828125</v>
      </c>
      <c r="Z62" s="27" cm="1">
        <f t="array" ref="Z62">[1]!MF_choke_p_atma(d_choke,[1]!encode_feed(Z$61,,,,feed),$B62,T_choke,d_pipe,0)</f>
        <v>77.3662109375</v>
      </c>
      <c r="AA62" s="27" cm="1">
        <f t="array" ref="AA62">[1]!MF_choke_p_atma(d_choke,[1]!encode_feed(AA$61,,,,feed),$B62,T_choke,d_pipe,0)</f>
        <v>80.4970703125</v>
      </c>
      <c r="AB62" s="27" cm="1">
        <f t="array" ref="AB62">[1]!MF_choke_p_atma(d_choke,[1]!encode_feed(AB$61,,,,feed),$B62,T_choke,d_pipe,0)</f>
        <v>83.5908203125</v>
      </c>
      <c r="AC62" s="27" cm="1">
        <f t="array" ref="AC62">[1]!MF_choke_p_atma(d_choke,[1]!encode_feed(AC$61,,,,feed),$B62,T_choke,d_pipe,0)</f>
        <v>86.6533203125</v>
      </c>
      <c r="AD62" s="27" cm="1">
        <f t="array" ref="AD62">[1]!MF_choke_p_atma(d_choke,[1]!encode_feed(AD$61,,,,feed),$B62,T_choke,d_pipe,0)</f>
        <v>89.6884765625</v>
      </c>
    </row>
    <row r="63" spans="2:35" x14ac:dyDescent="0.25">
      <c r="B63" s="26">
        <v>5</v>
      </c>
      <c r="C63" s="27" cm="1">
        <f t="array" ref="C63">[1]!MF_choke_p_atma(d_choke,[1]!encode_feed(C$61,,,,feed),$B63,T_choke,d_pipe,0)</f>
        <v>5</v>
      </c>
      <c r="D63" s="27" cm="1">
        <f t="array" ref="D63">[1]!MF_choke_p_atma(d_choke,[1]!encode_feed(D$61,,,,feed),$B63,T_choke,d_pipe,0)</f>
        <v>5.0085616111755371</v>
      </c>
      <c r="E63" s="27" cm="1">
        <f t="array" ref="E63">[1]!MF_choke_p_atma(d_choke,[1]!encode_feed(E$61,,,,feed),$B63,T_choke,d_pipe,0)</f>
        <v>5.0344085693359375</v>
      </c>
      <c r="F63" s="27" cm="1">
        <f t="array" ref="F63">[1]!MF_choke_p_atma(d_choke,[1]!encode_feed(F$61,,,,feed),$B63,T_choke,d_pipe,0)</f>
        <v>5.1403427124023438</v>
      </c>
      <c r="G63" s="27" cm="1">
        <f t="array" ref="G63">[1]!MF_choke_p_atma(d_choke,[1]!encode_feed(G$61,,,,feed),$B63,T_choke,d_pipe,0)</f>
        <v>5.60882568359375</v>
      </c>
      <c r="H63" s="27" cm="1">
        <f t="array" ref="H63">[1]!MF_choke_p_atma(d_choke,[1]!encode_feed(H$61,,,,feed),$B63,T_choke,d_pipe,0)</f>
        <v>6.014251708984375</v>
      </c>
      <c r="I63" s="27" cm="1">
        <f t="array" ref="I63">[1]!MF_choke_p_atma(d_choke,[1]!encode_feed(I$61,,,,feed),$B63,T_choke,d_pipe,0)</f>
        <v>10.5450439453125</v>
      </c>
      <c r="J63" s="27" cm="1">
        <f t="array" ref="J63">[1]!MF_choke_p_atma(d_choke,[1]!encode_feed(J$61,,,,feed),$B63,T_choke,d_pipe,0)</f>
        <v>15.5828857421875</v>
      </c>
      <c r="K63" s="27" cm="1">
        <f t="array" ref="K63">[1]!MF_choke_p_atma(d_choke,[1]!encode_feed(K$61,,,,feed),$B63,T_choke,d_pipe,0)</f>
        <v>20.4534912109375</v>
      </c>
      <c r="L63" s="27" cm="1">
        <f t="array" ref="L63">[1]!MF_choke_p_atma(d_choke,[1]!encode_feed(L$61,,,,feed),$B63,T_choke,d_pipe,0)</f>
        <v>25.1580810546875</v>
      </c>
      <c r="M63" s="27" cm="1">
        <f t="array" ref="M63">[1]!MF_choke_p_atma(d_choke,[1]!encode_feed(M$61,,,,feed),$B63,T_choke,d_pipe,0)</f>
        <v>29.6966552734375</v>
      </c>
      <c r="N63" s="27" cm="1">
        <f t="array" ref="N63">[1]!MF_choke_p_atma(d_choke,[1]!encode_feed(N$61,,,,feed),$B63,T_choke,d_pipe,0)</f>
        <v>34.0740966796875</v>
      </c>
      <c r="O63" s="27" cm="1">
        <f t="array" ref="O63">[1]!MF_choke_p_atma(d_choke,[1]!encode_feed(O$61,,,,feed),$B63,T_choke,d_pipe,0)</f>
        <v>38.2965087890625</v>
      </c>
      <c r="P63" s="27" cm="1">
        <f t="array" ref="P63">[1]!MF_choke_p_atma(d_choke,[1]!encode_feed(P$61,,,,feed),$B63,T_choke,d_pipe,0)</f>
        <v>42.3724365234375</v>
      </c>
      <c r="Q63" s="27" cm="1">
        <f t="array" ref="Q63">[1]!MF_choke_p_atma(d_choke,[1]!encode_feed(Q$61,,,,feed),$B63,T_choke,d_pipe,0)</f>
        <v>46.3116455078125</v>
      </c>
      <c r="R63" s="27" cm="1">
        <f t="array" ref="R63">[1]!MF_choke_p_atma(d_choke,[1]!encode_feed(R$61,,,,feed),$B63,T_choke,d_pipe,0)</f>
        <v>50.1263427734375</v>
      </c>
      <c r="S63" s="27" cm="1">
        <f t="array" ref="S63">[1]!MF_choke_p_atma(d_choke,[1]!encode_feed(S$61,,,,feed),$B63,T_choke,d_pipe,0)</f>
        <v>53.8250732421875</v>
      </c>
      <c r="T63" s="27" cm="1">
        <f t="array" ref="T63">[1]!MF_choke_p_atma(d_choke,[1]!encode_feed(T$61,,,,feed),$B63,T_choke,d_pipe,0)</f>
        <v>57.4212646484375</v>
      </c>
      <c r="U63" s="27" cm="1">
        <f t="array" ref="U63">[1]!MF_choke_p_atma(d_choke,[1]!encode_feed(U$61,,,,feed),$B63,T_choke,d_pipe,0)</f>
        <v>60.9234619140625</v>
      </c>
      <c r="V63" s="27" cm="1">
        <f t="array" ref="V63">[1]!MF_choke_p_atma(d_choke,[1]!encode_feed(V$61,,,,feed),$B63,T_choke,d_pipe,0)</f>
        <v>64.3426513671875</v>
      </c>
      <c r="W63" s="27" cm="1">
        <f t="array" ref="W63">[1]!MF_choke_p_atma(d_choke,[1]!encode_feed(W$61,,,,feed),$B63,T_choke,d_pipe,0)</f>
        <v>67.6873779296875</v>
      </c>
      <c r="X63" s="27" cm="1">
        <f t="array" ref="X63">[1]!MF_choke_p_atma(d_choke,[1]!encode_feed(X$61,,,,feed),$B63,T_choke,d_pipe,0)</f>
        <v>70.9686279296875</v>
      </c>
      <c r="Y63" s="27" cm="1">
        <f t="array" ref="Y63">[1]!MF_choke_p_atma(d_choke,[1]!encode_feed(Y$61,,,,feed),$B63,T_choke,d_pipe,0)</f>
        <v>74.1925048828125</v>
      </c>
      <c r="Z63" s="27" cm="1">
        <f t="array" ref="Z63">[1]!MF_choke_p_atma(d_choke,[1]!encode_feed(Z$61,,,,feed),$B63,T_choke,d_pipe,0)</f>
        <v>77.3663330078125</v>
      </c>
      <c r="AA63" s="27" cm="1">
        <f t="array" ref="AA63">[1]!MF_choke_p_atma(d_choke,[1]!encode_feed(AA$61,,,,feed),$B63,T_choke,d_pipe,0)</f>
        <v>80.4962158203125</v>
      </c>
      <c r="AB63" s="27" cm="1">
        <f t="array" ref="AB63">[1]!MF_choke_p_atma(d_choke,[1]!encode_feed(AB$61,,,,feed),$B63,T_choke,d_pipe,0)</f>
        <v>83.5906982421875</v>
      </c>
      <c r="AC63" s="27" cm="1">
        <f t="array" ref="AC63">[1]!MF_choke_p_atma(d_choke,[1]!encode_feed(AC$61,,,,feed),$B63,T_choke,d_pipe,0)</f>
        <v>86.6534423828125</v>
      </c>
      <c r="AD63" s="27" cm="1">
        <f t="array" ref="AD63">[1]!MF_choke_p_atma(d_choke,[1]!encode_feed(AD$61,,,,feed),$B63,T_choke,d_pipe,0)</f>
        <v>89.6881103515625</v>
      </c>
    </row>
    <row r="64" spans="2:35" x14ac:dyDescent="0.25">
      <c r="B64" s="26">
        <v>10</v>
      </c>
      <c r="C64" s="27" cm="1">
        <f t="array" ref="C64">[1]!MF_choke_p_atma(d_choke,[1]!encode_feed(C$61,,,,feed),$B64,T_choke,d_pipe,0)</f>
        <v>10</v>
      </c>
      <c r="D64" s="27" cm="1">
        <f t="array" ref="D64">[1]!MF_choke_p_atma(d_choke,[1]!encode_feed(D$61,,,,feed),$B64,T_choke,d_pipe,0)</f>
        <v>10.004180669784546</v>
      </c>
      <c r="E64" s="27" cm="1">
        <f t="array" ref="E64">[1]!MF_choke_p_atma(d_choke,[1]!encode_feed(E$61,,,,feed),$B64,T_choke,d_pipe,0)</f>
        <v>10.016741752624512</v>
      </c>
      <c r="F64" s="27" cm="1">
        <f t="array" ref="F64">[1]!MF_choke_p_atma(d_choke,[1]!encode_feed(F$61,,,,feed),$B64,T_choke,d_pipe,0)</f>
        <v>10.067253112792969</v>
      </c>
      <c r="G64" s="27" cm="1">
        <f t="array" ref="G64">[1]!MF_choke_p_atma(d_choke,[1]!encode_feed(G$61,,,,feed),$B64,T_choke,d_pipe,0)</f>
        <v>10.273971557617188</v>
      </c>
      <c r="H64" s="27" cm="1">
        <f t="array" ref="H64">[1]!MF_choke_p_atma(d_choke,[1]!encode_feed(H$61,,,,feed),$B64,T_choke,d_pipe,0)</f>
        <v>10.4339599609375</v>
      </c>
      <c r="I64" s="27" cm="1">
        <f t="array" ref="I64">[1]!MF_choke_p_atma(d_choke,[1]!encode_feed(I$61,,,,feed),$B64,T_choke,d_pipe,0)</f>
        <v>11.9549560546875</v>
      </c>
      <c r="J64" s="27" cm="1">
        <f t="array" ref="J64">[1]!MF_choke_p_atma(d_choke,[1]!encode_feed(J$61,,,,feed),$B64,T_choke,d_pipe,0)</f>
        <v>15.4571533203125</v>
      </c>
      <c r="K64" s="27" cm="1">
        <f t="array" ref="K64">[1]!MF_choke_p_atma(d_choke,[1]!encode_feed(K$61,,,,feed),$B64,T_choke,d_pipe,0)</f>
        <v>20.4534912109375</v>
      </c>
      <c r="L64" s="27" cm="1">
        <f t="array" ref="L64">[1]!MF_choke_p_atma(d_choke,[1]!encode_feed(L$61,,,,feed),$B64,T_choke,d_pipe,0)</f>
        <v>25.1580810546875</v>
      </c>
      <c r="M64" s="27" cm="1">
        <f t="array" ref="M64">[1]!MF_choke_p_atma(d_choke,[1]!encode_feed(M$61,,,,feed),$B64,T_choke,d_pipe,0)</f>
        <v>29.6966552734375</v>
      </c>
      <c r="N64" s="27" cm="1">
        <f t="array" ref="N64">[1]!MF_choke_p_atma(d_choke,[1]!encode_feed(N$61,,,,feed),$B64,T_choke,d_pipe,0)</f>
        <v>34.0740966796875</v>
      </c>
      <c r="O64" s="27" cm="1">
        <f t="array" ref="O64">[1]!MF_choke_p_atma(d_choke,[1]!encode_feed(O$61,,,,feed),$B64,T_choke,d_pipe,0)</f>
        <v>38.2965087890625</v>
      </c>
      <c r="P64" s="27" cm="1">
        <f t="array" ref="P64">[1]!MF_choke_p_atma(d_choke,[1]!encode_feed(P$61,,,,feed),$B64,T_choke,d_pipe,0)</f>
        <v>42.3724365234375</v>
      </c>
      <c r="Q64" s="27" cm="1">
        <f t="array" ref="Q64">[1]!MF_choke_p_atma(d_choke,[1]!encode_feed(Q$61,,,,feed),$B64,T_choke,d_pipe,0)</f>
        <v>46.3116455078125</v>
      </c>
      <c r="R64" s="27" cm="1">
        <f t="array" ref="R64">[1]!MF_choke_p_atma(d_choke,[1]!encode_feed(R$61,,,,feed),$B64,T_choke,d_pipe,0)</f>
        <v>50.1263427734375</v>
      </c>
      <c r="S64" s="27" cm="1">
        <f t="array" ref="S64">[1]!MF_choke_p_atma(d_choke,[1]!encode_feed(S$61,,,,feed),$B64,T_choke,d_pipe,0)</f>
        <v>53.8250732421875</v>
      </c>
      <c r="T64" s="27" cm="1">
        <f t="array" ref="T64">[1]!MF_choke_p_atma(d_choke,[1]!encode_feed(T$61,,,,feed),$B64,T_choke,d_pipe,0)</f>
        <v>57.4212646484375</v>
      </c>
      <c r="U64" s="27" cm="1">
        <f t="array" ref="U64">[1]!MF_choke_p_atma(d_choke,[1]!encode_feed(U$61,,,,feed),$B64,T_choke,d_pipe,0)</f>
        <v>60.9234619140625</v>
      </c>
      <c r="V64" s="27" cm="1">
        <f t="array" ref="V64">[1]!MF_choke_p_atma(d_choke,[1]!encode_feed(V$61,,,,feed),$B64,T_choke,d_pipe,0)</f>
        <v>64.3426513671875</v>
      </c>
      <c r="W64" s="27" cm="1">
        <f t="array" ref="W64">[1]!MF_choke_p_atma(d_choke,[1]!encode_feed(W$61,,,,feed),$B64,T_choke,d_pipe,0)</f>
        <v>67.6873779296875</v>
      </c>
      <c r="X64" s="27" cm="1">
        <f t="array" ref="X64">[1]!MF_choke_p_atma(d_choke,[1]!encode_feed(X$61,,,,feed),$B64,T_choke,d_pipe,0)</f>
        <v>70.9686279296875</v>
      </c>
      <c r="Y64" s="27" cm="1">
        <f t="array" ref="Y64">[1]!MF_choke_p_atma(d_choke,[1]!encode_feed(Y$61,,,,feed),$B64,T_choke,d_pipe,0)</f>
        <v>74.1925048828125</v>
      </c>
      <c r="Z64" s="27" cm="1">
        <f t="array" ref="Z64">[1]!MF_choke_p_atma(d_choke,[1]!encode_feed(Z$61,,,,feed),$B64,T_choke,d_pipe,0)</f>
        <v>77.3663330078125</v>
      </c>
      <c r="AA64" s="27" cm="1">
        <f t="array" ref="AA64">[1]!MF_choke_p_atma(d_choke,[1]!encode_feed(AA$61,,,,feed),$B64,T_choke,d_pipe,0)</f>
        <v>80.4962158203125</v>
      </c>
      <c r="AB64" s="27" cm="1">
        <f t="array" ref="AB64">[1]!MF_choke_p_atma(d_choke,[1]!encode_feed(AB$61,,,,feed),$B64,T_choke,d_pipe,0)</f>
        <v>83.5906982421875</v>
      </c>
      <c r="AC64" s="27" cm="1">
        <f t="array" ref="AC64">[1]!MF_choke_p_atma(d_choke,[1]!encode_feed(AC$61,,,,feed),$B64,T_choke,d_pipe,0)</f>
        <v>86.6534423828125</v>
      </c>
      <c r="AD64" s="27" cm="1">
        <f t="array" ref="AD64">[1]!MF_choke_p_atma(d_choke,[1]!encode_feed(AD$61,,,,feed),$B64,T_choke,d_pipe,0)</f>
        <v>89.6881103515625</v>
      </c>
    </row>
    <row r="65" spans="2:38" x14ac:dyDescent="0.25">
      <c r="B65" s="26">
        <v>15</v>
      </c>
      <c r="C65" s="27" cm="1">
        <f t="array" ref="C65">[1]!MF_choke_p_atma(d_choke,[1]!encode_feed(C$61,,,,feed),$B65,T_choke,d_pipe,0)</f>
        <v>15</v>
      </c>
      <c r="D65" s="27" cm="1">
        <f t="array" ref="D65">[1]!MF_choke_p_atma(d_choke,[1]!encode_feed(D$61,,,,feed),$B65,T_choke,d_pipe,0)</f>
        <v>15.002716183662415</v>
      </c>
      <c r="E65" s="27" cm="1">
        <f t="array" ref="E65">[1]!MF_choke_p_atma(d_choke,[1]!encode_feed(E$61,,,,feed),$B65,T_choke,d_pipe,0)</f>
        <v>15.010871887207031</v>
      </c>
      <c r="F65" s="27" cm="1">
        <f t="array" ref="F65">[1]!MF_choke_p_atma(d_choke,[1]!encode_feed(F$61,,,,feed),$B65,T_choke,d_pipe,0)</f>
        <v>15.043559074401855</v>
      </c>
      <c r="G65" s="27" cm="1">
        <f t="array" ref="G65">[1]!MF_choke_p_atma(d_choke,[1]!encode_feed(G$61,,,,feed),$B65,T_choke,d_pipe,0)</f>
        <v>15.175552368164063</v>
      </c>
      <c r="H65" s="27" cm="1">
        <f t="array" ref="H65">[1]!MF_choke_p_atma(d_choke,[1]!encode_feed(H$61,,,,feed),$B65,T_choke,d_pipe,0)</f>
        <v>15.275802612304688</v>
      </c>
      <c r="I65" s="27" cm="1">
        <f t="array" ref="I65">[1]!MF_choke_p_atma(d_choke,[1]!encode_feed(I$61,,,,feed),$B65,T_choke,d_pipe,0)</f>
        <v>16.155624389648438</v>
      </c>
      <c r="J65" s="27" cm="1">
        <f t="array" ref="J65">[1]!MF_choke_p_atma(d_choke,[1]!encode_feed(J$61,,,,feed),$B65,T_choke,d_pipe,0)</f>
        <v>17.81524658203125</v>
      </c>
      <c r="K65" s="27" cm="1">
        <f t="array" ref="K65">[1]!MF_choke_p_atma(d_choke,[1]!encode_feed(K$61,,,,feed),$B65,T_choke,d_pipe,0)</f>
        <v>20.61309814453125</v>
      </c>
      <c r="L65" s="27" cm="1">
        <f t="array" ref="L65">[1]!MF_choke_p_atma(d_choke,[1]!encode_feed(L$61,,,,feed),$B65,T_choke,d_pipe,0)</f>
        <v>25.15777587890625</v>
      </c>
      <c r="M65" s="27" cm="1">
        <f t="array" ref="M65">[1]!MF_choke_p_atma(d_choke,[1]!encode_feed(M$61,,,,feed),$B65,T_choke,d_pipe,0)</f>
        <v>29.69696044921875</v>
      </c>
      <c r="N65" s="27" cm="1">
        <f t="array" ref="N65">[1]!MF_choke_p_atma(d_choke,[1]!encode_feed(N$61,,,,feed),$B65,T_choke,d_pipe,0)</f>
        <v>34.07318115234375</v>
      </c>
      <c r="O65" s="27" cm="1">
        <f t="array" ref="O65">[1]!MF_choke_p_atma(d_choke,[1]!encode_feed(O$61,,,,feed),$B65,T_choke,d_pipe,0)</f>
        <v>38.29559326171875</v>
      </c>
      <c r="P65" s="27" cm="1">
        <f t="array" ref="P65">[1]!MF_choke_p_atma(d_choke,[1]!encode_feed(P$61,,,,feed),$B65,T_choke,d_pipe,0)</f>
        <v>42.37152099609375</v>
      </c>
      <c r="Q65" s="27" cm="1">
        <f t="array" ref="Q65">[1]!MF_choke_p_atma(d_choke,[1]!encode_feed(Q$61,,,,feed),$B65,T_choke,d_pipe,0)</f>
        <v>46.31195068359375</v>
      </c>
      <c r="R65" s="27" cm="1">
        <f t="array" ref="R65">[1]!MF_choke_p_atma(d_choke,[1]!encode_feed(R$61,,,,feed),$B65,T_choke,d_pipe,0)</f>
        <v>50.12603759765625</v>
      </c>
      <c r="S65" s="27" cm="1">
        <f t="array" ref="S65">[1]!MF_choke_p_atma(d_choke,[1]!encode_feed(S$61,,,,feed),$B65,T_choke,d_pipe,0)</f>
        <v>53.82476806640625</v>
      </c>
      <c r="T65" s="27" cm="1">
        <f t="array" ref="T65">[1]!MF_choke_p_atma(d_choke,[1]!encode_feed(T$61,,,,feed),$B65,T_choke,d_pipe,0)</f>
        <v>57.42095947265625</v>
      </c>
      <c r="U65" s="27" cm="1">
        <f t="array" ref="U65">[1]!MF_choke_p_atma(d_choke,[1]!encode_feed(U$61,,,,feed),$B65,T_choke,d_pipe,0)</f>
        <v>60.92376708984375</v>
      </c>
      <c r="V65" s="27" cm="1">
        <f t="array" ref="V65">[1]!MF_choke_p_atma(d_choke,[1]!encode_feed(V$61,,,,feed),$B65,T_choke,d_pipe,0)</f>
        <v>64.34234619140625</v>
      </c>
      <c r="W65" s="27" cm="1">
        <f t="array" ref="W65">[1]!MF_choke_p_atma(d_choke,[1]!encode_feed(W$61,,,,feed),$B65,T_choke,d_pipe,0)</f>
        <v>67.68768310546875</v>
      </c>
      <c r="X65" s="27" cm="1">
        <f t="array" ref="X65">[1]!MF_choke_p_atma(d_choke,[1]!encode_feed(X$61,,,,feed),$B65,T_choke,d_pipe,0)</f>
        <v>70.96893310546875</v>
      </c>
      <c r="Y65" s="27" cm="1">
        <f t="array" ref="Y65">[1]!MF_choke_p_atma(d_choke,[1]!encode_feed(Y$61,,,,feed),$B65,T_choke,d_pipe,0)</f>
        <v>74.19158935546875</v>
      </c>
      <c r="Z65" s="27" cm="1">
        <f t="array" ref="Z65">[1]!MF_choke_p_atma(d_choke,[1]!encode_feed(Z$61,,,,feed),$B65,T_choke,d_pipe,0)</f>
        <v>77.36663818359375</v>
      </c>
      <c r="AA65" s="27" cm="1">
        <f t="array" ref="AA65">[1]!MF_choke_p_atma(d_choke,[1]!encode_feed(AA$61,,,,feed),$B65,T_choke,d_pipe,0)</f>
        <v>80.49591064453125</v>
      </c>
      <c r="AB65" s="27" cm="1">
        <f t="array" ref="AB65">[1]!MF_choke_p_atma(d_choke,[1]!encode_feed(AB$61,,,,feed),$B65,T_choke,d_pipe,0)</f>
        <v>83.59039306640625</v>
      </c>
      <c r="AC65" s="27" cm="1">
        <f t="array" ref="AC65">[1]!MF_choke_p_atma(d_choke,[1]!encode_feed(AC$61,,,,feed),$B65,T_choke,d_pipe,0)</f>
        <v>86.65374755859375</v>
      </c>
      <c r="AD65" s="27" cm="1">
        <f t="array" ref="AD65">[1]!MF_choke_p_atma(d_choke,[1]!encode_feed(AD$61,,,,feed),$B65,T_choke,d_pipe,0)</f>
        <v>89.68780517578125</v>
      </c>
    </row>
    <row r="66" spans="2:38" x14ac:dyDescent="0.25">
      <c r="B66" s="26">
        <v>20</v>
      </c>
      <c r="C66" s="27" cm="1">
        <f t="array" ref="C66">[1]!MF_choke_p_atma(d_choke,[1]!encode_feed(C$61,,,,feed),$B66,T_choke,d_pipe,0)</f>
        <v>20</v>
      </c>
      <c r="D66" s="27" cm="1">
        <f t="array" ref="D66">[1]!MF_choke_p_atma(d_choke,[1]!encode_feed(D$61,,,,feed),$B66,T_choke,d_pipe,0)</f>
        <v>20.001980662345886</v>
      </c>
      <c r="E66" s="27" cm="1">
        <f t="array" ref="E66">[1]!MF_choke_p_atma(d_choke,[1]!encode_feed(E$61,,,,feed),$B66,T_choke,d_pipe,0)</f>
        <v>20.007925033569336</v>
      </c>
      <c r="F66" s="27" cm="1">
        <f t="array" ref="F66">[1]!MF_choke_p_atma(d_choke,[1]!encode_feed(F$61,,,,feed),$B66,T_choke,d_pipe,0)</f>
        <v>20.031728744506836</v>
      </c>
      <c r="G66" s="27" cm="1">
        <f t="array" ref="G66">[1]!MF_choke_p_atma(d_choke,[1]!encode_feed(G$61,,,,feed),$B66,T_choke,d_pipe,0)</f>
        <v>20.127372741699219</v>
      </c>
      <c r="H66" s="27" cm="1">
        <f t="array" ref="H66">[1]!MF_choke_p_atma(d_choke,[1]!encode_feed(H$61,,,,feed),$B66,T_choke,d_pipe,0)</f>
        <v>20.1995849609375</v>
      </c>
      <c r="I66" s="27" cm="1">
        <f t="array" ref="I66">[1]!MF_choke_p_atma(d_choke,[1]!encode_feed(I$61,,,,feed),$B66,T_choke,d_pipe,0)</f>
        <v>20.8172607421875</v>
      </c>
      <c r="J66" s="27" cm="1">
        <f t="array" ref="J66">[1]!MF_choke_p_atma(d_choke,[1]!encode_feed(J$61,,,,feed),$B66,T_choke,d_pipe,0)</f>
        <v>21.9122314453125</v>
      </c>
      <c r="K66" s="27" cm="1">
        <f t="array" ref="K66">[1]!MF_choke_p_atma(d_choke,[1]!encode_feed(K$61,,,,feed),$B66,T_choke,d_pipe,0)</f>
        <v>23.5931396484375</v>
      </c>
      <c r="L66" s="27" cm="1">
        <f t="array" ref="L66">[1]!MF_choke_p_atma(d_choke,[1]!encode_feed(L$61,,,,feed),$B66,T_choke,d_pipe,0)</f>
        <v>26.0284423828125</v>
      </c>
      <c r="M66" s="27" cm="1">
        <f t="array" ref="M66">[1]!MF_choke_p_atma(d_choke,[1]!encode_feed(M$61,,,,feed),$B66,T_choke,d_pipe,0)</f>
        <v>29.4622802734375</v>
      </c>
      <c r="N66" s="27" cm="1">
        <f t="array" ref="N66">[1]!MF_choke_p_atma(d_choke,[1]!encode_feed(N$61,,,,feed),$B66,T_choke,d_pipe,0)</f>
        <v>34.0740966796875</v>
      </c>
      <c r="O66" s="27" cm="1">
        <f t="array" ref="O66">[1]!MF_choke_p_atma(d_choke,[1]!encode_feed(O$61,,,,feed),$B66,T_choke,d_pipe,0)</f>
        <v>38.2965087890625</v>
      </c>
      <c r="P66" s="27" cm="1">
        <f t="array" ref="P66">[1]!MF_choke_p_atma(d_choke,[1]!encode_feed(P$61,,,,feed),$B66,T_choke,d_pipe,0)</f>
        <v>42.3724365234375</v>
      </c>
      <c r="Q66" s="27" cm="1">
        <f t="array" ref="Q66">[1]!MF_choke_p_atma(d_choke,[1]!encode_feed(Q$61,,,,feed),$B66,T_choke,d_pipe,0)</f>
        <v>46.3116455078125</v>
      </c>
      <c r="R66" s="27" cm="1">
        <f t="array" ref="R66">[1]!MF_choke_p_atma(d_choke,[1]!encode_feed(R$61,,,,feed),$B66,T_choke,d_pipe,0)</f>
        <v>50.1263427734375</v>
      </c>
      <c r="S66" s="27" cm="1">
        <f t="array" ref="S66">[1]!MF_choke_p_atma(d_choke,[1]!encode_feed(S$61,,,,feed),$B66,T_choke,d_pipe,0)</f>
        <v>53.8250732421875</v>
      </c>
      <c r="T66" s="27" cm="1">
        <f t="array" ref="T66">[1]!MF_choke_p_atma(d_choke,[1]!encode_feed(T$61,,,,feed),$B66,T_choke,d_pipe,0)</f>
        <v>57.4212646484375</v>
      </c>
      <c r="U66" s="27" cm="1">
        <f t="array" ref="U66">[1]!MF_choke_p_atma(d_choke,[1]!encode_feed(U$61,,,,feed),$B66,T_choke,d_pipe,0)</f>
        <v>60.9234619140625</v>
      </c>
      <c r="V66" s="27" cm="1">
        <f t="array" ref="V66">[1]!MF_choke_p_atma(d_choke,[1]!encode_feed(V$61,,,,feed),$B66,T_choke,d_pipe,0)</f>
        <v>64.3426513671875</v>
      </c>
      <c r="W66" s="27" cm="1">
        <f t="array" ref="W66">[1]!MF_choke_p_atma(d_choke,[1]!encode_feed(W$61,,,,feed),$B66,T_choke,d_pipe,0)</f>
        <v>67.6873779296875</v>
      </c>
      <c r="X66" s="27" cm="1">
        <f t="array" ref="X66">[1]!MF_choke_p_atma(d_choke,[1]!encode_feed(X$61,,,,feed),$B66,T_choke,d_pipe,0)</f>
        <v>70.9686279296875</v>
      </c>
      <c r="Y66" s="27" cm="1">
        <f t="array" ref="Y66">[1]!MF_choke_p_atma(d_choke,[1]!encode_feed(Y$61,,,,feed),$B66,T_choke,d_pipe,0)</f>
        <v>74.1925048828125</v>
      </c>
      <c r="Z66" s="27" cm="1">
        <f t="array" ref="Z66">[1]!MF_choke_p_atma(d_choke,[1]!encode_feed(Z$61,,,,feed),$B66,T_choke,d_pipe,0)</f>
        <v>77.3663330078125</v>
      </c>
      <c r="AA66" s="27" cm="1">
        <f t="array" ref="AA66">[1]!MF_choke_p_atma(d_choke,[1]!encode_feed(AA$61,,,,feed),$B66,T_choke,d_pipe,0)</f>
        <v>80.4962158203125</v>
      </c>
      <c r="AB66" s="27" cm="1">
        <f t="array" ref="AB66">[1]!MF_choke_p_atma(d_choke,[1]!encode_feed(AB$61,,,,feed),$B66,T_choke,d_pipe,0)</f>
        <v>83.5906982421875</v>
      </c>
      <c r="AC66" s="27" cm="1">
        <f t="array" ref="AC66">[1]!MF_choke_p_atma(d_choke,[1]!encode_feed(AC$61,,,,feed),$B66,T_choke,d_pipe,0)</f>
        <v>86.6534423828125</v>
      </c>
      <c r="AD66" s="27" cm="1">
        <f t="array" ref="AD66">[1]!MF_choke_p_atma(d_choke,[1]!encode_feed(AD$61,,,,feed),$B66,T_choke,d_pipe,0)</f>
        <v>89.6881103515625</v>
      </c>
    </row>
    <row r="67" spans="2:38" x14ac:dyDescent="0.25">
      <c r="B67" s="26">
        <v>30</v>
      </c>
      <c r="C67" s="27" cm="1">
        <f t="array" ref="C67">[1]!MF_choke_p_atma(d_choke,[1]!encode_feed(C$61,,,,feed),$B67,T_choke,d_pipe,0)</f>
        <v>30</v>
      </c>
      <c r="D67" s="27" cm="1">
        <f t="array" ref="D67">[1]!MF_choke_p_atma(d_choke,[1]!encode_feed(D$61,,,,feed),$B67,T_choke,d_pipe,0)</f>
        <v>30.001239627599716</v>
      </c>
      <c r="E67" s="27" cm="1">
        <f t="array" ref="E67">[1]!MF_choke_p_atma(d_choke,[1]!encode_feed(E$61,,,,feed),$B67,T_choke,d_pipe,0)</f>
        <v>30.004958510398865</v>
      </c>
      <c r="F67" s="27" cm="1">
        <f t="array" ref="F67">[1]!MF_choke_p_atma(d_choke,[1]!encode_feed(F$61,,,,feed),$B67,T_choke,d_pipe,0)</f>
        <v>30.019841194152832</v>
      </c>
      <c r="G67" s="27" cm="1">
        <f t="array" ref="G67">[1]!MF_choke_p_atma(d_choke,[1]!encode_feed(G$61,,,,feed),$B67,T_choke,d_pipe,0)</f>
        <v>30.079450607299805</v>
      </c>
      <c r="H67" s="27" cm="1">
        <f t="array" ref="H67">[1]!MF_choke_p_atma(d_choke,[1]!encode_feed(H$61,,,,feed),$B67,T_choke,d_pipe,0)</f>
        <v>30.124282836914063</v>
      </c>
      <c r="I67" s="27" cm="1">
        <f t="array" ref="I67">[1]!MF_choke_p_atma(d_choke,[1]!encode_feed(I$61,,,,feed),$B67,T_choke,d_pipe,0)</f>
        <v>30.501136779785156</v>
      </c>
      <c r="J67" s="27" cm="1">
        <f t="array" ref="J67">[1]!MF_choke_p_atma(d_choke,[1]!encode_feed(J$61,,,,feed),$B67,T_choke,d_pipe,0)</f>
        <v>31.142807006835938</v>
      </c>
      <c r="K67" s="27" cm="1">
        <f t="array" ref="K67">[1]!MF_choke_p_atma(d_choke,[1]!encode_feed(K$61,,,,feed),$B67,T_choke,d_pipe,0)</f>
        <v>32.07000732421875</v>
      </c>
      <c r="L67" s="27" cm="1">
        <f t="array" ref="L67">[1]!MF_choke_p_atma(d_choke,[1]!encode_feed(L$61,,,,feed),$B67,T_choke,d_pipe,0)</f>
        <v>33.31146240234375</v>
      </c>
      <c r="M67" s="27" cm="1">
        <f t="array" ref="M67">[1]!MF_choke_p_atma(d_choke,[1]!encode_feed(M$61,,,,feed),$B67,T_choke,d_pipe,0)</f>
        <v>34.90631103515625</v>
      </c>
      <c r="N67" s="27" cm="1">
        <f t="array" ref="N67">[1]!MF_choke_p_atma(d_choke,[1]!encode_feed(N$61,,,,feed),$B67,T_choke,d_pipe,0)</f>
        <v>36.89849853515625</v>
      </c>
      <c r="O67" s="27" cm="1">
        <f t="array" ref="O67">[1]!MF_choke_p_atma(d_choke,[1]!encode_feed(O$61,,,,feed),$B67,T_choke,d_pipe,0)</f>
        <v>39.34295654296875</v>
      </c>
      <c r="P67" s="27" cm="1">
        <f t="array" ref="P67">[1]!MF_choke_p_atma(d_choke,[1]!encode_feed(P$61,,,,feed),$B67,T_choke,d_pipe,0)</f>
        <v>42.29278564453125</v>
      </c>
      <c r="Q67" s="27" cm="1">
        <f t="array" ref="Q67">[1]!MF_choke_p_atma(d_choke,[1]!encode_feed(Q$61,,,,feed),$B67,T_choke,d_pipe,0)</f>
        <v>45.79193115234375</v>
      </c>
      <c r="R67" s="27" cm="1">
        <f t="array" ref="R67">[1]!MF_choke_p_atma(d_choke,[1]!encode_feed(R$61,,,,feed),$B67,T_choke,d_pipe,0)</f>
        <v>49.87152099609375</v>
      </c>
      <c r="S67" s="27" cm="1">
        <f t="array" ref="S67">[1]!MF_choke_p_atma(d_choke,[1]!encode_feed(S$61,,,,feed),$B67,T_choke,d_pipe,0)</f>
        <v>53.82476806640625</v>
      </c>
      <c r="T67" s="27" cm="1">
        <f t="array" ref="T67">[1]!MF_choke_p_atma(d_choke,[1]!encode_feed(T$61,,,,feed),$B67,T_choke,d_pipe,0)</f>
        <v>57.42095947265625</v>
      </c>
      <c r="U67" s="27" cm="1">
        <f t="array" ref="U67">[1]!MF_choke_p_atma(d_choke,[1]!encode_feed(U$61,,,,feed),$B67,T_choke,d_pipe,0)</f>
        <v>60.92376708984375</v>
      </c>
      <c r="V67" s="27" cm="1">
        <f t="array" ref="V67">[1]!MF_choke_p_atma(d_choke,[1]!encode_feed(V$61,,,,feed),$B67,T_choke,d_pipe,0)</f>
        <v>64.34234619140625</v>
      </c>
      <c r="W67" s="27" cm="1">
        <f t="array" ref="W67">[1]!MF_choke_p_atma(d_choke,[1]!encode_feed(W$61,,,,feed),$B67,T_choke,d_pipe,0)</f>
        <v>67.68768310546875</v>
      </c>
      <c r="X67" s="27" cm="1">
        <f t="array" ref="X67">[1]!MF_choke_p_atma(d_choke,[1]!encode_feed(X$61,,,,feed),$B67,T_choke,d_pipe,0)</f>
        <v>70.96893310546875</v>
      </c>
      <c r="Y67" s="27" cm="1">
        <f t="array" ref="Y67">[1]!MF_choke_p_atma(d_choke,[1]!encode_feed(Y$61,,,,feed),$B67,T_choke,d_pipe,0)</f>
        <v>74.19158935546875</v>
      </c>
      <c r="Z67" s="27" cm="1">
        <f t="array" ref="Z67">[1]!MF_choke_p_atma(d_choke,[1]!encode_feed(Z$61,,,,feed),$B67,T_choke,d_pipe,0)</f>
        <v>77.36663818359375</v>
      </c>
      <c r="AA67" s="27" cm="1">
        <f t="array" ref="AA67">[1]!MF_choke_p_atma(d_choke,[1]!encode_feed(AA$61,,,,feed),$B67,T_choke,d_pipe,0)</f>
        <v>80.49591064453125</v>
      </c>
      <c r="AB67" s="27" cm="1">
        <f t="array" ref="AB67">[1]!MF_choke_p_atma(d_choke,[1]!encode_feed(AB$61,,,,feed),$B67,T_choke,d_pipe,0)</f>
        <v>83.59039306640625</v>
      </c>
      <c r="AC67" s="27" cm="1">
        <f t="array" ref="AC67">[1]!MF_choke_p_atma(d_choke,[1]!encode_feed(AC$61,,,,feed),$B67,T_choke,d_pipe,0)</f>
        <v>86.65374755859375</v>
      </c>
      <c r="AD67" s="27" cm="1">
        <f t="array" ref="AD67">[1]!MF_choke_p_atma(d_choke,[1]!encode_feed(AD$61,,,,feed),$B67,T_choke,d_pipe,0)</f>
        <v>89.68780517578125</v>
      </c>
    </row>
    <row r="68" spans="2:38" x14ac:dyDescent="0.25">
      <c r="C68" s="3"/>
      <c r="D68" s="3"/>
      <c r="E68" s="4"/>
      <c r="F68" s="5"/>
      <c r="G68" s="5"/>
      <c r="I68" s="3"/>
    </row>
    <row r="69" spans="2:38" x14ac:dyDescent="0.25">
      <c r="C69" s="3"/>
      <c r="D69" s="3"/>
      <c r="E69" s="4"/>
      <c r="F69" s="5"/>
      <c r="G69" s="5"/>
      <c r="I69" s="3"/>
    </row>
    <row r="71" spans="2:38" x14ac:dyDescent="0.25">
      <c r="B71" s="21" t="s">
        <v>38</v>
      </c>
      <c r="C71" s="17" t="e">
        <f ca="1">[1]!MF_q_choke_sm3day(fw_,d_choke,B79,1,d_pipe,T_choke,,PVTstr_)</f>
        <v>#NAME?</v>
      </c>
    </row>
    <row r="72" spans="2:38" x14ac:dyDescent="0.25">
      <c r="C72" s="60" t="s">
        <v>8</v>
      </c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</row>
    <row r="73" spans="2:38" x14ac:dyDescent="0.25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5">
      <c r="B74" s="26">
        <v>10</v>
      </c>
      <c r="C74" s="27" cm="1">
        <f t="array" ref="C74">[1]!MF_choke_p_atma(d_choke,[1]!encode_feed(C$73,,,,feed),$B74,T_choke,d_pipe,1)</f>
        <v>10</v>
      </c>
      <c r="D74" s="27" cm="1">
        <f t="array" ref="D74">[1]!MF_choke_p_atma(d_choke,[1]!encode_feed(D$73,,,,feed),$B74,T_choke,d_pipe,1)</f>
        <v>8.7939453125</v>
      </c>
      <c r="E74" s="27" cm="1">
        <f t="array" ref="E74">[1]!MF_choke_p_atma(d_choke,[1]!encode_feed(E$73,,,,feed),$B74,T_choke,d_pipe,1)</f>
        <v>-1</v>
      </c>
      <c r="F74" s="27" cm="1">
        <f t="array" ref="F74">[1]!MF_choke_p_atma(d_choke,[1]!encode_feed(F$73,,,,feed),$B74,T_choke,d_pipe,1)</f>
        <v>-1</v>
      </c>
      <c r="G74" s="27" cm="1">
        <f t="array" ref="G74">[1]!MF_choke_p_atma(d_choke,[1]!encode_feed(G$73,,,,feed),$B74,T_choke,d_pipe,1)</f>
        <v>-1</v>
      </c>
      <c r="H74" s="27" cm="1">
        <f t="array" ref="H74">[1]!MF_choke_p_atma(d_choke,[1]!encode_feed(H$73,,,,feed),$B74,T_choke,d_pipe,1)</f>
        <v>-1</v>
      </c>
      <c r="I74" s="27" cm="1">
        <f t="array" ref="I74">[1]!MF_choke_p_atma(d_choke,[1]!encode_feed(I$73,,,,feed),$B74,T_choke,d_pipe,1)</f>
        <v>-1</v>
      </c>
      <c r="J74" s="27" cm="1">
        <f t="array" ref="J74">[1]!MF_choke_p_atma(d_choke,[1]!encode_feed(J$73,,,,feed),$B74,T_choke,d_pipe,1)</f>
        <v>-1</v>
      </c>
      <c r="K74" s="27" cm="1">
        <f t="array" ref="K74">[1]!MF_choke_p_atma(d_choke,[1]!encode_feed(K$73,,,,feed),$B74,T_choke,d_pipe,1)</f>
        <v>-1</v>
      </c>
      <c r="L74" s="27" cm="1">
        <f t="array" ref="L74">[1]!MF_choke_p_atma(d_choke,[1]!encode_feed(L$73,,,,feed),$B74,T_choke,d_pipe,1)</f>
        <v>-1</v>
      </c>
      <c r="M74" s="27" cm="1">
        <f t="array" ref="M74">[1]!MF_choke_p_atma(d_choke,[1]!encode_feed(M$73,,,,feed),$B74,T_choke,d_pipe,1)</f>
        <v>-1</v>
      </c>
      <c r="N74" s="27" cm="1">
        <f t="array" ref="N74">[1]!MF_choke_p_atma(d_choke,[1]!encode_feed(N$73,,,,feed),$B74,T_choke,d_pipe,1)</f>
        <v>-1</v>
      </c>
      <c r="O74" s="27" cm="1">
        <f t="array" ref="O74">[1]!MF_choke_p_atma(d_choke,[1]!encode_feed(O$73,,,,feed),$B74,T_choke,d_pipe,1)</f>
        <v>-1</v>
      </c>
      <c r="P74" s="27" cm="1">
        <f t="array" ref="P74">[1]!MF_choke_p_atma(d_choke,[1]!encode_feed(P$73,,,,feed),$B74,T_choke,d_pipe,1)</f>
        <v>-1</v>
      </c>
      <c r="Q74" s="27" cm="1">
        <f t="array" ref="Q74">[1]!MF_choke_p_atma(d_choke,[1]!encode_feed(Q$73,,,,feed),$B74,T_choke,d_pipe,1)</f>
        <v>-1</v>
      </c>
      <c r="R74" s="27" cm="1">
        <f t="array" ref="R74">[1]!MF_choke_p_atma(d_choke,[1]!encode_feed(R$73,,,,feed),$B74,T_choke,d_pipe,1)</f>
        <v>-1</v>
      </c>
      <c r="S74" s="27" cm="1">
        <f t="array" ref="S74">[1]!MF_choke_p_atma(d_choke,[1]!encode_feed(S$73,,,,feed),$B74,T_choke,d_pipe,1)</f>
        <v>-1</v>
      </c>
      <c r="T74" s="27" cm="1">
        <f t="array" ref="T74">[1]!MF_choke_p_atma(d_choke,[1]!encode_feed(T$73,,,,feed),$B74,T_choke,d_pipe,1)</f>
        <v>-1</v>
      </c>
      <c r="U74" s="27" cm="1">
        <f t="array" ref="U74">[1]!MF_choke_p_atma(d_choke,[1]!encode_feed(U$73,,,,feed),$B74,T_choke,d_pipe,1)</f>
        <v>-1</v>
      </c>
      <c r="V74" s="27" cm="1">
        <f t="array" ref="V74">[1]!MF_choke_p_atma(d_choke,[1]!encode_feed(V$73,,,,feed),$B74,T_choke,d_pipe,1)</f>
        <v>-1</v>
      </c>
      <c r="W74" s="27" cm="1">
        <f t="array" ref="W74">[1]!MF_choke_p_atma(d_choke,[1]!encode_feed(W$73,,,,feed),$B74,T_choke,d_pipe,1)</f>
        <v>-1</v>
      </c>
      <c r="X74" s="27" cm="1">
        <f t="array" ref="X74">[1]!MF_choke_p_atma(d_choke,[1]!encode_feed(X$73,,,,feed),$B74,T_choke,d_pipe,1)</f>
        <v>-1</v>
      </c>
      <c r="Y74" s="27" cm="1">
        <f t="array" ref="Y74">[1]!MF_choke_p_atma(d_choke,[1]!encode_feed(Y$73,,,,feed),$B74,T_choke,d_pipe,1)</f>
        <v>-1</v>
      </c>
      <c r="Z74" s="27" cm="1">
        <f t="array" ref="Z74">[1]!MF_choke_p_atma(d_choke,[1]!encode_feed(Z$73,,,,feed),$B74,T_choke,d_pipe,1)</f>
        <v>-1</v>
      </c>
      <c r="AA74" s="27" cm="1">
        <f t="array" ref="AA74">[1]!MF_choke_p_atma(d_choke,[1]!encode_feed(AA$73,,,,feed),$B74,T_choke,d_pipe,1)</f>
        <v>-1</v>
      </c>
      <c r="AB74" s="27" cm="1">
        <f t="array" ref="AB74">[1]!MF_choke_p_atma(d_choke,[1]!encode_feed(AB$73,,,,feed),$B74,T_choke,d_pipe,1)</f>
        <v>-1</v>
      </c>
      <c r="AC74" s="27" cm="1">
        <f t="array" ref="AC74">[1]!MF_choke_p_atma(d_choke,[1]!encode_feed(AC$73,,,,feed),$B74,T_choke,d_pipe,1)</f>
        <v>-1</v>
      </c>
      <c r="AD74" s="27" cm="1">
        <f t="array" ref="AD74">[1]!MF_choke_p_atma(d_choke,[1]!encode_feed(AD$73,,,,feed),$B74,T_choke,d_pipe,1)</f>
        <v>-1</v>
      </c>
      <c r="AE74" s="27" cm="1">
        <f t="array" ref="AE74">[1]!MF_choke_p_atma(d_choke,[1]!encode_feed(AE$73,,,,feed),$B74,T_choke,d_pipe,1)</f>
        <v>-1</v>
      </c>
      <c r="AF74" s="27" cm="1">
        <f t="array" ref="AF74">[1]!MF_choke_p_atma(d_choke,[1]!encode_feed(AF$73,,,,feed),$B74,T_choke,d_pipe,1)</f>
        <v>-1</v>
      </c>
      <c r="AG74" s="27" cm="1">
        <f t="array" ref="AG74">[1]!MF_choke_p_atma(d_choke,[1]!encode_feed(AG$73,,,,feed),$B74,T_choke,d_pipe,1)</f>
        <v>-1</v>
      </c>
      <c r="AH74" s="27" cm="1">
        <f t="array" ref="AH74">[1]!MF_choke_p_atma(d_choke,[1]!encode_feed(AH$73,,,,feed),$B74,T_choke,d_pipe,1)</f>
        <v>-1</v>
      </c>
      <c r="AI74" s="27" cm="1">
        <f t="array" ref="AI74">[1]!MF_choke_p_atma(d_choke,[1]!encode_feed(AI$73,,,,feed),$B74,T_choke,d_pipe,1)</f>
        <v>-1</v>
      </c>
      <c r="AJ74" s="27" cm="1">
        <f t="array" ref="AJ74">[1]!MF_choke_p_atma(d_choke,[1]!encode_feed(AJ$73,,,,feed),$B74,T_choke,d_pipe,1)</f>
        <v>-1</v>
      </c>
      <c r="AK74" s="27" cm="1">
        <f t="array" ref="AK74">[1]!MF_choke_p_atma(d_choke,[1]!encode_feed(AK$73,,,,feed),$B74,T_choke,d_pipe,1)</f>
        <v>-1</v>
      </c>
      <c r="AL74" s="27" cm="1">
        <f t="array" ref="AL74">[1]!MF_choke_p_atma(d_choke,[1]!encode_feed(AL$73,,,,feed),$B74,T_choke,d_pipe,1)</f>
        <v>-1</v>
      </c>
    </row>
    <row r="75" spans="2:38" x14ac:dyDescent="0.25">
      <c r="B75" s="26">
        <v>15</v>
      </c>
      <c r="C75" s="27" cm="1">
        <f t="array" ref="C75">[1]!MF_choke_p_atma(d_choke,[1]!encode_feed(C$73,,,,feed),$B75,T_choke,d_pipe,1)</f>
        <v>15</v>
      </c>
      <c r="D75" s="27" cm="1">
        <f t="array" ref="D75">[1]!MF_choke_p_atma(d_choke,[1]!encode_feed(D$73,,,,feed),$B75,T_choke,d_pipe,1)</f>
        <v>14.333267211914063</v>
      </c>
      <c r="E75" s="27" cm="1">
        <f t="array" ref="E75">[1]!MF_choke_p_atma(d_choke,[1]!encode_feed(E$73,,,,feed),$B75,T_choke,d_pipe,1)</f>
        <v>11.3818359375</v>
      </c>
      <c r="F75" s="27" cm="1">
        <f t="array" ref="F75">[1]!MF_choke_p_atma(d_choke,[1]!encode_feed(F$73,,,,feed),$B75,T_choke,d_pipe,1)</f>
        <v>-1</v>
      </c>
      <c r="G75" s="27" cm="1">
        <f t="array" ref="G75">[1]!MF_choke_p_atma(d_choke,[1]!encode_feed(G$73,,,,feed),$B75,T_choke,d_pipe,1)</f>
        <v>-1</v>
      </c>
      <c r="H75" s="27" cm="1">
        <f t="array" ref="H75">[1]!MF_choke_p_atma(d_choke,[1]!encode_feed(H$73,,,,feed),$B75,T_choke,d_pipe,1)</f>
        <v>-1</v>
      </c>
      <c r="I75" s="27" cm="1">
        <f t="array" ref="I75">[1]!MF_choke_p_atma(d_choke,[1]!encode_feed(I$73,,,,feed),$B75,T_choke,d_pipe,1)</f>
        <v>-1</v>
      </c>
      <c r="J75" s="27" cm="1">
        <f t="array" ref="J75">[1]!MF_choke_p_atma(d_choke,[1]!encode_feed(J$73,,,,feed),$B75,T_choke,d_pipe,1)</f>
        <v>-1</v>
      </c>
      <c r="K75" s="27" cm="1">
        <f t="array" ref="K75">[1]!MF_choke_p_atma(d_choke,[1]!encode_feed(K$73,,,,feed),$B75,T_choke,d_pipe,1)</f>
        <v>-1</v>
      </c>
      <c r="L75" s="27" cm="1">
        <f t="array" ref="L75">[1]!MF_choke_p_atma(d_choke,[1]!encode_feed(L$73,,,,feed),$B75,T_choke,d_pipe,1)</f>
        <v>-1</v>
      </c>
      <c r="M75" s="27" cm="1">
        <f t="array" ref="M75">[1]!MF_choke_p_atma(d_choke,[1]!encode_feed(M$73,,,,feed),$B75,T_choke,d_pipe,1)</f>
        <v>-1</v>
      </c>
      <c r="N75" s="27" cm="1">
        <f t="array" ref="N75">[1]!MF_choke_p_atma(d_choke,[1]!encode_feed(N$73,,,,feed),$B75,T_choke,d_pipe,1)</f>
        <v>-1</v>
      </c>
      <c r="O75" s="27" cm="1">
        <f t="array" ref="O75">[1]!MF_choke_p_atma(d_choke,[1]!encode_feed(O$73,,,,feed),$B75,T_choke,d_pipe,1)</f>
        <v>-1</v>
      </c>
      <c r="P75" s="27" cm="1">
        <f t="array" ref="P75">[1]!MF_choke_p_atma(d_choke,[1]!encode_feed(P$73,,,,feed),$B75,T_choke,d_pipe,1)</f>
        <v>-1</v>
      </c>
      <c r="Q75" s="27" cm="1">
        <f t="array" ref="Q75">[1]!MF_choke_p_atma(d_choke,[1]!encode_feed(Q$73,,,,feed),$B75,T_choke,d_pipe,1)</f>
        <v>-1</v>
      </c>
      <c r="R75" s="27" cm="1">
        <f t="array" ref="R75">[1]!MF_choke_p_atma(d_choke,[1]!encode_feed(R$73,,,,feed),$B75,T_choke,d_pipe,1)</f>
        <v>-1</v>
      </c>
      <c r="S75" s="27" cm="1">
        <f t="array" ref="S75">[1]!MF_choke_p_atma(d_choke,[1]!encode_feed(S$73,,,,feed),$B75,T_choke,d_pipe,1)</f>
        <v>-1</v>
      </c>
      <c r="T75" s="27" cm="1">
        <f t="array" ref="T75">[1]!MF_choke_p_atma(d_choke,[1]!encode_feed(T$73,,,,feed),$B75,T_choke,d_pipe,1)</f>
        <v>-1</v>
      </c>
      <c r="U75" s="27" cm="1">
        <f t="array" ref="U75">[1]!MF_choke_p_atma(d_choke,[1]!encode_feed(U$73,,,,feed),$B75,T_choke,d_pipe,1)</f>
        <v>-1</v>
      </c>
      <c r="V75" s="27" cm="1">
        <f t="array" ref="V75">[1]!MF_choke_p_atma(d_choke,[1]!encode_feed(V$73,,,,feed),$B75,T_choke,d_pipe,1)</f>
        <v>-1</v>
      </c>
      <c r="W75" s="27" cm="1">
        <f t="array" ref="W75">[1]!MF_choke_p_atma(d_choke,[1]!encode_feed(W$73,,,,feed),$B75,T_choke,d_pipe,1)</f>
        <v>-1</v>
      </c>
      <c r="X75" s="27" cm="1">
        <f t="array" ref="X75">[1]!MF_choke_p_atma(d_choke,[1]!encode_feed(X$73,,,,feed),$B75,T_choke,d_pipe,1)</f>
        <v>-1</v>
      </c>
      <c r="Y75" s="27" cm="1">
        <f t="array" ref="Y75">[1]!MF_choke_p_atma(d_choke,[1]!encode_feed(Y$73,,,,feed),$B75,T_choke,d_pipe,1)</f>
        <v>-1</v>
      </c>
      <c r="Z75" s="27" cm="1">
        <f t="array" ref="Z75">[1]!MF_choke_p_atma(d_choke,[1]!encode_feed(Z$73,,,,feed),$B75,T_choke,d_pipe,1)</f>
        <v>-1</v>
      </c>
      <c r="AA75" s="27" cm="1">
        <f t="array" ref="AA75">[1]!MF_choke_p_atma(d_choke,[1]!encode_feed(AA$73,,,,feed),$B75,T_choke,d_pipe,1)</f>
        <v>-1</v>
      </c>
      <c r="AB75" s="27" cm="1">
        <f t="array" ref="AB75">[1]!MF_choke_p_atma(d_choke,[1]!encode_feed(AB$73,,,,feed),$B75,T_choke,d_pipe,1)</f>
        <v>-1</v>
      </c>
      <c r="AC75" s="27" cm="1">
        <f t="array" ref="AC75">[1]!MF_choke_p_atma(d_choke,[1]!encode_feed(AC$73,,,,feed),$B75,T_choke,d_pipe,1)</f>
        <v>-1</v>
      </c>
      <c r="AD75" s="27" cm="1">
        <f t="array" ref="AD75">[1]!MF_choke_p_atma(d_choke,[1]!encode_feed(AD$73,,,,feed),$B75,T_choke,d_pipe,1)</f>
        <v>-1</v>
      </c>
      <c r="AE75" s="27" cm="1">
        <f t="array" ref="AE75">[1]!MF_choke_p_atma(d_choke,[1]!encode_feed(AE$73,,,,feed),$B75,T_choke,d_pipe,1)</f>
        <v>-1</v>
      </c>
      <c r="AF75" s="27" cm="1">
        <f t="array" ref="AF75">[1]!MF_choke_p_atma(d_choke,[1]!encode_feed(AF$73,,,,feed),$B75,T_choke,d_pipe,1)</f>
        <v>-1</v>
      </c>
      <c r="AG75" s="27" cm="1">
        <f t="array" ref="AG75">[1]!MF_choke_p_atma(d_choke,[1]!encode_feed(AG$73,,,,feed),$B75,T_choke,d_pipe,1)</f>
        <v>-1</v>
      </c>
      <c r="AH75" s="27" cm="1">
        <f t="array" ref="AH75">[1]!MF_choke_p_atma(d_choke,[1]!encode_feed(AH$73,,,,feed),$B75,T_choke,d_pipe,1)</f>
        <v>-1</v>
      </c>
      <c r="AI75" s="27" cm="1">
        <f t="array" ref="AI75">[1]!MF_choke_p_atma(d_choke,[1]!encode_feed(AI$73,,,,feed),$B75,T_choke,d_pipe,1)</f>
        <v>-1</v>
      </c>
      <c r="AJ75" s="27" cm="1">
        <f t="array" ref="AJ75">[1]!MF_choke_p_atma(d_choke,[1]!encode_feed(AJ$73,,,,feed),$B75,T_choke,d_pipe,1)</f>
        <v>-1</v>
      </c>
      <c r="AK75" s="27" cm="1">
        <f t="array" ref="AK75">[1]!MF_choke_p_atma(d_choke,[1]!encode_feed(AK$73,,,,feed),$B75,T_choke,d_pipe,1)</f>
        <v>-1</v>
      </c>
      <c r="AL75" s="27" cm="1">
        <f t="array" ref="AL75">[1]!MF_choke_p_atma(d_choke,[1]!encode_feed(AL$73,,,,feed),$B75,T_choke,d_pipe,1)</f>
        <v>-1</v>
      </c>
    </row>
    <row r="76" spans="2:38" x14ac:dyDescent="0.25">
      <c r="B76" s="26">
        <v>20</v>
      </c>
      <c r="C76" s="27" cm="1">
        <f t="array" ref="C76">[1]!MF_choke_p_atma(d_choke,[1]!encode_feed(C$73,,,,feed),$B76,T_choke,d_pipe,1)</f>
        <v>20</v>
      </c>
      <c r="D76" s="27" cm="1">
        <f t="array" ref="D76">[1]!MF_choke_p_atma(d_choke,[1]!encode_feed(D$73,,,,feed),$B76,T_choke,d_pipe,1)</f>
        <v>19.53399658203125</v>
      </c>
      <c r="E76" s="27" cm="1">
        <f t="array" ref="E76">[1]!MF_choke_p_atma(d_choke,[1]!encode_feed(E$73,,,,feed),$B76,T_choke,d_pipe,1)</f>
        <v>18.128662109375</v>
      </c>
      <c r="F76" s="27" cm="1">
        <f t="array" ref="F76">[1]!MF_choke_p_atma(d_choke,[1]!encode_feed(F$73,,,,feed),$B76,T_choke,d_pipe,1)</f>
        <v>16.50146484375</v>
      </c>
      <c r="G76" s="27" cm="1">
        <f t="array" ref="G76">[1]!MF_choke_p_atma(d_choke,[1]!encode_feed(G$73,,,,feed),$B76,T_choke,d_pipe,1)</f>
        <v>-1</v>
      </c>
      <c r="H76" s="27" cm="1">
        <f t="array" ref="H76">[1]!MF_choke_p_atma(d_choke,[1]!encode_feed(H$73,,,,feed),$B76,T_choke,d_pipe,1)</f>
        <v>-1</v>
      </c>
      <c r="I76" s="27" cm="1">
        <f t="array" ref="I76">[1]!MF_choke_p_atma(d_choke,[1]!encode_feed(I$73,,,,feed),$B76,T_choke,d_pipe,1)</f>
        <v>-1</v>
      </c>
      <c r="J76" s="27" cm="1">
        <f t="array" ref="J76">[1]!MF_choke_p_atma(d_choke,[1]!encode_feed(J$73,,,,feed),$B76,T_choke,d_pipe,1)</f>
        <v>-1</v>
      </c>
      <c r="K76" s="27" cm="1">
        <f t="array" ref="K76">[1]!MF_choke_p_atma(d_choke,[1]!encode_feed(K$73,,,,feed),$B76,T_choke,d_pipe,1)</f>
        <v>-1</v>
      </c>
      <c r="L76" s="27" cm="1">
        <f t="array" ref="L76">[1]!MF_choke_p_atma(d_choke,[1]!encode_feed(L$73,,,,feed),$B76,T_choke,d_pipe,1)</f>
        <v>-1</v>
      </c>
      <c r="M76" s="27" cm="1">
        <f t="array" ref="M76">[1]!MF_choke_p_atma(d_choke,[1]!encode_feed(M$73,,,,feed),$B76,T_choke,d_pipe,1)</f>
        <v>-1</v>
      </c>
      <c r="N76" s="27" cm="1">
        <f t="array" ref="N76">[1]!MF_choke_p_atma(d_choke,[1]!encode_feed(N$73,,,,feed),$B76,T_choke,d_pipe,1)</f>
        <v>-1</v>
      </c>
      <c r="O76" s="27" cm="1">
        <f t="array" ref="O76">[1]!MF_choke_p_atma(d_choke,[1]!encode_feed(O$73,,,,feed),$B76,T_choke,d_pipe,1)</f>
        <v>-1</v>
      </c>
      <c r="P76" s="27" cm="1">
        <f t="array" ref="P76">[1]!MF_choke_p_atma(d_choke,[1]!encode_feed(P$73,,,,feed),$B76,T_choke,d_pipe,1)</f>
        <v>-1</v>
      </c>
      <c r="Q76" s="27" cm="1">
        <f t="array" ref="Q76">[1]!MF_choke_p_atma(d_choke,[1]!encode_feed(Q$73,,,,feed),$B76,T_choke,d_pipe,1)</f>
        <v>-1</v>
      </c>
      <c r="R76" s="27" cm="1">
        <f t="array" ref="R76">[1]!MF_choke_p_atma(d_choke,[1]!encode_feed(R$73,,,,feed),$B76,T_choke,d_pipe,1)</f>
        <v>-1</v>
      </c>
      <c r="S76" s="27" cm="1">
        <f t="array" ref="S76">[1]!MF_choke_p_atma(d_choke,[1]!encode_feed(S$73,,,,feed),$B76,T_choke,d_pipe,1)</f>
        <v>-1</v>
      </c>
      <c r="T76" s="27" cm="1">
        <f t="array" ref="T76">[1]!MF_choke_p_atma(d_choke,[1]!encode_feed(T$73,,,,feed),$B76,T_choke,d_pipe,1)</f>
        <v>-1</v>
      </c>
      <c r="U76" s="27" cm="1">
        <f t="array" ref="U76">[1]!MF_choke_p_atma(d_choke,[1]!encode_feed(U$73,,,,feed),$B76,T_choke,d_pipe,1)</f>
        <v>-1</v>
      </c>
      <c r="V76" s="27" cm="1">
        <f t="array" ref="V76">[1]!MF_choke_p_atma(d_choke,[1]!encode_feed(V$73,,,,feed),$B76,T_choke,d_pipe,1)</f>
        <v>-1</v>
      </c>
      <c r="W76" s="27" cm="1">
        <f t="array" ref="W76">[1]!MF_choke_p_atma(d_choke,[1]!encode_feed(W$73,,,,feed),$B76,T_choke,d_pipe,1)</f>
        <v>-1</v>
      </c>
      <c r="X76" s="27" cm="1">
        <f t="array" ref="X76">[1]!MF_choke_p_atma(d_choke,[1]!encode_feed(X$73,,,,feed),$B76,T_choke,d_pipe,1)</f>
        <v>-1</v>
      </c>
      <c r="Y76" s="27" cm="1">
        <f t="array" ref="Y76">[1]!MF_choke_p_atma(d_choke,[1]!encode_feed(Y$73,,,,feed),$B76,T_choke,d_pipe,1)</f>
        <v>-1</v>
      </c>
      <c r="Z76" s="27" cm="1">
        <f t="array" ref="Z76">[1]!MF_choke_p_atma(d_choke,[1]!encode_feed(Z$73,,,,feed),$B76,T_choke,d_pipe,1)</f>
        <v>-1</v>
      </c>
      <c r="AA76" s="27" cm="1">
        <f t="array" ref="AA76">[1]!MF_choke_p_atma(d_choke,[1]!encode_feed(AA$73,,,,feed),$B76,T_choke,d_pipe,1)</f>
        <v>-1</v>
      </c>
      <c r="AB76" s="27" cm="1">
        <f t="array" ref="AB76">[1]!MF_choke_p_atma(d_choke,[1]!encode_feed(AB$73,,,,feed),$B76,T_choke,d_pipe,1)</f>
        <v>-1</v>
      </c>
      <c r="AC76" s="27" cm="1">
        <f t="array" ref="AC76">[1]!MF_choke_p_atma(d_choke,[1]!encode_feed(AC$73,,,,feed),$B76,T_choke,d_pipe,1)</f>
        <v>-1</v>
      </c>
      <c r="AD76" s="27" cm="1">
        <f t="array" ref="AD76">[1]!MF_choke_p_atma(d_choke,[1]!encode_feed(AD$73,,,,feed),$B76,T_choke,d_pipe,1)</f>
        <v>-1</v>
      </c>
      <c r="AE76" s="27" cm="1">
        <f t="array" ref="AE76">[1]!MF_choke_p_atma(d_choke,[1]!encode_feed(AE$73,,,,feed),$B76,T_choke,d_pipe,1)</f>
        <v>-1</v>
      </c>
      <c r="AF76" s="27" cm="1">
        <f t="array" ref="AF76">[1]!MF_choke_p_atma(d_choke,[1]!encode_feed(AF$73,,,,feed),$B76,T_choke,d_pipe,1)</f>
        <v>-1</v>
      </c>
      <c r="AG76" s="27" cm="1">
        <f t="array" ref="AG76">[1]!MF_choke_p_atma(d_choke,[1]!encode_feed(AG$73,,,,feed),$B76,T_choke,d_pipe,1)</f>
        <v>-1</v>
      </c>
      <c r="AH76" s="27" cm="1">
        <f t="array" ref="AH76">[1]!MF_choke_p_atma(d_choke,[1]!encode_feed(AH$73,,,,feed),$B76,T_choke,d_pipe,1)</f>
        <v>-1</v>
      </c>
      <c r="AI76" s="27" cm="1">
        <f t="array" ref="AI76">[1]!MF_choke_p_atma(d_choke,[1]!encode_feed(AI$73,,,,feed),$B76,T_choke,d_pipe,1)</f>
        <v>-1</v>
      </c>
      <c r="AJ76" s="27" cm="1">
        <f t="array" ref="AJ76">[1]!MF_choke_p_atma(d_choke,[1]!encode_feed(AJ$73,,,,feed),$B76,T_choke,d_pipe,1)</f>
        <v>-1</v>
      </c>
      <c r="AK76" s="27" cm="1">
        <f t="array" ref="AK76">[1]!MF_choke_p_atma(d_choke,[1]!encode_feed(AK$73,,,,feed),$B76,T_choke,d_pipe,1)</f>
        <v>-1</v>
      </c>
      <c r="AL76" s="27" cm="1">
        <f t="array" ref="AL76">[1]!MF_choke_p_atma(d_choke,[1]!encode_feed(AL$73,,,,feed),$B76,T_choke,d_pipe,1)</f>
        <v>-1</v>
      </c>
    </row>
    <row r="77" spans="2:38" x14ac:dyDescent="0.25">
      <c r="B77" s="26">
        <v>25</v>
      </c>
      <c r="C77" s="27" cm="1">
        <f t="array" ref="C77">[1]!MF_choke_p_atma(d_choke,[1]!encode_feed(C$73,,,,feed),$B77,T_choke,d_pipe,1)</f>
        <v>25</v>
      </c>
      <c r="D77" s="27" cm="1">
        <f t="array" ref="D77">[1]!MF_choke_p_atma(d_choke,[1]!encode_feed(D$73,,,,feed),$B77,T_choke,d_pipe,1)</f>
        <v>24.644851684570313</v>
      </c>
      <c r="E77" s="27" cm="1">
        <f t="array" ref="E77">[1]!MF_choke_p_atma(d_choke,[1]!encode_feed(E$73,,,,feed),$B77,T_choke,d_pipe,1)</f>
        <v>23.664093017578125</v>
      </c>
      <c r="F77" s="27" cm="1">
        <f t="array" ref="F77">[1]!MF_choke_p_atma(d_choke,[1]!encode_feed(F$73,,,,feed),$B77,T_choke,d_pipe,1)</f>
        <v>22.75238037109375</v>
      </c>
      <c r="G77" s="27" cm="1">
        <f t="array" ref="G77">[1]!MF_choke_p_atma(d_choke,[1]!encode_feed(G$73,,,,feed),$B77,T_choke,d_pipe,1)</f>
        <v>21.8231201171875</v>
      </c>
      <c r="H77" s="27" cm="1">
        <f t="array" ref="H77">[1]!MF_choke_p_atma(d_choke,[1]!encode_feed(H$73,,,,feed),$B77,T_choke,d_pipe,1)</f>
        <v>21.08001708984375</v>
      </c>
      <c r="I77" s="27" cm="1">
        <f t="array" ref="I77">[1]!MF_choke_p_atma(d_choke,[1]!encode_feed(I$73,,,,feed),$B77,T_choke,d_pipe,1)</f>
        <v>20.79620361328125</v>
      </c>
      <c r="J77" s="27" cm="1">
        <f t="array" ref="J77">[1]!MF_choke_p_atma(d_choke,[1]!encode_feed(J$73,,,,feed),$B77,T_choke,d_pipe,1)</f>
        <v>20.78399658203125</v>
      </c>
      <c r="K77" s="27" cm="1">
        <f t="array" ref="K77">[1]!MF_choke_p_atma(d_choke,[1]!encode_feed(K$73,,,,feed),$B77,T_choke,d_pipe,1)</f>
        <v>-1</v>
      </c>
      <c r="L77" s="27" cm="1">
        <f t="array" ref="L77">[1]!MF_choke_p_atma(d_choke,[1]!encode_feed(L$73,,,,feed),$B77,T_choke,d_pipe,1)</f>
        <v>-1</v>
      </c>
      <c r="M77" s="27" cm="1">
        <f t="array" ref="M77">[1]!MF_choke_p_atma(d_choke,[1]!encode_feed(M$73,,,,feed),$B77,T_choke,d_pipe,1)</f>
        <v>-1</v>
      </c>
      <c r="N77" s="27" cm="1">
        <f t="array" ref="N77">[1]!MF_choke_p_atma(d_choke,[1]!encode_feed(N$73,,,,feed),$B77,T_choke,d_pipe,1)</f>
        <v>-1</v>
      </c>
      <c r="O77" s="27" cm="1">
        <f t="array" ref="O77">[1]!MF_choke_p_atma(d_choke,[1]!encode_feed(O$73,,,,feed),$B77,T_choke,d_pipe,1)</f>
        <v>-1</v>
      </c>
      <c r="P77" s="27" cm="1">
        <f t="array" ref="P77">[1]!MF_choke_p_atma(d_choke,[1]!encode_feed(P$73,,,,feed),$B77,T_choke,d_pipe,1)</f>
        <v>-1</v>
      </c>
      <c r="Q77" s="27" cm="1">
        <f t="array" ref="Q77">[1]!MF_choke_p_atma(d_choke,[1]!encode_feed(Q$73,,,,feed),$B77,T_choke,d_pipe,1)</f>
        <v>-1</v>
      </c>
      <c r="R77" s="27" cm="1">
        <f t="array" ref="R77">[1]!MF_choke_p_atma(d_choke,[1]!encode_feed(R$73,,,,feed),$B77,T_choke,d_pipe,1)</f>
        <v>-1</v>
      </c>
      <c r="S77" s="27" cm="1">
        <f t="array" ref="S77">[1]!MF_choke_p_atma(d_choke,[1]!encode_feed(S$73,,,,feed),$B77,T_choke,d_pipe,1)</f>
        <v>-1</v>
      </c>
      <c r="T77" s="27" cm="1">
        <f t="array" ref="T77">[1]!MF_choke_p_atma(d_choke,[1]!encode_feed(T$73,,,,feed),$B77,T_choke,d_pipe,1)</f>
        <v>-1</v>
      </c>
      <c r="U77" s="27" cm="1">
        <f t="array" ref="U77">[1]!MF_choke_p_atma(d_choke,[1]!encode_feed(U$73,,,,feed),$B77,T_choke,d_pipe,1)</f>
        <v>-1</v>
      </c>
      <c r="V77" s="27" cm="1">
        <f t="array" ref="V77">[1]!MF_choke_p_atma(d_choke,[1]!encode_feed(V$73,,,,feed),$B77,T_choke,d_pipe,1)</f>
        <v>-1</v>
      </c>
      <c r="W77" s="27" cm="1">
        <f t="array" ref="W77">[1]!MF_choke_p_atma(d_choke,[1]!encode_feed(W$73,,,,feed),$B77,T_choke,d_pipe,1)</f>
        <v>-1</v>
      </c>
      <c r="X77" s="27" cm="1">
        <f t="array" ref="X77">[1]!MF_choke_p_atma(d_choke,[1]!encode_feed(X$73,,,,feed),$B77,T_choke,d_pipe,1)</f>
        <v>-1</v>
      </c>
      <c r="Y77" s="27" cm="1">
        <f t="array" ref="Y77">[1]!MF_choke_p_atma(d_choke,[1]!encode_feed(Y$73,,,,feed),$B77,T_choke,d_pipe,1)</f>
        <v>-1</v>
      </c>
      <c r="Z77" s="27" cm="1">
        <f t="array" ref="Z77">[1]!MF_choke_p_atma(d_choke,[1]!encode_feed(Z$73,,,,feed),$B77,T_choke,d_pipe,1)</f>
        <v>-1</v>
      </c>
      <c r="AA77" s="27" cm="1">
        <f t="array" ref="AA77">[1]!MF_choke_p_atma(d_choke,[1]!encode_feed(AA$73,,,,feed),$B77,T_choke,d_pipe,1)</f>
        <v>-1</v>
      </c>
      <c r="AB77" s="27" cm="1">
        <f t="array" ref="AB77">[1]!MF_choke_p_atma(d_choke,[1]!encode_feed(AB$73,,,,feed),$B77,T_choke,d_pipe,1)</f>
        <v>-1</v>
      </c>
      <c r="AC77" s="27" cm="1">
        <f t="array" ref="AC77">[1]!MF_choke_p_atma(d_choke,[1]!encode_feed(AC$73,,,,feed),$B77,T_choke,d_pipe,1)</f>
        <v>-1</v>
      </c>
      <c r="AD77" s="27" cm="1">
        <f t="array" ref="AD77">[1]!MF_choke_p_atma(d_choke,[1]!encode_feed(AD$73,,,,feed),$B77,T_choke,d_pipe,1)</f>
        <v>-1</v>
      </c>
      <c r="AE77" s="27" cm="1">
        <f t="array" ref="AE77">[1]!MF_choke_p_atma(d_choke,[1]!encode_feed(AE$73,,,,feed),$B77,T_choke,d_pipe,1)</f>
        <v>-1</v>
      </c>
      <c r="AF77" s="27" cm="1">
        <f t="array" ref="AF77">[1]!MF_choke_p_atma(d_choke,[1]!encode_feed(AF$73,,,,feed),$B77,T_choke,d_pipe,1)</f>
        <v>-1</v>
      </c>
      <c r="AG77" s="27" cm="1">
        <f t="array" ref="AG77">[1]!MF_choke_p_atma(d_choke,[1]!encode_feed(AG$73,,,,feed),$B77,T_choke,d_pipe,1)</f>
        <v>-1</v>
      </c>
      <c r="AH77" s="27" cm="1">
        <f t="array" ref="AH77">[1]!MF_choke_p_atma(d_choke,[1]!encode_feed(AH$73,,,,feed),$B77,T_choke,d_pipe,1)</f>
        <v>-1</v>
      </c>
      <c r="AI77" s="27" cm="1">
        <f t="array" ref="AI77">[1]!MF_choke_p_atma(d_choke,[1]!encode_feed(AI$73,,,,feed),$B77,T_choke,d_pipe,1)</f>
        <v>-1</v>
      </c>
      <c r="AJ77" s="27" cm="1">
        <f t="array" ref="AJ77">[1]!MF_choke_p_atma(d_choke,[1]!encode_feed(AJ$73,,,,feed),$B77,T_choke,d_pipe,1)</f>
        <v>-1</v>
      </c>
      <c r="AK77" s="27" cm="1">
        <f t="array" ref="AK77">[1]!MF_choke_p_atma(d_choke,[1]!encode_feed(AK$73,,,,feed),$B77,T_choke,d_pipe,1)</f>
        <v>-1</v>
      </c>
      <c r="AL77" s="27" cm="1">
        <f t="array" ref="AL77">[1]!MF_choke_p_atma(d_choke,[1]!encode_feed(AL$73,,,,feed),$B77,T_choke,d_pipe,1)</f>
        <v>-1</v>
      </c>
    </row>
    <row r="78" spans="2:38" x14ac:dyDescent="0.25">
      <c r="B78" s="26">
        <v>30</v>
      </c>
      <c r="C78" s="27" cm="1">
        <f t="array" ref="C78">[1]!MF_choke_p_atma(d_choke,[1]!encode_feed(C$73,,,,feed),$B78,T_choke,d_pipe,1)</f>
        <v>30</v>
      </c>
      <c r="D78" s="27" cm="1">
        <f t="array" ref="D78">[1]!MF_choke_p_atma(d_choke,[1]!encode_feed(D$73,,,,feed),$B78,T_choke,d_pipe,1)</f>
        <v>29.7161865234375</v>
      </c>
      <c r="E78" s="27" cm="1">
        <f t="array" ref="E78">[1]!MF_choke_p_atma(d_choke,[1]!encode_feed(E$73,,,,feed),$B78,T_choke,d_pipe,1)</f>
        <v>28.96270751953125</v>
      </c>
      <c r="F78" s="27" cm="1">
        <f t="array" ref="F78">[1]!MF_choke_p_atma(d_choke,[1]!encode_feed(F$73,,,,feed),$B78,T_choke,d_pipe,1)</f>
        <v>28.30902099609375</v>
      </c>
      <c r="G78" s="27" cm="1">
        <f t="array" ref="G78">[1]!MF_choke_p_atma(d_choke,[1]!encode_feed(G$73,,,,feed),$B78,T_choke,d_pipe,1)</f>
        <v>27.69927978515625</v>
      </c>
      <c r="H78" s="27" cm="1">
        <f t="array" ref="H78">[1]!MF_choke_p_atma(d_choke,[1]!encode_feed(H$73,,,,feed),$B78,T_choke,d_pipe,1)</f>
        <v>27.2607421875</v>
      </c>
      <c r="I78" s="27" cm="1">
        <f t="array" ref="I78">[1]!MF_choke_p_atma(d_choke,[1]!encode_feed(I$73,,,,feed),$B78,T_choke,d_pipe,1)</f>
        <v>27.10693359375</v>
      </c>
      <c r="J78" s="27" cm="1">
        <f t="array" ref="J78">[1]!MF_choke_p_atma(d_choke,[1]!encode_feed(J$73,,,,feed),$B78,T_choke,d_pipe,1)</f>
        <v>27.099609375</v>
      </c>
      <c r="K78" s="27" cm="1">
        <f t="array" ref="K78">[1]!MF_choke_p_atma(d_choke,[1]!encode_feed(K$73,,,,feed),$B78,T_choke,d_pipe,1)</f>
        <v>25.162353515625</v>
      </c>
      <c r="L78" s="27" cm="1">
        <f t="array" ref="L78">[1]!MF_choke_p_atma(d_choke,[1]!encode_feed(L$73,,,,feed),$B78,T_choke,d_pipe,1)</f>
        <v>23.3056640625</v>
      </c>
      <c r="M78" s="27" cm="1">
        <f t="array" ref="M78">[1]!MF_choke_p_atma(d_choke,[1]!encode_feed(M$73,,,,feed),$B78,T_choke,d_pipe,1)</f>
        <v>22.03125</v>
      </c>
      <c r="N78" s="27" cm="1">
        <f t="array" ref="N78">[1]!MF_choke_p_atma(d_choke,[1]!encode_feed(N$73,,,,feed),$B78,T_choke,d_pipe,1)</f>
        <v>-1</v>
      </c>
      <c r="O78" s="27" cm="1">
        <f t="array" ref="O78">[1]!MF_choke_p_atma(d_choke,[1]!encode_feed(O$73,,,,feed),$B78,T_choke,d_pipe,1)</f>
        <v>-1</v>
      </c>
      <c r="P78" s="27" cm="1">
        <f t="array" ref="P78">[1]!MF_choke_p_atma(d_choke,[1]!encode_feed(P$73,,,,feed),$B78,T_choke,d_pipe,1)</f>
        <v>-1</v>
      </c>
      <c r="Q78" s="27" cm="1">
        <f t="array" ref="Q78">[1]!MF_choke_p_atma(d_choke,[1]!encode_feed(Q$73,,,,feed),$B78,T_choke,d_pipe,1)</f>
        <v>-1</v>
      </c>
      <c r="R78" s="27" cm="1">
        <f t="array" ref="R78">[1]!MF_choke_p_atma(d_choke,[1]!encode_feed(R$73,,,,feed),$B78,T_choke,d_pipe,1)</f>
        <v>-1</v>
      </c>
      <c r="S78" s="27" cm="1">
        <f t="array" ref="S78">[1]!MF_choke_p_atma(d_choke,[1]!encode_feed(S$73,,,,feed),$B78,T_choke,d_pipe,1)</f>
        <v>-1</v>
      </c>
      <c r="T78" s="27" cm="1">
        <f t="array" ref="T78">[1]!MF_choke_p_atma(d_choke,[1]!encode_feed(T$73,,,,feed),$B78,T_choke,d_pipe,1)</f>
        <v>-1</v>
      </c>
      <c r="U78" s="27" cm="1">
        <f t="array" ref="U78">[1]!MF_choke_p_atma(d_choke,[1]!encode_feed(U$73,,,,feed),$B78,T_choke,d_pipe,1)</f>
        <v>-1</v>
      </c>
      <c r="V78" s="27" cm="1">
        <f t="array" ref="V78">[1]!MF_choke_p_atma(d_choke,[1]!encode_feed(V$73,,,,feed),$B78,T_choke,d_pipe,1)</f>
        <v>-1</v>
      </c>
      <c r="W78" s="27" cm="1">
        <f t="array" ref="W78">[1]!MF_choke_p_atma(d_choke,[1]!encode_feed(W$73,,,,feed),$B78,T_choke,d_pipe,1)</f>
        <v>-1</v>
      </c>
      <c r="X78" s="27" cm="1">
        <f t="array" ref="X78">[1]!MF_choke_p_atma(d_choke,[1]!encode_feed(X$73,,,,feed),$B78,T_choke,d_pipe,1)</f>
        <v>-1</v>
      </c>
      <c r="Y78" s="27" cm="1">
        <f t="array" ref="Y78">[1]!MF_choke_p_atma(d_choke,[1]!encode_feed(Y$73,,,,feed),$B78,T_choke,d_pipe,1)</f>
        <v>-1</v>
      </c>
      <c r="Z78" s="27" cm="1">
        <f t="array" ref="Z78">[1]!MF_choke_p_atma(d_choke,[1]!encode_feed(Z$73,,,,feed),$B78,T_choke,d_pipe,1)</f>
        <v>-1</v>
      </c>
      <c r="AA78" s="27" cm="1">
        <f t="array" ref="AA78">[1]!MF_choke_p_atma(d_choke,[1]!encode_feed(AA$73,,,,feed),$B78,T_choke,d_pipe,1)</f>
        <v>-1</v>
      </c>
      <c r="AB78" s="27" cm="1">
        <f t="array" ref="AB78">[1]!MF_choke_p_atma(d_choke,[1]!encode_feed(AB$73,,,,feed),$B78,T_choke,d_pipe,1)</f>
        <v>-1</v>
      </c>
      <c r="AC78" s="27" cm="1">
        <f t="array" ref="AC78">[1]!MF_choke_p_atma(d_choke,[1]!encode_feed(AC$73,,,,feed),$B78,T_choke,d_pipe,1)</f>
        <v>-1</v>
      </c>
      <c r="AD78" s="27" cm="1">
        <f t="array" ref="AD78">[1]!MF_choke_p_atma(d_choke,[1]!encode_feed(AD$73,,,,feed),$B78,T_choke,d_pipe,1)</f>
        <v>-1</v>
      </c>
      <c r="AE78" s="27" cm="1">
        <f t="array" ref="AE78">[1]!MF_choke_p_atma(d_choke,[1]!encode_feed(AE$73,,,,feed),$B78,T_choke,d_pipe,1)</f>
        <v>-1</v>
      </c>
      <c r="AF78" s="27" cm="1">
        <f t="array" ref="AF78">[1]!MF_choke_p_atma(d_choke,[1]!encode_feed(AF$73,,,,feed),$B78,T_choke,d_pipe,1)</f>
        <v>-1</v>
      </c>
      <c r="AG78" s="27" cm="1">
        <f t="array" ref="AG78">[1]!MF_choke_p_atma(d_choke,[1]!encode_feed(AG$73,,,,feed),$B78,T_choke,d_pipe,1)</f>
        <v>-1</v>
      </c>
      <c r="AH78" s="27" cm="1">
        <f t="array" ref="AH78">[1]!MF_choke_p_atma(d_choke,[1]!encode_feed(AH$73,,,,feed),$B78,T_choke,d_pipe,1)</f>
        <v>-1</v>
      </c>
      <c r="AI78" s="27" cm="1">
        <f t="array" ref="AI78">[1]!MF_choke_p_atma(d_choke,[1]!encode_feed(AI$73,,,,feed),$B78,T_choke,d_pipe,1)</f>
        <v>-1</v>
      </c>
      <c r="AJ78" s="27" cm="1">
        <f t="array" ref="AJ78">[1]!MF_choke_p_atma(d_choke,[1]!encode_feed(AJ$73,,,,feed),$B78,T_choke,d_pipe,1)</f>
        <v>-1</v>
      </c>
      <c r="AK78" s="27" cm="1">
        <f t="array" ref="AK78">[1]!MF_choke_p_atma(d_choke,[1]!encode_feed(AK$73,,,,feed),$B78,T_choke,d_pipe,1)</f>
        <v>-1</v>
      </c>
      <c r="AL78" s="27" cm="1">
        <f t="array" ref="AL78">[1]!MF_choke_p_atma(d_choke,[1]!encode_feed(AL$73,,,,feed),$B78,T_choke,d_pipe,1)</f>
        <v>-1</v>
      </c>
    </row>
    <row r="79" spans="2:38" x14ac:dyDescent="0.25">
      <c r="B79" s="26">
        <v>35</v>
      </c>
      <c r="C79" s="27" cm="1">
        <f t="array" ref="C79">[1]!MF_choke_p_atma(d_choke,[1]!encode_feed(C$73,,,,feed),$B79,T_choke,d_pipe,1)</f>
        <v>35</v>
      </c>
      <c r="D79" s="27" cm="1">
        <f t="array" ref="D79">[1]!MF_choke_p_atma(d_choke,[1]!encode_feed(D$73,,,,feed),$B79,T_choke,d_pipe,1)</f>
        <v>34.766082763671875</v>
      </c>
      <c r="E79" s="27" cm="1">
        <f t="array" ref="E79">[1]!MF_choke_p_atma(d_choke,[1]!encode_feed(E$73,,,,feed),$B79,T_choke,d_pipe,1)</f>
        <v>34.1583251953125</v>
      </c>
      <c r="F79" s="27" cm="1">
        <f t="array" ref="F79">[1]!MF_choke_p_atma(d_choke,[1]!encode_feed(F$73,,,,feed),$B79,T_choke,d_pipe,1)</f>
        <v>33.64776611328125</v>
      </c>
      <c r="G79" s="27" cm="1">
        <f t="array" ref="G79">[1]!MF_choke_p_atma(d_choke,[1]!encode_feed(G$73,,,,feed),$B79,T_choke,d_pipe,1)</f>
        <v>33.189010620117188</v>
      </c>
      <c r="H79" s="27" cm="1">
        <f t="array" ref="H79">[1]!MF_choke_p_atma(d_choke,[1]!encode_feed(H$73,,,,feed),$B79,T_choke,d_pipe,1)</f>
        <v>32.869110107421875</v>
      </c>
      <c r="I79" s="27" cm="1">
        <f t="array" ref="I79">[1]!MF_choke_p_atma(d_choke,[1]!encode_feed(I$73,,,,feed),$B79,T_choke,d_pipe,1)</f>
        <v>32.75909423828125</v>
      </c>
      <c r="J79" s="27" cm="1">
        <f t="array" ref="J79">[1]!MF_choke_p_atma(d_choke,[1]!encode_feed(J$73,,,,feed),$B79,T_choke,d_pipe,1)</f>
        <v>32.75482177734375</v>
      </c>
      <c r="K79" s="27" cm="1">
        <f t="array" ref="K79">[1]!MF_choke_p_atma(d_choke,[1]!encode_feed(K$73,,,,feed),$B79,T_choke,d_pipe,1)</f>
        <v>31.49871826171875</v>
      </c>
      <c r="L79" s="27" cm="1">
        <f t="array" ref="L79">[1]!MF_choke_p_atma(d_choke,[1]!encode_feed(L$73,,,,feed),$B79,T_choke,d_pipe,1)</f>
        <v>30.565185546875</v>
      </c>
      <c r="M79" s="27" cm="1">
        <f t="array" ref="M79">[1]!MF_choke_p_atma(d_choke,[1]!encode_feed(M$73,,,,feed),$B79,T_choke,d_pipe,1)</f>
        <v>30.1251220703125</v>
      </c>
      <c r="N79" s="27" cm="1">
        <f t="array" ref="N79">[1]!MF_choke_p_atma(d_choke,[1]!encode_feed(N$73,,,,feed),$B79,T_choke,d_pipe,1)</f>
        <v>29.6295166015625</v>
      </c>
      <c r="O79" s="27" cm="1">
        <f t="array" ref="O79">[1]!MF_choke_p_atma(d_choke,[1]!encode_feed(O$73,,,,feed),$B79,T_choke,d_pipe,1)</f>
        <v>28.7579345703125</v>
      </c>
      <c r="P79" s="27" cm="1">
        <f t="array" ref="P79">[1]!MF_choke_p_atma(d_choke,[1]!encode_feed(P$73,,,,feed),$B79,T_choke,d_pipe,1)</f>
        <v>28.052978515625</v>
      </c>
      <c r="Q79" s="27" cm="1">
        <f t="array" ref="Q79">[1]!MF_choke_p_atma(d_choke,[1]!encode_feed(Q$73,,,,feed),$B79,T_choke,d_pipe,1)</f>
        <v>27.97607421875</v>
      </c>
      <c r="R79" s="27" cm="1">
        <f t="array" ref="R79">[1]!MF_choke_p_atma(d_choke,[1]!encode_feed(R$73,,,,feed),$B79,T_choke,d_pipe,1)</f>
        <v>-1</v>
      </c>
      <c r="S79" s="27" cm="1">
        <f t="array" ref="S79">[1]!MF_choke_p_atma(d_choke,[1]!encode_feed(S$73,,,,feed),$B79,T_choke,d_pipe,1)</f>
        <v>-1</v>
      </c>
      <c r="T79" s="27" cm="1">
        <f t="array" ref="T79">[1]!MF_choke_p_atma(d_choke,[1]!encode_feed(T$73,,,,feed),$B79,T_choke,d_pipe,1)</f>
        <v>-1</v>
      </c>
      <c r="U79" s="27" cm="1">
        <f t="array" ref="U79">[1]!MF_choke_p_atma(d_choke,[1]!encode_feed(U$73,,,,feed),$B79,T_choke,d_pipe,1)</f>
        <v>-1</v>
      </c>
      <c r="V79" s="27" cm="1">
        <f t="array" ref="V79">[1]!MF_choke_p_atma(d_choke,[1]!encode_feed(V$73,,,,feed),$B79,T_choke,d_pipe,1)</f>
        <v>-1</v>
      </c>
      <c r="W79" s="27" cm="1">
        <f t="array" ref="W79">[1]!MF_choke_p_atma(d_choke,[1]!encode_feed(W$73,,,,feed),$B79,T_choke,d_pipe,1)</f>
        <v>-1</v>
      </c>
      <c r="X79" s="27" cm="1">
        <f t="array" ref="X79">[1]!MF_choke_p_atma(d_choke,[1]!encode_feed(X$73,,,,feed),$B79,T_choke,d_pipe,1)</f>
        <v>-1</v>
      </c>
      <c r="Y79" s="27" cm="1">
        <f t="array" ref="Y79">[1]!MF_choke_p_atma(d_choke,[1]!encode_feed(Y$73,,,,feed),$B79,T_choke,d_pipe,1)</f>
        <v>-1</v>
      </c>
      <c r="Z79" s="27" cm="1">
        <f t="array" ref="Z79">[1]!MF_choke_p_atma(d_choke,[1]!encode_feed(Z$73,,,,feed),$B79,T_choke,d_pipe,1)</f>
        <v>-1</v>
      </c>
      <c r="AA79" s="27" cm="1">
        <f t="array" ref="AA79">[1]!MF_choke_p_atma(d_choke,[1]!encode_feed(AA$73,,,,feed),$B79,T_choke,d_pipe,1)</f>
        <v>-1</v>
      </c>
      <c r="AB79" s="27" cm="1">
        <f t="array" ref="AB79">[1]!MF_choke_p_atma(d_choke,[1]!encode_feed(AB$73,,,,feed),$B79,T_choke,d_pipe,1)</f>
        <v>-1</v>
      </c>
      <c r="AC79" s="27" cm="1">
        <f t="array" ref="AC79">[1]!MF_choke_p_atma(d_choke,[1]!encode_feed(AC$73,,,,feed),$B79,T_choke,d_pipe,1)</f>
        <v>-1</v>
      </c>
      <c r="AD79" s="27" cm="1">
        <f t="array" ref="AD79">[1]!MF_choke_p_atma(d_choke,[1]!encode_feed(AD$73,,,,feed),$B79,T_choke,d_pipe,1)</f>
        <v>-1</v>
      </c>
      <c r="AE79" s="27" cm="1">
        <f t="array" ref="AE79">[1]!MF_choke_p_atma(d_choke,[1]!encode_feed(AE$73,,,,feed),$B79,T_choke,d_pipe,1)</f>
        <v>-1</v>
      </c>
      <c r="AF79" s="27" cm="1">
        <f t="array" ref="AF79">[1]!MF_choke_p_atma(d_choke,[1]!encode_feed(AF$73,,,,feed),$B79,T_choke,d_pipe,1)</f>
        <v>-1</v>
      </c>
      <c r="AG79" s="27" cm="1">
        <f t="array" ref="AG79">[1]!MF_choke_p_atma(d_choke,[1]!encode_feed(AG$73,,,,feed),$B79,T_choke,d_pipe,1)</f>
        <v>-1</v>
      </c>
      <c r="AH79" s="27" cm="1">
        <f t="array" ref="AH79">[1]!MF_choke_p_atma(d_choke,[1]!encode_feed(AH$73,,,,feed),$B79,T_choke,d_pipe,1)</f>
        <v>-1</v>
      </c>
      <c r="AI79" s="27" cm="1">
        <f t="array" ref="AI79">[1]!MF_choke_p_atma(d_choke,[1]!encode_feed(AI$73,,,,feed),$B79,T_choke,d_pipe,1)</f>
        <v>-1</v>
      </c>
      <c r="AJ79" s="27" cm="1">
        <f t="array" ref="AJ79">[1]!MF_choke_p_atma(d_choke,[1]!encode_feed(AJ$73,,,,feed),$B79,T_choke,d_pipe,1)</f>
        <v>-1</v>
      </c>
      <c r="AK79" s="27" cm="1">
        <f t="array" ref="AK79">[1]!MF_choke_p_atma(d_choke,[1]!encode_feed(AK$73,,,,feed),$B79,T_choke,d_pipe,1)</f>
        <v>-1</v>
      </c>
      <c r="AL79" s="27" cm="1">
        <f t="array" ref="AL79">[1]!MF_choke_p_atma(d_choke,[1]!encode_feed(AL$73,,,,feed),$B79,T_choke,d_pipe,1)</f>
        <v>-1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39</vt:i4>
      </vt:variant>
    </vt:vector>
  </HeadingPairs>
  <TitlesOfParts>
    <vt:vector size="40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param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2021-05-18T18:21:44Z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