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E80F331A-CEB9-405B-852B-81D4F6782A21}" xr6:coauthVersionLast="47" xr6:coauthVersionMax="47" xr10:uidLastSave="{00000000-0000-0000-0000-000000000000}"/>
  <bookViews>
    <workbookView xWindow="-103" yWindow="-103" windowWidth="22149" windowHeight="13200" tabRatio="591" xr2:uid="{00000000-000D-0000-FFFF-FFFF00000000}"/>
  </bookViews>
  <sheets>
    <sheet name="exercise_choke" sheetId="120" r:id="rId1"/>
  </sheets>
  <externalReferences>
    <externalReference r:id="rId2"/>
  </externalReferences>
  <definedNames>
    <definedName name="Bob_" localSheetId="0">exercise_choke!$C$18</definedName>
    <definedName name="calc_along_flow">exercise_choke!$G$22</definedName>
    <definedName name="cf_" localSheetId="0">exercise_choke!$C$82</definedName>
    <definedName name="choke_json">exercise_choke!$G$26</definedName>
    <definedName name="d_choke" localSheetId="0">exercise_choke!$C$26</definedName>
    <definedName name="d_pipe" localSheetId="0">exercise_choke!$C$25</definedName>
    <definedName name="feed">exercise_choke!$G$25</definedName>
    <definedName name="fw_" localSheetId="0">exercise_choke!$C$22</definedName>
    <definedName name="gamma_gas_" localSheetId="0">exercise_choke!$C$13</definedName>
    <definedName name="gamma_oil_" localSheetId="0">exercise_choke!$C$11</definedName>
    <definedName name="gamma_wat_" localSheetId="0">exercise_choke!$C$12</definedName>
    <definedName name="gamma_wat_kf_" localSheetId="0">exercise_choke!$C$20</definedName>
    <definedName name="gas_only" localSheetId="0">exercise_choke!$G$22</definedName>
    <definedName name="input_0" localSheetId="0">exercise_choke!$C$11:$C$30</definedName>
    <definedName name="input_1" localSheetId="0">exercise_choke!#REF!</definedName>
    <definedName name="input_2" localSheetId="0">exercise_choke!#REF!</definedName>
    <definedName name="input_3" localSheetId="0">exercise_choke!#REF!</definedName>
    <definedName name="input_4" localSheetId="0">exercise_choke!#REF!</definedName>
    <definedName name="input_Course" localSheetId="0">exercise_choke!$I$3</definedName>
    <definedName name="input_Date" localSheetId="0">exercise_choke!$I$1</definedName>
    <definedName name="input_Group" localSheetId="0">exercise_choke!$I$4</definedName>
    <definedName name="input_Notes" localSheetId="0">exercise_choke!$I$6</definedName>
    <definedName name="input_Student_Name" localSheetId="0">exercise_choke!$I$5</definedName>
    <definedName name="input_Version" localSheetId="0">exercise_choke!$I$2</definedName>
    <definedName name="muob_" localSheetId="0">exercise_choke!$C$19</definedName>
    <definedName name="output_0" localSheetId="0">exercise_choke!#REF!</definedName>
    <definedName name="output_1" localSheetId="0">exercise_choke!#REF!</definedName>
    <definedName name="param">exercise_choke!$I$29</definedName>
    <definedName name="Pb_" localSheetId="0">exercise_choke!$C$16</definedName>
    <definedName name="Pbuf_" localSheetId="0">exercise_choke!$C$28</definedName>
    <definedName name="Plin_" localSheetId="0">exercise_choke!$C$29</definedName>
    <definedName name="PVT_str_wat_" localSheetId="0">exercise_choke!#REF!</definedName>
    <definedName name="PVTstr_" localSheetId="0">exercise_choke!$G$24</definedName>
    <definedName name="qgas_free" localSheetId="0">exercise_choke!$C$30</definedName>
    <definedName name="Qliq_" localSheetId="0">exercise_choke!$C$27</definedName>
    <definedName name="Rp_" localSheetId="0">exercise_choke!$C$15</definedName>
    <definedName name="Rsb_" localSheetId="0">exercise_choke!$C$14</definedName>
    <definedName name="T_choke" localSheetId="0">exercise_choke!$C$23</definedName>
    <definedName name="T_upchoke" localSheetId="0">exercise_choke!$C$23</definedName>
    <definedName name="Tres_" localSheetId="0">exercise_choke!$C$17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89" i="120" l="1"/>
  <c r="H89" i="120"/>
  <c r="G89" i="120"/>
  <c r="F89" i="120"/>
  <c r="E89" i="120"/>
  <c r="D89" i="120"/>
  <c r="AC51" i="120" a="1"/>
  <c r="AC51" i="120" s="1"/>
  <c r="G63" i="120" a="1"/>
  <c r="G62" i="120" a="1"/>
  <c r="C61" i="120" a="1"/>
  <c r="G64" i="120" a="1"/>
  <c r="G66" i="120" a="1"/>
  <c r="G61" i="120" a="1"/>
  <c r="G26" i="120" a="1"/>
  <c r="G65" i="120" a="1"/>
  <c r="I29" i="120" a="1"/>
  <c r="C61" i="120" l="1"/>
  <c r="G62" i="120"/>
  <c r="G66" i="120"/>
  <c r="G65" i="120"/>
  <c r="G64" i="120"/>
  <c r="G63" i="120"/>
  <c r="G61" i="120"/>
  <c r="G26" i="120"/>
  <c r="I29" i="120"/>
  <c r="C90" i="120" a="1"/>
  <c r="C90" i="120" l="1"/>
  <c r="I69" i="120"/>
  <c r="H69" i="120"/>
  <c r="G69" i="120"/>
  <c r="F69" i="120"/>
  <c r="E69" i="120"/>
  <c r="D69" i="120"/>
  <c r="E62" i="120"/>
  <c r="E63" i="120"/>
  <c r="E64" i="120"/>
  <c r="E65" i="120"/>
  <c r="E66" i="120"/>
  <c r="E61" i="120"/>
  <c r="C62" i="120" a="1"/>
  <c r="C63" i="120" a="1"/>
  <c r="C66" i="120" a="1"/>
  <c r="C64" i="120" a="1"/>
  <c r="C65" i="120" a="1"/>
  <c r="C62" i="120" l="1"/>
  <c r="C65" i="120"/>
  <c r="C63" i="120"/>
  <c r="C66" i="120"/>
  <c r="C64" i="120"/>
  <c r="C70" i="120" a="1"/>
  <c r="C70" i="120" l="1"/>
  <c r="E20" i="120" l="1"/>
  <c r="E17" i="120"/>
  <c r="E16" i="120"/>
  <c r="E15" i="120"/>
  <c r="E14" i="120"/>
  <c r="E13" i="120"/>
  <c r="E12" i="120"/>
  <c r="E11" i="120"/>
  <c r="AL4" i="120"/>
  <c r="AL3" i="120"/>
  <c r="AL2" i="120"/>
  <c r="AL1" i="120"/>
  <c r="G1" i="120"/>
  <c r="G24" i="120"/>
  <c r="D62" i="120" a="1"/>
  <c r="D61" i="120" a="1"/>
  <c r="D63" i="120" a="1"/>
  <c r="D66" i="120" a="1"/>
  <c r="D64" i="120" a="1"/>
  <c r="D65" i="120" a="1"/>
  <c r="D64" i="120" l="1"/>
  <c r="D66" i="120"/>
  <c r="D63" i="120"/>
  <c r="D65" i="120"/>
  <c r="D62" i="120"/>
  <c r="D61" i="120"/>
  <c r="H66" i="120" a="1"/>
  <c r="H61" i="120" a="1"/>
  <c r="J66" i="120" a="1"/>
  <c r="J61" i="120" a="1"/>
  <c r="H62" i="120" a="1"/>
  <c r="H63" i="120" a="1"/>
  <c r="G25" i="120" a="1"/>
  <c r="J65" i="120" a="1"/>
  <c r="J64" i="120" a="1"/>
  <c r="J63" i="120" a="1"/>
  <c r="H65" i="120" a="1"/>
  <c r="H64" i="120" a="1"/>
  <c r="J62" i="120" a="1"/>
  <c r="J62" i="120" l="1"/>
  <c r="H62" i="120"/>
  <c r="J65" i="120"/>
  <c r="H65" i="120"/>
  <c r="J63" i="120"/>
  <c r="H63" i="120"/>
  <c r="J66" i="120"/>
  <c r="H66" i="120"/>
  <c r="J64" i="120"/>
  <c r="H64" i="120"/>
  <c r="J61" i="120"/>
  <c r="H61" i="120"/>
  <c r="G25" i="120"/>
  <c r="K63" i="120" a="1"/>
  <c r="W48" i="120" a="1"/>
  <c r="I64" i="120" a="1"/>
  <c r="B50" i="120" a="1"/>
  <c r="I62" i="120" a="1"/>
  <c r="K66" i="120" a="1"/>
  <c r="I66" i="120" a="1"/>
  <c r="K61" i="120" a="1"/>
  <c r="I63" i="120" a="1"/>
  <c r="B35" i="120" a="1"/>
  <c r="T37" i="120" a="1"/>
  <c r="B40" i="120" a="1"/>
  <c r="K64" i="120" a="1"/>
  <c r="B45" i="120" a="1"/>
  <c r="I65" i="120" a="1"/>
  <c r="K62" i="120" a="1"/>
  <c r="I61" i="120" a="1"/>
  <c r="K65" i="120" a="1"/>
  <c r="K66" i="120" l="1"/>
  <c r="K63" i="120"/>
  <c r="K65" i="120"/>
  <c r="K62" i="120"/>
  <c r="K64" i="120"/>
  <c r="K61" i="120"/>
  <c r="B50" i="120"/>
  <c r="B45" i="120"/>
  <c r="B40" i="120"/>
  <c r="B35" i="120"/>
  <c r="W48" i="120"/>
  <c r="T37" i="120"/>
  <c r="I66" i="120"/>
  <c r="I63" i="120"/>
  <c r="I65" i="120"/>
  <c r="I62" i="120"/>
  <c r="I64" i="120"/>
  <c r="I61" i="120"/>
  <c r="N40" i="120" a="1"/>
  <c r="Y51" i="120" a="1"/>
  <c r="D70" i="120" a="1"/>
  <c r="H90" i="120" a="1"/>
  <c r="G90" i="120" a="1"/>
  <c r="N35" i="120" a="1"/>
  <c r="G70" i="120" a="1"/>
  <c r="F90" i="120" a="1"/>
  <c r="H70" i="120" a="1"/>
  <c r="F70" i="120" a="1"/>
  <c r="D90" i="120" a="1"/>
  <c r="V40" i="120" a="1"/>
  <c r="I90" i="120" a="1"/>
  <c r="N45" i="120" a="1"/>
  <c r="N50" i="120" a="1"/>
  <c r="E70" i="120" a="1"/>
  <c r="E90" i="120" a="1"/>
  <c r="I70" i="120" a="1"/>
  <c r="G90" i="120" l="1"/>
  <c r="E90" i="120"/>
  <c r="H90" i="120"/>
  <c r="F90" i="120"/>
  <c r="I90" i="120"/>
  <c r="D90" i="120"/>
  <c r="Y51" i="120"/>
  <c r="V40" i="120"/>
  <c r="E70" i="120"/>
  <c r="N40" i="120"/>
  <c r="N50" i="120"/>
  <c r="N45" i="120"/>
  <c r="N35" i="120"/>
  <c r="G70" i="120"/>
  <c r="H70" i="120"/>
  <c r="F70" i="120"/>
  <c r="I70" i="120"/>
  <c r="D70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<sst xmlns="http://schemas.openxmlformats.org/spreadsheetml/2006/main" count="81" uniqueCount="70">
  <si>
    <t>Физико - химические свойства флюида   PVT</t>
  </si>
  <si>
    <t>м3/м3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</si>
  <si>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</si>
  <si>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</si>
  <si>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</si>
  <si>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</si>
  <si>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</si>
  <si>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</si>
  <si>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</si>
  <si>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Конструкция</t>
  </si>
  <si>
    <t>мм</t>
  </si>
  <si>
    <t>версия</t>
  </si>
  <si>
    <t>PVT строка</t>
  </si>
  <si>
    <t>м3/сут</t>
  </si>
  <si>
    <t>атм</t>
  </si>
  <si>
    <t>Рассчитать линейное давление</t>
  </si>
  <si>
    <t>Рассчитать буферное давление</t>
  </si>
  <si>
    <t>Рассчитать подстроечный параметр</t>
  </si>
  <si>
    <t>Рассчитать дебит через штуцер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</si>
  <si>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</si>
  <si>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</si>
  <si>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</si>
  <si>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</si>
  <si>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</si>
  <si>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</si>
  <si>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</si>
  <si>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</si>
  <si>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</si>
  <si>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</si>
  <si>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</si>
  <si>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</si>
  <si>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</si>
  <si>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пример расчета характеристик штуцера</t>
  </si>
  <si>
    <t>T</t>
  </si>
  <si>
    <r>
      <rPr>
        <sz val="10"/>
        <rFont val="Arial Cyr"/>
      </rPr>
      <t>d</t>
    </r>
    <r>
      <rPr>
        <vertAlign val="subscript"/>
        <sz val="10"/>
        <rFont val="Arial Cyr"/>
      </rPr>
      <t>tub</t>
    </r>
  </si>
  <si>
    <r>
      <t>d</t>
    </r>
    <r>
      <rPr>
        <vertAlign val="subscript"/>
        <sz val="10"/>
        <rFont val="Arial Cyr"/>
      </rPr>
      <t>choke</t>
    </r>
  </si>
  <si>
    <r>
      <t>P</t>
    </r>
    <r>
      <rPr>
        <vertAlign val="subscript"/>
        <sz val="10"/>
        <rFont val="Arial Cyr"/>
      </rPr>
      <t>line</t>
    </r>
  </si>
  <si>
    <r>
      <t>P</t>
    </r>
    <r>
      <rPr>
        <vertAlign val="subscript"/>
        <sz val="10"/>
        <rFont val="Arial Cyr"/>
      </rPr>
      <t>buf</t>
    </r>
  </si>
  <si>
    <r>
      <t>Q</t>
    </r>
    <r>
      <rPr>
        <vertAlign val="subscript"/>
        <sz val="10"/>
        <rFont val="Arial Cyr"/>
      </rPr>
      <t>liq</t>
    </r>
  </si>
  <si>
    <t>Многофазный поток в штуцере</t>
  </si>
  <si>
    <t>https://neutrium.net/wp-content/uploads/2015/01/Choked-Flow1.png</t>
  </si>
  <si>
    <r>
      <t>Q</t>
    </r>
    <r>
      <rPr>
        <vertAlign val="subscript"/>
        <sz val="11"/>
        <color theme="1"/>
        <rFont val="Calibri"/>
        <family val="2"/>
        <charset val="204"/>
      </rPr>
      <t>gas_free</t>
    </r>
  </si>
  <si>
    <t>Поток</t>
  </si>
  <si>
    <t>параметры</t>
  </si>
  <si>
    <t>параметры закодированные</t>
  </si>
  <si>
    <t>Расшифровка лога</t>
  </si>
  <si>
    <t xml:space="preserve"> </t>
  </si>
  <si>
    <t>show_log</t>
  </si>
  <si>
    <t>num_value</t>
  </si>
  <si>
    <t>show_array</t>
  </si>
  <si>
    <t>calc_along_flow</t>
  </si>
  <si>
    <t>дебиты</t>
  </si>
  <si>
    <t>потоки</t>
  </si>
  <si>
    <t>давление лин</t>
  </si>
  <si>
    <t>расчет</t>
  </si>
  <si>
    <t>давления</t>
  </si>
  <si>
    <t>диаметр</t>
  </si>
  <si>
    <t>д1</t>
  </si>
  <si>
    <t>д2</t>
  </si>
  <si>
    <t>д3</t>
  </si>
  <si>
    <t>д4</t>
  </si>
  <si>
    <t>д5</t>
  </si>
  <si>
    <t>д6</t>
  </si>
  <si>
    <t>Q</t>
  </si>
  <si>
    <t>Второй набор характеристик</t>
  </si>
  <si>
    <t>Построим характеристики c использованием функций поддерживающих списки в исходных данных</t>
  </si>
  <si>
    <t>show_json</t>
  </si>
  <si>
    <t>Пример работы с макросами Unifloc VBA</t>
  </si>
  <si>
    <t>Штуцер</t>
  </si>
  <si>
    <t>штуцер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</si>
</sst>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0.0"/>
    <numFmt numFmtId="166" formatCode="0.000"/>
  </numFmts>
  <fonts count="18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0"/>
      <color theme="1"/>
      <name val="Arial Cyr"/>
      <charset val="204"/>
    </font>
    <font>
      <vertAlign val="super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bscript"/>
      <sz val="10"/>
      <name val="Arial Cyr"/>
    </font>
    <font>
      <sz val="10"/>
      <name val="Arial Cyr"/>
    </font>
    <font>
      <u/>
      <sz val="10"/>
      <color theme="10"/>
      <name val="Arial Cyr"/>
      <charset val="204"/>
    </font>
    <font>
      <sz val="8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3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horizontal="center"/>
    </xf>
    <xf numFmtId="0" fontId="8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8" fillId="4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0" fontId="11" fillId="4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4" borderId="0" xfId="0" applyFill="1"/>
    <xf numFmtId="0" fontId="0" fillId="0" borderId="5" xfId="0" applyBorder="1"/>
    <xf numFmtId="0" fontId="0" fillId="3" borderId="0" xfId="0" applyFill="1"/>
    <xf numFmtId="0" fontId="16" fillId="0" borderId="0" xfId="8"/>
    <xf numFmtId="0" fontId="8" fillId="4" borderId="4" xfId="0" applyFont="1" applyFill="1" applyBorder="1" applyAlignment="1">
      <alignment horizontal="center" wrapText="1"/>
    </xf>
    <xf numFmtId="0" fontId="0" fillId="2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6" borderId="0" xfId="0" applyFill="1"/>
    <xf numFmtId="0" fontId="0" fillId="7" borderId="0" xfId="0" applyFill="1"/>
    <xf numFmtId="165" fontId="0" fillId="0" borderId="0" xfId="0" applyNumberFormat="1"/>
    <xf numFmtId="2" fontId="0" fillId="0" borderId="0" xfId="0" applyNumberFormat="1" applyAlignment="1">
      <alignment horizontal="center"/>
    </xf>
    <xf numFmtId="166" fontId="0" fillId="3" borderId="0" xfId="0" applyNumberFormat="1" applyFill="1" applyAlignment="1">
      <alignment horizontal="left"/>
    </xf>
    <xf numFmtId="165" fontId="0" fillId="3" borderId="0" xfId="0" applyNumberFormat="1" applyFill="1" applyAlignment="1">
      <alignment horizontal="left"/>
    </xf>
    <xf numFmtId="0" fontId="0" fillId="3" borderId="0" xfId="0" applyFill="1" applyAlignment="1">
      <alignment horizontal="left"/>
    </xf>
    <xf numFmtId="2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left"/>
    </xf>
    <xf numFmtId="1" fontId="0" fillId="0" borderId="0" xfId="0" applyNumberFormat="1"/>
    <xf numFmtId="1" fontId="0" fillId="3" borderId="0" xfId="0" applyNumberFormat="1" applyFill="1" applyAlignment="1">
      <alignment horizontal="left"/>
    </xf>
    <xf numFmtId="2" fontId="0" fillId="0" borderId="0" xfId="0" applyNumberFormat="1"/>
    <xf numFmtId="14" fontId="0" fillId="0" borderId="0" xfId="0" applyNumberFormat="1"/>
  </cellXfs>
  <cellStyles count="9">
    <cellStyle name="Iau?iue_AA_1" xfId="1" xr:uid="{00000000-0005-0000-0000-000000000000}"/>
    <cellStyle name="Гиперссылка" xfId="8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Давление</a:t>
            </a:r>
            <a:r>
              <a:rPr lang="ru-RU" baseline="0"/>
              <a:t> на входе от дебита пр разных давлениях на выходе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4"/>
          <c:order val="0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4228-43D2-8AEE-DD7FCF9E776F}"/>
            </c:ext>
          </c:extLst>
        </c:ser>
        <c:ser>
          <c:idx val="0"/>
          <c:order val="1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4228-43D2-8AEE-DD7FCF9E776F}"/>
            </c:ext>
          </c:extLst>
        </c:ser>
        <c:ser>
          <c:idx val="2"/>
          <c:order val="2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4228-43D2-8AEE-DD7FCF9E776F}"/>
            </c:ext>
          </c:extLst>
        </c:ser>
        <c:ser>
          <c:idx val="1"/>
          <c:order val="3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4228-43D2-8AEE-DD7FCF9E776F}"/>
            </c:ext>
          </c:extLst>
        </c:ser>
        <c:ser>
          <c:idx val="5"/>
          <c:order val="4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4228-43D2-8AEE-DD7FCF9E776F}"/>
            </c:ext>
          </c:extLst>
        </c:ser>
        <c:ser>
          <c:idx val="3"/>
          <c:order val="5"/>
          <c:xVal>
            <c:numRef>
              <c:f>exercise_choke!#REF!</c:f>
            </c:numRef>
          </c:xVal>
          <c:yVal>
            <c:numRef>
              <c:f>exercise_choke!#REF!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exercise_choke!#REF!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4228-43D2-8AEE-DD7FCF9E7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4139136"/>
        <c:axId val="374139712"/>
      </c:scatterChart>
      <c:valAx>
        <c:axId val="3741391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712"/>
        <c:crosses val="autoZero"/>
        <c:crossBetween val="midCat"/>
      </c:valAx>
      <c:valAx>
        <c:axId val="3741397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en-US"/>
                  <a:t>,</a:t>
                </a:r>
                <a:r>
                  <a:rPr lang="ru-RU"/>
                  <a:t> на входе</a:t>
                </a:r>
                <a:r>
                  <a:rPr lang="en-US" baseline="0"/>
                  <a:t>  </a:t>
                </a:r>
                <a:r>
                  <a:rPr lang="ru-RU" baseline="0"/>
                  <a:t>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741391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штуцера - давление на входе от дебита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exercise_choke!$D$69</c:f>
              <c:strCache>
                <c:ptCount val="1"/>
                <c:pt idx="0">
                  <c:v>d = 3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exercise_choke!$D$70:$D$81</c:f>
              <c:numCache>
                <c:formatCode>0.00</c:formatCode>
                <c:ptCount val="12"/>
                <c:pt idx="0">
                  <c:v>12.071</c:v>
                </c:pt>
                <c:pt idx="1">
                  <c:v>13.97</c:v>
                </c:pt>
                <c:pt idx="2">
                  <c:v>19.966999999999999</c:v>
                </c:pt>
                <c:pt idx="3">
                  <c:v>28.702000000000002</c:v>
                </c:pt>
                <c:pt idx="4">
                  <c:v>37.250999999999998</c:v>
                </c:pt>
                <c:pt idx="5">
                  <c:v>45.564999999999998</c:v>
                </c:pt>
                <c:pt idx="6">
                  <c:v>53.64</c:v>
                </c:pt>
                <c:pt idx="7">
                  <c:v>61.438000000000002</c:v>
                </c:pt>
                <c:pt idx="8">
                  <c:v>68.962000000000003</c:v>
                </c:pt>
                <c:pt idx="9">
                  <c:v>76.203999999999994</c:v>
                </c:pt>
                <c:pt idx="10">
                  <c:v>83.234999999999999</c:v>
                </c:pt>
                <c:pt idx="11" formatCode="General">
                  <c:v>90.090999999999994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81-4BC9-A537-61CC5E30F922}"/>
            </c:ext>
          </c:extLst>
        </c:ser>
        <c:ser>
          <c:idx val="1"/>
          <c:order val="1"/>
          <c:tx>
            <c:strRef>
              <c:f>exercise_choke!$E$69</c:f>
              <c:strCache>
                <c:ptCount val="1"/>
                <c:pt idx="0">
                  <c:v>d = 4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exercise_choke!$E$70:$E$81</c:f>
              <c:numCache>
                <c:formatCode>General</c:formatCode>
                <c:ptCount val="12"/>
                <c:pt idx="0" formatCode="0.00">
                  <c:v>12.022</c:v>
                </c:pt>
                <c:pt idx="1">
                  <c:v>14.558</c:v>
                </c:pt>
                <c:pt idx="2">
                  <c:v>23.675000000000001</c:v>
                </c:pt>
                <c:pt idx="3">
                  <c:v>34.597000000000001</c:v>
                </c:pt>
                <c:pt idx="4">
                  <c:v>45.185000000000002</c:v>
                </c:pt>
                <c:pt idx="5">
                  <c:v>55.368000000000002</c:v>
                </c:pt>
                <c:pt idx="6">
                  <c:v>65.117999999999995</c:v>
                </c:pt>
                <c:pt idx="7">
                  <c:v>74.417000000000002</c:v>
                </c:pt>
                <c:pt idx="8">
                  <c:v>83.340999999999994</c:v>
                </c:pt>
                <c:pt idx="9">
                  <c:v>91.96</c:v>
                </c:pt>
                <c:pt idx="10">
                  <c:v>100.063</c:v>
                </c:pt>
                <c:pt idx="11">
                  <c:v>107.646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A81-4BC9-A537-61CC5E30F922}"/>
            </c:ext>
          </c:extLst>
        </c:ser>
        <c:ser>
          <c:idx val="2"/>
          <c:order val="2"/>
          <c:tx>
            <c:strRef>
              <c:f>exercise_choke!$F$69</c:f>
              <c:strCache>
                <c:ptCount val="1"/>
                <c:pt idx="0">
                  <c:v>d = 6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exercise_choke!$F$70:$F$81</c:f>
              <c:numCache>
                <c:formatCode>General</c:formatCode>
                <c:ptCount val="12"/>
                <c:pt idx="0" formatCode="0.00">
                  <c:v>12.004</c:v>
                </c:pt>
                <c:pt idx="1">
                  <c:v>12.452999999999999</c:v>
                </c:pt>
                <c:pt idx="2">
                  <c:v>13.749000000000001</c:v>
                </c:pt>
                <c:pt idx="3">
                  <c:v>16.241</c:v>
                </c:pt>
                <c:pt idx="4">
                  <c:v>20.518000000000001</c:v>
                </c:pt>
                <c:pt idx="5">
                  <c:v>25.443999999999999</c:v>
                </c:pt>
                <c:pt idx="6">
                  <c:v>30.318999999999999</c:v>
                </c:pt>
                <c:pt idx="7">
                  <c:v>35.130000000000003</c:v>
                </c:pt>
                <c:pt idx="8">
                  <c:v>39.869999999999997</c:v>
                </c:pt>
                <c:pt idx="9">
                  <c:v>44.54</c:v>
                </c:pt>
                <c:pt idx="10">
                  <c:v>49.128</c:v>
                </c:pt>
                <c:pt idx="11">
                  <c:v>53.634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A81-4BC9-A537-61CC5E30F922}"/>
            </c:ext>
          </c:extLst>
        </c:ser>
        <c:ser>
          <c:idx val="3"/>
          <c:order val="3"/>
          <c:tx>
            <c:strRef>
              <c:f>exercise_choke!$G$69</c:f>
              <c:strCache>
                <c:ptCount val="1"/>
                <c:pt idx="0">
                  <c:v>d = 8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exercise_choke!$G$70:$G$81</c:f>
              <c:numCache>
                <c:formatCode>General</c:formatCode>
                <c:ptCount val="12"/>
                <c:pt idx="0" formatCode="0.00">
                  <c:v>12.000999999999999</c:v>
                </c:pt>
                <c:pt idx="1">
                  <c:v>12.14</c:v>
                </c:pt>
                <c:pt idx="2">
                  <c:v>12.515000000000001</c:v>
                </c:pt>
                <c:pt idx="3">
                  <c:v>13.159000000000001</c:v>
                </c:pt>
                <c:pt idx="4">
                  <c:v>14.125</c:v>
                </c:pt>
                <c:pt idx="5">
                  <c:v>15.5</c:v>
                </c:pt>
                <c:pt idx="6">
                  <c:v>17.401</c:v>
                </c:pt>
                <c:pt idx="7">
                  <c:v>19.966999999999999</c:v>
                </c:pt>
                <c:pt idx="8">
                  <c:v>22.748999999999999</c:v>
                </c:pt>
                <c:pt idx="9">
                  <c:v>25.515000000000001</c:v>
                </c:pt>
                <c:pt idx="10">
                  <c:v>28.263000000000002</c:v>
                </c:pt>
                <c:pt idx="11">
                  <c:v>30.992999999999999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A81-4BC9-A537-61CC5E30F922}"/>
            </c:ext>
          </c:extLst>
        </c:ser>
        <c:ser>
          <c:idx val="4"/>
          <c:order val="4"/>
          <c:tx>
            <c:strRef>
              <c:f>exercise_choke!$H$69</c:f>
              <c:strCache>
                <c:ptCount val="1"/>
                <c:pt idx="0">
                  <c:v>d = 10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exercise_choke!$H$70:$H$81</c:f>
              <c:numCache>
                <c:formatCode>General</c:formatCode>
                <c:ptCount val="12"/>
                <c:pt idx="0" formatCode="0.00">
                  <c:v>12.000999999999999</c:v>
                </c:pt>
                <c:pt idx="1">
                  <c:v>12.055999999999999</c:v>
                </c:pt>
                <c:pt idx="2">
                  <c:v>12.205</c:v>
                </c:pt>
                <c:pt idx="3">
                  <c:v>12.452999999999999</c:v>
                </c:pt>
                <c:pt idx="4">
                  <c:v>12.805999999999999</c:v>
                </c:pt>
                <c:pt idx="5">
                  <c:v>13.279</c:v>
                </c:pt>
                <c:pt idx="6">
                  <c:v>13.887</c:v>
                </c:pt>
                <c:pt idx="7">
                  <c:v>14.654999999999999</c:v>
                </c:pt>
                <c:pt idx="8">
                  <c:v>15.608000000000001</c:v>
                </c:pt>
                <c:pt idx="9">
                  <c:v>16.786000000000001</c:v>
                </c:pt>
                <c:pt idx="10">
                  <c:v>18.231000000000002</c:v>
                </c:pt>
                <c:pt idx="11">
                  <c:v>19.966000000000001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A81-4BC9-A537-61CC5E30F922}"/>
            </c:ext>
          </c:extLst>
        </c:ser>
        <c:ser>
          <c:idx val="5"/>
          <c:order val="5"/>
          <c:tx>
            <c:strRef>
              <c:f>exercise_choke!$I$69</c:f>
              <c:strCache>
                <c:ptCount val="1"/>
                <c:pt idx="0">
                  <c:v>d = 12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exercise_choke!$C$70:$C$81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exercise_choke!$I$70:$I$81</c:f>
              <c:numCache>
                <c:formatCode>General</c:formatCode>
                <c:ptCount val="12"/>
                <c:pt idx="0" formatCode="0.00">
                  <c:v>12</c:v>
                </c:pt>
                <c:pt idx="1">
                  <c:v>12.026999999999999</c:v>
                </c:pt>
                <c:pt idx="2">
                  <c:v>12.097</c:v>
                </c:pt>
                <c:pt idx="3">
                  <c:v>12.212999999999999</c:v>
                </c:pt>
                <c:pt idx="4">
                  <c:v>12.375</c:v>
                </c:pt>
                <c:pt idx="5">
                  <c:v>12.587</c:v>
                </c:pt>
                <c:pt idx="6">
                  <c:v>12.853</c:v>
                </c:pt>
                <c:pt idx="7">
                  <c:v>13.176</c:v>
                </c:pt>
                <c:pt idx="8">
                  <c:v>13.561999999999999</c:v>
                </c:pt>
                <c:pt idx="9">
                  <c:v>14.019</c:v>
                </c:pt>
                <c:pt idx="10">
                  <c:v>14.555999999999999</c:v>
                </c:pt>
                <c:pt idx="11">
                  <c:v>15.182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A81-4BC9-A537-61CC5E30F9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442272"/>
        <c:axId val="2140438528"/>
      </c:scatterChart>
      <c:valAx>
        <c:axId val="2140442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438528"/>
        <c:crosses val="autoZero"/>
        <c:crossBetween val="midCat"/>
      </c:valAx>
      <c:valAx>
        <c:axId val="2140438528"/>
        <c:scaling>
          <c:orientation val="minMax"/>
          <c:max val="15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на входе в штуцер,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40442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Характеристика штуцера - давление на выходе от дебита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exercise_choke!$D$89</c:f>
              <c:strCache>
                <c:ptCount val="1"/>
                <c:pt idx="0">
                  <c:v>d = 3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exercise_choke!$C$90:$C$101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exercise_choke!$D$90:$D$101</c:f>
              <c:numCache>
                <c:formatCode>0.00</c:formatCode>
                <c:ptCount val="12"/>
                <c:pt idx="0">
                  <c:v>11.928000000000001</c:v>
                </c:pt>
                <c:pt idx="1">
                  <c:v>9.3379999999999992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 formatCode="General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28-45D8-9D44-24DA69E5A86A}"/>
            </c:ext>
          </c:extLst>
        </c:ser>
        <c:ser>
          <c:idx val="1"/>
          <c:order val="1"/>
          <c:tx>
            <c:strRef>
              <c:f>exercise_choke!$E$89</c:f>
              <c:strCache>
                <c:ptCount val="1"/>
                <c:pt idx="0">
                  <c:v>d = 4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exercise_choke!$C$90:$C$101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exercise_choke!$E$90:$E$101</c:f>
              <c:numCache>
                <c:formatCode>General</c:formatCode>
                <c:ptCount val="12"/>
                <c:pt idx="0" formatCode="0.00">
                  <c:v>11.977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28-45D8-9D44-24DA69E5A86A}"/>
            </c:ext>
          </c:extLst>
        </c:ser>
        <c:ser>
          <c:idx val="2"/>
          <c:order val="2"/>
          <c:tx>
            <c:strRef>
              <c:f>exercise_choke!$F$89</c:f>
              <c:strCache>
                <c:ptCount val="1"/>
                <c:pt idx="0">
                  <c:v>d = 6</c:v>
                </c:pt>
              </c:strCache>
            </c:strRef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exercise_choke!$C$90:$C$101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exercise_choke!$F$90:$F$101</c:f>
              <c:numCache>
                <c:formatCode>General</c:formatCode>
                <c:ptCount val="12"/>
                <c:pt idx="0" formatCode="0.00">
                  <c:v>11.996</c:v>
                </c:pt>
                <c:pt idx="1">
                  <c:v>11.53</c:v>
                </c:pt>
                <c:pt idx="2">
                  <c:v>9.7880000000000003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28-45D8-9D44-24DA69E5A86A}"/>
            </c:ext>
          </c:extLst>
        </c:ser>
        <c:ser>
          <c:idx val="3"/>
          <c:order val="3"/>
          <c:tx>
            <c:strRef>
              <c:f>exercise_choke!$G$89</c:f>
              <c:strCache>
                <c:ptCount val="1"/>
                <c:pt idx="0">
                  <c:v>d = 8</c:v>
                </c:pt>
              </c:strCache>
            </c:strRef>
          </c:tx>
          <c:spPr>
            <a:ln w="22225" cap="rnd">
              <a:solidFill>
                <a:schemeClr val="accent2">
                  <a:lumMod val="60000"/>
                </a:schemeClr>
              </a:solidFill>
            </a:ln>
            <a:effectLst>
              <a:glow rad="139700">
                <a:schemeClr val="accent2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exercise_choke!$C$90:$C$101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exercise_choke!$G$90:$G$101</c:f>
              <c:numCache>
                <c:formatCode>General</c:formatCode>
                <c:ptCount val="12"/>
                <c:pt idx="0" formatCode="0.00">
                  <c:v>11.999000000000001</c:v>
                </c:pt>
                <c:pt idx="1">
                  <c:v>11.859</c:v>
                </c:pt>
                <c:pt idx="2">
                  <c:v>11.462</c:v>
                </c:pt>
                <c:pt idx="3">
                  <c:v>10.693</c:v>
                </c:pt>
                <c:pt idx="4">
                  <c:v>8.8949999999999996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28-45D8-9D44-24DA69E5A86A}"/>
            </c:ext>
          </c:extLst>
        </c:ser>
        <c:ser>
          <c:idx val="4"/>
          <c:order val="4"/>
          <c:tx>
            <c:strRef>
              <c:f>exercise_choke!$H$89</c:f>
              <c:strCache>
                <c:ptCount val="1"/>
                <c:pt idx="0">
                  <c:v>d = 10</c:v>
                </c:pt>
              </c:strCache>
            </c:strRef>
          </c:tx>
          <c:spPr>
            <a:ln w="22225" cap="rnd">
              <a:solidFill>
                <a:schemeClr val="accent4">
                  <a:lumMod val="60000"/>
                </a:schemeClr>
              </a:solidFill>
            </a:ln>
            <a:effectLst>
              <a:glow rad="139700">
                <a:schemeClr val="accent4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exercise_choke!$C$90:$C$101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exercise_choke!$H$90:$H$101</c:f>
              <c:numCache>
                <c:formatCode>General</c:formatCode>
                <c:ptCount val="12"/>
                <c:pt idx="0" formatCode="0.00">
                  <c:v>11.999000000000001</c:v>
                </c:pt>
                <c:pt idx="1">
                  <c:v>11.943</c:v>
                </c:pt>
                <c:pt idx="2">
                  <c:v>11.791</c:v>
                </c:pt>
                <c:pt idx="3">
                  <c:v>11.53</c:v>
                </c:pt>
                <c:pt idx="4">
                  <c:v>11.132</c:v>
                </c:pt>
                <c:pt idx="5">
                  <c:v>10.529</c:v>
                </c:pt>
                <c:pt idx="6">
                  <c:v>9.5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28-45D8-9D44-24DA69E5A86A}"/>
            </c:ext>
          </c:extLst>
        </c:ser>
        <c:ser>
          <c:idx val="5"/>
          <c:order val="5"/>
          <c:tx>
            <c:strRef>
              <c:f>exercise_choke!$I$89</c:f>
              <c:strCache>
                <c:ptCount val="1"/>
                <c:pt idx="0">
                  <c:v>d = 12</c:v>
                </c:pt>
              </c:strCache>
            </c:strRef>
          </c:tx>
          <c:spPr>
            <a:ln w="22225" cap="rnd">
              <a:solidFill>
                <a:schemeClr val="accent6">
                  <a:lumMod val="60000"/>
                </a:schemeClr>
              </a:solidFill>
            </a:ln>
            <a:effectLst>
              <a:glow rad="139700">
                <a:schemeClr val="accent6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exercise_choke!$C$90:$C$101</c:f>
              <c:numCache>
                <c:formatCode>0.00</c:formatCode>
                <c:ptCount val="12"/>
                <c:pt idx="0">
                  <c:v>1</c:v>
                </c:pt>
                <c:pt idx="1">
                  <c:v>5</c:v>
                </c:pt>
                <c:pt idx="2">
                  <c:v>9</c:v>
                </c:pt>
                <c:pt idx="3">
                  <c:v>13</c:v>
                </c:pt>
                <c:pt idx="4">
                  <c:v>17</c:v>
                </c:pt>
                <c:pt idx="5">
                  <c:v>21</c:v>
                </c:pt>
                <c:pt idx="6">
                  <c:v>25</c:v>
                </c:pt>
                <c:pt idx="7">
                  <c:v>29</c:v>
                </c:pt>
                <c:pt idx="8">
                  <c:v>33</c:v>
                </c:pt>
                <c:pt idx="9">
                  <c:v>37</c:v>
                </c:pt>
                <c:pt idx="10">
                  <c:v>41</c:v>
                </c:pt>
                <c:pt idx="11" formatCode="General">
                  <c:v>45</c:v>
                </c:pt>
              </c:numCache>
            </c:numRef>
          </c:xVal>
          <c:yVal>
            <c:numRef>
              <c:f>exercise_choke!$I$90:$I$101</c:f>
              <c:numCache>
                <c:formatCode>General</c:formatCode>
                <c:ptCount val="12"/>
                <c:pt idx="0" formatCode="0.00">
                  <c:v>12</c:v>
                </c:pt>
                <c:pt idx="1">
                  <c:v>11.973000000000001</c:v>
                </c:pt>
                <c:pt idx="2">
                  <c:v>11.901999999999999</c:v>
                </c:pt>
                <c:pt idx="3">
                  <c:v>11.784000000000001</c:v>
                </c:pt>
                <c:pt idx="4">
                  <c:v>11.613</c:v>
                </c:pt>
                <c:pt idx="5">
                  <c:v>11.382999999999999</c:v>
                </c:pt>
                <c:pt idx="6">
                  <c:v>11.077</c:v>
                </c:pt>
                <c:pt idx="7">
                  <c:v>10.669</c:v>
                </c:pt>
                <c:pt idx="8">
                  <c:v>10.101000000000001</c:v>
                </c:pt>
                <c:pt idx="9">
                  <c:v>9.1669999999999998</c:v>
                </c:pt>
                <c:pt idx="10">
                  <c:v>-1</c:v>
                </c:pt>
                <c:pt idx="1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B28-45D8-9D44-24DA69E5A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345456"/>
        <c:axId val="58340880"/>
      </c:scatterChart>
      <c:valAx>
        <c:axId val="583454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жидкости, м3/сут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340880"/>
        <c:crosses val="autoZero"/>
        <c:crossBetween val="midCat"/>
      </c:valAx>
      <c:valAx>
        <c:axId val="5834088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 на выходе,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345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5" Type="http://schemas.openxmlformats.org/officeDocument/2006/relationships/chart" Target="../charts/chart2.xml"/><Relationship Id="rId4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377460</xdr:colOff>
      <xdr:row>5</xdr:row>
      <xdr:rowOff>109743</xdr:rowOff>
    </xdr:from>
    <xdr:to>
      <xdr:col>48</xdr:col>
      <xdr:colOff>306021</xdr:colOff>
      <xdr:row>17</xdr:row>
      <xdr:rowOff>6598</xdr:rowOff>
    </xdr:to>
    <xdr:grpSp>
      <xdr:nvGrpSpPr>
        <xdr:cNvPr id="2" name="Группа 1">
          <a:extLst>
            <a:ext uri="{FF2B5EF4-FFF2-40B4-BE49-F238E27FC236}">
              <a16:creationId xmlns:a16="http://schemas.microsoft.com/office/drawing/2014/main" id="{3FA2B49B-5F5C-4BA1-BD0A-AAA0C5B86DEE}"/>
            </a:ext>
          </a:extLst>
        </xdr:cNvPr>
        <xdr:cNvGrpSpPr/>
      </xdr:nvGrpSpPr>
      <xdr:grpSpPr>
        <a:xfrm>
          <a:off x="23623903" y="898957"/>
          <a:ext cx="5567361" cy="2237284"/>
          <a:chOff x="16219419" y="824119"/>
          <a:chExt cx="5235640" cy="2241585"/>
        </a:xfrm>
      </xdr:grpSpPr>
      <xdr:pic>
        <xdr:nvPicPr>
          <xdr:cNvPr id="3" name="Рисунок 2">
            <a:extLst>
              <a:ext uri="{FF2B5EF4-FFF2-40B4-BE49-F238E27FC236}">
                <a16:creationId xmlns:a16="http://schemas.microsoft.com/office/drawing/2014/main" id="{D29F6E5B-A749-4F76-9036-1CB210B2CB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6219419" y="824119"/>
            <a:ext cx="5181600" cy="2241585"/>
          </a:xfrm>
          <a:prstGeom prst="rect">
            <a:avLst/>
          </a:prstGeom>
        </xdr:spPr>
      </xdr:pic>
      <xdr:sp macro="" textlink="$AL$4">
        <xdr:nvSpPr>
          <xdr:cNvPr id="4" name="TextBox 3">
            <a:extLst>
              <a:ext uri="{FF2B5EF4-FFF2-40B4-BE49-F238E27FC236}">
                <a16:creationId xmlns:a16="http://schemas.microsoft.com/office/drawing/2014/main" id="{731C0962-EAEA-496B-8F71-C42F7B21C3D8}"/>
              </a:ext>
            </a:extLst>
          </xdr:cNvPr>
          <xdr:cNvSpPr txBox="1"/>
        </xdr:nvSpPr>
        <xdr:spPr>
          <a:xfrm>
            <a:off x="17183611" y="2079857"/>
            <a:ext cx="1085051" cy="43329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fld id="{45FF6FD8-BAD0-44CF-AEFC-997364D34A00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 = 10 m3/day</a:t>
            </a:fld>
            <a:endParaRPr lang="ru-RU" sz="1100"/>
          </a:p>
        </xdr:txBody>
      </xdr:sp>
      <xdr:sp macro="" textlink="$AL$2">
        <xdr:nvSpPr>
          <xdr:cNvPr id="5" name="TextBox 4">
            <a:extLst>
              <a:ext uri="{FF2B5EF4-FFF2-40B4-BE49-F238E27FC236}">
                <a16:creationId xmlns:a16="http://schemas.microsoft.com/office/drawing/2014/main" id="{0508F4C2-B779-4969-8838-91C4FC1A18EC}"/>
              </a:ext>
            </a:extLst>
          </xdr:cNvPr>
          <xdr:cNvSpPr txBox="1"/>
        </xdr:nvSpPr>
        <xdr:spPr>
          <a:xfrm>
            <a:off x="16282055" y="2085145"/>
            <a:ext cx="1005818" cy="2537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BE629589-C801-45D0-9F9B-4A25698968FA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Pbuf = 23 atm</a:t>
            </a:fld>
            <a:endParaRPr lang="ru-RU" sz="1100"/>
          </a:p>
        </xdr:txBody>
      </xdr:sp>
      <xdr:sp macro="" textlink="$AL$3">
        <xdr:nvSpPr>
          <xdr:cNvPr id="6" name="TextBox 5">
            <a:extLst>
              <a:ext uri="{FF2B5EF4-FFF2-40B4-BE49-F238E27FC236}">
                <a16:creationId xmlns:a16="http://schemas.microsoft.com/office/drawing/2014/main" id="{45B8C902-49CF-448D-B135-6C321B60420B}"/>
              </a:ext>
            </a:extLst>
          </xdr:cNvPr>
          <xdr:cNvSpPr txBox="1"/>
        </xdr:nvSpPr>
        <xdr:spPr>
          <a:xfrm>
            <a:off x="20332250" y="2085146"/>
            <a:ext cx="1122809" cy="2537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6CF60EE7-1DAD-4C9F-96CC-9584DA32B2C6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Pline = 12 atm</a:t>
            </a:fld>
            <a:endParaRPr lang="ru-RU" sz="1100"/>
          </a:p>
        </xdr:txBody>
      </xdr:sp>
      <xdr:sp macro="" textlink="$AL$1">
        <xdr:nvSpPr>
          <xdr:cNvPr id="7" name="TextBox 6">
            <a:extLst>
              <a:ext uri="{FF2B5EF4-FFF2-40B4-BE49-F238E27FC236}">
                <a16:creationId xmlns:a16="http://schemas.microsoft.com/office/drawing/2014/main" id="{9BFC706A-4B2A-4824-88CE-9635A831EE95}"/>
              </a:ext>
            </a:extLst>
          </xdr:cNvPr>
          <xdr:cNvSpPr txBox="1"/>
        </xdr:nvSpPr>
        <xdr:spPr>
          <a:xfrm>
            <a:off x="18468664" y="1789043"/>
            <a:ext cx="1390959" cy="2537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fld id="{34546ADC-568F-4B56-904D-9EBCA46BFF7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dchoke = 12 mm</a:t>
            </a:fld>
            <a:endParaRPr lang="ru-RU" sz="1100"/>
          </a:p>
        </xdr:txBody>
      </xdr:sp>
    </xdr:grpSp>
    <xdr:clientData/>
  </xdr:twoCellAnchor>
  <xdr:twoCellAnchor>
    <xdr:from>
      <xdr:col>6</xdr:col>
      <xdr:colOff>468272</xdr:colOff>
      <xdr:row>2</xdr:row>
      <xdr:rowOff>0</xdr:rowOff>
    </xdr:from>
    <xdr:to>
      <xdr:col>18</xdr:col>
      <xdr:colOff>58027</xdr:colOff>
      <xdr:row>18</xdr:row>
      <xdr:rowOff>220523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BD31DD71-C8CF-4FAC-9E29-7816EF1B1D62}"/>
            </a:ext>
          </a:extLst>
        </xdr:cNvPr>
        <xdr:cNvSpPr txBox="1"/>
      </xdr:nvSpPr>
      <xdr:spPr>
        <a:xfrm>
          <a:off x="5620055" y="331304"/>
          <a:ext cx="7425102" cy="3442458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Пример расчета потока через штуцер. Расчет может проводится в нескольких вариантах. </a:t>
          </a:r>
        </a:p>
        <a:p>
          <a:pPr marL="0" indent="0">
            <a:buFont typeface="Arial" panose="020B0604020202020204" pitchFamily="34" charset="0"/>
            <a:buNone/>
          </a:pPr>
          <a:endParaRPr lang="ru-RU" sz="1100" baseline="0"/>
        </a:p>
        <a:p>
          <a:pPr marL="0" indent="0">
            <a:buFont typeface="Arial" panose="020B0604020202020204" pitchFamily="34" charset="0"/>
            <a:buNone/>
          </a:pPr>
          <a:r>
            <a:rPr lang="ru-RU" sz="1100" baseline="0"/>
            <a:t>Выполните следующие задания.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калибровочный коэффициент штуцера для заданных параметров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давления на выходе из штуцера от дебита при различных диаметрах и давлениях на входе с учетом калибровочного коэффициента. Подстройте ось дебитов вручную если необходимо.</a:t>
          </a:r>
          <a:endParaRPr lang="en-US" sz="1100" baseline="0"/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Arial" panose="020B0604020202020204" pitchFamily="34" charset="0"/>
            <a:buChar char="•"/>
            <a:tabLst/>
            <a:defRPr/>
          </a:pPr>
          <a:r>
            <a:rPr lang="ru-RU" sz="1100" baseline="0"/>
            <a:t>Постройте зависимость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давления на входе в штуцер от дебита  с учетом калибровочного коэффициента. Подстройте ось дебитов вручную если необходимо </a:t>
          </a:r>
          <a:endParaRPr lang="en-US" sz="1100"/>
        </a:p>
        <a:p>
          <a:endParaRPr lang="ru-RU" sz="1100" baseline="0"/>
        </a:p>
        <a:p>
          <a:endParaRPr lang="ru-RU" sz="1100" baseline="0"/>
        </a:p>
        <a:p>
          <a:r>
            <a:rPr lang="ru-RU" sz="1100" baseline="0"/>
            <a:t>Используйте функции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MF_choke_p_atma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MF_choke_q_sm3day</a:t>
          </a:r>
        </a:p>
        <a:p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MF_choke_calibr</a:t>
          </a:r>
          <a:endParaRPr lang="ru-RU" sz="1100" baseline="0"/>
        </a:p>
      </xdr:txBody>
    </xdr:sp>
    <xdr:clientData/>
  </xdr:twoCellAnchor>
  <xdr:twoCellAnchor>
    <xdr:from>
      <xdr:col>1</xdr:col>
      <xdr:colOff>314739</xdr:colOff>
      <xdr:row>51</xdr:row>
      <xdr:rowOff>107674</xdr:rowOff>
    </xdr:from>
    <xdr:to>
      <xdr:col>5</xdr:col>
      <xdr:colOff>165652</xdr:colOff>
      <xdr:row>56</xdr:row>
      <xdr:rowOff>16566</xdr:rowOff>
    </xdr:to>
    <xdr:sp macro="" textlink="">
      <xdr:nvSpPr>
        <xdr:cNvPr id="12" name="Выноска: стрелка вверх 11">
          <a:extLst>
            <a:ext uri="{FF2B5EF4-FFF2-40B4-BE49-F238E27FC236}">
              <a16:creationId xmlns:a16="http://schemas.microsoft.com/office/drawing/2014/main" id="{E9AECE4A-4D76-4BFF-9EBD-B5B51504DB88}"/>
            </a:ext>
          </a:extLst>
        </xdr:cNvPr>
        <xdr:cNvSpPr/>
      </xdr:nvSpPr>
      <xdr:spPr>
        <a:xfrm>
          <a:off x="924339" y="9013549"/>
          <a:ext cx="2746513" cy="718517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калибровочный коэффициент для заданных параметров</a:t>
          </a:r>
          <a:endParaRPr lang="ru-RU" sz="1100"/>
        </a:p>
      </xdr:txBody>
    </xdr:sp>
    <xdr:clientData/>
  </xdr:twoCellAnchor>
  <xdr:twoCellAnchor editAs="oneCell">
    <xdr:from>
      <xdr:col>50</xdr:col>
      <xdr:colOff>309563</xdr:colOff>
      <xdr:row>0</xdr:row>
      <xdr:rowOff>142875</xdr:rowOff>
    </xdr:from>
    <xdr:to>
      <xdr:col>59</xdr:col>
      <xdr:colOff>404811</xdr:colOff>
      <xdr:row>20</xdr:row>
      <xdr:rowOff>136794</xdr:rowOff>
    </xdr:to>
    <xdr:pic>
      <xdr:nvPicPr>
        <xdr:cNvPr id="16" name="Рисунок 15" descr="Vena Contracta after a Restriction Orifice">
          <a:extLst>
            <a:ext uri="{FF2B5EF4-FFF2-40B4-BE49-F238E27FC236}">
              <a16:creationId xmlns:a16="http://schemas.microsoft.com/office/drawing/2014/main" id="{9ECB3B5C-A8DE-4EC6-94F5-3F2DB331FD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769388" y="142875"/>
          <a:ext cx="5343525" cy="395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51</xdr:col>
      <xdr:colOff>11907</xdr:colOff>
      <xdr:row>24</xdr:row>
      <xdr:rowOff>35720</xdr:rowOff>
    </xdr:from>
    <xdr:to>
      <xdr:col>60</xdr:col>
      <xdr:colOff>405464</xdr:colOff>
      <xdr:row>57</xdr:row>
      <xdr:rowOff>154782</xdr:rowOff>
    </xdr:to>
    <xdr:pic>
      <xdr:nvPicPr>
        <xdr:cNvPr id="17" name="Рисунок 16" descr="Choked Flow">
          <a:extLst>
            <a:ext uri="{FF2B5EF4-FFF2-40B4-BE49-F238E27FC236}">
              <a16:creationId xmlns:a16="http://schemas.microsoft.com/office/drawing/2014/main" id="{2132507A-D226-4C11-9347-0BB2208EE1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852732" y="4798220"/>
          <a:ext cx="5881319" cy="5719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30</xdr:col>
      <xdr:colOff>112333</xdr:colOff>
      <xdr:row>58</xdr:row>
      <xdr:rowOff>109300</xdr:rowOff>
    </xdr:from>
    <xdr:to>
      <xdr:col>49</xdr:col>
      <xdr:colOff>192011</xdr:colOff>
      <xdr:row>84</xdr:row>
      <xdr:rowOff>52915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F49F843B-3A5E-4891-9249-3C05C1DD8E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538214</xdr:colOff>
      <xdr:row>66</xdr:row>
      <xdr:rowOff>142561</xdr:rowOff>
    </xdr:from>
    <xdr:to>
      <xdr:col>20</xdr:col>
      <xdr:colOff>375859</xdr:colOff>
      <xdr:row>85</xdr:row>
      <xdr:rowOff>7775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95A13532-4C55-4ADD-BFFC-83F41F570E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348145</xdr:colOff>
      <xdr:row>89</xdr:row>
      <xdr:rowOff>18635</xdr:rowOff>
    </xdr:from>
    <xdr:to>
      <xdr:col>20</xdr:col>
      <xdr:colOff>165403</xdr:colOff>
      <xdr:row>109</xdr:row>
      <xdr:rowOff>130000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A5B99396-B67E-4A2A-A748-1B1900273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nifloc\unifloc_vba\UniflocVBA_7.xlam" TargetMode="External"/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fo"/>
    </sheetNames>
    <definedNames>
      <definedName name="decode_json"/>
      <definedName name="decode_json_crv"/>
      <definedName name="decode_json_p_atma"/>
      <definedName name="encode_arange"/>
      <definedName name="encode_choke"/>
      <definedName name="encode_feed"/>
      <definedName name="encode_feed_list"/>
      <definedName name="encode_json"/>
      <definedName name="encode_PVT"/>
      <definedName name="json_choke_pq_crv"/>
      <definedName name="MF_choke_calibr"/>
      <definedName name="MF_choke_calibr_fast"/>
      <definedName name="MF_choke_p_atma"/>
      <definedName name="MF_choke_q_sm3day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neutrium.net/wp-content/uploads/2015/01/Choked-Flow1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73FD2-B877-4EE3-9D31-2AA865ABB49B}">
  <sheetPr codeName="Worksheet_Choke2">
    <outlinePr summaryBelow="0"/>
  </sheetPr>
  <dimension ref="A1:AZ114"/>
  <sheetViews>
    <sheetView tabSelected="1" topLeftCell="A55" zoomScaleNormal="100" workbookViewId="0">
      <selection activeCell="E23" sqref="E23"/>
    </sheetView>
  </sheetViews>
  <sheetFormatPr defaultRowHeight="12.45" x14ac:dyDescent="0.3"/>
  <cols>
    <col min="2" max="2" width="12.53515625" customWidth="1"/>
    <col min="3" max="3" width="16.3046875" customWidth="1"/>
    <col min="4" max="4" width="11.53515625" customWidth="1"/>
    <col min="5" max="5" width="12.4609375" customWidth="1"/>
    <col min="6" max="6" width="15.3046875" customWidth="1"/>
    <col min="7" max="7" width="15.69140625" customWidth="1"/>
    <col min="8" max="8" width="10.4609375" customWidth="1"/>
    <col min="9" max="9" width="14.3046875" customWidth="1"/>
    <col min="10" max="12" width="10.4609375" customWidth="1"/>
    <col min="13" max="13" width="9.69140625" customWidth="1"/>
    <col min="14" max="14" width="9.07421875" customWidth="1"/>
    <col min="15" max="16" width="5.69140625" customWidth="1"/>
    <col min="17" max="17" width="9.69140625" customWidth="1"/>
    <col min="18" max="22" width="5.69140625" customWidth="1"/>
    <col min="23" max="23" width="13.53515625" customWidth="1"/>
    <col min="24" max="26" width="13.07421875" customWidth="1"/>
    <col min="27" max="28" width="5.69140625" customWidth="1"/>
    <col min="29" max="29" width="14" customWidth="1"/>
    <col min="30" max="30" width="10.07421875" customWidth="1"/>
    <col min="31" max="51" width="5.69140625" customWidth="1"/>
  </cols>
  <sheetData>
    <row r="1" spans="1:38" x14ac:dyDescent="0.3">
      <c r="A1" s="1" t="s">
        <v>67</v>
      </c>
      <c r="F1" t="s">
        <v>11</v>
      </c>
      <c r="G1" t="str">
        <f>[1]!unf_version()</f>
        <v>7.49</v>
      </c>
      <c r="I1" s="32">
        <v>45230</v>
      </c>
      <c r="AL1" t="str">
        <f>"dchoke = "&amp;Plin_&amp;" mm"</f>
        <v>dchoke = 12 mm</v>
      </c>
    </row>
    <row r="2" spans="1:38" x14ac:dyDescent="0.3">
      <c r="A2" t="s">
        <v>39</v>
      </c>
      <c r="I2">
        <v>7.49</v>
      </c>
      <c r="AL2" t="str">
        <f>"Pbuf = "&amp;Pbuf_&amp;" atm"</f>
        <v>Pbuf = 23 atm</v>
      </c>
    </row>
    <row r="3" spans="1:38" x14ac:dyDescent="0.3">
      <c r="AL3" t="str">
        <f>"Pline = "&amp;Plin_&amp;" atm"</f>
        <v>Pline = 12 atm</v>
      </c>
    </row>
    <row r="4" spans="1:38" x14ac:dyDescent="0.3">
      <c r="AL4" t="str">
        <f>"Q = "&amp;Qliq_&amp;" m3/day"</f>
        <v>Q = 10 m3/day</v>
      </c>
    </row>
    <row r="10" spans="1:38" x14ac:dyDescent="0.3">
      <c r="A10" s="1" t="s">
        <v>0</v>
      </c>
    </row>
    <row r="11" spans="1:38" ht="17.600000000000001" x14ac:dyDescent="0.55000000000000004">
      <c r="B11" s="4" t="s">
        <v>19</v>
      </c>
      <c r="C11" s="2">
        <v>0.8</v>
      </c>
      <c r="D11" s="11"/>
      <c r="E11" s="8">
        <f>gamma_oil_*1000</f>
        <v>800</v>
      </c>
      <c r="F11" s="10" t="s">
        <v>28</v>
      </c>
    </row>
    <row r="12" spans="1:38" ht="17.600000000000001" x14ac:dyDescent="0.55000000000000004">
      <c r="B12" s="5" t="s">
        <v>20</v>
      </c>
      <c r="C12" s="2">
        <v>1</v>
      </c>
      <c r="D12" s="11"/>
      <c r="E12" s="8">
        <f>gamma_wat_*1000</f>
        <v>1000</v>
      </c>
      <c r="F12" s="10" t="s">
        <v>28</v>
      </c>
    </row>
    <row r="13" spans="1:38" ht="17.600000000000001" x14ac:dyDescent="0.55000000000000004">
      <c r="B13" s="5" t="s">
        <v>21</v>
      </c>
      <c r="C13" s="2">
        <v>0.6</v>
      </c>
      <c r="D13" s="11"/>
      <c r="E13" s="8">
        <f>gamma_gas_*1.22</f>
        <v>0.73199999999999998</v>
      </c>
      <c r="F13" s="10" t="s">
        <v>28</v>
      </c>
    </row>
    <row r="14" spans="1:38" ht="17.600000000000001" x14ac:dyDescent="0.55000000000000004">
      <c r="B14" s="6" t="s">
        <v>22</v>
      </c>
      <c r="C14" s="2">
        <v>50</v>
      </c>
      <c r="D14" s="5" t="s">
        <v>31</v>
      </c>
      <c r="E14" s="9">
        <f>Rsb_/gamma_oil_</f>
        <v>62.5</v>
      </c>
      <c r="F14" s="10" t="s">
        <v>29</v>
      </c>
    </row>
    <row r="15" spans="1:38" ht="17.600000000000001" x14ac:dyDescent="0.55000000000000004">
      <c r="B15" s="6" t="s">
        <v>23</v>
      </c>
      <c r="C15" s="2">
        <v>50</v>
      </c>
      <c r="D15" s="5" t="s">
        <v>31</v>
      </c>
      <c r="E15" s="9">
        <f>Rsb_/gamma_oil_</f>
        <v>62.5</v>
      </c>
      <c r="F15" s="10" t="s">
        <v>29</v>
      </c>
    </row>
    <row r="16" spans="1:38" ht="17.149999999999999" x14ac:dyDescent="0.55000000000000004">
      <c r="B16" s="5" t="s">
        <v>24</v>
      </c>
      <c r="C16" s="2"/>
      <c r="D16" s="11" t="s">
        <v>5</v>
      </c>
      <c r="E16" s="9">
        <f>Pb_*1.01325</f>
        <v>0</v>
      </c>
      <c r="F16" s="11" t="s">
        <v>6</v>
      </c>
    </row>
    <row r="17" spans="1:52" ht="17.149999999999999" x14ac:dyDescent="0.55000000000000004">
      <c r="B17" s="5" t="s">
        <v>25</v>
      </c>
      <c r="C17" s="2">
        <v>100</v>
      </c>
      <c r="D17" s="11" t="s">
        <v>2</v>
      </c>
      <c r="E17" s="9">
        <f>Tres_*9/5+32</f>
        <v>212</v>
      </c>
      <c r="F17" s="11" t="s">
        <v>7</v>
      </c>
    </row>
    <row r="18" spans="1:52" ht="17.149999999999999" x14ac:dyDescent="0.55000000000000004">
      <c r="B18" s="6" t="s">
        <v>26</v>
      </c>
      <c r="C18" s="2"/>
      <c r="D18" s="19" t="s">
        <v>1</v>
      </c>
    </row>
    <row r="19" spans="1:52" ht="17.149999999999999" x14ac:dyDescent="0.55000000000000004">
      <c r="B19" s="7" t="s">
        <v>27</v>
      </c>
      <c r="C19" s="2"/>
      <c r="D19" s="11" t="s">
        <v>4</v>
      </c>
    </row>
    <row r="20" spans="1:52" ht="17.600000000000001" x14ac:dyDescent="0.55000000000000004">
      <c r="B20" s="5" t="s">
        <v>20</v>
      </c>
      <c r="C20" s="2">
        <v>1</v>
      </c>
      <c r="D20" s="11"/>
      <c r="E20" s="8">
        <f>gamma_wat_kf_*1000</f>
        <v>1000</v>
      </c>
      <c r="F20" s="10" t="s">
        <v>28</v>
      </c>
    </row>
    <row r="21" spans="1:52" x14ac:dyDescent="0.3">
      <c r="A21" s="1" t="s">
        <v>8</v>
      </c>
      <c r="C21" s="3"/>
    </row>
    <row r="22" spans="1:52" ht="14.6" x14ac:dyDescent="0.4">
      <c r="B22" s="7" t="s">
        <v>30</v>
      </c>
      <c r="C22" s="2">
        <v>30</v>
      </c>
      <c r="D22" s="11" t="s">
        <v>3</v>
      </c>
      <c r="F22" s="7" t="s">
        <v>50</v>
      </c>
      <c r="G22" s="2">
        <v>1</v>
      </c>
    </row>
    <row r="23" spans="1:52" ht="14.6" x14ac:dyDescent="0.4">
      <c r="B23" s="7" t="s">
        <v>33</v>
      </c>
      <c r="C23" s="2">
        <v>80</v>
      </c>
      <c r="D23" s="11" t="s">
        <v>2</v>
      </c>
      <c r="AZ23" s="16" t="s">
        <v>40</v>
      </c>
    </row>
    <row r="24" spans="1:52" x14ac:dyDescent="0.3">
      <c r="A24" s="1" t="s">
        <v>9</v>
      </c>
      <c r="C24" s="3"/>
      <c r="D24" s="3"/>
      <c r="F24" s="20" t="s">
        <v>12</v>
      </c>
      <c r="G24" s="13" t="str">
        <f>[1]!encode_PVT(gamma_gas_,gamma_oil_,gamma_wat_,Rsb_,Pb_,Tres_,Bob_,muob_)</f>
        <v>{"gamma_gas":0.6,"gamma_oil":0.8,"gamma_wat":1,"rsb_m3m3":50,"PVT_corr_set":0}</v>
      </c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</row>
    <row r="25" spans="1:52" ht="14.15" x14ac:dyDescent="0.4">
      <c r="B25" s="7" t="s">
        <v>34</v>
      </c>
      <c r="C25" s="2">
        <v>70</v>
      </c>
      <c r="D25" s="11" t="s">
        <v>10</v>
      </c>
      <c r="F25" t="s">
        <v>42</v>
      </c>
      <c r="G25" s="13" t="str" cm="1">
        <f t="array" ref="G25">[1]!encode_feed(Qliq_,fw_,Rp_,qgas_free,PVTstr_)</f>
        <v>{"gamma_gas":0.6,"gamma_oil":0.8,"gamma_wat":1,"rsb_m3m3":50,"PVT_corr_set":0,"q_liq_sm3day":10,"fw_perc":30,"rp_m3m3":50}</v>
      </c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</row>
    <row r="26" spans="1:52" ht="14.6" x14ac:dyDescent="0.4">
      <c r="B26" s="7" t="s">
        <v>35</v>
      </c>
      <c r="C26" s="2">
        <v>5</v>
      </c>
      <c r="D26" s="11" t="s">
        <v>10</v>
      </c>
      <c r="F26" t="s">
        <v>68</v>
      </c>
      <c r="G26" s="13" t="str" cm="1">
        <f t="array" ref="G26">[1]!encode_choke(d_choke,d_pipe)</f>
        <v>{"d_choke_mm":5,"d_pipe_mm":70,"calibr":1,"CDischarge":0.826}</v>
      </c>
    </row>
    <row r="27" spans="1:52" ht="14.6" x14ac:dyDescent="0.4">
      <c r="B27" s="7" t="s">
        <v>38</v>
      </c>
      <c r="C27" s="2">
        <v>10</v>
      </c>
      <c r="D27" s="11" t="s">
        <v>13</v>
      </c>
    </row>
    <row r="28" spans="1:52" ht="14.6" x14ac:dyDescent="0.4">
      <c r="B28" s="7" t="s">
        <v>37</v>
      </c>
      <c r="C28" s="2">
        <v>23</v>
      </c>
      <c r="D28" s="11" t="s">
        <v>14</v>
      </c>
      <c r="F28" t="s">
        <v>43</v>
      </c>
      <c r="I28" t="s">
        <v>44</v>
      </c>
    </row>
    <row r="29" spans="1:52" ht="14.6" x14ac:dyDescent="0.4">
      <c r="B29" s="17" t="s">
        <v>36</v>
      </c>
      <c r="C29" s="18">
        <v>12</v>
      </c>
      <c r="D29" s="12" t="s">
        <v>14</v>
      </c>
      <c r="F29" s="13" t="s">
        <v>49</v>
      </c>
      <c r="G29" s="13">
        <v>1</v>
      </c>
      <c r="I29" s="13" t="str" cm="1">
        <f t="array" ref="I29">[1]!encode_json(F29:G32)</f>
        <v>{"show_array":1,"show_log":0,"show_json":0}</v>
      </c>
      <c r="J29" s="13"/>
      <c r="K29" s="13"/>
    </row>
    <row r="30" spans="1:52" ht="17.149999999999999" x14ac:dyDescent="0.55000000000000004">
      <c r="B30" s="7" t="s">
        <v>41</v>
      </c>
      <c r="C30" s="2"/>
      <c r="D30" s="11" t="s">
        <v>13</v>
      </c>
      <c r="F30" s="13" t="s">
        <v>48</v>
      </c>
      <c r="G30" s="13"/>
    </row>
    <row r="31" spans="1:52" x14ac:dyDescent="0.3">
      <c r="F31" s="13" t="s">
        <v>47</v>
      </c>
      <c r="G31" s="13">
        <v>0</v>
      </c>
    </row>
    <row r="32" spans="1:52" x14ac:dyDescent="0.3">
      <c r="B32" s="14" t="s">
        <v>32</v>
      </c>
      <c r="C32" s="14"/>
      <c r="D32" s="14"/>
      <c r="E32" s="14"/>
      <c r="F32" s="13" t="s">
        <v>66</v>
      </c>
      <c r="G32">
        <v>0</v>
      </c>
    </row>
    <row r="34" spans="2:23" x14ac:dyDescent="0.3">
      <c r="B34" t="s">
        <v>15</v>
      </c>
      <c r="N34" t="s">
        <v>45</v>
      </c>
    </row>
    <row r="35" spans="2:23" x14ac:dyDescent="0.3">
      <c r="B35" s="24" cm="1">
        <f t="array" ref="B35:L36">[1]!MF_choke_p_atma(choke_json,feed,Pbuf_,T_choke,calc_along_flow,param)</f>
        <v>22.448</v>
      </c>
      <c r="C35" s="25">
        <v>23</v>
      </c>
      <c r="D35" s="25">
        <v>22.448</v>
      </c>
      <c r="E35" s="26">
        <v>10</v>
      </c>
      <c r="F35" s="26">
        <v>80</v>
      </c>
      <c r="G35" s="26">
        <v>79.971000000000004</v>
      </c>
      <c r="H35" s="26">
        <v>1</v>
      </c>
      <c r="I35" s="25">
        <v>85.209000000000003</v>
      </c>
      <c r="J35" s="25">
        <v>28.832999999999998</v>
      </c>
      <c r="K35" s="15">
        <v>13.787000000000001</v>
      </c>
      <c r="L35" t="str">
        <v>["set show_log=1 in param to show calc log"]</v>
      </c>
      <c r="N35" s="21" cm="1">
        <f t="array" ref="N35">[1]!decode_json(K35,1)</f>
        <v>13.787000000000001</v>
      </c>
    </row>
    <row r="36" spans="2:23" x14ac:dyDescent="0.3">
      <c r="B36" s="25" t="str">
        <v>p_out_atma</v>
      </c>
      <c r="C36" s="25" t="str">
        <v>p_intake_atma</v>
      </c>
      <c r="D36" s="25" t="str">
        <v>p_out_atma</v>
      </c>
      <c r="E36" s="26" t="str">
        <v>q_liq_sm3day</v>
      </c>
      <c r="F36" s="28" t="str">
        <v>t_choke_C</v>
      </c>
      <c r="G36" s="28" t="str">
        <v>t_choke_throat_C</v>
      </c>
      <c r="H36" s="28" t="str">
        <v>calibr_fr</v>
      </c>
      <c r="I36" s="28" t="str">
        <v>sonic_vel_msec</v>
      </c>
      <c r="J36" s="28" t="str">
        <v>q_liq_max_sm3day</v>
      </c>
      <c r="K36" s="15" t="str">
        <v>p_crit_atma</v>
      </c>
      <c r="L36" t="str">
        <v>log</v>
      </c>
      <c r="M36" s="23"/>
    </row>
    <row r="37" spans="2:23" x14ac:dyDescent="0.3">
      <c r="C37" s="22"/>
      <c r="T37" t="str" cm="1">
        <f t="array" ref="T37">[1]!MF_choke_calibr(d_choke,feed,0,Pbuf_,Plin_,T_choke,1,+d_pipe,param)</f>
        <v>Error:MF_choke_calibr:</v>
      </c>
    </row>
    <row r="39" spans="2:23" x14ac:dyDescent="0.3">
      <c r="B39" t="s">
        <v>16</v>
      </c>
    </row>
    <row r="40" spans="2:23" x14ac:dyDescent="0.3">
      <c r="B40" s="24" cm="1">
        <f t="array" ref="B40:L41">[1]!MF_choke_p_atma(choke_json,feed,Plin_,T_choke,0,I29)</f>
        <v>12.968</v>
      </c>
      <c r="C40" s="25">
        <v>12.968</v>
      </c>
      <c r="D40" s="25">
        <v>12</v>
      </c>
      <c r="E40" s="26">
        <v>10</v>
      </c>
      <c r="F40" s="24">
        <v>80</v>
      </c>
      <c r="G40" s="26">
        <v>79.891999999999996</v>
      </c>
      <c r="H40" s="26">
        <v>1</v>
      </c>
      <c r="I40" s="25">
        <v>78.956000000000003</v>
      </c>
      <c r="J40" s="25">
        <v>16.216999999999999</v>
      </c>
      <c r="K40" s="15">
        <v>8.0960000000000001</v>
      </c>
      <c r="L40" t="str">
        <v>["set show_log=1 in param to show calc log"]</v>
      </c>
      <c r="N40" s="21" cm="1">
        <f t="array" ref="N40">[1]!decode_json(K40,1)</f>
        <v>8.0960000000000001</v>
      </c>
      <c r="V40" t="str" cm="1">
        <f t="array" ref="V40">[1]!decode_json(T37)</f>
        <v>error</v>
      </c>
    </row>
    <row r="41" spans="2:23" x14ac:dyDescent="0.3">
      <c r="B41" s="25" t="str">
        <v>p_intake_atma</v>
      </c>
      <c r="C41" s="25" t="str">
        <v>p_intake_atma</v>
      </c>
      <c r="D41" s="25" t="str">
        <v>p_out_atma</v>
      </c>
      <c r="E41" s="26" t="str">
        <v>q_liq_sm3day</v>
      </c>
      <c r="F41" s="28" t="str">
        <v>t_choke_C</v>
      </c>
      <c r="G41" s="28" t="str">
        <v>t_choke_throat_C</v>
      </c>
      <c r="H41" s="28" t="str">
        <v>calibr_fr</v>
      </c>
      <c r="I41" s="28" t="str">
        <v>sonic_vel_msec</v>
      </c>
      <c r="J41" s="28" t="str">
        <v>q_liq_max_sm3day</v>
      </c>
      <c r="K41" s="15" t="str">
        <v>p_crit_atma</v>
      </c>
      <c r="L41" t="str">
        <v>log</v>
      </c>
      <c r="M41" s="23"/>
    </row>
    <row r="44" spans="2:23" x14ac:dyDescent="0.3">
      <c r="B44" t="s">
        <v>18</v>
      </c>
    </row>
    <row r="45" spans="2:23" x14ac:dyDescent="0.3">
      <c r="B45" s="24" cm="1">
        <f t="array" ref="B45:L46">[1]!MF_choke_q_sm3day(choke_json,feed,Pbuf_,Plin_,T_choke,param)</f>
        <v>28.832999999999998</v>
      </c>
      <c r="C45" s="25">
        <v>23</v>
      </c>
      <c r="D45" s="25">
        <v>12</v>
      </c>
      <c r="E45" s="26">
        <v>28.832999999999998</v>
      </c>
      <c r="F45" s="26">
        <v>80</v>
      </c>
      <c r="G45" s="26">
        <v>79.39</v>
      </c>
      <c r="H45" s="26">
        <v>1</v>
      </c>
      <c r="I45" s="25">
        <v>85.209000000000003</v>
      </c>
      <c r="J45" s="25">
        <v>28.832999999999998</v>
      </c>
      <c r="K45" s="15">
        <v>13.787000000000001</v>
      </c>
      <c r="L45" t="str">
        <v>["set show_log=1 in param to show calc log"]</v>
      </c>
      <c r="N45" s="21" cm="1">
        <f t="array" ref="N45">[1]!decode_json(K45,1)</f>
        <v>13.787000000000001</v>
      </c>
    </row>
    <row r="46" spans="2:23" x14ac:dyDescent="0.3">
      <c r="B46" s="25" t="str">
        <v>q_liq_sm3day</v>
      </c>
      <c r="C46" s="25" t="str">
        <v>p_intake_atma</v>
      </c>
      <c r="D46" s="25" t="str">
        <v>p_out_atma</v>
      </c>
      <c r="E46" s="26" t="str">
        <v>q_liq_sm3day</v>
      </c>
      <c r="F46" s="27" t="str">
        <v>t_choke_C</v>
      </c>
      <c r="G46" s="27" t="str">
        <v>t_choke_throat_C</v>
      </c>
      <c r="H46" s="27" t="str">
        <v>calibr_fr</v>
      </c>
      <c r="I46" s="27" t="str">
        <v>sonic_vel_msec</v>
      </c>
      <c r="J46" s="27" t="str">
        <v>q_liq_max_sm3day</v>
      </c>
      <c r="K46" s="15" t="str">
        <v>p_crit_atma</v>
      </c>
      <c r="L46" t="str">
        <v>log</v>
      </c>
      <c r="M46" s="23"/>
      <c r="N46" s="23"/>
    </row>
    <row r="48" spans="2:23" x14ac:dyDescent="0.3">
      <c r="W48" t="str" cm="1">
        <f t="array" ref="W48">[1]!json_choke_pq_crv(d_choke,feed,Pbuf_,T_choke,d_pipe)</f>
        <v>{"curve_x":"p_out_atma","curve_y":"q_liq_sm3day","p_out_atma":[1,13.856,14.364,14.872,15.38,15.888,16.396,16.904,17.412,17.92,18.428,18.936,19.444,19.952,20.46,20.968,21.476,21.984,22.492,23],"q_liq_sm3day":[28.833,28.833,28.819,28.718,28.528,28.244,27.863,27.378,26.783,26.07,25.227,24.241,23.094,21.76,20.203,18.366,16.156,13.391,9.607,0]}</v>
      </c>
    </row>
    <row r="49" spans="2:29" x14ac:dyDescent="0.3">
      <c r="B49" t="s">
        <v>17</v>
      </c>
    </row>
    <row r="50" spans="2:29" x14ac:dyDescent="0.3">
      <c r="B50" s="15" t="str" cm="1">
        <f t="array" ref="B50:G51">[1]!MF_choke_calibr_fast(choke_json,feed,Pbuf_,Plin_,T_choke,param)</f>
        <v>0.346819470910802</v>
      </c>
      <c r="C50" s="15">
        <v>23</v>
      </c>
      <c r="D50" s="15">
        <v>12</v>
      </c>
      <c r="E50" s="15">
        <v>80</v>
      </c>
      <c r="F50" s="27">
        <v>0.34681947091080167</v>
      </c>
      <c r="G50" s="15" t="str">
        <v>["set show_log=1 in param to show calc log"]</v>
      </c>
      <c r="H50" t="s">
        <v>46</v>
      </c>
      <c r="N50" s="21" t="str" cm="1">
        <f t="array" ref="N50">[1]!decode_json(G50,1)</f>
        <v>set show_log=1 in param to show calc log</v>
      </c>
    </row>
    <row r="51" spans="2:29" x14ac:dyDescent="0.3">
      <c r="B51" s="15" t="str">
        <v>calibr_fr</v>
      </c>
      <c r="C51" s="15" t="str">
        <v>p_intake_atma</v>
      </c>
      <c r="D51" s="15" t="str">
        <v>p_out_atma</v>
      </c>
      <c r="E51" s="15" t="str">
        <v>t_choke_C</v>
      </c>
      <c r="F51" s="30" t="str">
        <v>calibr_fr</v>
      </c>
      <c r="G51" s="15" t="str">
        <v>log</v>
      </c>
      <c r="Y51" t="str" cm="1">
        <f t="array" ref="Y51:Z71">[1]!decode_json_crv(W48)</f>
        <v>p_out_atma</v>
      </c>
      <c r="Z51" t="str">
        <v>q_liq_sm3day</v>
      </c>
      <c r="AC51" t="e" cm="1">
        <f t="array" ref="AC51">enc</f>
        <v>#NAME?</v>
      </c>
    </row>
    <row r="52" spans="2:29" x14ac:dyDescent="0.3">
      <c r="Y52">
        <v>1</v>
      </c>
      <c r="Z52">
        <v>28.832999999999998</v>
      </c>
    </row>
    <row r="53" spans="2:29" x14ac:dyDescent="0.3">
      <c r="Y53">
        <v>13.856</v>
      </c>
      <c r="Z53">
        <v>28.832999999999998</v>
      </c>
    </row>
    <row r="54" spans="2:29" x14ac:dyDescent="0.3">
      <c r="Y54">
        <v>14.364000000000001</v>
      </c>
      <c r="Z54">
        <v>28.818999999999999</v>
      </c>
    </row>
    <row r="55" spans="2:29" x14ac:dyDescent="0.3">
      <c r="Y55">
        <v>14.872</v>
      </c>
      <c r="Z55">
        <v>28.718</v>
      </c>
    </row>
    <row r="56" spans="2:29" x14ac:dyDescent="0.3">
      <c r="Y56">
        <v>15.38</v>
      </c>
      <c r="Z56">
        <v>28.527999999999999</v>
      </c>
    </row>
    <row r="57" spans="2:29" x14ac:dyDescent="0.3">
      <c r="Y57">
        <v>15.888</v>
      </c>
      <c r="Z57">
        <v>28.244</v>
      </c>
    </row>
    <row r="58" spans="2:29" x14ac:dyDescent="0.3">
      <c r="C58" s="29"/>
      <c r="Y58">
        <v>16.396000000000001</v>
      </c>
      <c r="Z58">
        <v>27.863</v>
      </c>
    </row>
    <row r="59" spans="2:29" x14ac:dyDescent="0.3">
      <c r="B59" t="s">
        <v>65</v>
      </c>
      <c r="Y59">
        <v>16.904</v>
      </c>
      <c r="Z59">
        <v>27.378</v>
      </c>
    </row>
    <row r="60" spans="2:29" x14ac:dyDescent="0.3">
      <c r="C60" t="s">
        <v>51</v>
      </c>
      <c r="D60" t="s">
        <v>52</v>
      </c>
      <c r="E60" t="s">
        <v>53</v>
      </c>
      <c r="F60" t="s">
        <v>56</v>
      </c>
      <c r="G60" t="s">
        <v>69</v>
      </c>
      <c r="H60" t="s">
        <v>54</v>
      </c>
      <c r="I60" t="s">
        <v>55</v>
      </c>
      <c r="Y60">
        <v>17.411999999999999</v>
      </c>
      <c r="Z60">
        <v>26.783000000000001</v>
      </c>
    </row>
    <row r="61" spans="2:29" x14ac:dyDescent="0.3">
      <c r="B61" t="s">
        <v>57</v>
      </c>
      <c r="C61" s="31" t="str" cm="1">
        <f t="array" ref="C61">[1]!encode_arange(1,50,4)</f>
        <v>[1,5,9,13,17,21,25,29,33,37,41,45,49]</v>
      </c>
      <c r="D61" s="31" t="str" cm="1">
        <f t="array" ref="D61">[1]!encode_feed_list(C61,fw_,Rp_,,PVTstr_)</f>
        <v>[{"gamma_gas":0.6,"gamma_oil":0.8,"gamma_wat":1,"rsb_m3m3":50,"PVT_corr_set":0,"q_liq_sm3day":1,"fw_perc":30,"rp_m3m3":50},{"gamma_gas":0.6,"gamma_oil":0.8,"gamma_wat":1,"rsb_m3m3":50,"PVT_corr_set":0,"q_liq_sm3day":5,"fw_perc":30,"rp_m3m3":50},{"gamma_gas":0.6,"gamma_oil":0.8,"gamma_wat":1,"rsb_m3m3":50,"PVT_corr_set":0,"q_liq_sm3day":9,"fw_perc":30,"rp_m3m3":50},{"gamma_gas":0.6,"gamma_oil":0.8,"gamma_wat":1,"rsb_m3m3":50,"PVT_corr_set":0,"q_liq_sm3day":13,"fw_perc":30,"rp_m3m3":50},{"gamma_gas":0.6,"gamma_oil":0.8,"gamma_wat":1,"rsb_m3m3":50,"PVT_corr_set":0,"q_liq_sm3day":17,"fw_perc":30,"rp_m3m3":50},{"gamma_gas":0.6,"gamma_oil":0.8,"gamma_wat":1,"rsb_m3m3":50,"PVT_corr_set":0,"q_liq_sm3day":21,"fw_perc":30,"rp_m3m3":50},{"gamma_gas":0.6,"gamma_oil":0.8,"gamma_wat":1,"rsb_m3m3":50,"PVT_corr_set":0,"q_liq_sm3day":25,"fw_perc":30,"rp_m3m3":50},{"gamma_gas":0.6,"gamma_oil":0.8,"gamma_wat":1,"rsb_m3m3":50,"PVT_corr_set":0,"q_liq_sm3day":29,"fw_perc":30,"rp_m3m3":50},{"gamma_gas":0.6,"gamma_oil":0.8,"gamma_wat":1,"rsb_m3m3":50,"PVT_corr_set":0,"q_liq_sm3day":33,"fw_perc":30,"rp_m3m3":50},{"gamma_gas":0.6,"gamma_oil":0.8,"gamma_wat":1,"rsb_m3m3":50,"PVT_corr_set":0,"q_liq_sm3day":37,"fw_perc":30,"rp_m3m3":50},{"gamma_gas":0.6,"gamma_oil":0.8,"gamma_wat":1,"rsb_m3m3":50,"PVT_corr_set":0,"q_liq_sm3day":41,"fw_perc":30,"rp_m3m3":50},{"gamma_gas":0.6,"gamma_oil":0.8,"gamma_wat":1,"rsb_m3m3":50,"PVT_corr_set":0,"q_liq_sm3day":45,"fw_perc":30,"rp_m3m3":50},{"gamma_gas":0.6,"gamma_oil":0.8,"gamma_wat":1,"rsb_m3m3":50,"PVT_corr_set":0,"q_liq_sm3day":49,"fw_perc":30,"rp_m3m3":50}]</v>
      </c>
      <c r="E61">
        <f t="shared" ref="E61:E66" si="0">Plin_</f>
        <v>12</v>
      </c>
      <c r="F61">
        <v>3</v>
      </c>
      <c r="G61" t="str" cm="1">
        <f t="array" ref="G61">[1]!encode_choke(F61)</f>
        <v>{"d_choke_mm":3,"d_pipe_mm":70,"calibr":1,"CDischarge":0.826}</v>
      </c>
      <c r="H61" t="str" cm="1">
        <f t="array" ref="H61">[1]!MF_choke_p_atma(G61,D61,E61,T_choke,0)</f>
        <v>{"p_atma":[12.071,13.97,19.967,28.702,37.251,45.565,53.64,61.438,68.962,76.204,83.235,90.091,96.624],"t_C":[80,80,80,80,80,80,80,80,80,80,80,80,80],"feed":[{"gamma_gas":0.6,"gamma_oil":0.8,"gamma_wat":1,"rsb_m3m3":50,"PVT_corr_set":0,"q_liq_sm3day":1,"fw_perc":30,"rp_m3m3":50},{"gamma_gas":0.6,"gamma_oil":0.8,"gamma_wat":1,"rsb_m3m3":50,"PVT_corr_set":0,"q_liq_sm3day":5,"fw_perc":30,"rp_m3m3":50},{"gamma_gas":0.6,"gamma_oil":0.8,"gamma_wat":1,"rsb_m3m3":50,"PVT_corr_set":0,"q_liq_sm3day":9,"fw_perc":30,"rp_m3m3":50},{"gamma_gas":0.6,"gamma_oil":0.8,"gamma_wat":1,"rsb_m3m3":50,"PVT_corr_set":0,"q_liq_sm3day":13,"fw_perc":30,"rp_m3m3":50},{"gamma_gas":0.6,"gamma_oil":0.8,"gamma_wat":1,"rsb_m3m3":50,"PVT_corr_set":0,"q_liq_sm3day":17,"fw_perc":30,"rp_m3m3":50},{"gamma_gas":0.6,"gamma_oil":0.8,"gamma_wat":1,"rsb_m3m3":50,"PVT_corr_set":0,"q_liq_sm3day":21,"fw_perc":30,"rp_m3m3":50},{"gamma_gas":0.6,"gamma_oil":0.8,"gamma_wat":1,"rsb_m3m3":50,"PVT_corr_set":0,"q_liq_sm3day":25,"fw_perc":30,"rp_m3m3":50},{"gamma_gas":0.6,"gamma_oil":0.8,"gamma_wat":1,"rsb_m3m3":50,"PVT_corr_set":0,"q_liq_sm3day":29,"fw_perc":30,"rp_m3m3":50},{"gamma_gas":0.6,"gamma_oil":0.8,"gamma_wat":1,"rsb_m3m3":50,"PVT_corr_set":0,"q_liq_sm3day":33,"fw_perc":30,"rp_m3m3":50},{"gamma_gas":0.6,"gamma_oil":0.8,"gamma_wat":1,"rsb_m3m3":50,"PVT_corr_set":0,"q_liq_sm3day":37,"fw_perc":30,"rp_m3m3":50},{"gamma_gas":0.6,"gamma_oil":0.8,"gamma_wat":1,"rsb_m3m3":50,"PVT_corr_set":0,"q_liq_sm3day":41,"fw_perc":30,"rp_m3m3":50},{"gamma_gas":0.6,"gamma_oil":0.8,"gamma_wat":1,"rsb_m3m3":50,"PVT_corr_set":0,"q_liq_sm3day":45,"fw_perc":30,"rp_m3m3":50},{"gamma_gas":0.6,"gamma_oil":0.8,"gamma_wat":1,"rsb_m3m3":50,"PVT_corr_set":0,"q_liq_sm3day":49,"fw_perc":30,"rp_m3m3":50}]}</v>
      </c>
      <c r="I61" t="str" cm="1">
        <f t="array" ref="I61">[1]!decode_json_p_atma(H61)</f>
        <v>[12.071,13.97,19.967,28.702,37.251,45.565,53.64,61.438,68.962,76.204,83.235,90.091,96.624]</v>
      </c>
      <c r="J61" t="str" cm="1">
        <f t="array" ref="J61">[1]!MF_choke_p_atma(G61,D61,E61,T_choke,1)</f>
        <v>{"p_atma":[11.928,9.338,-1,-1,-1,-1,-1,-1,-1,-1,-1,-1,-1],"t_C":[80,80,80,80,80,80,80,80,80,80,80,80,80],"feed":[{"gamma_gas":0.6,"gamma_oil":0.8,"gamma_wat":1,"rsb_m3m3":50,"PVT_corr_set":0,"q_liq_sm3day":1,"fw_perc":30,"rp_m3m3":50},{"gamma_gas":0.6,"gamma_oil":0.8,"gamma_wat":1,"rsb_m3m3":50,"PVT_corr_set":0,"q_liq_sm3day":5,"fw_perc":30,"rp_m3m3":50},{"gamma_gas":0.6,"gamma_oil":0.8,"gamma_wat":1,"rsb_m3m3":50,"PVT_corr_set":0,"q_liq_sm3day":9,"fw_perc":30,"rp_m3m3":50},{"gamma_gas":0.6,"gamma_oil":0.8,"gamma_wat":1,"rsb_m3m3":50,"PVT_corr_set":0,"q_liq_sm3day":13,"fw_perc":30,"rp_m3m3":50},{"gamma_gas":0.6,"gamma_oil":0.8,"gamma_wat":1,"rsb_m3m3":50,"PVT_corr_set":0,"q_liq_sm3day":17,"fw_perc":30,"rp_m3m3":50},{"gamma_gas":0.6,"gamma_oil":0.8,"gamma_wat":1,"rsb_m3m3":50,"PVT_corr_set":0,"q_liq_sm3day":21,"fw_perc":30,"rp_m3m3":50},{"gamma_gas":0.6,"gamma_oil":0.8,"gamma_wat":1,"rsb_m3m3":50,"PVT_corr_set":0,"q_liq_sm3day":25,"fw_perc":30,"rp_m3m3":50},{"gamma_gas":0.6,"gamma_oil":0.8,"gamma_wat":1,"rsb_m3m3":50,"PVT_corr_set":0,"q_liq_sm3day":29,"fw_perc":30,"rp_m3m3":50},{"gamma_gas":0.6,"gamma_oil":0.8,"gamma_wat":1,"rsb_m3m3":50,"PVT_corr_set":0,"q_liq_sm3day":33,"fw_perc":30,"rp_m3m3":50},{"gamma_gas":0.6,"gamma_oil":0.8,"gamma_wat":1,"rsb_m3m3":50,"PVT_corr_set":0,"q_liq_sm3day":37,"fw_perc":30,"rp_m3m3":50},{"gamma_gas":0.6,"gamma_oil":0.8,"gamma_wat":1,"rsb_m3m3":50,"PVT_corr_set":0,"q_liq_sm3day":41,"fw_perc":30,"rp_m3m3":50},{"gamma_gas":0.6,"gamma_oil":0.8,"gamma_wat":1,"rsb_m3m3":50,"PVT_corr_set":0,"q_liq_sm3day":45,"fw_perc":30,"rp_m3m3":50},{"gamma_gas":0.6,"gamma_oil":0.8,"gamma_wat":1,"rsb_m3m3":50,"PVT_corr_set":0,"q_liq_sm3day":49,"fw_perc":30,"rp_m3m3":50}]}</v>
      </c>
      <c r="K61" t="str" cm="1">
        <f t="array" ref="K61">[1]!decode_json_p_atma(J61)</f>
        <v>[11.928,9.338,-1,-1,-1,-1,-1,-1,-1,-1,-1,-1,-1]</v>
      </c>
      <c r="Y61">
        <v>17.920000000000002</v>
      </c>
      <c r="Z61">
        <v>26.07</v>
      </c>
    </row>
    <row r="62" spans="2:29" x14ac:dyDescent="0.3">
      <c r="B62" t="s">
        <v>58</v>
      </c>
      <c r="C62" s="31" t="str" cm="1">
        <f t="array" ref="C62">[1]!encode_arange(1,100,9)</f>
        <v>[1,10,19,28,37,46,55,64,73,82,91,100]</v>
      </c>
      <c r="D62" s="31" t="str" cm="1">
        <f t="array" ref="D62">[1]!encode_feed_list(C62,fw_,Rp_,,PVTstr_)</f>
        <v>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</v>
      </c>
      <c r="E62">
        <f t="shared" si="0"/>
        <v>12</v>
      </c>
      <c r="F62">
        <v>4</v>
      </c>
      <c r="G62" t="str" cm="1">
        <f t="array" ref="G62">[1]!encode_choke(F62)</f>
        <v>{"d_choke_mm":4,"d_pipe_mm":70,"calibr":1,"CDischarge":0.826}</v>
      </c>
      <c r="H62" t="str" cm="1">
        <f t="array" ref="H62">[1]!MF_choke_p_atma(G62,D62,E62,T_choke,0)</f>
        <v>{"p_atma":[12.022,14.558,23.675,34.597,45.185,55.368,65.118,74.417,83.341,91.96,100.063,107.646]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I62" t="str" cm="1">
        <f t="array" ref="I62">[1]!decode_json_p_atma(H62)</f>
        <v>[12.022,14.558,23.675,34.597,45.185,55.368,65.118,74.417,83.341,91.96,100.063,107.646]</v>
      </c>
      <c r="J62" t="str" cm="1">
        <f t="array" ref="J62">[1]!MF_choke_p_atma(G62,D62,E62,T_choke,1)</f>
        <v>{"p_atma":[11.977,-1,-1,-1,-1,-1,-1,-1,-1,-1,-1,-1]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K62" t="str" cm="1">
        <f t="array" ref="K62">[1]!decode_json_p_atma(J62)</f>
        <v>[11.977,-1,-1,-1,-1,-1,-1,-1,-1,-1,-1,-1]</v>
      </c>
      <c r="Y62">
        <v>18.428000000000001</v>
      </c>
      <c r="Z62">
        <v>25.227</v>
      </c>
    </row>
    <row r="63" spans="2:29" x14ac:dyDescent="0.3">
      <c r="B63" t="s">
        <v>59</v>
      </c>
      <c r="C63" s="31" t="str" cm="1">
        <f t="array" ref="C63">[1]!encode_arange(1,100,9)</f>
        <v>[1,10,19,28,37,46,55,64,73,82,91,100]</v>
      </c>
      <c r="D63" s="31" t="str" cm="1">
        <f t="array" ref="D63">[1]!encode_feed_list(C63,fw_,Rp_,,PVTstr_)</f>
        <v>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</v>
      </c>
      <c r="E63">
        <f t="shared" si="0"/>
        <v>12</v>
      </c>
      <c r="F63">
        <v>6</v>
      </c>
      <c r="G63" t="str" cm="1">
        <f t="array" ref="G63">[1]!encode_choke(F63)</f>
        <v>{"d_choke_mm":6,"d_pipe_mm":70,"calibr":1,"CDischarge":0.826}</v>
      </c>
      <c r="H63" t="str" cm="1">
        <f t="array" ref="H63">[1]!MF_choke_p_atma(G63,D63,E63,T_choke,0)</f>
        <v>{"p_atma":[12.004,12.453,13.749,16.241,20.518,25.444,30.319,35.13,39.87,44.54,49.128,53.634]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I63" t="str" cm="1">
        <f t="array" ref="I63">[1]!decode_json_p_atma(H63)</f>
        <v>[12.004,12.453,13.749,16.241,20.518,25.444,30.319,35.13,39.87,44.54,49.128,53.634]</v>
      </c>
      <c r="J63" t="str" cm="1">
        <f t="array" ref="J63">[1]!MF_choke_p_atma(G63,D63,E63,T_choke,1)</f>
        <v>{"p_atma":[11.996,11.53,9.788,-1,-1,-1,-1,-1,-1,-1,-1,-1]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K63" t="str" cm="1">
        <f t="array" ref="K63">[1]!decode_json_p_atma(J63)</f>
        <v>[11.996,11.53,9.788,-1,-1,-1,-1,-1,-1,-1,-1,-1]</v>
      </c>
      <c r="Y63">
        <v>18.936</v>
      </c>
      <c r="Z63">
        <v>24.241</v>
      </c>
    </row>
    <row r="64" spans="2:29" x14ac:dyDescent="0.3">
      <c r="B64" t="s">
        <v>60</v>
      </c>
      <c r="C64" s="31" t="str" cm="1">
        <f t="array" ref="C64">[1]!encode_arange(1,100,9)</f>
        <v>[1,10,19,28,37,46,55,64,73,82,91,100]</v>
      </c>
      <c r="D64" s="31" t="str" cm="1">
        <f t="array" ref="D64">[1]!encode_feed_list(C64,fw_,Rp_,,PVTstr_)</f>
        <v>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</v>
      </c>
      <c r="E64">
        <f t="shared" si="0"/>
        <v>12</v>
      </c>
      <c r="F64">
        <v>8</v>
      </c>
      <c r="G64" t="str" cm="1">
        <f t="array" ref="G64">[1]!encode_choke(F64)</f>
        <v>{"d_choke_mm":8,"d_pipe_mm":70,"calibr":1,"CDischarge":0.826}</v>
      </c>
      <c r="H64" t="str" cm="1">
        <f t="array" ref="H64">[1]!MF_choke_p_atma(G64,D64,E64,T_choke,0)</f>
        <v>{"p_atma":[12.001,12.14,12.515,13.159,14.125,15.5,17.401,19.967,22.749,25.515,28.263,30.993]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I64" t="str" cm="1">
        <f t="array" ref="I64">[1]!decode_json_p_atma(H64)</f>
        <v>[12.001,12.14,12.515,13.159,14.125,15.5,17.401,19.967,22.749,25.515,28.263,30.993]</v>
      </c>
      <c r="J64" t="str" cm="1">
        <f t="array" ref="J64">[1]!MF_choke_p_atma(G64,D64,E64,T_choke,1)</f>
        <v>{"p_atma":[11.999,11.859,11.462,10.693,8.895,-1,-1,-1,-1,-1,-1,-1]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K64" t="str" cm="1">
        <f t="array" ref="K64">[1]!decode_json_p_atma(J64)</f>
        <v>[11.999,11.859,11.462,10.693,8.895,-1,-1,-1,-1,-1,-1,-1]</v>
      </c>
      <c r="Y64">
        <v>19.443999999999999</v>
      </c>
      <c r="Z64">
        <v>23.094000000000001</v>
      </c>
    </row>
    <row r="65" spans="2:26" x14ac:dyDescent="0.3">
      <c r="B65" t="s">
        <v>61</v>
      </c>
      <c r="C65" s="31" t="str" cm="1">
        <f t="array" ref="C65">[1]!encode_arange(1,100,9)</f>
        <v>[1,10,19,28,37,46,55,64,73,82,91,100]</v>
      </c>
      <c r="D65" s="31" t="str" cm="1">
        <f t="array" ref="D65">[1]!encode_feed_list(C65,fw_,Rp_,,PVTstr_)</f>
        <v>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</v>
      </c>
      <c r="E65">
        <f t="shared" si="0"/>
        <v>12</v>
      </c>
      <c r="F65">
        <v>10</v>
      </c>
      <c r="G65" t="str" cm="1">
        <f t="array" ref="G65">[1]!encode_choke(F65)</f>
        <v>{"d_choke_mm":10,"d_pipe_mm":70,"calibr":1,"CDischarge":0.826}</v>
      </c>
      <c r="H65" t="str" cm="1">
        <f t="array" ref="H65">[1]!MF_choke_p_atma(G65,D65,E65,T_choke,0)</f>
        <v>{"p_atma":[12.001,12.056,12.205,12.453,12.806,13.279,13.887,14.655,15.608,16.786,18.231,19.966]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I65" t="str" cm="1">
        <f t="array" ref="I65">[1]!decode_json_p_atma(H65)</f>
        <v>[12.001,12.056,12.205,12.453,12.806,13.279,13.887,14.655,15.608,16.786,18.231,19.966]</v>
      </c>
      <c r="J65" t="str" cm="1">
        <f t="array" ref="J65">[1]!MF_choke_p_atma(G65,D65,E65,T_choke,1)</f>
        <v>{"p_atma":[11.999,11.943,11.791,11.53,11.132,10.529,9.5,-1,-1,-1,-1,-1]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K65" t="str" cm="1">
        <f t="array" ref="K65">[1]!decode_json_p_atma(J65)</f>
        <v>[11.999,11.943,11.791,11.53,11.132,10.529,9.5,-1,-1,-1,-1,-1]</v>
      </c>
      <c r="Y65">
        <v>19.952000000000002</v>
      </c>
      <c r="Z65">
        <v>21.76</v>
      </c>
    </row>
    <row r="66" spans="2:26" x14ac:dyDescent="0.3">
      <c r="B66" t="s">
        <v>62</v>
      </c>
      <c r="C66" s="31" t="str" cm="1">
        <f t="array" ref="C66">[1]!encode_arange(1,100,9)</f>
        <v>[1,10,19,28,37,46,55,64,73,82,91,100]</v>
      </c>
      <c r="D66" s="31" t="str" cm="1">
        <f t="array" ref="D66">[1]!encode_feed_list(C66,fw_,Rp_,,PVTstr_)</f>
        <v>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</v>
      </c>
      <c r="E66">
        <f t="shared" si="0"/>
        <v>12</v>
      </c>
      <c r="F66">
        <v>12</v>
      </c>
      <c r="G66" t="str" cm="1">
        <f t="array" ref="G66">[1]!encode_choke(F66)</f>
        <v>{"d_choke_mm":12,"d_pipe_mm":70,"calibr":1,"CDischarge":0.826}</v>
      </c>
      <c r="H66" t="str" cm="1">
        <f t="array" ref="H66">[1]!MF_choke_p_atma(G66,D66,E66,T_choke,0)</f>
        <v>{"p_atma":[12,12.027,12.097,12.213,12.375,12.587,12.853,13.176,13.562,14.019,14.556,15.182]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I66" t="str" cm="1">
        <f t="array" ref="I66">[1]!decode_json_p_atma(H66)</f>
        <v>[12,12.027,12.097,12.213,12.375,12.587,12.853,13.176,13.562,14.019,14.556,15.182]</v>
      </c>
      <c r="J66" t="str" cm="1">
        <f t="array" ref="J66">[1]!MF_choke_p_atma(G66,D66,E66,T_choke,1)</f>
        <v>{"p_atma":[12,11.973,11.902,11.784,11.613,11.383,11.077,10.669,10.101,9.167,-1,-1],"t_C":[80,80,80,80,80,80,80,80,80,80,80,80],"feed":[{"gamma_gas":0.6,"gamma_oil":0.8,"gamma_wat":1,"rsb_m3m3":50,"PVT_corr_set":0,"q_liq_sm3day":1,"fw_perc":30,"rp_m3m3":50},{"gamma_gas":0.6,"gamma_oil":0.8,"gamma_wat":1,"rsb_m3m3":50,"PVT_corr_set":0,"q_liq_sm3day":10,"fw_perc":30,"rp_m3m3":50},{"gamma_gas":0.6,"gamma_oil":0.8,"gamma_wat":1,"rsb_m3m3":50,"PVT_corr_set":0,"q_liq_sm3day":19,"fw_perc":30,"rp_m3m3":50},{"gamma_gas":0.6,"gamma_oil":0.8,"gamma_wat":1,"rsb_m3m3":50,"PVT_corr_set":0,"q_liq_sm3day":28,"fw_perc":30,"rp_m3m3":50},{"gamma_gas":0.6,"gamma_oil":0.8,"gamma_wat":1,"rsb_m3m3":50,"PVT_corr_set":0,"q_liq_sm3day":37,"fw_perc":30,"rp_m3m3":50},{"gamma_gas":0.6,"gamma_oil":0.8,"gamma_wat":1,"rsb_m3m3":50,"PVT_corr_set":0,"q_liq_sm3day":46,"fw_perc":30,"rp_m3m3":50},{"gamma_gas":0.6,"gamma_oil":0.8,"gamma_wat":1,"rsb_m3m3":50,"PVT_corr_set":0,"q_liq_sm3day":55,"fw_perc":30,"rp_m3m3":50},{"gamma_gas":0.6,"gamma_oil":0.8,"gamma_wat":1,"rsb_m3m3":50,"PVT_corr_set":0,"q_liq_sm3day":64,"fw_perc":30,"rp_m3m3":50},{"gamma_gas":0.6,"gamma_oil":0.8,"gamma_wat":1,"rsb_m3m3":50,"PVT_corr_set":0,"q_liq_sm3day":73,"fw_perc":30,"rp_m3m3":50},{"gamma_gas":0.6,"gamma_oil":0.8,"gamma_wat":1,"rsb_m3m3":50,"PVT_corr_set":0,"q_liq_sm3day":82,"fw_perc":30,"rp_m3m3":50},{"gamma_gas":0.6,"gamma_oil":0.8,"gamma_wat":1,"rsb_m3m3":50,"PVT_corr_set":0,"q_liq_sm3day":91,"fw_perc":30,"rp_m3m3":50},{"gamma_gas":0.6,"gamma_oil":0.8,"gamma_wat":1,"rsb_m3m3":50,"PVT_corr_set":0,"q_liq_sm3day":100,"fw_perc":30,"rp_m3m3":50}]}</v>
      </c>
      <c r="K66" t="str" cm="1">
        <f t="array" ref="K66">[1]!decode_json_p_atma(J66)</f>
        <v>[12,11.973,11.902,11.784,11.613,11.383,11.077,10.669,10.101,9.167,-1,-1]</v>
      </c>
      <c r="Y66">
        <v>20.46</v>
      </c>
      <c r="Z66">
        <v>20.202999999999999</v>
      </c>
    </row>
    <row r="67" spans="2:26" x14ac:dyDescent="0.3">
      <c r="Y67">
        <v>20.968</v>
      </c>
      <c r="Z67">
        <v>18.366</v>
      </c>
    </row>
    <row r="68" spans="2:26" x14ac:dyDescent="0.3">
      <c r="Y68">
        <v>21.475999999999999</v>
      </c>
      <c r="Z68">
        <v>16.155999999999999</v>
      </c>
    </row>
    <row r="69" spans="2:26" x14ac:dyDescent="0.3">
      <c r="C69" t="s">
        <v>63</v>
      </c>
      <c r="D69" t="str">
        <f>"d = " &amp;F61</f>
        <v>d = 3</v>
      </c>
      <c r="E69" t="str">
        <f>"d = " &amp;F62</f>
        <v>d = 4</v>
      </c>
      <c r="F69" t="str">
        <f>"d = " &amp;F63</f>
        <v>d = 6</v>
      </c>
      <c r="G69" t="str">
        <f>"d = " &amp;F64</f>
        <v>d = 8</v>
      </c>
      <c r="H69" t="str">
        <f>"d = " &amp;F65</f>
        <v>d = 10</v>
      </c>
      <c r="I69" t="str">
        <f>"d = " &amp;F66</f>
        <v>d = 12</v>
      </c>
      <c r="Y69">
        <v>21.984000000000002</v>
      </c>
      <c r="Z69">
        <v>13.391</v>
      </c>
    </row>
    <row r="70" spans="2:26" x14ac:dyDescent="0.3">
      <c r="C70" s="31" cm="1">
        <f t="array" ref="C70:C82">[1]!decode_json(C61)</f>
        <v>1</v>
      </c>
      <c r="D70" s="31" cm="1">
        <f t="array" ref="D70:D82">[1]!decode_json(I61)</f>
        <v>12.071</v>
      </c>
      <c r="E70" s="31" cm="1">
        <f t="array" ref="E70:E81">[1]!decode_json(I62)</f>
        <v>12.022</v>
      </c>
      <c r="F70" s="31" cm="1">
        <f t="array" ref="F70:F81">[1]!decode_json(I63)</f>
        <v>12.004</v>
      </c>
      <c r="G70" s="31" cm="1">
        <f t="array" ref="G70:G81">[1]!decode_json(I64)</f>
        <v>12.000999999999999</v>
      </c>
      <c r="H70" s="31" cm="1">
        <f t="array" ref="H70:H81">[1]!decode_json(I65)</f>
        <v>12.000999999999999</v>
      </c>
      <c r="I70" s="31" cm="1">
        <f t="array" ref="I70:I81">[1]!decode_json(I66)</f>
        <v>12</v>
      </c>
      <c r="Y70">
        <v>22.492000000000001</v>
      </c>
      <c r="Z70">
        <v>9.6069999999999993</v>
      </c>
    </row>
    <row r="71" spans="2:26" x14ac:dyDescent="0.3">
      <c r="C71" s="31">
        <v>5</v>
      </c>
      <c r="D71" s="31">
        <v>13.97</v>
      </c>
      <c r="E71">
        <v>14.558</v>
      </c>
      <c r="F71">
        <v>12.452999999999999</v>
      </c>
      <c r="G71">
        <v>12.14</v>
      </c>
      <c r="H71">
        <v>12.055999999999999</v>
      </c>
      <c r="I71">
        <v>12.026999999999999</v>
      </c>
      <c r="Y71">
        <v>23</v>
      </c>
      <c r="Z71">
        <v>0</v>
      </c>
    </row>
    <row r="72" spans="2:26" x14ac:dyDescent="0.3">
      <c r="C72" s="31">
        <v>9</v>
      </c>
      <c r="D72" s="31">
        <v>19.966999999999999</v>
      </c>
      <c r="E72">
        <v>23.675000000000001</v>
      </c>
      <c r="F72">
        <v>13.749000000000001</v>
      </c>
      <c r="G72">
        <v>12.515000000000001</v>
      </c>
      <c r="H72">
        <v>12.205</v>
      </c>
      <c r="I72">
        <v>12.097</v>
      </c>
    </row>
    <row r="73" spans="2:26" x14ac:dyDescent="0.3">
      <c r="C73" s="31">
        <v>13</v>
      </c>
      <c r="D73" s="31">
        <v>28.702000000000002</v>
      </c>
      <c r="E73">
        <v>34.597000000000001</v>
      </c>
      <c r="F73">
        <v>16.241</v>
      </c>
      <c r="G73">
        <v>13.159000000000001</v>
      </c>
      <c r="H73">
        <v>12.452999999999999</v>
      </c>
      <c r="I73">
        <v>12.212999999999999</v>
      </c>
    </row>
    <row r="74" spans="2:26" x14ac:dyDescent="0.3">
      <c r="C74" s="31">
        <v>17</v>
      </c>
      <c r="D74" s="31">
        <v>37.250999999999998</v>
      </c>
      <c r="E74">
        <v>45.185000000000002</v>
      </c>
      <c r="F74">
        <v>20.518000000000001</v>
      </c>
      <c r="G74">
        <v>14.125</v>
      </c>
      <c r="H74">
        <v>12.805999999999999</v>
      </c>
      <c r="I74">
        <v>12.375</v>
      </c>
    </row>
    <row r="75" spans="2:26" x14ac:dyDescent="0.3">
      <c r="C75" s="31">
        <v>21</v>
      </c>
      <c r="D75" s="31">
        <v>45.564999999999998</v>
      </c>
      <c r="E75">
        <v>55.368000000000002</v>
      </c>
      <c r="F75">
        <v>25.443999999999999</v>
      </c>
      <c r="G75">
        <v>15.5</v>
      </c>
      <c r="H75">
        <v>13.279</v>
      </c>
      <c r="I75">
        <v>12.587</v>
      </c>
    </row>
    <row r="76" spans="2:26" x14ac:dyDescent="0.3">
      <c r="C76" s="31">
        <v>25</v>
      </c>
      <c r="D76" s="31">
        <v>53.64</v>
      </c>
      <c r="E76">
        <v>65.117999999999995</v>
      </c>
      <c r="F76">
        <v>30.318999999999999</v>
      </c>
      <c r="G76">
        <v>17.401</v>
      </c>
      <c r="H76">
        <v>13.887</v>
      </c>
      <c r="I76">
        <v>12.853</v>
      </c>
    </row>
    <row r="77" spans="2:26" x14ac:dyDescent="0.3">
      <c r="C77" s="31">
        <v>29</v>
      </c>
      <c r="D77" s="31">
        <v>61.438000000000002</v>
      </c>
      <c r="E77">
        <v>74.417000000000002</v>
      </c>
      <c r="F77">
        <v>35.130000000000003</v>
      </c>
      <c r="G77">
        <v>19.966999999999999</v>
      </c>
      <c r="H77">
        <v>14.654999999999999</v>
      </c>
      <c r="I77">
        <v>13.176</v>
      </c>
    </row>
    <row r="78" spans="2:26" x14ac:dyDescent="0.3">
      <c r="C78" s="31">
        <v>33</v>
      </c>
      <c r="D78" s="31">
        <v>68.962000000000003</v>
      </c>
      <c r="E78">
        <v>83.340999999999994</v>
      </c>
      <c r="F78">
        <v>39.869999999999997</v>
      </c>
      <c r="G78">
        <v>22.748999999999999</v>
      </c>
      <c r="H78">
        <v>15.608000000000001</v>
      </c>
      <c r="I78">
        <v>13.561999999999999</v>
      </c>
    </row>
    <row r="79" spans="2:26" x14ac:dyDescent="0.3">
      <c r="C79" s="31">
        <v>37</v>
      </c>
      <c r="D79" s="31">
        <v>76.203999999999994</v>
      </c>
      <c r="E79">
        <v>91.96</v>
      </c>
      <c r="F79">
        <v>44.54</v>
      </c>
      <c r="G79">
        <v>25.515000000000001</v>
      </c>
      <c r="H79">
        <v>16.786000000000001</v>
      </c>
      <c r="I79">
        <v>14.019</v>
      </c>
    </row>
    <row r="80" spans="2:26" x14ac:dyDescent="0.3">
      <c r="C80" s="31">
        <v>41</v>
      </c>
      <c r="D80" s="31">
        <v>83.234999999999999</v>
      </c>
      <c r="E80">
        <v>100.063</v>
      </c>
      <c r="F80">
        <v>49.128</v>
      </c>
      <c r="G80">
        <v>28.263000000000002</v>
      </c>
      <c r="H80">
        <v>18.231000000000002</v>
      </c>
      <c r="I80">
        <v>14.555999999999999</v>
      </c>
    </row>
    <row r="81" spans="2:9" x14ac:dyDescent="0.3">
      <c r="C81">
        <v>45</v>
      </c>
      <c r="D81">
        <v>90.090999999999994</v>
      </c>
      <c r="E81">
        <v>107.646</v>
      </c>
      <c r="F81">
        <v>53.634</v>
      </c>
      <c r="G81">
        <v>30.992999999999999</v>
      </c>
      <c r="H81">
        <v>19.966000000000001</v>
      </c>
      <c r="I81">
        <v>15.182</v>
      </c>
    </row>
    <row r="82" spans="2:9" x14ac:dyDescent="0.3">
      <c r="C82">
        <v>49</v>
      </c>
      <c r="D82">
        <v>96.623999999999995</v>
      </c>
    </row>
    <row r="86" spans="2:9" x14ac:dyDescent="0.3">
      <c r="B86" t="s">
        <v>64</v>
      </c>
    </row>
    <row r="89" spans="2:9" x14ac:dyDescent="0.3">
      <c r="C89" t="s">
        <v>63</v>
      </c>
      <c r="D89" t="str">
        <f>"d = " &amp;F61</f>
        <v>d = 3</v>
      </c>
      <c r="E89" t="str">
        <f>"d = " &amp;F62</f>
        <v>d = 4</v>
      </c>
      <c r="F89" t="str">
        <f>"d = " &amp;F63</f>
        <v>d = 6</v>
      </c>
      <c r="G89" t="str">
        <f>"d = " &amp;F64</f>
        <v>d = 8</v>
      </c>
      <c r="H89" t="str">
        <f>"d = " &amp;F65</f>
        <v>d = 10</v>
      </c>
      <c r="I89" t="str">
        <f>"d = " &amp;F66</f>
        <v>d = 12</v>
      </c>
    </row>
    <row r="90" spans="2:9" x14ac:dyDescent="0.3">
      <c r="C90" s="31" cm="1">
        <f t="array" ref="C90:C102">[1]!decode_json(C61)</f>
        <v>1</v>
      </c>
      <c r="D90" s="31" cm="1">
        <f t="array" ref="D90:D102">[1]!decode_json(K61)</f>
        <v>11.928000000000001</v>
      </c>
      <c r="E90" s="31" cm="1">
        <f t="array" ref="E90:E101">[1]!decode_json(K62)</f>
        <v>11.977</v>
      </c>
      <c r="F90" s="31" cm="1">
        <f t="array" ref="F90:F101">[1]!decode_json(K63)</f>
        <v>11.996</v>
      </c>
      <c r="G90" s="31" cm="1">
        <f t="array" ref="G90:G101">[1]!decode_json(K64)</f>
        <v>11.999000000000001</v>
      </c>
      <c r="H90" s="31" cm="1">
        <f t="array" ref="H90:H101">[1]!decode_json(K65)</f>
        <v>11.999000000000001</v>
      </c>
      <c r="I90" s="31" cm="1">
        <f t="array" ref="I90:I101">[1]!decode_json(K66)</f>
        <v>12</v>
      </c>
    </row>
    <row r="91" spans="2:9" x14ac:dyDescent="0.3">
      <c r="C91" s="31">
        <v>5</v>
      </c>
      <c r="D91" s="31">
        <v>9.3379999999999992</v>
      </c>
      <c r="E91">
        <v>-1</v>
      </c>
      <c r="F91">
        <v>11.53</v>
      </c>
      <c r="G91">
        <v>11.859</v>
      </c>
      <c r="H91">
        <v>11.943</v>
      </c>
      <c r="I91">
        <v>11.973000000000001</v>
      </c>
    </row>
    <row r="92" spans="2:9" x14ac:dyDescent="0.3">
      <c r="C92" s="31">
        <v>9</v>
      </c>
      <c r="D92" s="31">
        <v>-1</v>
      </c>
      <c r="E92">
        <v>-1</v>
      </c>
      <c r="F92">
        <v>9.7880000000000003</v>
      </c>
      <c r="G92">
        <v>11.462</v>
      </c>
      <c r="H92">
        <v>11.791</v>
      </c>
      <c r="I92">
        <v>11.901999999999999</v>
      </c>
    </row>
    <row r="93" spans="2:9" x14ac:dyDescent="0.3">
      <c r="C93" s="31">
        <v>13</v>
      </c>
      <c r="D93" s="31">
        <v>-1</v>
      </c>
      <c r="E93">
        <v>-1</v>
      </c>
      <c r="F93">
        <v>-1</v>
      </c>
      <c r="G93">
        <v>10.693</v>
      </c>
      <c r="H93">
        <v>11.53</v>
      </c>
      <c r="I93">
        <v>11.784000000000001</v>
      </c>
    </row>
    <row r="94" spans="2:9" x14ac:dyDescent="0.3">
      <c r="C94" s="31">
        <v>17</v>
      </c>
      <c r="D94" s="31">
        <v>-1</v>
      </c>
      <c r="E94">
        <v>-1</v>
      </c>
      <c r="F94">
        <v>-1</v>
      </c>
      <c r="G94">
        <v>8.8949999999999996</v>
      </c>
      <c r="H94">
        <v>11.132</v>
      </c>
      <c r="I94">
        <v>11.613</v>
      </c>
    </row>
    <row r="95" spans="2:9" x14ac:dyDescent="0.3">
      <c r="C95" s="31">
        <v>21</v>
      </c>
      <c r="D95" s="31">
        <v>-1</v>
      </c>
      <c r="E95">
        <v>-1</v>
      </c>
      <c r="F95">
        <v>-1</v>
      </c>
      <c r="G95">
        <v>-1</v>
      </c>
      <c r="H95">
        <v>10.529</v>
      </c>
      <c r="I95">
        <v>11.382999999999999</v>
      </c>
    </row>
    <row r="96" spans="2:9" x14ac:dyDescent="0.3">
      <c r="C96" s="31">
        <v>25</v>
      </c>
      <c r="D96" s="31">
        <v>-1</v>
      </c>
      <c r="E96">
        <v>-1</v>
      </c>
      <c r="F96">
        <v>-1</v>
      </c>
      <c r="G96">
        <v>-1</v>
      </c>
      <c r="H96">
        <v>9.5</v>
      </c>
      <c r="I96">
        <v>11.077</v>
      </c>
    </row>
    <row r="97" spans="3:9" x14ac:dyDescent="0.3">
      <c r="C97" s="31">
        <v>29</v>
      </c>
      <c r="D97" s="31">
        <v>-1</v>
      </c>
      <c r="E97">
        <v>-1</v>
      </c>
      <c r="F97">
        <v>-1</v>
      </c>
      <c r="G97">
        <v>-1</v>
      </c>
      <c r="H97">
        <v>-1</v>
      </c>
      <c r="I97">
        <v>10.669</v>
      </c>
    </row>
    <row r="98" spans="3:9" x14ac:dyDescent="0.3">
      <c r="C98" s="31">
        <v>33</v>
      </c>
      <c r="D98" s="31">
        <v>-1</v>
      </c>
      <c r="E98">
        <v>-1</v>
      </c>
      <c r="F98">
        <v>-1</v>
      </c>
      <c r="G98">
        <v>-1</v>
      </c>
      <c r="H98">
        <v>-1</v>
      </c>
      <c r="I98">
        <v>10.101000000000001</v>
      </c>
    </row>
    <row r="99" spans="3:9" x14ac:dyDescent="0.3">
      <c r="C99" s="31">
        <v>37</v>
      </c>
      <c r="D99" s="31">
        <v>-1</v>
      </c>
      <c r="E99">
        <v>-1</v>
      </c>
      <c r="F99">
        <v>-1</v>
      </c>
      <c r="G99">
        <v>-1</v>
      </c>
      <c r="H99">
        <v>-1</v>
      </c>
      <c r="I99">
        <v>9.1669999999999998</v>
      </c>
    </row>
    <row r="100" spans="3:9" x14ac:dyDescent="0.3">
      <c r="C100" s="31">
        <v>41</v>
      </c>
      <c r="D100" s="31">
        <v>-1</v>
      </c>
      <c r="E100">
        <v>-1</v>
      </c>
      <c r="F100">
        <v>-1</v>
      </c>
      <c r="G100">
        <v>-1</v>
      </c>
      <c r="H100">
        <v>-1</v>
      </c>
      <c r="I100">
        <v>-1</v>
      </c>
    </row>
    <row r="101" spans="3:9" x14ac:dyDescent="0.3">
      <c r="C101">
        <v>45</v>
      </c>
      <c r="D101">
        <v>-1</v>
      </c>
      <c r="E101">
        <v>-1</v>
      </c>
      <c r="F101">
        <v>-1</v>
      </c>
      <c r="G101">
        <v>-1</v>
      </c>
      <c r="H101">
        <v>-1</v>
      </c>
      <c r="I101">
        <v>-1</v>
      </c>
    </row>
    <row r="102" spans="3:9" x14ac:dyDescent="0.3">
      <c r="C102">
        <v>49</v>
      </c>
      <c r="D102">
        <v>-1</v>
      </c>
    </row>
    <row r="109" spans="3:9" x14ac:dyDescent="0.3">
      <c r="C109" s="31"/>
      <c r="D109" s="31"/>
    </row>
    <row r="110" spans="3:9" x14ac:dyDescent="0.3">
      <c r="C110" s="31"/>
      <c r="D110" s="31"/>
    </row>
    <row r="111" spans="3:9" x14ac:dyDescent="0.3">
      <c r="C111" s="31"/>
      <c r="D111" s="31"/>
    </row>
    <row r="112" spans="3:9" x14ac:dyDescent="0.3">
      <c r="C112" s="31"/>
      <c r="D112" s="31"/>
    </row>
    <row r="113" spans="3:4" x14ac:dyDescent="0.3">
      <c r="C113" s="31"/>
      <c r="D113" s="31"/>
    </row>
    <row r="114" spans="3:4" x14ac:dyDescent="0.3">
      <c r="C114" s="31"/>
      <c r="D114" s="31"/>
    </row>
  </sheetData>
  <phoneticPr fontId="17" type="noConversion"/>
  <hyperlinks>
    <hyperlink ref="AZ23" r:id="rId1" xr:uid="{D2423A2D-93CC-4B68-984B-ACB7C26634BD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33</vt:i4>
      </vt:variant>
    </vt:vector>
  </HeadingPairs>
  <TitlesOfParts>
    <vt:vector size="34" baseType="lpstr">
      <vt:lpstr>exercise_choke</vt:lpstr>
      <vt:lpstr>exercise_choke!Bob_</vt:lpstr>
      <vt:lpstr>calc_along_flow</vt:lpstr>
      <vt:lpstr>exercise_choke!cf_</vt:lpstr>
      <vt:lpstr>choke_json</vt:lpstr>
      <vt:lpstr>exercise_choke!d_choke</vt:lpstr>
      <vt:lpstr>exercise_choke!d_pipe</vt:lpstr>
      <vt:lpstr>feed</vt:lpstr>
      <vt:lpstr>exercise_choke!fw_</vt:lpstr>
      <vt:lpstr>exercise_choke!gamma_gas_</vt:lpstr>
      <vt:lpstr>exercise_choke!gamma_oil_</vt:lpstr>
      <vt:lpstr>exercise_choke!gamma_wat_</vt:lpstr>
      <vt:lpstr>exercise_choke!gamma_wat_kf_</vt:lpstr>
      <vt:lpstr>exercise_choke!gas_only</vt:lpstr>
      <vt:lpstr>exercise_choke!input_0</vt:lpstr>
      <vt:lpstr>exercise_choke!input_Course</vt:lpstr>
      <vt:lpstr>exercise_choke!input_Date</vt:lpstr>
      <vt:lpstr>exercise_choke!input_Group</vt:lpstr>
      <vt:lpstr>exercise_choke!input_Notes</vt:lpstr>
      <vt:lpstr>exercise_choke!input_Student_Name</vt:lpstr>
      <vt:lpstr>exercise_choke!input_Version</vt:lpstr>
      <vt:lpstr>exercise_choke!muob_</vt:lpstr>
      <vt:lpstr>param</vt:lpstr>
      <vt:lpstr>exercise_choke!Pb_</vt:lpstr>
      <vt:lpstr>exercise_choke!Pbuf_</vt:lpstr>
      <vt:lpstr>exercise_choke!Plin_</vt:lpstr>
      <vt:lpstr>exercise_choke!PVTstr_</vt:lpstr>
      <vt:lpstr>exercise_choke!qgas_free</vt:lpstr>
      <vt:lpstr>exercise_choke!Qliq_</vt:lpstr>
      <vt:lpstr>exercise_choke!Rp_</vt:lpstr>
      <vt:lpstr>exercise_choke!Rsb_</vt:lpstr>
      <vt:lpstr>exercise_choke!T_choke</vt:lpstr>
      <vt:lpstr>exercise_choke!T_upchoke</vt:lpstr>
      <vt:lpstr>exercise_choke!Tres_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2023-10-31T16:10:37Z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