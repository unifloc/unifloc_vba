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E08EA89A-4DF7-4C4E-AE69-E746D1160051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9" i="120" l="1"/>
  <c r="H69" i="120"/>
  <c r="G69" i="120"/>
  <c r="F69" i="120"/>
  <c r="E69" i="120"/>
  <c r="D69" i="120"/>
  <c r="E62" i="120"/>
  <c r="E63" i="120"/>
  <c r="E64" i="120"/>
  <c r="E65" i="120"/>
  <c r="E66" i="120"/>
  <c r="E61" i="120"/>
  <c r="Q88" i="120" a="1"/>
  <c r="N88" i="120" a="1"/>
  <c r="K88" i="120" a="1"/>
  <c r="H88" i="120" a="1"/>
  <c r="E88" i="120" a="1"/>
  <c r="B88" i="120" a="1"/>
  <c r="I66" i="120" a="1"/>
  <c r="I62" i="120" a="1"/>
  <c r="I64" i="120" a="1"/>
  <c r="I65" i="120" a="1"/>
  <c r="I63" i="120" a="1"/>
  <c r="I61" i="120" a="1"/>
  <c r="C70" i="120" a="1"/>
  <c r="C64" i="120" a="1"/>
  <c r="C66" i="120" a="1"/>
  <c r="C63" i="120" a="1"/>
  <c r="C65" i="120" a="1"/>
  <c r="C62" i="120" a="1"/>
  <c r="C61" i="120" a="1"/>
  <c r="Q88" i="120" l="1"/>
  <c r="N88" i="120"/>
  <c r="K88" i="120"/>
  <c r="H88" i="120"/>
  <c r="E88" i="120"/>
  <c r="B88" i="120"/>
  <c r="I66" i="120"/>
  <c r="I63" i="120"/>
  <c r="I65" i="120"/>
  <c r="I64" i="120"/>
  <c r="I62" i="120"/>
  <c r="I61" i="120"/>
  <c r="C70" i="120"/>
  <c r="C62" i="120"/>
  <c r="C65" i="120"/>
  <c r="C63" i="120"/>
  <c r="C66" i="120"/>
  <c r="C64" i="120"/>
  <c r="C61" i="120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24" i="120"/>
  <c r="I28" i="120" a="1"/>
  <c r="G1" i="120"/>
  <c r="D61" i="120" a="1"/>
  <c r="D62" i="120" a="1"/>
  <c r="D65" i="120" a="1"/>
  <c r="D63" i="120" a="1"/>
  <c r="D66" i="120" a="1"/>
  <c r="D64" i="120" a="1"/>
  <c r="D64" i="120" l="1"/>
  <c r="D66" i="120"/>
  <c r="D63" i="120"/>
  <c r="D65" i="120"/>
  <c r="D62" i="120"/>
  <c r="D61" i="120"/>
  <c r="I28" i="120"/>
  <c r="G66" i="120" a="1"/>
  <c r="G63" i="120" a="1"/>
  <c r="G65" i="120" a="1"/>
  <c r="G62" i="120" a="1"/>
  <c r="G61" i="120" a="1"/>
  <c r="G64" i="120" a="1"/>
  <c r="G25" i="120" a="1"/>
  <c r="G64" i="120" l="1"/>
  <c r="G61" i="120"/>
  <c r="G62" i="120"/>
  <c r="G65" i="120"/>
  <c r="G63" i="120"/>
  <c r="G66" i="120"/>
  <c r="G25" i="120"/>
  <c r="H64" i="120" a="1"/>
  <c r="H62" i="120" a="1"/>
  <c r="H65" i="120" a="1"/>
  <c r="H63" i="120" a="1"/>
  <c r="H66" i="120" a="1"/>
  <c r="H61" i="120" a="1"/>
  <c r="B45" i="120" a="1"/>
  <c r="B50" i="120" a="1"/>
  <c r="B40" i="120" a="1"/>
  <c r="B35" i="120" a="1"/>
  <c r="N35" i="120" s="1" a="1"/>
  <c r="N40" i="120" a="1"/>
  <c r="N45" i="120" a="1"/>
  <c r="N50" i="120" a="1"/>
  <c r="H66" i="120" l="1"/>
  <c r="H63" i="120"/>
  <c r="H65" i="120"/>
  <c r="H62" i="120"/>
  <c r="H64" i="120"/>
  <c r="H61" i="120"/>
  <c r="B45" i="120"/>
  <c r="B35" i="120"/>
  <c r="N35" i="120"/>
  <c r="B50" i="120"/>
  <c r="B40" i="120"/>
  <c r="N50" i="120"/>
  <c r="N45" i="120"/>
  <c r="N40" i="120"/>
  <c r="I70" i="120" a="1"/>
  <c r="F70" i="120" a="1"/>
  <c r="H70" i="120" a="1"/>
  <c r="E70" i="120" a="1"/>
  <c r="G70" i="120" a="1"/>
  <c r="D70" i="120" a="1"/>
  <c r="G70" i="120" l="1"/>
  <c r="E70" i="120"/>
  <c r="H70" i="120"/>
  <c r="F70" i="120"/>
  <c r="I70" i="120"/>
  <c r="D70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<sst xmlns="http://schemas.openxmlformats.org/spreadsheetml/2006/main" count="99" uniqueCount="82">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</sst>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0" xfId="0" applyFill="1" applyBorder="1" applyAlignment="1"/>
    <xf numFmtId="0" fontId="0" fillId="8" borderId="0" xfId="0" applyFill="1"/>
    <xf numFmtId="165" fontId="0" fillId="0" borderId="0" xfId="0" applyNumberFormat="1"/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0" fontId="0" fillId="6" borderId="5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12.3528442382813</c:v>
                </c:pt>
                <c:pt idx="1">
                  <c:v>49.912353515625</c:v>
                </c:pt>
                <c:pt idx="2">
                  <c:v>91.560791015625</c:v>
                </c:pt>
                <c:pt idx="3">
                  <c:v>130.817138671875</c:v>
                </c:pt>
                <c:pt idx="4">
                  <c:v>168.365478515625</c:v>
                </c:pt>
                <c:pt idx="5">
                  <c:v>540.314208984375</c:v>
                </c:pt>
                <c:pt idx="6">
                  <c:v>554.114501953125</c:v>
                </c:pt>
                <c:pt idx="7">
                  <c:v>563.684326171875</c:v>
                </c:pt>
                <c:pt idx="8">
                  <c:v>570.706787109375</c:v>
                </c:pt>
                <c:pt idx="9">
                  <c:v>576.078369140625</c:v>
                </c:pt>
                <c:pt idx="10">
                  <c:v>580.319091796875</c:v>
                </c:pt>
                <c:pt idx="11" formatCode="General">
                  <c:v>583.751220703125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12.1094512939453</c:v>
                </c:pt>
                <c:pt idx="1">
                  <c:v>28.553466796875</c:v>
                </c:pt>
                <c:pt idx="2">
                  <c:v>53.197998046875</c:v>
                </c:pt>
                <c:pt idx="3">
                  <c:v>76.843505859375</c:v>
                </c:pt>
                <c:pt idx="4">
                  <c:v>99.630615234375</c:v>
                </c:pt>
                <c:pt idx="5">
                  <c:v>121.720458984375</c:v>
                </c:pt>
                <c:pt idx="6">
                  <c:v>143.239013671875</c:v>
                </c:pt>
                <c:pt idx="7">
                  <c:v>164.265380859375</c:v>
                </c:pt>
                <c:pt idx="8">
                  <c:v>184.858154296875</c:v>
                </c:pt>
                <c:pt idx="9">
                  <c:v>548.193603515625</c:v>
                </c:pt>
                <c:pt idx="10">
                  <c:v>555.661376953125</c:v>
                </c:pt>
                <c:pt idx="11">
                  <c:v>561.633544921875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12.021360397338899</c:v>
                </c:pt>
                <c:pt idx="1">
                  <c:v>14.524658203125</c:v>
                </c:pt>
                <c:pt idx="2">
                  <c:v>24.186767578125</c:v>
                </c:pt>
                <c:pt idx="3">
                  <c:v>35.351806640625</c:v>
                </c:pt>
                <c:pt idx="4">
                  <c:v>46.305908203125</c:v>
                </c:pt>
                <c:pt idx="5">
                  <c:v>57.056396484375</c:v>
                </c:pt>
                <c:pt idx="6">
                  <c:v>67.612060546875</c:v>
                </c:pt>
                <c:pt idx="7">
                  <c:v>77.986083984375</c:v>
                </c:pt>
                <c:pt idx="8">
                  <c:v>88.191650390625</c:v>
                </c:pt>
                <c:pt idx="9">
                  <c:v>98.244873046875</c:v>
                </c:pt>
                <c:pt idx="10">
                  <c:v>108.158935546875</c:v>
                </c:pt>
                <c:pt idx="11">
                  <c:v>117.945556640625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12.006700515747101</c:v>
                </c:pt>
                <c:pt idx="1">
                  <c:v>12.705322265625</c:v>
                </c:pt>
                <c:pt idx="2">
                  <c:v>14.943603515625</c:v>
                </c:pt>
                <c:pt idx="3">
                  <c:v>20.104248046875</c:v>
                </c:pt>
                <c:pt idx="4">
                  <c:v>26.451416015625</c:v>
                </c:pt>
                <c:pt idx="5">
                  <c:v>32.732666015625</c:v>
                </c:pt>
                <c:pt idx="6">
                  <c:v>38.949462890625</c:v>
                </c:pt>
                <c:pt idx="7">
                  <c:v>45.098876953125</c:v>
                </c:pt>
                <c:pt idx="8">
                  <c:v>51.182373046875</c:v>
                </c:pt>
                <c:pt idx="9">
                  <c:v>57.202880859375</c:v>
                </c:pt>
                <c:pt idx="10">
                  <c:v>63.161865234375</c:v>
                </c:pt>
                <c:pt idx="11">
                  <c:v>69.060791015625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12.002716541290299</c:v>
                </c:pt>
                <c:pt idx="1">
                  <c:v>12.2774963378906</c:v>
                </c:pt>
                <c:pt idx="2">
                  <c:v>13.0607299804688</c:v>
                </c:pt>
                <c:pt idx="3">
                  <c:v>14.540771484375</c:v>
                </c:pt>
                <c:pt idx="4">
                  <c:v>17.143798828125</c:v>
                </c:pt>
                <c:pt idx="5">
                  <c:v>21.122314453125</c:v>
                </c:pt>
                <c:pt idx="6">
                  <c:v>25.185791015625</c:v>
                </c:pt>
                <c:pt idx="7">
                  <c:v>29.221435546875</c:v>
                </c:pt>
                <c:pt idx="8">
                  <c:v>33.230712890625</c:v>
                </c:pt>
                <c:pt idx="9">
                  <c:v>37.213623046875</c:v>
                </c:pt>
                <c:pt idx="10">
                  <c:v>41.168701171875</c:v>
                </c:pt>
                <c:pt idx="11">
                  <c:v>45.095947265625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12.0012946128845</c:v>
                </c:pt>
                <c:pt idx="1">
                  <c:v>12.1308288574219</c:v>
                </c:pt>
                <c:pt idx="2">
                  <c:v>12.4852294921875</c:v>
                </c:pt>
                <c:pt idx="3">
                  <c:v>13.1033935546875</c:v>
                </c:pt>
                <c:pt idx="4">
                  <c:v>14.058837890625</c:v>
                </c:pt>
                <c:pt idx="5">
                  <c:v>15.481201171875</c:v>
                </c:pt>
                <c:pt idx="6">
                  <c:v>17.605224609375</c:v>
                </c:pt>
                <c:pt idx="7">
                  <c:v>20.416259765625</c:v>
                </c:pt>
                <c:pt idx="8">
                  <c:v>23.243408203125</c:v>
                </c:pt>
                <c:pt idx="9">
                  <c:v>26.057373046875</c:v>
                </c:pt>
                <c:pt idx="10">
                  <c:v>28.858154296875</c:v>
                </c:pt>
                <c:pt idx="11">
                  <c:v>31.647216796875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exercise_choke!$C$89:$C$108</c:f>
              <c:numCache>
                <c:formatCode>General</c:formatCode>
                <c:ptCount val="20"/>
                <c:pt idx="0">
                  <c:v>2.33877641079108</c:v>
                </c:pt>
                <c:pt idx="1">
                  <c:v>2.33877641079108</c:v>
                </c:pt>
                <c:pt idx="2">
                  <c:v>2.3365244051028999</c:v>
                </c:pt>
                <c:pt idx="3">
                  <c:v>2.3284369105974698</c:v>
                </c:pt>
                <c:pt idx="4">
                  <c:v>2.3141518962804901</c:v>
                </c:pt>
                <c:pt idx="5">
                  <c:v>2.2932509133655401</c:v>
                </c:pt>
                <c:pt idx="6">
                  <c:v>2.26524553115437</c:v>
                </c:pt>
                <c:pt idx="7">
                  <c:v>2.2295590578250399</c:v>
                </c:pt>
                <c:pt idx="8">
                  <c:v>2.1855013723862098</c:v>
                </c:pt>
                <c:pt idx="9">
                  <c:v>2.1322333867196499</c:v>
                </c:pt>
                <c:pt idx="10">
                  <c:v>2.0687153448357898</c:v>
                </c:pt>
                <c:pt idx="11">
                  <c:v>1.9936288708404599</c:v>
                </c:pt>
                <c:pt idx="12">
                  <c:v>1.9052542075046099</c:v>
                </c:pt>
                <c:pt idx="13">
                  <c:v>1.8012661319988099</c:v>
                </c:pt>
                <c:pt idx="14">
                  <c:v>1.67837034262121</c:v>
                </c:pt>
                <c:pt idx="15">
                  <c:v>1.5315931252384001</c:v>
                </c:pt>
                <c:pt idx="16">
                  <c:v>1.3527020388706199</c:v>
                </c:pt>
                <c:pt idx="17">
                  <c:v>1.12592396437981</c:v>
                </c:pt>
                <c:pt idx="18">
                  <c:v>0.81129275916630095</c:v>
                </c:pt>
                <c:pt idx="19">
                  <c:v>0</c:v>
                </c:pt>
              </c:numCache>
            </c:numRef>
          </c:xVal>
          <c:yVal>
            <c:numRef>
              <c:f>exercise_choke!$B$89:$B$108</c:f>
              <c:numCache>
                <c:formatCode>General</c:formatCode>
                <c:ptCount val="20"/>
                <c:pt idx="0">
                  <c:v>1</c:v>
                </c:pt>
                <c:pt idx="1">
                  <c:v>7.7723364764587899</c:v>
                </c:pt>
                <c:pt idx="2">
                  <c:v>8.0072066722110797</c:v>
                </c:pt>
                <c:pt idx="3">
                  <c:v>8.2420768679633696</c:v>
                </c:pt>
                <c:pt idx="4">
                  <c:v>8.4769470637156594</c:v>
                </c:pt>
                <c:pt idx="5">
                  <c:v>8.7118172594679493</c:v>
                </c:pt>
                <c:pt idx="6">
                  <c:v>8.9466874552202391</c:v>
                </c:pt>
                <c:pt idx="7">
                  <c:v>9.1815576509725307</c:v>
                </c:pt>
                <c:pt idx="8">
                  <c:v>9.4164278467248206</c:v>
                </c:pt>
                <c:pt idx="9">
                  <c:v>9.6512980424771104</c:v>
                </c:pt>
                <c:pt idx="10">
                  <c:v>9.8861682382293896</c:v>
                </c:pt>
                <c:pt idx="11">
                  <c:v>10.121038433981701</c:v>
                </c:pt>
                <c:pt idx="12">
                  <c:v>10.355908629734</c:v>
                </c:pt>
                <c:pt idx="13">
                  <c:v>10.5907788254863</c:v>
                </c:pt>
                <c:pt idx="14">
                  <c:v>10.825649021238601</c:v>
                </c:pt>
                <c:pt idx="15">
                  <c:v>11.0605192169908</c:v>
                </c:pt>
                <c:pt idx="16">
                  <c:v>11.2953894127431</c:v>
                </c:pt>
                <c:pt idx="17">
                  <c:v>11.530259608495401</c:v>
                </c:pt>
                <c:pt idx="18">
                  <c:v>11.765129804247699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E-4F45-A790-AE9FDA7750F4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exercise_choke!$F$89:$F$108</c:f>
              <c:numCache>
                <c:formatCode>General</c:formatCode>
                <c:ptCount val="20"/>
                <c:pt idx="0">
                  <c:v>4.1578314414620703</c:v>
                </c:pt>
                <c:pt idx="1">
                  <c:v>4.1578314414620703</c:v>
                </c:pt>
                <c:pt idx="2">
                  <c:v>4.1538278604874304</c:v>
                </c:pt>
                <c:pt idx="3">
                  <c:v>4.1394500922953004</c:v>
                </c:pt>
                <c:pt idx="4">
                  <c:v>4.1140545228190302</c:v>
                </c:pt>
                <c:pt idx="5">
                  <c:v>4.0768972392483596</c:v>
                </c:pt>
                <c:pt idx="6">
                  <c:v>4.0271099159561299</c:v>
                </c:pt>
                <c:pt idx="7">
                  <c:v>3.9636673180136501</c:v>
                </c:pt>
                <c:pt idx="8">
                  <c:v>3.8853425578533902</c:v>
                </c:pt>
                <c:pt idx="9">
                  <c:v>3.7906439164796302</c:v>
                </c:pt>
                <c:pt idx="10">
                  <c:v>3.6777229307505901</c:v>
                </c:pt>
                <c:pt idx="11">
                  <c:v>3.5442358115700099</c:v>
                </c:pt>
                <c:pt idx="12">
                  <c:v>3.3871252007020498</c:v>
                </c:pt>
                <c:pt idx="13">
                  <c:v>3.2022573532543701</c:v>
                </c:pt>
                <c:pt idx="14">
                  <c:v>2.9837757122586299</c:v>
                </c:pt>
                <c:pt idx="15">
                  <c:v>2.7228380899613902</c:v>
                </c:pt>
                <c:pt idx="16">
                  <c:v>2.40480899013924</c:v>
                </c:pt>
                <c:pt idx="17">
                  <c:v>2.0016472299768302</c:v>
                </c:pt>
                <c:pt idx="18">
                  <c:v>1.44230169357072</c:v>
                </c:pt>
                <c:pt idx="19">
                  <c:v>0</c:v>
                </c:pt>
              </c:numCache>
            </c:numRef>
          </c:xVal>
          <c:yVal>
            <c:numRef>
              <c:f>exercise_choke!$E$89:$E$108</c:f>
              <c:numCache>
                <c:formatCode>General</c:formatCode>
                <c:ptCount val="20"/>
                <c:pt idx="0">
                  <c:v>1</c:v>
                </c:pt>
                <c:pt idx="1">
                  <c:v>7.7811241823568098</c:v>
                </c:pt>
                <c:pt idx="2">
                  <c:v>8.01550617222588</c:v>
                </c:pt>
                <c:pt idx="3">
                  <c:v>8.2498881620949405</c:v>
                </c:pt>
                <c:pt idx="4">
                  <c:v>8.4842701519640098</c:v>
                </c:pt>
                <c:pt idx="5">
                  <c:v>8.7186521418330791</c:v>
                </c:pt>
                <c:pt idx="6">
                  <c:v>8.9530341317021396</c:v>
                </c:pt>
                <c:pt idx="7">
                  <c:v>9.1874161215712107</c:v>
                </c:pt>
                <c:pt idx="8">
                  <c:v>9.4217981114402694</c:v>
                </c:pt>
                <c:pt idx="9">
                  <c:v>9.6561801013093405</c:v>
                </c:pt>
                <c:pt idx="10">
                  <c:v>9.8905620911784098</c:v>
                </c:pt>
                <c:pt idx="11">
                  <c:v>10.1249440810475</c:v>
                </c:pt>
                <c:pt idx="12">
                  <c:v>10.3593260709165</c:v>
                </c:pt>
                <c:pt idx="13">
                  <c:v>10.5937080607856</c:v>
                </c:pt>
                <c:pt idx="14">
                  <c:v>10.8280900506547</c:v>
                </c:pt>
                <c:pt idx="15">
                  <c:v>11.0624720405237</c:v>
                </c:pt>
                <c:pt idx="16">
                  <c:v>11.296854030392799</c:v>
                </c:pt>
                <c:pt idx="17">
                  <c:v>11.5312360202619</c:v>
                </c:pt>
                <c:pt idx="18">
                  <c:v>11.7656180101309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EE-4F45-A790-AE9FDA7750F4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exercise_choke!$I$89:$I$108</c:f>
              <c:numCache>
                <c:formatCode>General</c:formatCode>
                <c:ptCount val="20"/>
                <c:pt idx="0">
                  <c:v>9.3552104833913496</c:v>
                </c:pt>
                <c:pt idx="1">
                  <c:v>9.3552104833913496</c:v>
                </c:pt>
                <c:pt idx="2">
                  <c:v>9.3462022215149307</c:v>
                </c:pt>
                <c:pt idx="3">
                  <c:v>9.3138522406381803</c:v>
                </c:pt>
                <c:pt idx="4">
                  <c:v>9.2567123635126798</c:v>
                </c:pt>
                <c:pt idx="5">
                  <c:v>9.1731087347473004</c:v>
                </c:pt>
                <c:pt idx="6">
                  <c:v>9.0610875630355192</c:v>
                </c:pt>
                <c:pt idx="7">
                  <c:v>8.9183420026208307</c:v>
                </c:pt>
                <c:pt idx="8">
                  <c:v>8.7421114788546994</c:v>
                </c:pt>
                <c:pt idx="9">
                  <c:v>8.52903953325972</c:v>
                </c:pt>
                <c:pt idx="10">
                  <c:v>8.2749670161371096</c:v>
                </c:pt>
                <c:pt idx="11">
                  <c:v>7.9746202719267698</c:v>
                </c:pt>
                <c:pt idx="12">
                  <c:v>7.6211200834566801</c:v>
                </c:pt>
                <c:pt idx="13">
                  <c:v>7.20516531855389</c:v>
                </c:pt>
                <c:pt idx="14">
                  <c:v>6.7135784484536103</c:v>
                </c:pt>
                <c:pt idx="15">
                  <c:v>6.1264641589918902</c:v>
                </c:pt>
                <c:pt idx="16">
                  <c:v>5.4108919740052199</c:v>
                </c:pt>
                <c:pt idx="17">
                  <c:v>4.50376813398724</c:v>
                </c:pt>
                <c:pt idx="18">
                  <c:v>3.2452250109268301</c:v>
                </c:pt>
                <c:pt idx="19">
                  <c:v>0</c:v>
                </c:pt>
              </c:numCache>
            </c:numRef>
          </c:xVal>
          <c:yVal>
            <c:numRef>
              <c:f>exercise_choke!$H$89:$H$108</c:f>
              <c:numCache>
                <c:formatCode>General</c:formatCode>
                <c:ptCount val="20"/>
                <c:pt idx="0">
                  <c:v>1</c:v>
                </c:pt>
                <c:pt idx="1">
                  <c:v>7.8049452490170204</c:v>
                </c:pt>
                <c:pt idx="2">
                  <c:v>8.0380038462938508</c:v>
                </c:pt>
                <c:pt idx="3">
                  <c:v>8.2710624435706794</c:v>
                </c:pt>
                <c:pt idx="4">
                  <c:v>8.5041210408475205</c:v>
                </c:pt>
                <c:pt idx="5">
                  <c:v>8.7371796381243492</c:v>
                </c:pt>
                <c:pt idx="6">
                  <c:v>8.9702382354011796</c:v>
                </c:pt>
                <c:pt idx="7">
                  <c:v>9.20329683267801</c:v>
                </c:pt>
                <c:pt idx="8">
                  <c:v>9.4363554299548493</c:v>
                </c:pt>
                <c:pt idx="9">
                  <c:v>9.6694140272316798</c:v>
                </c:pt>
                <c:pt idx="10">
                  <c:v>9.9024726245085102</c:v>
                </c:pt>
                <c:pt idx="11">
                  <c:v>10.1355312217853</c:v>
                </c:pt>
                <c:pt idx="12">
                  <c:v>10.368589819062199</c:v>
                </c:pt>
                <c:pt idx="13">
                  <c:v>10.601648416339</c:v>
                </c:pt>
                <c:pt idx="14">
                  <c:v>10.8347070136158</c:v>
                </c:pt>
                <c:pt idx="15">
                  <c:v>11.0677656108927</c:v>
                </c:pt>
                <c:pt idx="16">
                  <c:v>11.3008242081695</c:v>
                </c:pt>
                <c:pt idx="17">
                  <c:v>11.5338828054463</c:v>
                </c:pt>
                <c:pt idx="18">
                  <c:v>11.7669414027232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EE-4F45-A790-AE9FDA7750F4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exercise_choke!$L$89:$L$108</c:f>
              <c:numCache>
                <c:formatCode>General</c:formatCode>
                <c:ptCount val="20"/>
                <c:pt idx="0">
                  <c:v>16.631914862577698</c:v>
                </c:pt>
                <c:pt idx="1">
                  <c:v>16.631914862577698</c:v>
                </c:pt>
                <c:pt idx="2">
                  <c:v>16.615899194959201</c:v>
                </c:pt>
                <c:pt idx="3">
                  <c:v>16.558388106074499</c:v>
                </c:pt>
                <c:pt idx="4">
                  <c:v>16.4568068403455</c:v>
                </c:pt>
                <c:pt idx="5">
                  <c:v>16.308179408029801</c:v>
                </c:pt>
                <c:pt idx="6">
                  <c:v>16.109032121658402</c:v>
                </c:pt>
                <c:pt idx="7">
                  <c:v>15.855263600612799</c:v>
                </c:pt>
                <c:pt idx="8">
                  <c:v>15.5419657850872</c:v>
                </c:pt>
                <c:pt idx="9">
                  <c:v>15.163171203466099</c:v>
                </c:pt>
                <c:pt idx="10">
                  <c:v>14.71148529665</c:v>
                </c:pt>
                <c:pt idx="11">
                  <c:v>14.177532054254501</c:v>
                </c:pt>
                <c:pt idx="12">
                  <c:v>13.549080985515999</c:v>
                </c:pt>
                <c:pt idx="13">
                  <c:v>12.809595757475799</c:v>
                </c:pt>
                <c:pt idx="14">
                  <c:v>11.9356483331451</c:v>
                </c:pt>
                <c:pt idx="15">
                  <c:v>10.8918673900216</c:v>
                </c:pt>
                <c:pt idx="16">
                  <c:v>9.6197069410142095</c:v>
                </c:pt>
                <c:pt idx="17">
                  <c:v>8.0069950457647003</c:v>
                </c:pt>
                <c:pt idx="18">
                  <c:v>5.7695100595622701</c:v>
                </c:pt>
                <c:pt idx="19">
                  <c:v>0</c:v>
                </c:pt>
              </c:numCache>
            </c:numRef>
          </c:xVal>
          <c:yVal>
            <c:numRef>
              <c:f>exercise_choke!$K$89:$K$108</c:f>
              <c:numCache>
                <c:formatCode>General</c:formatCode>
                <c:ptCount val="20"/>
                <c:pt idx="0">
                  <c:v>1</c:v>
                </c:pt>
                <c:pt idx="1">
                  <c:v>7.8367438183533098</c:v>
                </c:pt>
                <c:pt idx="2">
                  <c:v>8.0680358284448008</c:v>
                </c:pt>
                <c:pt idx="3">
                  <c:v>8.2993278385362803</c:v>
                </c:pt>
                <c:pt idx="4">
                  <c:v>8.5306198486277598</c:v>
                </c:pt>
                <c:pt idx="5">
                  <c:v>8.7619118587192393</c:v>
                </c:pt>
                <c:pt idx="6">
                  <c:v>8.9932038688107294</c:v>
                </c:pt>
                <c:pt idx="7">
                  <c:v>9.2244958789022107</c:v>
                </c:pt>
                <c:pt idx="8">
                  <c:v>9.4557878889936902</c:v>
                </c:pt>
                <c:pt idx="9">
                  <c:v>9.6870798990851696</c:v>
                </c:pt>
                <c:pt idx="10">
                  <c:v>9.9183719091766598</c:v>
                </c:pt>
                <c:pt idx="11">
                  <c:v>10.1496639192681</c:v>
                </c:pt>
                <c:pt idx="12">
                  <c:v>10.380955929359599</c:v>
                </c:pt>
                <c:pt idx="13">
                  <c:v>10.6122479394511</c:v>
                </c:pt>
                <c:pt idx="14">
                  <c:v>10.843539949542601</c:v>
                </c:pt>
                <c:pt idx="15">
                  <c:v>11.0748319596341</c:v>
                </c:pt>
                <c:pt idx="16">
                  <c:v>11.306123969725601</c:v>
                </c:pt>
                <c:pt idx="17">
                  <c:v>11.537415979817</c:v>
                </c:pt>
                <c:pt idx="18">
                  <c:v>11.768707989908499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EE-4F45-A790-AE9FDA7750F4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exercise_choke!$O$89:$O$108</c:f>
              <c:numCache>
                <c:formatCode>General</c:formatCode>
                <c:ptCount val="20"/>
                <c:pt idx="0">
                  <c:v>25.9887824657336</c:v>
                </c:pt>
                <c:pt idx="1">
                  <c:v>25.9887824657336</c:v>
                </c:pt>
                <c:pt idx="2">
                  <c:v>25.963754755691401</c:v>
                </c:pt>
                <c:pt idx="3">
                  <c:v>25.873893640005001</c:v>
                </c:pt>
                <c:pt idx="4">
                  <c:v>25.7151753440398</c:v>
                </c:pt>
                <c:pt idx="5">
                  <c:v>25.482949070604299</c:v>
                </c:pt>
                <c:pt idx="6">
                  <c:v>25.1717862581629</c:v>
                </c:pt>
                <c:pt idx="7">
                  <c:v>24.7752774401967</c:v>
                </c:pt>
                <c:pt idx="8">
                  <c:v>24.285752549020099</c:v>
                </c:pt>
                <c:pt idx="9">
                  <c:v>23.6938859790924</c:v>
                </c:pt>
                <c:pt idx="10">
                  <c:v>22.988122034166999</c:v>
                </c:pt>
                <c:pt idx="11">
                  <c:v>22.153808645979701</c:v>
                </c:pt>
                <c:pt idx="12">
                  <c:v>21.171833130861</c:v>
                </c:pt>
                <c:pt idx="13">
                  <c:v>20.016354216425501</c:v>
                </c:pt>
                <c:pt idx="14">
                  <c:v>18.650761247587099</c:v>
                </c:pt>
                <c:pt idx="15">
                  <c:v>17.019780353614401</c:v>
                </c:pt>
                <c:pt idx="16">
                  <c:v>15.031923812305401</c:v>
                </c:pt>
                <c:pt idx="17">
                  <c:v>12.5119056432801</c:v>
                </c:pt>
                <c:pt idx="18">
                  <c:v>9.0155882405424403</c:v>
                </c:pt>
                <c:pt idx="19">
                  <c:v>0</c:v>
                </c:pt>
              </c:numCache>
            </c:numRef>
          </c:xVal>
          <c:yVal>
            <c:numRef>
              <c:f>exercise_choke!$N$89:$N$108</c:f>
              <c:numCache>
                <c:formatCode>General</c:formatCode>
                <c:ptCount val="20"/>
                <c:pt idx="0">
                  <c:v>1</c:v>
                </c:pt>
                <c:pt idx="1">
                  <c:v>7.8762520993367797</c:v>
                </c:pt>
                <c:pt idx="2">
                  <c:v>8.1053492049291798</c:v>
                </c:pt>
                <c:pt idx="3">
                  <c:v>8.3344463105215798</c:v>
                </c:pt>
                <c:pt idx="4">
                  <c:v>8.5635434161139798</c:v>
                </c:pt>
                <c:pt idx="5">
                  <c:v>8.7926405217063799</c:v>
                </c:pt>
                <c:pt idx="6">
                  <c:v>9.0217376272987799</c:v>
                </c:pt>
                <c:pt idx="7">
                  <c:v>9.25083473289118</c:v>
                </c:pt>
                <c:pt idx="8">
                  <c:v>9.4799318384835907</c:v>
                </c:pt>
                <c:pt idx="9">
                  <c:v>9.7090289440759907</c:v>
                </c:pt>
                <c:pt idx="10">
                  <c:v>9.9381260496683907</c:v>
                </c:pt>
                <c:pt idx="11">
                  <c:v>10.1672231552608</c:v>
                </c:pt>
                <c:pt idx="12">
                  <c:v>10.3963202608532</c:v>
                </c:pt>
                <c:pt idx="13">
                  <c:v>10.6254173664456</c:v>
                </c:pt>
                <c:pt idx="14">
                  <c:v>10.854514472038</c:v>
                </c:pt>
                <c:pt idx="15">
                  <c:v>11.0836115776304</c:v>
                </c:pt>
                <c:pt idx="16">
                  <c:v>11.3127086832228</c:v>
                </c:pt>
                <c:pt idx="17">
                  <c:v>11.5418057888152</c:v>
                </c:pt>
                <c:pt idx="18">
                  <c:v>11.7709028944076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EE-4F45-A790-AE9FDA7750F4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exercise_choke!$R$89:$R$108</c:f>
              <c:numCache>
                <c:formatCode>General</c:formatCode>
                <c:ptCount val="20"/>
                <c:pt idx="0">
                  <c:v>37.427554523979602</c:v>
                </c:pt>
                <c:pt idx="1">
                  <c:v>37.427554523979602</c:v>
                </c:pt>
                <c:pt idx="2">
                  <c:v>37.391506159383397</c:v>
                </c:pt>
                <c:pt idx="3">
                  <c:v>37.262106047249702</c:v>
                </c:pt>
                <c:pt idx="4">
                  <c:v>37.033558069285299</c:v>
                </c:pt>
                <c:pt idx="5">
                  <c:v>36.699162947989798</c:v>
                </c:pt>
                <c:pt idx="6">
                  <c:v>36.251101132701102</c:v>
                </c:pt>
                <c:pt idx="7">
                  <c:v>35.680140217355998</c:v>
                </c:pt>
                <c:pt idx="8">
                  <c:v>34.975232098068503</c:v>
                </c:pt>
                <c:pt idx="9">
                  <c:v>34.1229441543436</c:v>
                </c:pt>
                <c:pt idx="10">
                  <c:v>33.1066317367887</c:v>
                </c:pt>
                <c:pt idx="11">
                  <c:v>31.905190491797701</c:v>
                </c:pt>
                <c:pt idx="12">
                  <c:v>30.491091496262399</c:v>
                </c:pt>
                <c:pt idx="13">
                  <c:v>28.827114798383001</c:v>
                </c:pt>
                <c:pt idx="14">
                  <c:v>26.860529666045402</c:v>
                </c:pt>
                <c:pt idx="15">
                  <c:v>24.511725536903501</c:v>
                </c:pt>
                <c:pt idx="16">
                  <c:v>21.648934895406999</c:v>
                </c:pt>
                <c:pt idx="17">
                  <c:v>18.0197005457103</c:v>
                </c:pt>
                <c:pt idx="18">
                  <c:v>12.9843561756719</c:v>
                </c:pt>
                <c:pt idx="19">
                  <c:v>0</c:v>
                </c:pt>
              </c:numCache>
            </c:numRef>
          </c:xVal>
          <c:yVal>
            <c:numRef>
              <c:f>exercise_choke!$Q$89:$Q$108</c:f>
              <c:numCache>
                <c:formatCode>General</c:formatCode>
                <c:ptCount val="20"/>
                <c:pt idx="0">
                  <c:v>1</c:v>
                </c:pt>
                <c:pt idx="1">
                  <c:v>7.92330651527387</c:v>
                </c:pt>
                <c:pt idx="2">
                  <c:v>8.1497894866475402</c:v>
                </c:pt>
                <c:pt idx="3">
                  <c:v>8.3762724580212193</c:v>
                </c:pt>
                <c:pt idx="4">
                  <c:v>8.6027554293948896</c:v>
                </c:pt>
                <c:pt idx="5">
                  <c:v>8.8292384007685598</c:v>
                </c:pt>
                <c:pt idx="6">
                  <c:v>9.0557213721422407</c:v>
                </c:pt>
                <c:pt idx="7">
                  <c:v>9.2822043435159092</c:v>
                </c:pt>
                <c:pt idx="8">
                  <c:v>9.5086873148895901</c:v>
                </c:pt>
                <c:pt idx="9">
                  <c:v>9.7351702862632603</c:v>
                </c:pt>
                <c:pt idx="10">
                  <c:v>9.9616532576369305</c:v>
                </c:pt>
                <c:pt idx="11">
                  <c:v>10.188136229010601</c:v>
                </c:pt>
                <c:pt idx="12">
                  <c:v>10.414619200384299</c:v>
                </c:pt>
                <c:pt idx="13">
                  <c:v>10.641102171758</c:v>
                </c:pt>
                <c:pt idx="14">
                  <c:v>10.867585143131601</c:v>
                </c:pt>
                <c:pt idx="15">
                  <c:v>11.0940681145053</c:v>
                </c:pt>
                <c:pt idx="16">
                  <c:v>11.320551085879</c:v>
                </c:pt>
                <c:pt idx="17">
                  <c:v>11.5470340572527</c:v>
                </c:pt>
                <c:pt idx="18">
                  <c:v>11.7735170286263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EE-4F45-A790-AE9FDA77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103654</xdr:colOff>
      <xdr:row>5</xdr:row>
      <xdr:rowOff>109743</xdr:rowOff>
    </xdr:from>
    <xdr:to>
      <xdr:col>48</xdr:col>
      <xdr:colOff>32215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285161" y="1007442"/>
          <a:ext cx="5335629" cy="2171055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61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433137</xdr:colOff>
      <xdr:row>66</xdr:row>
      <xdr:rowOff>31315</xdr:rowOff>
    </xdr:from>
    <xdr:to>
      <xdr:col>17</xdr:col>
      <xdr:colOff>313151</xdr:colOff>
      <xdr:row>84</xdr:row>
      <xdr:rowOff>64169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427973</xdr:colOff>
      <xdr:row>84</xdr:row>
      <xdr:rowOff>114823</xdr:rowOff>
    </xdr:from>
    <xdr:to>
      <xdr:col>17</xdr:col>
      <xdr:colOff>344465</xdr:colOff>
      <xdr:row>105</xdr:row>
      <xdr:rowOff>62631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feed"/>
      <definedName name="encode_feed_list"/>
      <definedName name="encode_json"/>
      <definedName name="encode_PVT"/>
      <definedName name="MF_choke_calibr_fast"/>
      <definedName name="MF_choke_p_atma"/>
      <definedName name="MF_choke_pq_crv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topLeftCell="A46" zoomScale="73" zoomScaleNormal="55" workbookViewId="0">
      <selection activeCell="B60" sqref="B60"/>
    </sheetView>
  </sheetViews>
  <sheetFormatPr defaultRowHeight="13.2" x14ac:dyDescent="0.25"/>
  <cols>
    <col min="2" max="2" width="13.88671875" customWidth="1"/>
    <col min="3" max="3" width="13.44140625" customWidth="1"/>
    <col min="4" max="4" width="11.5546875" customWidth="1"/>
    <col min="5" max="5" width="12.44140625" customWidth="1"/>
    <col min="6" max="6" width="12.6640625" customWidth="1"/>
    <col min="7" max="7" width="15.6640625" customWidth="1"/>
    <col min="8" max="8" width="10.44140625" customWidth="1"/>
    <col min="9" max="9" width="14.33203125" customWidth="1"/>
    <col min="10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29" width="14" customWidth="1"/>
    <col min="30" max="30" width="10.109375" customWidth="1"/>
    <col min="31" max="51" width="5.6640625" customWidth="1"/>
  </cols>
  <sheetData>
    <row r="1" spans="1:38" x14ac:dyDescent="0.25">
      <c r="A1" s="1" t="s">
        <v>11</v>
      </c>
      <c r="F1" t="s">
        <v>12</v>
      </c>
      <c r="G1" t="str">
        <f>[1]!unf_Version()</f>
        <v>7.31</v>
      </c>
      <c r="H1" t="s">
        <v>40</v>
      </c>
      <c r="I1" s="19">
        <v>44408</v>
      </c>
      <c r="J1" s="20"/>
      <c r="K1" s="20"/>
      <c r="L1" s="20"/>
      <c r="AL1" t="str">
        <f>"dchoke = "&amp;Plin_&amp;" mm"</f>
        <v>dchoke = 12 mm</v>
      </c>
    </row>
    <row r="2" spans="1:38" x14ac:dyDescent="0.25">
      <c r="A2" t="s">
        <v>54</v>
      </c>
      <c r="H2" t="s">
        <v>41</v>
      </c>
      <c r="I2" s="21">
        <v>7.31</v>
      </c>
      <c r="J2" s="20"/>
      <c r="K2" s="20"/>
      <c r="L2" s="20"/>
      <c r="AL2" t="str">
        <f>"Pbuf = "&amp;Pbuf_&amp;" atm"</f>
        <v>Pbuf = 23 atm</v>
      </c>
    </row>
    <row r="3" spans="1:38" ht="14.4" x14ac:dyDescent="0.3">
      <c r="A3" s="22" t="s">
        <v>42</v>
      </c>
      <c r="B3" s="49" t="s">
        <v>43</v>
      </c>
      <c r="C3" s="50"/>
      <c r="D3" s="50"/>
      <c r="E3" s="51"/>
      <c r="H3" t="s">
        <v>44</v>
      </c>
      <c r="I3" s="20" t="s">
        <v>43</v>
      </c>
      <c r="J3" s="20"/>
      <c r="K3" s="20"/>
      <c r="L3" s="20"/>
      <c r="AL3" t="str">
        <f>"Pline = "&amp;Plin_&amp;" atm"</f>
        <v>Pline = 12 atm</v>
      </c>
    </row>
    <row r="4" spans="1:38" ht="14.4" x14ac:dyDescent="0.3">
      <c r="A4" s="22" t="s">
        <v>45</v>
      </c>
      <c r="B4" s="49" t="s">
        <v>46</v>
      </c>
      <c r="C4" s="50"/>
      <c r="D4" s="50"/>
      <c r="E4" s="51"/>
      <c r="H4" t="s">
        <v>47</v>
      </c>
      <c r="I4" s="20" t="s">
        <v>46</v>
      </c>
      <c r="J4" s="20"/>
      <c r="K4" s="20"/>
      <c r="L4" s="20"/>
      <c r="AL4" t="str">
        <f>"Q = "&amp;Qliq_&amp;" m3/day"</f>
        <v>Q = 10 m3/day</v>
      </c>
    </row>
    <row r="5" spans="1:38" ht="14.4" x14ac:dyDescent="0.3">
      <c r="A5" s="22" t="s">
        <v>48</v>
      </c>
      <c r="B5" s="49" t="s">
        <v>49</v>
      </c>
      <c r="C5" s="50"/>
      <c r="D5" s="50"/>
      <c r="E5" s="51"/>
      <c r="H5" t="s">
        <v>50</v>
      </c>
      <c r="I5" s="20" t="s">
        <v>49</v>
      </c>
      <c r="J5" s="20"/>
      <c r="K5" s="20"/>
      <c r="L5" s="20"/>
    </row>
    <row r="6" spans="1:38" x14ac:dyDescent="0.25">
      <c r="A6" s="23" t="s">
        <v>51</v>
      </c>
      <c r="B6" s="52" t="s">
        <v>52</v>
      </c>
      <c r="C6" s="53"/>
      <c r="D6" s="53"/>
      <c r="E6" s="54"/>
      <c r="H6" s="24" t="s">
        <v>53</v>
      </c>
      <c r="I6" s="25" t="s">
        <v>52</v>
      </c>
      <c r="J6" s="25"/>
      <c r="K6" s="25"/>
      <c r="L6" s="25"/>
    </row>
    <row r="7" spans="1:38" x14ac:dyDescent="0.25">
      <c r="A7" s="26"/>
      <c r="B7" s="55"/>
      <c r="C7" s="56"/>
      <c r="D7" s="56"/>
      <c r="E7" s="57"/>
      <c r="H7" s="24"/>
      <c r="I7" s="25"/>
      <c r="J7" s="25"/>
      <c r="K7" s="25"/>
      <c r="L7" s="25"/>
    </row>
    <row r="8" spans="1:38" x14ac:dyDescent="0.25">
      <c r="A8" s="27"/>
      <c r="B8" s="58"/>
      <c r="C8" s="59"/>
      <c r="D8" s="59"/>
      <c r="E8" s="60"/>
      <c r="H8" s="24"/>
      <c r="I8" s="25"/>
      <c r="J8" s="25"/>
      <c r="K8" s="25"/>
      <c r="L8" s="25"/>
    </row>
    <row r="10" spans="1:38" x14ac:dyDescent="0.25">
      <c r="A10" s="1" t="s">
        <v>0</v>
      </c>
    </row>
    <row r="11" spans="1:38" ht="16.8" x14ac:dyDescent="0.35">
      <c r="B11" s="6" t="s">
        <v>20</v>
      </c>
      <c r="C11" s="2">
        <v>0.8</v>
      </c>
      <c r="D11" s="32"/>
      <c r="E11" s="10">
        <f>gamma_oil_*1000</f>
        <v>800</v>
      </c>
      <c r="F11" s="12" t="s">
        <v>29</v>
      </c>
    </row>
    <row r="12" spans="1:38" ht="16.8" x14ac:dyDescent="0.35">
      <c r="B12" s="7" t="s">
        <v>21</v>
      </c>
      <c r="C12" s="2">
        <v>1</v>
      </c>
      <c r="D12" s="32"/>
      <c r="E12" s="10">
        <f>gamma_wat_*1000</f>
        <v>1000</v>
      </c>
      <c r="F12" s="12" t="s">
        <v>29</v>
      </c>
    </row>
    <row r="13" spans="1:38" ht="16.8" x14ac:dyDescent="0.35">
      <c r="B13" s="7" t="s">
        <v>22</v>
      </c>
      <c r="C13" s="2">
        <v>0.6</v>
      </c>
      <c r="D13" s="32"/>
      <c r="E13" s="10">
        <f>gamma_gas_*1.22</f>
        <v>0.73199999999999998</v>
      </c>
      <c r="F13" s="12" t="s">
        <v>29</v>
      </c>
    </row>
    <row r="14" spans="1:38" ht="16.8" x14ac:dyDescent="0.35">
      <c r="B14" s="8" t="s">
        <v>23</v>
      </c>
      <c r="C14" s="2">
        <v>250</v>
      </c>
      <c r="D14" s="7" t="s">
        <v>32</v>
      </c>
      <c r="E14" s="11">
        <f>Rsb_/gamma_oil_</f>
        <v>312.5</v>
      </c>
      <c r="F14" s="12" t="s">
        <v>30</v>
      </c>
    </row>
    <row r="15" spans="1:38" ht="16.8" x14ac:dyDescent="0.35">
      <c r="B15" s="8" t="s">
        <v>24</v>
      </c>
      <c r="C15" s="2">
        <v>250</v>
      </c>
      <c r="D15" s="7" t="s">
        <v>32</v>
      </c>
      <c r="E15" s="11">
        <f>Rsb_/gamma_oil_</f>
        <v>312.5</v>
      </c>
      <c r="F15" s="12" t="s">
        <v>30</v>
      </c>
    </row>
    <row r="16" spans="1:38" ht="15.6" x14ac:dyDescent="0.35">
      <c r="B16" s="7" t="s">
        <v>25</v>
      </c>
      <c r="C16" s="2"/>
      <c r="D16" s="32" t="s">
        <v>5</v>
      </c>
      <c r="E16" s="11">
        <f>Pb_*1.01325</f>
        <v>0</v>
      </c>
      <c r="F16" s="13" t="s">
        <v>6</v>
      </c>
    </row>
    <row r="17" spans="1:52" ht="15.6" x14ac:dyDescent="0.35">
      <c r="B17" s="7" t="s">
        <v>26</v>
      </c>
      <c r="C17" s="2">
        <v>100</v>
      </c>
      <c r="D17" s="32" t="s">
        <v>2</v>
      </c>
      <c r="E17" s="11">
        <f>Tres_*9/5+32</f>
        <v>212</v>
      </c>
      <c r="F17" s="13" t="s">
        <v>7</v>
      </c>
    </row>
    <row r="18" spans="1:52" ht="15.6" x14ac:dyDescent="0.35">
      <c r="B18" s="8" t="s">
        <v>27</v>
      </c>
      <c r="C18" s="2"/>
      <c r="D18" s="31" t="s">
        <v>1</v>
      </c>
    </row>
    <row r="19" spans="1:52" ht="15.6" x14ac:dyDescent="0.35">
      <c r="B19" s="9" t="s">
        <v>28</v>
      </c>
      <c r="C19" s="2"/>
      <c r="D19" s="32" t="s">
        <v>4</v>
      </c>
    </row>
    <row r="20" spans="1:52" ht="16.8" x14ac:dyDescent="0.35">
      <c r="B20" s="7" t="s">
        <v>21</v>
      </c>
      <c r="C20" s="2">
        <v>1</v>
      </c>
      <c r="D20" s="32"/>
      <c r="E20" s="10">
        <f>gamma_wat_kf_*1000</f>
        <v>1000</v>
      </c>
      <c r="F20" s="12" t="s">
        <v>29</v>
      </c>
    </row>
    <row r="21" spans="1:52" x14ac:dyDescent="0.25">
      <c r="A21" s="1" t="s">
        <v>8</v>
      </c>
      <c r="C21" s="5"/>
    </row>
    <row r="22" spans="1:52" ht="29.4" x14ac:dyDescent="0.35">
      <c r="B22" s="9" t="s">
        <v>31</v>
      </c>
      <c r="C22" s="2">
        <v>30</v>
      </c>
      <c r="D22" s="32" t="s">
        <v>3</v>
      </c>
      <c r="F22" s="9" t="s">
        <v>66</v>
      </c>
      <c r="G22" s="2">
        <v>1</v>
      </c>
    </row>
    <row r="23" spans="1:52" ht="14.4" x14ac:dyDescent="0.3">
      <c r="B23" s="9" t="s">
        <v>34</v>
      </c>
      <c r="C23" s="2">
        <v>80</v>
      </c>
      <c r="D23" s="32" t="s">
        <v>2</v>
      </c>
      <c r="AZ23" s="28" t="s">
        <v>55</v>
      </c>
    </row>
    <row r="24" spans="1:52" x14ac:dyDescent="0.25">
      <c r="A24" s="1" t="s">
        <v>9</v>
      </c>
      <c r="C24" s="3"/>
      <c r="D24" s="3"/>
      <c r="F24" s="33" t="s">
        <v>13</v>
      </c>
      <c r="G24" s="17" t="str">
        <f>[1]!encode_PVT(gamma_gas_,gamma_oil_,gamma_wat_,Rsb_,Pb_,Tres_,Bob_,muob_)</f>
        <v>{"gamma_gas":0.6,"gamma_oil":0.8,"gamma_wat":1,"rsb_m3m3":250,"t_res_C":100}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1:52" ht="15.6" x14ac:dyDescent="0.35">
      <c r="B25" s="9" t="s">
        <v>35</v>
      </c>
      <c r="C25" s="2">
        <v>70</v>
      </c>
      <c r="D25" s="32" t="s">
        <v>10</v>
      </c>
      <c r="F25" t="s">
        <v>57</v>
      </c>
      <c r="G25" s="17" t="str" cm="1">
        <f t="array" ref="G25">[1]!encode_feed(Qliq_,fw_,Rp_,qgas_free,PVTstr_)</f>
        <v>{"gamma_gas":0.6,"gamma_oil":0.8,"gamma_wat":1,"rsb_m3m3":250,"t_res_C":100,"q_liq_sm3day":10,"fw_perc":30,"rp_m3m3":250}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1:52" ht="15.6" x14ac:dyDescent="0.35">
      <c r="B26" s="9" t="s">
        <v>36</v>
      </c>
      <c r="C26" s="2">
        <v>8</v>
      </c>
      <c r="D26" s="32" t="s">
        <v>10</v>
      </c>
    </row>
    <row r="27" spans="1:52" ht="15.6" x14ac:dyDescent="0.35">
      <c r="B27" s="9" t="s">
        <v>39</v>
      </c>
      <c r="C27" s="2">
        <v>10</v>
      </c>
      <c r="D27" s="32" t="s">
        <v>14</v>
      </c>
      <c r="F27" t="s">
        <v>58</v>
      </c>
      <c r="I27" t="s">
        <v>59</v>
      </c>
    </row>
    <row r="28" spans="1:52" ht="15.6" x14ac:dyDescent="0.35">
      <c r="B28" s="9" t="s">
        <v>38</v>
      </c>
      <c r="C28" s="2">
        <v>23</v>
      </c>
      <c r="D28" s="32" t="s">
        <v>15</v>
      </c>
      <c r="F28" s="16" t="s">
        <v>65</v>
      </c>
      <c r="G28" s="16">
        <v>1</v>
      </c>
      <c r="I28" s="17" t="str" cm="1">
        <f t="array" ref="I28">[1]!encode_json(F28:G31)</f>
        <v>{"show_array":1,"choke_calibr_type":5,"show_log":1}</v>
      </c>
      <c r="J28" s="17"/>
      <c r="K28" s="17"/>
      <c r="L28" s="17"/>
      <c r="M28" s="17"/>
      <c r="N28" s="17"/>
    </row>
    <row r="29" spans="1:52" ht="15.6" x14ac:dyDescent="0.35">
      <c r="B29" s="29" t="s">
        <v>37</v>
      </c>
      <c r="C29" s="30">
        <v>12</v>
      </c>
      <c r="D29" s="14" t="s">
        <v>15</v>
      </c>
      <c r="F29" s="16" t="s">
        <v>64</v>
      </c>
      <c r="G29" s="16"/>
    </row>
    <row r="30" spans="1:52" ht="15.6" x14ac:dyDescent="0.35">
      <c r="B30" s="9" t="s">
        <v>56</v>
      </c>
      <c r="C30" s="2"/>
      <c r="D30" s="32" t="s">
        <v>14</v>
      </c>
      <c r="F30" s="16" t="s">
        <v>62</v>
      </c>
      <c r="G30" s="16">
        <v>5</v>
      </c>
    </row>
    <row r="31" spans="1:52" x14ac:dyDescent="0.25">
      <c r="B31" s="4"/>
      <c r="F31" s="16" t="s">
        <v>63</v>
      </c>
      <c r="G31" s="16">
        <v>1</v>
      </c>
    </row>
    <row r="32" spans="1:52" x14ac:dyDescent="0.25">
      <c r="B32" s="18" t="s">
        <v>33</v>
      </c>
      <c r="C32" s="18"/>
      <c r="D32" s="18"/>
      <c r="E32" s="18"/>
      <c r="F32" s="18"/>
    </row>
    <row r="34" spans="2:14" x14ac:dyDescent="0.25">
      <c r="B34" s="15" t="s">
        <v>16</v>
      </c>
      <c r="N34" t="s">
        <v>60</v>
      </c>
    </row>
    <row r="35" spans="2:14" x14ac:dyDescent="0.25">
      <c r="B35" s="38" cm="1">
        <f t="array" ref="B35:K36">[1]!MF_choke_p_atma(d_choke,feed,Pbuf_,T_choke,d_pipe,calc_along_flow,,param)</f>
        <v>22.635999999999999</v>
      </c>
      <c r="C35" s="39">
        <v>23</v>
      </c>
      <c r="D35" s="39">
        <v>22.635999999999999</v>
      </c>
      <c r="E35" s="40">
        <v>10</v>
      </c>
      <c r="F35" s="40">
        <v>80</v>
      </c>
      <c r="G35" s="40">
        <v>79.89</v>
      </c>
      <c r="H35" s="40">
        <v>1</v>
      </c>
      <c r="I35" s="41">
        <v>154.357</v>
      </c>
      <c r="J35" s="41">
        <v>32.094999999999999</v>
      </c>
      <c r="K35" s="20" t="str">
        <v>[]</v>
      </c>
      <c r="L35" t="s">
        <v>61</v>
      </c>
      <c r="M35" s="36"/>
      <c r="N35" s="34" t="str" cm="1">
        <f t="array" ref="N35">[1]!decode_json(K35,1)</f>
        <v>error</v>
      </c>
    </row>
    <row r="36" spans="2:14" x14ac:dyDescent="0.25">
      <c r="B36" s="39" t="str">
        <v>p_out_atma</v>
      </c>
      <c r="C36" s="39" t="str">
        <v>p_intake_atma</v>
      </c>
      <c r="D36" s="39" t="str">
        <v>p_out_atma</v>
      </c>
      <c r="E36" s="40" t="str">
        <v>q_liq_sm3day</v>
      </c>
      <c r="F36" s="44" t="str">
        <v>t_choke_C</v>
      </c>
      <c r="G36" s="44" t="str">
        <v>t_choke_throat_C</v>
      </c>
      <c r="H36" s="44" t="str">
        <v>calibr_fr</v>
      </c>
      <c r="I36" s="44" t="str">
        <v>sonic_vel_msec</v>
      </c>
      <c r="J36" s="44" t="str">
        <v>q_liq_max_sm3day</v>
      </c>
      <c r="K36" s="20" t="str">
        <v>log</v>
      </c>
      <c r="M36" s="37"/>
    </row>
    <row r="37" spans="2:14" x14ac:dyDescent="0.25">
      <c r="C37" s="35"/>
    </row>
    <row r="39" spans="2:14" x14ac:dyDescent="0.25">
      <c r="B39" s="15" t="s">
        <v>17</v>
      </c>
    </row>
    <row r="40" spans="2:14" x14ac:dyDescent="0.25">
      <c r="B40" s="38" cm="1">
        <f t="array" ref="B40:K41">[1]!MF_choke_p_atma(d_choke,feed,Plin_,T_choke,d_pipe,0,,I28)</f>
        <v>12.705</v>
      </c>
      <c r="C40" s="39">
        <v>12.705</v>
      </c>
      <c r="D40" s="39">
        <v>12</v>
      </c>
      <c r="E40" s="40">
        <v>10</v>
      </c>
      <c r="F40" s="43">
        <v>80</v>
      </c>
      <c r="G40" s="40">
        <v>79.591999999999999</v>
      </c>
      <c r="H40" s="40">
        <v>1</v>
      </c>
      <c r="I40" s="41">
        <v>152.096</v>
      </c>
      <c r="J40" s="41">
        <v>17.616</v>
      </c>
      <c r="K40" s="20" t="str">
        <v>[]</v>
      </c>
      <c r="L40" t="s">
        <v>61</v>
      </c>
      <c r="M40" s="36"/>
      <c r="N40" s="34" t="str" cm="1">
        <f t="array" ref="N40">[1]!decode_json(K40,1)</f>
        <v>error</v>
      </c>
    </row>
    <row r="41" spans="2:14" x14ac:dyDescent="0.25">
      <c r="B41" s="39" t="str">
        <v>p_intake_atma</v>
      </c>
      <c r="C41" s="39" t="str">
        <v>p_intake_atma</v>
      </c>
      <c r="D41" s="39" t="str">
        <v>p_out_atma</v>
      </c>
      <c r="E41" s="40" t="str">
        <v>q_liq_sm3day</v>
      </c>
      <c r="F41" s="44" t="str">
        <v>t_choke_C</v>
      </c>
      <c r="G41" s="44" t="str">
        <v>t_choke_throat_C</v>
      </c>
      <c r="H41" s="44" t="str">
        <v>calibr_fr</v>
      </c>
      <c r="I41" s="44" t="str">
        <v>sonic_vel_msec</v>
      </c>
      <c r="J41" s="44" t="str">
        <v>q_liq_max_sm3day</v>
      </c>
      <c r="K41" s="20" t="str">
        <v>log</v>
      </c>
      <c r="M41" s="37"/>
    </row>
    <row r="44" spans="2:14" x14ac:dyDescent="0.25">
      <c r="B44" t="s">
        <v>19</v>
      </c>
    </row>
    <row r="45" spans="2:14" x14ac:dyDescent="0.25">
      <c r="B45" s="38" cm="1">
        <f t="array" ref="B45:K46">[1]!MF_choke_q_sm3day(feed,d_choke,Pbuf_,Plin_,T_choke,,,I28)</f>
        <v>32.094999999999999</v>
      </c>
      <c r="C45" s="39">
        <v>23</v>
      </c>
      <c r="D45" s="39">
        <v>12</v>
      </c>
      <c r="E45" s="40">
        <v>32.094999999999999</v>
      </c>
      <c r="F45" s="40">
        <v>80</v>
      </c>
      <c r="G45" s="40">
        <v>77.001000000000005</v>
      </c>
      <c r="H45" s="40">
        <v>1</v>
      </c>
      <c r="I45" s="41">
        <v>154.357</v>
      </c>
      <c r="J45" s="41">
        <v>32.094999999999999</v>
      </c>
      <c r="K45" s="20" t="str">
        <v>[]</v>
      </c>
      <c r="L45" t="s">
        <v>61</v>
      </c>
      <c r="M45" s="36"/>
      <c r="N45" s="34" t="str" cm="1">
        <f t="array" ref="N45">[1]!decode_json(K45,1)</f>
        <v>error</v>
      </c>
    </row>
    <row r="46" spans="2:14" x14ac:dyDescent="0.25">
      <c r="B46" s="39" t="str">
        <v>q_liq_sm3day</v>
      </c>
      <c r="C46" s="39" t="str">
        <v>p_intake_atma</v>
      </c>
      <c r="D46" s="39" t="str">
        <v>p_out_atma</v>
      </c>
      <c r="E46" s="40" t="str">
        <v>q_liq_sm3day</v>
      </c>
      <c r="F46" s="42" t="str">
        <v>t_choke_C</v>
      </c>
      <c r="G46" s="42" t="str">
        <v>t_choke_throat_C</v>
      </c>
      <c r="H46" s="42" t="str">
        <v>calibr_fr</v>
      </c>
      <c r="I46" s="42" t="str">
        <v>sonic_vel_msec</v>
      </c>
      <c r="J46" s="42" t="str">
        <v>q_liq_max_sm3day</v>
      </c>
      <c r="K46" s="20" t="str">
        <v>log</v>
      </c>
      <c r="M46" s="37"/>
      <c r="N46" s="37"/>
    </row>
    <row r="49" spans="2:14" x14ac:dyDescent="0.25">
      <c r="B49" t="s">
        <v>18</v>
      </c>
    </row>
    <row r="50" spans="2:14" x14ac:dyDescent="0.25">
      <c r="B50" s="20" t="str" cm="1">
        <f t="array" ref="B50:G51">[1]!MF_choke_calibr_fast(feed,d_choke,Pbuf_,Plin_,d_pipe,T_choke,I28)</f>
        <v>0,311574454912143</v>
      </c>
      <c r="C50" s="20">
        <v>23</v>
      </c>
      <c r="D50" s="20">
        <v>12</v>
      </c>
      <c r="E50" s="20">
        <v>80</v>
      </c>
      <c r="F50" s="46">
        <v>0.31157445491214275</v>
      </c>
      <c r="G50" s="20" t="str">
        <v>[]</v>
      </c>
      <c r="H50" t="s">
        <v>61</v>
      </c>
      <c r="N50" s="34" t="str" cm="1">
        <f t="array" ref="N50">[1]!decode_json(G50,1)</f>
        <v>error</v>
      </c>
    </row>
    <row r="51" spans="2:14" x14ac:dyDescent="0.25">
      <c r="B51" s="20" t="str">
        <v>calibr_fr</v>
      </c>
      <c r="C51" s="20" t="str">
        <v>p_intake_atma</v>
      </c>
      <c r="D51" s="20" t="str">
        <v>p_out_atma</v>
      </c>
      <c r="E51" s="20" t="str">
        <v>t_choke_C</v>
      </c>
      <c r="F51" s="47" t="str">
        <v>calibr_fr</v>
      </c>
      <c r="G51" s="20" t="str">
        <v>log</v>
      </c>
    </row>
    <row r="58" spans="2:14" x14ac:dyDescent="0.25">
      <c r="C58" s="45"/>
    </row>
    <row r="59" spans="2:14" x14ac:dyDescent="0.25">
      <c r="B59" t="s">
        <v>81</v>
      </c>
    </row>
    <row r="60" spans="2:14" x14ac:dyDescent="0.25">
      <c r="C60" t="s">
        <v>67</v>
      </c>
      <c r="D60" t="s">
        <v>68</v>
      </c>
      <c r="E60" t="s">
        <v>69</v>
      </c>
      <c r="F60" t="s">
        <v>72</v>
      </c>
      <c r="G60" t="s">
        <v>70</v>
      </c>
      <c r="H60" t="s">
        <v>71</v>
      </c>
    </row>
    <row r="61" spans="2:14" x14ac:dyDescent="0.25">
      <c r="B61" t="s">
        <v>73</v>
      </c>
      <c r="C61" s="48" t="str" cm="1">
        <f t="array" ref="C61">[1]!encode_arange(1,100,9)</f>
        <v>[1,10,19,28,37,46,55,64,73,82,91,100]</v>
      </c>
      <c r="D61" s="48" t="str" cm="1">
        <f t="array" ref="D61">[1]!encode_feed_list(C61,fw_,Rp_,,PVTstr_)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1">
        <f>Plin_</f>
        <v>12</v>
      </c>
      <c r="F61">
        <v>3</v>
      </c>
      <c r="G61" t="str" cm="1">
        <f t="array" ref="G61">[1]!MF_choke_p_atma(F61,D61,E61,T_choke,d_pipe,0)</f>
        <v>{"p_atma":[12.3528442382813,49.912353515625,91.560791015625,130.817138671875,168.365478515625,540.314208984375,554.114501953125,563.684326171875,570.706787109375,576.078369140625,580.319091796875,583.751220703125]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1" t="str" cm="1">
        <f t="array" ref="H61">[1]!decode_json_p_atma(G61)</f>
        <v>[12.3528442382813,49.912353515625,91.560791015625,130.817138671875,168.365478515625,540.314208984375,554.114501953125,563.684326171875,570.706787109375,576.078369140625,580.319091796875,583.751220703125]</v>
      </c>
      <c r="I61" t="str" cm="1">
        <f t="array" ref="I61">[1]!MF_choke_pq_crv(F61,feed,E61,T_choke,,1)</f>
        <v>{"curve_x":"p_out_atma","curve_y":"q_liq_sm3day","p_out_atma":[1,7.77233647645879,8.00720667221108,8.24207686796337,8.47694706371566,8.71181725946795,8.94668745522024,9.18155765097253,9.41642784672482,9.65129804247711,9.88616823822939,10.1210384339817,10.355908629734,10.5907788254863,10.8256490212386,11.0605192169908,11.2953894127431,11.5302596084954,11.7651298042477,12],"q_liq_sm3day":[2.33877641079108,2.33877641079108,2.3365244051029,2.32843691059747,2.31415189628049,2.29325091336554,2.26524553115437,2.22955905782504,2.18550137238621,2.13223338671965,2.06871534483579,1.99362887084046,1.90525420750461,1.80126613199881,1.67837034262121,1.5315931252384,1.35270203887062,1.12592396437981,0.811292759166301,0]}</v>
      </c>
    </row>
    <row r="62" spans="2:14" x14ac:dyDescent="0.25">
      <c r="B62" t="s">
        <v>74</v>
      </c>
      <c r="C62" s="48" t="str" cm="1">
        <f t="array" ref="C62">[1]!encode_arange(1,100,9)</f>
        <v>[1,10,19,28,37,46,55,64,73,82,91,100]</v>
      </c>
      <c r="D62" s="48" t="str" cm="1">
        <f t="array" ref="D62">[1]!encode_feed_list(C62,fw_,Rp_,,PVTstr_)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2">
        <f>Plin_</f>
        <v>12</v>
      </c>
      <c r="F62">
        <v>4</v>
      </c>
      <c r="G62" t="str" cm="1">
        <f t="array" ref="G62">[1]!MF_choke_p_atma(F62,D62,E62,T_choke,d_pipe,0)</f>
        <v>{"p_atma":[12.1094512939453,28.553466796875,53.197998046875,76.843505859375,99.630615234375,121.720458984375,143.239013671875,164.265380859375,184.858154296875,548.193603515625,555.661376953125,561.633544921875]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2" t="str" cm="1">
        <f t="array" ref="H62">[1]!decode_json_p_atma(G62)</f>
        <v>[12.1094512939453,28.553466796875,53.197998046875,76.843505859375,99.630615234375,121.720458984375,143.239013671875,164.265380859375,184.858154296875,548.193603515625,555.661376953125,561.633544921875]</v>
      </c>
      <c r="I62" t="str" cm="1">
        <f t="array" ref="I62">[1]!MF_choke_pq_crv(F62,feed,E62,T_choke,,1)</f>
        <v>{"curve_x":"p_out_atma","curve_y":"q_liq_sm3day","p_out_atma":[1,7.78112418235681,8.01550617222588,8.24988816209494,8.48427015196401,8.71865214183308,8.95303413170214,9.18741612157121,9.42179811144027,9.65618010130934,9.89056209117841,10.1249440810475,10.3593260709165,10.5937080607856,10.8280900506547,11.0624720405237,11.2968540303928,11.5312360202619,11.7656180101309,12],"q_liq_sm3day":[4.15783144146207,4.15783144146207,4.15382786048743,4.1394500922953,4.11405452281903,4.07689723924836,4.02710991595613,3.96366731801365,3.88534255785339,3.79064391647963,3.67772293075059,3.54423581157001,3.38712520070205,3.20225735325437,2.98377571225863,2.72283808996139,2.40480899013924,2.00164722997683,1.44230169357072,0]}</v>
      </c>
    </row>
    <row r="63" spans="2:14" x14ac:dyDescent="0.25">
      <c r="B63" t="s">
        <v>75</v>
      </c>
      <c r="C63" s="48" t="str" cm="1">
        <f t="array" ref="C63">[1]!encode_arange(1,100,9)</f>
        <v>[1,10,19,28,37,46,55,64,73,82,91,100]</v>
      </c>
      <c r="D63" s="48" t="str" cm="1">
        <f t="array" ref="D63">[1]!encode_feed_list(C63,fw_,Rp_,,PVTstr_)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3">
        <f>Plin_</f>
        <v>12</v>
      </c>
      <c r="F63">
        <v>6</v>
      </c>
      <c r="G63" t="str" cm="1">
        <f t="array" ref="G63">[1]!MF_choke_p_atma(F63,D63,E63,T_choke,d_pipe,0)</f>
        <v>{"p_atma":[12.0213603973389,14.524658203125,24.186767578125,35.351806640625,46.305908203125,57.056396484375,67.612060546875,77.986083984375,88.191650390625,98.244873046875,108.158935546875,117.945556640625]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3" t="str" cm="1">
        <f t="array" ref="H63">[1]!decode_json_p_atma(G63)</f>
        <v>[12.0213603973389,14.524658203125,24.186767578125,35.351806640625,46.305908203125,57.056396484375,67.612060546875,77.986083984375,88.191650390625,98.244873046875,108.158935546875,117.945556640625]</v>
      </c>
      <c r="I63" t="str" cm="1">
        <f t="array" ref="I63">[1]!MF_choke_pq_crv(F63,feed,E63,T_choke,,1)</f>
        <v>{"curve_x":"p_out_atma","curve_y":"q_liq_sm3day","p_out_atma":[1,7.80494524901702,8.03800384629385,8.27106244357068,8.50412104084752,8.73717963812435,8.97023823540118,9.20329683267801,9.43635542995485,9.66941402723168,9.90247262450851,10.1355312217853,10.3685898190622,10.601648416339,10.8347070136158,11.0677656108927,11.3008242081695,11.5338828054463,11.7669414027232,12],"q_liq_sm3day":[9.35521048339135,9.35521048339135,9.34620222151493,9.31385224063818,9.25671236351268,9.1731087347473,9.06108756303552,8.91834200262083,8.7421114788547,8.52903953325972,8.27496701613711,7.97462027192677,7.62112008345668,7.20516531855389,6.71357844845361,6.12646415899189,5.41089197400522,4.50376813398724,3.24522501092683,0]}</v>
      </c>
    </row>
    <row r="64" spans="2:14" x14ac:dyDescent="0.25">
      <c r="B64" t="s">
        <v>76</v>
      </c>
      <c r="C64" s="48" t="str" cm="1">
        <f t="array" ref="C64">[1]!encode_arange(1,100,9)</f>
        <v>[1,10,19,28,37,46,55,64,73,82,91,100]</v>
      </c>
      <c r="D64" s="48" t="str" cm="1">
        <f t="array" ref="D64">[1]!encode_feed_list(C64,fw_,Rp_,,PVTstr_)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4">
        <f>Plin_</f>
        <v>12</v>
      </c>
      <c r="F64">
        <v>8</v>
      </c>
      <c r="G64" t="str" cm="1">
        <f t="array" ref="G64">[1]!MF_choke_p_atma(F64,D64,E64,T_choke,d_pipe,0)</f>
        <v>{"p_atma":[12.0067005157471,12.705322265625,14.943603515625,20.104248046875,26.451416015625,32.732666015625,38.949462890625,45.098876953125,51.182373046875,57.202880859375,63.161865234375,69.060791015625]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4" t="str" cm="1">
        <f t="array" ref="H64">[1]!decode_json_p_atma(G64)</f>
        <v>[12.0067005157471,12.705322265625,14.943603515625,20.104248046875,26.451416015625,32.732666015625,38.949462890625,45.098876953125,51.182373046875,57.202880859375,63.161865234375,69.060791015625]</v>
      </c>
      <c r="I64" t="str" cm="1">
        <f t="array" ref="I64">[1]!MF_choke_pq_crv(F64,feed,E64,T_choke,,1)</f>
        <v>{"curve_x":"p_out_atma","curve_y":"q_liq_sm3day","p_out_atma":[1,7.83674381835331,8.0680358284448,8.29932783853628,8.53061984862776,8.76191185871924,8.99320386881073,9.22449587890221,9.45578788899369,9.68707989908517,9.91837190917666,10.1496639192681,10.3809559293596,10.6122479394511,10.8435399495426,11.0748319596341,11.3061239697256,11.537415979817,11.7687079899085,12],"q_liq_sm3day":[16.6319148625777,16.6319148625777,16.6158991949592,16.5583881060745,16.4568068403455,16.3081794080298,16.1090321216584,15.8552636006128,15.5419657850872,15.1631712034661,14.71148529665,14.1775320542545,13.549080985516,12.8095957574758,11.9356483331451,10.8918673900216,9.61970694101421,8.0069950457647,5.76951005956227,0]}</v>
      </c>
    </row>
    <row r="65" spans="2:9" x14ac:dyDescent="0.25">
      <c r="B65" t="s">
        <v>77</v>
      </c>
      <c r="C65" s="48" t="str" cm="1">
        <f t="array" ref="C65">[1]!encode_arange(1,100,9)</f>
        <v>[1,10,19,28,37,46,55,64,73,82,91,100]</v>
      </c>
      <c r="D65" s="48" t="str" cm="1">
        <f t="array" ref="D65">[1]!encode_feed_list(C65,fw_,Rp_,,PVTstr_)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5">
        <f>Plin_</f>
        <v>12</v>
      </c>
      <c r="F65">
        <v>10</v>
      </c>
      <c r="G65" t="str" cm="1">
        <f t="array" ref="G65">[1]!MF_choke_p_atma(F65,D65,E65,T_choke,d_pipe,0)</f>
        <v>{"p_atma":[12.0027165412903,12.2774963378906,13.0607299804688,14.540771484375,17.143798828125,21.122314453125,25.185791015625,29.221435546875,33.230712890625,37.213623046875,41.168701171875,45.095947265625]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5" t="str" cm="1">
        <f t="array" ref="H65">[1]!decode_json_p_atma(G65)</f>
        <v>[12.0027165412903,12.2774963378906,13.0607299804688,14.540771484375,17.143798828125,21.122314453125,25.185791015625,29.221435546875,33.230712890625,37.213623046875,41.168701171875,45.095947265625]</v>
      </c>
      <c r="I65" t="str" cm="1">
        <f t="array" ref="I65">[1]!MF_choke_pq_crv(F65,feed,E65,T_choke,,1)</f>
        <v>{"curve_x":"p_out_atma","curve_y":"q_liq_sm3day","p_out_atma":[1,7.87625209933678,8.10534920492918,8.33444631052158,8.56354341611398,8.79264052170638,9.02173762729878,9.25083473289118,9.47993183848359,9.70902894407599,9.93812604966839,10.1672231552608,10.3963202608532,10.6254173664456,10.854514472038,11.0836115776304,11.3127086832228,11.5418057888152,11.7709028944076,12],"q_liq_sm3day":[25.9887824657336,25.9887824657336,25.9637547556914,25.873893640005,25.7151753440398,25.4829490706043,25.1717862581629,24.7752774401967,24.2857525490201,23.6938859790924,22.988122034167,22.1538086459797,21.171833130861,20.0163542164255,18.6507612475871,17.0197803536144,15.0319238123054,12.5119056432801,9.01558824054244,0]}</v>
      </c>
    </row>
    <row r="66" spans="2:9" x14ac:dyDescent="0.25">
      <c r="B66" t="s">
        <v>78</v>
      </c>
      <c r="C66" s="48" t="str" cm="1">
        <f t="array" ref="C66">[1]!encode_arange(1,100,9)</f>
        <v>[1,10,19,28,37,46,55,64,73,82,91,100]</v>
      </c>
      <c r="D66" s="48" t="str" cm="1">
        <f t="array" ref="D66">[1]!encode_feed_list(C66,fw_,Rp_,,PVTstr_)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6">
        <f>Plin_</f>
        <v>12</v>
      </c>
      <c r="F66">
        <v>12</v>
      </c>
      <c r="G66" t="str" cm="1">
        <f t="array" ref="G66">[1]!MF_choke_p_atma(F66,D66,E66,T_choke,d_pipe,0)</f>
        <v>{"p_atma":[12.0012946128845,12.1308288574219,12.4852294921875,13.1033935546875,14.058837890625,15.481201171875,17.605224609375,20.416259765625,23.243408203125,26.057373046875,28.858154296875,31.647216796875]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6" t="str" cm="1">
        <f t="array" ref="H66">[1]!decode_json_p_atma(G66)</f>
        <v>[12.0012946128845,12.1308288574219,12.4852294921875,13.1033935546875,14.058837890625,15.481201171875,17.605224609375,20.416259765625,23.243408203125,26.057373046875,28.858154296875,31.647216796875]</v>
      </c>
      <c r="I66" t="str" cm="1">
        <f t="array" ref="I66">[1]!MF_choke_pq_crv(F66,feed,E66,T_choke,,1)</f>
        <v>{"curve_x":"p_out_atma","curve_y":"q_liq_sm3day","p_out_atma":[1,7.92330651527387,8.14978948664754,8.37627245802122,8.60275542939489,8.82923840076856,9.05572137214224,9.28220434351591,9.50868731488959,9.73517028626326,9.96165325763693,10.1881362290106,10.4146192003843,10.641102171758,10.8675851431316,11.0940681145053,11.320551085879,11.5470340572527,11.7735170286263,12],"q_liq_sm3day":[37.4275545239796,37.4275545239796,37.3915061593834,37.2621060472497,37.0335580692853,36.6991629479898,36.2511011327011,35.680140217356,34.9752320980685,34.1229441543436,33.1066317367887,31.9051904917977,30.4910914962624,28.827114798383,26.8605296660454,24.5117255369035,21.648934895407,18.0197005457103,12.9843561756719,0]}</v>
      </c>
    </row>
    <row r="69" spans="2:9" x14ac:dyDescent="0.25">
      <c r="C69" t="s">
        <v>79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</row>
    <row r="70" spans="2:9" x14ac:dyDescent="0.25">
      <c r="C70" s="48" cm="1">
        <f t="array" ref="C70:C81">[1]!decode_json(C61)</f>
        <v>1</v>
      </c>
      <c r="D70" s="48" cm="1">
        <f t="array" ref="D70:D81">[1]!decode_json(H61)</f>
        <v>12.3528442382813</v>
      </c>
      <c r="E70" s="48" cm="1">
        <f t="array" ref="E70:E81">[1]!decode_json(H62)</f>
        <v>12.1094512939453</v>
      </c>
      <c r="F70" s="48" cm="1">
        <f t="array" ref="F70:F81">[1]!decode_json(H63)</f>
        <v>12.021360397338899</v>
      </c>
      <c r="G70" s="48" cm="1">
        <f t="array" ref="G70:G81">[1]!decode_json(H64)</f>
        <v>12.006700515747101</v>
      </c>
      <c r="H70" s="48" cm="1">
        <f t="array" ref="H70:H81">[1]!decode_json(H65)</f>
        <v>12.002716541290299</v>
      </c>
      <c r="I70" s="48" cm="1">
        <f t="array" ref="I70:I81">[1]!decode_json(H66)</f>
        <v>12.0012946128845</v>
      </c>
    </row>
    <row r="71" spans="2:9" x14ac:dyDescent="0.25">
      <c r="C71" s="48">
        <v>10</v>
      </c>
      <c r="D71" s="48">
        <v>49.912353515625</v>
      </c>
      <c r="E71">
        <v>28.553466796875</v>
      </c>
      <c r="F71">
        <v>14.524658203125</v>
      </c>
      <c r="G71">
        <v>12.705322265625</v>
      </c>
      <c r="H71">
        <v>12.2774963378906</v>
      </c>
      <c r="I71">
        <v>12.1308288574219</v>
      </c>
    </row>
    <row r="72" spans="2:9" x14ac:dyDescent="0.25">
      <c r="C72" s="48">
        <v>19</v>
      </c>
      <c r="D72" s="48">
        <v>91.560791015625</v>
      </c>
      <c r="E72">
        <v>53.197998046875</v>
      </c>
      <c r="F72">
        <v>24.186767578125</v>
      </c>
      <c r="G72">
        <v>14.943603515625</v>
      </c>
      <c r="H72">
        <v>13.0607299804688</v>
      </c>
      <c r="I72">
        <v>12.4852294921875</v>
      </c>
    </row>
    <row r="73" spans="2:9" x14ac:dyDescent="0.25">
      <c r="C73" s="48">
        <v>28</v>
      </c>
      <c r="D73" s="48">
        <v>130.817138671875</v>
      </c>
      <c r="E73">
        <v>76.843505859375</v>
      </c>
      <c r="F73">
        <v>35.351806640625</v>
      </c>
      <c r="G73">
        <v>20.104248046875</v>
      </c>
      <c r="H73">
        <v>14.540771484375</v>
      </c>
      <c r="I73">
        <v>13.1033935546875</v>
      </c>
    </row>
    <row r="74" spans="2:9" x14ac:dyDescent="0.25">
      <c r="C74" s="48">
        <v>37</v>
      </c>
      <c r="D74" s="48">
        <v>168.365478515625</v>
      </c>
      <c r="E74">
        <v>99.630615234375</v>
      </c>
      <c r="F74">
        <v>46.305908203125</v>
      </c>
      <c r="G74">
        <v>26.451416015625</v>
      </c>
      <c r="H74">
        <v>17.143798828125</v>
      </c>
      <c r="I74">
        <v>14.058837890625</v>
      </c>
    </row>
    <row r="75" spans="2:9" x14ac:dyDescent="0.25">
      <c r="C75" s="48">
        <v>46</v>
      </c>
      <c r="D75" s="48">
        <v>540.314208984375</v>
      </c>
      <c r="E75">
        <v>121.720458984375</v>
      </c>
      <c r="F75">
        <v>57.056396484375</v>
      </c>
      <c r="G75">
        <v>32.732666015625</v>
      </c>
      <c r="H75">
        <v>21.122314453125</v>
      </c>
      <c r="I75">
        <v>15.481201171875</v>
      </c>
    </row>
    <row r="76" spans="2:9" x14ac:dyDescent="0.25">
      <c r="C76" s="48">
        <v>55</v>
      </c>
      <c r="D76" s="48">
        <v>554.114501953125</v>
      </c>
      <c r="E76">
        <v>143.239013671875</v>
      </c>
      <c r="F76">
        <v>67.612060546875</v>
      </c>
      <c r="G76">
        <v>38.949462890625</v>
      </c>
      <c r="H76">
        <v>25.185791015625</v>
      </c>
      <c r="I76">
        <v>17.605224609375</v>
      </c>
    </row>
    <row r="77" spans="2:9" x14ac:dyDescent="0.25">
      <c r="C77" s="48">
        <v>64</v>
      </c>
      <c r="D77" s="48">
        <v>563.684326171875</v>
      </c>
      <c r="E77">
        <v>164.265380859375</v>
      </c>
      <c r="F77">
        <v>77.986083984375</v>
      </c>
      <c r="G77">
        <v>45.098876953125</v>
      </c>
      <c r="H77">
        <v>29.221435546875</v>
      </c>
      <c r="I77">
        <v>20.416259765625</v>
      </c>
    </row>
    <row r="78" spans="2:9" x14ac:dyDescent="0.25">
      <c r="C78" s="48">
        <v>73</v>
      </c>
      <c r="D78" s="48">
        <v>570.706787109375</v>
      </c>
      <c r="E78">
        <v>184.858154296875</v>
      </c>
      <c r="F78">
        <v>88.191650390625</v>
      </c>
      <c r="G78">
        <v>51.182373046875</v>
      </c>
      <c r="H78">
        <v>33.230712890625</v>
      </c>
      <c r="I78">
        <v>23.243408203125</v>
      </c>
    </row>
    <row r="79" spans="2:9" x14ac:dyDescent="0.25">
      <c r="C79" s="48">
        <v>82</v>
      </c>
      <c r="D79" s="48">
        <v>576.078369140625</v>
      </c>
      <c r="E79">
        <v>548.193603515625</v>
      </c>
      <c r="F79">
        <v>98.244873046875</v>
      </c>
      <c r="G79">
        <v>57.202880859375</v>
      </c>
      <c r="H79">
        <v>37.213623046875</v>
      </c>
      <c r="I79">
        <v>26.057373046875</v>
      </c>
    </row>
    <row r="80" spans="2:9" x14ac:dyDescent="0.25">
      <c r="C80" s="48">
        <v>91</v>
      </c>
      <c r="D80" s="48">
        <v>580.319091796875</v>
      </c>
      <c r="E80">
        <v>555.661376953125</v>
      </c>
      <c r="F80">
        <v>108.158935546875</v>
      </c>
      <c r="G80">
        <v>63.161865234375</v>
      </c>
      <c r="H80">
        <v>41.168701171875</v>
      </c>
      <c r="I80">
        <v>28.858154296875</v>
      </c>
    </row>
    <row r="81" spans="2:18" x14ac:dyDescent="0.25">
      <c r="C81">
        <v>100</v>
      </c>
      <c r="D81">
        <v>583.751220703125</v>
      </c>
      <c r="E81">
        <v>561.633544921875</v>
      </c>
      <c r="F81">
        <v>117.945556640625</v>
      </c>
      <c r="G81">
        <v>69.060791015625</v>
      </c>
      <c r="H81">
        <v>45.095947265625</v>
      </c>
      <c r="I81">
        <v>31.647216796875</v>
      </c>
    </row>
    <row r="86" spans="2:18" x14ac:dyDescent="0.25">
      <c r="B86" t="s">
        <v>80</v>
      </c>
    </row>
    <row r="88" spans="2:18" x14ac:dyDescent="0.25">
      <c r="B88" t="str" cm="1">
        <f t="array" ref="B88:C108">[1]!decode_json_crv(I61)</f>
        <v>p_out_atma</v>
      </c>
      <c r="C88" t="str">
        <v>q_liq_sm3day</v>
      </c>
      <c r="E88" t="str" cm="1">
        <f t="array" ref="E88:F108">[1]!decode_json_crv(I62)</f>
        <v>p_out_atma</v>
      </c>
      <c r="F88" t="str">
        <v>q_liq_sm3day</v>
      </c>
      <c r="H88" t="str" cm="1">
        <f t="array" ref="H88:I108">[1]!decode_json_crv(I63)</f>
        <v>p_out_atma</v>
      </c>
      <c r="I88" t="str">
        <v>q_liq_sm3day</v>
      </c>
      <c r="K88" t="str" cm="1">
        <f t="array" ref="K88:L108">[1]!decode_json_crv(I64)</f>
        <v>p_out_atma</v>
      </c>
      <c r="L88" t="str">
        <v>q_liq_sm3day</v>
      </c>
      <c r="N88" t="str" cm="1">
        <f t="array" ref="N88:O108">[1]!decode_json_crv(I65)</f>
        <v>p_out_atma</v>
      </c>
      <c r="O88" t="str">
        <v>q_liq_sm3day</v>
      </c>
      <c r="Q88" t="str" cm="1">
        <f t="array" ref="Q88:R108">[1]!decode_json_crv(I66)</f>
        <v>p_out_atma</v>
      </c>
      <c r="R88" t="str">
        <v>q_liq_sm3day</v>
      </c>
    </row>
    <row r="89" spans="2:18" x14ac:dyDescent="0.25">
      <c r="B89">
        <v>1</v>
      </c>
      <c r="C89">
        <v>2.33877641079108</v>
      </c>
      <c r="E89">
        <v>1</v>
      </c>
      <c r="F89">
        <v>4.1578314414620703</v>
      </c>
      <c r="H89">
        <v>1</v>
      </c>
      <c r="I89">
        <v>9.3552104833913496</v>
      </c>
      <c r="K89">
        <v>1</v>
      </c>
      <c r="L89">
        <v>16.631914862577698</v>
      </c>
      <c r="N89">
        <v>1</v>
      </c>
      <c r="O89">
        <v>25.9887824657336</v>
      </c>
      <c r="Q89">
        <v>1</v>
      </c>
      <c r="R89">
        <v>37.427554523979602</v>
      </c>
    </row>
    <row r="90" spans="2:18" x14ac:dyDescent="0.25">
      <c r="B90">
        <v>7.7723364764587899</v>
      </c>
      <c r="C90">
        <v>2.33877641079108</v>
      </c>
      <c r="E90">
        <v>7.7811241823568098</v>
      </c>
      <c r="F90">
        <v>4.1578314414620703</v>
      </c>
      <c r="H90">
        <v>7.8049452490170204</v>
      </c>
      <c r="I90">
        <v>9.3552104833913496</v>
      </c>
      <c r="K90">
        <v>7.8367438183533098</v>
      </c>
      <c r="L90">
        <v>16.631914862577698</v>
      </c>
      <c r="N90">
        <v>7.8762520993367797</v>
      </c>
      <c r="O90">
        <v>25.9887824657336</v>
      </c>
      <c r="Q90">
        <v>7.92330651527387</v>
      </c>
      <c r="R90">
        <v>37.427554523979602</v>
      </c>
    </row>
    <row r="91" spans="2:18" x14ac:dyDescent="0.25">
      <c r="B91">
        <v>8.0072066722110797</v>
      </c>
      <c r="C91">
        <v>2.3365244051028999</v>
      </c>
      <c r="E91">
        <v>8.01550617222588</v>
      </c>
      <c r="F91">
        <v>4.1538278604874304</v>
      </c>
      <c r="H91">
        <v>8.0380038462938508</v>
      </c>
      <c r="I91">
        <v>9.3462022215149307</v>
      </c>
      <c r="K91">
        <v>8.0680358284448008</v>
      </c>
      <c r="L91">
        <v>16.615899194959201</v>
      </c>
      <c r="N91">
        <v>8.1053492049291798</v>
      </c>
      <c r="O91">
        <v>25.963754755691401</v>
      </c>
      <c r="Q91">
        <v>8.1497894866475402</v>
      </c>
      <c r="R91">
        <v>37.391506159383397</v>
      </c>
    </row>
    <row r="92" spans="2:18" x14ac:dyDescent="0.25">
      <c r="B92">
        <v>8.2420768679633696</v>
      </c>
      <c r="C92">
        <v>2.3284369105974698</v>
      </c>
      <c r="E92">
        <v>8.2498881620949405</v>
      </c>
      <c r="F92">
        <v>4.1394500922953004</v>
      </c>
      <c r="H92">
        <v>8.2710624435706794</v>
      </c>
      <c r="I92">
        <v>9.3138522406381803</v>
      </c>
      <c r="K92">
        <v>8.2993278385362803</v>
      </c>
      <c r="L92">
        <v>16.558388106074499</v>
      </c>
      <c r="N92">
        <v>8.3344463105215798</v>
      </c>
      <c r="O92">
        <v>25.873893640005001</v>
      </c>
      <c r="Q92">
        <v>8.3762724580212193</v>
      </c>
      <c r="R92">
        <v>37.262106047249702</v>
      </c>
    </row>
    <row r="93" spans="2:18" x14ac:dyDescent="0.25">
      <c r="B93">
        <v>8.4769470637156594</v>
      </c>
      <c r="C93">
        <v>2.3141518962804901</v>
      </c>
      <c r="E93">
        <v>8.4842701519640098</v>
      </c>
      <c r="F93">
        <v>4.1140545228190302</v>
      </c>
      <c r="H93">
        <v>8.5041210408475205</v>
      </c>
      <c r="I93">
        <v>9.2567123635126798</v>
      </c>
      <c r="K93">
        <v>8.5306198486277598</v>
      </c>
      <c r="L93">
        <v>16.4568068403455</v>
      </c>
      <c r="N93">
        <v>8.5635434161139798</v>
      </c>
      <c r="O93">
        <v>25.7151753440398</v>
      </c>
      <c r="Q93">
        <v>8.6027554293948896</v>
      </c>
      <c r="R93">
        <v>37.033558069285299</v>
      </c>
    </row>
    <row r="94" spans="2:18" x14ac:dyDescent="0.25">
      <c r="B94">
        <v>8.7118172594679493</v>
      </c>
      <c r="C94">
        <v>2.2932509133655401</v>
      </c>
      <c r="E94">
        <v>8.7186521418330791</v>
      </c>
      <c r="F94">
        <v>4.0768972392483596</v>
      </c>
      <c r="H94">
        <v>8.7371796381243492</v>
      </c>
      <c r="I94">
        <v>9.1731087347473004</v>
      </c>
      <c r="K94">
        <v>8.7619118587192393</v>
      </c>
      <c r="L94">
        <v>16.308179408029801</v>
      </c>
      <c r="N94">
        <v>8.7926405217063799</v>
      </c>
      <c r="O94">
        <v>25.482949070604299</v>
      </c>
      <c r="Q94">
        <v>8.8292384007685598</v>
      </c>
      <c r="R94">
        <v>36.699162947989798</v>
      </c>
    </row>
    <row r="95" spans="2:18" x14ac:dyDescent="0.25">
      <c r="B95">
        <v>8.9466874552202391</v>
      </c>
      <c r="C95">
        <v>2.26524553115437</v>
      </c>
      <c r="E95">
        <v>8.9530341317021396</v>
      </c>
      <c r="F95">
        <v>4.0271099159561299</v>
      </c>
      <c r="H95">
        <v>8.9702382354011796</v>
      </c>
      <c r="I95">
        <v>9.0610875630355192</v>
      </c>
      <c r="K95">
        <v>8.9932038688107294</v>
      </c>
      <c r="L95">
        <v>16.109032121658402</v>
      </c>
      <c r="N95">
        <v>9.0217376272987799</v>
      </c>
      <c r="O95">
        <v>25.1717862581629</v>
      </c>
      <c r="Q95">
        <v>9.0557213721422407</v>
      </c>
      <c r="R95">
        <v>36.251101132701102</v>
      </c>
    </row>
    <row r="96" spans="2:18" x14ac:dyDescent="0.25">
      <c r="B96">
        <v>9.1815576509725307</v>
      </c>
      <c r="C96">
        <v>2.2295590578250399</v>
      </c>
      <c r="E96">
        <v>9.1874161215712107</v>
      </c>
      <c r="F96">
        <v>3.9636673180136501</v>
      </c>
      <c r="H96">
        <v>9.20329683267801</v>
      </c>
      <c r="I96">
        <v>8.9183420026208307</v>
      </c>
      <c r="K96">
        <v>9.2244958789022107</v>
      </c>
      <c r="L96">
        <v>15.855263600612799</v>
      </c>
      <c r="N96">
        <v>9.25083473289118</v>
      </c>
      <c r="O96">
        <v>24.7752774401967</v>
      </c>
      <c r="Q96">
        <v>9.2822043435159092</v>
      </c>
      <c r="R96">
        <v>35.680140217355998</v>
      </c>
    </row>
    <row r="97" spans="2:18" x14ac:dyDescent="0.25">
      <c r="B97">
        <v>9.4164278467248206</v>
      </c>
      <c r="C97">
        <v>2.1855013723862098</v>
      </c>
      <c r="E97">
        <v>9.4217981114402694</v>
      </c>
      <c r="F97">
        <v>3.8853425578533902</v>
      </c>
      <c r="H97">
        <v>9.4363554299548493</v>
      </c>
      <c r="I97">
        <v>8.7421114788546994</v>
      </c>
      <c r="K97">
        <v>9.4557878889936902</v>
      </c>
      <c r="L97">
        <v>15.5419657850872</v>
      </c>
      <c r="N97">
        <v>9.4799318384835907</v>
      </c>
      <c r="O97">
        <v>24.285752549020099</v>
      </c>
      <c r="Q97">
        <v>9.5086873148895901</v>
      </c>
      <c r="R97">
        <v>34.975232098068503</v>
      </c>
    </row>
    <row r="98" spans="2:18" x14ac:dyDescent="0.25">
      <c r="B98">
        <v>9.6512980424771104</v>
      </c>
      <c r="C98">
        <v>2.1322333867196499</v>
      </c>
      <c r="E98">
        <v>9.6561801013093405</v>
      </c>
      <c r="F98">
        <v>3.7906439164796302</v>
      </c>
      <c r="H98">
        <v>9.6694140272316798</v>
      </c>
      <c r="I98">
        <v>8.52903953325972</v>
      </c>
      <c r="K98">
        <v>9.6870798990851696</v>
      </c>
      <c r="L98">
        <v>15.163171203466099</v>
      </c>
      <c r="N98">
        <v>9.7090289440759907</v>
      </c>
      <c r="O98">
        <v>23.6938859790924</v>
      </c>
      <c r="Q98">
        <v>9.7351702862632603</v>
      </c>
      <c r="R98">
        <v>34.1229441543436</v>
      </c>
    </row>
    <row r="99" spans="2:18" x14ac:dyDescent="0.25">
      <c r="B99">
        <v>9.8861682382293896</v>
      </c>
      <c r="C99">
        <v>2.0687153448357898</v>
      </c>
      <c r="E99">
        <v>9.8905620911784098</v>
      </c>
      <c r="F99">
        <v>3.6777229307505901</v>
      </c>
      <c r="H99">
        <v>9.9024726245085102</v>
      </c>
      <c r="I99">
        <v>8.2749670161371096</v>
      </c>
      <c r="K99">
        <v>9.9183719091766598</v>
      </c>
      <c r="L99">
        <v>14.71148529665</v>
      </c>
      <c r="N99">
        <v>9.9381260496683907</v>
      </c>
      <c r="O99">
        <v>22.988122034166999</v>
      </c>
      <c r="Q99">
        <v>9.9616532576369305</v>
      </c>
      <c r="R99">
        <v>33.1066317367887</v>
      </c>
    </row>
    <row r="100" spans="2:18" x14ac:dyDescent="0.25">
      <c r="B100">
        <v>10.121038433981701</v>
      </c>
      <c r="C100">
        <v>1.9936288708404599</v>
      </c>
      <c r="E100">
        <v>10.1249440810475</v>
      </c>
      <c r="F100">
        <v>3.5442358115700099</v>
      </c>
      <c r="H100">
        <v>10.1355312217853</v>
      </c>
      <c r="I100">
        <v>7.9746202719267698</v>
      </c>
      <c r="K100">
        <v>10.1496639192681</v>
      </c>
      <c r="L100">
        <v>14.177532054254501</v>
      </c>
      <c r="N100">
        <v>10.1672231552608</v>
      </c>
      <c r="O100">
        <v>22.153808645979701</v>
      </c>
      <c r="Q100">
        <v>10.188136229010601</v>
      </c>
      <c r="R100">
        <v>31.905190491797701</v>
      </c>
    </row>
    <row r="101" spans="2:18" x14ac:dyDescent="0.25">
      <c r="B101">
        <v>10.355908629734</v>
      </c>
      <c r="C101">
        <v>1.9052542075046099</v>
      </c>
      <c r="E101">
        <v>10.3593260709165</v>
      </c>
      <c r="F101">
        <v>3.3871252007020498</v>
      </c>
      <c r="H101">
        <v>10.368589819062199</v>
      </c>
      <c r="I101">
        <v>7.6211200834566801</v>
      </c>
      <c r="K101">
        <v>10.380955929359599</v>
      </c>
      <c r="L101">
        <v>13.549080985515999</v>
      </c>
      <c r="N101">
        <v>10.3963202608532</v>
      </c>
      <c r="O101">
        <v>21.171833130861</v>
      </c>
      <c r="Q101">
        <v>10.414619200384299</v>
      </c>
      <c r="R101">
        <v>30.491091496262399</v>
      </c>
    </row>
    <row r="102" spans="2:18" x14ac:dyDescent="0.25">
      <c r="B102">
        <v>10.5907788254863</v>
      </c>
      <c r="C102">
        <v>1.8012661319988099</v>
      </c>
      <c r="E102">
        <v>10.5937080607856</v>
      </c>
      <c r="F102">
        <v>3.2022573532543701</v>
      </c>
      <c r="H102">
        <v>10.601648416339</v>
      </c>
      <c r="I102">
        <v>7.20516531855389</v>
      </c>
      <c r="K102">
        <v>10.6122479394511</v>
      </c>
      <c r="L102">
        <v>12.809595757475799</v>
      </c>
      <c r="N102">
        <v>10.6254173664456</v>
      </c>
      <c r="O102">
        <v>20.016354216425501</v>
      </c>
      <c r="Q102">
        <v>10.641102171758</v>
      </c>
      <c r="R102">
        <v>28.827114798383001</v>
      </c>
    </row>
    <row r="103" spans="2:18" x14ac:dyDescent="0.25">
      <c r="B103">
        <v>10.825649021238601</v>
      </c>
      <c r="C103">
        <v>1.67837034262121</v>
      </c>
      <c r="E103">
        <v>10.8280900506547</v>
      </c>
      <c r="F103">
        <v>2.9837757122586299</v>
      </c>
      <c r="H103">
        <v>10.8347070136158</v>
      </c>
      <c r="I103">
        <v>6.7135784484536103</v>
      </c>
      <c r="K103">
        <v>10.843539949542601</v>
      </c>
      <c r="L103">
        <v>11.9356483331451</v>
      </c>
      <c r="N103">
        <v>10.854514472038</v>
      </c>
      <c r="O103">
        <v>18.650761247587099</v>
      </c>
      <c r="Q103">
        <v>10.867585143131601</v>
      </c>
      <c r="R103">
        <v>26.860529666045402</v>
      </c>
    </row>
    <row r="104" spans="2:18" x14ac:dyDescent="0.25">
      <c r="B104">
        <v>11.0605192169908</v>
      </c>
      <c r="C104">
        <v>1.5315931252384001</v>
      </c>
      <c r="E104">
        <v>11.0624720405237</v>
      </c>
      <c r="F104">
        <v>2.7228380899613902</v>
      </c>
      <c r="H104">
        <v>11.0677656108927</v>
      </c>
      <c r="I104">
        <v>6.1264641589918902</v>
      </c>
      <c r="K104">
        <v>11.0748319596341</v>
      </c>
      <c r="L104">
        <v>10.8918673900216</v>
      </c>
      <c r="N104">
        <v>11.0836115776304</v>
      </c>
      <c r="O104">
        <v>17.019780353614401</v>
      </c>
      <c r="Q104">
        <v>11.0940681145053</v>
      </c>
      <c r="R104">
        <v>24.511725536903501</v>
      </c>
    </row>
    <row r="105" spans="2:18" x14ac:dyDescent="0.25">
      <c r="B105">
        <v>11.2953894127431</v>
      </c>
      <c r="C105">
        <v>1.3527020388706199</v>
      </c>
      <c r="E105">
        <v>11.296854030392799</v>
      </c>
      <c r="F105">
        <v>2.40480899013924</v>
      </c>
      <c r="H105">
        <v>11.3008242081695</v>
      </c>
      <c r="I105">
        <v>5.4108919740052199</v>
      </c>
      <c r="K105">
        <v>11.306123969725601</v>
      </c>
      <c r="L105">
        <v>9.6197069410142095</v>
      </c>
      <c r="N105">
        <v>11.3127086832228</v>
      </c>
      <c r="O105">
        <v>15.031923812305401</v>
      </c>
      <c r="Q105">
        <v>11.320551085879</v>
      </c>
      <c r="R105">
        <v>21.648934895406999</v>
      </c>
    </row>
    <row r="106" spans="2:18" x14ac:dyDescent="0.25">
      <c r="B106">
        <v>11.530259608495401</v>
      </c>
      <c r="C106">
        <v>1.12592396437981</v>
      </c>
      <c r="E106">
        <v>11.5312360202619</v>
      </c>
      <c r="F106">
        <v>2.0016472299768302</v>
      </c>
      <c r="H106">
        <v>11.5338828054463</v>
      </c>
      <c r="I106">
        <v>4.50376813398724</v>
      </c>
      <c r="K106">
        <v>11.537415979817</v>
      </c>
      <c r="L106">
        <v>8.0069950457647003</v>
      </c>
      <c r="N106">
        <v>11.5418057888152</v>
      </c>
      <c r="O106">
        <v>12.5119056432801</v>
      </c>
      <c r="Q106">
        <v>11.5470340572527</v>
      </c>
      <c r="R106">
        <v>18.0197005457103</v>
      </c>
    </row>
    <row r="107" spans="2:18" x14ac:dyDescent="0.25">
      <c r="B107">
        <v>11.765129804247699</v>
      </c>
      <c r="C107">
        <v>0.81129275916630095</v>
      </c>
      <c r="E107">
        <v>11.7656180101309</v>
      </c>
      <c r="F107">
        <v>1.44230169357072</v>
      </c>
      <c r="H107">
        <v>11.7669414027232</v>
      </c>
      <c r="I107">
        <v>3.2452250109268301</v>
      </c>
      <c r="K107">
        <v>11.768707989908499</v>
      </c>
      <c r="L107">
        <v>5.7695100595622701</v>
      </c>
      <c r="N107">
        <v>11.7709028944076</v>
      </c>
      <c r="O107">
        <v>9.0155882405424403</v>
      </c>
      <c r="Q107">
        <v>11.7735170286263</v>
      </c>
      <c r="R107">
        <v>12.9843561756719</v>
      </c>
    </row>
    <row r="108" spans="2:18" x14ac:dyDescent="0.25">
      <c r="B108">
        <v>12</v>
      </c>
      <c r="C108">
        <v>0</v>
      </c>
      <c r="E108">
        <v>12</v>
      </c>
      <c r="F108">
        <v>0</v>
      </c>
      <c r="H108">
        <v>12</v>
      </c>
      <c r="I108">
        <v>0</v>
      </c>
      <c r="K108">
        <v>12</v>
      </c>
      <c r="L108">
        <v>0</v>
      </c>
      <c r="N108">
        <v>12</v>
      </c>
      <c r="O108">
        <v>0</v>
      </c>
      <c r="Q108">
        <v>12</v>
      </c>
      <c r="R108">
        <v>0</v>
      </c>
    </row>
    <row r="109" spans="2:18" x14ac:dyDescent="0.25">
      <c r="C109" s="48"/>
      <c r="D109" s="48"/>
    </row>
    <row r="110" spans="2:18" x14ac:dyDescent="0.25">
      <c r="C110" s="48"/>
      <c r="D110" s="48"/>
    </row>
    <row r="111" spans="2:18" x14ac:dyDescent="0.25">
      <c r="C111" s="48"/>
      <c r="D111" s="48"/>
    </row>
    <row r="112" spans="2:18" x14ac:dyDescent="0.25">
      <c r="C112" s="48"/>
      <c r="D112" s="48"/>
    </row>
    <row r="113" spans="3:4" x14ac:dyDescent="0.25">
      <c r="C113" s="48"/>
      <c r="D113" s="48"/>
    </row>
    <row r="114" spans="3:4" x14ac:dyDescent="0.25">
      <c r="C114" s="48"/>
      <c r="D114" s="48"/>
    </row>
  </sheetData>
  <mergeCells count="4">
    <mergeCell ref="B3:E3"/>
    <mergeCell ref="B4:E4"/>
    <mergeCell ref="B5:E5"/>
    <mergeCell ref="B6:E8"/>
  </mergeCells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2021-07-31T08:58:49Z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