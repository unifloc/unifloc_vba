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187ECDAB-F96D-4A48-9DDD-758559D5FA36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G24" i="120"/>
  <c r="I28" i="120" a="1"/>
  <c r="G1" i="120"/>
  <c r="I28" i="120" l="1"/>
  <c r="G25" i="120" a="1"/>
  <c r="G25" i="120" l="1"/>
  <c r="C82" i="120" a="1"/>
  <c r="B35" i="120" a="1"/>
  <c r="X50" i="120" a="1"/>
  <c r="X35" i="120" a="1"/>
  <c r="AI35" i="120" s="1" a="1"/>
  <c r="B45" i="120" a="1"/>
  <c r="B40" i="120" a="1"/>
  <c r="N40" i="120" a="1"/>
  <c r="B50" i="120" a="1"/>
  <c r="AF50" i="120" a="1"/>
  <c r="N50" i="120" a="1"/>
  <c r="N35" i="120" a="1"/>
  <c r="AI50" i="120" a="1"/>
  <c r="N45" i="120" a="1"/>
  <c r="AF35" i="120" a="1"/>
  <c r="C82" i="120" l="1"/>
  <c r="B35" i="120"/>
  <c r="X50" i="120"/>
  <c r="X35" i="120"/>
  <c r="AF35" i="120"/>
  <c r="AI35" i="120"/>
  <c r="AF50" i="120"/>
  <c r="B50" i="120"/>
  <c r="C58" i="120"/>
  <c r="B45" i="120"/>
  <c r="B40" i="120"/>
  <c r="AI50" i="120"/>
  <c r="N50" i="120"/>
  <c r="N45" i="120"/>
  <c r="N35" i="120"/>
  <c r="N40" i="120"/>
  <c r="C85" i="120" a="1"/>
  <c r="AC50" i="120" a="1"/>
  <c r="AC35" i="120" a="1"/>
  <c r="C85" i="120" l="1"/>
  <c r="AC50" i="120"/>
  <c r="AC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<sst xmlns="http://schemas.openxmlformats.org/spreadsheetml/2006/main" count="104" uniqueCount="84">
  <si>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</si>
  <si>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</si>
  <si>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</si>
  <si>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</si>
  <si>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</si>
  <si>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</si>
  <si>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</si>
  <si>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</si>
  <si>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</si>
  <si>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</si>
  <si>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</si>
  <si>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</si>
  <si>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</si>
  <si>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</si>
  <si>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</si>
  <si>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</si>
  <si>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</si>
  <si>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</si>
  <si>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</si>
  <si>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</si>
  <si>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</si>
  <si>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</si>
  <si>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</si>
  <si>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</si>
  <si>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</si>
  <si>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</si>
  <si>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</si>
  <si>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</si>
  <si>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</si>
  <si>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</si>
  <si>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</si>
  <si>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</si>
  <si>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</si>
  <si>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</si>
  <si>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</si>
  <si>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</si>
  <si>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</si>
  <si>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</si>
  <si>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</si>
  <si>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</si>
  <si>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</si>
  <si>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</si>
  <si>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</si>
  <si>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</si>
  <si>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</si>
  <si>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</si>
  <si>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</si>
  <si>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</si>
  <si>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</si>
  <si>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</si>
  <si>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</si>
  <si>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</si>
  <si>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</si>
  <si>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</si>
  <si>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</si>
  <si>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</si>
  <si>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</si>
  <si>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</si>
  <si>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</si>
  <si>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</si>
  <si>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</si>
  <si>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</si>
  <si>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</si>
  <si>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</si>
  <si>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</si>
  <si>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</si>
  <si>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</si>
  <si>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</si>
  <si>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</si>
  <si>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</si>
  <si>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</si>
  <si>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</si>
  <si>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p_intake_atma</t>
  </si>
  <si>
    <t>p_out_atma</t>
  </si>
  <si>
    <t>t_choke_C</t>
  </si>
  <si>
    <t>calibr_fr</t>
  </si>
  <si>
    <t>q_liq_sm3day</t>
  </si>
  <si>
    <t>q_gas_sm3day</t>
  </si>
  <si>
    <t>q_gas_free_sm3day</t>
  </si>
  <si>
    <t>rp_m3m3</t>
  </si>
  <si>
    <t>fw_perc</t>
  </si>
  <si>
    <t>t_choke_throat_C</t>
  </si>
  <si>
    <t>sonic_vel_msec</t>
  </si>
  <si>
    <t>q_liq_max_sm3day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</si>
</sst>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7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left"/>
    </xf>
    <xf numFmtId="0" fontId="0" fillId="11" borderId="0" xfId="0" applyFill="1"/>
    <xf numFmtId="165" fontId="0" fillId="0" borderId="0" xfId="0" applyNumberFormat="1"/>
    <xf numFmtId="166" fontId="0" fillId="10" borderId="0" xfId="0" applyNumberFormat="1" applyFill="1" applyBorder="1" applyAlignment="1">
      <alignment horizontal="left"/>
    </xf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2" fontId="0" fillId="0" borderId="0" xfId="0" applyNumberFormat="1"/>
  </cellXfs>
  <cellStyles count="9">
    <cellStyle name="Hyperlink" xfId="8" builtinId="8"/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exercise_choke!$C$74:$AL$74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exercise_choke!$C$75:$AL$75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C-49A1-BD08-67B48AB2B5DA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exercise_choke!$C$76:$AL$76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C-49A1-BD08-67B48AB2B5DA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3C-49A1-BD08-67B48AB2B5DA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exercise_choke!$C$78:$AL$78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3C-49A1-BD08-67B48AB2B5DA}"/>
            </c:ext>
          </c:extLst>
        </c:ser>
        <c:ser>
          <c:idx val="4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C-49A1-BD08-67B48AB2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exercise_choke!$D$85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exercise_choke!$D$86:$D$105</c:f>
              <c:numCache>
                <c:formatCode>0.00</c:formatCode>
                <c:ptCount val="20"/>
                <c:pt idx="0">
                  <c:v>0</c:v>
                </c:pt>
                <c:pt idx="1">
                  <c:v>4.6621725845246296</c:v>
                </c:pt>
                <c:pt idx="2">
                  <c:v>7.4549707126889802</c:v>
                </c:pt>
                <c:pt idx="3">
                  <c:v>10.3123417932814</c:v>
                </c:pt>
                <c:pt idx="4">
                  <c:v>13.428661131303</c:v>
                </c:pt>
                <c:pt idx="5">
                  <c:v>16.896509472528798</c:v>
                </c:pt>
                <c:pt idx="6">
                  <c:v>20.773105574522599</c:v>
                </c:pt>
                <c:pt idx="7">
                  <c:v>25.091764316355501</c:v>
                </c:pt>
                <c:pt idx="8">
                  <c:v>29.8614125149968</c:v>
                </c:pt>
                <c:pt idx="9">
                  <c:v>35.063429007196902</c:v>
                </c:pt>
                <c:pt idx="10">
                  <c:v>40.650698689219404</c:v>
                </c:pt>
                <c:pt idx="11">
                  <c:v>46.553152420042501</c:v>
                </c:pt>
                <c:pt idx="12">
                  <c:v>52.837802268990998</c:v>
                </c:pt>
                <c:pt idx="13">
                  <c:v>61.088839645857703</c:v>
                </c:pt>
                <c:pt idx="14">
                  <c:v>72.456344951021705</c:v>
                </c:pt>
                <c:pt idx="15">
                  <c:v>88.131039374431793</c:v>
                </c:pt>
                <c:pt idx="16">
                  <c:v>109.78808921460499</c:v>
                </c:pt>
                <c:pt idx="17">
                  <c:v>139.80680939391499</c:v>
                </c:pt>
                <c:pt idx="18">
                  <c:v>181.52762825795801</c:v>
                </c:pt>
                <c:pt idx="19">
                  <c:v>510.57848036948099</c:v>
                </c:pt>
              </c:numCache>
            </c:numRef>
          </c:xVal>
          <c:yVal>
            <c:numRef>
              <c:f>exercise_choke!$C$86:$C$105</c:f>
              <c:numCache>
                <c:formatCode>0.00</c:formatCode>
                <c:ptCount val="20"/>
                <c:pt idx="0">
                  <c:v>23</c:v>
                </c:pt>
                <c:pt idx="1">
                  <c:v>23.077041525001299</c:v>
                </c:pt>
                <c:pt idx="2">
                  <c:v>23.197846552483998</c:v>
                </c:pt>
                <c:pt idx="3">
                  <c:v>23.381060002990299</c:v>
                </c:pt>
                <c:pt idx="4">
                  <c:v>23.652387638830199</c:v>
                </c:pt>
                <c:pt idx="5">
                  <c:v>24.047102887238601</c:v>
                </c:pt>
                <c:pt idx="6">
                  <c:v>24.6134080653217</c:v>
                </c:pt>
                <c:pt idx="7">
                  <c:v>25.416933123922401</c:v>
                </c:pt>
                <c:pt idx="8">
                  <c:v>26.546746927486701</c:v>
                </c:pt>
                <c:pt idx="9">
                  <c:v>28.1233773516336</c:v>
                </c:pt>
                <c:pt idx="10">
                  <c:v>30.3094963764221</c:v>
                </c:pt>
                <c:pt idx="11">
                  <c:v>33.3241370435642</c:v>
                </c:pt>
                <c:pt idx="12">
                  <c:v>37.461586584695098</c:v>
                </c:pt>
                <c:pt idx="13">
                  <c:v>43.1164651354106</c:v>
                </c:pt>
                <c:pt idx="14">
                  <c:v>50.816979645301501</c:v>
                </c:pt>
                <c:pt idx="15">
                  <c:v>61.2689738000565</c:v>
                </c:pt>
                <c:pt idx="16">
                  <c:v>75.414224031818506</c:v>
                </c:pt>
                <c:pt idx="17">
                  <c:v>94.507520593621607</c:v>
                </c:pt>
                <c:pt idx="18">
                  <c:v>120.218501804564</c:v>
                </c:pt>
                <c:pt idx="19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4-4016-83C3-0660D0AD6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313392"/>
        <c:axId val="1862323792"/>
      </c:scatterChart>
      <c:valAx>
        <c:axId val="186231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2323792"/>
        <c:crosses val="autoZero"/>
        <c:crossBetween val="midCat"/>
      </c:valAx>
      <c:valAx>
        <c:axId val="18623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231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Relationship Id="rId9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103654</xdr:colOff>
      <xdr:row>5</xdr:row>
      <xdr:rowOff>109743</xdr:rowOff>
    </xdr:from>
    <xdr:to>
      <xdr:col>48</xdr:col>
      <xdr:colOff>32215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264407" y="988284"/>
          <a:ext cx="5325314" cy="2217353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11</xdr:col>
      <xdr:colOff>341209</xdr:colOff>
      <xdr:row>92</xdr:row>
      <xdr:rowOff>47496</xdr:rowOff>
    </xdr:from>
    <xdr:to>
      <xdr:col>23</xdr:col>
      <xdr:colOff>49429</xdr:colOff>
      <xdr:row>119</xdr:row>
      <xdr:rowOff>103230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111552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623047</xdr:colOff>
      <xdr:row>66</xdr:row>
      <xdr:rowOff>85163</xdr:rowOff>
    </xdr:from>
    <xdr:to>
      <xdr:col>16</xdr:col>
      <xdr:colOff>134470</xdr:colOff>
      <xdr:row>93</xdr:row>
      <xdr:rowOff>143435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88964B2-F858-44CD-AEBE-D9F69D510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json"/>
      <definedName name="encode_PVT"/>
      <definedName name="MF_choke_calc"/>
      <definedName name="MF_choke_calibr"/>
      <definedName name="MF_choke_calibr_fast"/>
      <definedName name="MF_choke_crv_json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260 4 80 0 0,'0'0'343'0'0,"0"0"11"0"0,0 0-10 0 0,0 0 1 0 0,0 0 11 0 0,0 0 13 0 0,0 0 36 0 0,-15 10 4782 0 0,11-9-4939 0 0,0 2 1 0 0,1-1 0 0 0,0-1-1 0 0,-1 2 1 0 0,1 0 0 0 0,0-1-1 0 0,0 1 1 0 0,0-2 0 0 0,0 3-1 0 0,0-2 1 0 0,2 2-249 0 0,-23 18 881 0 0,0-1-273 0 0,0 0 0 0 0,2 1 0 0 0,-2 5-608 0 0,-20 21 252 0 0,13-12-1105 0 0,26-31 1372 0 0,-3 5-4151 0 0,7-7-955 0 0,9-9 988 0 0,-2 3 2444 0 0</inkml:trace>
  <inkml:trace contextRef="#ctx0" brushRef="#br0" timeOffset="1">460 39 116 0 0,'-8'5'514'0'0,"2"0"0"0"0,-1 0 1 0 0,1 1-1 0 0,0 0 0 0 0,-1-1 0 0 0,1 2 1 0 0,-2 4-515 0 0,3-4 350 0 0,-165 165 2748 0 0,170-172-3369 0 0,-15 16 68 0 0,14-10-5204 0 0,1-6 4460 0 0</inkml:trace>
  <inkml:trace contextRef="#ctx0" brushRef="#br0" timeOffset="2">630 68 188 0 0,'-12'19'773'0'0,"-1"-1"0"0"0,-1 0-1 0 0,-5 3-772 0 0,3-4 684 0 0,2 1 0 0 0,-1 1 0 0 0,-1 5-684 0 0,-25 25-144 0 0,39-43-155 0 0,1-2-2709 0 0,1-4 2165 0 0</inkml:trace>
  <inkml:trace contextRef="#ctx0" brushRef="#br0" timeOffset="3">861 52 188 0 0,'-3'5'375'0'0,"0"1"-1"0"0,-1-1 1 0 0,1 0 0 0 0,-1 0-1 0 0,1 0 1 0 0,-2 0 0 0 0,1 0-1 0 0,-2 0 1 0 0,0-1-1 0 0,0-1 1 0 0,1 2-375 0 0,-13 11 823 0 0,-1 1 1 0 0,0-1-1 0 0,3 4-823 0 0,1-4 561 0 0,0 0-1 0 0,-2-1 1 0 0,-10 8-561 0 0,25-21-167 0 0,-1-1 1 0 0,1 1 0 0 0,0 0-1 0 0,0 0 1 0 0,0 0 0 0 0,1 0-1 0 0,-1 1 1 0 0,1-1 0 0 0,0-1-1 0 0,0 2 1 0 0,0 0 0 0 0,0-1-1 0 0,-1 2 1 0 0,1-3 0 0 0,1 1 0 0 0,-1 0-1 0 0,1 3 167 0 0,0-5-1060 0 0,14-5-2464 0 0,-4 1 2535 0 0</inkml:trace>
  <inkml:trace contextRef="#ctx0" brushRef="#br0" timeOffset="4">1084 65 592 0 0,'-36'30'2652'0'0,"10"-9"-1656"0"0,1 0 0 0 0,1 0 0 0 0,3 2 1 0 0,-1 1-1 0 0,1-1 0 0 0,3 5-996 0 0,17-27-192 0 0,-11 19-100 0 0,8-12-1049 0 0,8-7-2062 0 0,4-6 967 0 0,-3 2 1359 0 0</inkml:trace>
  <inkml:trace contextRef="#ctx0" brushRef="#br0" timeOffset="5">1366 1 572 0 0,'-118'121'4885'0'0,"94"-98"-4182"0"0,0 1 0 0 0,3 1 0 0 0,-15 20-703 0 0,30-36-557 0 0,0-1 0 0 0,-2 1 0 0 0,1-3 0 0 0,-9 9 557 0 0,15-15-971 0 0,1 0-138 0 0,7-1-1114 0 0,0-3 1252 0 0</inkml:trace>
  <inkml:trace contextRef="#ctx0" brushRef="#br0" timeOffset="6">1462 90 168 0 0,'-58'89'6461'0'0,"19"-36"-4030"0"0,15-19-1163 0 0,-25 25-1268 0 0,32-38-1721 0 0,12-13-4629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5"/>
  <sheetViews>
    <sheetView tabSelected="1" topLeftCell="A58" zoomScale="85" zoomScaleNormal="85" workbookViewId="0">
      <selection activeCell="K63" sqref="K63"/>
    </sheetView>
  </sheetViews>
  <sheetFormatPr defaultRowHeight="13.2" x14ac:dyDescent="0.25"/>
  <cols>
    <col min="2" max="2" width="13.88671875" customWidth="1"/>
    <col min="3" max="3" width="13.44140625" customWidth="1"/>
    <col min="4" max="4" width="11.5546875" customWidth="1"/>
    <col min="5" max="5" width="12.44140625" customWidth="1"/>
    <col min="6" max="6" width="12.6640625" customWidth="1"/>
    <col min="7" max="7" width="15.6640625" customWidth="1"/>
    <col min="8" max="8" width="10.44140625" customWidth="1"/>
    <col min="9" max="9" width="14.33203125" customWidth="1"/>
    <col min="10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29" width="14" customWidth="1"/>
    <col min="30" max="30" width="10.109375" customWidth="1"/>
    <col min="31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7.30</v>
      </c>
      <c r="H1" t="s">
        <v>45</v>
      </c>
      <c r="I1" s="28">
        <v>44375</v>
      </c>
      <c r="J1" s="29"/>
      <c r="K1" s="29"/>
      <c r="L1" s="29"/>
      <c r="AL1" t="str">
        <f>"dchoke = "&amp;Plin_&amp;" mm"</f>
        <v>dchoke = 12 mm</v>
      </c>
    </row>
    <row r="2" spans="1:38" x14ac:dyDescent="0.25">
      <c r="A2" t="s">
        <v>59</v>
      </c>
      <c r="H2" t="s">
        <v>46</v>
      </c>
      <c r="I2" s="30">
        <v>7.3</v>
      </c>
      <c r="J2" s="29"/>
      <c r="K2" s="29"/>
      <c r="L2" s="29"/>
      <c r="AL2" t="str">
        <f>"Pbuf = "&amp;Pbuf_&amp;" atm"</f>
        <v>Pbuf = 23 atm</v>
      </c>
    </row>
    <row r="3" spans="1:38" ht="14.4" x14ac:dyDescent="0.3">
      <c r="A3" s="31" t="s">
        <v>47</v>
      </c>
      <c r="B3" s="62" t="s">
        <v>48</v>
      </c>
      <c r="C3" s="63"/>
      <c r="D3" s="63"/>
      <c r="E3" s="64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12 atm</v>
      </c>
    </row>
    <row r="4" spans="1:38" ht="14.4" x14ac:dyDescent="0.3">
      <c r="A4" s="31" t="s">
        <v>50</v>
      </c>
      <c r="B4" s="62" t="s">
        <v>51</v>
      </c>
      <c r="C4" s="63"/>
      <c r="D4" s="63"/>
      <c r="E4" s="64"/>
      <c r="H4" t="s">
        <v>52</v>
      </c>
      <c r="I4" s="29" t="s">
        <v>51</v>
      </c>
      <c r="J4" s="29"/>
      <c r="K4" s="29"/>
      <c r="L4" s="29"/>
      <c r="AL4" t="str">
        <f>"Q = "&amp;Qliq_&amp;" m3/day"</f>
        <v>Q = 10 m3/day</v>
      </c>
    </row>
    <row r="5" spans="1:38" ht="14.4" x14ac:dyDescent="0.3">
      <c r="A5" s="31" t="s">
        <v>53</v>
      </c>
      <c r="B5" s="62" t="s">
        <v>54</v>
      </c>
      <c r="C5" s="63"/>
      <c r="D5" s="63"/>
      <c r="E5" s="64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65" t="s">
        <v>57</v>
      </c>
      <c r="C6" s="66"/>
      <c r="D6" s="66"/>
      <c r="E6" s="67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68"/>
      <c r="C7" s="69"/>
      <c r="D7" s="69"/>
      <c r="E7" s="70"/>
      <c r="H7" s="33"/>
      <c r="I7" s="34"/>
      <c r="J7" s="34"/>
      <c r="K7" s="34"/>
      <c r="L7" s="34"/>
    </row>
    <row r="8" spans="1:38" x14ac:dyDescent="0.25">
      <c r="A8" s="36"/>
      <c r="B8" s="71"/>
      <c r="C8" s="72"/>
      <c r="D8" s="72"/>
      <c r="E8" s="73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</v>
      </c>
      <c r="D11" s="41"/>
      <c r="E11" s="12">
        <f>gamma_oil_*1000</f>
        <v>800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0.6</v>
      </c>
      <c r="D13" s="41"/>
      <c r="E13" s="12">
        <f>gamma_gas_*1.22</f>
        <v>0.73199999999999998</v>
      </c>
      <c r="F13" s="14" t="s">
        <v>32</v>
      </c>
    </row>
    <row r="14" spans="1:38" ht="16.8" x14ac:dyDescent="0.35">
      <c r="B14" s="10" t="s">
        <v>26</v>
      </c>
      <c r="C14" s="2">
        <v>250</v>
      </c>
      <c r="D14" s="9" t="s">
        <v>35</v>
      </c>
      <c r="E14" s="13">
        <f>Rsb_/gamma_oil_</f>
        <v>312.5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312.5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</v>
      </c>
      <c r="D20" s="41"/>
      <c r="E20" s="12">
        <f>gamma_wat_kf_*1000</f>
        <v>1000</v>
      </c>
      <c r="F20" s="14" t="s">
        <v>32</v>
      </c>
    </row>
    <row r="21" spans="1:52" x14ac:dyDescent="0.25">
      <c r="A21" s="1" t="s">
        <v>9</v>
      </c>
      <c r="C21" s="7"/>
    </row>
    <row r="22" spans="1:52" ht="29.4" x14ac:dyDescent="0.35">
      <c r="B22" s="11" t="s">
        <v>34</v>
      </c>
      <c r="C22" s="2">
        <v>30</v>
      </c>
      <c r="D22" s="41" t="s">
        <v>3</v>
      </c>
      <c r="F22" s="11" t="s">
        <v>71</v>
      </c>
      <c r="G22" s="2">
        <v>1</v>
      </c>
    </row>
    <row r="23" spans="1:52" ht="14.4" x14ac:dyDescent="0.3">
      <c r="B23" s="11" t="s">
        <v>39</v>
      </c>
      <c r="C23" s="2">
        <v>80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{"gamma_gas":0.6,"gamma_oil":0.8,"gamma_wat":1,"rsb_m3m3":250,"t_res_C":100}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62</v>
      </c>
      <c r="G25" s="24" t="str" cm="1">
        <f t="array" ref="G25">[1]!encode_feed(Qliq_,fw_,Rp_,qgas_free,PVTstr_)</f>
        <v>{"gamma_gas":0.6,"gamma_oil":0.8,"gamma_wat":1,"rsb_m3m3":250,"t_res_C":100,"q_liq_sm3day":10,"fw_perc":30,"rp_m3m3":250}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8</v>
      </c>
      <c r="D26" s="41" t="s">
        <v>12</v>
      </c>
    </row>
    <row r="27" spans="1:52" ht="15.6" x14ac:dyDescent="0.35">
      <c r="B27" s="11" t="s">
        <v>44</v>
      </c>
      <c r="C27" s="2">
        <v>10</v>
      </c>
      <c r="D27" s="41" t="s">
        <v>17</v>
      </c>
      <c r="F27" t="s">
        <v>63</v>
      </c>
      <c r="I27" t="s">
        <v>64</v>
      </c>
    </row>
    <row r="28" spans="1:52" ht="15.6" x14ac:dyDescent="0.35">
      <c r="B28" s="11" t="s">
        <v>43</v>
      </c>
      <c r="C28" s="2">
        <v>23</v>
      </c>
      <c r="D28" s="41" t="s">
        <v>18</v>
      </c>
      <c r="F28" s="23" t="s">
        <v>70</v>
      </c>
      <c r="G28" s="23">
        <v>1</v>
      </c>
      <c r="I28" s="24" t="str" cm="1">
        <f t="array" ref="I28">[1]!encode_json(F28:G31)</f>
        <v>{"show_array":1,"choke_calibr_type":5,"show_log":1}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12</v>
      </c>
      <c r="D29" s="16" t="s">
        <v>18</v>
      </c>
      <c r="F29" s="23" t="s">
        <v>69</v>
      </c>
      <c r="G29" s="23"/>
    </row>
    <row r="30" spans="1:52" ht="15.6" x14ac:dyDescent="0.35">
      <c r="B30" s="11" t="s">
        <v>61</v>
      </c>
      <c r="C30" s="2"/>
      <c r="D30" s="41" t="s">
        <v>17</v>
      </c>
      <c r="F30" s="23" t="s">
        <v>67</v>
      </c>
      <c r="G30" s="23">
        <v>5</v>
      </c>
    </row>
    <row r="31" spans="1:52" x14ac:dyDescent="0.25">
      <c r="B31" s="6"/>
      <c r="F31" s="23" t="s">
        <v>68</v>
      </c>
      <c r="G31" s="23">
        <v>1</v>
      </c>
    </row>
    <row r="32" spans="1:52" x14ac:dyDescent="0.25">
      <c r="B32" s="25" t="s">
        <v>36</v>
      </c>
      <c r="C32" s="25"/>
      <c r="D32" s="25"/>
      <c r="E32" s="25"/>
      <c r="F32" s="25"/>
    </row>
    <row r="34" spans="2:37" x14ac:dyDescent="0.25">
      <c r="B34" s="18" t="s">
        <v>19</v>
      </c>
      <c r="N34" t="s">
        <v>65</v>
      </c>
    </row>
    <row r="35" spans="2:37" x14ac:dyDescent="0.25">
      <c r="B35" s="50" cm="1">
        <f t="array" ref="B35:K36">[1]!MF_choke_p_atma(d_choke,feed,Pbuf_,T_choke,d_pipe,calc_along_flow,,param)</f>
        <v>22.635999999999999</v>
      </c>
      <c r="C35" s="51">
        <v>23</v>
      </c>
      <c r="D35" s="51">
        <v>22.635999999999999</v>
      </c>
      <c r="E35" s="52">
        <v>10</v>
      </c>
      <c r="F35" s="52">
        <v>80</v>
      </c>
      <c r="G35" s="52">
        <v>79.89</v>
      </c>
      <c r="H35" s="52">
        <v>1</v>
      </c>
      <c r="I35" s="53">
        <v>154.357</v>
      </c>
      <c r="J35" s="53">
        <v>32.094999999999999</v>
      </c>
      <c r="K35" s="29" t="str">
        <v>[]</v>
      </c>
      <c r="L35" t="s">
        <v>66</v>
      </c>
      <c r="M35" s="48"/>
      <c r="N35" s="45" t="str" cm="1">
        <f t="array" ref="N35">[1]!decode_json(K35,1)</f>
        <v>error</v>
      </c>
      <c r="X35" s="29" t="str" cm="1">
        <f t="array" ref="X35:Z36">[1]!MF_choke_calc(d_choke,feed,Pbuf_,Plin_,T_choke,d_pipe,,I28)</f>
        <v>{"p_intake_atma":23,"p_out_atma":12,"t_choke_C":80,"calibr_fr":1,"q_liq_sm3day":32.095,"q_gas_sm3day":5616.635,"q_gas_free_sm3day":0,"rp_m3m3":250,"fw_perc":30,"t_choke_throat_C":77.001,"sonic_vel_msec":154.357,"q_liq_max_sm3day":32.095}</v>
      </c>
      <c r="Y35" s="29" t="str">
        <v>{"gamma_gas":0.6,"gamma_oil":0.8,"gamma_wat":1,"rsb_m3m3":250,"t_res_C":100,"PVT_corr_set":0,"gamma_gas":0.6,"gamma_oil":0.8,"gamma_wat":1,"rsb_m3m3":250,"t_res_C":100,"PVT_corr_set":0,"q_liq_sm3day":32.0950573525669,"fw_perc":30,"rp_m3m3":250}</v>
      </c>
      <c r="Z35" s="29" t="str">
        <v>["info: rate calculation done, check feed for results"]</v>
      </c>
      <c r="AA35" t="s">
        <v>66</v>
      </c>
      <c r="AC35" t="str" cm="1">
        <f t="array" ref="AC35:AD46">[1]!decode_json(X35)</f>
        <v>p_intake_atma</v>
      </c>
      <c r="AD35">
        <v>23</v>
      </c>
      <c r="AF35" t="str" cm="1">
        <f t="array" ref="AF35:AG43">[1]!decode_json(Y35)</f>
        <v>gamma_gas</v>
      </c>
      <c r="AG35">
        <v>0.6</v>
      </c>
      <c r="AI35" t="str" cm="1">
        <f t="array" ref="AI35">[1]!decode_json(Z35)</f>
        <v>info: rate calculation done, check feed for results</v>
      </c>
      <c r="AK35" t="s">
        <v>72</v>
      </c>
    </row>
    <row r="36" spans="2:37" x14ac:dyDescent="0.25">
      <c r="B36" s="51" t="str">
        <v>p_out_atma</v>
      </c>
      <c r="C36" s="51" t="str">
        <v>p_intake_atma</v>
      </c>
      <c r="D36" s="51" t="str">
        <v>p_out_atma</v>
      </c>
      <c r="E36" s="52" t="str">
        <v>q_liq_sm3day</v>
      </c>
      <c r="F36" s="56" t="str">
        <v>t_choke_C</v>
      </c>
      <c r="G36" s="56" t="str">
        <v>t_choke_throat_C</v>
      </c>
      <c r="H36" s="56" t="str">
        <v>calibr_fr</v>
      </c>
      <c r="I36" s="56" t="str">
        <v>sonic_vel_msec</v>
      </c>
      <c r="J36" s="56" t="str">
        <v>q_liq_max_sm3day</v>
      </c>
      <c r="K36" s="29" t="str">
        <v>log</v>
      </c>
      <c r="M36" s="49"/>
      <c r="X36" s="29" t="str">
        <v>results</v>
      </c>
      <c r="Y36" s="29" t="str">
        <v>feed</v>
      </c>
      <c r="Z36" s="29" t="str">
        <v>log</v>
      </c>
      <c r="AC36" t="str">
        <v>p_out_atma</v>
      </c>
      <c r="AD36">
        <v>12</v>
      </c>
      <c r="AF36" t="str">
        <v>gamma_oil</v>
      </c>
      <c r="AG36">
        <v>0.8</v>
      </c>
      <c r="AK36" t="s">
        <v>73</v>
      </c>
    </row>
    <row r="37" spans="2:37" x14ac:dyDescent="0.25">
      <c r="C37" s="46"/>
      <c r="AC37" t="str">
        <v>t_choke_C</v>
      </c>
      <c r="AD37">
        <v>80</v>
      </c>
      <c r="AF37" t="str">
        <v>gamma_wat</v>
      </c>
      <c r="AG37">
        <v>1</v>
      </c>
      <c r="AK37" t="s">
        <v>74</v>
      </c>
    </row>
    <row r="38" spans="2:37" x14ac:dyDescent="0.25">
      <c r="AC38" t="str">
        <v>calibr_fr</v>
      </c>
      <c r="AD38">
        <v>1</v>
      </c>
      <c r="AF38" t="str">
        <v>rsb_m3m3</v>
      </c>
      <c r="AG38">
        <v>250</v>
      </c>
      <c r="AK38" t="s">
        <v>75</v>
      </c>
    </row>
    <row r="39" spans="2:37" x14ac:dyDescent="0.25">
      <c r="B39" s="18" t="s">
        <v>20</v>
      </c>
      <c r="AC39" t="str">
        <v>q_liq_sm3day</v>
      </c>
      <c r="AD39">
        <v>32.094999999999999</v>
      </c>
      <c r="AF39" t="str">
        <v>t_res_C</v>
      </c>
      <c r="AG39">
        <v>100</v>
      </c>
      <c r="AK39" t="s">
        <v>76</v>
      </c>
    </row>
    <row r="40" spans="2:37" x14ac:dyDescent="0.25">
      <c r="B40" s="50" cm="1">
        <f t="array" ref="B40:K41">[1]!MF_choke_p_atma(d_choke,feed,Plin_,T_choke,d_pipe,0,,I28)</f>
        <v>12.705</v>
      </c>
      <c r="C40" s="51">
        <v>12.705</v>
      </c>
      <c r="D40" s="51">
        <v>12</v>
      </c>
      <c r="E40" s="52">
        <v>10</v>
      </c>
      <c r="F40" s="55">
        <v>80</v>
      </c>
      <c r="G40" s="52">
        <v>79.591999999999999</v>
      </c>
      <c r="H40" s="52">
        <v>1</v>
      </c>
      <c r="I40" s="53">
        <v>152.096</v>
      </c>
      <c r="J40" s="53">
        <v>17.616</v>
      </c>
      <c r="K40" s="29" t="str">
        <v>[]</v>
      </c>
      <c r="L40" t="s">
        <v>66</v>
      </c>
      <c r="M40" s="48"/>
      <c r="N40" s="45" t="str" cm="1">
        <f t="array" ref="N40">[1]!decode_json(K40,1)</f>
        <v>error</v>
      </c>
      <c r="AC40" t="str">
        <v>q_gas_sm3day</v>
      </c>
      <c r="AD40">
        <v>5616.6350000000002</v>
      </c>
      <c r="AF40" t="str">
        <v>PVT_corr_set</v>
      </c>
      <c r="AG40">
        <v>0</v>
      </c>
      <c r="AK40" t="s">
        <v>77</v>
      </c>
    </row>
    <row r="41" spans="2:37" x14ac:dyDescent="0.25">
      <c r="B41" s="51" t="str">
        <v>p_intake_atma</v>
      </c>
      <c r="C41" s="51" t="str">
        <v>p_intake_atma</v>
      </c>
      <c r="D41" s="51" t="str">
        <v>p_out_atma</v>
      </c>
      <c r="E41" s="52" t="str">
        <v>q_liq_sm3day</v>
      </c>
      <c r="F41" s="56" t="str">
        <v>t_choke_C</v>
      </c>
      <c r="G41" s="56" t="str">
        <v>t_choke_throat_C</v>
      </c>
      <c r="H41" s="56" t="str">
        <v>calibr_fr</v>
      </c>
      <c r="I41" s="56" t="str">
        <v>sonic_vel_msec</v>
      </c>
      <c r="J41" s="56" t="str">
        <v>q_liq_max_sm3day</v>
      </c>
      <c r="K41" s="29" t="str">
        <v>log</v>
      </c>
      <c r="M41" s="49"/>
      <c r="AC41" t="str">
        <v>q_gas_free_sm3day</v>
      </c>
      <c r="AD41">
        <v>0</v>
      </c>
      <c r="AF41" t="str">
        <v>q_liq_sm3day</v>
      </c>
      <c r="AG41">
        <v>32.095057352566897</v>
      </c>
      <c r="AK41" t="s">
        <v>78</v>
      </c>
    </row>
    <row r="42" spans="2:37" x14ac:dyDescent="0.25">
      <c r="AC42" t="str">
        <v>rp_m3m3</v>
      </c>
      <c r="AD42">
        <v>250</v>
      </c>
      <c r="AF42" t="str">
        <v>fw_perc</v>
      </c>
      <c r="AG42">
        <v>30</v>
      </c>
      <c r="AK42" t="s">
        <v>79</v>
      </c>
    </row>
    <row r="43" spans="2:37" x14ac:dyDescent="0.25">
      <c r="AC43" t="str">
        <v>fw_perc</v>
      </c>
      <c r="AD43">
        <v>30</v>
      </c>
      <c r="AF43" t="str">
        <v>rp_m3m3</v>
      </c>
      <c r="AG43">
        <v>250</v>
      </c>
      <c r="AK43" t="s">
        <v>80</v>
      </c>
    </row>
    <row r="44" spans="2:37" x14ac:dyDescent="0.25">
      <c r="B44" t="s">
        <v>22</v>
      </c>
      <c r="AC44" t="str">
        <v>t_choke_throat_C</v>
      </c>
      <c r="AD44">
        <v>77.001000000000005</v>
      </c>
      <c r="AK44" t="s">
        <v>81</v>
      </c>
    </row>
    <row r="45" spans="2:37" x14ac:dyDescent="0.25">
      <c r="B45" s="50" cm="1">
        <f t="array" ref="B45:K46">[1]!MF_choke_q_sm3day(feed,d_choke,Pbuf_,Plin_,T_choke,,,I28)</f>
        <v>32.094999999999999</v>
      </c>
      <c r="C45" s="51">
        <v>23</v>
      </c>
      <c r="D45" s="51">
        <v>12</v>
      </c>
      <c r="E45" s="52">
        <v>32.094999999999999</v>
      </c>
      <c r="F45" s="52">
        <v>80</v>
      </c>
      <c r="G45" s="52">
        <v>77.001000000000005</v>
      </c>
      <c r="H45" s="52">
        <v>1</v>
      </c>
      <c r="I45" s="53">
        <v>154.357</v>
      </c>
      <c r="J45" s="53">
        <v>32.094999999999999</v>
      </c>
      <c r="K45" s="29" t="str">
        <v>[]</v>
      </c>
      <c r="L45" t="s">
        <v>66</v>
      </c>
      <c r="M45" s="48"/>
      <c r="N45" s="45" t="str" cm="1">
        <f t="array" ref="N45">[1]!decode_json(K45,1)</f>
        <v>error</v>
      </c>
      <c r="AC45" t="str">
        <v>sonic_vel_msec</v>
      </c>
      <c r="AD45">
        <v>154.357</v>
      </c>
      <c r="AK45" t="s">
        <v>82</v>
      </c>
    </row>
    <row r="46" spans="2:37" x14ac:dyDescent="0.25">
      <c r="B46" s="51" t="str">
        <v>q_liq_sm3day</v>
      </c>
      <c r="C46" s="51" t="str">
        <v>p_intake_atma</v>
      </c>
      <c r="D46" s="51" t="str">
        <v>p_out_atma</v>
      </c>
      <c r="E46" s="52" t="str">
        <v>q_liq_sm3day</v>
      </c>
      <c r="F46" s="54" t="str">
        <v>t_choke_C</v>
      </c>
      <c r="G46" s="54" t="str">
        <v>t_choke_throat_C</v>
      </c>
      <c r="H46" s="54" t="str">
        <v>calibr_fr</v>
      </c>
      <c r="I46" s="54" t="str">
        <v>sonic_vel_msec</v>
      </c>
      <c r="J46" s="54" t="str">
        <v>q_liq_max_sm3day</v>
      </c>
      <c r="K46" s="29" t="str">
        <v>log</v>
      </c>
      <c r="M46" s="49"/>
      <c r="N46" s="49"/>
      <c r="AC46" t="str">
        <v>q_liq_max_sm3day</v>
      </c>
      <c r="AD46">
        <v>32.094999999999999</v>
      </c>
      <c r="AK46" t="s">
        <v>83</v>
      </c>
    </row>
    <row r="49" spans="2:36" x14ac:dyDescent="0.25">
      <c r="B49" t="s">
        <v>21</v>
      </c>
    </row>
    <row r="50" spans="2:36" x14ac:dyDescent="0.25">
      <c r="B50" s="29" t="str" cm="1">
        <f t="array" ref="B50:G51">[1]!MF_choke_calibr_fast(feed,d_choke,Pbuf_,Plin_,d_pipe,T_choke,I28)</f>
        <v>0,311574454912143</v>
      </c>
      <c r="C50" s="29">
        <v>23</v>
      </c>
      <c r="D50" s="29">
        <v>12</v>
      </c>
      <c r="E50" s="29">
        <v>80</v>
      </c>
      <c r="F50" s="58">
        <v>0.31157445491214275</v>
      </c>
      <c r="G50" s="29" t="str">
        <v>[]</v>
      </c>
      <c r="H50" t="s">
        <v>66</v>
      </c>
      <c r="N50" s="45" t="str" cm="1">
        <f t="array" ref="N50">[1]!decode_json(G50,1)</f>
        <v>error</v>
      </c>
      <c r="X50" s="47" t="str" cm="1">
        <f t="array" ref="X50:AA51">[1]!MF_choke_calibr(feed,d_choke,Pbuf_,Plin_,G30,d_pipe,T_choke,I28)</f>
        <v>{"x_solution":"no solution","y_solution":"no solution","cal_type":"qgas_free","iterations":0,"description":"solve_equation_bisection: values at segment's ends must have a different sign"}</v>
      </c>
      <c r="Y50" s="43" t="str">
        <v>{"p_intake_atma":21.698,"p_out_atma":12,"t_choke_C":30,"calibr_fr":1,"q_liq_sm3day":10,"q_gas_sm3day":11750,"q_gas_free_sm3day":10000,"rp_m3m3":250,"fw_perc":30,"t_choke_throat_C":17.839,"sonic_vel_msec":273.401,"q_liq_max_sm3day":10}</v>
      </c>
      <c r="Z50" s="43" t="str">
        <v>{"gamma_gas":0.6,"gamma_oil":0.8,"gamma_wat":1,"rsb_m3m3":250,"t_res_C":100,"PVT_corr_set":0,"gamma_gas":0.6,"gamma_oil":0.8,"gamma_wat":1,"rsb_m3m3":250,"t_res_C":100,"PVT_corr_set":0,"q_liq_sm3day":10,"fw_perc":30,"rp_m3m3":250,"q_gas_free_sm3day":10000}</v>
      </c>
      <c r="AA50" s="44" t="str">
        <v>[]</v>
      </c>
      <c r="AB50" t="s">
        <v>66</v>
      </c>
      <c r="AC50" t="str" cm="1">
        <f t="array" ref="AC50:AD54">[1]!decode_json(X50)</f>
        <v>x_solution</v>
      </c>
      <c r="AD50" t="str">
        <v>no solution</v>
      </c>
      <c r="AF50" t="str" cm="1">
        <f t="array" ref="AF50:AG61">[1]!decode_json(Y50)</f>
        <v>p_intake_atma</v>
      </c>
      <c r="AG50">
        <v>21.698</v>
      </c>
      <c r="AI50" t="str" cm="1">
        <f t="array" ref="AI50:AJ59">[1]!decode_json(Z50)</f>
        <v>gamma_gas</v>
      </c>
      <c r="AJ50">
        <v>0.6</v>
      </c>
    </row>
    <row r="51" spans="2:36" x14ac:dyDescent="0.25">
      <c r="B51" s="29" t="str">
        <v>calibr_fr</v>
      </c>
      <c r="C51" s="29" t="str">
        <v>p_intake_atma</v>
      </c>
      <c r="D51" s="29" t="str">
        <v>p_out_atma</v>
      </c>
      <c r="E51" s="29" t="str">
        <v>t_choke_C</v>
      </c>
      <c r="F51" s="59" t="str">
        <v>calibr_fr</v>
      </c>
      <c r="G51" s="29" t="str">
        <v>log</v>
      </c>
      <c r="X51" s="44" t="str">
        <v>result</v>
      </c>
      <c r="Y51" s="44" t="str">
        <v>last calc</v>
      </c>
      <c r="Z51" s="44" t="str">
        <v>feed</v>
      </c>
      <c r="AA51" s="44" t="str">
        <v>log</v>
      </c>
      <c r="AC51" t="str">
        <v>y_solution</v>
      </c>
      <c r="AD51" t="str">
        <v>no solution</v>
      </c>
      <c r="AF51" t="str">
        <v>p_out_atma</v>
      </c>
      <c r="AG51">
        <v>12</v>
      </c>
      <c r="AI51" t="str">
        <v>gamma_oil</v>
      </c>
      <c r="AJ51">
        <v>0.8</v>
      </c>
    </row>
    <row r="52" spans="2:36" x14ac:dyDescent="0.25">
      <c r="AC52" t="str">
        <v>cal_type</v>
      </c>
      <c r="AD52" t="str">
        <v>qgas_free</v>
      </c>
      <c r="AF52" t="str">
        <v>t_choke_C</v>
      </c>
      <c r="AG52">
        <v>30</v>
      </c>
      <c r="AI52" t="str">
        <v>gamma_wat</v>
      </c>
      <c r="AJ52">
        <v>1</v>
      </c>
    </row>
    <row r="53" spans="2:36" x14ac:dyDescent="0.25">
      <c r="AC53" t="str">
        <v>iterations</v>
      </c>
      <c r="AD53">
        <v>0</v>
      </c>
      <c r="AF53" t="str">
        <v>calibr_fr</v>
      </c>
      <c r="AG53">
        <v>1</v>
      </c>
      <c r="AI53" t="str">
        <v>rsb_m3m3</v>
      </c>
      <c r="AJ53">
        <v>250</v>
      </c>
    </row>
    <row r="54" spans="2:36" x14ac:dyDescent="0.25">
      <c r="AC54" t="str">
        <v>description</v>
      </c>
      <c r="AD54" t="str">
        <v>solve_equation_bisection: values at segment's ends must have a different sign</v>
      </c>
      <c r="AF54" t="str">
        <v>q_liq_sm3day</v>
      </c>
      <c r="AG54">
        <v>10</v>
      </c>
      <c r="AI54" t="str">
        <v>t_res_C</v>
      </c>
      <c r="AJ54">
        <v>100</v>
      </c>
    </row>
    <row r="55" spans="2:36" x14ac:dyDescent="0.25">
      <c r="AF55" t="str">
        <v>q_gas_sm3day</v>
      </c>
      <c r="AG55">
        <v>11750</v>
      </c>
      <c r="AI55" t="str">
        <v>PVT_corr_set</v>
      </c>
      <c r="AJ55">
        <v>0</v>
      </c>
    </row>
    <row r="56" spans="2:36" x14ac:dyDescent="0.25">
      <c r="AF56" t="str">
        <v>q_gas_free_sm3day</v>
      </c>
      <c r="AG56">
        <v>10000</v>
      </c>
      <c r="AI56" t="str">
        <v>q_liq_sm3day</v>
      </c>
      <c r="AJ56">
        <v>10</v>
      </c>
    </row>
    <row r="57" spans="2:36" x14ac:dyDescent="0.25">
      <c r="AF57" t="str">
        <v>rp_m3m3</v>
      </c>
      <c r="AG57">
        <v>250</v>
      </c>
      <c r="AI57" t="str">
        <v>fw_perc</v>
      </c>
      <c r="AJ57">
        <v>30</v>
      </c>
    </row>
    <row r="58" spans="2:36" x14ac:dyDescent="0.25">
      <c r="C58" s="57">
        <f>C62</f>
        <v>0</v>
      </c>
      <c r="AF58" t="str">
        <v>fw_perc</v>
      </c>
      <c r="AG58">
        <v>30</v>
      </c>
      <c r="AI58" t="str">
        <v>rp_m3m3</v>
      </c>
      <c r="AJ58">
        <v>250</v>
      </c>
    </row>
    <row r="59" spans="2:36" x14ac:dyDescent="0.25">
      <c r="C59" t="s">
        <v>10</v>
      </c>
      <c r="AF59" t="str">
        <v>t_choke_throat_C</v>
      </c>
      <c r="AG59">
        <v>17.838999999999999</v>
      </c>
      <c r="AI59" t="str">
        <v>q_gas_free_sm3day</v>
      </c>
      <c r="AJ59">
        <v>10000</v>
      </c>
    </row>
    <row r="60" spans="2:36" x14ac:dyDescent="0.25">
      <c r="C60" s="61" t="s">
        <v>8</v>
      </c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AF60" t="str">
        <v>sonic_vel_msec</v>
      </c>
      <c r="AG60">
        <v>273.40100000000001</v>
      </c>
    </row>
    <row r="61" spans="2:36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  <c r="AF61" t="str">
        <v>q_liq_max_sm3day</v>
      </c>
      <c r="AG61">
        <v>10</v>
      </c>
    </row>
    <row r="62" spans="2:36" x14ac:dyDescent="0.25">
      <c r="B62" s="26">
        <v>1</v>
      </c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</row>
    <row r="63" spans="2:36" x14ac:dyDescent="0.25">
      <c r="B63" s="26">
        <v>5</v>
      </c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</row>
    <row r="64" spans="2:36" x14ac:dyDescent="0.25">
      <c r="B64" s="26">
        <v>10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</row>
    <row r="65" spans="2:38" x14ac:dyDescent="0.25">
      <c r="B65" s="26">
        <v>15</v>
      </c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</row>
    <row r="66" spans="2:38" x14ac:dyDescent="0.25">
      <c r="B66" s="26">
        <v>20</v>
      </c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</row>
    <row r="67" spans="2:38" x14ac:dyDescent="0.25">
      <c r="B67" s="26">
        <v>30</v>
      </c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60" t="s">
        <v>8</v>
      </c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</row>
    <row r="75" spans="2:38" x14ac:dyDescent="0.25">
      <c r="B75" s="26">
        <v>15</v>
      </c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</row>
    <row r="76" spans="2:38" x14ac:dyDescent="0.25">
      <c r="B76" s="26">
        <v>20</v>
      </c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</row>
    <row r="77" spans="2:38" x14ac:dyDescent="0.25">
      <c r="B77" s="26">
        <v>25</v>
      </c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</row>
    <row r="78" spans="2:38" x14ac:dyDescent="0.25">
      <c r="B78" s="26">
        <v>30</v>
      </c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</row>
    <row r="79" spans="2:38" x14ac:dyDescent="0.25">
      <c r="B79" s="26">
        <v>35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</row>
    <row r="82" spans="3:4" x14ac:dyDescent="0.25">
      <c r="C82" t="str" cm="1">
        <f t="array" ref="C82">[1]!MF_choke_crv_json(d_choke,feed,Pbuf_,T_choke,d_pipe,0)</f>
        <v>{"curve_x":"p_in_atma","curve_y":"q_liq_sm3day","p_in_atma":[23,23.0770415250013,23.197846552484,23.3810600029903,23.6523876388302,24.0471028872386,24.6134080653217,25.4169331239224,26.5467469274867,28.1233773516336,30.3094963764221,33.3241370435642,37.4615865846951,43.1164651354106,50.8169796453015,61.2689738000565,75.4142240318185,94.5075205936216,120.218501804564,300],"q_liq_sm3day":[0,4.66217258452463,7.45497071268898,10.3123417932814,13.428661131303,16.8965094725288,20.7731055745226,25.0917643163555,29.8614125149968,35.0634290071969,40.6506986892194,46.5531524200425,52.837802268991,61.0888396458577,72.4563449510217,88.1310393744318,109.788089214605,139.806809393915,181.527628257958,510.578480369481]}</v>
      </c>
    </row>
    <row r="85" spans="3:4" x14ac:dyDescent="0.25">
      <c r="C85" t="str" cm="1">
        <f t="array" ref="C85:D105">[1]!decode_json_crv(C82)</f>
        <v>p_in_atma</v>
      </c>
      <c r="D85" t="str">
        <v>q_liq_sm3day</v>
      </c>
    </row>
    <row r="86" spans="3:4" x14ac:dyDescent="0.25">
      <c r="C86" s="74">
        <v>23</v>
      </c>
      <c r="D86" s="74">
        <v>0</v>
      </c>
    </row>
    <row r="87" spans="3:4" x14ac:dyDescent="0.25">
      <c r="C87" s="74">
        <v>23.077041525001299</v>
      </c>
      <c r="D87" s="74">
        <v>4.6621725845246296</v>
      </c>
    </row>
    <row r="88" spans="3:4" x14ac:dyDescent="0.25">
      <c r="C88" s="74">
        <v>23.197846552483998</v>
      </c>
      <c r="D88" s="74">
        <v>7.4549707126889802</v>
      </c>
    </row>
    <row r="89" spans="3:4" x14ac:dyDescent="0.25">
      <c r="C89" s="74">
        <v>23.381060002990299</v>
      </c>
      <c r="D89" s="74">
        <v>10.3123417932814</v>
      </c>
    </row>
    <row r="90" spans="3:4" x14ac:dyDescent="0.25">
      <c r="C90" s="74">
        <v>23.652387638830199</v>
      </c>
      <c r="D90" s="74">
        <v>13.428661131303</v>
      </c>
    </row>
    <row r="91" spans="3:4" x14ac:dyDescent="0.25">
      <c r="C91" s="74">
        <v>24.047102887238601</v>
      </c>
      <c r="D91" s="74">
        <v>16.896509472528798</v>
      </c>
    </row>
    <row r="92" spans="3:4" x14ac:dyDescent="0.25">
      <c r="C92" s="74">
        <v>24.6134080653217</v>
      </c>
      <c r="D92" s="74">
        <v>20.773105574522599</v>
      </c>
    </row>
    <row r="93" spans="3:4" x14ac:dyDescent="0.25">
      <c r="C93" s="74">
        <v>25.416933123922401</v>
      </c>
      <c r="D93" s="74">
        <v>25.091764316355501</v>
      </c>
    </row>
    <row r="94" spans="3:4" x14ac:dyDescent="0.25">
      <c r="C94" s="74">
        <v>26.546746927486701</v>
      </c>
      <c r="D94" s="74">
        <v>29.8614125149968</v>
      </c>
    </row>
    <row r="95" spans="3:4" x14ac:dyDescent="0.25">
      <c r="C95" s="74">
        <v>28.1233773516336</v>
      </c>
      <c r="D95" s="74">
        <v>35.063429007196902</v>
      </c>
    </row>
    <row r="96" spans="3:4" x14ac:dyDescent="0.25">
      <c r="C96" s="74">
        <v>30.3094963764221</v>
      </c>
      <c r="D96" s="74">
        <v>40.650698689219404</v>
      </c>
    </row>
    <row r="97" spans="3:4" x14ac:dyDescent="0.25">
      <c r="C97" s="74">
        <v>33.3241370435642</v>
      </c>
      <c r="D97" s="74">
        <v>46.553152420042501</v>
      </c>
    </row>
    <row r="98" spans="3:4" x14ac:dyDescent="0.25">
      <c r="C98" s="74">
        <v>37.461586584695098</v>
      </c>
      <c r="D98" s="74">
        <v>52.837802268990998</v>
      </c>
    </row>
    <row r="99" spans="3:4" x14ac:dyDescent="0.25">
      <c r="C99" s="74">
        <v>43.1164651354106</v>
      </c>
      <c r="D99" s="74">
        <v>61.088839645857703</v>
      </c>
    </row>
    <row r="100" spans="3:4" x14ac:dyDescent="0.25">
      <c r="C100" s="74">
        <v>50.816979645301501</v>
      </c>
      <c r="D100" s="74">
        <v>72.456344951021705</v>
      </c>
    </row>
    <row r="101" spans="3:4" x14ac:dyDescent="0.25">
      <c r="C101" s="74">
        <v>61.2689738000565</v>
      </c>
      <c r="D101" s="74">
        <v>88.131039374431793</v>
      </c>
    </row>
    <row r="102" spans="3:4" x14ac:dyDescent="0.25">
      <c r="C102" s="74">
        <v>75.414224031818506</v>
      </c>
      <c r="D102" s="74">
        <v>109.78808921460499</v>
      </c>
    </row>
    <row r="103" spans="3:4" x14ac:dyDescent="0.25">
      <c r="C103" s="74">
        <v>94.507520593621607</v>
      </c>
      <c r="D103" s="74">
        <v>139.80680939391499</v>
      </c>
    </row>
    <row r="104" spans="3:4" x14ac:dyDescent="0.25">
      <c r="C104" s="74">
        <v>120.218501804564</v>
      </c>
      <c r="D104" s="74">
        <v>181.52762825795801</v>
      </c>
    </row>
    <row r="105" spans="3:4" x14ac:dyDescent="0.25">
      <c r="C105" s="74">
        <v>300</v>
      </c>
      <c r="D105" s="74">
        <v>510.57848036948099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2021-06-28T05:22:10Z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