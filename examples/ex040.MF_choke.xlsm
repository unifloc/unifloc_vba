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39A723A-23DC-4BCA-A1B7-C97E993DD848}" xr6:coauthVersionLast="45" xr6:coauthVersionMax="45" xr10:uidLastSave="{00000000-0000-0000-0000-000000000000}"/>
  <bookViews>
    <workbookView xWindow="-35940" yWindow="2460" windowWidth="28800" windowHeight="15435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F29" i="120"/>
  <c r="W50" i="120"/>
  <c r="R39" i="120"/>
  <c r="K38" i="120"/>
  <c r="AK48" i="120"/>
  <c r="AK52" i="120"/>
  <c r="L35" i="120"/>
  <c r="AG39" i="120"/>
  <c r="N50" i="120"/>
  <c r="R108" i="120"/>
  <c r="AG36" i="120"/>
  <c r="AA47" i="120"/>
  <c r="AA51" i="120"/>
  <c r="X47" i="120"/>
  <c r="K39" i="120"/>
  <c r="AB49" i="120"/>
  <c r="T107" i="120"/>
  <c r="K36" i="120"/>
  <c r="Q47" i="120"/>
  <c r="Q51" i="120"/>
  <c r="Z37" i="120"/>
  <c r="AG40" i="120"/>
  <c r="AP50" i="120"/>
  <c r="J38" i="120"/>
  <c r="Q38" i="120"/>
  <c r="AQ48" i="120"/>
  <c r="AQ52" i="120"/>
  <c r="V37" i="120"/>
  <c r="T48" i="120"/>
  <c r="T52" i="120"/>
  <c r="AE35" i="120"/>
  <c r="AJ40" i="120"/>
  <c r="U50" i="120"/>
  <c r="Y108" i="120"/>
  <c r="AJ37" i="120"/>
  <c r="J48" i="120"/>
  <c r="J52" i="120"/>
  <c r="AG47" i="120"/>
  <c r="U52" i="120"/>
  <c r="AG52" i="120"/>
  <c r="W47" i="120"/>
  <c r="Q50" i="120"/>
  <c r="T51" i="120"/>
  <c r="O108" i="120"/>
  <c r="K50" i="120"/>
  <c r="J35" i="120"/>
  <c r="W38" i="120"/>
  <c r="M49" i="120"/>
  <c r="E107" i="120"/>
  <c r="X35" i="120"/>
  <c r="Q40" i="120"/>
  <c r="Z50" i="120"/>
  <c r="I35" i="120"/>
  <c r="Q37" i="120"/>
  <c r="AM47" i="120"/>
  <c r="AM51" i="120"/>
  <c r="L50" i="120"/>
  <c r="W39" i="120"/>
  <c r="AN49" i="120"/>
  <c r="H108" i="120"/>
  <c r="W36" i="120"/>
  <c r="AC47" i="120"/>
  <c r="AC51" i="120"/>
  <c r="L48" i="120"/>
  <c r="R47" i="120"/>
  <c r="R51" i="120"/>
  <c r="AJ47" i="120"/>
  <c r="AC38" i="120"/>
  <c r="S49" i="120"/>
  <c r="K107" i="120"/>
  <c r="AH37" i="120"/>
  <c r="AF48" i="120"/>
  <c r="AF52" i="120"/>
  <c r="O36" i="120"/>
  <c r="I44" i="120"/>
  <c r="AG50" i="120"/>
  <c r="AD39" i="120"/>
  <c r="T38" i="120"/>
  <c r="V48" i="120"/>
  <c r="V52" i="120"/>
  <c r="AC39" i="120"/>
  <c r="S38" i="120"/>
  <c r="AG48" i="120"/>
  <c r="AK51" i="120"/>
  <c r="AB48" i="120"/>
  <c r="AQ51" i="120"/>
  <c r="J51" i="120"/>
  <c r="C108" i="120"/>
  <c r="AI49" i="120"/>
  <c r="AH38" i="120"/>
  <c r="AI38" i="120"/>
  <c r="Y49" i="120"/>
  <c r="Q107" i="120"/>
  <c r="AJ35" i="120"/>
  <c r="AC40" i="120"/>
  <c r="AL50" i="120"/>
  <c r="Y37" i="120"/>
  <c r="AC37" i="120"/>
  <c r="O48" i="120"/>
  <c r="O52" i="120"/>
  <c r="P108" i="120"/>
  <c r="AI39" i="120"/>
  <c r="P50" i="120"/>
  <c r="T108" i="120"/>
  <c r="AI36" i="120"/>
  <c r="AO47" i="120"/>
  <c r="AO51" i="120"/>
  <c r="L52" i="120"/>
  <c r="AD47" i="120"/>
  <c r="AD51" i="120"/>
  <c r="X52" i="120"/>
  <c r="N39" i="120"/>
  <c r="AE49" i="120"/>
  <c r="W107" i="120"/>
  <c r="R38" i="120"/>
  <c r="AR48" i="120"/>
  <c r="AR52" i="120"/>
  <c r="AA36" i="120"/>
  <c r="I47" i="120"/>
  <c r="I51" i="120"/>
  <c r="V35" i="120"/>
  <c r="AF38" i="120"/>
  <c r="AH48" i="120"/>
  <c r="AH52" i="120"/>
  <c r="X50" i="120"/>
  <c r="Y40" i="120"/>
  <c r="V50" i="120"/>
  <c r="W51" i="120"/>
  <c r="AP49" i="120"/>
  <c r="O107" i="120"/>
  <c r="W49" i="120"/>
  <c r="X48" i="120"/>
  <c r="T39" i="120"/>
  <c r="AK49" i="120"/>
  <c r="E108" i="120"/>
  <c r="T36" i="120"/>
  <c r="N47" i="120"/>
  <c r="N51" i="120"/>
  <c r="AD36" i="120"/>
  <c r="M38" i="120"/>
  <c r="AA48" i="120"/>
  <c r="AA52" i="120"/>
  <c r="N35" i="120"/>
  <c r="S40" i="120"/>
  <c r="AB50" i="120"/>
  <c r="AG35" i="120"/>
  <c r="S37" i="120"/>
  <c r="Q48" i="120"/>
  <c r="Q52" i="120"/>
  <c r="X36" i="120"/>
  <c r="AP47" i="120"/>
  <c r="AP51" i="120"/>
  <c r="AB35" i="120"/>
  <c r="Z39" i="120"/>
  <c r="AQ49" i="120"/>
  <c r="K108" i="120"/>
  <c r="AD38" i="120"/>
  <c r="T49" i="120"/>
  <c r="L107" i="120"/>
  <c r="K37" i="120"/>
  <c r="U47" i="120"/>
  <c r="U51" i="120"/>
  <c r="AA40" i="120"/>
  <c r="Q39" i="120"/>
  <c r="J49" i="120"/>
  <c r="N107" i="120"/>
  <c r="W37" i="120"/>
  <c r="U48" i="120"/>
  <c r="O40" i="120"/>
  <c r="AK47" i="120"/>
  <c r="AB52" i="120"/>
  <c r="N36" i="120"/>
  <c r="C107" i="120"/>
  <c r="K49" i="120"/>
  <c r="AJ52" i="120"/>
  <c r="AF39" i="120"/>
  <c r="M50" i="120"/>
  <c r="Q108" i="120"/>
  <c r="AF36" i="120"/>
  <c r="Z47" i="120"/>
  <c r="Z51" i="120"/>
  <c r="AE39" i="120"/>
  <c r="Y38" i="120"/>
  <c r="AM48" i="120"/>
  <c r="AM52" i="120"/>
  <c r="Z35" i="120"/>
  <c r="AE40" i="120"/>
  <c r="AN50" i="120"/>
  <c r="Z40" i="120"/>
  <c r="AE37" i="120"/>
  <c r="AC48" i="120"/>
  <c r="AC52" i="120"/>
  <c r="AJ36" i="120"/>
  <c r="R48" i="120"/>
  <c r="R52" i="120"/>
  <c r="T37" i="120"/>
  <c r="J40" i="120"/>
  <c r="S50" i="120"/>
  <c r="W108" i="120"/>
  <c r="O39" i="120"/>
  <c r="AF49" i="120"/>
  <c r="X107" i="120"/>
  <c r="V49" i="120"/>
  <c r="T35" i="120"/>
  <c r="AE38" i="120"/>
  <c r="X49" i="120"/>
  <c r="AD37" i="120"/>
  <c r="AQ47" i="120"/>
  <c r="J47" i="120"/>
  <c r="AI52" i="120"/>
  <c r="AI48" i="120"/>
  <c r="K35" i="120"/>
  <c r="P40" i="120"/>
  <c r="Y50" i="120"/>
  <c r="U35" i="120"/>
  <c r="P37" i="120"/>
  <c r="AL47" i="120"/>
  <c r="AL51" i="120"/>
  <c r="AJ48" i="120"/>
  <c r="B39" i="120" a="1"/>
  <c r="O49" i="120"/>
  <c r="G107" i="120"/>
  <c r="J36" i="120"/>
  <c r="P47" i="120"/>
  <c r="P51" i="120"/>
  <c r="R36" i="120"/>
  <c r="O38" i="120"/>
  <c r="AO48" i="120"/>
  <c r="AO52" i="120"/>
  <c r="AF37" i="120"/>
  <c r="AD48" i="120"/>
  <c r="AD52" i="120"/>
  <c r="Q35" i="120"/>
  <c r="V40" i="120"/>
  <c r="AE50" i="120"/>
  <c r="M37" i="120"/>
  <c r="AA39" i="120"/>
  <c r="AR49" i="120"/>
  <c r="L108" i="120"/>
  <c r="AI37" i="120"/>
  <c r="I48" i="120"/>
  <c r="I52" i="120"/>
  <c r="L36" i="120"/>
  <c r="M40" i="120"/>
  <c r="AH49" i="120"/>
  <c r="N108" i="120"/>
  <c r="K40" i="120"/>
  <c r="X108" i="120"/>
  <c r="AF35" i="120"/>
  <c r="AE36" i="120"/>
  <c r="D108" i="120"/>
  <c r="T47" i="120"/>
  <c r="W52" i="120"/>
  <c r="W48" i="120"/>
  <c r="W35" i="120"/>
  <c r="AB40" i="120"/>
  <c r="AK50" i="120"/>
  <c r="N40" i="120"/>
  <c r="AB37" i="120"/>
  <c r="N48" i="120"/>
  <c r="N52" i="120"/>
  <c r="L51" i="120"/>
  <c r="J39" i="120"/>
  <c r="AA49" i="120"/>
  <c r="S107" i="120"/>
  <c r="V36" i="120"/>
  <c r="AB47" i="120"/>
  <c r="AB51" i="120"/>
  <c r="S39" i="120"/>
  <c r="AA38" i="120"/>
  <c r="Q49" i="120"/>
  <c r="I107" i="120"/>
  <c r="P38" i="120"/>
  <c r="AP48" i="120"/>
  <c r="AP52" i="120"/>
  <c r="AC35" i="120"/>
  <c r="AH40" i="120"/>
  <c r="AQ50" i="120"/>
  <c r="AH35" i="120"/>
  <c r="T50" i="120"/>
  <c r="J50" i="120"/>
  <c r="Y35" i="120"/>
  <c r="Y39" i="120"/>
  <c r="U49" i="120"/>
  <c r="K52" i="120"/>
  <c r="K48" i="120"/>
  <c r="AI35" i="120"/>
  <c r="M47" i="120"/>
  <c r="M51" i="120"/>
  <c r="N37" i="120"/>
  <c r="L38" i="120"/>
  <c r="Z48" i="120"/>
  <c r="Z52" i="120"/>
  <c r="P107" i="120"/>
  <c r="V39" i="120"/>
  <c r="AM49" i="120"/>
  <c r="G108" i="120"/>
  <c r="AH36" i="120"/>
  <c r="AN47" i="120"/>
  <c r="AN51" i="120"/>
  <c r="L49" i="120"/>
  <c r="L39" i="120"/>
  <c r="AC49" i="120"/>
  <c r="U107" i="120"/>
  <c r="AB38" i="120"/>
  <c r="R49" i="120"/>
  <c r="J107" i="120"/>
  <c r="M36" i="120"/>
  <c r="S47" i="120"/>
  <c r="S51" i="120"/>
  <c r="AJ49" i="120"/>
  <c r="W40" i="120"/>
  <c r="AF50" i="120"/>
  <c r="B43" i="120" a="1"/>
  <c r="AJ38" i="120"/>
  <c r="AA50" i="120"/>
  <c r="I37" i="120"/>
  <c r="AB36" i="120"/>
  <c r="AI51" i="120"/>
  <c r="AI47" i="120"/>
  <c r="S36" i="120"/>
  <c r="Y47" i="120"/>
  <c r="Y51" i="120"/>
  <c r="L47" i="120"/>
  <c r="X38" i="120"/>
  <c r="AL48" i="120"/>
  <c r="AL52" i="120"/>
  <c r="M35" i="120"/>
  <c r="AH39" i="120"/>
  <c r="O50" i="120"/>
  <c r="S108" i="120"/>
  <c r="R37" i="120"/>
  <c r="P48" i="120"/>
  <c r="P52" i="120"/>
  <c r="X51" i="120"/>
  <c r="X39" i="120"/>
  <c r="AO49" i="120"/>
  <c r="I108" i="120"/>
  <c r="M39" i="120"/>
  <c r="AD49" i="120"/>
  <c r="V107" i="120"/>
  <c r="Y36" i="120"/>
  <c r="AE47" i="120"/>
  <c r="AE51" i="120"/>
  <c r="AD35" i="120"/>
  <c r="AI40" i="120"/>
  <c r="AR50" i="120"/>
  <c r="AJ50" i="120"/>
  <c r="P39" i="120"/>
  <c r="I49" i="120"/>
  <c r="B87" i="120" a="1"/>
  <c r="P36" i="120"/>
  <c r="AH50" i="120"/>
  <c r="F107" i="120"/>
  <c r="R40" i="120"/>
  <c r="U108" i="120"/>
  <c r="P35" i="120"/>
  <c r="K51" i="120"/>
  <c r="AG38" i="120"/>
  <c r="O37" i="120"/>
  <c r="M48" i="120"/>
  <c r="M52" i="120"/>
  <c r="AJ51" i="120"/>
  <c r="I39" i="120"/>
  <c r="Z49" i="120"/>
  <c r="R107" i="120"/>
  <c r="I36" i="120"/>
  <c r="AD40" i="120"/>
  <c r="AM50" i="120"/>
  <c r="B35" i="120" a="1"/>
  <c r="N38" i="120"/>
  <c r="AN48" i="120"/>
  <c r="AN52" i="120"/>
  <c r="O35" i="120"/>
  <c r="T40" i="120"/>
  <c r="AC50" i="120"/>
  <c r="Q36" i="120"/>
  <c r="I40" i="120"/>
  <c r="R50" i="120"/>
  <c r="V108" i="120"/>
  <c r="U37" i="120"/>
  <c r="S48" i="120"/>
  <c r="S52" i="120"/>
  <c r="Z36" i="120"/>
  <c r="AF47" i="120"/>
  <c r="AF51" i="120"/>
  <c r="R35" i="120"/>
  <c r="L40" i="120"/>
  <c r="AG49" i="120"/>
  <c r="Y107" i="120"/>
  <c r="L37" i="120"/>
  <c r="V47" i="120"/>
  <c r="V51" i="120"/>
  <c r="AJ39" i="120"/>
  <c r="AB39" i="120"/>
  <c r="M107" i="120"/>
  <c r="J108" i="120"/>
  <c r="I38" i="120"/>
  <c r="N49" i="120"/>
  <c r="B47" i="120" a="1"/>
  <c r="Z108" i="120"/>
  <c r="Z107" i="120"/>
  <c r="AG51" i="120"/>
  <c r="AH51" i="120"/>
  <c r="AH47" i="120"/>
  <c r="X37" i="120"/>
  <c r="M108" i="120"/>
  <c r="I50" i="120"/>
  <c r="X40" i="120"/>
  <c r="S35" i="120"/>
  <c r="AR51" i="120"/>
  <c r="AR47" i="120"/>
  <c r="J37" i="120"/>
  <c r="AE52" i="120"/>
  <c r="AE48" i="120"/>
  <c r="AG37" i="120"/>
  <c r="U38" i="120"/>
  <c r="AD50" i="120"/>
  <c r="U40" i="120"/>
  <c r="K47" i="120"/>
  <c r="AO50" i="120"/>
  <c r="AF40" i="120"/>
  <c r="AA35" i="120"/>
  <c r="H107" i="120"/>
  <c r="P49" i="120"/>
  <c r="Z38" i="120"/>
  <c r="V38" i="120"/>
  <c r="O51" i="120"/>
  <c r="O47" i="120"/>
  <c r="U36" i="120"/>
  <c r="F108" i="120"/>
  <c r="AL49" i="120"/>
  <c r="U39" i="120"/>
  <c r="D107" i="120"/>
  <c r="Y52" i="120"/>
  <c r="Y48" i="120"/>
  <c r="AA37" i="120"/>
  <c r="AC36" i="120"/>
  <c r="AI50" i="120"/>
  <c r="F48" i="120" l="1"/>
  <c r="E48" i="120"/>
  <c r="B47" i="120"/>
  <c r="D48" i="120"/>
  <c r="C48" i="120"/>
  <c r="C47" i="120"/>
  <c r="B48" i="120"/>
  <c r="F47" i="120"/>
  <c r="E47" i="120"/>
  <c r="D47" i="120"/>
  <c r="F44" i="120"/>
  <c r="E44" i="120"/>
  <c r="D44" i="120"/>
  <c r="C44" i="120"/>
  <c r="B44" i="120"/>
  <c r="F43" i="120"/>
  <c r="C43" i="120"/>
  <c r="B43" i="120"/>
  <c r="E43" i="120"/>
  <c r="D43" i="120"/>
  <c r="B87" i="120"/>
  <c r="F36" i="120"/>
  <c r="D36" i="120"/>
  <c r="E36" i="120"/>
  <c r="C36" i="120"/>
  <c r="B36" i="120"/>
  <c r="F35" i="120"/>
  <c r="E35" i="120"/>
  <c r="D35" i="120"/>
  <c r="C35" i="120"/>
  <c r="B35" i="120"/>
  <c r="C40" i="120"/>
  <c r="B40" i="120"/>
  <c r="F39" i="120"/>
  <c r="E40" i="120"/>
  <c r="D40" i="120"/>
  <c r="E39" i="120"/>
  <c r="D39" i="120"/>
  <c r="C39" i="120"/>
  <c r="B39" i="120"/>
  <c r="F40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<sst xmlns="http://schemas.openxmlformats.org/spreadsheetml/2006/main" count="79" uniqueCount="63">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</sst>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6-4E67-9D72-5C00F2814E65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6-4E67-9D72-5C00F2814E65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6-4E67-9D72-5C00F2814E65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20.79010009765625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26-4E67-9D72-5C00F2814E65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26-4E67-9D72-5C00F2814E65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0-4FE4-914D-4D7121BE165F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0-4FE4-914D-4D7121BE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8.45849609375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39.5283203125</c:v>
                </c:pt>
                <c:pt idx="19">
                  <c:v>42.3251953125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53.4423828125</c:v>
                </c:pt>
                <c:pt idx="24">
                  <c:v>56.2041015625</c:v>
                </c:pt>
                <c:pt idx="25">
                  <c:v>58.9599609375</c:v>
                </c:pt>
                <c:pt idx="26">
                  <c:v>61.7080078125</c:v>
                </c:pt>
                <c:pt idx="27">
                  <c:v>64.4501953125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14.1241455078125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33.91571044921875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22.6007080078125</c:v>
                </c:pt>
                <c:pt idx="11">
                  <c:v>23.6578369140625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45.11627197265625</c:v>
                </c:pt>
                <c:pt idx="21">
                  <c:v>47.53143310546875</c:v>
                </c:pt>
                <c:pt idx="22">
                  <c:v>50.20294189453125</c:v>
                </c:pt>
                <c:pt idx="23">
                  <c:v>53.13812255859375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B8BAFAB7-0BB3-4EE5-861E-C63D1080B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DD3145C-A8DC-4BA2-8FCF-408E5E881DFB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14059313" y="9751735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choke"/>
      <definedName name="MF_calibr_choke_fast"/>
      <definedName name="MF_p_choke_atma"/>
      <definedName name="MF_q_choke_sm3day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1">452 46 116 0 0,'-7'6'514'0'0,"0"0"0"0"0,0 0 1 0 0,1 0-1 0 0,0 1 0 0 0,0 0 0 0 0,0 1 1 0 0,-2 5-515 0 0,2-5 350 0 0,-161 194 2748 0 0,167-201-3369 0 0,-14 17 68 0 0,13-10-5204 0 0,1-8 4460 0 0</inkml:trace>
  <inkml:trace contextRef="#ctx0" brushRef="#br0" timeOffset="2">620 80 188 0 0,'-13'22'773'0'0,"0"0"0"0"0,-1-1-1 0 0,-4 3-772 0 0,2-3 684 0 0,1 0 0 0 0,2 1 0 0 0,-2 5-684 0 0,-27 32-144 0 0,41-52-155 0 0,0-2-2709 0 0,1-5 2165 0 0</inkml:trace>
  <inkml:trace contextRef="#ctx0" brushRef="#br0" timeOffset="3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4">1065 76 592 0 0,'-36'36'2652'0'0,"10"-12"-1656"0"0,2 1 0 0 0,1 0 0 0 0,1 2 1 0 0,1 1-1 0 0,1 0 0 0 0,1 4-996 0 0,18-30-192 0 0,-10 21-100 0 0,8-13-1049 0 0,6-8-2062 0 0,4-9 967 0 0,-1 3 1359 0 0</inkml:trace>
  <inkml:trace contextRef="#ctx0" brushRef="#br0" timeOffset="5">1342 1 572 0 0,'-116'143'4885'0'0,"92"-116"-4182"0"0,1 1 0 0 0,2 1 0 0 0,-14 24-703 0 0,29-42-557 0 0,-1-2 0 0 0,0 1 0 0 0,0-1 0 0 0,-9 8 557 0 0,15-16-971 0 0,1-1-138 0 0,7-3-1114 0 0,1-1 1252 0 0</inkml:trace>
  <inkml:trace contextRef="#ctx0" brushRef="#br0" timeOffset="6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8"/>
  <sheetViews>
    <sheetView tabSelected="1" zoomScale="70" zoomScaleNormal="70" workbookViewId="0">
      <selection activeCell="N22" sqref="N22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[1]!unf_Version()</f>
        <v>7.23</v>
      </c>
      <c r="H1" t="s">
        <v>45</v>
      </c>
      <c r="I1" s="35">
        <v>43956</v>
      </c>
      <c r="J1" s="36"/>
      <c r="K1" s="36"/>
      <c r="L1" s="36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7">
        <v>7.23</v>
      </c>
      <c r="J2" s="36"/>
      <c r="K2" s="36"/>
      <c r="L2" s="36"/>
      <c r="AL2" t="str">
        <f>"Pbuf = "&amp;Pbuf_&amp;" atm"</f>
        <v>Pbuf = 26 atm</v>
      </c>
    </row>
    <row r="3" spans="1:38" ht="15" x14ac:dyDescent="0.25">
      <c r="A3" s="38" t="s">
        <v>47</v>
      </c>
      <c r="B3" s="49" t="s">
        <v>48</v>
      </c>
      <c r="C3" s="50"/>
      <c r="D3" s="50"/>
      <c r="E3" s="51"/>
      <c r="H3" t="s">
        <v>49</v>
      </c>
      <c r="I3" s="36" t="s">
        <v>48</v>
      </c>
      <c r="J3" s="36"/>
      <c r="K3" s="36"/>
      <c r="L3" s="36"/>
      <c r="AL3" t="str">
        <f>"Pline = "&amp;Plin_&amp;" atm"</f>
        <v>Pline = 20 atm</v>
      </c>
    </row>
    <row r="4" spans="1:38" ht="15" x14ac:dyDescent="0.25">
      <c r="A4" s="38" t="s">
        <v>50</v>
      </c>
      <c r="B4" s="49" t="s">
        <v>51</v>
      </c>
      <c r="C4" s="50"/>
      <c r="D4" s="50"/>
      <c r="E4" s="51"/>
      <c r="H4" t="s">
        <v>52</v>
      </c>
      <c r="I4" s="36" t="s">
        <v>51</v>
      </c>
      <c r="J4" s="36"/>
      <c r="K4" s="36"/>
      <c r="L4" s="36"/>
      <c r="AL4" t="str">
        <f>"Q = "&amp;Qliq_&amp;" m3/day"</f>
        <v>Q = 80 m3/day</v>
      </c>
    </row>
    <row r="5" spans="1:38" ht="15" x14ac:dyDescent="0.25">
      <c r="A5" s="38" t="s">
        <v>53</v>
      </c>
      <c r="B5" s="49" t="s">
        <v>54</v>
      </c>
      <c r="C5" s="50"/>
      <c r="D5" s="50"/>
      <c r="E5" s="51"/>
      <c r="H5" t="s">
        <v>55</v>
      </c>
      <c r="I5" s="36" t="s">
        <v>54</v>
      </c>
      <c r="J5" s="36"/>
      <c r="K5" s="36"/>
      <c r="L5" s="36"/>
    </row>
    <row r="6" spans="1:38" x14ac:dyDescent="0.2">
      <c r="A6" s="39" t="s">
        <v>56</v>
      </c>
      <c r="B6" s="52" t="s">
        <v>57</v>
      </c>
      <c r="C6" s="53"/>
      <c r="D6" s="53"/>
      <c r="E6" s="54"/>
      <c r="H6" s="40" t="s">
        <v>58</v>
      </c>
      <c r="I6" s="41" t="s">
        <v>57</v>
      </c>
      <c r="J6" s="41"/>
      <c r="K6" s="41"/>
      <c r="L6" s="41"/>
    </row>
    <row r="7" spans="1:38" x14ac:dyDescent="0.2">
      <c r="A7" s="42"/>
      <c r="B7" s="55"/>
      <c r="C7" s="56"/>
      <c r="D7" s="56"/>
      <c r="E7" s="57"/>
      <c r="H7" s="40"/>
      <c r="I7" s="41"/>
      <c r="J7" s="41"/>
      <c r="K7" s="41"/>
      <c r="L7" s="41"/>
    </row>
    <row r="8" spans="1:38" x14ac:dyDescent="0.2">
      <c r="A8" s="43"/>
      <c r="B8" s="58"/>
      <c r="C8" s="59"/>
      <c r="D8" s="59"/>
      <c r="E8" s="60"/>
      <c r="H8" s="40"/>
      <c r="I8" s="41"/>
      <c r="J8" s="41"/>
      <c r="K8" s="41"/>
      <c r="L8" s="41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48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48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48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48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48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47" t="s">
        <v>1</v>
      </c>
    </row>
    <row r="19" spans="1:52" ht="18" x14ac:dyDescent="0.35">
      <c r="B19" s="11" t="s">
        <v>31</v>
      </c>
      <c r="C19" s="2">
        <v>1</v>
      </c>
      <c r="D19" s="48" t="s">
        <v>4</v>
      </c>
    </row>
    <row r="20" spans="1:52" ht="18.75" x14ac:dyDescent="0.35">
      <c r="B20" s="9" t="s">
        <v>24</v>
      </c>
      <c r="C20" s="2">
        <v>1.2</v>
      </c>
      <c r="D20" s="48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48" t="s">
        <v>3</v>
      </c>
    </row>
    <row r="23" spans="1:52" ht="15" x14ac:dyDescent="0.25">
      <c r="B23" s="11" t="s">
        <v>39</v>
      </c>
      <c r="C23" s="2">
        <v>80</v>
      </c>
      <c r="D23" s="48" t="s">
        <v>2</v>
      </c>
      <c r="AZ23" s="44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48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48" t="s">
        <v>12</v>
      </c>
    </row>
    <row r="27" spans="1:52" ht="15.75" x14ac:dyDescent="0.3">
      <c r="B27" s="11" t="s">
        <v>44</v>
      </c>
      <c r="C27" s="2">
        <v>80</v>
      </c>
      <c r="D27" s="48" t="s">
        <v>17</v>
      </c>
    </row>
    <row r="28" spans="1:52" ht="15.75" x14ac:dyDescent="0.3">
      <c r="B28" s="11" t="s">
        <v>43</v>
      </c>
      <c r="C28" s="2">
        <v>26</v>
      </c>
      <c r="D28" s="48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5" t="s">
        <v>42</v>
      </c>
      <c r="C29" s="46">
        <v>20</v>
      </c>
      <c r="D29" s="16" t="s">
        <v>18</v>
      </c>
      <c r="F29" s="25" t="str">
        <f>[1]!PVT_encode_string(gamma_gas_,gamma_oil_,gamma_wat_,Rsb_,Rp_,Pb_,Tres_,Bob_,muob_,,,,,gas_only)</f>
        <v>gamma_gas:0.900;gamma_oil:0.860;gamma_wat:1.000;rsb_m3m3:80.000;rp_m3m3:200.000;pb_atma:100.000;tres_C:100.000;bob_m3m3:1.200;muob_cP:1.000;PVTcorr:0;ksep_fr:0.000;p_ksep_atma:-1.000;t_ksep_C:-1.000;gas_only:False;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8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61" t="s">
        <v>8</v>
      </c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</row>
    <row r="34" spans="2:44" x14ac:dyDescent="0.2">
      <c r="B34" s="18" t="s">
        <v>19</v>
      </c>
      <c r="H34" s="48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8.45849609375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39.5283203125</v>
      </c>
      <c r="AB35" s="32">
        <f>[1]!MF_p_choke_atma(AB$34,fw_,d_choke,$H35,0,d_pipe,T_choke,,PVTstr_,qgas_free)</f>
        <v>42.3251953125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53.4423828125</v>
      </c>
      <c r="AG35" s="32">
        <f>[1]!MF_p_choke_atma(AG$34,fw_,d_choke,$H35,0,d_pipe,T_choke,,PVTstr_,qgas_free)</f>
        <v>56.2041015625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61.7080078125</v>
      </c>
      <c r="AJ35" s="32">
        <f>[1]!MF_p_choke_atma(AJ$34,fw_,d_choke,$H35,0,d_pipe,T_choke,,PVTstr_,qgas_free)</f>
        <v>64.4501953125</v>
      </c>
    </row>
    <row r="36" spans="2:44" x14ac:dyDescent="0.2">
      <c r="B36" s="28">
        <v>0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14.1241455078125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22.6251220703125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28.2794189453125</v>
      </c>
      <c r="X36" s="32">
        <f>[1]!MF_p_choke_atma(X$34,fw_,d_choke,$H36,0,d_pipe,T_choke,,PVTstr_,qgas_free)</f>
        <v>31.1004638671875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36.7254638671875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45.1153564453125</v>
      </c>
      <c r="AD36" s="32">
        <f>[1]!MF_p_choke_atma(AD$34,fw_,d_choke,$H36,0,d_pipe,T_choke,,PVTstr_,qgas_free)</f>
        <v>47.8985595703125</v>
      </c>
      <c r="AE36" s="32">
        <f>[1]!MF_p_choke_atma(AE$34,fw_,d_choke,$H36,0,d_pipe,T_choke,,PVTstr_,qgas_free)</f>
        <v>50.6744384765625</v>
      </c>
      <c r="AF36" s="32">
        <f>[1]!MF_p_choke_atma(AF$34,fw_,d_choke,$H36,0,d_pipe,T_choke,,PVTstr_,qgas_free)</f>
        <v>53.4429931640625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61.7083740234375</v>
      </c>
      <c r="AJ36" s="32">
        <f>[1]!MF_p_choke_atma(AJ$34,fw_,d_choke,$H36,0,d_pipe,T_choke,,PVTstr_,qgas_free)</f>
        <v>64.4500732421875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22.6251220703125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28.2794189453125</v>
      </c>
      <c r="X37" s="32">
        <f>[1]!MF_p_choke_atma(X$34,fw_,d_choke,$H37,0,d_pipe,T_choke,,PVTstr_,qgas_free)</f>
        <v>31.1004638671875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36.7254638671875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45.1153564453125</v>
      </c>
      <c r="AD37" s="32">
        <f>[1]!MF_p_choke_atma(AD$34,fw_,d_choke,$H37,0,d_pipe,T_choke,,PVTstr_,qgas_free)</f>
        <v>47.8985595703125</v>
      </c>
      <c r="AE37" s="32">
        <f>[1]!MF_p_choke_atma(AE$34,fw_,d_choke,$H37,0,d_pipe,T_choke,,PVTstr_,qgas_free)</f>
        <v>50.6744384765625</v>
      </c>
      <c r="AF37" s="32">
        <f>[1]!MF_p_choke_atma(AF$34,fw_,d_choke,$H37,0,d_pipe,T_choke,,PVTstr_,qgas_free)</f>
        <v>53.4429931640625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61.7083740234375</v>
      </c>
      <c r="AJ37" s="32">
        <f>[1]!MF_p_choke_atma(AJ$34,fw_,d_choke,$H37,0,d_pipe,T_choke,,PVTstr_,qgas_free)</f>
        <v>64.4500732421875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33.91571044921875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64.45037841796875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22.6007080078125</v>
      </c>
      <c r="T39" s="32">
        <f>[1]!MF_p_choke_atma(T$34,fw_,d_choke,$H39,0,d_pipe,T_choke,,PVTstr_,qgas_free)</f>
        <v>23.6578369140625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36.7254638671875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45.1153564453125</v>
      </c>
      <c r="AD39" s="32">
        <f>[1]!MF_p_choke_atma(AD$34,fw_,d_choke,$H39,0,d_pipe,T_choke,,PVTstr_,qgas_free)</f>
        <v>47.8985595703125</v>
      </c>
      <c r="AE39" s="32">
        <f>[1]!MF_p_choke_atma(AE$34,fw_,d_choke,$H39,0,d_pipe,T_choke,,PVTstr_,qgas_free)</f>
        <v>50.6744384765625</v>
      </c>
      <c r="AF39" s="32">
        <f>[1]!MF_p_choke_atma(AF$34,fw_,d_choke,$H39,0,d_pipe,T_choke,,PVTstr_,qgas_free)</f>
        <v>53.4429931640625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61.7083740234375</v>
      </c>
      <c r="AJ39" s="32">
        <f>[1]!MF_p_choke_atma(AJ$34,fw_,d_choke,$H39,0,d_pipe,T_choke,,PVTstr_,qgas_free)</f>
        <v>64.4500732421875</v>
      </c>
    </row>
    <row r="40" spans="2:44" x14ac:dyDescent="0.2">
      <c r="B40" s="28">
        <v>0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45.11627197265625</v>
      </c>
      <c r="AD40" s="32">
        <f>[1]!MF_p_choke_atma(AD$34,fw_,d_choke,$H40,0,d_pipe,T_choke,,PVTstr_,qgas_free)</f>
        <v>47.53143310546875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53.13812255859375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64.45037841796875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86.701930956790505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>
        <v>0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123.85537890616025</v>
      </c>
    </row>
    <row r="45" spans="2:44" x14ac:dyDescent="0.2">
      <c r="I45" s="62" t="s">
        <v>8</v>
      </c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</row>
    <row r="46" spans="2:44" x14ac:dyDescent="0.2">
      <c r="B46" t="s">
        <v>21</v>
      </c>
      <c r="H46" s="48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0.9227014798536548</v>
      </c>
      <c r="C47" s="32">
        <v>26</v>
      </c>
      <c r="D47" s="32">
        <v>20</v>
      </c>
      <c r="E47" s="32">
        <v>80</v>
      </c>
      <c r="F47" s="33">
        <v>0.9227014798536548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>
        <v>0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13.793792724609375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12.83935546875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20.79010009765625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0.001</v>
      </c>
    </row>
    <row r="88" spans="2:6" x14ac:dyDescent="0.2">
      <c r="B88">
        <v>0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48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13.793792724609375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12.83935546875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2020-05-05T11:33:28Z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