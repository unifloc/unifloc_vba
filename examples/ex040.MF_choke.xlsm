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ink/ink1.xml" ContentType="application/inkml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159D49BD-7F40-46E8-92EB-25D7C7F270B3}" xr6:coauthVersionLast="46" xr6:coauthVersionMax="46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choke" sheetId="120" r:id="rId1"/>
  </sheets>
  <externalReferences>
    <externalReference r:id="rId2"/>
  </externalReferences>
  <definedNames>
    <definedName name="Bob_" localSheetId="0">exercise_choke!$C$18</definedName>
    <definedName name="cf_" localSheetId="0">exercise_choke!$C$107</definedName>
    <definedName name="d_choke" localSheetId="0">exercise_choke!$C$26</definedName>
    <definedName name="d_pipe" localSheetId="0">exercise_choke!$C$25</definedName>
    <definedName name="feed">exercise_choke!$G$25</definedName>
    <definedName name="fw_" localSheetId="0">exercise_choke!$C$22</definedName>
    <definedName name="gamma_gas_" localSheetId="0">exercise_choke!$C$13</definedName>
    <definedName name="gamma_oil_" localSheetId="0">exercise_choke!$C$11</definedName>
    <definedName name="gamma_wat_" localSheetId="0">exercise_choke!$C$12</definedName>
    <definedName name="gamma_wat_kf_" localSheetId="0">exercise_choke!$C$20</definedName>
    <definedName name="gas_only" localSheetId="0">exercise_choke!$G$22</definedName>
    <definedName name="input_0" localSheetId="0">exercise_choke!$C$11:$C$30</definedName>
    <definedName name="input_1" localSheetId="0">exercise_choke!$B$62:$B$67</definedName>
    <definedName name="input_2" localSheetId="0">exercise_choke!$C$61:$AD$61</definedName>
    <definedName name="input_3" localSheetId="0">exercise_choke!$B$74:$B$79</definedName>
    <definedName name="input_4" localSheetId="0">exercise_choke!$C$73:$AL$73</definedName>
    <definedName name="input_Course" localSheetId="0">exercise_choke!$I$3</definedName>
    <definedName name="input_Date" localSheetId="0">exercise_choke!$I$1</definedName>
    <definedName name="input_Group" localSheetId="0">exercise_choke!$I$4</definedName>
    <definedName name="input_Notes" localSheetId="0">exercise_choke!$I$6</definedName>
    <definedName name="input_Student_Name" localSheetId="0">exercise_choke!$I$5</definedName>
    <definedName name="input_Version" localSheetId="0">exercise_choke!$I$2</definedName>
    <definedName name="muob_" localSheetId="0">exercise_choke!$C$19</definedName>
    <definedName name="output_0" localSheetId="0">exercise_choke!$C$62:$AD$67</definedName>
    <definedName name="output_1" localSheetId="0">exercise_choke!$C$74:$AL$79</definedName>
    <definedName name="Pb_" localSheetId="0">exercise_choke!$C$16</definedName>
    <definedName name="Pbuf_" localSheetId="0">exercise_choke!$C$28</definedName>
    <definedName name="Plin_" localSheetId="0">exercise_choke!$C$29</definedName>
    <definedName name="PVT_str_wat_" localSheetId="0">exercise_choke!$F$30</definedName>
    <definedName name="PVTstr_" localSheetId="0">exercise_choke!$G$24</definedName>
    <definedName name="qgas_free" localSheetId="0">exercise_choke!$C$30</definedName>
    <definedName name="Qliq_" localSheetId="0">exercise_choke!$C$27</definedName>
    <definedName name="Rp_" localSheetId="0">exercise_choke!$C$15</definedName>
    <definedName name="Rsb_" localSheetId="0">exercise_choke!$C$14</definedName>
    <definedName name="T_choke" localSheetId="0">exercise_choke!$C$23</definedName>
    <definedName name="T_upchoke" localSheetId="0">exercise_choke!$C$23</definedName>
    <definedName name="Tres_" localSheetId="0">exercise_choke!$C$17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1" i="120" l="1"/>
  <c r="E20" i="120"/>
  <c r="E17" i="120"/>
  <c r="E16" i="120"/>
  <c r="E15" i="120"/>
  <c r="E14" i="120"/>
  <c r="E13" i="120"/>
  <c r="E12" i="120"/>
  <c r="E11" i="120"/>
  <c r="AL4" i="120"/>
  <c r="AL3" i="120"/>
  <c r="AL2" i="120"/>
  <c r="AL1" i="120"/>
  <c r="B35" i="120" a="1"/>
  <c r="G24" i="120"/>
  <c r="I28" i="120" a="1"/>
  <c r="Q45" i="120" a="1"/>
  <c r="G1" i="120"/>
  <c r="Q50" i="120" a="1"/>
  <c r="G25" i="120" a="1"/>
  <c r="Q40" i="120" a="1"/>
  <c r="Q35" i="120" a="1"/>
  <c r="B35" i="120" l="1"/>
  <c r="Q35" i="120"/>
  <c r="Q40" i="120"/>
  <c r="G25" i="120"/>
  <c r="Q50" i="120"/>
  <c r="Q45" i="120"/>
  <c r="I28" i="120"/>
  <c r="B45" i="120" a="1"/>
  <c r="B40" i="120" a="1"/>
  <c r="B50" i="120" a="1"/>
  <c r="Z50" i="120" a="1"/>
  <c r="AA62" i="120"/>
  <c r="AA65" i="120"/>
  <c r="P62" i="120"/>
  <c r="D65" i="120"/>
  <c r="L66" i="120"/>
  <c r="X66" i="120"/>
  <c r="H67" i="120"/>
  <c r="T67" i="120"/>
  <c r="C74" i="120"/>
  <c r="O74" i="120"/>
  <c r="AA74" i="120"/>
  <c r="C75" i="120"/>
  <c r="O75" i="120"/>
  <c r="AA75" i="120"/>
  <c r="C76" i="120"/>
  <c r="O76" i="120"/>
  <c r="AA76" i="120"/>
  <c r="C77" i="120"/>
  <c r="O77" i="120"/>
  <c r="AA77" i="120"/>
  <c r="C78" i="120"/>
  <c r="O78" i="120"/>
  <c r="AA78" i="120"/>
  <c r="C79" i="120"/>
  <c r="O79" i="120"/>
  <c r="AA79" i="120"/>
  <c r="K63" i="120"/>
  <c r="O65" i="120"/>
  <c r="AB62" i="120"/>
  <c r="P65" i="120"/>
  <c r="Y63" i="120"/>
  <c r="M66" i="120"/>
  <c r="D74" i="120"/>
  <c r="P75" i="120"/>
  <c r="D76" i="120"/>
  <c r="AB76" i="120"/>
  <c r="P77" i="120"/>
  <c r="D78" i="120"/>
  <c r="D79" i="120"/>
  <c r="AB79" i="120"/>
  <c r="F62" i="120"/>
  <c r="R62" i="120"/>
  <c r="AD62" i="120"/>
  <c r="N63" i="120"/>
  <c r="Z63" i="120"/>
  <c r="J64" i="120"/>
  <c r="V64" i="120"/>
  <c r="F65" i="120"/>
  <c r="R65" i="120"/>
  <c r="AD65" i="120"/>
  <c r="N66" i="120"/>
  <c r="Z66" i="120"/>
  <c r="J67" i="120"/>
  <c r="V67" i="120"/>
  <c r="E74" i="120"/>
  <c r="Q74" i="120"/>
  <c r="AC74" i="120"/>
  <c r="E75" i="120"/>
  <c r="Q75" i="120"/>
  <c r="AC75" i="120"/>
  <c r="E76" i="120"/>
  <c r="Q76" i="120"/>
  <c r="AC76" i="120"/>
  <c r="E77" i="120"/>
  <c r="Q77" i="120"/>
  <c r="AC77" i="120"/>
  <c r="E78" i="120"/>
  <c r="Q78" i="120"/>
  <c r="AC78" i="120"/>
  <c r="E79" i="120"/>
  <c r="Q79" i="120"/>
  <c r="AC79" i="120"/>
  <c r="G64" i="120"/>
  <c r="W66" i="120"/>
  <c r="L63" i="120"/>
  <c r="AB65" i="120"/>
  <c r="M63" i="120"/>
  <c r="Q65" i="120"/>
  <c r="I67" i="120"/>
  <c r="D75" i="120"/>
  <c r="AB75" i="120"/>
  <c r="P76" i="120"/>
  <c r="D77" i="120"/>
  <c r="AB77" i="120"/>
  <c r="P78" i="120"/>
  <c r="AB78" i="120"/>
  <c r="P79" i="120"/>
  <c r="G62" i="120"/>
  <c r="S62" i="120"/>
  <c r="C63" i="120"/>
  <c r="O63" i="120"/>
  <c r="AA63" i="120"/>
  <c r="K64" i="120"/>
  <c r="W64" i="120"/>
  <c r="G65" i="120"/>
  <c r="S65" i="120"/>
  <c r="C66" i="120"/>
  <c r="O66" i="120"/>
  <c r="AA66" i="120"/>
  <c r="K67" i="120"/>
  <c r="W67" i="120"/>
  <c r="F74" i="120"/>
  <c r="R74" i="120"/>
  <c r="AD74" i="120"/>
  <c r="F75" i="120"/>
  <c r="R75" i="120"/>
  <c r="AD75" i="120"/>
  <c r="F76" i="120"/>
  <c r="R76" i="120"/>
  <c r="AD76" i="120"/>
  <c r="F77" i="120"/>
  <c r="R77" i="120"/>
  <c r="AD77" i="120"/>
  <c r="F78" i="120"/>
  <c r="R78" i="120"/>
  <c r="AD78" i="120"/>
  <c r="F79" i="120"/>
  <c r="R79" i="120"/>
  <c r="AD79" i="120"/>
  <c r="W63" i="120"/>
  <c r="K66" i="120"/>
  <c r="D62" i="120"/>
  <c r="H64" i="120"/>
  <c r="AC62" i="120"/>
  <c r="E65" i="120"/>
  <c r="U67" i="120"/>
  <c r="T62" i="120"/>
  <c r="X64" i="120"/>
  <c r="P66" i="120"/>
  <c r="X67" i="120"/>
  <c r="AE74" i="120"/>
  <c r="AE75" i="120"/>
  <c r="G77" i="120"/>
  <c r="G78" i="120"/>
  <c r="AE79" i="120"/>
  <c r="I62" i="120"/>
  <c r="Q63" i="120"/>
  <c r="Y64" i="120"/>
  <c r="U65" i="120"/>
  <c r="Q66" i="120"/>
  <c r="M67" i="120"/>
  <c r="Y67" i="120"/>
  <c r="H74" i="120"/>
  <c r="T74" i="120"/>
  <c r="AF74" i="120"/>
  <c r="H75" i="120"/>
  <c r="T75" i="120"/>
  <c r="AF75" i="120"/>
  <c r="H76" i="120"/>
  <c r="T76" i="120"/>
  <c r="AF76" i="120"/>
  <c r="H77" i="120"/>
  <c r="T77" i="120"/>
  <c r="AF77" i="120"/>
  <c r="H78" i="120"/>
  <c r="T78" i="120"/>
  <c r="AF78" i="120"/>
  <c r="H79" i="120"/>
  <c r="T79" i="120"/>
  <c r="AF79" i="120"/>
  <c r="O62" i="120"/>
  <c r="S64" i="120"/>
  <c r="G67" i="120"/>
  <c r="T64" i="120"/>
  <c r="Q62" i="120"/>
  <c r="I64" i="120"/>
  <c r="AC65" i="120"/>
  <c r="Y66" i="120"/>
  <c r="AB74" i="120"/>
  <c r="D63" i="120"/>
  <c r="P63" i="120"/>
  <c r="L64" i="120"/>
  <c r="H65" i="120"/>
  <c r="D66" i="120"/>
  <c r="L67" i="120"/>
  <c r="G74" i="120"/>
  <c r="G75" i="120"/>
  <c r="S75" i="120"/>
  <c r="G76" i="120"/>
  <c r="AE76" i="120"/>
  <c r="S77" i="120"/>
  <c r="AE77" i="120"/>
  <c r="S78" i="120"/>
  <c r="AE78" i="120"/>
  <c r="G79" i="120"/>
  <c r="S79" i="120"/>
  <c r="U62" i="120"/>
  <c r="E63" i="120"/>
  <c r="AC63" i="120"/>
  <c r="M64" i="120"/>
  <c r="I65" i="120"/>
  <c r="E66" i="120"/>
  <c r="AC66" i="120"/>
  <c r="J62" i="120"/>
  <c r="V62" i="120"/>
  <c r="F63" i="120"/>
  <c r="R63" i="120"/>
  <c r="AD63" i="120"/>
  <c r="N64" i="120"/>
  <c r="Z64" i="120"/>
  <c r="J65" i="120"/>
  <c r="V65" i="120"/>
  <c r="F66" i="120"/>
  <c r="R66" i="120"/>
  <c r="AD66" i="120"/>
  <c r="N67" i="120"/>
  <c r="Z67" i="120"/>
  <c r="I74" i="120"/>
  <c r="U74" i="120"/>
  <c r="AG74" i="120"/>
  <c r="I75" i="120"/>
  <c r="U75" i="120"/>
  <c r="AG75" i="120"/>
  <c r="I76" i="120"/>
  <c r="U76" i="120"/>
  <c r="AG76" i="120"/>
  <c r="I77" i="120"/>
  <c r="U77" i="120"/>
  <c r="AG77" i="120"/>
  <c r="I78" i="120"/>
  <c r="U78" i="120"/>
  <c r="AG78" i="120"/>
  <c r="I79" i="120"/>
  <c r="U79" i="120"/>
  <c r="AG79" i="120"/>
  <c r="C62" i="120"/>
  <c r="C65" i="120"/>
  <c r="S67" i="120"/>
  <c r="X63" i="120"/>
  <c r="E62" i="120"/>
  <c r="U64" i="120"/>
  <c r="P74" i="120"/>
  <c r="H62" i="120"/>
  <c r="AB63" i="120"/>
  <c r="T65" i="120"/>
  <c r="AB66" i="120"/>
  <c r="S74" i="120"/>
  <c r="S76" i="120"/>
  <c r="K62" i="120"/>
  <c r="W62" i="120"/>
  <c r="G63" i="120"/>
  <c r="S63" i="120"/>
  <c r="C64" i="120"/>
  <c r="O64" i="120"/>
  <c r="AA64" i="120"/>
  <c r="K65" i="120"/>
  <c r="W65" i="120"/>
  <c r="G66" i="120"/>
  <c r="S66" i="120"/>
  <c r="C67" i="120"/>
  <c r="O67" i="120"/>
  <c r="AA67" i="120"/>
  <c r="J74" i="120"/>
  <c r="V74" i="120"/>
  <c r="AH74" i="120"/>
  <c r="J75" i="120"/>
  <c r="V75" i="120"/>
  <c r="AH75" i="120"/>
  <c r="J76" i="120"/>
  <c r="V76" i="120"/>
  <c r="AH76" i="120"/>
  <c r="J77" i="120"/>
  <c r="V77" i="120"/>
  <c r="AH77" i="120"/>
  <c r="J78" i="120"/>
  <c r="V78" i="120"/>
  <c r="AH78" i="120"/>
  <c r="J79" i="120"/>
  <c r="V79" i="120"/>
  <c r="AH79" i="120"/>
  <c r="L62" i="120"/>
  <c r="H63" i="120"/>
  <c r="D64" i="120"/>
  <c r="AB64" i="120"/>
  <c r="X65" i="120"/>
  <c r="T66" i="120"/>
  <c r="P67" i="120"/>
  <c r="K74" i="120"/>
  <c r="K75" i="120"/>
  <c r="AI75" i="120"/>
  <c r="K76" i="120"/>
  <c r="AI76" i="120"/>
  <c r="W77" i="120"/>
  <c r="K78" i="120"/>
  <c r="AI78" i="120"/>
  <c r="W79" i="120"/>
  <c r="M62" i="120"/>
  <c r="Y62" i="120"/>
  <c r="I63" i="120"/>
  <c r="U63" i="120"/>
  <c r="E64" i="120"/>
  <c r="Q64" i="120"/>
  <c r="AC64" i="120"/>
  <c r="M65" i="120"/>
  <c r="Y65" i="120"/>
  <c r="I66" i="120"/>
  <c r="U66" i="120"/>
  <c r="E67" i="120"/>
  <c r="Q67" i="120"/>
  <c r="AC67" i="120"/>
  <c r="L74" i="120"/>
  <c r="X74" i="120"/>
  <c r="AJ74" i="120"/>
  <c r="L75" i="120"/>
  <c r="X75" i="120"/>
  <c r="AJ75" i="120"/>
  <c r="L76" i="120"/>
  <c r="X76" i="120"/>
  <c r="AJ76" i="120"/>
  <c r="L77" i="120"/>
  <c r="X77" i="120"/>
  <c r="AJ77" i="120"/>
  <c r="L78" i="120"/>
  <c r="X78" i="120"/>
  <c r="AJ78" i="120"/>
  <c r="L79" i="120"/>
  <c r="X79" i="120"/>
  <c r="AJ79" i="120"/>
  <c r="X62" i="120"/>
  <c r="T63" i="120"/>
  <c r="P64" i="120"/>
  <c r="L65" i="120"/>
  <c r="H66" i="120"/>
  <c r="D67" i="120"/>
  <c r="AB67" i="120"/>
  <c r="W74" i="120"/>
  <c r="AI74" i="120"/>
  <c r="W75" i="120"/>
  <c r="W76" i="120"/>
  <c r="K77" i="120"/>
  <c r="AI77" i="120"/>
  <c r="W78" i="120"/>
  <c r="K79" i="120"/>
  <c r="AI79" i="120"/>
  <c r="N62" i="120"/>
  <c r="Z62" i="120"/>
  <c r="J63" i="120"/>
  <c r="V63" i="120"/>
  <c r="F64" i="120"/>
  <c r="R64" i="120"/>
  <c r="AD64" i="120"/>
  <c r="N65" i="120"/>
  <c r="Z65" i="120"/>
  <c r="J66" i="120"/>
  <c r="V66" i="120"/>
  <c r="F67" i="120"/>
  <c r="R67" i="120"/>
  <c r="AD67" i="120"/>
  <c r="M74" i="120"/>
  <c r="Y74" i="120"/>
  <c r="AK74" i="120"/>
  <c r="M75" i="120"/>
  <c r="Y75" i="120"/>
  <c r="AK75" i="120"/>
  <c r="M76" i="120"/>
  <c r="Y76" i="120"/>
  <c r="AK76" i="120"/>
  <c r="M77" i="120"/>
  <c r="Y77" i="120"/>
  <c r="AK77" i="120"/>
  <c r="M78" i="120"/>
  <c r="Y78" i="120"/>
  <c r="AK78" i="120"/>
  <c r="M79" i="120"/>
  <c r="Y79" i="120"/>
  <c r="AK79" i="120"/>
  <c r="N74" i="120"/>
  <c r="Z74" i="120"/>
  <c r="AL74" i="120"/>
  <c r="N75" i="120"/>
  <c r="Z75" i="120"/>
  <c r="AL75" i="120"/>
  <c r="N76" i="120"/>
  <c r="Z76" i="120"/>
  <c r="AL76" i="120"/>
  <c r="N77" i="120"/>
  <c r="Z77" i="120"/>
  <c r="AL77" i="120"/>
  <c r="N78" i="120"/>
  <c r="Z78" i="120"/>
  <c r="AL78" i="120"/>
  <c r="N79" i="120"/>
  <c r="Z79" i="120"/>
  <c r="AL79" i="120"/>
  <c r="H55" i="120" a="1"/>
  <c r="H55" i="120" l="1"/>
  <c r="Z50" i="120"/>
  <c r="B50" i="120"/>
  <c r="B40" i="120"/>
  <c r="B45" i="1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<sst xmlns="http://schemas.openxmlformats.org/spreadsheetml/2006/main" count="90" uniqueCount="72">
  <si>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</si>
  <si>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</si>
  <si>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</si>
  <si>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</si>
  <si>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</si>
  <si>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</si>
  <si>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</si>
  <si>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</si>
  <si>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Дебит жидкости</t>
  </si>
  <si>
    <t>Параметры потока флюида</t>
  </si>
  <si>
    <t xml:space="preserve">графики для расчета потока через ограничение - штуцер </t>
  </si>
  <si>
    <t>Конструкция</t>
  </si>
  <si>
    <t>мм</t>
  </si>
  <si>
    <t>Рвых</t>
  </si>
  <si>
    <t>Упражнения по работе с макросами Unifloc VBA</t>
  </si>
  <si>
    <t>версия</t>
  </si>
  <si>
    <t>PVT строка</t>
  </si>
  <si>
    <t>м3/сут</t>
  </si>
  <si>
    <t>атм</t>
  </si>
  <si>
    <t>Рассчитать линейное давление</t>
  </si>
  <si>
    <t>Рассчитать буферное давление</t>
  </si>
  <si>
    <t>Рассчитать подстроечный параметр</t>
  </si>
  <si>
    <t>Рассчитать дебит через штуцер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</si>
  <si>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</si>
  <si>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</si>
  <si>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</si>
  <si>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</si>
  <si>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</si>
  <si>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</si>
  <si>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</si>
  <si>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</si>
  <si>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</si>
  <si>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</si>
  <si>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</si>
  <si>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</si>
  <si>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</si>
  <si>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пример расчета характеристик штуцера</t>
  </si>
  <si>
    <t>Рвх</t>
  </si>
  <si>
    <t>qmax</t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</si>
  <si>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</si>
  <si>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</si>
  <si>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r>
      <t>d</t>
    </r>
    <r>
      <rPr>
        <vertAlign val="subscript"/>
        <sz val="10"/>
        <rFont val="Arial Cyr"/>
      </rPr>
      <t>choke</t>
    </r>
  </si>
  <si>
    <r>
      <t>P</t>
    </r>
    <r>
      <rPr>
        <vertAlign val="subscript"/>
        <sz val="10"/>
        <rFont val="Arial Cyr"/>
      </rPr>
      <t>line</t>
    </r>
  </si>
  <si>
    <r>
      <t>P</t>
    </r>
    <r>
      <rPr>
        <vertAlign val="subscript"/>
        <sz val="10"/>
        <rFont val="Arial Cyr"/>
      </rPr>
      <t>buf</t>
    </r>
  </si>
  <si>
    <r>
      <t>Q</t>
    </r>
    <r>
      <rPr>
        <vertAlign val="subscript"/>
        <sz val="10"/>
        <rFont val="Arial Cyr"/>
      </rPr>
      <t>liq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</si>
  <si>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</si>
  <si>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</si>
  <si>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</si>
  <si>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</si>
  <si>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</si>
  <si>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</si>
  <si>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</si>
  <si>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</si>
  <si>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</si>
  <si>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</si>
  <si>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</si>
  <si>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</si>
  <si>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</si>
  <si>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</si>
  <si>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штуцере</t>
  </si>
  <si>
    <t>https://neutrium.net/wp-content/uploads/2015/01/Choked-Flow1.png</t>
  </si>
  <si>
    <r>
      <t>Q</t>
    </r>
    <r>
      <rPr>
        <vertAlign val="subscript"/>
        <sz val="11"/>
        <color theme="1"/>
        <rFont val="Calibri"/>
        <family val="2"/>
        <charset val="204"/>
      </rPr>
      <t>gas_free</t>
    </r>
  </si>
  <si>
    <t>gas_only</t>
  </si>
  <si>
    <t>Поток</t>
  </si>
  <si>
    <t>параметры</t>
  </si>
  <si>
    <t>calc_along_flow</t>
  </si>
  <si>
    <t>параметры закодированные</t>
  </si>
  <si>
    <t>Расшифровка лога</t>
  </si>
  <si>
    <t xml:space="preserve"> </t>
  </si>
  <si>
    <t>choke_calibr_type</t>
  </si>
  <si>
    <t>show_log</t>
  </si>
  <si>
    <t>num_value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</si>
</sst>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  <font>
      <u/>
      <sz val="10"/>
      <color theme="10"/>
      <name val="Arial Cyr"/>
      <charset val="204"/>
    </font>
  </fonts>
  <fills count="1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66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0" xfId="0" applyFont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9" fillId="4" borderId="2" xfId="0" applyFont="1" applyFill="1" applyBorder="1" applyAlignment="1">
      <alignment horizontal="center" wrapText="1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0" fontId="0" fillId="0" borderId="0" xfId="0" applyFill="1" applyBorder="1"/>
    <xf numFmtId="1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4" borderId="5" xfId="0" applyFill="1" applyBorder="1"/>
    <xf numFmtId="1" fontId="0" fillId="2" borderId="6" xfId="0" applyNumberFormat="1" applyFill="1" applyBorder="1" applyAlignment="1">
      <alignment horizontal="center"/>
    </xf>
    <xf numFmtId="0" fontId="0" fillId="4" borderId="0" xfId="0" applyFill="1"/>
    <xf numFmtId="0" fontId="0" fillId="4" borderId="0" xfId="0" applyFill="1" applyBorder="1"/>
    <xf numFmtId="0" fontId="0" fillId="0" borderId="7" xfId="0" applyBorder="1"/>
    <xf numFmtId="0" fontId="0" fillId="6" borderId="2" xfId="0" applyFill="1" applyBorder="1" applyAlignment="1">
      <alignment horizontal="center"/>
    </xf>
    <xf numFmtId="1" fontId="0" fillId="7" borderId="2" xfId="0" applyNumberFormat="1" applyFill="1" applyBorder="1" applyAlignment="1">
      <alignment horizontal="center"/>
    </xf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9" fillId="4" borderId="2" xfId="0" applyFont="1" applyFill="1" applyBorder="1" applyAlignment="1">
      <alignment horizontal="left"/>
    </xf>
    <xf numFmtId="0" fontId="0" fillId="4" borderId="4" xfId="0" applyFill="1" applyBorder="1" applyAlignment="1">
      <alignment vertical="top"/>
    </xf>
    <xf numFmtId="0" fontId="0" fillId="4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4" borderId="6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17" fillId="0" borderId="0" xfId="9"/>
    <xf numFmtId="0" fontId="9" fillId="4" borderId="4" xfId="0" applyFont="1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9" borderId="0" xfId="0" applyFill="1" applyBorder="1" applyAlignment="1"/>
    <xf numFmtId="165" fontId="0" fillId="10" borderId="0" xfId="0" applyNumberFormat="1" applyFill="1" applyBorder="1" applyAlignment="1">
      <alignment horizontal="center"/>
    </xf>
    <xf numFmtId="0" fontId="0" fillId="10" borderId="0" xfId="0" applyFill="1" applyBorder="1"/>
    <xf numFmtId="165" fontId="0" fillId="10" borderId="0" xfId="0" applyNumberFormat="1" applyFill="1" applyBorder="1" applyAlignment="1">
      <alignment horizontal="left"/>
    </xf>
    <xf numFmtId="0" fontId="0" fillId="10" borderId="0" xfId="0" applyFill="1" applyBorder="1" applyAlignment="1"/>
    <xf numFmtId="0" fontId="0" fillId="10" borderId="0" xfId="0" applyFill="1" applyBorder="1" applyAlignment="1">
      <alignment horizontal="center"/>
    </xf>
    <xf numFmtId="2" fontId="0" fillId="10" borderId="0" xfId="0" applyNumberFormat="1" applyFill="1" applyBorder="1" applyAlignment="1">
      <alignment horizontal="center"/>
    </xf>
    <xf numFmtId="1" fontId="0" fillId="10" borderId="0" xfId="0" applyNumberFormat="1" applyFill="1" applyBorder="1" applyAlignment="1">
      <alignment horizontal="center"/>
    </xf>
    <xf numFmtId="0" fontId="0" fillId="10" borderId="0" xfId="0" applyFill="1" applyBorder="1" applyAlignment="1">
      <alignment horizontal="left"/>
    </xf>
    <xf numFmtId="1" fontId="0" fillId="10" borderId="0" xfId="0" applyNumberFormat="1" applyFill="1" applyBorder="1" applyAlignment="1">
      <alignment horizontal="left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8" borderId="5" xfId="0" applyFill="1" applyBorder="1" applyAlignment="1">
      <alignment horizontal="left"/>
    </xf>
    <xf numFmtId="0" fontId="0" fillId="8" borderId="8" xfId="0" applyFill="1" applyBorder="1" applyAlignment="1">
      <alignment horizontal="left"/>
    </xf>
    <xf numFmtId="0" fontId="0" fillId="8" borderId="9" xfId="0" applyFill="1" applyBorder="1" applyAlignment="1">
      <alignment horizontal="left"/>
    </xf>
    <xf numFmtId="0" fontId="0" fillId="8" borderId="10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7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10">
    <cellStyle name="Iau?iue_AA_1" xfId="1" xr:uid="{00000000-0005-0000-0000-000000000000}"/>
    <cellStyle name="Normal_Sheet2" xfId="6" xr:uid="{00000000-0005-0000-0000-000001000000}"/>
    <cellStyle name="Гиперссылка" xfId="9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exercise_choke!$B$74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exercise_choke!$C$73:$V$73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exercise_choke!$C$74:$V$74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26-4E67-9D72-5C00F2814E65}"/>
            </c:ext>
          </c:extLst>
        </c:ser>
        <c:ser>
          <c:idx val="0"/>
          <c:order val="1"/>
          <c:tx>
            <c:strRef>
              <c:f>exercise_choke!$B$75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exercise_choke!$C$73:$V$73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exercise_choke!$C$75:$V$75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26-4E67-9D72-5C00F2814E65}"/>
            </c:ext>
          </c:extLst>
        </c:ser>
        <c:ser>
          <c:idx val="1"/>
          <c:order val="2"/>
          <c:tx>
            <c:strRef>
              <c:f>exercise_choke!$B$76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exercise_choke!$C$73:$V$73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exercise_choke!$C$76:$V$76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26-4E67-9D72-5C00F2814E65}"/>
            </c:ext>
          </c:extLst>
        </c:ser>
        <c:ser>
          <c:idx val="2"/>
          <c:order val="3"/>
          <c:tx>
            <c:strRef>
              <c:f>exercise_choke!$B$77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exercise_choke!$I$49:$AW$49</c:f>
              <c:numCache>
                <c:formatCode>General</c:formatCode>
                <c:ptCount val="41"/>
              </c:numCache>
            </c:numRef>
          </c:xVal>
          <c:yVal>
            <c:numRef>
              <c:f>exercise_choke!$I$53:$AW$53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26-4E67-9D72-5C00F2814E65}"/>
            </c:ext>
          </c:extLst>
        </c:ser>
        <c:ser>
          <c:idx val="3"/>
          <c:order val="4"/>
          <c:tx>
            <c:strRef>
              <c:f>exercise_choke!$B$78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exercise_choke!$I$49:$AW$49</c:f>
              <c:numCache>
                <c:formatCode>General</c:formatCode>
                <c:ptCount val="41"/>
              </c:numCache>
            </c:numRef>
          </c:xVal>
          <c:yVal>
            <c:numRef>
              <c:f>exercise_choke!$I$54:$AW$54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26-4E67-9D72-5C00F2814E65}"/>
            </c:ext>
          </c:extLst>
        </c:ser>
        <c:ser>
          <c:idx val="5"/>
          <c:order val="5"/>
          <c:tx>
            <c:strRef>
              <c:f>exercise_choke!$B$79</c:f>
              <c:strCache>
                <c:ptCount val="1"/>
                <c:pt idx="0">
                  <c:v>35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exercise_choke!$C$79:$AL$79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126-4E67-9D72-5C00F2814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exercise_choke!$B$62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exercise_choke!$C$62:$AD$62</c:f>
              <c:numCache>
                <c:formatCode>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8-43D2-8AEE-DD7FCF9E776F}"/>
            </c:ext>
          </c:extLst>
        </c:ser>
        <c:ser>
          <c:idx val="0"/>
          <c:order val="1"/>
          <c:tx>
            <c:strRef>
              <c:f>exercise_choke!$B$63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exercise_choke!$C$63:$AD$63</c:f>
              <c:numCache>
                <c:formatCode>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28-43D2-8AEE-DD7FCF9E776F}"/>
            </c:ext>
          </c:extLst>
        </c:ser>
        <c:ser>
          <c:idx val="2"/>
          <c:order val="2"/>
          <c:tx>
            <c:strRef>
              <c:f>exercise_choke!$B$64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exercise_choke!$C$64:$AD$64</c:f>
              <c:numCache>
                <c:formatCode>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28-43D2-8AEE-DD7FCF9E776F}"/>
            </c:ext>
          </c:extLst>
        </c:ser>
        <c:ser>
          <c:idx val="1"/>
          <c:order val="3"/>
          <c:tx>
            <c:strRef>
              <c:f>exercise_choke!$B$65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exercise_choke!$C$65:$AD$65</c:f>
              <c:numCache>
                <c:formatCode>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28-43D2-8AEE-DD7FCF9E776F}"/>
            </c:ext>
          </c:extLst>
        </c:ser>
        <c:ser>
          <c:idx val="5"/>
          <c:order val="4"/>
          <c:tx>
            <c:strRef>
              <c:f>exercise_choke!$B$66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exercise_choke!$C$66:$AD$66</c:f>
              <c:numCache>
                <c:formatCode>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228-43D2-8AEE-DD7FCF9E776F}"/>
            </c:ext>
          </c:extLst>
        </c:ser>
        <c:ser>
          <c:idx val="3"/>
          <c:order val="5"/>
          <c:tx>
            <c:strRef>
              <c:f>exercise_choke!$B$67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exercise_choke!$C$67:$AD$67</c:f>
              <c:numCache>
                <c:formatCode>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228-43D2-8AEE-DD7FCF9E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customXml" Target="../ink/ink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238125</xdr:colOff>
      <xdr:row>5</xdr:row>
      <xdr:rowOff>109743</xdr:rowOff>
    </xdr:from>
    <xdr:to>
      <xdr:col>48</xdr:col>
      <xdr:colOff>166686</xdr:colOff>
      <xdr:row>17</xdr:row>
      <xdr:rowOff>5237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3FA2B49B-5F5C-4BA1-BD0A-AAA0C5B86DEE}"/>
            </a:ext>
          </a:extLst>
        </xdr:cNvPr>
        <xdr:cNvGrpSpPr/>
      </xdr:nvGrpSpPr>
      <xdr:grpSpPr>
        <a:xfrm>
          <a:off x="18134239" y="991486"/>
          <a:ext cx="5414961" cy="2192380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D29F6E5B-A749-4F76-9036-1CB210B2CB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731C0962-EAEA-496B-8F71-C42F7B21C3D8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 = 30 m3/day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0508F4C2-B779-4969-8838-91C4FC1A18EC}"/>
              </a:ext>
            </a:extLst>
          </xdr:cNvPr>
          <xdr:cNvSpPr txBox="1"/>
        </xdr:nvSpPr>
        <xdr:spPr>
          <a:xfrm>
            <a:off x="16282055" y="2085145"/>
            <a:ext cx="1005818" cy="25443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Pbuf = 26 atm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45B8C902-49CF-448D-B135-6C321B60420B}"/>
              </a:ext>
            </a:extLst>
          </xdr:cNvPr>
          <xdr:cNvSpPr txBox="1"/>
        </xdr:nvSpPr>
        <xdr:spPr>
          <a:xfrm>
            <a:off x="20332250" y="2085146"/>
            <a:ext cx="1122809" cy="25443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Pline = 20 atm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9BFC706A-4B2A-4824-88CE-9635A831EE95}"/>
              </a:ext>
            </a:extLst>
          </xdr:cNvPr>
          <xdr:cNvSpPr txBox="1"/>
        </xdr:nvSpPr>
        <xdr:spPr>
          <a:xfrm>
            <a:off x="18468664" y="1789043"/>
            <a:ext cx="1390959" cy="25443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dchoke = 20 mm</a:t>
            </a:fld>
            <a:endParaRPr lang="ru-RU" sz="1100"/>
          </a:p>
        </xdr:txBody>
      </xdr:sp>
    </xdr:grpSp>
    <xdr:clientData/>
  </xdr:twoCellAnchor>
  <xdr:twoCellAnchor>
    <xdr:from>
      <xdr:col>6</xdr:col>
      <xdr:colOff>404312</xdr:colOff>
      <xdr:row>0</xdr:row>
      <xdr:rowOff>59162</xdr:rowOff>
    </xdr:from>
    <xdr:to>
      <xdr:col>17</xdr:col>
      <xdr:colOff>375067</xdr:colOff>
      <xdr:row>17</xdr:row>
      <xdr:rowOff>180294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D31DD71-C8CF-4FAC-9E29-7816EF1B1D62}"/>
            </a:ext>
          </a:extLst>
        </xdr:cNvPr>
        <xdr:cNvSpPr txBox="1"/>
      </xdr:nvSpPr>
      <xdr:spPr>
        <a:xfrm>
          <a:off x="4566737" y="59162"/>
          <a:ext cx="4695155" cy="347393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Упражнение показывает расчет потока через штуцер. Расчет может проводится в нескольких вариантах. Примеры вызова приведены.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на выходе из штуцера от дебита при различных диаметрах и давлениях на входе с учетом калибровочного коэффициента. Подстройте ось дебитов вручную если необходимо.</a:t>
          </a:r>
          <a:endParaRPr lang="en-US" sz="1100" baseline="0"/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Постройте зависимость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давления на входе в штуцер от дебита  с учетом калибровочного коэффициента. Подстройте ось дебитов вручную если необходимо 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MF_p_choke_atma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MF_qliq_choke_sm3day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MF_calibr_choke_fr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</xdr:txBody>
    </xdr:sp>
    <xdr:clientData/>
  </xdr:twoCellAnchor>
  <xdr:twoCellAnchor>
    <xdr:from>
      <xdr:col>40</xdr:col>
      <xdr:colOff>330615</xdr:colOff>
      <xdr:row>87</xdr:row>
      <xdr:rowOff>19787</xdr:rowOff>
    </xdr:from>
    <xdr:to>
      <xdr:col>56</xdr:col>
      <xdr:colOff>522114</xdr:colOff>
      <xdr:row>114</xdr:row>
      <xdr:rowOff>75520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5D67BB7-BFF9-48A1-8786-794EE192C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314739</xdr:colOff>
      <xdr:row>51</xdr:row>
      <xdr:rowOff>107674</xdr:rowOff>
    </xdr:from>
    <xdr:to>
      <xdr:col>5</xdr:col>
      <xdr:colOff>165652</xdr:colOff>
      <xdr:row>56</xdr:row>
      <xdr:rowOff>16566</xdr:rowOff>
    </xdr:to>
    <xdr:sp macro="" textlink="">
      <xdr:nvSpPr>
        <xdr:cNvPr id="12" name="Выноска: стрелка вверх 11">
          <a:extLst>
            <a:ext uri="{FF2B5EF4-FFF2-40B4-BE49-F238E27FC236}">
              <a16:creationId xmlns:a16="http://schemas.microsoft.com/office/drawing/2014/main" id="{E9AECE4A-4D76-4BFF-9EBD-B5B51504DB88}"/>
            </a:ext>
          </a:extLst>
        </xdr:cNvPr>
        <xdr:cNvSpPr/>
      </xdr:nvSpPr>
      <xdr:spPr>
        <a:xfrm>
          <a:off x="924339" y="9013549"/>
          <a:ext cx="2746513" cy="71851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калибровочный коэффициент для заданных параметров</a:t>
          </a:r>
          <a:endParaRPr lang="ru-RU" sz="1100"/>
        </a:p>
      </xdr:txBody>
    </xdr:sp>
    <xdr:clientData/>
  </xdr:twoCellAnchor>
  <xdr:twoCellAnchor>
    <xdr:from>
      <xdr:col>31</xdr:col>
      <xdr:colOff>24848</xdr:colOff>
      <xdr:row>58</xdr:row>
      <xdr:rowOff>91109</xdr:rowOff>
    </xdr:from>
    <xdr:to>
      <xdr:col>39</xdr:col>
      <xdr:colOff>67991</xdr:colOff>
      <xdr:row>68</xdr:row>
      <xdr:rowOff>33880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738F76EB-891D-48AB-9E2A-DD4F596B723B}"/>
            </a:ext>
          </a:extLst>
        </xdr:cNvPr>
        <xdr:cNvSpPr/>
      </xdr:nvSpPr>
      <xdr:spPr>
        <a:xfrm>
          <a:off x="16531673" y="6244259"/>
          <a:ext cx="3091143" cy="156202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10</xdr:col>
      <xdr:colOff>301132</xdr:colOff>
      <xdr:row>80</xdr:row>
      <xdr:rowOff>36234</xdr:rowOff>
    </xdr:from>
    <xdr:to>
      <xdr:col>17</xdr:col>
      <xdr:colOff>158182</xdr:colOff>
      <xdr:row>88</xdr:row>
      <xdr:rowOff>83342</xdr:rowOff>
    </xdr:to>
    <xdr:sp macro="" textlink="">
      <xdr:nvSpPr>
        <xdr:cNvPr id="14" name="Выноска: стрелка вверх 13">
          <a:extLst>
            <a:ext uri="{FF2B5EF4-FFF2-40B4-BE49-F238E27FC236}">
              <a16:creationId xmlns:a16="http://schemas.microsoft.com/office/drawing/2014/main" id="{01E8775A-04DA-40EA-B4FE-2D5C5A86FFA0}"/>
            </a:ext>
          </a:extLst>
        </xdr:cNvPr>
        <xdr:cNvSpPr/>
      </xdr:nvSpPr>
      <xdr:spPr>
        <a:xfrm>
          <a:off x="7159132" y="14282913"/>
          <a:ext cx="3149979" cy="1353393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необходимые значения в этой таблице.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Ниже автоматом должны отобразиться графики, если все сделать правильно</a:t>
          </a:r>
          <a:endParaRPr lang="ru-RU">
            <a:effectLst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44C88B08-DCC0-40E4-A678-90338678C36E}"/>
            </a:ext>
          </a:extLst>
        </xdr:cNvPr>
        <xdr:cNvSpPr/>
      </xdr:nvSpPr>
      <xdr:spPr>
        <a:xfrm>
          <a:off x="29768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 editAs="oneCell">
    <xdr:from>
      <xdr:col>50</xdr:col>
      <xdr:colOff>309563</xdr:colOff>
      <xdr:row>0</xdr:row>
      <xdr:rowOff>142875</xdr:rowOff>
    </xdr:from>
    <xdr:to>
      <xdr:col>59</xdr:col>
      <xdr:colOff>395287</xdr:colOff>
      <xdr:row>20</xdr:row>
      <xdr:rowOff>50006</xdr:rowOff>
    </xdr:to>
    <xdr:pic>
      <xdr:nvPicPr>
        <xdr:cNvPr id="16" name="Рисунок 15" descr="Vena Contracta after a Restriction Orifice">
          <a:extLst>
            <a:ext uri="{FF2B5EF4-FFF2-40B4-BE49-F238E27FC236}">
              <a16:creationId xmlns:a16="http://schemas.microsoft.com/office/drawing/2014/main" id="{9ECB3B5C-A8DE-4EC6-94F5-3F2DB331F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69388" y="142875"/>
          <a:ext cx="5343525" cy="395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11907</xdr:colOff>
      <xdr:row>24</xdr:row>
      <xdr:rowOff>35720</xdr:rowOff>
    </xdr:from>
    <xdr:to>
      <xdr:col>60</xdr:col>
      <xdr:colOff>406826</xdr:colOff>
      <xdr:row>57</xdr:row>
      <xdr:rowOff>154782</xdr:rowOff>
    </xdr:to>
    <xdr:pic>
      <xdr:nvPicPr>
        <xdr:cNvPr id="17" name="Рисунок 16" descr="Choked Flow">
          <a:extLst>
            <a:ext uri="{FF2B5EF4-FFF2-40B4-BE49-F238E27FC236}">
              <a16:creationId xmlns:a16="http://schemas.microsoft.com/office/drawing/2014/main" id="{2132507A-D226-4C11-9347-0BB2208EE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52732" y="4798220"/>
          <a:ext cx="5881319" cy="5719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356231</xdr:colOff>
      <xdr:row>11</xdr:row>
      <xdr:rowOff>89602</xdr:rowOff>
    </xdr:from>
    <xdr:to>
      <xdr:col>40</xdr:col>
      <xdr:colOff>111551</xdr:colOff>
      <xdr:row>12</xdr:row>
      <xdr:rowOff>1597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D0AEB788-D7B9-4987-8DF6-15AB17840CFE}"/>
                </a:ext>
              </a:extLst>
            </xdr14:cNvPr>
            <xdr14:cNvContentPartPr/>
          </xdr14:nvContentPartPr>
          <xdr14:nvPr macro=""/>
          <xdr14:xfrm>
            <a:off x="17251200" y="2066040"/>
            <a:ext cx="517320" cy="150120"/>
          </xdr14:xfrm>
        </xdr:contentPart>
      </mc:Choice>
      <mc:Fallback xmlns="">
        <xdr:pic>
          <xdr:nvPicPr>
            <xdr:cNvPr id="153" name="Рукописный ввод 152">
              <a:extLst>
                <a:ext uri="{FF2B5EF4-FFF2-40B4-BE49-F238E27FC236}">
                  <a16:creationId xmlns:a16="http://schemas.microsoft.com/office/drawing/2014/main" id="{CA2C8D5E-D33F-4A03-8EEA-F408A26B3B2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7242560" y="2057400"/>
              <a:ext cx="534960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41</xdr:col>
      <xdr:colOff>91167</xdr:colOff>
      <xdr:row>58</xdr:row>
      <xdr:rowOff>151634</xdr:rowOff>
    </xdr:from>
    <xdr:to>
      <xdr:col>56</xdr:col>
      <xdr:colOff>530678</xdr:colOff>
      <xdr:row>86</xdr:row>
      <xdr:rowOff>14628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49F843B-3A5E-4891-9249-3C05C1DD8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MF_choke_calibr"/>
      <definedName name="MF_choke_calibr_fast"/>
      <definedName name="MF_choke_p_atma"/>
      <definedName name="MF_choke_q_sm3day"/>
      <definedName name="MF_q_choke_sm3day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5-04T08:16:46.835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267 4 80 0 0,'0'0'343'0'0,"0"0"11"0"0,0 0-10 0 0,0 0 1 0 0,0 0 11 0 0,0 0 13 0 0,0 0 36 0 0,-16 10 4782 0 0,12-9-4939 0 0,0 3 1 0 0,1-3 0 0 0,-1 0-1 0 0,0 3 1 0 0,1-2 0 0 0,0 0-1 0 0,0 2 1 0 0,0-3 0 0 0,1 3-1 0 0,-1-2 1 0 0,1 2-249 0 0,-23 18 881 0 0,0-1-273 0 0,2 1 0 0 0,0 0 0 0 0,-1 6-608 0 0,-22 21 252 0 0,15-12-1105 0 0,25-32 1372 0 0,-2 5-4151 0 0,7-7-955 0 0,9-9 988 0 0,-1 3 2444 0 0</inkml:trace>
  <inkml:trace contextRef="#ctx0" brushRef="#br0" timeOffset="1">471 40 116 0 0,'-7'5'514'0'0,"0"0"0"0"0,0 0 1 0 0,1 1-1 0 0,0 0 0 0 0,-2-1 0 0 0,2 2 1 0 0,-2 5-515 0 0,2-5 350 0 0,-168 168 2748 0 0,174-175-3369 0 0,-15 17 68 0 0,14-11-5204 0 0,1-6 4460 0 0</inkml:trace>
  <inkml:trace contextRef="#ctx0" brushRef="#br0" timeOffset="2">646 70 188 0 0,'-13'19'773'0'0,"0"-1"0"0"0,-2 0-1 0 0,-4 4-772 0 0,3-5 684 0 0,1 1 0 0 0,0 2 0 0 0,-1 4-684 0 0,-27 27-144 0 0,41-45-155 0 0,1-3-2709 0 0,1-3 2165 0 0</inkml:trace>
  <inkml:trace contextRef="#ctx0" brushRef="#br0" timeOffset="3">882 53 188 0 0,'-3'5'375'0'0,"0"1"-1"0"0,-1 0 1 0 0,1-2 0 0 0,-1 1-1 0 0,0 1 1 0 0,-1-1 0 0 0,1 0-1 0 0,-2 0 1 0 0,1-1-1 0 0,-2-1 1 0 0,2 2-375 0 0,-14 12 823 0 0,0-1 1 0 0,0 1-1 0 0,2 3-823 0 0,2-3 561 0 0,-1-1-1 0 0,-1 0 1 0 0,-11 7-561 0 0,26-21-167 0 0,-1-1 1 0 0,1 1 0 0 0,0 0-1 0 0,0 0 1 0 0,0 0 0 0 0,1 0-1 0 0,-2 1 1 0 0,2-1 0 0 0,0-1-1 0 0,0 3 1 0 0,0-2 0 0 0,0 1-1 0 0,0 0 1 0 0,0-2 0 0 0,1 2 0 0 0,-1-1-1 0 0,1 3 167 0 0,0-5-1060 0 0,14-5-2464 0 0,-4 0 2535 0 0</inkml:trace>
  <inkml:trace contextRef="#ctx0" brushRef="#br0" timeOffset="4">1110 66 592 0 0,'-36'31'2652'0'0,"9"-10"-1656"0"0,2 1 0 0 0,0-1 0 0 0,3 2 1 0 0,0 2-1 0 0,0-1 0 0 0,3 4-996 0 0,18-27-192 0 0,-10 20-100 0 0,7-13-1049 0 0,8-7-2062 0 0,3-7 967 0 0,-1 4 1359 0 0</inkml:trace>
  <inkml:trace contextRef="#ctx0" brushRef="#br0" timeOffset="5">1400 1 572 0 0,'-121'123'4885'0'0,"96"-99"-4182"0"0,0 1 0 0 0,4 0 0 0 0,-16 21-703 0 0,31-37-557 0 0,-1-1 0 0 0,0 1 0 0 0,0-2 0 0 0,-10 8 557 0 0,16-15-971 0 0,1 0-138 0 0,7-1-1114 0 0,1-4 1252 0 0</inkml:trace>
  <inkml:trace contextRef="#ctx0" brushRef="#br0" timeOffset="6">1498 92 168 0 0,'-59'90'6461'0'0,"19"-35"-4030"0"0,15-21-1163 0 0,-25 26-1268 0 0,32-38-1721 0 0,13-14-4629 0 0,5-8 4877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utrium.net/wp-content/uploads/2015/01/Choked-Flow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3FD2-B877-4EE3-9D31-2AA865ABB49B}">
  <sheetPr codeName="Worksheet_Choke2">
    <outlinePr summaryBelow="0"/>
  </sheetPr>
  <dimension ref="A1:AZ79"/>
  <sheetViews>
    <sheetView tabSelected="1" topLeftCell="A13" zoomScale="70" zoomScaleNormal="70" workbookViewId="0">
      <selection activeCell="L21" sqref="L21"/>
    </sheetView>
  </sheetViews>
  <sheetFormatPr defaultRowHeight="13.2" x14ac:dyDescent="0.25"/>
  <cols>
    <col min="2" max="12" width="10.44140625" customWidth="1"/>
    <col min="13" max="22" width="5.6640625" customWidth="1"/>
    <col min="23" max="23" width="13.5546875" customWidth="1"/>
    <col min="24" max="24" width="9.109375" customWidth="1"/>
    <col min="25" max="51" width="5.6640625" customWidth="1"/>
  </cols>
  <sheetData>
    <row r="1" spans="1:38" x14ac:dyDescent="0.25">
      <c r="A1" s="1" t="s">
        <v>14</v>
      </c>
      <c r="F1" t="s">
        <v>15</v>
      </c>
      <c r="G1" t="str">
        <f>[1]!unf_Version()</f>
        <v>7.26</v>
      </c>
      <c r="H1" t="s">
        <v>45</v>
      </c>
      <c r="I1" s="28">
        <v>44265</v>
      </c>
      <c r="J1" s="29"/>
      <c r="K1" s="29"/>
      <c r="L1" s="29"/>
      <c r="AL1" t="str">
        <f>"dchoke = "&amp;Plin_&amp;" mm"</f>
        <v>dchoke = 20 mm</v>
      </c>
    </row>
    <row r="2" spans="1:38" x14ac:dyDescent="0.25">
      <c r="A2" t="s">
        <v>59</v>
      </c>
      <c r="H2" t="s">
        <v>46</v>
      </c>
      <c r="I2" s="30">
        <v>7.26</v>
      </c>
      <c r="J2" s="29"/>
      <c r="K2" s="29"/>
      <c r="L2" s="29"/>
      <c r="AL2" t="str">
        <f>"Pbuf = "&amp;Pbuf_&amp;" atm"</f>
        <v>Pbuf = 26 atm</v>
      </c>
    </row>
    <row r="3" spans="1:38" ht="14.4" x14ac:dyDescent="0.3">
      <c r="A3" s="31" t="s">
        <v>47</v>
      </c>
      <c r="B3" s="54" t="s">
        <v>48</v>
      </c>
      <c r="C3" s="55"/>
      <c r="D3" s="55"/>
      <c r="E3" s="56"/>
      <c r="H3" t="s">
        <v>49</v>
      </c>
      <c r="I3" s="29" t="s">
        <v>48</v>
      </c>
      <c r="J3" s="29"/>
      <c r="K3" s="29"/>
      <c r="L3" s="29"/>
      <c r="AL3" t="str">
        <f>"Pline = "&amp;Plin_&amp;" atm"</f>
        <v>Pline = 20 atm</v>
      </c>
    </row>
    <row r="4" spans="1:38" ht="14.4" x14ac:dyDescent="0.3">
      <c r="A4" s="31" t="s">
        <v>50</v>
      </c>
      <c r="B4" s="54" t="s">
        <v>51</v>
      </c>
      <c r="C4" s="55"/>
      <c r="D4" s="55"/>
      <c r="E4" s="56"/>
      <c r="H4" t="s">
        <v>52</v>
      </c>
      <c r="I4" s="29" t="s">
        <v>51</v>
      </c>
      <c r="J4" s="29"/>
      <c r="K4" s="29"/>
      <c r="L4" s="29"/>
      <c r="AL4" t="str">
        <f>"Q = "&amp;Qliq_&amp;" m3/day"</f>
        <v>Q = 30 m3/day</v>
      </c>
    </row>
    <row r="5" spans="1:38" ht="14.4" x14ac:dyDescent="0.3">
      <c r="A5" s="31" t="s">
        <v>53</v>
      </c>
      <c r="B5" s="54" t="s">
        <v>54</v>
      </c>
      <c r="C5" s="55"/>
      <c r="D5" s="55"/>
      <c r="E5" s="56"/>
      <c r="H5" t="s">
        <v>55</v>
      </c>
      <c r="I5" s="29" t="s">
        <v>54</v>
      </c>
      <c r="J5" s="29"/>
      <c r="K5" s="29"/>
      <c r="L5" s="29"/>
    </row>
    <row r="6" spans="1:38" x14ac:dyDescent="0.25">
      <c r="A6" s="32" t="s">
        <v>56</v>
      </c>
      <c r="B6" s="57" t="s">
        <v>57</v>
      </c>
      <c r="C6" s="58"/>
      <c r="D6" s="58"/>
      <c r="E6" s="59"/>
      <c r="H6" s="33" t="s">
        <v>58</v>
      </c>
      <c r="I6" s="34" t="s">
        <v>57</v>
      </c>
      <c r="J6" s="34"/>
      <c r="K6" s="34"/>
      <c r="L6" s="34"/>
    </row>
    <row r="7" spans="1:38" x14ac:dyDescent="0.25">
      <c r="A7" s="35"/>
      <c r="B7" s="60"/>
      <c r="C7" s="61"/>
      <c r="D7" s="61"/>
      <c r="E7" s="62"/>
      <c r="H7" s="33"/>
      <c r="I7" s="34"/>
      <c r="J7" s="34"/>
      <c r="K7" s="34"/>
      <c r="L7" s="34"/>
    </row>
    <row r="8" spans="1:38" x14ac:dyDescent="0.25">
      <c r="A8" s="36"/>
      <c r="B8" s="63"/>
      <c r="C8" s="64"/>
      <c r="D8" s="64"/>
      <c r="E8" s="65"/>
      <c r="H8" s="33"/>
      <c r="I8" s="34"/>
      <c r="J8" s="34"/>
      <c r="K8" s="34"/>
      <c r="L8" s="34"/>
    </row>
    <row r="10" spans="1:38" x14ac:dyDescent="0.25">
      <c r="A10" s="1" t="s">
        <v>0</v>
      </c>
    </row>
    <row r="11" spans="1:38" ht="16.8" x14ac:dyDescent="0.35">
      <c r="B11" s="8" t="s">
        <v>23</v>
      </c>
      <c r="C11" s="2">
        <v>0.86</v>
      </c>
      <c r="D11" s="41"/>
      <c r="E11" s="12">
        <f>gamma_oil_*1000</f>
        <v>860</v>
      </c>
      <c r="F11" s="14" t="s">
        <v>32</v>
      </c>
    </row>
    <row r="12" spans="1:38" ht="16.8" x14ac:dyDescent="0.35">
      <c r="B12" s="9" t="s">
        <v>24</v>
      </c>
      <c r="C12" s="2">
        <v>1</v>
      </c>
      <c r="D12" s="41"/>
      <c r="E12" s="12">
        <f>gamma_wat_*1000</f>
        <v>1000</v>
      </c>
      <c r="F12" s="14" t="s">
        <v>32</v>
      </c>
    </row>
    <row r="13" spans="1:38" ht="16.8" x14ac:dyDescent="0.35">
      <c r="B13" s="9" t="s">
        <v>25</v>
      </c>
      <c r="C13" s="2">
        <v>0.9</v>
      </c>
      <c r="D13" s="41"/>
      <c r="E13" s="12">
        <f>gamma_gas_*1.22</f>
        <v>1.0980000000000001</v>
      </c>
      <c r="F13" s="14" t="s">
        <v>32</v>
      </c>
    </row>
    <row r="14" spans="1:38" ht="16.8" x14ac:dyDescent="0.35">
      <c r="B14" s="10" t="s">
        <v>26</v>
      </c>
      <c r="C14" s="2">
        <v>200</v>
      </c>
      <c r="D14" s="9" t="s">
        <v>35</v>
      </c>
      <c r="E14" s="13">
        <f>Rsb_/gamma_oil_</f>
        <v>232.55813953488374</v>
      </c>
      <c r="F14" s="14" t="s">
        <v>33</v>
      </c>
    </row>
    <row r="15" spans="1:38" ht="16.8" x14ac:dyDescent="0.35">
      <c r="B15" s="10" t="s">
        <v>27</v>
      </c>
      <c r="C15" s="2">
        <v>250</v>
      </c>
      <c r="D15" s="9" t="s">
        <v>35</v>
      </c>
      <c r="E15" s="13">
        <f>Rsb_/gamma_oil_</f>
        <v>232.55813953488374</v>
      </c>
      <c r="F15" s="14" t="s">
        <v>33</v>
      </c>
    </row>
    <row r="16" spans="1:38" ht="15.6" x14ac:dyDescent="0.35">
      <c r="B16" s="9" t="s">
        <v>28</v>
      </c>
      <c r="C16" s="2"/>
      <c r="D16" s="41" t="s">
        <v>5</v>
      </c>
      <c r="E16" s="13">
        <f>Pb_*1.01325</f>
        <v>0</v>
      </c>
      <c r="F16" s="15" t="s">
        <v>6</v>
      </c>
    </row>
    <row r="17" spans="1:52" ht="15.6" x14ac:dyDescent="0.35">
      <c r="B17" s="9" t="s">
        <v>29</v>
      </c>
      <c r="C17" s="2">
        <v>100</v>
      </c>
      <c r="D17" s="41" t="s">
        <v>2</v>
      </c>
      <c r="E17" s="13">
        <f>Tres_*9/5+32</f>
        <v>212</v>
      </c>
      <c r="F17" s="15" t="s">
        <v>7</v>
      </c>
    </row>
    <row r="18" spans="1:52" ht="15.6" x14ac:dyDescent="0.35">
      <c r="B18" s="10" t="s">
        <v>30</v>
      </c>
      <c r="C18" s="2"/>
      <c r="D18" s="40" t="s">
        <v>1</v>
      </c>
    </row>
    <row r="19" spans="1:52" ht="15.6" x14ac:dyDescent="0.35">
      <c r="B19" s="11" t="s">
        <v>31</v>
      </c>
      <c r="C19" s="2"/>
      <c r="D19" s="41" t="s">
        <v>4</v>
      </c>
    </row>
    <row r="20" spans="1:52" ht="16.8" x14ac:dyDescent="0.35">
      <c r="B20" s="9" t="s">
        <v>24</v>
      </c>
      <c r="C20" s="2">
        <v>1.2</v>
      </c>
      <c r="D20" s="41"/>
      <c r="E20" s="12">
        <f>gamma_wat_kf_*1000</f>
        <v>1200</v>
      </c>
      <c r="F20" s="14" t="s">
        <v>32</v>
      </c>
    </row>
    <row r="21" spans="1:52" x14ac:dyDescent="0.25">
      <c r="A21" s="1" t="s">
        <v>9</v>
      </c>
      <c r="C21" s="7"/>
    </row>
    <row r="22" spans="1:52" ht="15.6" x14ac:dyDescent="0.35">
      <c r="B22" s="11" t="s">
        <v>34</v>
      </c>
      <c r="C22" s="2">
        <v>0</v>
      </c>
      <c r="D22" s="41" t="s">
        <v>3</v>
      </c>
      <c r="F22" s="11" t="s">
        <v>62</v>
      </c>
      <c r="G22" s="2">
        <v>0</v>
      </c>
    </row>
    <row r="23" spans="1:52" ht="14.4" x14ac:dyDescent="0.3">
      <c r="B23" s="11" t="s">
        <v>39</v>
      </c>
      <c r="C23" s="2">
        <v>20</v>
      </c>
      <c r="D23" s="41" t="s">
        <v>2</v>
      </c>
      <c r="AZ23" s="37" t="s">
        <v>60</v>
      </c>
    </row>
    <row r="24" spans="1:52" x14ac:dyDescent="0.25">
      <c r="A24" s="1" t="s">
        <v>11</v>
      </c>
      <c r="C24" s="3"/>
      <c r="D24" s="3"/>
      <c r="F24" s="42" t="s">
        <v>16</v>
      </c>
      <c r="G24" s="24" t="str">
        <f>[1]!encode_PVT(gamma_gas_,gamma_oil_,gamma_wat_,Rsb_,Pb_,Tres_,Bob_,muob_)</f>
        <v>{"gamma_gas":0.9,"gamma_oil":0.86,"gamma_wat":1,"rsb_m3m3":200,"t_res_C":100}</v>
      </c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</row>
    <row r="25" spans="1:52" ht="15.6" x14ac:dyDescent="0.35">
      <c r="B25" s="11" t="s">
        <v>40</v>
      </c>
      <c r="C25" s="2">
        <v>70</v>
      </c>
      <c r="D25" s="41" t="s">
        <v>12</v>
      </c>
      <c r="F25" t="s">
        <v>63</v>
      </c>
      <c r="G25" s="24" t="str" cm="1">
        <f t="array" ref="G25">[1]!encode_feed(Qliq_,fw_,Rp_,qgas_free,PVTstr_)</f>
        <v>{"gamma_gas":0.9,"gamma_oil":0.86,"gamma_wat":1,"rsb_m3m3":200,"t_res_C":100,"q_liq_sm3day":30,"fw_perc":0,"rp_m3m3":250}</v>
      </c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</row>
    <row r="26" spans="1:52" ht="15.6" x14ac:dyDescent="0.35">
      <c r="B26" s="11" t="s">
        <v>41</v>
      </c>
      <c r="C26" s="2">
        <v>10</v>
      </c>
      <c r="D26" s="41" t="s">
        <v>12</v>
      </c>
    </row>
    <row r="27" spans="1:52" ht="15.6" x14ac:dyDescent="0.35">
      <c r="B27" s="11" t="s">
        <v>44</v>
      </c>
      <c r="C27" s="2">
        <v>30</v>
      </c>
      <c r="D27" s="41" t="s">
        <v>17</v>
      </c>
      <c r="F27" t="s">
        <v>64</v>
      </c>
      <c r="I27" t="s">
        <v>66</v>
      </c>
    </row>
    <row r="28" spans="1:52" ht="15.6" x14ac:dyDescent="0.35">
      <c r="B28" s="11" t="s">
        <v>43</v>
      </c>
      <c r="C28" s="2">
        <v>26</v>
      </c>
      <c r="D28" s="41" t="s">
        <v>18</v>
      </c>
      <c r="F28" s="23" t="s">
        <v>65</v>
      </c>
      <c r="G28" s="23">
        <v>1</v>
      </c>
      <c r="I28" s="24" t="str" cm="1">
        <f t="array" ref="I28">[1]!encode_json(F28:G31)</f>
        <v>{"calc_along_flow":1,"choke_calibr_type":0,"show_log":1}</v>
      </c>
      <c r="J28" s="24"/>
      <c r="K28" s="24"/>
      <c r="L28" s="24"/>
      <c r="M28" s="24"/>
      <c r="N28" s="24"/>
    </row>
    <row r="29" spans="1:52" ht="15.6" x14ac:dyDescent="0.35">
      <c r="B29" s="38" t="s">
        <v>42</v>
      </c>
      <c r="C29" s="39">
        <v>20</v>
      </c>
      <c r="D29" s="16" t="s">
        <v>18</v>
      </c>
      <c r="F29" s="23" t="s">
        <v>69</v>
      </c>
      <c r="G29" s="23">
        <v>0</v>
      </c>
    </row>
    <row r="30" spans="1:52" ht="15.6" x14ac:dyDescent="0.35">
      <c r="B30" s="11" t="s">
        <v>61</v>
      </c>
      <c r="C30" s="2"/>
      <c r="D30" s="41" t="s">
        <v>17</v>
      </c>
      <c r="F30" s="23" t="s">
        <v>70</v>
      </c>
      <c r="G30" s="23">
        <v>1</v>
      </c>
    </row>
    <row r="31" spans="1:52" x14ac:dyDescent="0.25">
      <c r="B31" s="6"/>
      <c r="F31" s="23" t="s">
        <v>71</v>
      </c>
      <c r="G31" s="23"/>
    </row>
    <row r="32" spans="1:52" x14ac:dyDescent="0.25">
      <c r="B32" s="25" t="s">
        <v>36</v>
      </c>
      <c r="C32" s="25"/>
      <c r="D32" s="25"/>
      <c r="E32" s="25"/>
      <c r="F32" s="25"/>
      <c r="G32" s="23"/>
    </row>
    <row r="34" spans="2:17" x14ac:dyDescent="0.25">
      <c r="B34" s="18" t="s">
        <v>19</v>
      </c>
      <c r="Q34" t="s">
        <v>67</v>
      </c>
    </row>
    <row r="35" spans="2:17" x14ac:dyDescent="0.25">
      <c r="B35" s="43" cm="1">
        <f t="array" ref="B35:L37">[1]!MF_choke_p_atma(d_choke,feed,Pbuf_,T_choke,d_pipe,G28,I28)</f>
        <v>24.5257568359375</v>
      </c>
      <c r="C35" s="43">
        <v>26</v>
      </c>
      <c r="D35" s="43">
        <v>24.5257568359375</v>
      </c>
      <c r="E35" s="43">
        <v>20</v>
      </c>
      <c r="F35" s="43">
        <v>1</v>
      </c>
      <c r="G35" s="47">
        <v>30</v>
      </c>
      <c r="H35" s="47">
        <v>7500</v>
      </c>
      <c r="I35" s="48">
        <v>19.47283659982962</v>
      </c>
      <c r="J35" s="49">
        <v>164.2254978960822</v>
      </c>
      <c r="K35" s="49">
        <v>51.827864088588115</v>
      </c>
      <c r="L35" s="46" t="str">
        <v>{"gamma_gas":0.9,"gamma_oil":0.86,"gamma_wat":1,"rsb_m3m3":200,"t_res_C":100,"PVT_corr_set":0,"q_liq_sm3day":30,"fw_perc":0,"rp_m3m3":250}</v>
      </c>
      <c r="P35" t="s">
        <v>68</v>
      </c>
      <c r="Q35" t="str" cm="1">
        <f t="array" ref="Q35">[1]!decode_json(B37)</f>
        <v>info: calibr_type = 0, standard calibration, choke_calibr = 1</v>
      </c>
    </row>
    <row r="36" spans="2:17" x14ac:dyDescent="0.25">
      <c r="B36" s="45" t="str">
        <v>p_out_atma</v>
      </c>
      <c r="C36" s="45" t="str">
        <v>p_intake_atma</v>
      </c>
      <c r="D36" s="45" t="str">
        <v>p_out_atma</v>
      </c>
      <c r="E36" s="45" t="str">
        <v>t_choke_C</v>
      </c>
      <c r="F36" s="45" t="str">
        <v>c_calibr_fr</v>
      </c>
      <c r="G36" s="50" t="str">
        <v>q_liq_sm3day</v>
      </c>
      <c r="H36" s="50" t="str">
        <v>q_gas_sm3day</v>
      </c>
      <c r="I36" s="50" t="str">
        <v>t_choke_throat_C</v>
      </c>
      <c r="J36" s="50" t="str">
        <v>sonic_vel_msec</v>
      </c>
      <c r="K36" s="50" t="str">
        <v>q_liq_max_sm3day</v>
      </c>
      <c r="L36" s="50" t="str">
        <v>feed</v>
      </c>
    </row>
    <row r="37" spans="2:17" x14ac:dyDescent="0.25">
      <c r="B37" s="50" t="str">
        <v>["info: calibr_type = 0, standard calibration, choke_calibr = 1"]</v>
      </c>
      <c r="C37" s="47" t="str">
        <v/>
      </c>
      <c r="D37" s="47" t="str">
        <v/>
      </c>
      <c r="E37" s="47" t="str">
        <v/>
      </c>
      <c r="F37" s="47" t="str">
        <v/>
      </c>
      <c r="G37" s="47" t="str">
        <v/>
      </c>
      <c r="H37" s="47" t="str">
        <v/>
      </c>
      <c r="I37" s="47" t="str">
        <v/>
      </c>
      <c r="J37" s="47" t="str">
        <v/>
      </c>
      <c r="K37" s="47" t="str">
        <v/>
      </c>
      <c r="L37" s="47" t="str">
        <v/>
      </c>
    </row>
    <row r="39" spans="2:17" x14ac:dyDescent="0.25">
      <c r="B39" s="18" t="s">
        <v>20</v>
      </c>
    </row>
    <row r="40" spans="2:17" x14ac:dyDescent="0.25">
      <c r="B40" s="43" t="e" cm="1">
        <f t="array" ref="B40">[1]!MF_choke_p_atma(feed,d_choke,Plin_,0,T_choke,d_pipe,I28)</f>
        <v>#VALUE!</v>
      </c>
      <c r="C40" s="43"/>
      <c r="D40" s="43"/>
      <c r="E40" s="43"/>
      <c r="F40" s="43"/>
      <c r="G40" s="47"/>
      <c r="H40" s="47"/>
      <c r="I40" s="48"/>
      <c r="J40" s="49"/>
      <c r="K40" s="49"/>
      <c r="L40" s="46"/>
      <c r="P40" t="s">
        <v>68</v>
      </c>
      <c r="Q40" t="str" cm="1">
        <f t="array" ref="Q40">[1]!decode_json(B42)</f>
        <v>error</v>
      </c>
    </row>
    <row r="41" spans="2:17" x14ac:dyDescent="0.25">
      <c r="B41" s="45"/>
      <c r="C41" s="45"/>
      <c r="D41" s="45"/>
      <c r="E41" s="45"/>
      <c r="F41" s="45"/>
      <c r="G41" s="50"/>
      <c r="H41" s="50"/>
      <c r="I41" s="50"/>
      <c r="J41" s="50"/>
      <c r="K41" s="50"/>
      <c r="L41" s="50"/>
    </row>
    <row r="42" spans="2:17" x14ac:dyDescent="0.25">
      <c r="B42" s="50"/>
      <c r="C42" s="47"/>
      <c r="D42" s="47"/>
      <c r="E42" s="47"/>
      <c r="F42" s="47"/>
      <c r="G42" s="47"/>
      <c r="H42" s="47"/>
      <c r="I42" s="47"/>
      <c r="J42" s="47"/>
      <c r="K42" s="47"/>
      <c r="L42" s="47"/>
    </row>
    <row r="44" spans="2:17" x14ac:dyDescent="0.25">
      <c r="B44" t="s">
        <v>22</v>
      </c>
    </row>
    <row r="45" spans="2:17" x14ac:dyDescent="0.25">
      <c r="B45" s="43" cm="1">
        <f t="array" ref="B45:L47">[1]!MF_choke_q_sm3day(feed,d_choke,Pbuf_,Plin_,T_choke,,I28)</f>
        <v>49.899947566854614</v>
      </c>
      <c r="C45" s="43">
        <v>26</v>
      </c>
      <c r="D45" s="43">
        <v>20</v>
      </c>
      <c r="E45" s="43">
        <v>20</v>
      </c>
      <c r="F45" s="43">
        <v>1</v>
      </c>
      <c r="G45" s="49">
        <v>49.899947566854614</v>
      </c>
      <c r="H45" s="49">
        <v>12474.986891713654</v>
      </c>
      <c r="I45" s="49">
        <v>17.630470035451449</v>
      </c>
      <c r="J45" s="49">
        <v>164.2254978960822</v>
      </c>
      <c r="K45" s="49">
        <v>51.827864088588115</v>
      </c>
      <c r="L45" s="46" t="str">
        <v>{"gamma_gas":0.9,"gamma_oil":0.86,"gamma_wat":1,"rsb_m3m3":200,"t_res_C":100,"PVT_corr_set":0,"q_liq_sm3day":49.8999475668546,"fw_perc":0,"rp_m3m3":250}</v>
      </c>
      <c r="P45" t="s">
        <v>68</v>
      </c>
      <c r="Q45" t="str" cm="1">
        <f t="array" ref="Q45">[1]!decode_json(B47)</f>
        <v>info: calibr_type = 0, standard calibration, choke_calibr = 1</v>
      </c>
    </row>
    <row r="46" spans="2:17" x14ac:dyDescent="0.25">
      <c r="B46" s="45" t="str">
        <v>q_liq_sm3day</v>
      </c>
      <c r="C46" s="45" t="str">
        <v>p_intake_atma</v>
      </c>
      <c r="D46" s="45" t="str">
        <v>p_out_atma</v>
      </c>
      <c r="E46" s="45" t="str">
        <v>t_choke_C</v>
      </c>
      <c r="F46" s="45" t="str">
        <v>c_calibr_fr</v>
      </c>
      <c r="G46" s="50" t="str">
        <v>q_liq_sm3day</v>
      </c>
      <c r="H46" s="50" t="str">
        <v>q_gas_sm3day</v>
      </c>
      <c r="I46" s="50" t="str">
        <v>t_choke_throat_C</v>
      </c>
      <c r="J46" s="50" t="str">
        <v>sonic_vel_msec</v>
      </c>
      <c r="K46" s="50" t="str">
        <v>q_liq_max_sm3day</v>
      </c>
      <c r="L46" s="50" t="str">
        <v>feed</v>
      </c>
    </row>
    <row r="47" spans="2:17" x14ac:dyDescent="0.25">
      <c r="B47" s="50" t="str">
        <v>["info: calibr_type = 0, standard calibration, choke_calibr = 1"]</v>
      </c>
      <c r="C47" s="47" t="str">
        <v/>
      </c>
      <c r="D47" s="47" t="str">
        <v/>
      </c>
      <c r="E47" s="47" t="str">
        <v/>
      </c>
      <c r="F47" s="47" t="str">
        <v/>
      </c>
      <c r="G47" s="47" t="str">
        <v/>
      </c>
      <c r="H47" s="47" t="str">
        <v/>
      </c>
      <c r="I47" s="47" t="str">
        <v/>
      </c>
      <c r="J47" s="47" t="str">
        <v/>
      </c>
      <c r="K47" s="47" t="str">
        <v/>
      </c>
      <c r="L47" s="47" t="str">
        <v/>
      </c>
    </row>
    <row r="49" spans="2:30" x14ac:dyDescent="0.25">
      <c r="B49" t="s">
        <v>21</v>
      </c>
    </row>
    <row r="50" spans="2:30" x14ac:dyDescent="0.25">
      <c r="B50" s="48" cm="1">
        <f t="array" ref="B50:F52">[1]!MF_choke_calibr(feed,d_choke,Pbuf_,Plin_,d_pipe,T_choke,I28)</f>
        <v>0.6011962890625</v>
      </c>
      <c r="C50" s="49" t="str">
        <v>calibr</v>
      </c>
      <c r="D50" s="49">
        <v>3.662109375E-4</v>
      </c>
      <c r="E50" s="49">
        <v>13</v>
      </c>
      <c r="F50" s="48" t="str">
        <v>solve_equation_bisection: done by  13 iterations, tolerance 0.001</v>
      </c>
      <c r="P50" t="s">
        <v>68</v>
      </c>
      <c r="Q50" t="str" cm="1">
        <f t="array" ref="Q50">[1]!decode_json(B52)</f>
        <v>info: calibr_type = 0, standard calibration, choke_calibr = 1</v>
      </c>
      <c r="Z50" t="str" cm="1">
        <f t="array" ref="Z50:AD52">[1]!MF_choke_calibr_fast(feed,d_choke,Pbuf_,Plin_,d_pipe,T_choke,I28)</f>
        <v>0.601203036532389</v>
      </c>
      <c r="AA50">
        <v>26</v>
      </c>
      <c r="AB50">
        <v>20</v>
      </c>
      <c r="AC50">
        <v>20</v>
      </c>
      <c r="AD50">
        <v>0.60120303653238916</v>
      </c>
    </row>
    <row r="51" spans="2:30" x14ac:dyDescent="0.25">
      <c r="B51" s="51" t="str">
        <v>solution</v>
      </c>
      <c r="C51" s="51" t="str">
        <v>cal_type</v>
      </c>
      <c r="D51" s="51" t="str">
        <v>y_solution</v>
      </c>
      <c r="E51" s="51" t="str">
        <v>iterations</v>
      </c>
      <c r="F51" s="51" t="str">
        <v>description</v>
      </c>
      <c r="Z51" t="str">
        <v>c_calibr_fr</v>
      </c>
      <c r="AA51" t="str">
        <v>p_intake_atma</v>
      </c>
      <c r="AB51" t="str">
        <v>p_out_atma</v>
      </c>
      <c r="AC51" t="str">
        <v>t_choke_C</v>
      </c>
      <c r="AD51" t="str">
        <v>c_calibr_fr</v>
      </c>
    </row>
    <row r="52" spans="2:30" x14ac:dyDescent="0.25">
      <c r="B52" s="44" t="str">
        <v>["info: calibr_type = 0, standard calibration, choke_calibr = 1"]</v>
      </c>
      <c r="C52" s="44" t="str">
        <v/>
      </c>
      <c r="D52" s="44" t="str">
        <v/>
      </c>
      <c r="E52" s="44" t="str">
        <v/>
      </c>
      <c r="F52" s="44" t="str">
        <v/>
      </c>
      <c r="Z52" t="str">
        <v>[]</v>
      </c>
      <c r="AA52" t="str">
        <v/>
      </c>
      <c r="AB52" t="str">
        <v/>
      </c>
      <c r="AC52" t="str">
        <v/>
      </c>
      <c r="AD52" t="str">
        <v/>
      </c>
    </row>
    <row r="55" spans="2:30" x14ac:dyDescent="0.25">
      <c r="H55" t="e" cm="1">
        <f t="array" ref="H55">[1]!encode_feed(C62,,,,feed)</f>
        <v>#VALUE!</v>
      </c>
    </row>
    <row r="59" spans="2:30" x14ac:dyDescent="0.25">
      <c r="C59" t="s">
        <v>10</v>
      </c>
    </row>
    <row r="60" spans="2:30" x14ac:dyDescent="0.25">
      <c r="C60" s="53" t="s">
        <v>8</v>
      </c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</row>
    <row r="61" spans="2:30" x14ac:dyDescent="0.25">
      <c r="B61" s="41" t="s">
        <v>13</v>
      </c>
      <c r="C61" s="2">
        <v>0</v>
      </c>
      <c r="D61" s="2">
        <v>1</v>
      </c>
      <c r="E61" s="19">
        <v>2</v>
      </c>
      <c r="F61" s="2">
        <v>4</v>
      </c>
      <c r="G61" s="20">
        <v>8</v>
      </c>
      <c r="H61" s="2">
        <v>10</v>
      </c>
      <c r="I61" s="2">
        <v>20</v>
      </c>
      <c r="J61" s="2">
        <v>30</v>
      </c>
      <c r="K61" s="2">
        <v>40</v>
      </c>
      <c r="L61" s="2">
        <v>50</v>
      </c>
      <c r="M61" s="2">
        <v>60</v>
      </c>
      <c r="N61" s="2">
        <v>70</v>
      </c>
      <c r="O61" s="2">
        <v>80</v>
      </c>
      <c r="P61" s="2">
        <v>90</v>
      </c>
      <c r="Q61" s="2">
        <v>100</v>
      </c>
      <c r="R61" s="2">
        <v>110</v>
      </c>
      <c r="S61" s="2">
        <v>120</v>
      </c>
      <c r="T61" s="2">
        <v>130</v>
      </c>
      <c r="U61" s="2">
        <v>140</v>
      </c>
      <c r="V61" s="2">
        <v>150</v>
      </c>
      <c r="W61" s="2">
        <v>160</v>
      </c>
      <c r="X61" s="2">
        <v>170</v>
      </c>
      <c r="Y61" s="2">
        <v>180</v>
      </c>
      <c r="Z61" s="2">
        <v>190</v>
      </c>
      <c r="AA61" s="2">
        <v>200</v>
      </c>
      <c r="AB61" s="2">
        <v>210</v>
      </c>
      <c r="AC61" s="2">
        <v>220</v>
      </c>
      <c r="AD61" s="2">
        <v>230</v>
      </c>
    </row>
    <row r="62" spans="2:30" x14ac:dyDescent="0.25">
      <c r="B62" s="26">
        <v>1</v>
      </c>
      <c r="C62" s="27" t="e">
        <f>[1]!MF_choke_p_atma([1]!encode_feed(C$61,,,,feed),d_choke,$B62,0,T_choke,d_pipe,$I$28)</f>
        <v>#VALUE!</v>
      </c>
      <c r="D62" s="27" t="e">
        <f>[1]!MF_choke_p_atma([1]!encode_feed(D$61,,,,feed),d_choke,$B62,0,T_choke,d_pipe,$I$28)</f>
        <v>#VALUE!</v>
      </c>
      <c r="E62" s="27" t="e">
        <f>[1]!MF_choke_p_atma([1]!encode_feed(E$61,,,,feed),d_choke,$B62,0,T_choke,d_pipe,$I$28)</f>
        <v>#VALUE!</v>
      </c>
      <c r="F62" s="27" t="e">
        <f>[1]!MF_choke_p_atma([1]!encode_feed(F$61,,,,feed),d_choke,$B62,0,T_choke,d_pipe,$I$28)</f>
        <v>#VALUE!</v>
      </c>
      <c r="G62" s="27" t="e">
        <f>[1]!MF_choke_p_atma([1]!encode_feed(G$61,,,,feed),d_choke,$B62,0,T_choke,d_pipe,$I$28)</f>
        <v>#VALUE!</v>
      </c>
      <c r="H62" s="27" t="e">
        <f>[1]!MF_choke_p_atma([1]!encode_feed(H$61,,,,feed),d_choke,$B62,0,T_choke,d_pipe,$I$28)</f>
        <v>#VALUE!</v>
      </c>
      <c r="I62" s="27" t="e">
        <f>[1]!MF_choke_p_atma([1]!encode_feed(I$61,,,,feed),d_choke,$B62,0,T_choke,d_pipe,$I$28)</f>
        <v>#VALUE!</v>
      </c>
      <c r="J62" s="27" t="e">
        <f>[1]!MF_choke_p_atma([1]!encode_feed(J$61,,,,feed),d_choke,$B62,0,T_choke,d_pipe,$I$28)</f>
        <v>#VALUE!</v>
      </c>
      <c r="K62" s="27" t="e">
        <f>[1]!MF_choke_p_atma([1]!encode_feed(K$61,,,,feed),d_choke,$B62,0,T_choke,d_pipe,$I$28)</f>
        <v>#VALUE!</v>
      </c>
      <c r="L62" s="27" t="e">
        <f>[1]!MF_choke_p_atma([1]!encode_feed(L$61,,,,feed),d_choke,$B62,0,T_choke,d_pipe,$I$28)</f>
        <v>#VALUE!</v>
      </c>
      <c r="M62" s="27" t="e">
        <f>[1]!MF_choke_p_atma([1]!encode_feed(M$61,,,,feed),d_choke,$B62,0,T_choke,d_pipe,$I$28)</f>
        <v>#VALUE!</v>
      </c>
      <c r="N62" s="27" t="e">
        <f>[1]!MF_choke_p_atma([1]!encode_feed(N$61,,,,feed),d_choke,$B62,0,T_choke,d_pipe,$I$28)</f>
        <v>#VALUE!</v>
      </c>
      <c r="O62" s="27" t="e">
        <f>[1]!MF_choke_p_atma([1]!encode_feed(O$61,,,,feed),d_choke,$B62,0,T_choke,d_pipe,$I$28)</f>
        <v>#VALUE!</v>
      </c>
      <c r="P62" s="27" t="e">
        <f>[1]!MF_choke_p_atma([1]!encode_feed(P$61,,,,feed),d_choke,$B62,0,T_choke,d_pipe,$I$28)</f>
        <v>#VALUE!</v>
      </c>
      <c r="Q62" s="27" t="e">
        <f>[1]!MF_choke_p_atma([1]!encode_feed(Q$61,,,,feed),d_choke,$B62,0,T_choke,d_pipe,$I$28)</f>
        <v>#VALUE!</v>
      </c>
      <c r="R62" s="27" t="e">
        <f>[1]!MF_choke_p_atma([1]!encode_feed(R$61,,,,feed),d_choke,$B62,0,T_choke,d_pipe,$I$28)</f>
        <v>#VALUE!</v>
      </c>
      <c r="S62" s="27" t="e">
        <f>[1]!MF_choke_p_atma([1]!encode_feed(S$61,,,,feed),d_choke,$B62,0,T_choke,d_pipe,$I$28)</f>
        <v>#VALUE!</v>
      </c>
      <c r="T62" s="27" t="e">
        <f>[1]!MF_choke_p_atma([1]!encode_feed(T$61,,,,feed),d_choke,$B62,0,T_choke,d_pipe,$I$28)</f>
        <v>#VALUE!</v>
      </c>
      <c r="U62" s="27" t="e">
        <f>[1]!MF_choke_p_atma([1]!encode_feed(U$61,,,,feed),d_choke,$B62,0,T_choke,d_pipe,$I$28)</f>
        <v>#VALUE!</v>
      </c>
      <c r="V62" s="27" t="e">
        <f>[1]!MF_choke_p_atma([1]!encode_feed(V$61,,,,feed),d_choke,$B62,0,T_choke,d_pipe,$I$28)</f>
        <v>#VALUE!</v>
      </c>
      <c r="W62" s="27" t="e">
        <f>[1]!MF_choke_p_atma([1]!encode_feed(W$61,,,,feed),d_choke,$B62,0,T_choke,d_pipe,$I$28)</f>
        <v>#VALUE!</v>
      </c>
      <c r="X62" s="27" t="e">
        <f>[1]!MF_choke_p_atma([1]!encode_feed(X$61,,,,feed),d_choke,$B62,0,T_choke,d_pipe,$I$28)</f>
        <v>#VALUE!</v>
      </c>
      <c r="Y62" s="27" t="e">
        <f>[1]!MF_choke_p_atma([1]!encode_feed(Y$61,,,,feed),d_choke,$B62,0,T_choke,d_pipe,$I$28)</f>
        <v>#VALUE!</v>
      </c>
      <c r="Z62" s="27" t="e">
        <f>[1]!MF_choke_p_atma([1]!encode_feed(Z$61,,,,feed),d_choke,$B62,0,T_choke,d_pipe,$I$28)</f>
        <v>#VALUE!</v>
      </c>
      <c r="AA62" s="27" t="e">
        <f>[1]!MF_choke_p_atma([1]!encode_feed(AA$61,,,,feed),d_choke,$B62,0,T_choke,d_pipe,$I$28)</f>
        <v>#VALUE!</v>
      </c>
      <c r="AB62" s="27" t="e">
        <f>[1]!MF_choke_p_atma([1]!encode_feed(AB$61,,,,feed),d_choke,$B62,0,T_choke,d_pipe,$I$28)</f>
        <v>#VALUE!</v>
      </c>
      <c r="AC62" s="27" t="e">
        <f>[1]!MF_choke_p_atma([1]!encode_feed(AC$61,,,,feed),d_choke,$B62,0,T_choke,d_pipe,$I$28)</f>
        <v>#VALUE!</v>
      </c>
      <c r="AD62" s="27" t="e">
        <f>[1]!MF_choke_p_atma([1]!encode_feed(AD$61,,,,feed),d_choke,$B62,0,T_choke,d_pipe,$I$28)</f>
        <v>#VALUE!</v>
      </c>
    </row>
    <row r="63" spans="2:30" x14ac:dyDescent="0.25">
      <c r="B63" s="26">
        <v>5</v>
      </c>
      <c r="C63" s="27" t="e">
        <f>[1]!MF_choke_p_atma([1]!encode_feed(C$61,,,,feed),d_choke,$B63,0,T_choke,d_pipe,$I$28)</f>
        <v>#VALUE!</v>
      </c>
      <c r="D63" s="27" t="e">
        <f>[1]!MF_choke_p_atma([1]!encode_feed(D$61,,,,feed),d_choke,$B63,0,T_choke,d_pipe,$I$28)</f>
        <v>#VALUE!</v>
      </c>
      <c r="E63" s="27" t="e">
        <f>[1]!MF_choke_p_atma([1]!encode_feed(E$61,,,,feed),d_choke,$B63,0,T_choke,d_pipe,$I$28)</f>
        <v>#VALUE!</v>
      </c>
      <c r="F63" s="27" t="e">
        <f>[1]!MF_choke_p_atma([1]!encode_feed(F$61,,,,feed),d_choke,$B63,0,T_choke,d_pipe,$I$28)</f>
        <v>#VALUE!</v>
      </c>
      <c r="G63" s="27" t="e">
        <f>[1]!MF_choke_p_atma([1]!encode_feed(G$61,,,,feed),d_choke,$B63,0,T_choke,d_pipe,$I$28)</f>
        <v>#VALUE!</v>
      </c>
      <c r="H63" s="27" t="e">
        <f>[1]!MF_choke_p_atma([1]!encode_feed(H$61,,,,feed),d_choke,$B63,0,T_choke,d_pipe,$I$28)</f>
        <v>#VALUE!</v>
      </c>
      <c r="I63" s="27" t="e">
        <f>[1]!MF_choke_p_atma([1]!encode_feed(I$61,,,,feed),d_choke,$B63,0,T_choke,d_pipe,$I$28)</f>
        <v>#VALUE!</v>
      </c>
      <c r="J63" s="27" t="e">
        <f>[1]!MF_choke_p_atma([1]!encode_feed(J$61,,,,feed),d_choke,$B63,0,T_choke,d_pipe,$I$28)</f>
        <v>#VALUE!</v>
      </c>
      <c r="K63" s="27" t="e">
        <f>[1]!MF_choke_p_atma([1]!encode_feed(K$61,,,,feed),d_choke,$B63,0,T_choke,d_pipe,$I$28)</f>
        <v>#VALUE!</v>
      </c>
      <c r="L63" s="27" t="e">
        <f>[1]!MF_choke_p_atma([1]!encode_feed(L$61,,,,feed),d_choke,$B63,0,T_choke,d_pipe,$I$28)</f>
        <v>#VALUE!</v>
      </c>
      <c r="M63" s="27" t="e">
        <f>[1]!MF_choke_p_atma([1]!encode_feed(M$61,,,,feed),d_choke,$B63,0,T_choke,d_pipe,$I$28)</f>
        <v>#VALUE!</v>
      </c>
      <c r="N63" s="27" t="e">
        <f>[1]!MF_choke_p_atma([1]!encode_feed(N$61,,,,feed),d_choke,$B63,0,T_choke,d_pipe,$I$28)</f>
        <v>#VALUE!</v>
      </c>
      <c r="O63" s="27" t="e">
        <f>[1]!MF_choke_p_atma([1]!encode_feed(O$61,,,,feed),d_choke,$B63,0,T_choke,d_pipe,$I$28)</f>
        <v>#VALUE!</v>
      </c>
      <c r="P63" s="27" t="e">
        <f>[1]!MF_choke_p_atma([1]!encode_feed(P$61,,,,feed),d_choke,$B63,0,T_choke,d_pipe,$I$28)</f>
        <v>#VALUE!</v>
      </c>
      <c r="Q63" s="27" t="e">
        <f>[1]!MF_choke_p_atma([1]!encode_feed(Q$61,,,,feed),d_choke,$B63,0,T_choke,d_pipe,$I$28)</f>
        <v>#VALUE!</v>
      </c>
      <c r="R63" s="27" t="e">
        <f>[1]!MF_choke_p_atma([1]!encode_feed(R$61,,,,feed),d_choke,$B63,0,T_choke,d_pipe,$I$28)</f>
        <v>#VALUE!</v>
      </c>
      <c r="S63" s="27" t="e">
        <f>[1]!MF_choke_p_atma([1]!encode_feed(S$61,,,,feed),d_choke,$B63,0,T_choke,d_pipe,$I$28)</f>
        <v>#VALUE!</v>
      </c>
      <c r="T63" s="27" t="e">
        <f>[1]!MF_choke_p_atma([1]!encode_feed(T$61,,,,feed),d_choke,$B63,0,T_choke,d_pipe,$I$28)</f>
        <v>#VALUE!</v>
      </c>
      <c r="U63" s="27" t="e">
        <f>[1]!MF_choke_p_atma([1]!encode_feed(U$61,,,,feed),d_choke,$B63,0,T_choke,d_pipe,$I$28)</f>
        <v>#VALUE!</v>
      </c>
      <c r="V63" s="27" t="e">
        <f>[1]!MF_choke_p_atma([1]!encode_feed(V$61,,,,feed),d_choke,$B63,0,T_choke,d_pipe,$I$28)</f>
        <v>#VALUE!</v>
      </c>
      <c r="W63" s="27" t="e">
        <f>[1]!MF_choke_p_atma([1]!encode_feed(W$61,,,,feed),d_choke,$B63,0,T_choke,d_pipe,$I$28)</f>
        <v>#VALUE!</v>
      </c>
      <c r="X63" s="27" t="e">
        <f>[1]!MF_choke_p_atma([1]!encode_feed(X$61,,,,feed),d_choke,$B63,0,T_choke,d_pipe,$I$28)</f>
        <v>#VALUE!</v>
      </c>
      <c r="Y63" s="27" t="e">
        <f>[1]!MF_choke_p_atma([1]!encode_feed(Y$61,,,,feed),d_choke,$B63,0,T_choke,d_pipe,$I$28)</f>
        <v>#VALUE!</v>
      </c>
      <c r="Z63" s="27" t="e">
        <f>[1]!MF_choke_p_atma([1]!encode_feed(Z$61,,,,feed),d_choke,$B63,0,T_choke,d_pipe,$I$28)</f>
        <v>#VALUE!</v>
      </c>
      <c r="AA63" s="27" t="e">
        <f>[1]!MF_choke_p_atma([1]!encode_feed(AA$61,,,,feed),d_choke,$B63,0,T_choke,d_pipe,$I$28)</f>
        <v>#VALUE!</v>
      </c>
      <c r="AB63" s="27" t="e">
        <f>[1]!MF_choke_p_atma([1]!encode_feed(AB$61,,,,feed),d_choke,$B63,0,T_choke,d_pipe,$I$28)</f>
        <v>#VALUE!</v>
      </c>
      <c r="AC63" s="27" t="e">
        <f>[1]!MF_choke_p_atma([1]!encode_feed(AC$61,,,,feed),d_choke,$B63,0,T_choke,d_pipe,$I$28)</f>
        <v>#VALUE!</v>
      </c>
      <c r="AD63" s="27" t="e">
        <f>[1]!MF_choke_p_atma([1]!encode_feed(AD$61,,,,feed),d_choke,$B63,0,T_choke,d_pipe,$I$28)</f>
        <v>#VALUE!</v>
      </c>
    </row>
    <row r="64" spans="2:30" x14ac:dyDescent="0.25">
      <c r="B64" s="26">
        <v>10</v>
      </c>
      <c r="C64" s="27" t="e">
        <f>[1]!MF_choke_p_atma([1]!encode_feed(C$61,,,,feed),d_choke,$B64,0,T_choke,d_pipe,$I$28)</f>
        <v>#VALUE!</v>
      </c>
      <c r="D64" s="27" t="e">
        <f>[1]!MF_choke_p_atma([1]!encode_feed(D$61,,,,feed),d_choke,$B64,0,T_choke,d_pipe,$I$28)</f>
        <v>#VALUE!</v>
      </c>
      <c r="E64" s="27" t="e">
        <f>[1]!MF_choke_p_atma([1]!encode_feed(E$61,,,,feed),d_choke,$B64,0,T_choke,d_pipe,$I$28)</f>
        <v>#VALUE!</v>
      </c>
      <c r="F64" s="27" t="e">
        <f>[1]!MF_choke_p_atma([1]!encode_feed(F$61,,,,feed),d_choke,$B64,0,T_choke,d_pipe,$I$28)</f>
        <v>#VALUE!</v>
      </c>
      <c r="G64" s="27" t="e">
        <f>[1]!MF_choke_p_atma([1]!encode_feed(G$61,,,,feed),d_choke,$B64,0,T_choke,d_pipe,$I$28)</f>
        <v>#VALUE!</v>
      </c>
      <c r="H64" s="27" t="e">
        <f>[1]!MF_choke_p_atma([1]!encode_feed(H$61,,,,feed),d_choke,$B64,0,T_choke,d_pipe,$I$28)</f>
        <v>#VALUE!</v>
      </c>
      <c r="I64" s="27" t="e">
        <f>[1]!MF_choke_p_atma([1]!encode_feed(I$61,,,,feed),d_choke,$B64,0,T_choke,d_pipe,$I$28)</f>
        <v>#VALUE!</v>
      </c>
      <c r="J64" s="27" t="e">
        <f>[1]!MF_choke_p_atma([1]!encode_feed(J$61,,,,feed),d_choke,$B64,0,T_choke,d_pipe,$I$28)</f>
        <v>#VALUE!</v>
      </c>
      <c r="K64" s="27" t="e">
        <f>[1]!MF_choke_p_atma([1]!encode_feed(K$61,,,,feed),d_choke,$B64,0,T_choke,d_pipe,$I$28)</f>
        <v>#VALUE!</v>
      </c>
      <c r="L64" s="27" t="e">
        <f>[1]!MF_choke_p_atma([1]!encode_feed(L$61,,,,feed),d_choke,$B64,0,T_choke,d_pipe,$I$28)</f>
        <v>#VALUE!</v>
      </c>
      <c r="M64" s="27" t="e">
        <f>[1]!MF_choke_p_atma([1]!encode_feed(M$61,,,,feed),d_choke,$B64,0,T_choke,d_pipe,$I$28)</f>
        <v>#VALUE!</v>
      </c>
      <c r="N64" s="27" t="e">
        <f>[1]!MF_choke_p_atma([1]!encode_feed(N$61,,,,feed),d_choke,$B64,0,T_choke,d_pipe,$I$28)</f>
        <v>#VALUE!</v>
      </c>
      <c r="O64" s="27" t="e">
        <f>[1]!MF_choke_p_atma([1]!encode_feed(O$61,,,,feed),d_choke,$B64,0,T_choke,d_pipe,$I$28)</f>
        <v>#VALUE!</v>
      </c>
      <c r="P64" s="27" t="e">
        <f>[1]!MF_choke_p_atma([1]!encode_feed(P$61,,,,feed),d_choke,$B64,0,T_choke,d_pipe,$I$28)</f>
        <v>#VALUE!</v>
      </c>
      <c r="Q64" s="27" t="e">
        <f>[1]!MF_choke_p_atma([1]!encode_feed(Q$61,,,,feed),d_choke,$B64,0,T_choke,d_pipe,$I$28)</f>
        <v>#VALUE!</v>
      </c>
      <c r="R64" s="27" t="e">
        <f>[1]!MF_choke_p_atma([1]!encode_feed(R$61,,,,feed),d_choke,$B64,0,T_choke,d_pipe,$I$28)</f>
        <v>#VALUE!</v>
      </c>
      <c r="S64" s="27" t="e">
        <f>[1]!MF_choke_p_atma([1]!encode_feed(S$61,,,,feed),d_choke,$B64,0,T_choke,d_pipe,$I$28)</f>
        <v>#VALUE!</v>
      </c>
      <c r="T64" s="27" t="e">
        <f>[1]!MF_choke_p_atma([1]!encode_feed(T$61,,,,feed),d_choke,$B64,0,T_choke,d_pipe,$I$28)</f>
        <v>#VALUE!</v>
      </c>
      <c r="U64" s="27" t="e">
        <f>[1]!MF_choke_p_atma([1]!encode_feed(U$61,,,,feed),d_choke,$B64,0,T_choke,d_pipe,$I$28)</f>
        <v>#VALUE!</v>
      </c>
      <c r="V64" s="27" t="e">
        <f>[1]!MF_choke_p_atma([1]!encode_feed(V$61,,,,feed),d_choke,$B64,0,T_choke,d_pipe,$I$28)</f>
        <v>#VALUE!</v>
      </c>
      <c r="W64" s="27" t="e">
        <f>[1]!MF_choke_p_atma([1]!encode_feed(W$61,,,,feed),d_choke,$B64,0,T_choke,d_pipe,$I$28)</f>
        <v>#VALUE!</v>
      </c>
      <c r="X64" s="27" t="e">
        <f>[1]!MF_choke_p_atma([1]!encode_feed(X$61,,,,feed),d_choke,$B64,0,T_choke,d_pipe,$I$28)</f>
        <v>#VALUE!</v>
      </c>
      <c r="Y64" s="27" t="e">
        <f>[1]!MF_choke_p_atma([1]!encode_feed(Y$61,,,,feed),d_choke,$B64,0,T_choke,d_pipe,$I$28)</f>
        <v>#VALUE!</v>
      </c>
      <c r="Z64" s="27" t="e">
        <f>[1]!MF_choke_p_atma([1]!encode_feed(Z$61,,,,feed),d_choke,$B64,0,T_choke,d_pipe,$I$28)</f>
        <v>#VALUE!</v>
      </c>
      <c r="AA64" s="27" t="e">
        <f>[1]!MF_choke_p_atma([1]!encode_feed(AA$61,,,,feed),d_choke,$B64,0,T_choke,d_pipe,$I$28)</f>
        <v>#VALUE!</v>
      </c>
      <c r="AB64" s="27" t="e">
        <f>[1]!MF_choke_p_atma([1]!encode_feed(AB$61,,,,feed),d_choke,$B64,0,T_choke,d_pipe,$I$28)</f>
        <v>#VALUE!</v>
      </c>
      <c r="AC64" s="27" t="e">
        <f>[1]!MF_choke_p_atma([1]!encode_feed(AC$61,,,,feed),d_choke,$B64,0,T_choke,d_pipe,$I$28)</f>
        <v>#VALUE!</v>
      </c>
      <c r="AD64" s="27" t="e">
        <f>[1]!MF_choke_p_atma([1]!encode_feed(AD$61,,,,feed),d_choke,$B64,0,T_choke,d_pipe,$I$28)</f>
        <v>#VALUE!</v>
      </c>
    </row>
    <row r="65" spans="2:38" x14ac:dyDescent="0.25">
      <c r="B65" s="26">
        <v>15</v>
      </c>
      <c r="C65" s="27" t="e">
        <f>[1]!MF_choke_p_atma([1]!encode_feed(C$61,,,,feed),d_choke,$B65,0,T_choke,d_pipe,$I$28)</f>
        <v>#VALUE!</v>
      </c>
      <c r="D65" s="27" t="e">
        <f>[1]!MF_choke_p_atma([1]!encode_feed(D$61,,,,feed),d_choke,$B65,0,T_choke,d_pipe,$I$28)</f>
        <v>#VALUE!</v>
      </c>
      <c r="E65" s="27" t="e">
        <f>[1]!MF_choke_p_atma([1]!encode_feed(E$61,,,,feed),d_choke,$B65,0,T_choke,d_pipe,$I$28)</f>
        <v>#VALUE!</v>
      </c>
      <c r="F65" s="27" t="e">
        <f>[1]!MF_choke_p_atma([1]!encode_feed(F$61,,,,feed),d_choke,$B65,0,T_choke,d_pipe,$I$28)</f>
        <v>#VALUE!</v>
      </c>
      <c r="G65" s="27" t="e">
        <f>[1]!MF_choke_p_atma([1]!encode_feed(G$61,,,,feed),d_choke,$B65,0,T_choke,d_pipe,$I$28)</f>
        <v>#VALUE!</v>
      </c>
      <c r="H65" s="27" t="e">
        <f>[1]!MF_choke_p_atma([1]!encode_feed(H$61,,,,feed),d_choke,$B65,0,T_choke,d_pipe,$I$28)</f>
        <v>#VALUE!</v>
      </c>
      <c r="I65" s="27" t="e">
        <f>[1]!MF_choke_p_atma([1]!encode_feed(I$61,,,,feed),d_choke,$B65,0,T_choke,d_pipe,$I$28)</f>
        <v>#VALUE!</v>
      </c>
      <c r="J65" s="27" t="e">
        <f>[1]!MF_choke_p_atma([1]!encode_feed(J$61,,,,feed),d_choke,$B65,0,T_choke,d_pipe,$I$28)</f>
        <v>#VALUE!</v>
      </c>
      <c r="K65" s="27" t="e">
        <f>[1]!MF_choke_p_atma([1]!encode_feed(K$61,,,,feed),d_choke,$B65,0,T_choke,d_pipe,$I$28)</f>
        <v>#VALUE!</v>
      </c>
      <c r="L65" s="27" t="e">
        <f>[1]!MF_choke_p_atma([1]!encode_feed(L$61,,,,feed),d_choke,$B65,0,T_choke,d_pipe,$I$28)</f>
        <v>#VALUE!</v>
      </c>
      <c r="M65" s="27" t="e">
        <f>[1]!MF_choke_p_atma([1]!encode_feed(M$61,,,,feed),d_choke,$B65,0,T_choke,d_pipe,$I$28)</f>
        <v>#VALUE!</v>
      </c>
      <c r="N65" s="27" t="e">
        <f>[1]!MF_choke_p_atma([1]!encode_feed(N$61,,,,feed),d_choke,$B65,0,T_choke,d_pipe,$I$28)</f>
        <v>#VALUE!</v>
      </c>
      <c r="O65" s="27" t="e">
        <f>[1]!MF_choke_p_atma([1]!encode_feed(O$61,,,,feed),d_choke,$B65,0,T_choke,d_pipe,$I$28)</f>
        <v>#VALUE!</v>
      </c>
      <c r="P65" s="27" t="e">
        <f>[1]!MF_choke_p_atma([1]!encode_feed(P$61,,,,feed),d_choke,$B65,0,T_choke,d_pipe,$I$28)</f>
        <v>#VALUE!</v>
      </c>
      <c r="Q65" s="27" t="e">
        <f>[1]!MF_choke_p_atma([1]!encode_feed(Q$61,,,,feed),d_choke,$B65,0,T_choke,d_pipe,$I$28)</f>
        <v>#VALUE!</v>
      </c>
      <c r="R65" s="27" t="e">
        <f>[1]!MF_choke_p_atma([1]!encode_feed(R$61,,,,feed),d_choke,$B65,0,T_choke,d_pipe,$I$28)</f>
        <v>#VALUE!</v>
      </c>
      <c r="S65" s="27" t="e">
        <f>[1]!MF_choke_p_atma([1]!encode_feed(S$61,,,,feed),d_choke,$B65,0,T_choke,d_pipe,$I$28)</f>
        <v>#VALUE!</v>
      </c>
      <c r="T65" s="27" t="e">
        <f>[1]!MF_choke_p_atma([1]!encode_feed(T$61,,,,feed),d_choke,$B65,0,T_choke,d_pipe,$I$28)</f>
        <v>#VALUE!</v>
      </c>
      <c r="U65" s="27" t="e">
        <f>[1]!MF_choke_p_atma([1]!encode_feed(U$61,,,,feed),d_choke,$B65,0,T_choke,d_pipe,$I$28)</f>
        <v>#VALUE!</v>
      </c>
      <c r="V65" s="27" t="e">
        <f>[1]!MF_choke_p_atma([1]!encode_feed(V$61,,,,feed),d_choke,$B65,0,T_choke,d_pipe,$I$28)</f>
        <v>#VALUE!</v>
      </c>
      <c r="W65" s="27" t="e">
        <f>[1]!MF_choke_p_atma([1]!encode_feed(W$61,,,,feed),d_choke,$B65,0,T_choke,d_pipe,$I$28)</f>
        <v>#VALUE!</v>
      </c>
      <c r="X65" s="27" t="e">
        <f>[1]!MF_choke_p_atma([1]!encode_feed(X$61,,,,feed),d_choke,$B65,0,T_choke,d_pipe,$I$28)</f>
        <v>#VALUE!</v>
      </c>
      <c r="Y65" s="27" t="e">
        <f>[1]!MF_choke_p_atma([1]!encode_feed(Y$61,,,,feed),d_choke,$B65,0,T_choke,d_pipe,$I$28)</f>
        <v>#VALUE!</v>
      </c>
      <c r="Z65" s="27" t="e">
        <f>[1]!MF_choke_p_atma([1]!encode_feed(Z$61,,,,feed),d_choke,$B65,0,T_choke,d_pipe,$I$28)</f>
        <v>#VALUE!</v>
      </c>
      <c r="AA65" s="27" t="e">
        <f>[1]!MF_choke_p_atma([1]!encode_feed(AA$61,,,,feed),d_choke,$B65,0,T_choke,d_pipe,$I$28)</f>
        <v>#VALUE!</v>
      </c>
      <c r="AB65" s="27" t="e">
        <f>[1]!MF_choke_p_atma([1]!encode_feed(AB$61,,,,feed),d_choke,$B65,0,T_choke,d_pipe,$I$28)</f>
        <v>#VALUE!</v>
      </c>
      <c r="AC65" s="27" t="e">
        <f>[1]!MF_choke_p_atma([1]!encode_feed(AC$61,,,,feed),d_choke,$B65,0,T_choke,d_pipe,$I$28)</f>
        <v>#VALUE!</v>
      </c>
      <c r="AD65" s="27" t="e">
        <f>[1]!MF_choke_p_atma([1]!encode_feed(AD$61,,,,feed),d_choke,$B65,0,T_choke,d_pipe,$I$28)</f>
        <v>#VALUE!</v>
      </c>
    </row>
    <row r="66" spans="2:38" x14ac:dyDescent="0.25">
      <c r="B66" s="26">
        <v>20</v>
      </c>
      <c r="C66" s="27" t="e">
        <f>[1]!MF_choke_p_atma([1]!encode_feed(C$61,,,,feed),d_choke,$B66,0,T_choke,d_pipe,$I$28)</f>
        <v>#VALUE!</v>
      </c>
      <c r="D66" s="27" t="e">
        <f>[1]!MF_choke_p_atma([1]!encode_feed(D$61,,,,feed),d_choke,$B66,0,T_choke,d_pipe,$I$28)</f>
        <v>#VALUE!</v>
      </c>
      <c r="E66" s="27" t="e">
        <f>[1]!MF_choke_p_atma([1]!encode_feed(E$61,,,,feed),d_choke,$B66,0,T_choke,d_pipe,$I$28)</f>
        <v>#VALUE!</v>
      </c>
      <c r="F66" s="27" t="e">
        <f>[1]!MF_choke_p_atma([1]!encode_feed(F$61,,,,feed),d_choke,$B66,0,T_choke,d_pipe,$I$28)</f>
        <v>#VALUE!</v>
      </c>
      <c r="G66" s="27" t="e">
        <f>[1]!MF_choke_p_atma([1]!encode_feed(G$61,,,,feed),d_choke,$B66,0,T_choke,d_pipe,$I$28)</f>
        <v>#VALUE!</v>
      </c>
      <c r="H66" s="27" t="e">
        <f>[1]!MF_choke_p_atma([1]!encode_feed(H$61,,,,feed),d_choke,$B66,0,T_choke,d_pipe,$I$28)</f>
        <v>#VALUE!</v>
      </c>
      <c r="I66" s="27" t="e">
        <f>[1]!MF_choke_p_atma([1]!encode_feed(I$61,,,,feed),d_choke,$B66,0,T_choke,d_pipe,$I$28)</f>
        <v>#VALUE!</v>
      </c>
      <c r="J66" s="27" t="e">
        <f>[1]!MF_choke_p_atma([1]!encode_feed(J$61,,,,feed),d_choke,$B66,0,T_choke,d_pipe,$I$28)</f>
        <v>#VALUE!</v>
      </c>
      <c r="K66" s="27" t="e">
        <f>[1]!MF_choke_p_atma([1]!encode_feed(K$61,,,,feed),d_choke,$B66,0,T_choke,d_pipe,$I$28)</f>
        <v>#VALUE!</v>
      </c>
      <c r="L66" s="27" t="e">
        <f>[1]!MF_choke_p_atma([1]!encode_feed(L$61,,,,feed),d_choke,$B66,0,T_choke,d_pipe,$I$28)</f>
        <v>#VALUE!</v>
      </c>
      <c r="M66" s="27" t="e">
        <f>[1]!MF_choke_p_atma([1]!encode_feed(M$61,,,,feed),d_choke,$B66,0,T_choke,d_pipe,$I$28)</f>
        <v>#VALUE!</v>
      </c>
      <c r="N66" s="27" t="e">
        <f>[1]!MF_choke_p_atma([1]!encode_feed(N$61,,,,feed),d_choke,$B66,0,T_choke,d_pipe,$I$28)</f>
        <v>#VALUE!</v>
      </c>
      <c r="O66" s="27" t="e">
        <f>[1]!MF_choke_p_atma([1]!encode_feed(O$61,,,,feed),d_choke,$B66,0,T_choke,d_pipe,$I$28)</f>
        <v>#VALUE!</v>
      </c>
      <c r="P66" s="27" t="e">
        <f>[1]!MF_choke_p_atma([1]!encode_feed(P$61,,,,feed),d_choke,$B66,0,T_choke,d_pipe,$I$28)</f>
        <v>#VALUE!</v>
      </c>
      <c r="Q66" s="27" t="e">
        <f>[1]!MF_choke_p_atma([1]!encode_feed(Q$61,,,,feed),d_choke,$B66,0,T_choke,d_pipe,$I$28)</f>
        <v>#VALUE!</v>
      </c>
      <c r="R66" s="27" t="e">
        <f>[1]!MF_choke_p_atma([1]!encode_feed(R$61,,,,feed),d_choke,$B66,0,T_choke,d_pipe,$I$28)</f>
        <v>#VALUE!</v>
      </c>
      <c r="S66" s="27" t="e">
        <f>[1]!MF_choke_p_atma([1]!encode_feed(S$61,,,,feed),d_choke,$B66,0,T_choke,d_pipe,$I$28)</f>
        <v>#VALUE!</v>
      </c>
      <c r="T66" s="27" t="e">
        <f>[1]!MF_choke_p_atma([1]!encode_feed(T$61,,,,feed),d_choke,$B66,0,T_choke,d_pipe,$I$28)</f>
        <v>#VALUE!</v>
      </c>
      <c r="U66" s="27" t="e">
        <f>[1]!MF_choke_p_atma([1]!encode_feed(U$61,,,,feed),d_choke,$B66,0,T_choke,d_pipe,$I$28)</f>
        <v>#VALUE!</v>
      </c>
      <c r="V66" s="27" t="e">
        <f>[1]!MF_choke_p_atma([1]!encode_feed(V$61,,,,feed),d_choke,$B66,0,T_choke,d_pipe,$I$28)</f>
        <v>#VALUE!</v>
      </c>
      <c r="W66" s="27" t="e">
        <f>[1]!MF_choke_p_atma([1]!encode_feed(W$61,,,,feed),d_choke,$B66,0,T_choke,d_pipe,$I$28)</f>
        <v>#VALUE!</v>
      </c>
      <c r="X66" s="27" t="e">
        <f>[1]!MF_choke_p_atma([1]!encode_feed(X$61,,,,feed),d_choke,$B66,0,T_choke,d_pipe,$I$28)</f>
        <v>#VALUE!</v>
      </c>
      <c r="Y66" s="27" t="e">
        <f>[1]!MF_choke_p_atma([1]!encode_feed(Y$61,,,,feed),d_choke,$B66,0,T_choke,d_pipe,$I$28)</f>
        <v>#VALUE!</v>
      </c>
      <c r="Z66" s="27" t="e">
        <f>[1]!MF_choke_p_atma([1]!encode_feed(Z$61,,,,feed),d_choke,$B66,0,T_choke,d_pipe,$I$28)</f>
        <v>#VALUE!</v>
      </c>
      <c r="AA66" s="27" t="e">
        <f>[1]!MF_choke_p_atma([1]!encode_feed(AA$61,,,,feed),d_choke,$B66,0,T_choke,d_pipe,$I$28)</f>
        <v>#VALUE!</v>
      </c>
      <c r="AB66" s="27" t="e">
        <f>[1]!MF_choke_p_atma([1]!encode_feed(AB$61,,,,feed),d_choke,$B66,0,T_choke,d_pipe,$I$28)</f>
        <v>#VALUE!</v>
      </c>
      <c r="AC66" s="27" t="e">
        <f>[1]!MF_choke_p_atma([1]!encode_feed(AC$61,,,,feed),d_choke,$B66,0,T_choke,d_pipe,$I$28)</f>
        <v>#VALUE!</v>
      </c>
      <c r="AD66" s="27" t="e">
        <f>[1]!MF_choke_p_atma([1]!encode_feed(AD$61,,,,feed),d_choke,$B66,0,T_choke,d_pipe,$I$28)</f>
        <v>#VALUE!</v>
      </c>
    </row>
    <row r="67" spans="2:38" x14ac:dyDescent="0.25">
      <c r="B67" s="26">
        <v>30</v>
      </c>
      <c r="C67" s="27" t="e">
        <f>[1]!MF_choke_p_atma([1]!encode_feed(C$61,,,,feed),d_choke,$B67,0,T_choke,d_pipe,$I$28)</f>
        <v>#VALUE!</v>
      </c>
      <c r="D67" s="27" t="e">
        <f>[1]!MF_choke_p_atma([1]!encode_feed(D$61,,,,feed),d_choke,$B67,0,T_choke,d_pipe,$I$28)</f>
        <v>#VALUE!</v>
      </c>
      <c r="E67" s="27" t="e">
        <f>[1]!MF_choke_p_atma([1]!encode_feed(E$61,,,,feed),d_choke,$B67,0,T_choke,d_pipe,$I$28)</f>
        <v>#VALUE!</v>
      </c>
      <c r="F67" s="27" t="e">
        <f>[1]!MF_choke_p_atma([1]!encode_feed(F$61,,,,feed),d_choke,$B67,0,T_choke,d_pipe,$I$28)</f>
        <v>#VALUE!</v>
      </c>
      <c r="G67" s="27" t="e">
        <f>[1]!MF_choke_p_atma([1]!encode_feed(G$61,,,,feed),d_choke,$B67,0,T_choke,d_pipe,$I$28)</f>
        <v>#VALUE!</v>
      </c>
      <c r="H67" s="27" t="e">
        <f>[1]!MF_choke_p_atma([1]!encode_feed(H$61,,,,feed),d_choke,$B67,0,T_choke,d_pipe,$I$28)</f>
        <v>#VALUE!</v>
      </c>
      <c r="I67" s="27" t="e">
        <f>[1]!MF_choke_p_atma([1]!encode_feed(I$61,,,,feed),d_choke,$B67,0,T_choke,d_pipe,$I$28)</f>
        <v>#VALUE!</v>
      </c>
      <c r="J67" s="27" t="e">
        <f>[1]!MF_choke_p_atma([1]!encode_feed(J$61,,,,feed),d_choke,$B67,0,T_choke,d_pipe,$I$28)</f>
        <v>#VALUE!</v>
      </c>
      <c r="K67" s="27" t="e">
        <f>[1]!MF_choke_p_atma([1]!encode_feed(K$61,,,,feed),d_choke,$B67,0,T_choke,d_pipe,$I$28)</f>
        <v>#VALUE!</v>
      </c>
      <c r="L67" s="27" t="e">
        <f>[1]!MF_choke_p_atma([1]!encode_feed(L$61,,,,feed),d_choke,$B67,0,T_choke,d_pipe,$I$28)</f>
        <v>#VALUE!</v>
      </c>
      <c r="M67" s="27" t="e">
        <f>[1]!MF_choke_p_atma([1]!encode_feed(M$61,,,,feed),d_choke,$B67,0,T_choke,d_pipe,$I$28)</f>
        <v>#VALUE!</v>
      </c>
      <c r="N67" s="27" t="e">
        <f>[1]!MF_choke_p_atma([1]!encode_feed(N$61,,,,feed),d_choke,$B67,0,T_choke,d_pipe,$I$28)</f>
        <v>#VALUE!</v>
      </c>
      <c r="O67" s="27" t="e">
        <f>[1]!MF_choke_p_atma([1]!encode_feed(O$61,,,,feed),d_choke,$B67,0,T_choke,d_pipe,$I$28)</f>
        <v>#VALUE!</v>
      </c>
      <c r="P67" s="27" t="e">
        <f>[1]!MF_choke_p_atma([1]!encode_feed(P$61,,,,feed),d_choke,$B67,0,T_choke,d_pipe,$I$28)</f>
        <v>#VALUE!</v>
      </c>
      <c r="Q67" s="27" t="e">
        <f>[1]!MF_choke_p_atma([1]!encode_feed(Q$61,,,,feed),d_choke,$B67,0,T_choke,d_pipe,$I$28)</f>
        <v>#VALUE!</v>
      </c>
      <c r="R67" s="27" t="e">
        <f>[1]!MF_choke_p_atma([1]!encode_feed(R$61,,,,feed),d_choke,$B67,0,T_choke,d_pipe,$I$28)</f>
        <v>#VALUE!</v>
      </c>
      <c r="S67" s="27" t="e">
        <f>[1]!MF_choke_p_atma([1]!encode_feed(S$61,,,,feed),d_choke,$B67,0,T_choke,d_pipe,$I$28)</f>
        <v>#VALUE!</v>
      </c>
      <c r="T67" s="27" t="e">
        <f>[1]!MF_choke_p_atma([1]!encode_feed(T$61,,,,feed),d_choke,$B67,0,T_choke,d_pipe,$I$28)</f>
        <v>#VALUE!</v>
      </c>
      <c r="U67" s="27" t="e">
        <f>[1]!MF_choke_p_atma([1]!encode_feed(U$61,,,,feed),d_choke,$B67,0,T_choke,d_pipe,$I$28)</f>
        <v>#VALUE!</v>
      </c>
      <c r="V67" s="27" t="e">
        <f>[1]!MF_choke_p_atma([1]!encode_feed(V$61,,,,feed),d_choke,$B67,0,T_choke,d_pipe,$I$28)</f>
        <v>#VALUE!</v>
      </c>
      <c r="W67" s="27" t="e">
        <f>[1]!MF_choke_p_atma([1]!encode_feed(W$61,,,,feed),d_choke,$B67,0,T_choke,d_pipe,$I$28)</f>
        <v>#VALUE!</v>
      </c>
      <c r="X67" s="27" t="e">
        <f>[1]!MF_choke_p_atma([1]!encode_feed(X$61,,,,feed),d_choke,$B67,0,T_choke,d_pipe,$I$28)</f>
        <v>#VALUE!</v>
      </c>
      <c r="Y67" s="27" t="e">
        <f>[1]!MF_choke_p_atma([1]!encode_feed(Y$61,,,,feed),d_choke,$B67,0,T_choke,d_pipe,$I$28)</f>
        <v>#VALUE!</v>
      </c>
      <c r="Z67" s="27" t="e">
        <f>[1]!MF_choke_p_atma([1]!encode_feed(Z$61,,,,feed),d_choke,$B67,0,T_choke,d_pipe,$I$28)</f>
        <v>#VALUE!</v>
      </c>
      <c r="AA67" s="27" t="e">
        <f>[1]!MF_choke_p_atma([1]!encode_feed(AA$61,,,,feed),d_choke,$B67,0,T_choke,d_pipe,$I$28)</f>
        <v>#VALUE!</v>
      </c>
      <c r="AB67" s="27" t="e">
        <f>[1]!MF_choke_p_atma([1]!encode_feed(AB$61,,,,feed),d_choke,$B67,0,T_choke,d_pipe,$I$28)</f>
        <v>#VALUE!</v>
      </c>
      <c r="AC67" s="27" t="e">
        <f>[1]!MF_choke_p_atma([1]!encode_feed(AC$61,,,,feed),d_choke,$B67,0,T_choke,d_pipe,$I$28)</f>
        <v>#VALUE!</v>
      </c>
      <c r="AD67" s="27" t="e">
        <f>[1]!MF_choke_p_atma([1]!encode_feed(AD$61,,,,feed),d_choke,$B67,0,T_choke,d_pipe,$I$28)</f>
        <v>#VALUE!</v>
      </c>
    </row>
    <row r="68" spans="2:38" x14ac:dyDescent="0.25">
      <c r="C68" s="3"/>
      <c r="D68" s="3"/>
      <c r="E68" s="4"/>
      <c r="F68" s="5"/>
      <c r="G68" s="5"/>
      <c r="I68" s="3"/>
    </row>
    <row r="69" spans="2:38" x14ac:dyDescent="0.25">
      <c r="C69" s="3"/>
      <c r="D69" s="3"/>
      <c r="E69" s="4"/>
      <c r="F69" s="5"/>
      <c r="G69" s="5"/>
      <c r="I69" s="3"/>
    </row>
    <row r="71" spans="2:38" x14ac:dyDescent="0.25">
      <c r="B71" s="21" t="s">
        <v>38</v>
      </c>
      <c r="C71" s="17" t="e">
        <f ca="1">[1]!MF_q_choke_sm3day(fw_,d_choke,B79,1,d_pipe,T_choke,,PVTstr_)</f>
        <v>#NAME?</v>
      </c>
    </row>
    <row r="72" spans="2:38" x14ac:dyDescent="0.25">
      <c r="C72" s="52" t="s">
        <v>8</v>
      </c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</row>
    <row r="73" spans="2:38" x14ac:dyDescent="0.25">
      <c r="B73" s="41" t="s">
        <v>37</v>
      </c>
      <c r="C73" s="2">
        <v>0</v>
      </c>
      <c r="D73" s="19">
        <v>15</v>
      </c>
      <c r="E73" s="19">
        <v>28</v>
      </c>
      <c r="F73" s="19">
        <v>35</v>
      </c>
      <c r="G73" s="19">
        <v>40</v>
      </c>
      <c r="H73" s="19">
        <v>43</v>
      </c>
      <c r="I73" s="19">
        <v>43.96</v>
      </c>
      <c r="J73" s="19">
        <v>44</v>
      </c>
      <c r="K73" s="19">
        <v>53</v>
      </c>
      <c r="L73" s="19">
        <v>58</v>
      </c>
      <c r="M73" s="19">
        <v>60</v>
      </c>
      <c r="N73" s="19">
        <v>62</v>
      </c>
      <c r="O73" s="19">
        <v>65</v>
      </c>
      <c r="P73" s="19">
        <v>67</v>
      </c>
      <c r="Q73" s="19">
        <v>67.2</v>
      </c>
      <c r="R73" s="19">
        <v>76</v>
      </c>
      <c r="S73" s="19">
        <v>85</v>
      </c>
      <c r="T73" s="19">
        <v>90</v>
      </c>
      <c r="U73" s="19">
        <v>91</v>
      </c>
      <c r="V73" s="19">
        <v>91.1</v>
      </c>
      <c r="W73" s="22">
        <v>100</v>
      </c>
      <c r="X73" s="22">
        <v>110</v>
      </c>
      <c r="Y73" s="22">
        <v>113</v>
      </c>
      <c r="Z73" s="22">
        <v>116</v>
      </c>
      <c r="AA73" s="22">
        <v>116.5</v>
      </c>
      <c r="AB73" s="22">
        <v>125</v>
      </c>
      <c r="AC73" s="22">
        <v>130</v>
      </c>
      <c r="AD73" s="22">
        <v>138</v>
      </c>
      <c r="AE73" s="22">
        <v>142.5</v>
      </c>
      <c r="AF73" s="22">
        <v>142.69999999999999</v>
      </c>
      <c r="AG73" s="22">
        <v>150</v>
      </c>
      <c r="AH73" s="22">
        <v>160</v>
      </c>
      <c r="AI73" s="22">
        <v>165</v>
      </c>
      <c r="AJ73" s="22">
        <v>168</v>
      </c>
      <c r="AK73" s="22">
        <v>170</v>
      </c>
      <c r="AL73" s="22">
        <v>170.3</v>
      </c>
    </row>
    <row r="74" spans="2:38" x14ac:dyDescent="0.25">
      <c r="B74" s="26">
        <v>10</v>
      </c>
      <c r="C74" s="27" t="e">
        <f>[1]!MF_choke_p_atma([1]!encode_feed(C$73,,,,feed),d_choke,$B74,1,T_choke,d_pipe,$I$28)</f>
        <v>#VALUE!</v>
      </c>
      <c r="D74" s="27" t="e">
        <f>[1]!MF_choke_p_atma([1]!encode_feed(D$73,,,,feed),d_choke,$B74,1,T_choke,d_pipe,$I$28)</f>
        <v>#VALUE!</v>
      </c>
      <c r="E74" s="27" t="e">
        <f>[1]!MF_choke_p_atma([1]!encode_feed(E$73,,,,feed),d_choke,$B74,1,T_choke,d_pipe,$I$28)</f>
        <v>#VALUE!</v>
      </c>
      <c r="F74" s="27" t="e">
        <f>[1]!MF_choke_p_atma([1]!encode_feed(F$73,,,,feed),d_choke,$B74,1,T_choke,d_pipe,$I$28)</f>
        <v>#VALUE!</v>
      </c>
      <c r="G74" s="27" t="e">
        <f>[1]!MF_choke_p_atma([1]!encode_feed(G$73,,,,feed),d_choke,$B74,1,T_choke,d_pipe,$I$28)</f>
        <v>#VALUE!</v>
      </c>
      <c r="H74" s="27" t="e">
        <f>[1]!MF_choke_p_atma([1]!encode_feed(H$73,,,,feed),d_choke,$B74,1,T_choke,d_pipe,$I$28)</f>
        <v>#VALUE!</v>
      </c>
      <c r="I74" s="27" t="e">
        <f>[1]!MF_choke_p_atma([1]!encode_feed(I$73,,,,feed),d_choke,$B74,1,T_choke,d_pipe,$I$28)</f>
        <v>#VALUE!</v>
      </c>
      <c r="J74" s="27" t="e">
        <f>[1]!MF_choke_p_atma([1]!encode_feed(J$73,,,,feed),d_choke,$B74,1,T_choke,d_pipe,$I$28)</f>
        <v>#VALUE!</v>
      </c>
      <c r="K74" s="27" t="e">
        <f>[1]!MF_choke_p_atma([1]!encode_feed(K$73,,,,feed),d_choke,$B74,1,T_choke,d_pipe,$I$28)</f>
        <v>#VALUE!</v>
      </c>
      <c r="L74" s="27" t="e">
        <f>[1]!MF_choke_p_atma([1]!encode_feed(L$73,,,,feed),d_choke,$B74,1,T_choke,d_pipe,$I$28)</f>
        <v>#VALUE!</v>
      </c>
      <c r="M74" s="27" t="e">
        <f>[1]!MF_choke_p_atma([1]!encode_feed(M$73,,,,feed),d_choke,$B74,1,T_choke,d_pipe,$I$28)</f>
        <v>#VALUE!</v>
      </c>
      <c r="N74" s="27" t="e">
        <f>[1]!MF_choke_p_atma([1]!encode_feed(N$73,,,,feed),d_choke,$B74,1,T_choke,d_pipe,$I$28)</f>
        <v>#VALUE!</v>
      </c>
      <c r="O74" s="27" t="e">
        <f>[1]!MF_choke_p_atma([1]!encode_feed(O$73,,,,feed),d_choke,$B74,1,T_choke,d_pipe,$I$28)</f>
        <v>#VALUE!</v>
      </c>
      <c r="P74" s="27" t="e">
        <f>[1]!MF_choke_p_atma([1]!encode_feed(P$73,,,,feed),d_choke,$B74,1,T_choke,d_pipe,$I$28)</f>
        <v>#VALUE!</v>
      </c>
      <c r="Q74" s="27" t="e">
        <f>[1]!MF_choke_p_atma([1]!encode_feed(Q$73,,,,feed),d_choke,$B74,1,T_choke,d_pipe,$I$28)</f>
        <v>#VALUE!</v>
      </c>
      <c r="R74" s="27" t="e">
        <f>[1]!MF_choke_p_atma([1]!encode_feed(R$73,,,,feed),d_choke,$B74,1,T_choke,d_pipe,$I$28)</f>
        <v>#VALUE!</v>
      </c>
      <c r="S74" s="27" t="e">
        <f>[1]!MF_choke_p_atma([1]!encode_feed(S$73,,,,feed),d_choke,$B74,1,T_choke,d_pipe,$I$28)</f>
        <v>#VALUE!</v>
      </c>
      <c r="T74" s="27" t="e">
        <f>[1]!MF_choke_p_atma([1]!encode_feed(T$73,,,,feed),d_choke,$B74,1,T_choke,d_pipe,$I$28)</f>
        <v>#VALUE!</v>
      </c>
      <c r="U74" s="27" t="e">
        <f>[1]!MF_choke_p_atma([1]!encode_feed(U$73,,,,feed),d_choke,$B74,1,T_choke,d_pipe,$I$28)</f>
        <v>#VALUE!</v>
      </c>
      <c r="V74" s="27" t="e">
        <f>[1]!MF_choke_p_atma([1]!encode_feed(V$73,,,,feed),d_choke,$B74,1,T_choke,d_pipe,$I$28)</f>
        <v>#VALUE!</v>
      </c>
      <c r="W74" s="27" t="e">
        <f>[1]!MF_choke_p_atma([1]!encode_feed(W$73,,,,feed),d_choke,$B74,1,T_choke,d_pipe,$I$28)</f>
        <v>#VALUE!</v>
      </c>
      <c r="X74" s="27" t="e">
        <f>[1]!MF_choke_p_atma([1]!encode_feed(X$73,,,,feed),d_choke,$B74,1,T_choke,d_pipe,$I$28)</f>
        <v>#VALUE!</v>
      </c>
      <c r="Y74" s="27" t="e">
        <f>[1]!MF_choke_p_atma([1]!encode_feed(Y$73,,,,feed),d_choke,$B74,1,T_choke,d_pipe,$I$28)</f>
        <v>#VALUE!</v>
      </c>
      <c r="Z74" s="27" t="e">
        <f>[1]!MF_choke_p_atma([1]!encode_feed(Z$73,,,,feed),d_choke,$B74,1,T_choke,d_pipe,$I$28)</f>
        <v>#VALUE!</v>
      </c>
      <c r="AA74" s="27" t="e">
        <f>[1]!MF_choke_p_atma([1]!encode_feed(AA$73,,,,feed),d_choke,$B74,1,T_choke,d_pipe,$I$28)</f>
        <v>#VALUE!</v>
      </c>
      <c r="AB74" s="27" t="e">
        <f>[1]!MF_choke_p_atma([1]!encode_feed(AB$73,,,,feed),d_choke,$B74,1,T_choke,d_pipe,$I$28)</f>
        <v>#VALUE!</v>
      </c>
      <c r="AC74" s="27" t="e">
        <f>[1]!MF_choke_p_atma([1]!encode_feed(AC$73,,,,feed),d_choke,$B74,1,T_choke,d_pipe,$I$28)</f>
        <v>#VALUE!</v>
      </c>
      <c r="AD74" s="27" t="e">
        <f>[1]!MF_choke_p_atma([1]!encode_feed(AD$73,,,,feed),d_choke,$B74,1,T_choke,d_pipe,$I$28)</f>
        <v>#VALUE!</v>
      </c>
      <c r="AE74" s="27" t="e">
        <f>[1]!MF_choke_p_atma([1]!encode_feed(AE$73,,,,feed),d_choke,$B74,1,T_choke,d_pipe,$I$28)</f>
        <v>#VALUE!</v>
      </c>
      <c r="AF74" s="27" t="e">
        <f>[1]!MF_choke_p_atma([1]!encode_feed(AF$73,,,,feed),d_choke,$B74,1,T_choke,d_pipe,$I$28)</f>
        <v>#VALUE!</v>
      </c>
      <c r="AG74" s="27" t="e">
        <f>[1]!MF_choke_p_atma([1]!encode_feed(AG$73,,,,feed),d_choke,$B74,1,T_choke,d_pipe,$I$28)</f>
        <v>#VALUE!</v>
      </c>
      <c r="AH74" s="27" t="e">
        <f>[1]!MF_choke_p_atma([1]!encode_feed(AH$73,,,,feed),d_choke,$B74,1,T_choke,d_pipe,$I$28)</f>
        <v>#VALUE!</v>
      </c>
      <c r="AI74" s="27" t="e">
        <f>[1]!MF_choke_p_atma([1]!encode_feed(AI$73,,,,feed),d_choke,$B74,1,T_choke,d_pipe,$I$28)</f>
        <v>#VALUE!</v>
      </c>
      <c r="AJ74" s="27" t="e">
        <f>[1]!MF_choke_p_atma([1]!encode_feed(AJ$73,,,,feed),d_choke,$B74,1,T_choke,d_pipe,$I$28)</f>
        <v>#VALUE!</v>
      </c>
      <c r="AK74" s="27" t="e">
        <f>[1]!MF_choke_p_atma([1]!encode_feed(AK$73,,,,feed),d_choke,$B74,1,T_choke,d_pipe,$I$28)</f>
        <v>#VALUE!</v>
      </c>
      <c r="AL74" s="27" t="e">
        <f>[1]!MF_choke_p_atma([1]!encode_feed(AL$73,,,,feed),d_choke,$B74,1,T_choke,d_pipe,$I$28)</f>
        <v>#VALUE!</v>
      </c>
    </row>
    <row r="75" spans="2:38" x14ac:dyDescent="0.25">
      <c r="B75" s="26">
        <v>15</v>
      </c>
      <c r="C75" s="27" t="e">
        <f>[1]!MF_choke_p_atma([1]!encode_feed(C$73,,,,feed),d_choke,$B75,1,T_choke,d_pipe,$I$28)</f>
        <v>#VALUE!</v>
      </c>
      <c r="D75" s="27" t="e">
        <f>[1]!MF_choke_p_atma([1]!encode_feed(D$73,,,,feed),d_choke,$B75,1,T_choke,d_pipe,$I$28)</f>
        <v>#VALUE!</v>
      </c>
      <c r="E75" s="27" t="e">
        <f>[1]!MF_choke_p_atma([1]!encode_feed(E$73,,,,feed),d_choke,$B75,1,T_choke,d_pipe,$I$28)</f>
        <v>#VALUE!</v>
      </c>
      <c r="F75" s="27" t="e">
        <f>[1]!MF_choke_p_atma([1]!encode_feed(F$73,,,,feed),d_choke,$B75,1,T_choke,d_pipe,$I$28)</f>
        <v>#VALUE!</v>
      </c>
      <c r="G75" s="27" t="e">
        <f>[1]!MF_choke_p_atma([1]!encode_feed(G$73,,,,feed),d_choke,$B75,1,T_choke,d_pipe,$I$28)</f>
        <v>#VALUE!</v>
      </c>
      <c r="H75" s="27" t="e">
        <f>[1]!MF_choke_p_atma([1]!encode_feed(H$73,,,,feed),d_choke,$B75,1,T_choke,d_pipe,$I$28)</f>
        <v>#VALUE!</v>
      </c>
      <c r="I75" s="27" t="e">
        <f>[1]!MF_choke_p_atma([1]!encode_feed(I$73,,,,feed),d_choke,$B75,1,T_choke,d_pipe,$I$28)</f>
        <v>#VALUE!</v>
      </c>
      <c r="J75" s="27" t="e">
        <f>[1]!MF_choke_p_atma([1]!encode_feed(J$73,,,,feed),d_choke,$B75,1,T_choke,d_pipe,$I$28)</f>
        <v>#VALUE!</v>
      </c>
      <c r="K75" s="27" t="e">
        <f>[1]!MF_choke_p_atma([1]!encode_feed(K$73,,,,feed),d_choke,$B75,1,T_choke,d_pipe,$I$28)</f>
        <v>#VALUE!</v>
      </c>
      <c r="L75" s="27" t="e">
        <f>[1]!MF_choke_p_atma([1]!encode_feed(L$73,,,,feed),d_choke,$B75,1,T_choke,d_pipe,$I$28)</f>
        <v>#VALUE!</v>
      </c>
      <c r="M75" s="27" t="e">
        <f>[1]!MF_choke_p_atma([1]!encode_feed(M$73,,,,feed),d_choke,$B75,1,T_choke,d_pipe,$I$28)</f>
        <v>#VALUE!</v>
      </c>
      <c r="N75" s="27" t="e">
        <f>[1]!MF_choke_p_atma([1]!encode_feed(N$73,,,,feed),d_choke,$B75,1,T_choke,d_pipe,$I$28)</f>
        <v>#VALUE!</v>
      </c>
      <c r="O75" s="27" t="e">
        <f>[1]!MF_choke_p_atma([1]!encode_feed(O$73,,,,feed),d_choke,$B75,1,T_choke,d_pipe,$I$28)</f>
        <v>#VALUE!</v>
      </c>
      <c r="P75" s="27" t="e">
        <f>[1]!MF_choke_p_atma([1]!encode_feed(P$73,,,,feed),d_choke,$B75,1,T_choke,d_pipe,$I$28)</f>
        <v>#VALUE!</v>
      </c>
      <c r="Q75" s="27" t="e">
        <f>[1]!MF_choke_p_atma([1]!encode_feed(Q$73,,,,feed),d_choke,$B75,1,T_choke,d_pipe,$I$28)</f>
        <v>#VALUE!</v>
      </c>
      <c r="R75" s="27" t="e">
        <f>[1]!MF_choke_p_atma([1]!encode_feed(R$73,,,,feed),d_choke,$B75,1,T_choke,d_pipe,$I$28)</f>
        <v>#VALUE!</v>
      </c>
      <c r="S75" s="27" t="e">
        <f>[1]!MF_choke_p_atma([1]!encode_feed(S$73,,,,feed),d_choke,$B75,1,T_choke,d_pipe,$I$28)</f>
        <v>#VALUE!</v>
      </c>
      <c r="T75" s="27" t="e">
        <f>[1]!MF_choke_p_atma([1]!encode_feed(T$73,,,,feed),d_choke,$B75,1,T_choke,d_pipe,$I$28)</f>
        <v>#VALUE!</v>
      </c>
      <c r="U75" s="27" t="e">
        <f>[1]!MF_choke_p_atma([1]!encode_feed(U$73,,,,feed),d_choke,$B75,1,T_choke,d_pipe,$I$28)</f>
        <v>#VALUE!</v>
      </c>
      <c r="V75" s="27" t="e">
        <f>[1]!MF_choke_p_atma([1]!encode_feed(V$73,,,,feed),d_choke,$B75,1,T_choke,d_pipe,$I$28)</f>
        <v>#VALUE!</v>
      </c>
      <c r="W75" s="27" t="e">
        <f>[1]!MF_choke_p_atma([1]!encode_feed(W$73,,,,feed),d_choke,$B75,1,T_choke,d_pipe,$I$28)</f>
        <v>#VALUE!</v>
      </c>
      <c r="X75" s="27" t="e">
        <f>[1]!MF_choke_p_atma([1]!encode_feed(X$73,,,,feed),d_choke,$B75,1,T_choke,d_pipe,$I$28)</f>
        <v>#VALUE!</v>
      </c>
      <c r="Y75" s="27" t="e">
        <f>[1]!MF_choke_p_atma([1]!encode_feed(Y$73,,,,feed),d_choke,$B75,1,T_choke,d_pipe,$I$28)</f>
        <v>#VALUE!</v>
      </c>
      <c r="Z75" s="27" t="e">
        <f>[1]!MF_choke_p_atma([1]!encode_feed(Z$73,,,,feed),d_choke,$B75,1,T_choke,d_pipe,$I$28)</f>
        <v>#VALUE!</v>
      </c>
      <c r="AA75" s="27" t="e">
        <f>[1]!MF_choke_p_atma([1]!encode_feed(AA$73,,,,feed),d_choke,$B75,1,T_choke,d_pipe,$I$28)</f>
        <v>#VALUE!</v>
      </c>
      <c r="AB75" s="27" t="e">
        <f>[1]!MF_choke_p_atma([1]!encode_feed(AB$73,,,,feed),d_choke,$B75,1,T_choke,d_pipe,$I$28)</f>
        <v>#VALUE!</v>
      </c>
      <c r="AC75" s="27" t="e">
        <f>[1]!MF_choke_p_atma([1]!encode_feed(AC$73,,,,feed),d_choke,$B75,1,T_choke,d_pipe,$I$28)</f>
        <v>#VALUE!</v>
      </c>
      <c r="AD75" s="27" t="e">
        <f>[1]!MF_choke_p_atma([1]!encode_feed(AD$73,,,,feed),d_choke,$B75,1,T_choke,d_pipe,$I$28)</f>
        <v>#VALUE!</v>
      </c>
      <c r="AE75" s="27" t="e">
        <f>[1]!MF_choke_p_atma([1]!encode_feed(AE$73,,,,feed),d_choke,$B75,1,T_choke,d_pipe,$I$28)</f>
        <v>#VALUE!</v>
      </c>
      <c r="AF75" s="27" t="e">
        <f>[1]!MF_choke_p_atma([1]!encode_feed(AF$73,,,,feed),d_choke,$B75,1,T_choke,d_pipe,$I$28)</f>
        <v>#VALUE!</v>
      </c>
      <c r="AG75" s="27" t="e">
        <f>[1]!MF_choke_p_atma([1]!encode_feed(AG$73,,,,feed),d_choke,$B75,1,T_choke,d_pipe,$I$28)</f>
        <v>#VALUE!</v>
      </c>
      <c r="AH75" s="27" t="e">
        <f>[1]!MF_choke_p_atma([1]!encode_feed(AH$73,,,,feed),d_choke,$B75,1,T_choke,d_pipe,$I$28)</f>
        <v>#VALUE!</v>
      </c>
      <c r="AI75" s="27" t="e">
        <f>[1]!MF_choke_p_atma([1]!encode_feed(AI$73,,,,feed),d_choke,$B75,1,T_choke,d_pipe,$I$28)</f>
        <v>#VALUE!</v>
      </c>
      <c r="AJ75" s="27" t="e">
        <f>[1]!MF_choke_p_atma([1]!encode_feed(AJ$73,,,,feed),d_choke,$B75,1,T_choke,d_pipe,$I$28)</f>
        <v>#VALUE!</v>
      </c>
      <c r="AK75" s="27" t="e">
        <f>[1]!MF_choke_p_atma([1]!encode_feed(AK$73,,,,feed),d_choke,$B75,1,T_choke,d_pipe,$I$28)</f>
        <v>#VALUE!</v>
      </c>
      <c r="AL75" s="27" t="e">
        <f>[1]!MF_choke_p_atma([1]!encode_feed(AL$73,,,,feed),d_choke,$B75,1,T_choke,d_pipe,$I$28)</f>
        <v>#VALUE!</v>
      </c>
    </row>
    <row r="76" spans="2:38" x14ac:dyDescent="0.25">
      <c r="B76" s="26">
        <v>20</v>
      </c>
      <c r="C76" s="27" t="e">
        <f>[1]!MF_choke_p_atma([1]!encode_feed(C$73,,,,feed),d_choke,$B76,1,T_choke,d_pipe,$I$28)</f>
        <v>#VALUE!</v>
      </c>
      <c r="D76" s="27" t="e">
        <f>[1]!MF_choke_p_atma([1]!encode_feed(D$73,,,,feed),d_choke,$B76,1,T_choke,d_pipe,$I$28)</f>
        <v>#VALUE!</v>
      </c>
      <c r="E76" s="27" t="e">
        <f>[1]!MF_choke_p_atma([1]!encode_feed(E$73,,,,feed),d_choke,$B76,1,T_choke,d_pipe,$I$28)</f>
        <v>#VALUE!</v>
      </c>
      <c r="F76" s="27" t="e">
        <f>[1]!MF_choke_p_atma([1]!encode_feed(F$73,,,,feed),d_choke,$B76,1,T_choke,d_pipe,$I$28)</f>
        <v>#VALUE!</v>
      </c>
      <c r="G76" s="27" t="e">
        <f>[1]!MF_choke_p_atma([1]!encode_feed(G$73,,,,feed),d_choke,$B76,1,T_choke,d_pipe,$I$28)</f>
        <v>#VALUE!</v>
      </c>
      <c r="H76" s="27" t="e">
        <f>[1]!MF_choke_p_atma([1]!encode_feed(H$73,,,,feed),d_choke,$B76,1,T_choke,d_pipe,$I$28)</f>
        <v>#VALUE!</v>
      </c>
      <c r="I76" s="27" t="e">
        <f>[1]!MF_choke_p_atma([1]!encode_feed(I$73,,,,feed),d_choke,$B76,1,T_choke,d_pipe,$I$28)</f>
        <v>#VALUE!</v>
      </c>
      <c r="J76" s="27" t="e">
        <f>[1]!MF_choke_p_atma([1]!encode_feed(J$73,,,,feed),d_choke,$B76,1,T_choke,d_pipe,$I$28)</f>
        <v>#VALUE!</v>
      </c>
      <c r="K76" s="27" t="e">
        <f>[1]!MF_choke_p_atma([1]!encode_feed(K$73,,,,feed),d_choke,$B76,1,T_choke,d_pipe,$I$28)</f>
        <v>#VALUE!</v>
      </c>
      <c r="L76" s="27" t="e">
        <f>[1]!MF_choke_p_atma([1]!encode_feed(L$73,,,,feed),d_choke,$B76,1,T_choke,d_pipe,$I$28)</f>
        <v>#VALUE!</v>
      </c>
      <c r="M76" s="27" t="e">
        <f>[1]!MF_choke_p_atma([1]!encode_feed(M$73,,,,feed),d_choke,$B76,1,T_choke,d_pipe,$I$28)</f>
        <v>#VALUE!</v>
      </c>
      <c r="N76" s="27" t="e">
        <f>[1]!MF_choke_p_atma([1]!encode_feed(N$73,,,,feed),d_choke,$B76,1,T_choke,d_pipe,$I$28)</f>
        <v>#VALUE!</v>
      </c>
      <c r="O76" s="27" t="e">
        <f>[1]!MF_choke_p_atma([1]!encode_feed(O$73,,,,feed),d_choke,$B76,1,T_choke,d_pipe,$I$28)</f>
        <v>#VALUE!</v>
      </c>
      <c r="P76" s="27" t="e">
        <f>[1]!MF_choke_p_atma([1]!encode_feed(P$73,,,,feed),d_choke,$B76,1,T_choke,d_pipe,$I$28)</f>
        <v>#VALUE!</v>
      </c>
      <c r="Q76" s="27" t="e">
        <f>[1]!MF_choke_p_atma([1]!encode_feed(Q$73,,,,feed),d_choke,$B76,1,T_choke,d_pipe,$I$28)</f>
        <v>#VALUE!</v>
      </c>
      <c r="R76" s="27" t="e">
        <f>[1]!MF_choke_p_atma([1]!encode_feed(R$73,,,,feed),d_choke,$B76,1,T_choke,d_pipe,$I$28)</f>
        <v>#VALUE!</v>
      </c>
      <c r="S76" s="27" t="e">
        <f>[1]!MF_choke_p_atma([1]!encode_feed(S$73,,,,feed),d_choke,$B76,1,T_choke,d_pipe,$I$28)</f>
        <v>#VALUE!</v>
      </c>
      <c r="T76" s="27" t="e">
        <f>[1]!MF_choke_p_atma([1]!encode_feed(T$73,,,,feed),d_choke,$B76,1,T_choke,d_pipe,$I$28)</f>
        <v>#VALUE!</v>
      </c>
      <c r="U76" s="27" t="e">
        <f>[1]!MF_choke_p_atma([1]!encode_feed(U$73,,,,feed),d_choke,$B76,1,T_choke,d_pipe,$I$28)</f>
        <v>#VALUE!</v>
      </c>
      <c r="V76" s="27" t="e">
        <f>[1]!MF_choke_p_atma([1]!encode_feed(V$73,,,,feed),d_choke,$B76,1,T_choke,d_pipe,$I$28)</f>
        <v>#VALUE!</v>
      </c>
      <c r="W76" s="27" t="e">
        <f>[1]!MF_choke_p_atma([1]!encode_feed(W$73,,,,feed),d_choke,$B76,1,T_choke,d_pipe,$I$28)</f>
        <v>#VALUE!</v>
      </c>
      <c r="X76" s="27" t="e">
        <f>[1]!MF_choke_p_atma([1]!encode_feed(X$73,,,,feed),d_choke,$B76,1,T_choke,d_pipe,$I$28)</f>
        <v>#VALUE!</v>
      </c>
      <c r="Y76" s="27" t="e">
        <f>[1]!MF_choke_p_atma([1]!encode_feed(Y$73,,,,feed),d_choke,$B76,1,T_choke,d_pipe,$I$28)</f>
        <v>#VALUE!</v>
      </c>
      <c r="Z76" s="27" t="e">
        <f>[1]!MF_choke_p_atma([1]!encode_feed(Z$73,,,,feed),d_choke,$B76,1,T_choke,d_pipe,$I$28)</f>
        <v>#VALUE!</v>
      </c>
      <c r="AA76" s="27" t="e">
        <f>[1]!MF_choke_p_atma([1]!encode_feed(AA$73,,,,feed),d_choke,$B76,1,T_choke,d_pipe,$I$28)</f>
        <v>#VALUE!</v>
      </c>
      <c r="AB76" s="27" t="e">
        <f>[1]!MF_choke_p_atma([1]!encode_feed(AB$73,,,,feed),d_choke,$B76,1,T_choke,d_pipe,$I$28)</f>
        <v>#VALUE!</v>
      </c>
      <c r="AC76" s="27" t="e">
        <f>[1]!MF_choke_p_atma([1]!encode_feed(AC$73,,,,feed),d_choke,$B76,1,T_choke,d_pipe,$I$28)</f>
        <v>#VALUE!</v>
      </c>
      <c r="AD76" s="27" t="e">
        <f>[1]!MF_choke_p_atma([1]!encode_feed(AD$73,,,,feed),d_choke,$B76,1,T_choke,d_pipe,$I$28)</f>
        <v>#VALUE!</v>
      </c>
      <c r="AE76" s="27" t="e">
        <f>[1]!MF_choke_p_atma([1]!encode_feed(AE$73,,,,feed),d_choke,$B76,1,T_choke,d_pipe,$I$28)</f>
        <v>#VALUE!</v>
      </c>
      <c r="AF76" s="27" t="e">
        <f>[1]!MF_choke_p_atma([1]!encode_feed(AF$73,,,,feed),d_choke,$B76,1,T_choke,d_pipe,$I$28)</f>
        <v>#VALUE!</v>
      </c>
      <c r="AG76" s="27" t="e">
        <f>[1]!MF_choke_p_atma([1]!encode_feed(AG$73,,,,feed),d_choke,$B76,1,T_choke,d_pipe,$I$28)</f>
        <v>#VALUE!</v>
      </c>
      <c r="AH76" s="27" t="e">
        <f>[1]!MF_choke_p_atma([1]!encode_feed(AH$73,,,,feed),d_choke,$B76,1,T_choke,d_pipe,$I$28)</f>
        <v>#VALUE!</v>
      </c>
      <c r="AI76" s="27" t="e">
        <f>[1]!MF_choke_p_atma([1]!encode_feed(AI$73,,,,feed),d_choke,$B76,1,T_choke,d_pipe,$I$28)</f>
        <v>#VALUE!</v>
      </c>
      <c r="AJ76" s="27" t="e">
        <f>[1]!MF_choke_p_atma([1]!encode_feed(AJ$73,,,,feed),d_choke,$B76,1,T_choke,d_pipe,$I$28)</f>
        <v>#VALUE!</v>
      </c>
      <c r="AK76" s="27" t="e">
        <f>[1]!MF_choke_p_atma([1]!encode_feed(AK$73,,,,feed),d_choke,$B76,1,T_choke,d_pipe,$I$28)</f>
        <v>#VALUE!</v>
      </c>
      <c r="AL76" s="27" t="e">
        <f>[1]!MF_choke_p_atma([1]!encode_feed(AL$73,,,,feed),d_choke,$B76,1,T_choke,d_pipe,$I$28)</f>
        <v>#VALUE!</v>
      </c>
    </row>
    <row r="77" spans="2:38" x14ac:dyDescent="0.25">
      <c r="B77" s="26">
        <v>25</v>
      </c>
      <c r="C77" s="27" t="e">
        <f>[1]!MF_choke_p_atma([1]!encode_feed(C$73,,,,feed),d_choke,$B77,1,T_choke,d_pipe,$I$28)</f>
        <v>#VALUE!</v>
      </c>
      <c r="D77" s="27" t="e">
        <f>[1]!MF_choke_p_atma([1]!encode_feed(D$73,,,,feed),d_choke,$B77,1,T_choke,d_pipe,$I$28)</f>
        <v>#VALUE!</v>
      </c>
      <c r="E77" s="27" t="e">
        <f>[1]!MF_choke_p_atma([1]!encode_feed(E$73,,,,feed),d_choke,$B77,1,T_choke,d_pipe,$I$28)</f>
        <v>#VALUE!</v>
      </c>
      <c r="F77" s="27" t="e">
        <f>[1]!MF_choke_p_atma([1]!encode_feed(F$73,,,,feed),d_choke,$B77,1,T_choke,d_pipe,$I$28)</f>
        <v>#VALUE!</v>
      </c>
      <c r="G77" s="27" t="e">
        <f>[1]!MF_choke_p_atma([1]!encode_feed(G$73,,,,feed),d_choke,$B77,1,T_choke,d_pipe,$I$28)</f>
        <v>#VALUE!</v>
      </c>
      <c r="H77" s="27" t="e">
        <f>[1]!MF_choke_p_atma([1]!encode_feed(H$73,,,,feed),d_choke,$B77,1,T_choke,d_pipe,$I$28)</f>
        <v>#VALUE!</v>
      </c>
      <c r="I77" s="27" t="e">
        <f>[1]!MF_choke_p_atma([1]!encode_feed(I$73,,,,feed),d_choke,$B77,1,T_choke,d_pipe,$I$28)</f>
        <v>#VALUE!</v>
      </c>
      <c r="J77" s="27" t="e">
        <f>[1]!MF_choke_p_atma([1]!encode_feed(J$73,,,,feed),d_choke,$B77,1,T_choke,d_pipe,$I$28)</f>
        <v>#VALUE!</v>
      </c>
      <c r="K77" s="27" t="e">
        <f>[1]!MF_choke_p_atma([1]!encode_feed(K$73,,,,feed),d_choke,$B77,1,T_choke,d_pipe,$I$28)</f>
        <v>#VALUE!</v>
      </c>
      <c r="L77" s="27" t="e">
        <f>[1]!MF_choke_p_atma([1]!encode_feed(L$73,,,,feed),d_choke,$B77,1,T_choke,d_pipe,$I$28)</f>
        <v>#VALUE!</v>
      </c>
      <c r="M77" s="27" t="e">
        <f>[1]!MF_choke_p_atma([1]!encode_feed(M$73,,,,feed),d_choke,$B77,1,T_choke,d_pipe,$I$28)</f>
        <v>#VALUE!</v>
      </c>
      <c r="N77" s="27" t="e">
        <f>[1]!MF_choke_p_atma([1]!encode_feed(N$73,,,,feed),d_choke,$B77,1,T_choke,d_pipe,$I$28)</f>
        <v>#VALUE!</v>
      </c>
      <c r="O77" s="27" t="e">
        <f>[1]!MF_choke_p_atma([1]!encode_feed(O$73,,,,feed),d_choke,$B77,1,T_choke,d_pipe,$I$28)</f>
        <v>#VALUE!</v>
      </c>
      <c r="P77" s="27" t="e">
        <f>[1]!MF_choke_p_atma([1]!encode_feed(P$73,,,,feed),d_choke,$B77,1,T_choke,d_pipe,$I$28)</f>
        <v>#VALUE!</v>
      </c>
      <c r="Q77" s="27" t="e">
        <f>[1]!MF_choke_p_atma([1]!encode_feed(Q$73,,,,feed),d_choke,$B77,1,T_choke,d_pipe,$I$28)</f>
        <v>#VALUE!</v>
      </c>
      <c r="R77" s="27" t="e">
        <f>[1]!MF_choke_p_atma([1]!encode_feed(R$73,,,,feed),d_choke,$B77,1,T_choke,d_pipe,$I$28)</f>
        <v>#VALUE!</v>
      </c>
      <c r="S77" s="27" t="e">
        <f>[1]!MF_choke_p_atma([1]!encode_feed(S$73,,,,feed),d_choke,$B77,1,T_choke,d_pipe,$I$28)</f>
        <v>#VALUE!</v>
      </c>
      <c r="T77" s="27" t="e">
        <f>[1]!MF_choke_p_atma([1]!encode_feed(T$73,,,,feed),d_choke,$B77,1,T_choke,d_pipe,$I$28)</f>
        <v>#VALUE!</v>
      </c>
      <c r="U77" s="27" t="e">
        <f>[1]!MF_choke_p_atma([1]!encode_feed(U$73,,,,feed),d_choke,$B77,1,T_choke,d_pipe,$I$28)</f>
        <v>#VALUE!</v>
      </c>
      <c r="V77" s="27" t="e">
        <f>[1]!MF_choke_p_atma([1]!encode_feed(V$73,,,,feed),d_choke,$B77,1,T_choke,d_pipe,$I$28)</f>
        <v>#VALUE!</v>
      </c>
      <c r="W77" s="27" t="e">
        <f>[1]!MF_choke_p_atma([1]!encode_feed(W$73,,,,feed),d_choke,$B77,1,T_choke,d_pipe,$I$28)</f>
        <v>#VALUE!</v>
      </c>
      <c r="X77" s="27" t="e">
        <f>[1]!MF_choke_p_atma([1]!encode_feed(X$73,,,,feed),d_choke,$B77,1,T_choke,d_pipe,$I$28)</f>
        <v>#VALUE!</v>
      </c>
      <c r="Y77" s="27" t="e">
        <f>[1]!MF_choke_p_atma([1]!encode_feed(Y$73,,,,feed),d_choke,$B77,1,T_choke,d_pipe,$I$28)</f>
        <v>#VALUE!</v>
      </c>
      <c r="Z77" s="27" t="e">
        <f>[1]!MF_choke_p_atma([1]!encode_feed(Z$73,,,,feed),d_choke,$B77,1,T_choke,d_pipe,$I$28)</f>
        <v>#VALUE!</v>
      </c>
      <c r="AA77" s="27" t="e">
        <f>[1]!MF_choke_p_atma([1]!encode_feed(AA$73,,,,feed),d_choke,$B77,1,T_choke,d_pipe,$I$28)</f>
        <v>#VALUE!</v>
      </c>
      <c r="AB77" s="27" t="e">
        <f>[1]!MF_choke_p_atma([1]!encode_feed(AB$73,,,,feed),d_choke,$B77,1,T_choke,d_pipe,$I$28)</f>
        <v>#VALUE!</v>
      </c>
      <c r="AC77" s="27" t="e">
        <f>[1]!MF_choke_p_atma([1]!encode_feed(AC$73,,,,feed),d_choke,$B77,1,T_choke,d_pipe,$I$28)</f>
        <v>#VALUE!</v>
      </c>
      <c r="AD77" s="27" t="e">
        <f>[1]!MF_choke_p_atma([1]!encode_feed(AD$73,,,,feed),d_choke,$B77,1,T_choke,d_pipe,$I$28)</f>
        <v>#VALUE!</v>
      </c>
      <c r="AE77" s="27" t="e">
        <f>[1]!MF_choke_p_atma([1]!encode_feed(AE$73,,,,feed),d_choke,$B77,1,T_choke,d_pipe,$I$28)</f>
        <v>#VALUE!</v>
      </c>
      <c r="AF77" s="27" t="e">
        <f>[1]!MF_choke_p_atma([1]!encode_feed(AF$73,,,,feed),d_choke,$B77,1,T_choke,d_pipe,$I$28)</f>
        <v>#VALUE!</v>
      </c>
      <c r="AG77" s="27" t="e">
        <f>[1]!MF_choke_p_atma([1]!encode_feed(AG$73,,,,feed),d_choke,$B77,1,T_choke,d_pipe,$I$28)</f>
        <v>#VALUE!</v>
      </c>
      <c r="AH77" s="27" t="e">
        <f>[1]!MF_choke_p_atma([1]!encode_feed(AH$73,,,,feed),d_choke,$B77,1,T_choke,d_pipe,$I$28)</f>
        <v>#VALUE!</v>
      </c>
      <c r="AI77" s="27" t="e">
        <f>[1]!MF_choke_p_atma([1]!encode_feed(AI$73,,,,feed),d_choke,$B77,1,T_choke,d_pipe,$I$28)</f>
        <v>#VALUE!</v>
      </c>
      <c r="AJ77" s="27" t="e">
        <f>[1]!MF_choke_p_atma([1]!encode_feed(AJ$73,,,,feed),d_choke,$B77,1,T_choke,d_pipe,$I$28)</f>
        <v>#VALUE!</v>
      </c>
      <c r="AK77" s="27" t="e">
        <f>[1]!MF_choke_p_atma([1]!encode_feed(AK$73,,,,feed),d_choke,$B77,1,T_choke,d_pipe,$I$28)</f>
        <v>#VALUE!</v>
      </c>
      <c r="AL77" s="27" t="e">
        <f>[1]!MF_choke_p_atma([1]!encode_feed(AL$73,,,,feed),d_choke,$B77,1,T_choke,d_pipe,$I$28)</f>
        <v>#VALUE!</v>
      </c>
    </row>
    <row r="78" spans="2:38" x14ac:dyDescent="0.25">
      <c r="B78" s="26">
        <v>30</v>
      </c>
      <c r="C78" s="27" t="e">
        <f>[1]!MF_choke_p_atma([1]!encode_feed(C$73,,,,feed),d_choke,$B78,1,T_choke,d_pipe,$I$28)</f>
        <v>#VALUE!</v>
      </c>
      <c r="D78" s="27" t="e">
        <f>[1]!MF_choke_p_atma([1]!encode_feed(D$73,,,,feed),d_choke,$B78,1,T_choke,d_pipe,$I$28)</f>
        <v>#VALUE!</v>
      </c>
      <c r="E78" s="27" t="e">
        <f>[1]!MF_choke_p_atma([1]!encode_feed(E$73,,,,feed),d_choke,$B78,1,T_choke,d_pipe,$I$28)</f>
        <v>#VALUE!</v>
      </c>
      <c r="F78" s="27" t="e">
        <f>[1]!MF_choke_p_atma([1]!encode_feed(F$73,,,,feed),d_choke,$B78,1,T_choke,d_pipe,$I$28)</f>
        <v>#VALUE!</v>
      </c>
      <c r="G78" s="27" t="e">
        <f>[1]!MF_choke_p_atma([1]!encode_feed(G$73,,,,feed),d_choke,$B78,1,T_choke,d_pipe,$I$28)</f>
        <v>#VALUE!</v>
      </c>
      <c r="H78" s="27" t="e">
        <f>[1]!MF_choke_p_atma([1]!encode_feed(H$73,,,,feed),d_choke,$B78,1,T_choke,d_pipe,$I$28)</f>
        <v>#VALUE!</v>
      </c>
      <c r="I78" s="27" t="e">
        <f>[1]!MF_choke_p_atma([1]!encode_feed(I$73,,,,feed),d_choke,$B78,1,T_choke,d_pipe,$I$28)</f>
        <v>#VALUE!</v>
      </c>
      <c r="J78" s="27" t="e">
        <f>[1]!MF_choke_p_atma([1]!encode_feed(J$73,,,,feed),d_choke,$B78,1,T_choke,d_pipe,$I$28)</f>
        <v>#VALUE!</v>
      </c>
      <c r="K78" s="27" t="e">
        <f>[1]!MF_choke_p_atma([1]!encode_feed(K$73,,,,feed),d_choke,$B78,1,T_choke,d_pipe,$I$28)</f>
        <v>#VALUE!</v>
      </c>
      <c r="L78" s="27" t="e">
        <f>[1]!MF_choke_p_atma([1]!encode_feed(L$73,,,,feed),d_choke,$B78,1,T_choke,d_pipe,$I$28)</f>
        <v>#VALUE!</v>
      </c>
      <c r="M78" s="27" t="e">
        <f>[1]!MF_choke_p_atma([1]!encode_feed(M$73,,,,feed),d_choke,$B78,1,T_choke,d_pipe,$I$28)</f>
        <v>#VALUE!</v>
      </c>
      <c r="N78" s="27" t="e">
        <f>[1]!MF_choke_p_atma([1]!encode_feed(N$73,,,,feed),d_choke,$B78,1,T_choke,d_pipe,$I$28)</f>
        <v>#VALUE!</v>
      </c>
      <c r="O78" s="27" t="e">
        <f>[1]!MF_choke_p_atma([1]!encode_feed(O$73,,,,feed),d_choke,$B78,1,T_choke,d_pipe,$I$28)</f>
        <v>#VALUE!</v>
      </c>
      <c r="P78" s="27" t="e">
        <f>[1]!MF_choke_p_atma([1]!encode_feed(P$73,,,,feed),d_choke,$B78,1,T_choke,d_pipe,$I$28)</f>
        <v>#VALUE!</v>
      </c>
      <c r="Q78" s="27" t="e">
        <f>[1]!MF_choke_p_atma([1]!encode_feed(Q$73,,,,feed),d_choke,$B78,1,T_choke,d_pipe,$I$28)</f>
        <v>#VALUE!</v>
      </c>
      <c r="R78" s="27" t="e">
        <f>[1]!MF_choke_p_atma([1]!encode_feed(R$73,,,,feed),d_choke,$B78,1,T_choke,d_pipe,$I$28)</f>
        <v>#VALUE!</v>
      </c>
      <c r="S78" s="27" t="e">
        <f>[1]!MF_choke_p_atma([1]!encode_feed(S$73,,,,feed),d_choke,$B78,1,T_choke,d_pipe,$I$28)</f>
        <v>#VALUE!</v>
      </c>
      <c r="T78" s="27" t="e">
        <f>[1]!MF_choke_p_atma([1]!encode_feed(T$73,,,,feed),d_choke,$B78,1,T_choke,d_pipe,$I$28)</f>
        <v>#VALUE!</v>
      </c>
      <c r="U78" s="27" t="e">
        <f>[1]!MF_choke_p_atma([1]!encode_feed(U$73,,,,feed),d_choke,$B78,1,T_choke,d_pipe,$I$28)</f>
        <v>#VALUE!</v>
      </c>
      <c r="V78" s="27" t="e">
        <f>[1]!MF_choke_p_atma([1]!encode_feed(V$73,,,,feed),d_choke,$B78,1,T_choke,d_pipe,$I$28)</f>
        <v>#VALUE!</v>
      </c>
      <c r="W78" s="27" t="e">
        <f>[1]!MF_choke_p_atma([1]!encode_feed(W$73,,,,feed),d_choke,$B78,1,T_choke,d_pipe,$I$28)</f>
        <v>#VALUE!</v>
      </c>
      <c r="X78" s="27" t="e">
        <f>[1]!MF_choke_p_atma([1]!encode_feed(X$73,,,,feed),d_choke,$B78,1,T_choke,d_pipe,$I$28)</f>
        <v>#VALUE!</v>
      </c>
      <c r="Y78" s="27" t="e">
        <f>[1]!MF_choke_p_atma([1]!encode_feed(Y$73,,,,feed),d_choke,$B78,1,T_choke,d_pipe,$I$28)</f>
        <v>#VALUE!</v>
      </c>
      <c r="Z78" s="27" t="e">
        <f>[1]!MF_choke_p_atma([1]!encode_feed(Z$73,,,,feed),d_choke,$B78,1,T_choke,d_pipe,$I$28)</f>
        <v>#VALUE!</v>
      </c>
      <c r="AA78" s="27" t="e">
        <f>[1]!MF_choke_p_atma([1]!encode_feed(AA$73,,,,feed),d_choke,$B78,1,T_choke,d_pipe,$I$28)</f>
        <v>#VALUE!</v>
      </c>
      <c r="AB78" s="27" t="e">
        <f>[1]!MF_choke_p_atma([1]!encode_feed(AB$73,,,,feed),d_choke,$B78,1,T_choke,d_pipe,$I$28)</f>
        <v>#VALUE!</v>
      </c>
      <c r="AC78" s="27" t="e">
        <f>[1]!MF_choke_p_atma([1]!encode_feed(AC$73,,,,feed),d_choke,$B78,1,T_choke,d_pipe,$I$28)</f>
        <v>#VALUE!</v>
      </c>
      <c r="AD78" s="27" t="e">
        <f>[1]!MF_choke_p_atma([1]!encode_feed(AD$73,,,,feed),d_choke,$B78,1,T_choke,d_pipe,$I$28)</f>
        <v>#VALUE!</v>
      </c>
      <c r="AE78" s="27" t="e">
        <f>[1]!MF_choke_p_atma([1]!encode_feed(AE$73,,,,feed),d_choke,$B78,1,T_choke,d_pipe,$I$28)</f>
        <v>#VALUE!</v>
      </c>
      <c r="AF78" s="27" t="e">
        <f>[1]!MF_choke_p_atma([1]!encode_feed(AF$73,,,,feed),d_choke,$B78,1,T_choke,d_pipe,$I$28)</f>
        <v>#VALUE!</v>
      </c>
      <c r="AG78" s="27" t="e">
        <f>[1]!MF_choke_p_atma([1]!encode_feed(AG$73,,,,feed),d_choke,$B78,1,T_choke,d_pipe,$I$28)</f>
        <v>#VALUE!</v>
      </c>
      <c r="AH78" s="27" t="e">
        <f>[1]!MF_choke_p_atma([1]!encode_feed(AH$73,,,,feed),d_choke,$B78,1,T_choke,d_pipe,$I$28)</f>
        <v>#VALUE!</v>
      </c>
      <c r="AI78" s="27" t="e">
        <f>[1]!MF_choke_p_atma([1]!encode_feed(AI$73,,,,feed),d_choke,$B78,1,T_choke,d_pipe,$I$28)</f>
        <v>#VALUE!</v>
      </c>
      <c r="AJ78" s="27" t="e">
        <f>[1]!MF_choke_p_atma([1]!encode_feed(AJ$73,,,,feed),d_choke,$B78,1,T_choke,d_pipe,$I$28)</f>
        <v>#VALUE!</v>
      </c>
      <c r="AK78" s="27" t="e">
        <f>[1]!MF_choke_p_atma([1]!encode_feed(AK$73,,,,feed),d_choke,$B78,1,T_choke,d_pipe,$I$28)</f>
        <v>#VALUE!</v>
      </c>
      <c r="AL78" s="27" t="e">
        <f>[1]!MF_choke_p_atma([1]!encode_feed(AL$73,,,,feed),d_choke,$B78,1,T_choke,d_pipe,$I$28)</f>
        <v>#VALUE!</v>
      </c>
    </row>
    <row r="79" spans="2:38" x14ac:dyDescent="0.25">
      <c r="B79" s="26">
        <v>35</v>
      </c>
      <c r="C79" s="27" t="e">
        <f>[1]!MF_choke_p_atma([1]!encode_feed(C$73,,,,feed),d_choke,$B79,1,T_choke,d_pipe,$I$28)</f>
        <v>#VALUE!</v>
      </c>
      <c r="D79" s="27" t="e">
        <f>[1]!MF_choke_p_atma([1]!encode_feed(D$73,,,,feed),d_choke,$B79,1,T_choke,d_pipe,$I$28)</f>
        <v>#VALUE!</v>
      </c>
      <c r="E79" s="27" t="e">
        <f>[1]!MF_choke_p_atma([1]!encode_feed(E$73,,,,feed),d_choke,$B79,1,T_choke,d_pipe,$I$28)</f>
        <v>#VALUE!</v>
      </c>
      <c r="F79" s="27" t="e">
        <f>[1]!MF_choke_p_atma([1]!encode_feed(F$73,,,,feed),d_choke,$B79,1,T_choke,d_pipe,$I$28)</f>
        <v>#VALUE!</v>
      </c>
      <c r="G79" s="27" t="e">
        <f>[1]!MF_choke_p_atma([1]!encode_feed(G$73,,,,feed),d_choke,$B79,1,T_choke,d_pipe,$I$28)</f>
        <v>#VALUE!</v>
      </c>
      <c r="H79" s="27" t="e">
        <f>[1]!MF_choke_p_atma([1]!encode_feed(H$73,,,,feed),d_choke,$B79,1,T_choke,d_pipe,$I$28)</f>
        <v>#VALUE!</v>
      </c>
      <c r="I79" s="27" t="e">
        <f>[1]!MF_choke_p_atma([1]!encode_feed(I$73,,,,feed),d_choke,$B79,1,T_choke,d_pipe,$I$28)</f>
        <v>#VALUE!</v>
      </c>
      <c r="J79" s="27" t="e">
        <f>[1]!MF_choke_p_atma([1]!encode_feed(J$73,,,,feed),d_choke,$B79,1,T_choke,d_pipe,$I$28)</f>
        <v>#VALUE!</v>
      </c>
      <c r="K79" s="27" t="e">
        <f>[1]!MF_choke_p_atma([1]!encode_feed(K$73,,,,feed),d_choke,$B79,1,T_choke,d_pipe,$I$28)</f>
        <v>#VALUE!</v>
      </c>
      <c r="L79" s="27" t="e">
        <f>[1]!MF_choke_p_atma([1]!encode_feed(L$73,,,,feed),d_choke,$B79,1,T_choke,d_pipe,$I$28)</f>
        <v>#VALUE!</v>
      </c>
      <c r="M79" s="27" t="e">
        <f>[1]!MF_choke_p_atma([1]!encode_feed(M$73,,,,feed),d_choke,$B79,1,T_choke,d_pipe,$I$28)</f>
        <v>#VALUE!</v>
      </c>
      <c r="N79" s="27" t="e">
        <f>[1]!MF_choke_p_atma([1]!encode_feed(N$73,,,,feed),d_choke,$B79,1,T_choke,d_pipe,$I$28)</f>
        <v>#VALUE!</v>
      </c>
      <c r="O79" s="27" t="e">
        <f>[1]!MF_choke_p_atma([1]!encode_feed(O$73,,,,feed),d_choke,$B79,1,T_choke,d_pipe,$I$28)</f>
        <v>#VALUE!</v>
      </c>
      <c r="P79" s="27" t="e">
        <f>[1]!MF_choke_p_atma([1]!encode_feed(P$73,,,,feed),d_choke,$B79,1,T_choke,d_pipe,$I$28)</f>
        <v>#VALUE!</v>
      </c>
      <c r="Q79" s="27" t="e">
        <f>[1]!MF_choke_p_atma([1]!encode_feed(Q$73,,,,feed),d_choke,$B79,1,T_choke,d_pipe,$I$28)</f>
        <v>#VALUE!</v>
      </c>
      <c r="R79" s="27" t="e">
        <f>[1]!MF_choke_p_atma([1]!encode_feed(R$73,,,,feed),d_choke,$B79,1,T_choke,d_pipe,$I$28)</f>
        <v>#VALUE!</v>
      </c>
      <c r="S79" s="27" t="e">
        <f>[1]!MF_choke_p_atma([1]!encode_feed(S$73,,,,feed),d_choke,$B79,1,T_choke,d_pipe,$I$28)</f>
        <v>#VALUE!</v>
      </c>
      <c r="T79" s="27" t="e">
        <f>[1]!MF_choke_p_atma([1]!encode_feed(T$73,,,,feed),d_choke,$B79,1,T_choke,d_pipe,$I$28)</f>
        <v>#VALUE!</v>
      </c>
      <c r="U79" s="27" t="e">
        <f>[1]!MF_choke_p_atma([1]!encode_feed(U$73,,,,feed),d_choke,$B79,1,T_choke,d_pipe,$I$28)</f>
        <v>#VALUE!</v>
      </c>
      <c r="V79" s="27" t="e">
        <f>[1]!MF_choke_p_atma([1]!encode_feed(V$73,,,,feed),d_choke,$B79,1,T_choke,d_pipe,$I$28)</f>
        <v>#VALUE!</v>
      </c>
      <c r="W79" s="27" t="e">
        <f>[1]!MF_choke_p_atma([1]!encode_feed(W$73,,,,feed),d_choke,$B79,1,T_choke,d_pipe,$I$28)</f>
        <v>#VALUE!</v>
      </c>
      <c r="X79" s="27" t="e">
        <f>[1]!MF_choke_p_atma([1]!encode_feed(X$73,,,,feed),d_choke,$B79,1,T_choke,d_pipe,$I$28)</f>
        <v>#VALUE!</v>
      </c>
      <c r="Y79" s="27" t="e">
        <f>[1]!MF_choke_p_atma([1]!encode_feed(Y$73,,,,feed),d_choke,$B79,1,T_choke,d_pipe,$I$28)</f>
        <v>#VALUE!</v>
      </c>
      <c r="Z79" s="27" t="e">
        <f>[1]!MF_choke_p_atma([1]!encode_feed(Z$73,,,,feed),d_choke,$B79,1,T_choke,d_pipe,$I$28)</f>
        <v>#VALUE!</v>
      </c>
      <c r="AA79" s="27" t="e">
        <f>[1]!MF_choke_p_atma([1]!encode_feed(AA$73,,,,feed),d_choke,$B79,1,T_choke,d_pipe,$I$28)</f>
        <v>#VALUE!</v>
      </c>
      <c r="AB79" s="27" t="e">
        <f>[1]!MF_choke_p_atma([1]!encode_feed(AB$73,,,,feed),d_choke,$B79,1,T_choke,d_pipe,$I$28)</f>
        <v>#VALUE!</v>
      </c>
      <c r="AC79" s="27" t="e">
        <f>[1]!MF_choke_p_atma([1]!encode_feed(AC$73,,,,feed),d_choke,$B79,1,T_choke,d_pipe,$I$28)</f>
        <v>#VALUE!</v>
      </c>
      <c r="AD79" s="27" t="e">
        <f>[1]!MF_choke_p_atma([1]!encode_feed(AD$73,,,,feed),d_choke,$B79,1,T_choke,d_pipe,$I$28)</f>
        <v>#VALUE!</v>
      </c>
      <c r="AE79" s="27" t="e">
        <f>[1]!MF_choke_p_atma([1]!encode_feed(AE$73,,,,feed),d_choke,$B79,1,T_choke,d_pipe,$I$28)</f>
        <v>#VALUE!</v>
      </c>
      <c r="AF79" s="27" t="e">
        <f>[1]!MF_choke_p_atma([1]!encode_feed(AF$73,,,,feed),d_choke,$B79,1,T_choke,d_pipe,$I$28)</f>
        <v>#VALUE!</v>
      </c>
      <c r="AG79" s="27" t="e">
        <f>[1]!MF_choke_p_atma([1]!encode_feed(AG$73,,,,feed),d_choke,$B79,1,T_choke,d_pipe,$I$28)</f>
        <v>#VALUE!</v>
      </c>
      <c r="AH79" s="27" t="e">
        <f>[1]!MF_choke_p_atma([1]!encode_feed(AH$73,,,,feed),d_choke,$B79,1,T_choke,d_pipe,$I$28)</f>
        <v>#VALUE!</v>
      </c>
      <c r="AI79" s="27" t="e">
        <f>[1]!MF_choke_p_atma([1]!encode_feed(AI$73,,,,feed),d_choke,$B79,1,T_choke,d_pipe,$I$28)</f>
        <v>#VALUE!</v>
      </c>
      <c r="AJ79" s="27" t="e">
        <f>[1]!MF_choke_p_atma([1]!encode_feed(AJ$73,,,,feed),d_choke,$B79,1,T_choke,d_pipe,$I$28)</f>
        <v>#VALUE!</v>
      </c>
      <c r="AK79" s="27" t="e">
        <f>[1]!MF_choke_p_atma([1]!encode_feed(AK$73,,,,feed),d_choke,$B79,1,T_choke,d_pipe,$I$28)</f>
        <v>#VALUE!</v>
      </c>
      <c r="AL79" s="27" t="e">
        <f>[1]!MF_choke_p_atma([1]!encode_feed(AL$73,,,,feed),d_choke,$B79,1,T_choke,d_pipe,$I$28)</f>
        <v>#VALUE!</v>
      </c>
    </row>
  </sheetData>
  <mergeCells count="6">
    <mergeCell ref="C72:N72"/>
    <mergeCell ref="B3:E3"/>
    <mergeCell ref="B4:E4"/>
    <mergeCell ref="B5:E5"/>
    <mergeCell ref="B6:E8"/>
    <mergeCell ref="C60:N60"/>
  </mergeCells>
  <hyperlinks>
    <hyperlink ref="AZ23" r:id="rId1" xr:uid="{D2423A2D-93CC-4B68-984B-ACB7C26634BD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37</vt:i4>
      </vt:variant>
    </vt:vector>
  </HeadingPairs>
  <TitlesOfParts>
    <vt:vector size="38" baseType="lpstr">
      <vt:lpstr>exercise_choke</vt:lpstr>
      <vt:lpstr>exercise_choke!Bob_</vt:lpstr>
      <vt:lpstr>exercise_choke!cf_</vt:lpstr>
      <vt:lpstr>exercise_choke!d_choke</vt:lpstr>
      <vt:lpstr>exercise_choke!d_pipe</vt:lpstr>
      <vt:lpstr>feed</vt:lpstr>
      <vt:lpstr>exercise_choke!fw_</vt:lpstr>
      <vt:lpstr>exercise_choke!gamma_gas_</vt:lpstr>
      <vt:lpstr>exercise_choke!gamma_oil_</vt:lpstr>
      <vt:lpstr>exercise_choke!gamma_wat_</vt:lpstr>
      <vt:lpstr>exercise_choke!gamma_wat_kf_</vt:lpstr>
      <vt:lpstr>exercise_choke!gas_only</vt:lpstr>
      <vt:lpstr>exercise_choke!input_0</vt:lpstr>
      <vt:lpstr>exercise_choke!input_1</vt:lpstr>
      <vt:lpstr>exercise_choke!input_2</vt:lpstr>
      <vt:lpstr>exercise_choke!input_3</vt:lpstr>
      <vt:lpstr>exercise_choke!input_4</vt:lpstr>
      <vt:lpstr>exercise_choke!input_Course</vt:lpstr>
      <vt:lpstr>exercise_choke!input_Date</vt:lpstr>
      <vt:lpstr>exercise_choke!input_Group</vt:lpstr>
      <vt:lpstr>exercise_choke!input_Notes</vt:lpstr>
      <vt:lpstr>exercise_choke!input_Student_Name</vt:lpstr>
      <vt:lpstr>exercise_choke!input_Version</vt:lpstr>
      <vt:lpstr>exercise_choke!muob_</vt:lpstr>
      <vt:lpstr>exercise_choke!output_0</vt:lpstr>
      <vt:lpstr>exercise_choke!output_1</vt:lpstr>
      <vt:lpstr>exercise_choke!Pb_</vt:lpstr>
      <vt:lpstr>exercise_choke!Pbuf_</vt:lpstr>
      <vt:lpstr>exercise_choke!Plin_</vt:lpstr>
      <vt:lpstr>exercise_choke!PVT_str_wat_</vt:lpstr>
      <vt:lpstr>exercise_choke!PVTstr_</vt:lpstr>
      <vt:lpstr>exercise_choke!qgas_free</vt:lpstr>
      <vt:lpstr>exercise_choke!Qliq_</vt:lpstr>
      <vt:lpstr>exercise_choke!Rp_</vt:lpstr>
      <vt:lpstr>exercise_choke!Rsb_</vt:lpstr>
      <vt:lpstr>exercise_choke!T_choke</vt:lpstr>
      <vt:lpstr>exercise_choke!T_upchoke</vt:lpstr>
      <vt:lpstr>exercise_choke!Tres_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2021-03-10T15:36:11Z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