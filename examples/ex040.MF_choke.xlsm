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0F2D0BFA-ACF8-4E2F-8379-35460553A1C5}" xr6:coauthVersionLast="45" xr6:coauthVersionMax="45" xr10:uidLastSave="{00000000-0000-0000-0000-000000000000}"/>
  <bookViews>
    <workbookView xWindow="3210" yWindow="1215" windowWidth="28185" windowHeight="18255" tabRatio="591" xr2:uid="{00000000-000D-0000-FFFF-FFFF00000000}"/>
  </bookViews>
  <sheets>
    <sheet name="exercise_choke" sheetId="119" r:id="rId1"/>
  </sheets>
  <externalReferences>
    <externalReference r:id="rId2"/>
  </externalReferences>
  <definedNames>
    <definedName name="Bob_" localSheetId="0">exercise_choke!$C$18</definedName>
    <definedName name="cf_" localSheetId="0">exercise_choke!$C$104</definedName>
    <definedName name="d_choke" localSheetId="0">exercise_choke!$C$26</definedName>
    <definedName name="d_pipe" localSheetId="0">exercise_choke!$C$25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input_0" localSheetId="0">exercise_choke!$C$11:$C$29</definedName>
    <definedName name="input_1" localSheetId="0">exercise_choke!$H$35:$H$40</definedName>
    <definedName name="input_2" localSheetId="0">exercise_choke!$I$34:$AJ$34</definedName>
    <definedName name="input_3" localSheetId="0">exercise_choke!$H$47:$H$52</definedName>
    <definedName name="input_4" localSheetId="0">exercise_choke!$I$46:$AR$46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exercise_choke!$I$35:$AJ$40</definedName>
    <definedName name="output_1" localSheetId="0">exercise_choke!$I$47:$AR$52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gas_" localSheetId="0">exercise_choke!#REF!</definedName>
    <definedName name="PVT_str_wat_" localSheetId="0">exercise_choke!$F$30</definedName>
    <definedName name="PVTstr_" localSheetId="0">exercise_choke!$F$29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119" l="1"/>
  <c r="E20" i="119"/>
  <c r="E17" i="119"/>
  <c r="E16" i="119"/>
  <c r="E15" i="119"/>
  <c r="E14" i="119"/>
  <c r="E13" i="119"/>
  <c r="E12" i="119"/>
  <c r="E11" i="119"/>
  <c r="AL4" i="119"/>
  <c r="AL3" i="119"/>
  <c r="AL2" i="119"/>
  <c r="AL1" i="119"/>
  <c r="F29" i="119"/>
  <c r="P107" i="119"/>
  <c r="AH49" i="119"/>
  <c r="Y40" i="119"/>
  <c r="T35" i="119"/>
  <c r="O108" i="119"/>
  <c r="C108" i="119"/>
  <c r="O107" i="119"/>
  <c r="C107" i="119"/>
  <c r="AG52" i="119"/>
  <c r="U52" i="119"/>
  <c r="I52" i="119"/>
  <c r="AG51" i="119"/>
  <c r="U51" i="119"/>
  <c r="I51" i="119"/>
  <c r="AG50" i="119"/>
  <c r="U50" i="119"/>
  <c r="I50" i="119"/>
  <c r="AG49" i="119"/>
  <c r="U49" i="119"/>
  <c r="I49" i="119"/>
  <c r="AG48" i="119"/>
  <c r="U48" i="119"/>
  <c r="I48" i="119"/>
  <c r="AG47" i="119"/>
  <c r="U47" i="119"/>
  <c r="I47" i="119"/>
  <c r="AJ40" i="119"/>
  <c r="X40" i="119"/>
  <c r="L40" i="119"/>
  <c r="AB39" i="119"/>
  <c r="P39" i="119"/>
  <c r="AE38" i="119"/>
  <c r="S38" i="119"/>
  <c r="AI37" i="119"/>
  <c r="W37" i="119"/>
  <c r="K37" i="119"/>
  <c r="AA36" i="119"/>
  <c r="O36" i="119"/>
  <c r="AE35" i="119"/>
  <c r="S35" i="119"/>
  <c r="V37" i="119"/>
  <c r="N36" i="119"/>
  <c r="R35" i="119"/>
  <c r="Z39" i="119"/>
  <c r="Q38" i="119"/>
  <c r="U37" i="119"/>
  <c r="Y36" i="119"/>
  <c r="Q35" i="119"/>
  <c r="AJ36" i="119"/>
  <c r="AB35" i="119"/>
  <c r="AH51" i="119"/>
  <c r="AH47" i="119"/>
  <c r="AJ37" i="119"/>
  <c r="G1" i="119"/>
  <c r="I35" i="119"/>
  <c r="U35" i="119"/>
  <c r="AG35" i="119"/>
  <c r="Q36" i="119"/>
  <c r="AC36" i="119"/>
  <c r="M37" i="119"/>
  <c r="Y37" i="119"/>
  <c r="I38" i="119"/>
  <c r="U38" i="119"/>
  <c r="AG38" i="119"/>
  <c r="R39" i="119"/>
  <c r="AD39" i="119"/>
  <c r="N40" i="119"/>
  <c r="Z40" i="119"/>
  <c r="K47" i="119"/>
  <c r="W47" i="119"/>
  <c r="AI47" i="119"/>
  <c r="K48" i="119"/>
  <c r="W48" i="119"/>
  <c r="AI48" i="119"/>
  <c r="K49" i="119"/>
  <c r="W49" i="119"/>
  <c r="AI49" i="119"/>
  <c r="K50" i="119"/>
  <c r="W50" i="119"/>
  <c r="AI50" i="119"/>
  <c r="K51" i="119"/>
  <c r="W51" i="119"/>
  <c r="AI51" i="119"/>
  <c r="K52" i="119"/>
  <c r="W52" i="119"/>
  <c r="AI52" i="119"/>
  <c r="E107" i="119"/>
  <c r="Q107" i="119"/>
  <c r="E108" i="119"/>
  <c r="Q108" i="119"/>
  <c r="P36" i="119"/>
  <c r="V47" i="119"/>
  <c r="D107" i="119"/>
  <c r="B35" i="119" a="1"/>
  <c r="J35" i="119"/>
  <c r="V35" i="119"/>
  <c r="AH35" i="119"/>
  <c r="R36" i="119"/>
  <c r="AD36" i="119"/>
  <c r="N37" i="119"/>
  <c r="Z37" i="119"/>
  <c r="J38" i="119"/>
  <c r="V38" i="119"/>
  <c r="AH38" i="119"/>
  <c r="S39" i="119"/>
  <c r="AE39" i="119"/>
  <c r="O40" i="119"/>
  <c r="AA40" i="119"/>
  <c r="L47" i="119"/>
  <c r="X47" i="119"/>
  <c r="AJ47" i="119"/>
  <c r="L48" i="119"/>
  <c r="X48" i="119"/>
  <c r="AJ48" i="119"/>
  <c r="L49" i="119"/>
  <c r="X49" i="119"/>
  <c r="AJ49" i="119"/>
  <c r="L50" i="119"/>
  <c r="X50" i="119"/>
  <c r="AJ50" i="119"/>
  <c r="L51" i="119"/>
  <c r="X51" i="119"/>
  <c r="AJ51" i="119"/>
  <c r="L52" i="119"/>
  <c r="X52" i="119"/>
  <c r="AJ52" i="119"/>
  <c r="F107" i="119"/>
  <c r="R107" i="119"/>
  <c r="F108" i="119"/>
  <c r="R108" i="119"/>
  <c r="B43" i="119" a="1"/>
  <c r="AH48" i="119"/>
  <c r="AH50" i="119"/>
  <c r="P108" i="119"/>
  <c r="K35" i="119"/>
  <c r="S36" i="119"/>
  <c r="AA37" i="119"/>
  <c r="W38" i="119"/>
  <c r="AI38" i="119"/>
  <c r="T39" i="119"/>
  <c r="AF39" i="119"/>
  <c r="P40" i="119"/>
  <c r="AB40" i="119"/>
  <c r="M47" i="119"/>
  <c r="Y47" i="119"/>
  <c r="AK47" i="119"/>
  <c r="M48" i="119"/>
  <c r="Y48" i="119"/>
  <c r="AK48" i="119"/>
  <c r="M49" i="119"/>
  <c r="Y49" i="119"/>
  <c r="AK49" i="119"/>
  <c r="M50" i="119"/>
  <c r="Y50" i="119"/>
  <c r="AK50" i="119"/>
  <c r="M51" i="119"/>
  <c r="Y51" i="119"/>
  <c r="AK51" i="119"/>
  <c r="M52" i="119"/>
  <c r="Y52" i="119"/>
  <c r="AK52" i="119"/>
  <c r="G107" i="119"/>
  <c r="S107" i="119"/>
  <c r="G108" i="119"/>
  <c r="S108" i="119"/>
  <c r="T38" i="119"/>
  <c r="J49" i="119"/>
  <c r="AH52" i="119"/>
  <c r="T36" i="119"/>
  <c r="AB37" i="119"/>
  <c r="AJ38" i="119"/>
  <c r="Q40" i="119"/>
  <c r="AC40" i="119"/>
  <c r="N47" i="119"/>
  <c r="Z47" i="119"/>
  <c r="AL47" i="119"/>
  <c r="N48" i="119"/>
  <c r="Z48" i="119"/>
  <c r="AL48" i="119"/>
  <c r="N49" i="119"/>
  <c r="Z49" i="119"/>
  <c r="AL49" i="119"/>
  <c r="N50" i="119"/>
  <c r="Z50" i="119"/>
  <c r="AL50" i="119"/>
  <c r="N51" i="119"/>
  <c r="Z51" i="119"/>
  <c r="AL51" i="119"/>
  <c r="N52" i="119"/>
  <c r="Z52" i="119"/>
  <c r="AL52" i="119"/>
  <c r="H107" i="119"/>
  <c r="T107" i="119"/>
  <c r="H108" i="119"/>
  <c r="T108" i="119"/>
  <c r="L37" i="119"/>
  <c r="B47" i="119" a="1"/>
  <c r="V50" i="119"/>
  <c r="AI35" i="119"/>
  <c r="O37" i="119"/>
  <c r="L35" i="119"/>
  <c r="AJ35" i="119"/>
  <c r="P37" i="119"/>
  <c r="X38" i="119"/>
  <c r="AG39" i="119"/>
  <c r="Y35" i="119"/>
  <c r="U36" i="119"/>
  <c r="AC37" i="119"/>
  <c r="B39" i="119" a="1"/>
  <c r="V39" i="119"/>
  <c r="R40" i="119"/>
  <c r="AD40" i="119"/>
  <c r="O47" i="119"/>
  <c r="AA47" i="119"/>
  <c r="AM47" i="119"/>
  <c r="O48" i="119"/>
  <c r="AA48" i="119"/>
  <c r="AM48" i="119"/>
  <c r="O49" i="119"/>
  <c r="AA49" i="119"/>
  <c r="AM49" i="119"/>
  <c r="O50" i="119"/>
  <c r="AA50" i="119"/>
  <c r="AM50" i="119"/>
  <c r="O51" i="119"/>
  <c r="AA51" i="119"/>
  <c r="AM51" i="119"/>
  <c r="O52" i="119"/>
  <c r="AA52" i="119"/>
  <c r="AM52" i="119"/>
  <c r="I107" i="119"/>
  <c r="U107" i="119"/>
  <c r="I108" i="119"/>
  <c r="U108" i="119"/>
  <c r="AB36" i="119"/>
  <c r="Q39" i="119"/>
  <c r="J48" i="119"/>
  <c r="J51" i="119"/>
  <c r="W35" i="119"/>
  <c r="AE36" i="119"/>
  <c r="K38" i="119"/>
  <c r="X35" i="119"/>
  <c r="AF36" i="119"/>
  <c r="L38" i="119"/>
  <c r="I39" i="119"/>
  <c r="U39" i="119"/>
  <c r="M35" i="119"/>
  <c r="I36" i="119"/>
  <c r="AG36" i="119"/>
  <c r="Q37" i="119"/>
  <c r="M38" i="119"/>
  <c r="Y38" i="119"/>
  <c r="J39" i="119"/>
  <c r="AH39" i="119"/>
  <c r="N35" i="119"/>
  <c r="Z35" i="119"/>
  <c r="J36" i="119"/>
  <c r="V36" i="119"/>
  <c r="AH36" i="119"/>
  <c r="R37" i="119"/>
  <c r="AD37" i="119"/>
  <c r="N38" i="119"/>
  <c r="Z38" i="119"/>
  <c r="K39" i="119"/>
  <c r="W39" i="119"/>
  <c r="AI39" i="119"/>
  <c r="S40" i="119"/>
  <c r="AE40" i="119"/>
  <c r="P47" i="119"/>
  <c r="AB47" i="119"/>
  <c r="AN47" i="119"/>
  <c r="P48" i="119"/>
  <c r="AB48" i="119"/>
  <c r="AN48" i="119"/>
  <c r="P49" i="119"/>
  <c r="AB49" i="119"/>
  <c r="AN49" i="119"/>
  <c r="P50" i="119"/>
  <c r="AB50" i="119"/>
  <c r="AN50" i="119"/>
  <c r="P51" i="119"/>
  <c r="AB51" i="119"/>
  <c r="AN51" i="119"/>
  <c r="P52" i="119"/>
  <c r="AB52" i="119"/>
  <c r="AN52" i="119"/>
  <c r="J107" i="119"/>
  <c r="V107" i="119"/>
  <c r="J108" i="119"/>
  <c r="V108" i="119"/>
  <c r="M40" i="119"/>
  <c r="J50" i="119"/>
  <c r="D108" i="119"/>
  <c r="O35" i="119"/>
  <c r="AA35" i="119"/>
  <c r="K36" i="119"/>
  <c r="W36" i="119"/>
  <c r="AI36" i="119"/>
  <c r="S37" i="119"/>
  <c r="AE37" i="119"/>
  <c r="O38" i="119"/>
  <c r="AA38" i="119"/>
  <c r="L39" i="119"/>
  <c r="X39" i="119"/>
  <c r="AJ39" i="119"/>
  <c r="T40" i="119"/>
  <c r="AF40" i="119"/>
  <c r="Q47" i="119"/>
  <c r="AC47" i="119"/>
  <c r="AO47" i="119"/>
  <c r="Q48" i="119"/>
  <c r="AC48" i="119"/>
  <c r="AO48" i="119"/>
  <c r="Q49" i="119"/>
  <c r="AC49" i="119"/>
  <c r="AO49" i="119"/>
  <c r="Q50" i="119"/>
  <c r="AC50" i="119"/>
  <c r="AO50" i="119"/>
  <c r="Q51" i="119"/>
  <c r="AC51" i="119"/>
  <c r="AO51" i="119"/>
  <c r="Q52" i="119"/>
  <c r="AC52" i="119"/>
  <c r="AO52" i="119"/>
  <c r="K107" i="119"/>
  <c r="W107" i="119"/>
  <c r="K108" i="119"/>
  <c r="W108" i="119"/>
  <c r="AF38" i="119"/>
  <c r="V48" i="119"/>
  <c r="V52" i="119"/>
  <c r="P35" i="119"/>
  <c r="L36" i="119"/>
  <c r="T37" i="119"/>
  <c r="AF37" i="119"/>
  <c r="P38" i="119"/>
  <c r="AB38" i="119"/>
  <c r="M39" i="119"/>
  <c r="Y39" i="119"/>
  <c r="I40" i="119"/>
  <c r="U40" i="119"/>
  <c r="AG40" i="119"/>
  <c r="R47" i="119"/>
  <c r="AD47" i="119"/>
  <c r="AP47" i="119"/>
  <c r="R48" i="119"/>
  <c r="AD48" i="119"/>
  <c r="AP48" i="119"/>
  <c r="R49" i="119"/>
  <c r="AD49" i="119"/>
  <c r="AP49" i="119"/>
  <c r="R50" i="119"/>
  <c r="AD50" i="119"/>
  <c r="AP50" i="119"/>
  <c r="R51" i="119"/>
  <c r="AD51" i="119"/>
  <c r="AP51" i="119"/>
  <c r="R52" i="119"/>
  <c r="AD52" i="119"/>
  <c r="AP52" i="119"/>
  <c r="L107" i="119"/>
  <c r="X107" i="119"/>
  <c r="L108" i="119"/>
  <c r="X108" i="119"/>
  <c r="AF35" i="119"/>
  <c r="AC39" i="119"/>
  <c r="V49" i="119"/>
  <c r="J52" i="119"/>
  <c r="AC35" i="119"/>
  <c r="I37" i="119"/>
  <c r="AG37" i="119"/>
  <c r="AC38" i="119"/>
  <c r="N39" i="119"/>
  <c r="J40" i="119"/>
  <c r="V40" i="119"/>
  <c r="AH40" i="119"/>
  <c r="S47" i="119"/>
  <c r="AE47" i="119"/>
  <c r="AQ47" i="119"/>
  <c r="S48" i="119"/>
  <c r="AE48" i="119"/>
  <c r="AQ48" i="119"/>
  <c r="S49" i="119"/>
  <c r="AE49" i="119"/>
  <c r="AQ49" i="119"/>
  <c r="S50" i="119"/>
  <c r="AE50" i="119"/>
  <c r="AQ50" i="119"/>
  <c r="S51" i="119"/>
  <c r="AE51" i="119"/>
  <c r="AQ51" i="119"/>
  <c r="S52" i="119"/>
  <c r="AE52" i="119"/>
  <c r="AQ52" i="119"/>
  <c r="M107" i="119"/>
  <c r="Y107" i="119"/>
  <c r="M108" i="119"/>
  <c r="Y108" i="119"/>
  <c r="X37" i="119"/>
  <c r="J47" i="119"/>
  <c r="V51" i="119"/>
  <c r="X36" i="119"/>
  <c r="M36" i="119"/>
  <c r="AD35" i="119"/>
  <c r="Z36" i="119"/>
  <c r="J37" i="119"/>
  <c r="AH37" i="119"/>
  <c r="R38" i="119"/>
  <c r="AD38" i="119"/>
  <c r="O39" i="119"/>
  <c r="AA39" i="119"/>
  <c r="K40" i="119"/>
  <c r="W40" i="119"/>
  <c r="AI40" i="119"/>
  <c r="T47" i="119"/>
  <c r="AF47" i="119"/>
  <c r="AR47" i="119"/>
  <c r="T48" i="119"/>
  <c r="AF48" i="119"/>
  <c r="AR48" i="119"/>
  <c r="T49" i="119"/>
  <c r="AF49" i="119"/>
  <c r="AR49" i="119"/>
  <c r="T50" i="119"/>
  <c r="AF50" i="119"/>
  <c r="AR50" i="119"/>
  <c r="T51" i="119"/>
  <c r="AF51" i="119"/>
  <c r="AR51" i="119"/>
  <c r="T52" i="119"/>
  <c r="AF52" i="119"/>
  <c r="AR52" i="119"/>
  <c r="N107" i="119"/>
  <c r="Z107" i="119"/>
  <c r="N108" i="119"/>
  <c r="Z108" i="119"/>
  <c r="F39" i="119" l="1"/>
  <c r="D39" i="119"/>
  <c r="C39" i="119"/>
  <c r="B39" i="119"/>
  <c r="F40" i="119"/>
  <c r="E40" i="119"/>
  <c r="D40" i="119"/>
  <c r="B40" i="119"/>
  <c r="E39" i="119"/>
  <c r="C40" i="119"/>
  <c r="F48" i="119"/>
  <c r="E48" i="119"/>
  <c r="D48" i="119"/>
  <c r="C48" i="119"/>
  <c r="B48" i="119"/>
  <c r="F47" i="119"/>
  <c r="E47" i="119"/>
  <c r="D47" i="119"/>
  <c r="C47" i="119"/>
  <c r="B47" i="119"/>
  <c r="F44" i="119"/>
  <c r="E44" i="119"/>
  <c r="D44" i="119"/>
  <c r="C44" i="119"/>
  <c r="B44" i="119"/>
  <c r="E43" i="119"/>
  <c r="F43" i="119"/>
  <c r="D43" i="119"/>
  <c r="C43" i="119"/>
  <c r="B43" i="119"/>
  <c r="D36" i="119"/>
  <c r="C36" i="119"/>
  <c r="B36" i="119"/>
  <c r="F35" i="119"/>
  <c r="F36" i="119"/>
  <c r="E35" i="119"/>
  <c r="C35" i="119"/>
  <c r="D35" i="119"/>
  <c r="B35" i="119"/>
  <c r="E36" i="119"/>
</calcChain>
</file>

<file path=xl/sharedStrings.xml><?xml version="1.0" encoding="utf-8"?>
<sst xmlns="http://schemas.openxmlformats.org/spreadsheetml/2006/main" count="75" uniqueCount="60">
  <si>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</si>
  <si>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</si>
  <si>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</si>
  <si>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</si>
  <si>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</si>
  <si>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</si>
  <si>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</si>
  <si>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</si>
  <si>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Дебит жидкости</t>
  </si>
  <si>
    <t>Параметры потока флюида</t>
  </si>
  <si>
    <t xml:space="preserve">графики для расчета потока через ограничение - штуцер </t>
  </si>
  <si>
    <t>Конструкция</t>
  </si>
  <si>
    <t>мм</t>
  </si>
  <si>
    <t>Рвых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</si>
  <si>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</si>
  <si>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</si>
  <si>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</si>
  <si>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</si>
  <si>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</si>
  <si>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</si>
  <si>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</si>
  <si>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</si>
  <si>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</si>
  <si>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</si>
  <si>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</si>
  <si>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</si>
  <si>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</si>
  <si>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</si>
  <si>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</si>
  <si>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</si>
  <si>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</si>
  <si>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</si>
  <si>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</si>
  <si>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</si>
  <si>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</si>
  <si>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</si>
  <si>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</si>
  <si>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Рвх</t>
  </si>
  <si>
    <t>qmax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</si>
  <si>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</si>
  <si>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</si>
  <si>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</si>
  <si>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</si>
  <si>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</si>
  <si>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</si>
  <si>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</si>
  <si>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Многофазный поток в пласте. Индикаторная кривая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</si>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</sst>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"/>
  </numFmts>
  <fonts count="17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0" fillId="0" borderId="0" xfId="0" applyFill="1" applyBorder="1"/>
    <xf numFmtId="1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4" borderId="5" xfId="0" applyFill="1" applyBorder="1"/>
    <xf numFmtId="1" fontId="0" fillId="2" borderId="6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 applyAlignment="1"/>
    <xf numFmtId="0" fontId="0" fillId="4" borderId="0" xfId="0" applyFill="1" applyBorder="1"/>
    <xf numFmtId="0" fontId="0" fillId="0" borderId="7" xfId="0" applyBorder="1"/>
    <xf numFmtId="164" fontId="0" fillId="6" borderId="2" xfId="0" applyNumberFormat="1" applyFill="1" applyBorder="1" applyAlignment="1">
      <alignment horizontal="center"/>
    </xf>
    <xf numFmtId="164" fontId="0" fillId="6" borderId="2" xfId="0" applyNumberFormat="1" applyFill="1" applyBorder="1" applyAlignment="1">
      <alignment horizontal="left"/>
    </xf>
    <xf numFmtId="0" fontId="0" fillId="6" borderId="2" xfId="0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left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left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9" fillId="4" borderId="2" xfId="0" applyFont="1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8" borderId="9" xfId="0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8" borderId="13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4" borderId="3" xfId="0" applyFill="1" applyBorder="1" applyAlignment="1">
      <alignment vertical="top"/>
    </xf>
    <xf numFmtId="0" fontId="0" fillId="8" borderId="15" xfId="0" applyFill="1" applyBorder="1" applyAlignment="1">
      <alignment horizontal="left" vertical="top"/>
    </xf>
    <xf numFmtId="0" fontId="0" fillId="8" borderId="7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exercise_choke!$H$35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exercise_choke!$I$35:$AJ$35</c:f>
              <c:numCache>
                <c:formatCode>0</c:formatCode>
                <c:ptCount val="28"/>
                <c:pt idx="0">
                  <c:v>1</c:v>
                </c:pt>
                <c:pt idx="1">
                  <c:v>1.009857177734375</c:v>
                </c:pt>
                <c:pt idx="2">
                  <c:v>1.0400390625</c:v>
                </c:pt>
                <c:pt idx="3">
                  <c:v>1.169921875</c:v>
                </c:pt>
                <c:pt idx="4">
                  <c:v>1.857421875</c:v>
                </c:pt>
                <c:pt idx="5">
                  <c:v>2.3203125</c:v>
                </c:pt>
                <c:pt idx="6">
                  <c:v>4.6171875</c:v>
                </c:pt>
                <c:pt idx="7">
                  <c:v>6.890625</c:v>
                </c:pt>
                <c:pt idx="8">
                  <c:v>9.125</c:v>
                </c:pt>
                <c:pt idx="9">
                  <c:v>11.328125</c:v>
                </c:pt>
                <c:pt idx="10">
                  <c:v>13.5</c:v>
                </c:pt>
                <c:pt idx="11">
                  <c:v>15.625</c:v>
                </c:pt>
                <c:pt idx="12">
                  <c:v>17.71875</c:v>
                </c:pt>
                <c:pt idx="13">
                  <c:v>19.78125</c:v>
                </c:pt>
                <c:pt idx="14">
                  <c:v>21.8125</c:v>
                </c:pt>
                <c:pt idx="15">
                  <c:v>23.78125</c:v>
                </c:pt>
                <c:pt idx="16">
                  <c:v>25.75</c:v>
                </c:pt>
                <c:pt idx="17">
                  <c:v>27.625</c:v>
                </c:pt>
                <c:pt idx="18">
                  <c:v>29.5</c:v>
                </c:pt>
                <c:pt idx="19">
                  <c:v>31.375</c:v>
                </c:pt>
                <c:pt idx="20">
                  <c:v>33.1875</c:v>
                </c:pt>
                <c:pt idx="21">
                  <c:v>34.9375</c:v>
                </c:pt>
                <c:pt idx="22">
                  <c:v>36.6875</c:v>
                </c:pt>
                <c:pt idx="23">
                  <c:v>38.375</c:v>
                </c:pt>
                <c:pt idx="24">
                  <c:v>40.0625</c:v>
                </c:pt>
                <c:pt idx="25">
                  <c:v>41.75</c:v>
                </c:pt>
                <c:pt idx="26">
                  <c:v>43.375</c:v>
                </c:pt>
                <c:pt idx="27">
                  <c:v>44.9375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95-4DD6-ABFC-79D1FACD8C02}"/>
            </c:ext>
          </c:extLst>
        </c:ser>
        <c:ser>
          <c:idx val="0"/>
          <c:order val="1"/>
          <c:tx>
            <c:strRef>
              <c:f>exercise_choke!$H$36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exercise_choke!$I$36:$AJ$36</c:f>
              <c:numCache>
                <c:formatCode>0</c:formatCode>
                <c:ptCount val="28"/>
                <c:pt idx="0">
                  <c:v>5</c:v>
                </c:pt>
                <c:pt idx="1">
                  <c:v>5.0019979476928711</c:v>
                </c:pt>
                <c:pt idx="2">
                  <c:v>5.0079917907714844</c:v>
                </c:pt>
                <c:pt idx="3">
                  <c:v>5.03204345703125</c:v>
                </c:pt>
                <c:pt idx="4">
                  <c:v>5.12939453125</c:v>
                </c:pt>
                <c:pt idx="5">
                  <c:v>5.2032470703125</c:v>
                </c:pt>
                <c:pt idx="6">
                  <c:v>5.85693359375</c:v>
                </c:pt>
                <c:pt idx="7">
                  <c:v>7.099609375</c:v>
                </c:pt>
                <c:pt idx="8">
                  <c:v>9.12109375</c:v>
                </c:pt>
                <c:pt idx="9">
                  <c:v>11.328125</c:v>
                </c:pt>
                <c:pt idx="10">
                  <c:v>13.49609375</c:v>
                </c:pt>
                <c:pt idx="11">
                  <c:v>15.625</c:v>
                </c:pt>
                <c:pt idx="12">
                  <c:v>17.734375</c:v>
                </c:pt>
                <c:pt idx="13">
                  <c:v>19.765625</c:v>
                </c:pt>
                <c:pt idx="14">
                  <c:v>21.796875</c:v>
                </c:pt>
                <c:pt idx="15">
                  <c:v>23.7890625</c:v>
                </c:pt>
                <c:pt idx="16">
                  <c:v>25.7421875</c:v>
                </c:pt>
                <c:pt idx="17">
                  <c:v>27.65625</c:v>
                </c:pt>
                <c:pt idx="18">
                  <c:v>29.53125</c:v>
                </c:pt>
                <c:pt idx="19">
                  <c:v>31.3671875</c:v>
                </c:pt>
                <c:pt idx="20">
                  <c:v>33.203125</c:v>
                </c:pt>
                <c:pt idx="21">
                  <c:v>34.9609375</c:v>
                </c:pt>
                <c:pt idx="22">
                  <c:v>36.71875</c:v>
                </c:pt>
                <c:pt idx="23">
                  <c:v>38.4375</c:v>
                </c:pt>
                <c:pt idx="24">
                  <c:v>40.078125</c:v>
                </c:pt>
                <c:pt idx="25">
                  <c:v>41.71875</c:v>
                </c:pt>
                <c:pt idx="26">
                  <c:v>43.359375</c:v>
                </c:pt>
                <c:pt idx="27">
                  <c:v>44.921875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95-4DD6-ABFC-79D1FACD8C02}"/>
            </c:ext>
          </c:extLst>
        </c:ser>
        <c:ser>
          <c:idx val="2"/>
          <c:order val="2"/>
          <c:tx>
            <c:strRef>
              <c:f>exercise_choke!$H$37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exercise_choke!$I$37:$AJ$37</c:f>
              <c:numCache>
                <c:formatCode>0</c:formatCode>
                <c:ptCount val="28"/>
                <c:pt idx="0">
                  <c:v>10</c:v>
                </c:pt>
                <c:pt idx="1">
                  <c:v>10.001015663146973</c:v>
                </c:pt>
                <c:pt idx="2">
                  <c:v>10.004062652587891</c:v>
                </c:pt>
                <c:pt idx="3">
                  <c:v>10.016250610351563</c:v>
                </c:pt>
                <c:pt idx="4">
                  <c:v>10.06500244140625</c:v>
                </c:pt>
                <c:pt idx="5">
                  <c:v>10.1019287109375</c:v>
                </c:pt>
                <c:pt idx="6">
                  <c:v>10.411376953125</c:v>
                </c:pt>
                <c:pt idx="7">
                  <c:v>10.9423828125</c:v>
                </c:pt>
                <c:pt idx="8">
                  <c:v>11.708984375</c:v>
                </c:pt>
                <c:pt idx="9">
                  <c:v>12.75390625</c:v>
                </c:pt>
                <c:pt idx="10">
                  <c:v>14.08203125</c:v>
                </c:pt>
                <c:pt idx="11">
                  <c:v>15.7421875</c:v>
                </c:pt>
                <c:pt idx="12">
                  <c:v>17.734375</c:v>
                </c:pt>
                <c:pt idx="13">
                  <c:v>19.765625</c:v>
                </c:pt>
                <c:pt idx="14">
                  <c:v>21.796875</c:v>
                </c:pt>
                <c:pt idx="15">
                  <c:v>23.7890625</c:v>
                </c:pt>
                <c:pt idx="16">
                  <c:v>25.7421875</c:v>
                </c:pt>
                <c:pt idx="17">
                  <c:v>27.65625</c:v>
                </c:pt>
                <c:pt idx="18">
                  <c:v>29.53125</c:v>
                </c:pt>
                <c:pt idx="19">
                  <c:v>31.3671875</c:v>
                </c:pt>
                <c:pt idx="20">
                  <c:v>33.203125</c:v>
                </c:pt>
                <c:pt idx="21">
                  <c:v>34.9609375</c:v>
                </c:pt>
                <c:pt idx="22">
                  <c:v>36.71875</c:v>
                </c:pt>
                <c:pt idx="23">
                  <c:v>38.4375</c:v>
                </c:pt>
                <c:pt idx="24">
                  <c:v>40.078125</c:v>
                </c:pt>
                <c:pt idx="25">
                  <c:v>41.71875</c:v>
                </c:pt>
                <c:pt idx="26">
                  <c:v>43.359375</c:v>
                </c:pt>
                <c:pt idx="27">
                  <c:v>44.921875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95-4DD6-ABFC-79D1FACD8C02}"/>
            </c:ext>
          </c:extLst>
        </c:ser>
        <c:ser>
          <c:idx val="1"/>
          <c:order val="3"/>
          <c:tx>
            <c:strRef>
              <c:f>exercise_choke!$H$38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exercise_choke!$I$38:$AJ$38</c:f>
              <c:numCache>
                <c:formatCode>0</c:formatCode>
                <c:ptCount val="28"/>
                <c:pt idx="0">
                  <c:v>15</c:v>
                </c:pt>
                <c:pt idx="1">
                  <c:v>15.000686645507813</c:v>
                </c:pt>
                <c:pt idx="2">
                  <c:v>15.00274658203125</c:v>
                </c:pt>
                <c:pt idx="3">
                  <c:v>15.010986328125</c:v>
                </c:pt>
                <c:pt idx="4">
                  <c:v>15.0439453125</c:v>
                </c:pt>
                <c:pt idx="5">
                  <c:v>15.06866455078125</c:v>
                </c:pt>
                <c:pt idx="6">
                  <c:v>15.27557373046875</c:v>
                </c:pt>
                <c:pt idx="7">
                  <c:v>15.62255859375</c:v>
                </c:pt>
                <c:pt idx="8">
                  <c:v>16.11328125</c:v>
                </c:pt>
                <c:pt idx="9">
                  <c:v>16.7578125</c:v>
                </c:pt>
                <c:pt idx="10">
                  <c:v>17.55615234375</c:v>
                </c:pt>
                <c:pt idx="11">
                  <c:v>18.515625</c:v>
                </c:pt>
                <c:pt idx="12">
                  <c:v>19.6435546875</c:v>
                </c:pt>
                <c:pt idx="13">
                  <c:v>20.9326171875</c:v>
                </c:pt>
                <c:pt idx="14">
                  <c:v>22.3828125</c:v>
                </c:pt>
                <c:pt idx="15">
                  <c:v>23.994140625</c:v>
                </c:pt>
                <c:pt idx="16">
                  <c:v>25.78125</c:v>
                </c:pt>
                <c:pt idx="17">
                  <c:v>27.65625</c:v>
                </c:pt>
                <c:pt idx="18">
                  <c:v>29.53125</c:v>
                </c:pt>
                <c:pt idx="19">
                  <c:v>31.34765625</c:v>
                </c:pt>
                <c:pt idx="20">
                  <c:v>33.1640625</c:v>
                </c:pt>
                <c:pt idx="21">
                  <c:v>34.98046875</c:v>
                </c:pt>
                <c:pt idx="22">
                  <c:v>36.6796875</c:v>
                </c:pt>
                <c:pt idx="23">
                  <c:v>38.4375</c:v>
                </c:pt>
                <c:pt idx="24">
                  <c:v>40.078125</c:v>
                </c:pt>
                <c:pt idx="25">
                  <c:v>41.71875</c:v>
                </c:pt>
                <c:pt idx="26">
                  <c:v>43.359375</c:v>
                </c:pt>
                <c:pt idx="27">
                  <c:v>44.94140625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95-4DD6-ABFC-79D1FACD8C02}"/>
            </c:ext>
          </c:extLst>
        </c:ser>
        <c:ser>
          <c:idx val="5"/>
          <c:order val="4"/>
          <c:tx>
            <c:strRef>
              <c:f>exercise_choke!$H$39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exercise_choke!$I$39:$AJ$39</c:f>
              <c:numCache>
                <c:formatCode>0</c:formatCode>
                <c:ptCount val="28"/>
                <c:pt idx="0">
                  <c:v>20</c:v>
                </c:pt>
                <c:pt idx="1">
                  <c:v>20.000519752502441</c:v>
                </c:pt>
                <c:pt idx="2">
                  <c:v>20.002079010009766</c:v>
                </c:pt>
                <c:pt idx="3">
                  <c:v>20.008316040039063</c:v>
                </c:pt>
                <c:pt idx="4">
                  <c:v>20.03326416015625</c:v>
                </c:pt>
                <c:pt idx="5">
                  <c:v>20.0518798828125</c:v>
                </c:pt>
                <c:pt idx="6">
                  <c:v>20.2081298828125</c:v>
                </c:pt>
                <c:pt idx="7">
                  <c:v>20.46875</c:v>
                </c:pt>
                <c:pt idx="8">
                  <c:v>20.8349609375</c:v>
                </c:pt>
                <c:pt idx="9">
                  <c:v>21.30859375</c:v>
                </c:pt>
                <c:pt idx="10">
                  <c:v>21.89453125</c:v>
                </c:pt>
                <c:pt idx="11">
                  <c:v>22.587890625</c:v>
                </c:pt>
                <c:pt idx="12">
                  <c:v>23.37890625</c:v>
                </c:pt>
                <c:pt idx="13">
                  <c:v>24.296875</c:v>
                </c:pt>
                <c:pt idx="14">
                  <c:v>25.3125</c:v>
                </c:pt>
                <c:pt idx="15">
                  <c:v>26.4453125</c:v>
                </c:pt>
                <c:pt idx="16">
                  <c:v>27.65625</c:v>
                </c:pt>
                <c:pt idx="17">
                  <c:v>28.984375</c:v>
                </c:pt>
                <c:pt idx="18">
                  <c:v>30.390625</c:v>
                </c:pt>
                <c:pt idx="19">
                  <c:v>31.875</c:v>
                </c:pt>
                <c:pt idx="20">
                  <c:v>33.4375</c:v>
                </c:pt>
                <c:pt idx="21">
                  <c:v>35.078125</c:v>
                </c:pt>
                <c:pt idx="22">
                  <c:v>36.71875</c:v>
                </c:pt>
                <c:pt idx="23">
                  <c:v>38.4375</c:v>
                </c:pt>
                <c:pt idx="24">
                  <c:v>40.078125</c:v>
                </c:pt>
                <c:pt idx="25">
                  <c:v>41.71875</c:v>
                </c:pt>
                <c:pt idx="26">
                  <c:v>43.359375</c:v>
                </c:pt>
                <c:pt idx="27">
                  <c:v>44.921875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95-4DD6-ABFC-79D1FACD8C02}"/>
            </c:ext>
          </c:extLst>
        </c:ser>
        <c:ser>
          <c:idx val="3"/>
          <c:order val="5"/>
          <c:tx>
            <c:strRef>
              <c:f>exercise_choke!$H$40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exercise_choke!$I$40:$AJ$40</c:f>
              <c:numCache>
                <c:formatCode>0</c:formatCode>
                <c:ptCount val="28"/>
                <c:pt idx="0">
                  <c:v>30</c:v>
                </c:pt>
                <c:pt idx="1">
                  <c:v>30.000352263450623</c:v>
                </c:pt>
                <c:pt idx="2">
                  <c:v>30.00140905380249</c:v>
                </c:pt>
                <c:pt idx="3">
                  <c:v>30.005636215209961</c:v>
                </c:pt>
                <c:pt idx="4">
                  <c:v>30.022544860839844</c:v>
                </c:pt>
                <c:pt idx="5">
                  <c:v>30.035247802734375</c:v>
                </c:pt>
                <c:pt idx="6">
                  <c:v>30.1409912109375</c:v>
                </c:pt>
                <c:pt idx="7">
                  <c:v>30.31768798828125</c:v>
                </c:pt>
                <c:pt idx="8">
                  <c:v>30.56396484375</c:v>
                </c:pt>
                <c:pt idx="9">
                  <c:v>30.882568359375</c:v>
                </c:pt>
                <c:pt idx="10">
                  <c:v>31.26708984375</c:v>
                </c:pt>
                <c:pt idx="11">
                  <c:v>31.72119140625</c:v>
                </c:pt>
                <c:pt idx="12">
                  <c:v>32.24853515625</c:v>
                </c:pt>
                <c:pt idx="13">
                  <c:v>32.841796875</c:v>
                </c:pt>
                <c:pt idx="14">
                  <c:v>33.5009765625</c:v>
                </c:pt>
                <c:pt idx="15">
                  <c:v>34.21875</c:v>
                </c:pt>
                <c:pt idx="16">
                  <c:v>35.009765625</c:v>
                </c:pt>
                <c:pt idx="17">
                  <c:v>35.859375</c:v>
                </c:pt>
                <c:pt idx="18">
                  <c:v>36.767578125</c:v>
                </c:pt>
                <c:pt idx="19">
                  <c:v>37.734375</c:v>
                </c:pt>
                <c:pt idx="20">
                  <c:v>38.73046875</c:v>
                </c:pt>
                <c:pt idx="21">
                  <c:v>39.78515625</c:v>
                </c:pt>
                <c:pt idx="22">
                  <c:v>40.8984375</c:v>
                </c:pt>
                <c:pt idx="23">
                  <c:v>42.041015625</c:v>
                </c:pt>
                <c:pt idx="24">
                  <c:v>43.2421875</c:v>
                </c:pt>
                <c:pt idx="25">
                  <c:v>44.4140625</c:v>
                </c:pt>
                <c:pt idx="26">
                  <c:v>45.64453125</c:v>
                </c:pt>
                <c:pt idx="27">
                  <c:v>46.93359375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95-4DD6-ABFC-79D1FACD8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exercise_choke!$H$47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exercise_choke!$I$47:$AB$47</c:f>
              <c:numCache>
                <c:formatCode>0</c:formatCode>
                <c:ptCount val="20"/>
                <c:pt idx="0">
                  <c:v>10</c:v>
                </c:pt>
                <c:pt idx="1">
                  <c:v>9.764404296875</c:v>
                </c:pt>
                <c:pt idx="2">
                  <c:v>9.0966796875</c:v>
                </c:pt>
                <c:pt idx="3">
                  <c:v>8.4375</c:v>
                </c:pt>
                <c:pt idx="4">
                  <c:v>7.67578125</c:v>
                </c:pt>
                <c:pt idx="5">
                  <c:v>6.8359375</c:v>
                </c:pt>
                <c:pt idx="6">
                  <c:v>5.625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BC-4D8D-B8DF-90F276B344ED}"/>
            </c:ext>
          </c:extLst>
        </c:ser>
        <c:ser>
          <c:idx val="0"/>
          <c:order val="1"/>
          <c:tx>
            <c:strRef>
              <c:f>exercise_choke!$H$48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exercise_choke!$I$48:$AB$48</c:f>
              <c:numCache>
                <c:formatCode>0</c:formatCode>
                <c:ptCount val="20"/>
                <c:pt idx="0">
                  <c:v>15</c:v>
                </c:pt>
                <c:pt idx="1">
                  <c:v>14.843902587890625</c:v>
                </c:pt>
                <c:pt idx="2">
                  <c:v>14.43603515625</c:v>
                </c:pt>
                <c:pt idx="3">
                  <c:v>14.095458984375</c:v>
                </c:pt>
                <c:pt idx="4">
                  <c:v>13.7841796875</c:v>
                </c:pt>
                <c:pt idx="5">
                  <c:v>13.564453125</c:v>
                </c:pt>
                <c:pt idx="6">
                  <c:v>13.4912109375</c:v>
                </c:pt>
                <c:pt idx="7">
                  <c:v>13.4912109375</c:v>
                </c:pt>
                <c:pt idx="8">
                  <c:v>12.6123046875</c:v>
                </c:pt>
                <c:pt idx="9">
                  <c:v>11.923828125</c:v>
                </c:pt>
                <c:pt idx="10">
                  <c:v>11.5869140625</c:v>
                </c:pt>
                <c:pt idx="11">
                  <c:v>11.1767578125</c:v>
                </c:pt>
                <c:pt idx="12">
                  <c:v>10.3125</c:v>
                </c:pt>
                <c:pt idx="13">
                  <c:v>8.4375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BC-4D8D-B8DF-90F276B344ED}"/>
            </c:ext>
          </c:extLst>
        </c:ser>
        <c:ser>
          <c:idx val="1"/>
          <c:order val="2"/>
          <c:tx>
            <c:strRef>
              <c:f>exercise_choke!$H$49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exercise_choke!$I$49:$AB$49</c:f>
              <c:numCache>
                <c:formatCode>0</c:formatCode>
                <c:ptCount val="20"/>
                <c:pt idx="0">
                  <c:v>20</c:v>
                </c:pt>
                <c:pt idx="1">
                  <c:v>19.8822021484375</c:v>
                </c:pt>
                <c:pt idx="2">
                  <c:v>19.58251953125</c:v>
                </c:pt>
                <c:pt idx="3">
                  <c:v>19.33837890625</c:v>
                </c:pt>
                <c:pt idx="4">
                  <c:v>19.1259765625</c:v>
                </c:pt>
                <c:pt idx="5">
                  <c:v>18.98193359375</c:v>
                </c:pt>
                <c:pt idx="6">
                  <c:v>18.9306640625</c:v>
                </c:pt>
                <c:pt idx="7">
                  <c:v>18.9306640625</c:v>
                </c:pt>
                <c:pt idx="8">
                  <c:v>18.3984375</c:v>
                </c:pt>
                <c:pt idx="9">
                  <c:v>18.037109375</c:v>
                </c:pt>
                <c:pt idx="10">
                  <c:v>17.880859375</c:v>
                </c:pt>
                <c:pt idx="11">
                  <c:v>17.705078125</c:v>
                </c:pt>
                <c:pt idx="12">
                  <c:v>17.431640625</c:v>
                </c:pt>
                <c:pt idx="13">
                  <c:v>17.236328125</c:v>
                </c:pt>
                <c:pt idx="14">
                  <c:v>17.216796875</c:v>
                </c:pt>
                <c:pt idx="15">
                  <c:v>16.171875</c:v>
                </c:pt>
                <c:pt idx="16">
                  <c:v>14.53125</c:v>
                </c:pt>
                <c:pt idx="17">
                  <c:v>12.8125</c:v>
                </c:pt>
                <c:pt idx="18">
                  <c:v>11.25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BC-4D8D-B8DF-90F276B344ED}"/>
            </c:ext>
          </c:extLst>
        </c:ser>
        <c:ser>
          <c:idx val="2"/>
          <c:order val="3"/>
          <c:tx>
            <c:strRef>
              <c:f>exercise_choke!$H$50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exercise_choke!$I$46:$AW$46</c:f>
              <c:numCache>
                <c:formatCode>0</c:formatCode>
                <c:ptCount val="41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exercise_choke!$I$50:$AW$50</c:f>
              <c:numCache>
                <c:formatCode>0</c:formatCode>
                <c:ptCount val="41"/>
                <c:pt idx="0">
                  <c:v>25</c:v>
                </c:pt>
                <c:pt idx="1">
                  <c:v>24.9053955078125</c:v>
                </c:pt>
                <c:pt idx="2">
                  <c:v>24.666595458984375</c:v>
                </c:pt>
                <c:pt idx="3">
                  <c:v>24.47509765625</c:v>
                </c:pt>
                <c:pt idx="4">
                  <c:v>24.310302734375</c:v>
                </c:pt>
                <c:pt idx="5">
                  <c:v>24.1973876953125</c:v>
                </c:pt>
                <c:pt idx="6">
                  <c:v>24.1607666015625</c:v>
                </c:pt>
                <c:pt idx="7">
                  <c:v>24.15771484375</c:v>
                </c:pt>
                <c:pt idx="8">
                  <c:v>23.760986328125</c:v>
                </c:pt>
                <c:pt idx="9">
                  <c:v>23.49853515625</c:v>
                </c:pt>
                <c:pt idx="10">
                  <c:v>23.382568359375</c:v>
                </c:pt>
                <c:pt idx="11">
                  <c:v>23.2666015625</c:v>
                </c:pt>
                <c:pt idx="12">
                  <c:v>23.077392578125</c:v>
                </c:pt>
                <c:pt idx="13">
                  <c:v>22.943115234375</c:v>
                </c:pt>
                <c:pt idx="14">
                  <c:v>22.930908203125</c:v>
                </c:pt>
                <c:pt idx="15">
                  <c:v>22.265625</c:v>
                </c:pt>
                <c:pt idx="16">
                  <c:v>21.435546875</c:v>
                </c:pt>
                <c:pt idx="17">
                  <c:v>20.8984375</c:v>
                </c:pt>
                <c:pt idx="18">
                  <c:v>20.7763671875</c:v>
                </c:pt>
                <c:pt idx="19">
                  <c:v>20.7763671875</c:v>
                </c:pt>
                <c:pt idx="20">
                  <c:v>19.5556640625</c:v>
                </c:pt>
                <c:pt idx="21">
                  <c:v>17.529296875</c:v>
                </c:pt>
                <c:pt idx="22">
                  <c:v>16.552734375</c:v>
                </c:pt>
                <c:pt idx="23">
                  <c:v>14.84375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BC-4D8D-B8DF-90F276B344ED}"/>
            </c:ext>
          </c:extLst>
        </c:ser>
        <c:ser>
          <c:idx val="3"/>
          <c:order val="4"/>
          <c:tx>
            <c:strRef>
              <c:f>exercise_choke!$H$51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exercise_choke!$I$46:$AW$46</c:f>
              <c:numCache>
                <c:formatCode>0</c:formatCode>
                <c:ptCount val="41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exercise_choke!$I$51:$AW$51</c:f>
              <c:numCache>
                <c:formatCode>0</c:formatCode>
                <c:ptCount val="41"/>
                <c:pt idx="0">
                  <c:v>30</c:v>
                </c:pt>
                <c:pt idx="1">
                  <c:v>29.92034912109375</c:v>
                </c:pt>
                <c:pt idx="2">
                  <c:v>29.72076416015625</c:v>
                </c:pt>
                <c:pt idx="3">
                  <c:v>29.5623779296875</c:v>
                </c:pt>
                <c:pt idx="4">
                  <c:v>29.425048828125</c:v>
                </c:pt>
                <c:pt idx="5">
                  <c:v>29.33349609375</c:v>
                </c:pt>
                <c:pt idx="6">
                  <c:v>29.30419921875</c:v>
                </c:pt>
                <c:pt idx="7">
                  <c:v>29.3023681640625</c:v>
                </c:pt>
                <c:pt idx="8">
                  <c:v>28.978271484375</c:v>
                </c:pt>
                <c:pt idx="9">
                  <c:v>28.765869140625</c:v>
                </c:pt>
                <c:pt idx="10">
                  <c:v>28.67431640625</c:v>
                </c:pt>
                <c:pt idx="11">
                  <c:v>28.5791015625</c:v>
                </c:pt>
                <c:pt idx="12">
                  <c:v>28.4326171875</c:v>
                </c:pt>
                <c:pt idx="13">
                  <c:v>28.330078125</c:v>
                </c:pt>
                <c:pt idx="14">
                  <c:v>28.32275390625</c:v>
                </c:pt>
                <c:pt idx="15">
                  <c:v>27.8173828125</c:v>
                </c:pt>
                <c:pt idx="16">
                  <c:v>27.20947265625</c:v>
                </c:pt>
                <c:pt idx="17">
                  <c:v>26.8212890625</c:v>
                </c:pt>
                <c:pt idx="18">
                  <c:v>26.748046875</c:v>
                </c:pt>
                <c:pt idx="19">
                  <c:v>26.7333984375</c:v>
                </c:pt>
                <c:pt idx="20">
                  <c:v>25.95703125</c:v>
                </c:pt>
                <c:pt idx="21">
                  <c:v>24.90234375</c:v>
                </c:pt>
                <c:pt idx="22">
                  <c:v>24.55078125</c:v>
                </c:pt>
                <c:pt idx="23">
                  <c:v>24.140625</c:v>
                </c:pt>
                <c:pt idx="24">
                  <c:v>24.08203125</c:v>
                </c:pt>
                <c:pt idx="25">
                  <c:v>22.79296875</c:v>
                </c:pt>
                <c:pt idx="26">
                  <c:v>21.85546875</c:v>
                </c:pt>
                <c:pt idx="27">
                  <c:v>19.6875</c:v>
                </c:pt>
                <c:pt idx="28">
                  <c:v>16.875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BC-4D8D-B8DF-90F276B344ED}"/>
            </c:ext>
          </c:extLst>
        </c:ser>
        <c:ser>
          <c:idx val="5"/>
          <c:order val="5"/>
          <c:tx>
            <c:strRef>
              <c:f>exercise_choke!$H$52</c:f>
              <c:strCache>
                <c:ptCount val="1"/>
                <c:pt idx="0">
                  <c:v>35</c:v>
                </c:pt>
              </c:strCache>
            </c:strRef>
          </c:tx>
          <c:xVal>
            <c:numRef>
              <c:f>exercise_choke!$I$46:$AR$46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exercise_choke!$I$52:$AR$52</c:f>
              <c:numCache>
                <c:formatCode>0</c:formatCode>
                <c:ptCount val="36"/>
                <c:pt idx="0">
                  <c:v>35</c:v>
                </c:pt>
                <c:pt idx="1">
                  <c:v>34.931106567382813</c:v>
                </c:pt>
                <c:pt idx="2">
                  <c:v>34.759674072265625</c:v>
                </c:pt>
                <c:pt idx="3">
                  <c:v>34.622955322265625</c:v>
                </c:pt>
                <c:pt idx="4">
                  <c:v>34.50653076171875</c:v>
                </c:pt>
                <c:pt idx="5">
                  <c:v>34.427490234375</c:v>
                </c:pt>
                <c:pt idx="6">
                  <c:v>34.40185546875</c:v>
                </c:pt>
                <c:pt idx="7">
                  <c:v>34.39971923828125</c:v>
                </c:pt>
                <c:pt idx="8">
                  <c:v>34.1241455078125</c:v>
                </c:pt>
                <c:pt idx="9">
                  <c:v>33.948974609375</c:v>
                </c:pt>
                <c:pt idx="10">
                  <c:v>33.8720703125</c:v>
                </c:pt>
                <c:pt idx="11">
                  <c:v>33.7908935546875</c:v>
                </c:pt>
                <c:pt idx="12">
                  <c:v>33.6669921875</c:v>
                </c:pt>
                <c:pt idx="13">
                  <c:v>33.58154296875</c:v>
                </c:pt>
                <c:pt idx="14">
                  <c:v>33.572998046875</c:v>
                </c:pt>
                <c:pt idx="15">
                  <c:v>33.154296875</c:v>
                </c:pt>
                <c:pt idx="16">
                  <c:v>32.667236328125</c:v>
                </c:pt>
                <c:pt idx="17">
                  <c:v>32.359619140625</c:v>
                </c:pt>
                <c:pt idx="18">
                  <c:v>32.2998046875</c:v>
                </c:pt>
                <c:pt idx="19">
                  <c:v>32.291259765625</c:v>
                </c:pt>
                <c:pt idx="20">
                  <c:v>31.6845703125</c:v>
                </c:pt>
                <c:pt idx="21">
                  <c:v>30.8984375</c:v>
                </c:pt>
                <c:pt idx="22">
                  <c:v>30.64208984375</c:v>
                </c:pt>
                <c:pt idx="23">
                  <c:v>30.36865234375</c:v>
                </c:pt>
                <c:pt idx="24">
                  <c:v>30.3173828125</c:v>
                </c:pt>
                <c:pt idx="25">
                  <c:v>29.47998046875</c:v>
                </c:pt>
                <c:pt idx="26">
                  <c:v>28.916015625</c:v>
                </c:pt>
                <c:pt idx="27">
                  <c:v>27.9248046875</c:v>
                </c:pt>
                <c:pt idx="28">
                  <c:v>27.3095703125</c:v>
                </c:pt>
                <c:pt idx="29">
                  <c:v>27.275390625</c:v>
                </c:pt>
                <c:pt idx="30">
                  <c:v>26.11328125</c:v>
                </c:pt>
                <c:pt idx="31">
                  <c:v>23.994140625</c:v>
                </c:pt>
                <c:pt idx="32">
                  <c:v>22.490234375</c:v>
                </c:pt>
                <c:pt idx="33">
                  <c:v>21.19140625</c:v>
                </c:pt>
                <c:pt idx="34">
                  <c:v>19.6875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BC-4D8D-B8DF-90F276B34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exercise_choke!$B$107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exercise_choke!$C$106:$V$106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65</c:v>
                </c:pt>
                <c:pt idx="14">
                  <c:v>66</c:v>
                </c:pt>
                <c:pt idx="15">
                  <c:v>67</c:v>
                </c:pt>
                <c:pt idx="16">
                  <c:v>67.099999999999994</c:v>
                </c:pt>
                <c:pt idx="17">
                  <c:v>70</c:v>
                </c:pt>
                <c:pt idx="18">
                  <c:v>75</c:v>
                </c:pt>
                <c:pt idx="19">
                  <c:v>78</c:v>
                </c:pt>
              </c:numCache>
            </c:numRef>
          </c:xVal>
          <c:yVal>
            <c:numRef>
              <c:f>exercise_choke!$C$107:$V$107</c:f>
              <c:numCache>
                <c:formatCode>0</c:formatCode>
                <c:ptCount val="20"/>
                <c:pt idx="0">
                  <c:v>15</c:v>
                </c:pt>
                <c:pt idx="1">
                  <c:v>14.843902587890625</c:v>
                </c:pt>
                <c:pt idx="2">
                  <c:v>14.43603515625</c:v>
                </c:pt>
                <c:pt idx="3">
                  <c:v>14.095458984375</c:v>
                </c:pt>
                <c:pt idx="4">
                  <c:v>13.7841796875</c:v>
                </c:pt>
                <c:pt idx="5">
                  <c:v>13.564453125</c:v>
                </c:pt>
                <c:pt idx="6">
                  <c:v>13.4912109375</c:v>
                </c:pt>
                <c:pt idx="7">
                  <c:v>13.4912109375</c:v>
                </c:pt>
                <c:pt idx="8">
                  <c:v>12.6123046875</c:v>
                </c:pt>
                <c:pt idx="9">
                  <c:v>11.923828125</c:v>
                </c:pt>
                <c:pt idx="10">
                  <c:v>11.5869140625</c:v>
                </c:pt>
                <c:pt idx="11">
                  <c:v>11.1767578125</c:v>
                </c:pt>
                <c:pt idx="12">
                  <c:v>10.6640625</c:v>
                </c:pt>
                <c:pt idx="13">
                  <c:v>10.3125</c:v>
                </c:pt>
                <c:pt idx="14">
                  <c:v>9.90234375</c:v>
                </c:pt>
                <c:pt idx="15">
                  <c:v>8.4375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85-461B-A9BB-FDA9E92CF0F8}"/>
            </c:ext>
          </c:extLst>
        </c:ser>
        <c:ser>
          <c:idx val="0"/>
          <c:order val="1"/>
          <c:tx>
            <c:strRef>
              <c:f>exercise_choke!$B$108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exercise_choke!$C$106:$Z$106</c:f>
              <c:numCache>
                <c:formatCode>0</c:formatCode>
                <c:ptCount val="24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65</c:v>
                </c:pt>
                <c:pt idx="14">
                  <c:v>66</c:v>
                </c:pt>
                <c:pt idx="15">
                  <c:v>67</c:v>
                </c:pt>
                <c:pt idx="16">
                  <c:v>67.099999999999994</c:v>
                </c:pt>
                <c:pt idx="17">
                  <c:v>70</c:v>
                </c:pt>
                <c:pt idx="18">
                  <c:v>75</c:v>
                </c:pt>
                <c:pt idx="19">
                  <c:v>78</c:v>
                </c:pt>
                <c:pt idx="20">
                  <c:v>79.5</c:v>
                </c:pt>
                <c:pt idx="21">
                  <c:v>80.2</c:v>
                </c:pt>
                <c:pt idx="22">
                  <c:v>80.400000000000006</c:v>
                </c:pt>
                <c:pt idx="23">
                  <c:v>80.5</c:v>
                </c:pt>
              </c:numCache>
            </c:numRef>
          </c:xVal>
          <c:yVal>
            <c:numRef>
              <c:f>exercise_choke!$C$108:$Z$108</c:f>
              <c:numCache>
                <c:formatCode>0</c:formatCode>
                <c:ptCount val="24"/>
                <c:pt idx="0">
                  <c:v>15</c:v>
                </c:pt>
                <c:pt idx="1">
                  <c:v>14.8919677734375</c:v>
                </c:pt>
                <c:pt idx="2">
                  <c:v>14.615478515625</c:v>
                </c:pt>
                <c:pt idx="3">
                  <c:v>14.3865966796875</c:v>
                </c:pt>
                <c:pt idx="4">
                  <c:v>14.183349609375</c:v>
                </c:pt>
                <c:pt idx="5">
                  <c:v>14.0478515625</c:v>
                </c:pt>
                <c:pt idx="6">
                  <c:v>14.000244140625</c:v>
                </c:pt>
                <c:pt idx="7">
                  <c:v>13.99658203125</c:v>
                </c:pt>
                <c:pt idx="8">
                  <c:v>13.4765625</c:v>
                </c:pt>
                <c:pt idx="9">
                  <c:v>13.1103515625</c:v>
                </c:pt>
                <c:pt idx="10">
                  <c:v>12.94189453125</c:v>
                </c:pt>
                <c:pt idx="11">
                  <c:v>12.76611328125</c:v>
                </c:pt>
                <c:pt idx="12">
                  <c:v>12.568359375</c:v>
                </c:pt>
                <c:pt idx="13">
                  <c:v>12.4658203125</c:v>
                </c:pt>
                <c:pt idx="14">
                  <c:v>12.36328125</c:v>
                </c:pt>
                <c:pt idx="15">
                  <c:v>12.24609375</c:v>
                </c:pt>
                <c:pt idx="16">
                  <c:v>12.2314453125</c:v>
                </c:pt>
                <c:pt idx="17">
                  <c:v>11.865234375</c:v>
                </c:pt>
                <c:pt idx="18">
                  <c:v>11.07421875</c:v>
                </c:pt>
                <c:pt idx="19">
                  <c:v>10.3125</c:v>
                </c:pt>
                <c:pt idx="20">
                  <c:v>9.7265625</c:v>
                </c:pt>
                <c:pt idx="21">
                  <c:v>9.2578125</c:v>
                </c:pt>
                <c:pt idx="22">
                  <c:v>8.4375</c:v>
                </c:pt>
                <c:pt idx="23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85-461B-A9BB-FDA9E92CF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238125</xdr:colOff>
      <xdr:row>5</xdr:row>
      <xdr:rowOff>109743</xdr:rowOff>
    </xdr:from>
    <xdr:to>
      <xdr:col>48</xdr:col>
      <xdr:colOff>166686</xdr:colOff>
      <xdr:row>16</xdr:row>
      <xdr:rowOff>226217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888E6445-508A-470C-BA21-BD387DAC9453}"/>
            </a:ext>
          </a:extLst>
        </xdr:cNvPr>
        <xdr:cNvGrpSpPr/>
      </xdr:nvGrpSpPr>
      <xdr:grpSpPr>
        <a:xfrm>
          <a:off x="15609094" y="1014618"/>
          <a:ext cx="5262561" cy="2366755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45E33D06-B855-4F77-9C0A-2BD6B90EF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4E596B06-539D-4EBF-A78B-2AEA5E15AFBA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t>Q = 10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CDF482AC-69E2-44D4-BA94-ABD6FCF755F4}"/>
              </a:ext>
            </a:extLst>
          </xdr:cNvPr>
          <xdr:cNvSpPr txBox="1"/>
        </xdr:nvSpPr>
        <xdr:spPr>
          <a:xfrm>
            <a:off x="16282055" y="2085145"/>
            <a:ext cx="1005818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26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BAF54E20-7ED4-40B9-A884-6DE7C943F831}"/>
              </a:ext>
            </a:extLst>
          </xdr:cNvPr>
          <xdr:cNvSpPr txBox="1"/>
        </xdr:nvSpPr>
        <xdr:spPr>
          <a:xfrm>
            <a:off x="20332250" y="2085146"/>
            <a:ext cx="1122809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12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06C191D6-E7DA-4B64-AB5D-A7FCC7A52945}"/>
              </a:ext>
            </a:extLst>
          </xdr:cNvPr>
          <xdr:cNvSpPr txBox="1"/>
        </xdr:nvSpPr>
        <xdr:spPr>
          <a:xfrm>
            <a:off x="18468664" y="1789043"/>
            <a:ext cx="1390959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12 mm</a:t>
            </a:fld>
            <a:endParaRPr lang="ru-RU" sz="1100"/>
          </a:p>
        </xdr:txBody>
      </xdr:sp>
    </xdr:grpSp>
    <xdr:clientData/>
  </xdr:twoCellAnchor>
  <xdr:twoCellAnchor>
    <xdr:from>
      <xdr:col>0</xdr:col>
      <xdr:colOff>191960</xdr:colOff>
      <xdr:row>54</xdr:row>
      <xdr:rowOff>80878</xdr:rowOff>
    </xdr:from>
    <xdr:to>
      <xdr:col>9</xdr:col>
      <xdr:colOff>194202</xdr:colOff>
      <xdr:row>81</xdr:row>
      <xdr:rowOff>107157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574D3023-010F-48EB-97AD-F495ADA377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363491</xdr:colOff>
      <xdr:row>0</xdr:row>
      <xdr:rowOff>45555</xdr:rowOff>
    </xdr:from>
    <xdr:to>
      <xdr:col>17</xdr:col>
      <xdr:colOff>334246</xdr:colOff>
      <xdr:row>17</xdr:row>
      <xdr:rowOff>166687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4587E95-FFC7-45B0-8691-B9FC480F3A7E}"/>
            </a:ext>
          </a:extLst>
        </xdr:cNvPr>
        <xdr:cNvSpPr txBox="1"/>
      </xdr:nvSpPr>
      <xdr:spPr>
        <a:xfrm>
          <a:off x="4525916" y="45555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MF_p_choke_atma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MF_qliq_choke_sm3day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MF_calibr_choke_fr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</xdr:txBody>
    </xdr:sp>
    <xdr:clientData/>
  </xdr:twoCellAnchor>
  <xdr:twoCellAnchor>
    <xdr:from>
      <xdr:col>9</xdr:col>
      <xdr:colOff>280269</xdr:colOff>
      <xdr:row>54</xdr:row>
      <xdr:rowOff>63330</xdr:rowOff>
    </xdr:from>
    <xdr:to>
      <xdr:col>27</xdr:col>
      <xdr:colOff>33617</xdr:colOff>
      <xdr:row>81</xdr:row>
      <xdr:rowOff>119062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A340DFEC-4802-492B-B740-E0A6E1B32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832402</xdr:colOff>
      <xdr:row>112</xdr:row>
      <xdr:rowOff>110986</xdr:rowOff>
    </xdr:from>
    <xdr:to>
      <xdr:col>16</xdr:col>
      <xdr:colOff>339567</xdr:colOff>
      <xdr:row>144</xdr:row>
      <xdr:rowOff>159164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DE1AAF6E-8A9C-47D9-8A86-63F7B15632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51766</xdr:colOff>
      <xdr:row>0</xdr:row>
      <xdr:rowOff>62120</xdr:rowOff>
    </xdr:from>
    <xdr:to>
      <xdr:col>32</xdr:col>
      <xdr:colOff>111637</xdr:colOff>
      <xdr:row>17</xdr:row>
      <xdr:rowOff>178594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787E0E10-D9AA-407C-988A-D58669C353A8}"/>
            </a:ext>
          </a:extLst>
        </xdr:cNvPr>
        <xdr:cNvSpPr txBox="1"/>
      </xdr:nvSpPr>
      <xdr:spPr>
        <a:xfrm>
          <a:off x="9319591" y="62120"/>
          <a:ext cx="5393871" cy="346927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описывают гидравлический элемент штуцер? какие надо задать, а какие можно рассчитать?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Для всех ли значений дебита можно построить зависимость перепада давления в штуцере от дебита?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Когда перепад давления в штуцере будет больше - для потока нефти или воды? От чего будет зависеть разница?</a:t>
          </a:r>
          <a:endParaRPr lang="ru-RU" sz="1100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*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зависимости перепада давления в штуцере от газового фактора для разных направлений проведения расчетов (заготовки нет на рабочем листе)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 как изменится дебит жидкости при изменении давления на входе в штуцер. Можно ли объянить изменение давления изменением газового фактора или обводненности?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Расчитайте работу штуцера для потока газа. Установите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gas_only=True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для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строки для проведения расчета. Как изменится перепад давления для газа по сравнению с ГЖС?</a:t>
          </a:r>
          <a:endParaRPr lang="ru-RU" sz="1100">
            <a:effectLst/>
          </a:endParaRPr>
        </a:p>
      </xdr:txBody>
    </xdr:sp>
    <xdr:clientData/>
  </xdr:twoCellAnchor>
  <xdr:twoCellAnchor>
    <xdr:from>
      <xdr:col>1</xdr:col>
      <xdr:colOff>314739</xdr:colOff>
      <xdr:row>48</xdr:row>
      <xdr:rowOff>107674</xdr:rowOff>
    </xdr:from>
    <xdr:to>
      <xdr:col>5</xdr:col>
      <xdr:colOff>165652</xdr:colOff>
      <xdr:row>53</xdr:row>
      <xdr:rowOff>16566</xdr:rowOff>
    </xdr:to>
    <xdr:sp macro="" textlink="">
      <xdr:nvSpPr>
        <xdr:cNvPr id="13" name="Выноска: стрелка вверх 12">
          <a:extLst>
            <a:ext uri="{FF2B5EF4-FFF2-40B4-BE49-F238E27FC236}">
              <a16:creationId xmlns:a16="http://schemas.microsoft.com/office/drawing/2014/main" id="{DBF7737C-2E05-4C33-9A0A-5FD240C5FAF3}"/>
            </a:ext>
          </a:extLst>
        </xdr:cNvPr>
        <xdr:cNvSpPr/>
      </xdr:nvSpPr>
      <xdr:spPr>
        <a:xfrm>
          <a:off x="924339" y="8946874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37</xdr:col>
      <xdr:colOff>24848</xdr:colOff>
      <xdr:row>31</xdr:row>
      <xdr:rowOff>91109</xdr:rowOff>
    </xdr:from>
    <xdr:to>
      <xdr:col>45</xdr:col>
      <xdr:colOff>67991</xdr:colOff>
      <xdr:row>41</xdr:row>
      <xdr:rowOff>33880</xdr:rowOff>
    </xdr:to>
    <xdr:sp macro="" textlink="">
      <xdr:nvSpPr>
        <xdr:cNvPr id="14" name="Стрелка: влево 13">
          <a:extLst>
            <a:ext uri="{FF2B5EF4-FFF2-40B4-BE49-F238E27FC236}">
              <a16:creationId xmlns:a16="http://schemas.microsoft.com/office/drawing/2014/main" id="{7122C0B5-DFD5-4D1F-B48E-CD2E40E3D6FF}"/>
            </a:ext>
          </a:extLst>
        </xdr:cNvPr>
        <xdr:cNvSpPr/>
      </xdr:nvSpPr>
      <xdr:spPr>
        <a:xfrm>
          <a:off x="16531673" y="6177584"/>
          <a:ext cx="3091143" cy="156202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30</xdr:col>
      <xdr:colOff>219488</xdr:colOff>
      <xdr:row>53</xdr:row>
      <xdr:rowOff>36235</xdr:rowOff>
    </xdr:from>
    <xdr:to>
      <xdr:col>38</xdr:col>
      <xdr:colOff>321467</xdr:colOff>
      <xdr:row>61</xdr:row>
      <xdr:rowOff>83342</xdr:rowOff>
    </xdr:to>
    <xdr:sp macro="" textlink="">
      <xdr:nvSpPr>
        <xdr:cNvPr id="15" name="Выноска: стрелка вверх 14">
          <a:extLst>
            <a:ext uri="{FF2B5EF4-FFF2-40B4-BE49-F238E27FC236}">
              <a16:creationId xmlns:a16="http://schemas.microsoft.com/office/drawing/2014/main" id="{26DA8B6C-20D8-42E2-AA93-08B838FB19D6}"/>
            </a:ext>
          </a:extLst>
        </xdr:cNvPr>
        <xdr:cNvSpPr/>
      </xdr:nvSpPr>
      <xdr:spPr>
        <a:xfrm>
          <a:off x="14059313" y="9685060"/>
          <a:ext cx="3149979" cy="134250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необходимые значения в этой таблице.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Ниже автоматом должны отобразиться графики, если все сделать правильно</a:t>
          </a:r>
          <a:endParaRPr lang="ru-RU">
            <a:effectLst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6" name="Стрелка: влево 15">
          <a:extLst>
            <a:ext uri="{FF2B5EF4-FFF2-40B4-BE49-F238E27FC236}">
              <a16:creationId xmlns:a16="http://schemas.microsoft.com/office/drawing/2014/main" id="{80F687FF-EFC0-4DE7-89B9-226C61DCF82C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MF_calibr_choke_fr"/>
      <definedName name="MF_p_choke_atma"/>
      <definedName name="MF_q_choke_sm3day"/>
      <definedName name="MF_qliq_choke_sm3day"/>
      <definedName name="PVT_encode_string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C7A7-8A49-4743-9F73-6FC2296CBC85}">
  <sheetPr codeName="Worksheet_Choke1">
    <outlinePr summaryBelow="0"/>
  </sheetPr>
  <dimension ref="A1:AR108"/>
  <sheetViews>
    <sheetView tabSelected="1" zoomScale="80" zoomScaleNormal="80" workbookViewId="0">
      <selection activeCell="L22" sqref="L22"/>
    </sheetView>
  </sheetViews>
  <sheetFormatPr defaultRowHeight="12.75" x14ac:dyDescent="0.2"/>
  <cols>
    <col min="2" max="2" width="10" customWidth="1"/>
    <col min="3" max="3" width="12.285156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8.85546875" customWidth="1"/>
    <col min="9" max="9" width="6" customWidth="1"/>
    <col min="10" max="51" width="5.7109375" customWidth="1"/>
  </cols>
  <sheetData>
    <row r="1" spans="1:38" x14ac:dyDescent="0.2">
      <c r="A1" s="1" t="s">
        <v>14</v>
      </c>
      <c r="F1" t="s">
        <v>15</v>
      </c>
      <c r="G1" t="str">
        <f>[1]!getUFVersion()</f>
        <v>7.18</v>
      </c>
      <c r="H1" t="s">
        <v>45</v>
      </c>
      <c r="I1" s="39">
        <v>43936</v>
      </c>
      <c r="J1" s="40"/>
      <c r="K1" s="40"/>
      <c r="L1" s="40"/>
      <c r="AL1" t="str">
        <f>"dchoke = "&amp;Plin_&amp;" mm"</f>
        <v>dchoke = 12 mm</v>
      </c>
    </row>
    <row r="2" spans="1:38" x14ac:dyDescent="0.2">
      <c r="A2" t="s">
        <v>46</v>
      </c>
      <c r="H2" t="s">
        <v>47</v>
      </c>
      <c r="I2" s="41">
        <v>7.18</v>
      </c>
      <c r="J2" s="40"/>
      <c r="K2" s="40"/>
      <c r="L2" s="40"/>
      <c r="AL2" t="str">
        <f>"Pbuf = "&amp;Pbuf_&amp;" atm"</f>
        <v>Pbuf = 26 atm</v>
      </c>
    </row>
    <row r="3" spans="1:38" ht="15" x14ac:dyDescent="0.25">
      <c r="A3" s="42" t="s">
        <v>48</v>
      </c>
      <c r="B3" s="43" t="s">
        <v>49</v>
      </c>
      <c r="C3" s="44"/>
      <c r="D3" s="44"/>
      <c r="E3" s="45"/>
      <c r="H3" t="s">
        <v>50</v>
      </c>
      <c r="I3" s="40" t="s">
        <v>49</v>
      </c>
      <c r="J3" s="40"/>
      <c r="K3" s="40"/>
      <c r="L3" s="40"/>
      <c r="AL3" t="str">
        <f>"Pline = "&amp;Plin_&amp;" atm"</f>
        <v>Pline = 12 atm</v>
      </c>
    </row>
    <row r="4" spans="1:38" ht="15" x14ac:dyDescent="0.25">
      <c r="A4" s="42" t="s">
        <v>51</v>
      </c>
      <c r="B4" s="43" t="s">
        <v>52</v>
      </c>
      <c r="C4" s="44"/>
      <c r="D4" s="44"/>
      <c r="E4" s="45"/>
      <c r="H4" t="s">
        <v>53</v>
      </c>
      <c r="I4" s="40" t="s">
        <v>52</v>
      </c>
      <c r="J4" s="40"/>
      <c r="K4" s="40"/>
      <c r="L4" s="40"/>
      <c r="AL4" t="str">
        <f>"Q = "&amp;Qliq_&amp;" m3/day"</f>
        <v>Q = 10 m3/day</v>
      </c>
    </row>
    <row r="5" spans="1:38" ht="15" x14ac:dyDescent="0.25">
      <c r="A5" s="42" t="s">
        <v>54</v>
      </c>
      <c r="B5" s="43" t="s">
        <v>55</v>
      </c>
      <c r="C5" s="44"/>
      <c r="D5" s="44"/>
      <c r="E5" s="45"/>
      <c r="H5" t="s">
        <v>56</v>
      </c>
      <c r="I5" s="40" t="s">
        <v>55</v>
      </c>
      <c r="J5" s="40"/>
      <c r="K5" s="40"/>
      <c r="L5" s="40"/>
    </row>
    <row r="6" spans="1:38" x14ac:dyDescent="0.2">
      <c r="A6" s="46" t="s">
        <v>57</v>
      </c>
      <c r="B6" s="47" t="s">
        <v>58</v>
      </c>
      <c r="C6" s="48"/>
      <c r="D6" s="48"/>
      <c r="E6" s="49"/>
      <c r="H6" s="50" t="s">
        <v>59</v>
      </c>
      <c r="I6" s="51" t="s">
        <v>58</v>
      </c>
      <c r="J6" s="51"/>
      <c r="K6" s="51"/>
      <c r="L6" s="51"/>
    </row>
    <row r="7" spans="1:38" x14ac:dyDescent="0.2">
      <c r="A7" s="52"/>
      <c r="B7" s="53"/>
      <c r="C7" s="54"/>
      <c r="D7" s="54"/>
      <c r="E7" s="55"/>
      <c r="H7" s="50"/>
      <c r="I7" s="51"/>
      <c r="J7" s="51"/>
      <c r="K7" s="51"/>
      <c r="L7" s="51"/>
    </row>
    <row r="8" spans="1:38" x14ac:dyDescent="0.2">
      <c r="A8" s="56"/>
      <c r="B8" s="57"/>
      <c r="C8" s="58"/>
      <c r="D8" s="58"/>
      <c r="E8" s="59"/>
      <c r="H8" s="50"/>
      <c r="I8" s="51"/>
      <c r="J8" s="51"/>
      <c r="K8" s="51"/>
      <c r="L8" s="51"/>
    </row>
    <row r="10" spans="1:38" x14ac:dyDescent="0.2">
      <c r="A10" s="1" t="s">
        <v>0</v>
      </c>
    </row>
    <row r="11" spans="1:38" ht="18.75" x14ac:dyDescent="0.35">
      <c r="B11" s="8" t="s">
        <v>23</v>
      </c>
      <c r="C11" s="2">
        <v>0.87</v>
      </c>
      <c r="D11" s="35"/>
      <c r="E11" s="12">
        <f>gamma_oil_*1000</f>
        <v>870</v>
      </c>
      <c r="F11" s="14" t="s">
        <v>32</v>
      </c>
    </row>
    <row r="12" spans="1:38" ht="18.75" x14ac:dyDescent="0.35">
      <c r="B12" s="9" t="s">
        <v>24</v>
      </c>
      <c r="C12" s="2">
        <v>1</v>
      </c>
      <c r="D12" s="35"/>
      <c r="E12" s="12">
        <f>gamma_wat_*1000</f>
        <v>1000</v>
      </c>
      <c r="F12" s="14" t="s">
        <v>32</v>
      </c>
    </row>
    <row r="13" spans="1:38" ht="18.75" x14ac:dyDescent="0.35">
      <c r="B13" s="9" t="s">
        <v>25</v>
      </c>
      <c r="C13" s="2">
        <v>0.8</v>
      </c>
      <c r="D13" s="35"/>
      <c r="E13" s="12">
        <f>gamma_gas_*1.22</f>
        <v>0.97599999999999998</v>
      </c>
      <c r="F13" s="14" t="s">
        <v>32</v>
      </c>
    </row>
    <row r="14" spans="1:38" ht="18.75" x14ac:dyDescent="0.35">
      <c r="B14" s="10" t="s">
        <v>26</v>
      </c>
      <c r="C14" s="2">
        <v>80</v>
      </c>
      <c r="D14" s="9" t="s">
        <v>35</v>
      </c>
      <c r="E14" s="13">
        <f>Rsb_/gamma_oil_</f>
        <v>91.954022988505741</v>
      </c>
      <c r="F14" s="14" t="s">
        <v>33</v>
      </c>
    </row>
    <row r="15" spans="1:38" ht="18.75" x14ac:dyDescent="0.35">
      <c r="B15" s="10" t="s">
        <v>27</v>
      </c>
      <c r="C15" s="2">
        <v>80</v>
      </c>
      <c r="D15" s="9" t="s">
        <v>35</v>
      </c>
      <c r="E15" s="13">
        <f>Rsb_/gamma_oil_</f>
        <v>91.954022988505741</v>
      </c>
      <c r="F15" s="14" t="s">
        <v>33</v>
      </c>
    </row>
    <row r="16" spans="1:38" ht="18" x14ac:dyDescent="0.35">
      <c r="B16" s="9" t="s">
        <v>28</v>
      </c>
      <c r="C16" s="2">
        <v>120</v>
      </c>
      <c r="D16" s="35" t="s">
        <v>5</v>
      </c>
      <c r="E16" s="13">
        <f>Pb_*1.01325</f>
        <v>121.59</v>
      </c>
      <c r="F16" s="15" t="s">
        <v>6</v>
      </c>
    </row>
    <row r="17" spans="1:37" ht="18" x14ac:dyDescent="0.35">
      <c r="B17" s="9" t="s">
        <v>29</v>
      </c>
      <c r="C17" s="2">
        <v>100</v>
      </c>
      <c r="D17" s="35" t="s">
        <v>2</v>
      </c>
      <c r="E17" s="13">
        <f>Tres_*9/5+32</f>
        <v>212</v>
      </c>
      <c r="F17" s="15" t="s">
        <v>7</v>
      </c>
    </row>
    <row r="18" spans="1:37" ht="18" x14ac:dyDescent="0.35">
      <c r="B18" s="10" t="s">
        <v>30</v>
      </c>
      <c r="C18" s="2">
        <v>1.2</v>
      </c>
      <c r="D18" s="36" t="s">
        <v>1</v>
      </c>
    </row>
    <row r="19" spans="1:37" ht="18" x14ac:dyDescent="0.35">
      <c r="B19" s="11" t="s">
        <v>31</v>
      </c>
      <c r="C19" s="2">
        <v>1</v>
      </c>
      <c r="D19" s="35" t="s">
        <v>4</v>
      </c>
    </row>
    <row r="20" spans="1:37" ht="18.75" x14ac:dyDescent="0.35">
      <c r="B20" s="9" t="s">
        <v>24</v>
      </c>
      <c r="C20" s="2">
        <v>1.2</v>
      </c>
      <c r="D20" s="35"/>
      <c r="E20" s="12">
        <f>gamma_wat_kf_*1000</f>
        <v>1200</v>
      </c>
      <c r="F20" s="14" t="s">
        <v>32</v>
      </c>
    </row>
    <row r="21" spans="1:37" x14ac:dyDescent="0.2">
      <c r="A21" s="1" t="s">
        <v>9</v>
      </c>
      <c r="C21" s="7"/>
    </row>
    <row r="22" spans="1:37" ht="15.75" x14ac:dyDescent="0.3">
      <c r="B22" s="11" t="s">
        <v>34</v>
      </c>
      <c r="C22" s="2">
        <v>20</v>
      </c>
      <c r="D22" s="35" t="s">
        <v>3</v>
      </c>
    </row>
    <row r="23" spans="1:37" ht="15" x14ac:dyDescent="0.25">
      <c r="B23" s="11" t="s">
        <v>39</v>
      </c>
      <c r="C23" s="2">
        <v>30</v>
      </c>
      <c r="D23" s="35" t="s">
        <v>2</v>
      </c>
    </row>
    <row r="24" spans="1:37" x14ac:dyDescent="0.2">
      <c r="A24" s="1" t="s">
        <v>11</v>
      </c>
      <c r="C24" s="3"/>
      <c r="D24" s="3"/>
    </row>
    <row r="25" spans="1:37" ht="15.75" x14ac:dyDescent="0.3">
      <c r="B25" s="11" t="s">
        <v>40</v>
      </c>
      <c r="C25" s="2">
        <v>70</v>
      </c>
      <c r="D25" s="35" t="s">
        <v>12</v>
      </c>
    </row>
    <row r="26" spans="1:37" ht="15.75" x14ac:dyDescent="0.3">
      <c r="B26" s="11" t="s">
        <v>41</v>
      </c>
      <c r="C26" s="2">
        <v>10</v>
      </c>
      <c r="D26" s="35" t="s">
        <v>12</v>
      </c>
    </row>
    <row r="27" spans="1:37" ht="15.75" x14ac:dyDescent="0.3">
      <c r="B27" s="11" t="s">
        <v>44</v>
      </c>
      <c r="C27" s="2">
        <v>10</v>
      </c>
      <c r="D27" s="35" t="s">
        <v>17</v>
      </c>
    </row>
    <row r="28" spans="1:37" ht="15.75" x14ac:dyDescent="0.3">
      <c r="B28" s="11" t="s">
        <v>43</v>
      </c>
      <c r="C28" s="2">
        <v>26</v>
      </c>
      <c r="D28" s="35" t="s">
        <v>18</v>
      </c>
      <c r="F28" s="24" t="s">
        <v>16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</row>
    <row r="29" spans="1:37" ht="15.75" x14ac:dyDescent="0.3">
      <c r="B29" s="11" t="s">
        <v>42</v>
      </c>
      <c r="C29" s="2">
        <v>12</v>
      </c>
      <c r="D29" s="16" t="s">
        <v>18</v>
      </c>
      <c r="F29" s="25" t="str">
        <f>[1]!PVT_encode_string(gamma_gas_,gamma_oil_,gamma_wat_,Rsb_,Rp_,Pb_,Tres_,Bob_,muob_,,,,,F27)</f>
        <v>gamma_gas:0.800;gamma_oil:0.870;gamma_wat:1.000;rsb_m3m3:80.000;rp_m3m3:80.000;pb_atma:120.000;tres_C:100.000;bob_m3m3:1.200;muob_cP:1.000;PVTcorr:0;ksep_fr:0.000;p_ksep_atma:-1.000;t_ksep_C:-1.000;gas_only:False;</v>
      </c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</row>
    <row r="31" spans="1:37" x14ac:dyDescent="0.2">
      <c r="B31" s="6"/>
    </row>
    <row r="32" spans="1:37" x14ac:dyDescent="0.2">
      <c r="B32" s="26" t="s">
        <v>36</v>
      </c>
      <c r="C32" s="26"/>
      <c r="D32" s="26"/>
      <c r="E32" s="26"/>
      <c r="F32" s="26"/>
      <c r="I32" t="s">
        <v>10</v>
      </c>
    </row>
    <row r="33" spans="2:44" x14ac:dyDescent="0.2">
      <c r="I33" s="37" t="s">
        <v>8</v>
      </c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</row>
    <row r="34" spans="2:44" x14ac:dyDescent="0.2">
      <c r="B34" s="18" t="s">
        <v>19</v>
      </c>
      <c r="H34" s="35" t="s">
        <v>13</v>
      </c>
      <c r="I34" s="2">
        <v>0</v>
      </c>
      <c r="J34" s="2">
        <v>1</v>
      </c>
      <c r="K34" s="19">
        <v>2</v>
      </c>
      <c r="L34" s="2">
        <v>4</v>
      </c>
      <c r="M34" s="20">
        <v>8</v>
      </c>
      <c r="N34" s="2">
        <v>10</v>
      </c>
      <c r="O34" s="2">
        <v>20</v>
      </c>
      <c r="P34" s="2">
        <v>30</v>
      </c>
      <c r="Q34" s="2">
        <v>40</v>
      </c>
      <c r="R34" s="2">
        <v>50</v>
      </c>
      <c r="S34" s="2">
        <v>60</v>
      </c>
      <c r="T34" s="2">
        <v>70</v>
      </c>
      <c r="U34" s="2">
        <v>80</v>
      </c>
      <c r="V34" s="2">
        <v>90</v>
      </c>
      <c r="W34" s="2">
        <v>100</v>
      </c>
      <c r="X34" s="2">
        <v>110</v>
      </c>
      <c r="Y34" s="2">
        <v>120</v>
      </c>
      <c r="Z34" s="2">
        <v>130</v>
      </c>
      <c r="AA34" s="2">
        <v>140</v>
      </c>
      <c r="AB34" s="2">
        <v>150</v>
      </c>
      <c r="AC34" s="2">
        <v>160</v>
      </c>
      <c r="AD34" s="2">
        <v>170</v>
      </c>
      <c r="AE34" s="2">
        <v>180</v>
      </c>
      <c r="AF34" s="2">
        <v>190</v>
      </c>
      <c r="AG34" s="2">
        <v>200</v>
      </c>
      <c r="AH34" s="2">
        <v>210</v>
      </c>
      <c r="AI34" s="2">
        <v>220</v>
      </c>
      <c r="AJ34" s="2">
        <v>230</v>
      </c>
    </row>
    <row r="35" spans="2:44" x14ac:dyDescent="0.2">
      <c r="B35" s="27">
        <f t="array" ref="B35:F36">[1]!MF_p_choke_atma(Qliq_,fw_,d_choke,Pbuf_,1,d_pipe,T_choke,,PVTstr_,F26)</f>
        <v>25.95953369140625</v>
      </c>
      <c r="C35" s="27">
        <v>26</v>
      </c>
      <c r="D35" s="27">
        <v>25.95953369140625</v>
      </c>
      <c r="E35" s="27">
        <v>30</v>
      </c>
      <c r="F35" s="27">
        <v>1</v>
      </c>
      <c r="H35" s="29">
        <v>1</v>
      </c>
      <c r="I35" s="32">
        <f>[1]!MF_p_choke_atma(I$34,fw_,d_choke,$H35,0,d_pipe,T_choke,,PVTstr_)</f>
        <v>1</v>
      </c>
      <c r="J35" s="32">
        <f>[1]!MF_p_choke_atma(J$34,fw_,d_choke,$H35,0,d_pipe,T_choke,,PVTstr_)</f>
        <v>1.009857177734375</v>
      </c>
      <c r="K35" s="32">
        <f>[1]!MF_p_choke_atma(K$34,fw_,d_choke,$H35,0,d_pipe,T_choke,,PVTstr_)</f>
        <v>1.0400390625</v>
      </c>
      <c r="L35" s="32">
        <f>[1]!MF_p_choke_atma(L$34,fw_,d_choke,$H35,0,d_pipe,T_choke,,PVTstr_)</f>
        <v>1.169921875</v>
      </c>
      <c r="M35" s="32">
        <f>[1]!MF_p_choke_atma(M$34,fw_,d_choke,$H35,0,d_pipe,T_choke,,PVTstr_)</f>
        <v>1.857421875</v>
      </c>
      <c r="N35" s="32">
        <f>[1]!MF_p_choke_atma(N$34,fw_,d_choke,$H35,0,d_pipe,T_choke,,PVTstr_)</f>
        <v>2.3203125</v>
      </c>
      <c r="O35" s="32">
        <f>[1]!MF_p_choke_atma(O$34,fw_,d_choke,$H35,0,d_pipe,T_choke,,PVTstr_)</f>
        <v>4.6171875</v>
      </c>
      <c r="P35" s="32">
        <f>[1]!MF_p_choke_atma(P$34,fw_,d_choke,$H35,0,d_pipe,T_choke,,PVTstr_)</f>
        <v>6.890625</v>
      </c>
      <c r="Q35" s="32">
        <f>[1]!MF_p_choke_atma(Q$34,fw_,d_choke,$H35,0,d_pipe,T_choke,,PVTstr_)</f>
        <v>9.125</v>
      </c>
      <c r="R35" s="32">
        <f>[1]!MF_p_choke_atma(R$34,fw_,d_choke,$H35,0,d_pipe,T_choke,,PVTstr_)</f>
        <v>11.328125</v>
      </c>
      <c r="S35" s="32">
        <f>[1]!MF_p_choke_atma(S$34,fw_,d_choke,$H35,0,d_pipe,T_choke,,PVTstr_)</f>
        <v>13.5</v>
      </c>
      <c r="T35" s="32">
        <f>[1]!MF_p_choke_atma(T$34,fw_,d_choke,$H35,0,d_pipe,T_choke,,PVTstr_)</f>
        <v>15.625</v>
      </c>
      <c r="U35" s="32">
        <f>[1]!MF_p_choke_atma(U$34,fw_,d_choke,$H35,0,d_pipe,T_choke,,PVTstr_)</f>
        <v>17.71875</v>
      </c>
      <c r="V35" s="32">
        <f>[1]!MF_p_choke_atma(V$34,fw_,d_choke,$H35,0,d_pipe,T_choke,,PVTstr_)</f>
        <v>19.78125</v>
      </c>
      <c r="W35" s="32">
        <f>[1]!MF_p_choke_atma(W$34,fw_,d_choke,$H35,0,d_pipe,T_choke,,PVTstr_)</f>
        <v>21.8125</v>
      </c>
      <c r="X35" s="32">
        <f>[1]!MF_p_choke_atma(X$34,fw_,d_choke,$H35,0,d_pipe,T_choke,,PVTstr_)</f>
        <v>23.78125</v>
      </c>
      <c r="Y35" s="32">
        <f>[1]!MF_p_choke_atma(Y$34,fw_,d_choke,$H35,0,d_pipe,T_choke,,PVTstr_)</f>
        <v>25.75</v>
      </c>
      <c r="Z35" s="32">
        <f>[1]!MF_p_choke_atma(Z$34,fw_,d_choke,$H35,0,d_pipe,T_choke,,PVTstr_)</f>
        <v>27.625</v>
      </c>
      <c r="AA35" s="32">
        <f>[1]!MF_p_choke_atma(AA$34,fw_,d_choke,$H35,0,d_pipe,T_choke,,PVTstr_)</f>
        <v>29.5</v>
      </c>
      <c r="AB35" s="32">
        <f>[1]!MF_p_choke_atma(AB$34,fw_,d_choke,$H35,0,d_pipe,T_choke,,PVTstr_)</f>
        <v>31.375</v>
      </c>
      <c r="AC35" s="32">
        <f>[1]!MF_p_choke_atma(AC$34,fw_,d_choke,$H35,0,d_pipe,T_choke,,PVTstr_)</f>
        <v>33.1875</v>
      </c>
      <c r="AD35" s="32">
        <f>[1]!MF_p_choke_atma(AD$34,fw_,d_choke,$H35,0,d_pipe,T_choke,,PVTstr_)</f>
        <v>34.9375</v>
      </c>
      <c r="AE35" s="32">
        <f>[1]!MF_p_choke_atma(AE$34,fw_,d_choke,$H35,0,d_pipe,T_choke,,PVTstr_)</f>
        <v>36.6875</v>
      </c>
      <c r="AF35" s="32">
        <f>[1]!MF_p_choke_atma(AF$34,fw_,d_choke,$H35,0,d_pipe,T_choke,,PVTstr_)</f>
        <v>38.375</v>
      </c>
      <c r="AG35" s="32">
        <f>[1]!MF_p_choke_atma(AG$34,fw_,d_choke,$H35,0,d_pipe,T_choke,,PVTstr_)</f>
        <v>40.0625</v>
      </c>
      <c r="AH35" s="32">
        <f>[1]!MF_p_choke_atma(AH$34,fw_,d_choke,$H35,0,d_pipe,T_choke,,PVTstr_)</f>
        <v>41.75</v>
      </c>
      <c r="AI35" s="32">
        <f>[1]!MF_p_choke_atma(AI$34,fw_,d_choke,$H35,0,d_pipe,T_choke,,PVTstr_)</f>
        <v>43.375</v>
      </c>
      <c r="AJ35" s="32">
        <f>[1]!MF_p_choke_atma(AJ$34,fw_,d_choke,$H35,0,d_pipe,T_choke,,PVTstr_)</f>
        <v>44.9375</v>
      </c>
    </row>
    <row r="36" spans="2:44" x14ac:dyDescent="0.2">
      <c r="B36" s="28" t="str">
        <v>Pout, atma</v>
      </c>
      <c r="C36" s="28" t="str">
        <v>p_intake_atma</v>
      </c>
      <c r="D36" s="28" t="str">
        <v>p_out_atma</v>
      </c>
      <c r="E36" s="28" t="str">
        <v>t_choke_C</v>
      </c>
      <c r="F36" s="28" t="str">
        <v>c_calibr_fr</v>
      </c>
      <c r="H36" s="29">
        <v>5</v>
      </c>
      <c r="I36" s="32">
        <f>[1]!MF_p_choke_atma(I$34,fw_,d_choke,$H36,0,d_pipe,T_choke,,PVTstr_)</f>
        <v>5</v>
      </c>
      <c r="J36" s="32">
        <f>[1]!MF_p_choke_atma(J$34,fw_,d_choke,$H36,0,d_pipe,T_choke,,PVTstr_)</f>
        <v>5.0019979476928711</v>
      </c>
      <c r="K36" s="32">
        <f>[1]!MF_p_choke_atma(K$34,fw_,d_choke,$H36,0,d_pipe,T_choke,,PVTstr_)</f>
        <v>5.0079917907714844</v>
      </c>
      <c r="L36" s="32">
        <f>[1]!MF_p_choke_atma(L$34,fw_,d_choke,$H36,0,d_pipe,T_choke,,PVTstr_)</f>
        <v>5.03204345703125</v>
      </c>
      <c r="M36" s="32">
        <f>[1]!MF_p_choke_atma(M$34,fw_,d_choke,$H36,0,d_pipe,T_choke,,PVTstr_)</f>
        <v>5.12939453125</v>
      </c>
      <c r="N36" s="32">
        <f>[1]!MF_p_choke_atma(N$34,fw_,d_choke,$H36,0,d_pipe,T_choke,,PVTstr_)</f>
        <v>5.2032470703125</v>
      </c>
      <c r="O36" s="32">
        <f>[1]!MF_p_choke_atma(O$34,fw_,d_choke,$H36,0,d_pipe,T_choke,,PVTstr_)</f>
        <v>5.85693359375</v>
      </c>
      <c r="P36" s="32">
        <f>[1]!MF_p_choke_atma(P$34,fw_,d_choke,$H36,0,d_pipe,T_choke,,PVTstr_)</f>
        <v>7.099609375</v>
      </c>
      <c r="Q36" s="32">
        <f>[1]!MF_p_choke_atma(Q$34,fw_,d_choke,$H36,0,d_pipe,T_choke,,PVTstr_)</f>
        <v>9.12109375</v>
      </c>
      <c r="R36" s="32">
        <f>[1]!MF_p_choke_atma(R$34,fw_,d_choke,$H36,0,d_pipe,T_choke,,PVTstr_)</f>
        <v>11.328125</v>
      </c>
      <c r="S36" s="32">
        <f>[1]!MF_p_choke_atma(S$34,fw_,d_choke,$H36,0,d_pipe,T_choke,,PVTstr_)</f>
        <v>13.49609375</v>
      </c>
      <c r="T36" s="32">
        <f>[1]!MF_p_choke_atma(T$34,fw_,d_choke,$H36,0,d_pipe,T_choke,,PVTstr_)</f>
        <v>15.625</v>
      </c>
      <c r="U36" s="32">
        <f>[1]!MF_p_choke_atma(U$34,fw_,d_choke,$H36,0,d_pipe,T_choke,,PVTstr_)</f>
        <v>17.734375</v>
      </c>
      <c r="V36" s="32">
        <f>[1]!MF_p_choke_atma(V$34,fw_,d_choke,$H36,0,d_pipe,T_choke,,PVTstr_)</f>
        <v>19.765625</v>
      </c>
      <c r="W36" s="32">
        <f>[1]!MF_p_choke_atma(W$34,fw_,d_choke,$H36,0,d_pipe,T_choke,,PVTstr_)</f>
        <v>21.796875</v>
      </c>
      <c r="X36" s="32">
        <f>[1]!MF_p_choke_atma(X$34,fw_,d_choke,$H36,0,d_pipe,T_choke,,PVTstr_)</f>
        <v>23.7890625</v>
      </c>
      <c r="Y36" s="32">
        <f>[1]!MF_p_choke_atma(Y$34,fw_,d_choke,$H36,0,d_pipe,T_choke,,PVTstr_)</f>
        <v>25.7421875</v>
      </c>
      <c r="Z36" s="32">
        <f>[1]!MF_p_choke_atma(Z$34,fw_,d_choke,$H36,0,d_pipe,T_choke,,PVTstr_)</f>
        <v>27.65625</v>
      </c>
      <c r="AA36" s="32">
        <f>[1]!MF_p_choke_atma(AA$34,fw_,d_choke,$H36,0,d_pipe,T_choke,,PVTstr_)</f>
        <v>29.53125</v>
      </c>
      <c r="AB36" s="32">
        <f>[1]!MF_p_choke_atma(AB$34,fw_,d_choke,$H36,0,d_pipe,T_choke,,PVTstr_)</f>
        <v>31.3671875</v>
      </c>
      <c r="AC36" s="32">
        <f>[1]!MF_p_choke_atma(AC$34,fw_,d_choke,$H36,0,d_pipe,T_choke,,PVTstr_)</f>
        <v>33.203125</v>
      </c>
      <c r="AD36" s="32">
        <f>[1]!MF_p_choke_atma(AD$34,fw_,d_choke,$H36,0,d_pipe,T_choke,,PVTstr_)</f>
        <v>34.9609375</v>
      </c>
      <c r="AE36" s="32">
        <f>[1]!MF_p_choke_atma(AE$34,fw_,d_choke,$H36,0,d_pipe,T_choke,,PVTstr_)</f>
        <v>36.71875</v>
      </c>
      <c r="AF36" s="32">
        <f>[1]!MF_p_choke_atma(AF$34,fw_,d_choke,$H36,0,d_pipe,T_choke,,PVTstr_)</f>
        <v>38.4375</v>
      </c>
      <c r="AG36" s="32">
        <f>[1]!MF_p_choke_atma(AG$34,fw_,d_choke,$H36,0,d_pipe,T_choke,,PVTstr_)</f>
        <v>40.078125</v>
      </c>
      <c r="AH36" s="32">
        <f>[1]!MF_p_choke_atma(AH$34,fw_,d_choke,$H36,0,d_pipe,T_choke,,PVTstr_)</f>
        <v>41.71875</v>
      </c>
      <c r="AI36" s="32">
        <f>[1]!MF_p_choke_atma(AI$34,fw_,d_choke,$H36,0,d_pipe,T_choke,,PVTstr_)</f>
        <v>43.359375</v>
      </c>
      <c r="AJ36" s="32">
        <f>[1]!MF_p_choke_atma(AJ$34,fw_,d_choke,$H36,0,d_pipe,T_choke,,PVTstr_)</f>
        <v>44.921875</v>
      </c>
    </row>
    <row r="37" spans="2:44" x14ac:dyDescent="0.2">
      <c r="H37" s="29">
        <v>10</v>
      </c>
      <c r="I37" s="32">
        <f>[1]!MF_p_choke_atma(I$34,fw_,d_choke,$H37,0,d_pipe,T_choke,,PVTstr_)</f>
        <v>10</v>
      </c>
      <c r="J37" s="32">
        <f>[1]!MF_p_choke_atma(J$34,fw_,d_choke,$H37,0,d_pipe,T_choke,,PVTstr_)</f>
        <v>10.001015663146973</v>
      </c>
      <c r="K37" s="32">
        <f>[1]!MF_p_choke_atma(K$34,fw_,d_choke,$H37,0,d_pipe,T_choke,,PVTstr_)</f>
        <v>10.004062652587891</v>
      </c>
      <c r="L37" s="32">
        <f>[1]!MF_p_choke_atma(L$34,fw_,d_choke,$H37,0,d_pipe,T_choke,,PVTstr_)</f>
        <v>10.016250610351563</v>
      </c>
      <c r="M37" s="32">
        <f>[1]!MF_p_choke_atma(M$34,fw_,d_choke,$H37,0,d_pipe,T_choke,,PVTstr_)</f>
        <v>10.06500244140625</v>
      </c>
      <c r="N37" s="32">
        <f>[1]!MF_p_choke_atma(N$34,fw_,d_choke,$H37,0,d_pipe,T_choke,,PVTstr_)</f>
        <v>10.1019287109375</v>
      </c>
      <c r="O37" s="32">
        <f>[1]!MF_p_choke_atma(O$34,fw_,d_choke,$H37,0,d_pipe,T_choke,,PVTstr_)</f>
        <v>10.411376953125</v>
      </c>
      <c r="P37" s="32">
        <f>[1]!MF_p_choke_atma(P$34,fw_,d_choke,$H37,0,d_pipe,T_choke,,PVTstr_)</f>
        <v>10.9423828125</v>
      </c>
      <c r="Q37" s="32">
        <f>[1]!MF_p_choke_atma(Q$34,fw_,d_choke,$H37,0,d_pipe,T_choke,,PVTstr_)</f>
        <v>11.708984375</v>
      </c>
      <c r="R37" s="32">
        <f>[1]!MF_p_choke_atma(R$34,fw_,d_choke,$H37,0,d_pipe,T_choke,,PVTstr_)</f>
        <v>12.75390625</v>
      </c>
      <c r="S37" s="32">
        <f>[1]!MF_p_choke_atma(S$34,fw_,d_choke,$H37,0,d_pipe,T_choke,,PVTstr_)</f>
        <v>14.08203125</v>
      </c>
      <c r="T37" s="32">
        <f>[1]!MF_p_choke_atma(T$34,fw_,d_choke,$H37,0,d_pipe,T_choke,,PVTstr_)</f>
        <v>15.7421875</v>
      </c>
      <c r="U37" s="32">
        <f>[1]!MF_p_choke_atma(U$34,fw_,d_choke,$H37,0,d_pipe,T_choke,,PVTstr_)</f>
        <v>17.734375</v>
      </c>
      <c r="V37" s="32">
        <f>[1]!MF_p_choke_atma(V$34,fw_,d_choke,$H37,0,d_pipe,T_choke,,PVTstr_)</f>
        <v>19.765625</v>
      </c>
      <c r="W37" s="32">
        <f>[1]!MF_p_choke_atma(W$34,fw_,d_choke,$H37,0,d_pipe,T_choke,,PVTstr_)</f>
        <v>21.796875</v>
      </c>
      <c r="X37" s="32">
        <f>[1]!MF_p_choke_atma(X$34,fw_,d_choke,$H37,0,d_pipe,T_choke,,PVTstr_)</f>
        <v>23.7890625</v>
      </c>
      <c r="Y37" s="32">
        <f>[1]!MF_p_choke_atma(Y$34,fw_,d_choke,$H37,0,d_pipe,T_choke,,PVTstr_)</f>
        <v>25.7421875</v>
      </c>
      <c r="Z37" s="32">
        <f>[1]!MF_p_choke_atma(Z$34,fw_,d_choke,$H37,0,d_pipe,T_choke,,PVTstr_)</f>
        <v>27.65625</v>
      </c>
      <c r="AA37" s="32">
        <f>[1]!MF_p_choke_atma(AA$34,fw_,d_choke,$H37,0,d_pipe,T_choke,,PVTstr_)</f>
        <v>29.53125</v>
      </c>
      <c r="AB37" s="32">
        <f>[1]!MF_p_choke_atma(AB$34,fw_,d_choke,$H37,0,d_pipe,T_choke,,PVTstr_)</f>
        <v>31.3671875</v>
      </c>
      <c r="AC37" s="32">
        <f>[1]!MF_p_choke_atma(AC$34,fw_,d_choke,$H37,0,d_pipe,T_choke,,PVTstr_)</f>
        <v>33.203125</v>
      </c>
      <c r="AD37" s="32">
        <f>[1]!MF_p_choke_atma(AD$34,fw_,d_choke,$H37,0,d_pipe,T_choke,,PVTstr_)</f>
        <v>34.9609375</v>
      </c>
      <c r="AE37" s="32">
        <f>[1]!MF_p_choke_atma(AE$34,fw_,d_choke,$H37,0,d_pipe,T_choke,,PVTstr_)</f>
        <v>36.71875</v>
      </c>
      <c r="AF37" s="32">
        <f>[1]!MF_p_choke_atma(AF$34,fw_,d_choke,$H37,0,d_pipe,T_choke,,PVTstr_)</f>
        <v>38.4375</v>
      </c>
      <c r="AG37" s="32">
        <f>[1]!MF_p_choke_atma(AG$34,fw_,d_choke,$H37,0,d_pipe,T_choke,,PVTstr_)</f>
        <v>40.078125</v>
      </c>
      <c r="AH37" s="32">
        <f>[1]!MF_p_choke_atma(AH$34,fw_,d_choke,$H37,0,d_pipe,T_choke,,PVTstr_)</f>
        <v>41.71875</v>
      </c>
      <c r="AI37" s="32">
        <f>[1]!MF_p_choke_atma(AI$34,fw_,d_choke,$H37,0,d_pipe,T_choke,,PVTstr_)</f>
        <v>43.359375</v>
      </c>
      <c r="AJ37" s="32">
        <f>[1]!MF_p_choke_atma(AJ$34,fw_,d_choke,$H37,0,d_pipe,T_choke,,PVTstr_)</f>
        <v>44.921875</v>
      </c>
    </row>
    <row r="38" spans="2:44" x14ac:dyDescent="0.2">
      <c r="B38" s="18" t="s">
        <v>20</v>
      </c>
      <c r="H38" s="29">
        <v>15</v>
      </c>
      <c r="I38" s="32">
        <f>[1]!MF_p_choke_atma(I$34,fw_,d_choke,$H38,0,d_pipe,T_choke,,PVTstr_)</f>
        <v>15</v>
      </c>
      <c r="J38" s="32">
        <f>[1]!MF_p_choke_atma(J$34,fw_,d_choke,$H38,0,d_pipe,T_choke,,PVTstr_)</f>
        <v>15.000686645507813</v>
      </c>
      <c r="K38" s="32">
        <f>[1]!MF_p_choke_atma(K$34,fw_,d_choke,$H38,0,d_pipe,T_choke,,PVTstr_)</f>
        <v>15.00274658203125</v>
      </c>
      <c r="L38" s="32">
        <f>[1]!MF_p_choke_atma(L$34,fw_,d_choke,$H38,0,d_pipe,T_choke,,PVTstr_)</f>
        <v>15.010986328125</v>
      </c>
      <c r="M38" s="32">
        <f>[1]!MF_p_choke_atma(M$34,fw_,d_choke,$H38,0,d_pipe,T_choke,,PVTstr_)</f>
        <v>15.0439453125</v>
      </c>
      <c r="N38" s="32">
        <f>[1]!MF_p_choke_atma(N$34,fw_,d_choke,$H38,0,d_pipe,T_choke,,PVTstr_)</f>
        <v>15.06866455078125</v>
      </c>
      <c r="O38" s="32">
        <f>[1]!MF_p_choke_atma(O$34,fw_,d_choke,$H38,0,d_pipe,T_choke,,PVTstr_)</f>
        <v>15.27557373046875</v>
      </c>
      <c r="P38" s="32">
        <f>[1]!MF_p_choke_atma(P$34,fw_,d_choke,$H38,0,d_pipe,T_choke,,PVTstr_)</f>
        <v>15.62255859375</v>
      </c>
      <c r="Q38" s="32">
        <f>[1]!MF_p_choke_atma(Q$34,fw_,d_choke,$H38,0,d_pipe,T_choke,,PVTstr_)</f>
        <v>16.11328125</v>
      </c>
      <c r="R38" s="32">
        <f>[1]!MF_p_choke_atma(R$34,fw_,d_choke,$H38,0,d_pipe,T_choke,,PVTstr_)</f>
        <v>16.7578125</v>
      </c>
      <c r="S38" s="32">
        <f>[1]!MF_p_choke_atma(S$34,fw_,d_choke,$H38,0,d_pipe,T_choke,,PVTstr_)</f>
        <v>17.55615234375</v>
      </c>
      <c r="T38" s="32">
        <f>[1]!MF_p_choke_atma(T$34,fw_,d_choke,$H38,0,d_pipe,T_choke,,PVTstr_)</f>
        <v>18.515625</v>
      </c>
      <c r="U38" s="32">
        <f>[1]!MF_p_choke_atma(U$34,fw_,d_choke,$H38,0,d_pipe,T_choke,,PVTstr_)</f>
        <v>19.6435546875</v>
      </c>
      <c r="V38" s="32">
        <f>[1]!MF_p_choke_atma(V$34,fw_,d_choke,$H38,0,d_pipe,T_choke,,PVTstr_)</f>
        <v>20.9326171875</v>
      </c>
      <c r="W38" s="32">
        <f>[1]!MF_p_choke_atma(W$34,fw_,d_choke,$H38,0,d_pipe,T_choke,,PVTstr_)</f>
        <v>22.3828125</v>
      </c>
      <c r="X38" s="32">
        <f>[1]!MF_p_choke_atma(X$34,fw_,d_choke,$H38,0,d_pipe,T_choke,,PVTstr_)</f>
        <v>23.994140625</v>
      </c>
      <c r="Y38" s="32">
        <f>[1]!MF_p_choke_atma(Y$34,fw_,d_choke,$H38,0,d_pipe,T_choke,,PVTstr_)</f>
        <v>25.78125</v>
      </c>
      <c r="Z38" s="32">
        <f>[1]!MF_p_choke_atma(Z$34,fw_,d_choke,$H38,0,d_pipe,T_choke,,PVTstr_)</f>
        <v>27.65625</v>
      </c>
      <c r="AA38" s="32">
        <f>[1]!MF_p_choke_atma(AA$34,fw_,d_choke,$H38,0,d_pipe,T_choke,,PVTstr_)</f>
        <v>29.53125</v>
      </c>
      <c r="AB38" s="32">
        <f>[1]!MF_p_choke_atma(AB$34,fw_,d_choke,$H38,0,d_pipe,T_choke,,PVTstr_)</f>
        <v>31.34765625</v>
      </c>
      <c r="AC38" s="32">
        <f>[1]!MF_p_choke_atma(AC$34,fw_,d_choke,$H38,0,d_pipe,T_choke,,PVTstr_)</f>
        <v>33.1640625</v>
      </c>
      <c r="AD38" s="32">
        <f>[1]!MF_p_choke_atma(AD$34,fw_,d_choke,$H38,0,d_pipe,T_choke,,PVTstr_)</f>
        <v>34.98046875</v>
      </c>
      <c r="AE38" s="32">
        <f>[1]!MF_p_choke_atma(AE$34,fw_,d_choke,$H38,0,d_pipe,T_choke,,PVTstr_)</f>
        <v>36.6796875</v>
      </c>
      <c r="AF38" s="32">
        <f>[1]!MF_p_choke_atma(AF$34,fw_,d_choke,$H38,0,d_pipe,T_choke,,PVTstr_)</f>
        <v>38.4375</v>
      </c>
      <c r="AG38" s="32">
        <f>[1]!MF_p_choke_atma(AG$34,fw_,d_choke,$H38,0,d_pipe,T_choke,,PVTstr_)</f>
        <v>40.078125</v>
      </c>
      <c r="AH38" s="32">
        <f>[1]!MF_p_choke_atma(AH$34,fw_,d_choke,$H38,0,d_pipe,T_choke,,PVTstr_)</f>
        <v>41.71875</v>
      </c>
      <c r="AI38" s="32">
        <f>[1]!MF_p_choke_atma(AI$34,fw_,d_choke,$H38,0,d_pipe,T_choke,,PVTstr_)</f>
        <v>43.359375</v>
      </c>
      <c r="AJ38" s="32">
        <f>[1]!MF_p_choke_atma(AJ$34,fw_,d_choke,$H38,0,d_pipe,T_choke,,PVTstr_)</f>
        <v>44.94140625</v>
      </c>
    </row>
    <row r="39" spans="2:44" x14ac:dyDescent="0.2">
      <c r="B39" s="27">
        <f t="array" ref="B39:F40">[1]!MF_p_choke_atma(Qliq_,fw_,d_choke,Plin_,0,d_pipe,T_choke,,PVTstr_)</f>
        <v>12.0853271484375</v>
      </c>
      <c r="C39" s="27">
        <v>12.0853271484375</v>
      </c>
      <c r="D39" s="27">
        <v>12</v>
      </c>
      <c r="E39" s="27">
        <v>30</v>
      </c>
      <c r="F39" s="27">
        <v>1</v>
      </c>
      <c r="H39" s="29">
        <v>20</v>
      </c>
      <c r="I39" s="32">
        <f>[1]!MF_p_choke_atma(I$34,fw_,d_choke,$H39,0,d_pipe,T_choke,,PVTstr_)</f>
        <v>20</v>
      </c>
      <c r="J39" s="32">
        <f>[1]!MF_p_choke_atma(J$34,fw_,d_choke,$H39,0,d_pipe,T_choke,,PVTstr_)</f>
        <v>20.000519752502441</v>
      </c>
      <c r="K39" s="32">
        <f>[1]!MF_p_choke_atma(K$34,fw_,d_choke,$H39,0,d_pipe,T_choke,,PVTstr_)</f>
        <v>20.002079010009766</v>
      </c>
      <c r="L39" s="32">
        <f>[1]!MF_p_choke_atma(L$34,fw_,d_choke,$H39,0,d_pipe,T_choke,,PVTstr_)</f>
        <v>20.008316040039063</v>
      </c>
      <c r="M39" s="32">
        <f>[1]!MF_p_choke_atma(M$34,fw_,d_choke,$H39,0,d_pipe,T_choke,,PVTstr_)</f>
        <v>20.03326416015625</v>
      </c>
      <c r="N39" s="32">
        <f>[1]!MF_p_choke_atma(N$34,fw_,d_choke,$H39,0,d_pipe,T_choke,,PVTstr_)</f>
        <v>20.0518798828125</v>
      </c>
      <c r="O39" s="32">
        <f>[1]!MF_p_choke_atma(O$34,fw_,d_choke,$H39,0,d_pipe,T_choke,,PVTstr_)</f>
        <v>20.2081298828125</v>
      </c>
      <c r="P39" s="32">
        <f>[1]!MF_p_choke_atma(P$34,fw_,d_choke,$H39,0,d_pipe,T_choke,,PVTstr_)</f>
        <v>20.46875</v>
      </c>
      <c r="Q39" s="32">
        <f>[1]!MF_p_choke_atma(Q$34,fw_,d_choke,$H39,0,d_pipe,T_choke,,PVTstr_)</f>
        <v>20.8349609375</v>
      </c>
      <c r="R39" s="32">
        <f>[1]!MF_p_choke_atma(R$34,fw_,d_choke,$H39,0,d_pipe,T_choke,,PVTstr_)</f>
        <v>21.30859375</v>
      </c>
      <c r="S39" s="32">
        <f>[1]!MF_p_choke_atma(S$34,fw_,d_choke,$H39,0,d_pipe,T_choke,,PVTstr_)</f>
        <v>21.89453125</v>
      </c>
      <c r="T39" s="32">
        <f>[1]!MF_p_choke_atma(T$34,fw_,d_choke,$H39,0,d_pipe,T_choke,,PVTstr_)</f>
        <v>22.587890625</v>
      </c>
      <c r="U39" s="32">
        <f>[1]!MF_p_choke_atma(U$34,fw_,d_choke,$H39,0,d_pipe,T_choke,,PVTstr_)</f>
        <v>23.37890625</v>
      </c>
      <c r="V39" s="32">
        <f>[1]!MF_p_choke_atma(V$34,fw_,d_choke,$H39,0,d_pipe,T_choke,,PVTstr_)</f>
        <v>24.296875</v>
      </c>
      <c r="W39" s="32">
        <f>[1]!MF_p_choke_atma(W$34,fw_,d_choke,$H39,0,d_pipe,T_choke,,PVTstr_)</f>
        <v>25.3125</v>
      </c>
      <c r="X39" s="32">
        <f>[1]!MF_p_choke_atma(X$34,fw_,d_choke,$H39,0,d_pipe,T_choke,,PVTstr_)</f>
        <v>26.4453125</v>
      </c>
      <c r="Y39" s="32">
        <f>[1]!MF_p_choke_atma(Y$34,fw_,d_choke,$H39,0,d_pipe,T_choke,,PVTstr_)</f>
        <v>27.65625</v>
      </c>
      <c r="Z39" s="32">
        <f>[1]!MF_p_choke_atma(Z$34,fw_,d_choke,$H39,0,d_pipe,T_choke,,PVTstr_)</f>
        <v>28.984375</v>
      </c>
      <c r="AA39" s="32">
        <f>[1]!MF_p_choke_atma(AA$34,fw_,d_choke,$H39,0,d_pipe,T_choke,,PVTstr_)</f>
        <v>30.390625</v>
      </c>
      <c r="AB39" s="32">
        <f>[1]!MF_p_choke_atma(AB$34,fw_,d_choke,$H39,0,d_pipe,T_choke,,PVTstr_)</f>
        <v>31.875</v>
      </c>
      <c r="AC39" s="32">
        <f>[1]!MF_p_choke_atma(AC$34,fw_,d_choke,$H39,0,d_pipe,T_choke,,PVTstr_)</f>
        <v>33.4375</v>
      </c>
      <c r="AD39" s="32">
        <f>[1]!MF_p_choke_atma(AD$34,fw_,d_choke,$H39,0,d_pipe,T_choke,,PVTstr_)</f>
        <v>35.078125</v>
      </c>
      <c r="AE39" s="32">
        <f>[1]!MF_p_choke_atma(AE$34,fw_,d_choke,$H39,0,d_pipe,T_choke,,PVTstr_)</f>
        <v>36.71875</v>
      </c>
      <c r="AF39" s="32">
        <f>[1]!MF_p_choke_atma(AF$34,fw_,d_choke,$H39,0,d_pipe,T_choke,,PVTstr_)</f>
        <v>38.4375</v>
      </c>
      <c r="AG39" s="32">
        <f>[1]!MF_p_choke_atma(AG$34,fw_,d_choke,$H39,0,d_pipe,T_choke,,PVTstr_)</f>
        <v>40.078125</v>
      </c>
      <c r="AH39" s="32">
        <f>[1]!MF_p_choke_atma(AH$34,fw_,d_choke,$H39,0,d_pipe,T_choke,,PVTstr_)</f>
        <v>41.71875</v>
      </c>
      <c r="AI39" s="32">
        <f>[1]!MF_p_choke_atma(AI$34,fw_,d_choke,$H39,0,d_pipe,T_choke,,PVTstr_)</f>
        <v>43.359375</v>
      </c>
      <c r="AJ39" s="32">
        <f>[1]!MF_p_choke_atma(AJ$34,fw_,d_choke,$H39,0,d_pipe,T_choke,,PVTstr_)</f>
        <v>44.921875</v>
      </c>
    </row>
    <row r="40" spans="2:44" x14ac:dyDescent="0.2">
      <c r="B40" s="28" t="str">
        <v>Pin, atma</v>
      </c>
      <c r="C40" s="28" t="str">
        <v>p_intake_atma</v>
      </c>
      <c r="D40" s="28" t="str">
        <v>p_out_atma</v>
      </c>
      <c r="E40" s="28" t="str">
        <v>t_choke_C</v>
      </c>
      <c r="F40" s="28" t="str">
        <v>c_calibr_fr</v>
      </c>
      <c r="H40" s="29">
        <v>30</v>
      </c>
      <c r="I40" s="32">
        <f>[1]!MF_p_choke_atma(I$34,fw_,d_choke,$H40,0,d_pipe,T_choke,,PVTstr_)</f>
        <v>30</v>
      </c>
      <c r="J40" s="32">
        <f>[1]!MF_p_choke_atma(J$34,fw_,d_choke,$H40,0,d_pipe,T_choke,,PVTstr_)</f>
        <v>30.000352263450623</v>
      </c>
      <c r="K40" s="32">
        <f>[1]!MF_p_choke_atma(K$34,fw_,d_choke,$H40,0,d_pipe,T_choke,,PVTstr_)</f>
        <v>30.00140905380249</v>
      </c>
      <c r="L40" s="32">
        <f>[1]!MF_p_choke_atma(L$34,fw_,d_choke,$H40,0,d_pipe,T_choke,,PVTstr_)</f>
        <v>30.005636215209961</v>
      </c>
      <c r="M40" s="32">
        <f>[1]!MF_p_choke_atma(M$34,fw_,d_choke,$H40,0,d_pipe,T_choke,,PVTstr_)</f>
        <v>30.022544860839844</v>
      </c>
      <c r="N40" s="32">
        <f>[1]!MF_p_choke_atma(N$34,fw_,d_choke,$H40,0,d_pipe,T_choke,,PVTstr_)</f>
        <v>30.035247802734375</v>
      </c>
      <c r="O40" s="32">
        <f>[1]!MF_p_choke_atma(O$34,fw_,d_choke,$H40,0,d_pipe,T_choke,,PVTstr_)</f>
        <v>30.1409912109375</v>
      </c>
      <c r="P40" s="32">
        <f>[1]!MF_p_choke_atma(P$34,fw_,d_choke,$H40,0,d_pipe,T_choke,,PVTstr_)</f>
        <v>30.31768798828125</v>
      </c>
      <c r="Q40" s="32">
        <f>[1]!MF_p_choke_atma(Q$34,fw_,d_choke,$H40,0,d_pipe,T_choke,,PVTstr_)</f>
        <v>30.56396484375</v>
      </c>
      <c r="R40" s="32">
        <f>[1]!MF_p_choke_atma(R$34,fw_,d_choke,$H40,0,d_pipe,T_choke,,PVTstr_)</f>
        <v>30.882568359375</v>
      </c>
      <c r="S40" s="32">
        <f>[1]!MF_p_choke_atma(S$34,fw_,d_choke,$H40,0,d_pipe,T_choke,,PVTstr_)</f>
        <v>31.26708984375</v>
      </c>
      <c r="T40" s="32">
        <f>[1]!MF_p_choke_atma(T$34,fw_,d_choke,$H40,0,d_pipe,T_choke,,PVTstr_)</f>
        <v>31.72119140625</v>
      </c>
      <c r="U40" s="32">
        <f>[1]!MF_p_choke_atma(U$34,fw_,d_choke,$H40,0,d_pipe,T_choke,,PVTstr_)</f>
        <v>32.24853515625</v>
      </c>
      <c r="V40" s="32">
        <f>[1]!MF_p_choke_atma(V$34,fw_,d_choke,$H40,0,d_pipe,T_choke,,PVTstr_)</f>
        <v>32.841796875</v>
      </c>
      <c r="W40" s="32">
        <f>[1]!MF_p_choke_atma(W$34,fw_,d_choke,$H40,0,d_pipe,T_choke,,PVTstr_)</f>
        <v>33.5009765625</v>
      </c>
      <c r="X40" s="32">
        <f>[1]!MF_p_choke_atma(X$34,fw_,d_choke,$H40,0,d_pipe,T_choke,,PVTstr_)</f>
        <v>34.21875</v>
      </c>
      <c r="Y40" s="32">
        <f>[1]!MF_p_choke_atma(Y$34,fw_,d_choke,$H40,0,d_pipe,T_choke,,PVTstr_)</f>
        <v>35.009765625</v>
      </c>
      <c r="Z40" s="32">
        <f>[1]!MF_p_choke_atma(Z$34,fw_,d_choke,$H40,0,d_pipe,T_choke,,PVTstr_)</f>
        <v>35.859375</v>
      </c>
      <c r="AA40" s="32">
        <f>[1]!MF_p_choke_atma(AA$34,fw_,d_choke,$H40,0,d_pipe,T_choke,,PVTstr_)</f>
        <v>36.767578125</v>
      </c>
      <c r="AB40" s="32">
        <f>[1]!MF_p_choke_atma(AB$34,fw_,d_choke,$H40,0,d_pipe,T_choke,,PVTstr_)</f>
        <v>37.734375</v>
      </c>
      <c r="AC40" s="32">
        <f>[1]!MF_p_choke_atma(AC$34,fw_,d_choke,$H40,0,d_pipe,T_choke,,PVTstr_)</f>
        <v>38.73046875</v>
      </c>
      <c r="AD40" s="32">
        <f>[1]!MF_p_choke_atma(AD$34,fw_,d_choke,$H40,0,d_pipe,T_choke,,PVTstr_)</f>
        <v>39.78515625</v>
      </c>
      <c r="AE40" s="32">
        <f>[1]!MF_p_choke_atma(AE$34,fw_,d_choke,$H40,0,d_pipe,T_choke,,PVTstr_)</f>
        <v>40.8984375</v>
      </c>
      <c r="AF40" s="32">
        <f>[1]!MF_p_choke_atma(AF$34,fw_,d_choke,$H40,0,d_pipe,T_choke,,PVTstr_)</f>
        <v>42.041015625</v>
      </c>
      <c r="AG40" s="32">
        <f>[1]!MF_p_choke_atma(AG$34,fw_,d_choke,$H40,0,d_pipe,T_choke,,PVTstr_)</f>
        <v>43.2421875</v>
      </c>
      <c r="AH40" s="32">
        <f>[1]!MF_p_choke_atma(AH$34,fw_,d_choke,$H40,0,d_pipe,T_choke,,PVTstr_)</f>
        <v>44.4140625</v>
      </c>
      <c r="AI40" s="32">
        <f>[1]!MF_p_choke_atma(AI$34,fw_,d_choke,$H40,0,d_pipe,T_choke,,PVTstr_)</f>
        <v>45.64453125</v>
      </c>
      <c r="AJ40" s="32">
        <f>[1]!MF_p_choke_atma(AJ$34,fw_,d_choke,$H40,0,d_pipe,T_choke,,PVTstr_)</f>
        <v>46.93359375</v>
      </c>
    </row>
    <row r="41" spans="2:44" x14ac:dyDescent="0.2">
      <c r="I41" s="3"/>
      <c r="J41" s="3"/>
      <c r="K41" s="4"/>
      <c r="L41" s="5"/>
      <c r="M41" s="5"/>
      <c r="O41" s="3"/>
    </row>
    <row r="42" spans="2:44" x14ac:dyDescent="0.2">
      <c r="B42" t="s">
        <v>22</v>
      </c>
      <c r="I42" s="3"/>
      <c r="J42" s="3"/>
      <c r="K42" s="4"/>
      <c r="L42" s="5"/>
      <c r="M42" s="5"/>
      <c r="O42" s="3"/>
    </row>
    <row r="43" spans="2:44" x14ac:dyDescent="0.2">
      <c r="B43" s="29">
        <f t="array" ref="B43:F44">[1]!MF_q_choke_sm3day(fw_,d_choke,Pbuf_,Plin_,d_pipe,T_choke,,PVTstr_)</f>
        <v>121.37380857929556</v>
      </c>
      <c r="C43" s="29">
        <v>26</v>
      </c>
      <c r="D43" s="29">
        <v>12</v>
      </c>
      <c r="E43" s="29">
        <v>30</v>
      </c>
      <c r="F43" s="30">
        <v>1</v>
      </c>
    </row>
    <row r="44" spans="2:44" x14ac:dyDescent="0.2">
      <c r="B44" s="31" t="str">
        <v>Qliq</v>
      </c>
      <c r="C44" s="31" t="str">
        <v>p_intake_atma</v>
      </c>
      <c r="D44" s="31" t="str">
        <v>p_out_atma</v>
      </c>
      <c r="E44" s="31" t="str">
        <v>t_choke_C</v>
      </c>
      <c r="F44" s="31" t="str">
        <v>c_calibr_fr</v>
      </c>
      <c r="H44" s="21" t="s">
        <v>38</v>
      </c>
      <c r="I44" s="17" t="e">
        <f ca="1">[1]!MF_qliq_choke_sm3day(fw_,d_choke,H52,1,d_pipe,T_choke,,PVTstr_)</f>
        <v>#NAME?</v>
      </c>
    </row>
    <row r="45" spans="2:44" x14ac:dyDescent="0.2">
      <c r="I45" s="38" t="s">
        <v>8</v>
      </c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</row>
    <row r="46" spans="2:44" x14ac:dyDescent="0.2">
      <c r="B46" t="s">
        <v>21</v>
      </c>
      <c r="H46" s="35" t="s">
        <v>37</v>
      </c>
      <c r="I46" s="2">
        <v>0</v>
      </c>
      <c r="J46" s="19">
        <v>15</v>
      </c>
      <c r="K46" s="19">
        <v>28</v>
      </c>
      <c r="L46" s="19">
        <v>35</v>
      </c>
      <c r="M46" s="19">
        <v>40</v>
      </c>
      <c r="N46" s="19">
        <v>43</v>
      </c>
      <c r="O46" s="19">
        <v>43.96</v>
      </c>
      <c r="P46" s="19">
        <v>44</v>
      </c>
      <c r="Q46" s="19">
        <v>53</v>
      </c>
      <c r="R46" s="19">
        <v>58</v>
      </c>
      <c r="S46" s="19">
        <v>60</v>
      </c>
      <c r="T46" s="19">
        <v>62</v>
      </c>
      <c r="U46" s="19">
        <v>65</v>
      </c>
      <c r="V46" s="19">
        <v>67</v>
      </c>
      <c r="W46" s="19">
        <v>67.2</v>
      </c>
      <c r="X46" s="19">
        <v>76</v>
      </c>
      <c r="Y46" s="19">
        <v>85</v>
      </c>
      <c r="Z46" s="19">
        <v>90</v>
      </c>
      <c r="AA46" s="19">
        <v>91</v>
      </c>
      <c r="AB46" s="19">
        <v>91.1</v>
      </c>
      <c r="AC46" s="22">
        <v>100</v>
      </c>
      <c r="AD46" s="22">
        <v>110</v>
      </c>
      <c r="AE46" s="22">
        <v>113</v>
      </c>
      <c r="AF46" s="22">
        <v>116</v>
      </c>
      <c r="AG46" s="22">
        <v>116.5</v>
      </c>
      <c r="AH46" s="22">
        <v>125</v>
      </c>
      <c r="AI46" s="22">
        <v>130</v>
      </c>
      <c r="AJ46" s="22">
        <v>138</v>
      </c>
      <c r="AK46" s="22">
        <v>142.5</v>
      </c>
      <c r="AL46" s="22">
        <v>142.69999999999999</v>
      </c>
      <c r="AM46" s="22">
        <v>150</v>
      </c>
      <c r="AN46" s="22">
        <v>160</v>
      </c>
      <c r="AO46" s="22">
        <v>165</v>
      </c>
      <c r="AP46" s="22">
        <v>168</v>
      </c>
      <c r="AQ46" s="22">
        <v>170</v>
      </c>
      <c r="AR46" s="22">
        <v>170.3</v>
      </c>
    </row>
    <row r="47" spans="2:44" x14ac:dyDescent="0.2">
      <c r="B47" s="33">
        <f t="array" ref="B47:F48">[1]!MF_calibr_choke_fr(Qliq_,fw_,d_choke,Pbuf_,Plin_,d_pipe,T_choke,PVTstr_)</f>
        <v>8.2390098136096893E-2</v>
      </c>
      <c r="C47" s="32">
        <v>26</v>
      </c>
      <c r="D47" s="32">
        <v>12</v>
      </c>
      <c r="E47" s="32">
        <v>30</v>
      </c>
      <c r="F47" s="33">
        <v>8.2390098136096893E-2</v>
      </c>
      <c r="H47" s="29">
        <v>10</v>
      </c>
      <c r="I47" s="32">
        <f>[1]!MF_p_choke_atma(I$46,fw_,d_choke,$H47,1,d_pipe,T_choke,,PVTstr_)</f>
        <v>10</v>
      </c>
      <c r="J47" s="32">
        <f>[1]!MF_p_choke_atma(J$46,fw_,d_choke,$H47,1,d_pipe,T_choke,,PVTstr_)</f>
        <v>9.764404296875</v>
      </c>
      <c r="K47" s="32">
        <f>[1]!MF_p_choke_atma(K$46,fw_,d_choke,$H47,1,d_pipe,T_choke,,PVTstr_)</f>
        <v>9.0966796875</v>
      </c>
      <c r="L47" s="32">
        <f>[1]!MF_p_choke_atma(L$46,fw_,d_choke,$H47,1,d_pipe,T_choke,,PVTstr_)</f>
        <v>8.4375</v>
      </c>
      <c r="M47" s="32">
        <f>[1]!MF_p_choke_atma(M$46,fw_,d_choke,$H47,1,d_pipe,T_choke,,PVTstr_)</f>
        <v>7.67578125</v>
      </c>
      <c r="N47" s="32">
        <f>[1]!MF_p_choke_atma(N$46,fw_,d_choke,$H47,1,d_pipe,T_choke,,PVTstr_)</f>
        <v>6.8359375</v>
      </c>
      <c r="O47" s="32">
        <f>[1]!MF_p_choke_atma(O$46,fw_,d_choke,$H47,1,d_pipe,T_choke,,PVTstr_)</f>
        <v>5.625</v>
      </c>
      <c r="P47" s="32">
        <f>[1]!MF_p_choke_atma(P$46,fw_,d_choke,$H47,1,d_pipe,T_choke,,PVTstr_)</f>
        <v>-1</v>
      </c>
      <c r="Q47" s="32">
        <f>[1]!MF_p_choke_atma(Q$46,fw_,d_choke,$H47,1,d_pipe,T_choke,,PVTstr_)</f>
        <v>-1</v>
      </c>
      <c r="R47" s="32">
        <f>[1]!MF_p_choke_atma(R$46,fw_,d_choke,$H47,1,d_pipe,T_choke,,PVTstr_)</f>
        <v>-1</v>
      </c>
      <c r="S47" s="32">
        <f>[1]!MF_p_choke_atma(S$46,fw_,d_choke,$H47,1,d_pipe,T_choke,,PVTstr_)</f>
        <v>-1</v>
      </c>
      <c r="T47" s="32">
        <f>[1]!MF_p_choke_atma(T$46,fw_,d_choke,$H47,1,d_pipe,T_choke,,PVTstr_)</f>
        <v>-1</v>
      </c>
      <c r="U47" s="32">
        <f>[1]!MF_p_choke_atma(U$46,fw_,d_choke,$H47,1,d_pipe,T_choke,,PVTstr_)</f>
        <v>-1</v>
      </c>
      <c r="V47" s="32">
        <f>[1]!MF_p_choke_atma(V$46,fw_,d_choke,$H47,1,d_pipe,T_choke,,PVTstr_)</f>
        <v>-1</v>
      </c>
      <c r="W47" s="32">
        <f>[1]!MF_p_choke_atma(W$46,fw_,d_choke,$H47,1,d_pipe,T_choke,,PVTstr_)</f>
        <v>-1</v>
      </c>
      <c r="X47" s="32">
        <f>[1]!MF_p_choke_atma(X$46,fw_,d_choke,$H47,1,d_pipe,T_choke,,PVTstr_)</f>
        <v>-1</v>
      </c>
      <c r="Y47" s="32">
        <f>[1]!MF_p_choke_atma(Y$46,fw_,d_choke,$H47,1,d_pipe,T_choke,,PVTstr_)</f>
        <v>-1</v>
      </c>
      <c r="Z47" s="32">
        <f>[1]!MF_p_choke_atma(Z$46,fw_,d_choke,$H47,1,d_pipe,T_choke,,PVTstr_)</f>
        <v>-1</v>
      </c>
      <c r="AA47" s="32">
        <f>[1]!MF_p_choke_atma(AA$46,fw_,d_choke,$H47,1,d_pipe,T_choke,,PVTstr_)</f>
        <v>-1</v>
      </c>
      <c r="AB47" s="32">
        <f>[1]!MF_p_choke_atma(AB$46,fw_,d_choke,$H47,1,d_pipe,T_choke,,PVTstr_)</f>
        <v>-1</v>
      </c>
      <c r="AC47" s="32">
        <f>[1]!MF_p_choke_atma(AC$46,fw_,d_choke,$H47,1,d_pipe,T_choke,,PVTstr_)</f>
        <v>-1</v>
      </c>
      <c r="AD47" s="32">
        <f>[1]!MF_p_choke_atma(AD$46,fw_,d_choke,$H47,1,d_pipe,T_choke,,PVTstr_)</f>
        <v>-1</v>
      </c>
      <c r="AE47" s="32">
        <f>[1]!MF_p_choke_atma(AE$46,fw_,d_choke,$H47,1,d_pipe,T_choke,,PVTstr_)</f>
        <v>-1</v>
      </c>
      <c r="AF47" s="32">
        <f>[1]!MF_p_choke_atma(AF$46,fw_,d_choke,$H47,1,d_pipe,T_choke,,PVTstr_)</f>
        <v>-1</v>
      </c>
      <c r="AG47" s="32">
        <f>[1]!MF_p_choke_atma(AG$46,fw_,d_choke,$H47,1,d_pipe,T_choke,,PVTstr_)</f>
        <v>-1</v>
      </c>
      <c r="AH47" s="32">
        <f>[1]!MF_p_choke_atma(AH$46,fw_,d_choke,$H47,1,d_pipe,T_choke,,PVTstr_)</f>
        <v>-1</v>
      </c>
      <c r="AI47" s="32">
        <f>[1]!MF_p_choke_atma(AI$46,fw_,d_choke,$H47,1,d_pipe,T_choke,,PVTstr_)</f>
        <v>-1</v>
      </c>
      <c r="AJ47" s="32">
        <f>[1]!MF_p_choke_atma(AJ$46,fw_,d_choke,$H47,1,d_pipe,T_choke,,PVTstr_)</f>
        <v>-1</v>
      </c>
      <c r="AK47" s="32">
        <f>[1]!MF_p_choke_atma(AK$46,fw_,d_choke,$H47,1,d_pipe,T_choke,,PVTstr_)</f>
        <v>-1</v>
      </c>
      <c r="AL47" s="32">
        <f>[1]!MF_p_choke_atma(AL$46,fw_,d_choke,$H47,1,d_pipe,T_choke,,PVTstr_)</f>
        <v>-1</v>
      </c>
      <c r="AM47" s="32">
        <f>[1]!MF_p_choke_atma(AM$46,fw_,d_choke,$H47,1,d_pipe,T_choke,,PVTstr_)</f>
        <v>-1</v>
      </c>
      <c r="AN47" s="32">
        <f>[1]!MF_p_choke_atma(AN$46,fw_,d_choke,$H47,1,d_pipe,T_choke,,PVTstr_)</f>
        <v>-1</v>
      </c>
      <c r="AO47" s="32">
        <f>[1]!MF_p_choke_atma(AO$46,fw_,d_choke,$H47,1,d_pipe,T_choke,,PVTstr_)</f>
        <v>-1</v>
      </c>
      <c r="AP47" s="32">
        <f>[1]!MF_p_choke_atma(AP$46,fw_,d_choke,$H47,1,d_pipe,T_choke,,PVTstr_)</f>
        <v>-1</v>
      </c>
      <c r="AQ47" s="32">
        <f>[1]!MF_p_choke_atma(AQ$46,fw_,d_choke,$H47,1,d_pipe,T_choke,,PVTstr_)</f>
        <v>-1</v>
      </c>
      <c r="AR47" s="32">
        <f>[1]!MF_p_choke_atma(AR$46,fw_,d_choke,$H47,1,d_pipe,T_choke,,PVTstr_)</f>
        <v>-1</v>
      </c>
    </row>
    <row r="48" spans="2:44" x14ac:dyDescent="0.2">
      <c r="B48" s="34" t="str">
        <v>c_calibr_fr</v>
      </c>
      <c r="C48" s="34" t="str">
        <v>p_intake_atma</v>
      </c>
      <c r="D48" s="34" t="str">
        <v>p_out_atma</v>
      </c>
      <c r="E48" s="34" t="str">
        <v>t_choke_C</v>
      </c>
      <c r="F48" s="34" t="str">
        <v>c_calibr_fr</v>
      </c>
      <c r="H48" s="29">
        <v>15</v>
      </c>
      <c r="I48" s="32">
        <f>[1]!MF_p_choke_atma(I$46,fw_,d_choke,$H48,1,d_pipe,T_choke,,PVTstr_)</f>
        <v>15</v>
      </c>
      <c r="J48" s="32">
        <f>[1]!MF_p_choke_atma(J$46,fw_,d_choke,$H48,1,d_pipe,T_choke,,PVTstr_)</f>
        <v>14.843902587890625</v>
      </c>
      <c r="K48" s="32">
        <f>[1]!MF_p_choke_atma(K$46,fw_,d_choke,$H48,1,d_pipe,T_choke,,PVTstr_)</f>
        <v>14.43603515625</v>
      </c>
      <c r="L48" s="32">
        <f>[1]!MF_p_choke_atma(L$46,fw_,d_choke,$H48,1,d_pipe,T_choke,,PVTstr_)</f>
        <v>14.095458984375</v>
      </c>
      <c r="M48" s="32">
        <f>[1]!MF_p_choke_atma(M$46,fw_,d_choke,$H48,1,d_pipe,T_choke,,PVTstr_)</f>
        <v>13.7841796875</v>
      </c>
      <c r="N48" s="32">
        <f>[1]!MF_p_choke_atma(N$46,fw_,d_choke,$H48,1,d_pipe,T_choke,,PVTstr_)</f>
        <v>13.564453125</v>
      </c>
      <c r="O48" s="32">
        <f>[1]!MF_p_choke_atma(O$46,fw_,d_choke,$H48,1,d_pipe,T_choke,,PVTstr_)</f>
        <v>13.4912109375</v>
      </c>
      <c r="P48" s="32">
        <f>[1]!MF_p_choke_atma(P$46,fw_,d_choke,$H48,1,d_pipe,T_choke,,PVTstr_)</f>
        <v>13.4912109375</v>
      </c>
      <c r="Q48" s="32">
        <f>[1]!MF_p_choke_atma(Q$46,fw_,d_choke,$H48,1,d_pipe,T_choke,,PVTstr_)</f>
        <v>12.6123046875</v>
      </c>
      <c r="R48" s="32">
        <f>[1]!MF_p_choke_atma(R$46,fw_,d_choke,$H48,1,d_pipe,T_choke,,PVTstr_)</f>
        <v>11.923828125</v>
      </c>
      <c r="S48" s="32">
        <f>[1]!MF_p_choke_atma(S$46,fw_,d_choke,$H48,1,d_pipe,T_choke,,PVTstr_)</f>
        <v>11.5869140625</v>
      </c>
      <c r="T48" s="32">
        <f>[1]!MF_p_choke_atma(T$46,fw_,d_choke,$H48,1,d_pipe,T_choke,,PVTstr_)</f>
        <v>11.1767578125</v>
      </c>
      <c r="U48" s="32">
        <f>[1]!MF_p_choke_atma(U$46,fw_,d_choke,$H48,1,d_pipe,T_choke,,PVTstr_)</f>
        <v>10.3125</v>
      </c>
      <c r="V48" s="32">
        <f>[1]!MF_p_choke_atma(V$46,fw_,d_choke,$H48,1,d_pipe,T_choke,,PVTstr_)</f>
        <v>8.4375</v>
      </c>
      <c r="W48" s="32">
        <f>[1]!MF_p_choke_atma(W$46,fw_,d_choke,$H48,1,d_pipe,T_choke,,PVTstr_)</f>
        <v>-1</v>
      </c>
      <c r="X48" s="32">
        <f>[1]!MF_p_choke_atma(X$46,fw_,d_choke,$H48,1,d_pipe,T_choke,,PVTstr_)</f>
        <v>-1</v>
      </c>
      <c r="Y48" s="32">
        <f>[1]!MF_p_choke_atma(Y$46,fw_,d_choke,$H48,1,d_pipe,T_choke,,PVTstr_)</f>
        <v>-1</v>
      </c>
      <c r="Z48" s="32">
        <f>[1]!MF_p_choke_atma(Z$46,fw_,d_choke,$H48,1,d_pipe,T_choke,,PVTstr_)</f>
        <v>-1</v>
      </c>
      <c r="AA48" s="32">
        <f>[1]!MF_p_choke_atma(AA$46,fw_,d_choke,$H48,1,d_pipe,T_choke,,PVTstr_)</f>
        <v>-1</v>
      </c>
      <c r="AB48" s="32">
        <f>[1]!MF_p_choke_atma(AB$46,fw_,d_choke,$H48,1,d_pipe,T_choke,,PVTstr_)</f>
        <v>-1</v>
      </c>
      <c r="AC48" s="32">
        <f>[1]!MF_p_choke_atma(AC$46,fw_,d_choke,$H48,1,d_pipe,T_choke,,PVTstr_)</f>
        <v>-1</v>
      </c>
      <c r="AD48" s="32">
        <f>[1]!MF_p_choke_atma(AD$46,fw_,d_choke,$H48,1,d_pipe,T_choke,,PVTstr_)</f>
        <v>-1</v>
      </c>
      <c r="AE48" s="32">
        <f>[1]!MF_p_choke_atma(AE$46,fw_,d_choke,$H48,1,d_pipe,T_choke,,PVTstr_)</f>
        <v>-1</v>
      </c>
      <c r="AF48" s="32">
        <f>[1]!MF_p_choke_atma(AF$46,fw_,d_choke,$H48,1,d_pipe,T_choke,,PVTstr_)</f>
        <v>-1</v>
      </c>
      <c r="AG48" s="32">
        <f>[1]!MF_p_choke_atma(AG$46,fw_,d_choke,$H48,1,d_pipe,T_choke,,PVTstr_)</f>
        <v>-1</v>
      </c>
      <c r="AH48" s="32">
        <f>[1]!MF_p_choke_atma(AH$46,fw_,d_choke,$H48,1,d_pipe,T_choke,,PVTstr_)</f>
        <v>-1</v>
      </c>
      <c r="AI48" s="32">
        <f>[1]!MF_p_choke_atma(AI$46,fw_,d_choke,$H48,1,d_pipe,T_choke,,PVTstr_)</f>
        <v>-1</v>
      </c>
      <c r="AJ48" s="32">
        <f>[1]!MF_p_choke_atma(AJ$46,fw_,d_choke,$H48,1,d_pipe,T_choke,,PVTstr_)</f>
        <v>-1</v>
      </c>
      <c r="AK48" s="32">
        <f>[1]!MF_p_choke_atma(AK$46,fw_,d_choke,$H48,1,d_pipe,T_choke,,PVTstr_)</f>
        <v>-1</v>
      </c>
      <c r="AL48" s="32">
        <f>[1]!MF_p_choke_atma(AL$46,fw_,d_choke,$H48,1,d_pipe,T_choke,,PVTstr_)</f>
        <v>-1</v>
      </c>
      <c r="AM48" s="32">
        <f>[1]!MF_p_choke_atma(AM$46,fw_,d_choke,$H48,1,d_pipe,T_choke,,PVTstr_)</f>
        <v>-1</v>
      </c>
      <c r="AN48" s="32">
        <f>[1]!MF_p_choke_atma(AN$46,fw_,d_choke,$H48,1,d_pipe,T_choke,,PVTstr_)</f>
        <v>-1</v>
      </c>
      <c r="AO48" s="32">
        <f>[1]!MF_p_choke_atma(AO$46,fw_,d_choke,$H48,1,d_pipe,T_choke,,PVTstr_)</f>
        <v>-1</v>
      </c>
      <c r="AP48" s="32">
        <f>[1]!MF_p_choke_atma(AP$46,fw_,d_choke,$H48,1,d_pipe,T_choke,,PVTstr_)</f>
        <v>-1</v>
      </c>
      <c r="AQ48" s="32">
        <f>[1]!MF_p_choke_atma(AQ$46,fw_,d_choke,$H48,1,d_pipe,T_choke,,PVTstr_)</f>
        <v>-1</v>
      </c>
      <c r="AR48" s="32">
        <f>[1]!MF_p_choke_atma(AR$46,fw_,d_choke,$H48,1,d_pipe,T_choke,,PVTstr_)</f>
        <v>-1</v>
      </c>
    </row>
    <row r="49" spans="8:44" x14ac:dyDescent="0.2">
      <c r="H49" s="29">
        <v>20</v>
      </c>
      <c r="I49" s="32">
        <f>[1]!MF_p_choke_atma(I$46,fw_,d_choke,$H49,1,d_pipe,T_choke,,PVTstr_)</f>
        <v>20</v>
      </c>
      <c r="J49" s="32">
        <f>[1]!MF_p_choke_atma(J$46,fw_,d_choke,$H49,1,d_pipe,T_choke,,PVTstr_)</f>
        <v>19.8822021484375</v>
      </c>
      <c r="K49" s="32">
        <f>[1]!MF_p_choke_atma(K$46,fw_,d_choke,$H49,1,d_pipe,T_choke,,PVTstr_)</f>
        <v>19.58251953125</v>
      </c>
      <c r="L49" s="32">
        <f>[1]!MF_p_choke_atma(L$46,fw_,d_choke,$H49,1,d_pipe,T_choke,,PVTstr_)</f>
        <v>19.33837890625</v>
      </c>
      <c r="M49" s="32">
        <f>[1]!MF_p_choke_atma(M$46,fw_,d_choke,$H49,1,d_pipe,T_choke,,PVTstr_)</f>
        <v>19.1259765625</v>
      </c>
      <c r="N49" s="32">
        <f>[1]!MF_p_choke_atma(N$46,fw_,d_choke,$H49,1,d_pipe,T_choke,,PVTstr_)</f>
        <v>18.98193359375</v>
      </c>
      <c r="O49" s="32">
        <f>[1]!MF_p_choke_atma(O$46,fw_,d_choke,$H49,1,d_pipe,T_choke,,PVTstr_)</f>
        <v>18.9306640625</v>
      </c>
      <c r="P49" s="32">
        <f>[1]!MF_p_choke_atma(P$46,fw_,d_choke,$H49,1,d_pipe,T_choke,,PVTstr_)</f>
        <v>18.9306640625</v>
      </c>
      <c r="Q49" s="32">
        <f>[1]!MF_p_choke_atma(Q$46,fw_,d_choke,$H49,1,d_pipe,T_choke,,PVTstr_)</f>
        <v>18.3984375</v>
      </c>
      <c r="R49" s="32">
        <f>[1]!MF_p_choke_atma(R$46,fw_,d_choke,$H49,1,d_pipe,T_choke,,PVTstr_)</f>
        <v>18.037109375</v>
      </c>
      <c r="S49" s="32">
        <f>[1]!MF_p_choke_atma(S$46,fw_,d_choke,$H49,1,d_pipe,T_choke,,PVTstr_)</f>
        <v>17.880859375</v>
      </c>
      <c r="T49" s="32">
        <f>[1]!MF_p_choke_atma(T$46,fw_,d_choke,$H49,1,d_pipe,T_choke,,PVTstr_)</f>
        <v>17.705078125</v>
      </c>
      <c r="U49" s="32">
        <f>[1]!MF_p_choke_atma(U$46,fw_,d_choke,$H49,1,d_pipe,T_choke,,PVTstr_)</f>
        <v>17.431640625</v>
      </c>
      <c r="V49" s="32">
        <f>[1]!MF_p_choke_atma(V$46,fw_,d_choke,$H49,1,d_pipe,T_choke,,PVTstr_)</f>
        <v>17.236328125</v>
      </c>
      <c r="W49" s="32">
        <f>[1]!MF_p_choke_atma(W$46,fw_,d_choke,$H49,1,d_pipe,T_choke,,PVTstr_)</f>
        <v>17.216796875</v>
      </c>
      <c r="X49" s="32">
        <f>[1]!MF_p_choke_atma(X$46,fw_,d_choke,$H49,1,d_pipe,T_choke,,PVTstr_)</f>
        <v>16.171875</v>
      </c>
      <c r="Y49" s="32">
        <f>[1]!MF_p_choke_atma(Y$46,fw_,d_choke,$H49,1,d_pipe,T_choke,,PVTstr_)</f>
        <v>14.53125</v>
      </c>
      <c r="Z49" s="32">
        <f>[1]!MF_p_choke_atma(Z$46,fw_,d_choke,$H49,1,d_pipe,T_choke,,PVTstr_)</f>
        <v>12.8125</v>
      </c>
      <c r="AA49" s="32">
        <f>[1]!MF_p_choke_atma(AA$46,fw_,d_choke,$H49,1,d_pipe,T_choke,,PVTstr_)</f>
        <v>11.25</v>
      </c>
      <c r="AB49" s="32">
        <f>[1]!MF_p_choke_atma(AB$46,fw_,d_choke,$H49,1,d_pipe,T_choke,,PVTstr_)</f>
        <v>-1</v>
      </c>
      <c r="AC49" s="32">
        <f>[1]!MF_p_choke_atma(AC$46,fw_,d_choke,$H49,1,d_pipe,T_choke,,PVTstr_)</f>
        <v>-1</v>
      </c>
      <c r="AD49" s="32">
        <f>[1]!MF_p_choke_atma(AD$46,fw_,d_choke,$H49,1,d_pipe,T_choke,,PVTstr_)</f>
        <v>-1</v>
      </c>
      <c r="AE49" s="32">
        <f>[1]!MF_p_choke_atma(AE$46,fw_,d_choke,$H49,1,d_pipe,T_choke,,PVTstr_)</f>
        <v>-1</v>
      </c>
      <c r="AF49" s="32">
        <f>[1]!MF_p_choke_atma(AF$46,fw_,d_choke,$H49,1,d_pipe,T_choke,,PVTstr_)</f>
        <v>-1</v>
      </c>
      <c r="AG49" s="32">
        <f>[1]!MF_p_choke_atma(AG$46,fw_,d_choke,$H49,1,d_pipe,T_choke,,PVTstr_)</f>
        <v>-1</v>
      </c>
      <c r="AH49" s="32">
        <f>[1]!MF_p_choke_atma(AH$46,fw_,d_choke,$H49,1,d_pipe,T_choke,,PVTstr_)</f>
        <v>-1</v>
      </c>
      <c r="AI49" s="32">
        <f>[1]!MF_p_choke_atma(AI$46,fw_,d_choke,$H49,1,d_pipe,T_choke,,PVTstr_)</f>
        <v>-1</v>
      </c>
      <c r="AJ49" s="32">
        <f>[1]!MF_p_choke_atma(AJ$46,fw_,d_choke,$H49,1,d_pipe,T_choke,,PVTstr_)</f>
        <v>-1</v>
      </c>
      <c r="AK49" s="32">
        <f>[1]!MF_p_choke_atma(AK$46,fw_,d_choke,$H49,1,d_pipe,T_choke,,PVTstr_)</f>
        <v>-1</v>
      </c>
      <c r="AL49" s="32">
        <f>[1]!MF_p_choke_atma(AL$46,fw_,d_choke,$H49,1,d_pipe,T_choke,,PVTstr_)</f>
        <v>-1</v>
      </c>
      <c r="AM49" s="32">
        <f>[1]!MF_p_choke_atma(AM$46,fw_,d_choke,$H49,1,d_pipe,T_choke,,PVTstr_)</f>
        <v>-1</v>
      </c>
      <c r="AN49" s="32">
        <f>[1]!MF_p_choke_atma(AN$46,fw_,d_choke,$H49,1,d_pipe,T_choke,,PVTstr_)</f>
        <v>-1</v>
      </c>
      <c r="AO49" s="32">
        <f>[1]!MF_p_choke_atma(AO$46,fw_,d_choke,$H49,1,d_pipe,T_choke,,PVTstr_)</f>
        <v>-1</v>
      </c>
      <c r="AP49" s="32">
        <f>[1]!MF_p_choke_atma(AP$46,fw_,d_choke,$H49,1,d_pipe,T_choke,,PVTstr_)</f>
        <v>-1</v>
      </c>
      <c r="AQ49" s="32">
        <f>[1]!MF_p_choke_atma(AQ$46,fw_,d_choke,$H49,1,d_pipe,T_choke,,PVTstr_)</f>
        <v>-1</v>
      </c>
      <c r="AR49" s="32">
        <f>[1]!MF_p_choke_atma(AR$46,fw_,d_choke,$H49,1,d_pipe,T_choke,,PVTstr_)</f>
        <v>-1</v>
      </c>
    </row>
    <row r="50" spans="8:44" x14ac:dyDescent="0.2">
      <c r="H50" s="29">
        <v>25</v>
      </c>
      <c r="I50" s="32">
        <f>[1]!MF_p_choke_atma(I$46,fw_,d_choke,$H50,1,d_pipe,T_choke,,PVTstr_)</f>
        <v>25</v>
      </c>
      <c r="J50" s="32">
        <f>[1]!MF_p_choke_atma(J$46,fw_,d_choke,$H50,1,d_pipe,T_choke,,PVTstr_)</f>
        <v>24.9053955078125</v>
      </c>
      <c r="K50" s="32">
        <f>[1]!MF_p_choke_atma(K$46,fw_,d_choke,$H50,1,d_pipe,T_choke,,PVTstr_)</f>
        <v>24.666595458984375</v>
      </c>
      <c r="L50" s="32">
        <f>[1]!MF_p_choke_atma(L$46,fw_,d_choke,$H50,1,d_pipe,T_choke,,PVTstr_)</f>
        <v>24.47509765625</v>
      </c>
      <c r="M50" s="32">
        <f>[1]!MF_p_choke_atma(M$46,fw_,d_choke,$H50,1,d_pipe,T_choke,,PVTstr_)</f>
        <v>24.310302734375</v>
      </c>
      <c r="N50" s="32">
        <f>[1]!MF_p_choke_atma(N$46,fw_,d_choke,$H50,1,d_pipe,T_choke,,PVTstr_)</f>
        <v>24.1973876953125</v>
      </c>
      <c r="O50" s="32">
        <f>[1]!MF_p_choke_atma(O$46,fw_,d_choke,$H50,1,d_pipe,T_choke,,PVTstr_)</f>
        <v>24.1607666015625</v>
      </c>
      <c r="P50" s="32">
        <f>[1]!MF_p_choke_atma(P$46,fw_,d_choke,$H50,1,d_pipe,T_choke,,PVTstr_)</f>
        <v>24.15771484375</v>
      </c>
      <c r="Q50" s="32">
        <f>[1]!MF_p_choke_atma(Q$46,fw_,d_choke,$H50,1,d_pipe,T_choke,,PVTstr_)</f>
        <v>23.760986328125</v>
      </c>
      <c r="R50" s="32">
        <f>[1]!MF_p_choke_atma(R$46,fw_,d_choke,$H50,1,d_pipe,T_choke,,PVTstr_)</f>
        <v>23.49853515625</v>
      </c>
      <c r="S50" s="32">
        <f>[1]!MF_p_choke_atma(S$46,fw_,d_choke,$H50,1,d_pipe,T_choke,,PVTstr_)</f>
        <v>23.382568359375</v>
      </c>
      <c r="T50" s="32">
        <f>[1]!MF_p_choke_atma(T$46,fw_,d_choke,$H50,1,d_pipe,T_choke,,PVTstr_)</f>
        <v>23.2666015625</v>
      </c>
      <c r="U50" s="32">
        <f>[1]!MF_p_choke_atma(U$46,fw_,d_choke,$H50,1,d_pipe,T_choke,,PVTstr_)</f>
        <v>23.077392578125</v>
      </c>
      <c r="V50" s="32">
        <f>[1]!MF_p_choke_atma(V$46,fw_,d_choke,$H50,1,d_pipe,T_choke,,PVTstr_)</f>
        <v>22.943115234375</v>
      </c>
      <c r="W50" s="32">
        <f>[1]!MF_p_choke_atma(W$46,fw_,d_choke,$H50,1,d_pipe,T_choke,,PVTstr_)</f>
        <v>22.930908203125</v>
      </c>
      <c r="X50" s="32">
        <f>[1]!MF_p_choke_atma(X$46,fw_,d_choke,$H50,1,d_pipe,T_choke,,PVTstr_)</f>
        <v>22.265625</v>
      </c>
      <c r="Y50" s="32">
        <f>[1]!MF_p_choke_atma(Y$46,fw_,d_choke,$H50,1,d_pipe,T_choke,,PVTstr_)</f>
        <v>21.435546875</v>
      </c>
      <c r="Z50" s="32">
        <f>[1]!MF_p_choke_atma(Z$46,fw_,d_choke,$H50,1,d_pipe,T_choke,,PVTstr_)</f>
        <v>20.8984375</v>
      </c>
      <c r="AA50" s="32">
        <f>[1]!MF_p_choke_atma(AA$46,fw_,d_choke,$H50,1,d_pipe,T_choke,,PVTstr_)</f>
        <v>20.7763671875</v>
      </c>
      <c r="AB50" s="32">
        <f>[1]!MF_p_choke_atma(AB$46,fw_,d_choke,$H50,1,d_pipe,T_choke,,PVTstr_)</f>
        <v>20.7763671875</v>
      </c>
      <c r="AC50" s="32">
        <f>[1]!MF_p_choke_atma(AC$46,fw_,d_choke,$H50,1,d_pipe,T_choke,,PVTstr_)</f>
        <v>19.5556640625</v>
      </c>
      <c r="AD50" s="32">
        <f>[1]!MF_p_choke_atma(AD$46,fw_,d_choke,$H50,1,d_pipe,T_choke,,PVTstr_)</f>
        <v>17.529296875</v>
      </c>
      <c r="AE50" s="32">
        <f>[1]!MF_p_choke_atma(AE$46,fw_,d_choke,$H50,1,d_pipe,T_choke,,PVTstr_)</f>
        <v>16.552734375</v>
      </c>
      <c r="AF50" s="32">
        <f>[1]!MF_p_choke_atma(AF$46,fw_,d_choke,$H50,1,d_pipe,T_choke,,PVTstr_)</f>
        <v>14.84375</v>
      </c>
      <c r="AG50" s="32">
        <f>[1]!MF_p_choke_atma(AG$46,fw_,d_choke,$H50,1,d_pipe,T_choke,,PVTstr_)</f>
        <v>-1</v>
      </c>
      <c r="AH50" s="32">
        <f>[1]!MF_p_choke_atma(AH$46,fw_,d_choke,$H50,1,d_pipe,T_choke,,PVTstr_)</f>
        <v>-1</v>
      </c>
      <c r="AI50" s="32">
        <f>[1]!MF_p_choke_atma(AI$46,fw_,d_choke,$H50,1,d_pipe,T_choke,,PVTstr_)</f>
        <v>-1</v>
      </c>
      <c r="AJ50" s="32">
        <f>[1]!MF_p_choke_atma(AJ$46,fw_,d_choke,$H50,1,d_pipe,T_choke,,PVTstr_)</f>
        <v>-1</v>
      </c>
      <c r="AK50" s="32">
        <f>[1]!MF_p_choke_atma(AK$46,fw_,d_choke,$H50,1,d_pipe,T_choke,,PVTstr_)</f>
        <v>-1</v>
      </c>
      <c r="AL50" s="32">
        <f>[1]!MF_p_choke_atma(AL$46,fw_,d_choke,$H50,1,d_pipe,T_choke,,PVTstr_)</f>
        <v>-1</v>
      </c>
      <c r="AM50" s="32">
        <f>[1]!MF_p_choke_atma(AM$46,fw_,d_choke,$H50,1,d_pipe,T_choke,,PVTstr_)</f>
        <v>-1</v>
      </c>
      <c r="AN50" s="32">
        <f>[1]!MF_p_choke_atma(AN$46,fw_,d_choke,$H50,1,d_pipe,T_choke,,PVTstr_)</f>
        <v>-1</v>
      </c>
      <c r="AO50" s="32">
        <f>[1]!MF_p_choke_atma(AO$46,fw_,d_choke,$H50,1,d_pipe,T_choke,,PVTstr_)</f>
        <v>-1</v>
      </c>
      <c r="AP50" s="32">
        <f>[1]!MF_p_choke_atma(AP$46,fw_,d_choke,$H50,1,d_pipe,T_choke,,PVTstr_)</f>
        <v>-1</v>
      </c>
      <c r="AQ50" s="32">
        <f>[1]!MF_p_choke_atma(AQ$46,fw_,d_choke,$H50,1,d_pipe,T_choke,,PVTstr_)</f>
        <v>-1</v>
      </c>
      <c r="AR50" s="32">
        <f>[1]!MF_p_choke_atma(AR$46,fw_,d_choke,$H50,1,d_pipe,T_choke,,PVTstr_)</f>
        <v>-1</v>
      </c>
    </row>
    <row r="51" spans="8:44" x14ac:dyDescent="0.2">
      <c r="H51" s="29">
        <v>30</v>
      </c>
      <c r="I51" s="32">
        <f>[1]!MF_p_choke_atma(I$46,fw_,d_choke,$H51,1,d_pipe,T_choke,,PVTstr_)</f>
        <v>30</v>
      </c>
      <c r="J51" s="32">
        <f>[1]!MF_p_choke_atma(J$46,fw_,d_choke,$H51,1,d_pipe,T_choke,,PVTstr_)</f>
        <v>29.92034912109375</v>
      </c>
      <c r="K51" s="32">
        <f>[1]!MF_p_choke_atma(K$46,fw_,d_choke,$H51,1,d_pipe,T_choke,,PVTstr_)</f>
        <v>29.72076416015625</v>
      </c>
      <c r="L51" s="32">
        <f>[1]!MF_p_choke_atma(L$46,fw_,d_choke,$H51,1,d_pipe,T_choke,,PVTstr_)</f>
        <v>29.5623779296875</v>
      </c>
      <c r="M51" s="32">
        <f>[1]!MF_p_choke_atma(M$46,fw_,d_choke,$H51,1,d_pipe,T_choke,,PVTstr_)</f>
        <v>29.425048828125</v>
      </c>
      <c r="N51" s="32">
        <f>[1]!MF_p_choke_atma(N$46,fw_,d_choke,$H51,1,d_pipe,T_choke,,PVTstr_)</f>
        <v>29.33349609375</v>
      </c>
      <c r="O51" s="32">
        <f>[1]!MF_p_choke_atma(O$46,fw_,d_choke,$H51,1,d_pipe,T_choke,,PVTstr_)</f>
        <v>29.30419921875</v>
      </c>
      <c r="P51" s="32">
        <f>[1]!MF_p_choke_atma(P$46,fw_,d_choke,$H51,1,d_pipe,T_choke,,PVTstr_)</f>
        <v>29.3023681640625</v>
      </c>
      <c r="Q51" s="32">
        <f>[1]!MF_p_choke_atma(Q$46,fw_,d_choke,$H51,1,d_pipe,T_choke,,PVTstr_)</f>
        <v>28.978271484375</v>
      </c>
      <c r="R51" s="32">
        <f>[1]!MF_p_choke_atma(R$46,fw_,d_choke,$H51,1,d_pipe,T_choke,,PVTstr_)</f>
        <v>28.765869140625</v>
      </c>
      <c r="S51" s="32">
        <f>[1]!MF_p_choke_atma(S$46,fw_,d_choke,$H51,1,d_pipe,T_choke,,PVTstr_)</f>
        <v>28.67431640625</v>
      </c>
      <c r="T51" s="32">
        <f>[1]!MF_p_choke_atma(T$46,fw_,d_choke,$H51,1,d_pipe,T_choke,,PVTstr_)</f>
        <v>28.5791015625</v>
      </c>
      <c r="U51" s="32">
        <f>[1]!MF_p_choke_atma(U$46,fw_,d_choke,$H51,1,d_pipe,T_choke,,PVTstr_)</f>
        <v>28.4326171875</v>
      </c>
      <c r="V51" s="32">
        <f>[1]!MF_p_choke_atma(V$46,fw_,d_choke,$H51,1,d_pipe,T_choke,,PVTstr_)</f>
        <v>28.330078125</v>
      </c>
      <c r="W51" s="32">
        <f>[1]!MF_p_choke_atma(W$46,fw_,d_choke,$H51,1,d_pipe,T_choke,,PVTstr_)</f>
        <v>28.32275390625</v>
      </c>
      <c r="X51" s="32">
        <f>[1]!MF_p_choke_atma(X$46,fw_,d_choke,$H51,1,d_pipe,T_choke,,PVTstr_)</f>
        <v>27.8173828125</v>
      </c>
      <c r="Y51" s="32">
        <f>[1]!MF_p_choke_atma(Y$46,fw_,d_choke,$H51,1,d_pipe,T_choke,,PVTstr_)</f>
        <v>27.20947265625</v>
      </c>
      <c r="Z51" s="32">
        <f>[1]!MF_p_choke_atma(Z$46,fw_,d_choke,$H51,1,d_pipe,T_choke,,PVTstr_)</f>
        <v>26.8212890625</v>
      </c>
      <c r="AA51" s="32">
        <f>[1]!MF_p_choke_atma(AA$46,fw_,d_choke,$H51,1,d_pipe,T_choke,,PVTstr_)</f>
        <v>26.748046875</v>
      </c>
      <c r="AB51" s="32">
        <f>[1]!MF_p_choke_atma(AB$46,fw_,d_choke,$H51,1,d_pipe,T_choke,,PVTstr_)</f>
        <v>26.7333984375</v>
      </c>
      <c r="AC51" s="32">
        <f>[1]!MF_p_choke_atma(AC$46,fw_,d_choke,$H51,1,d_pipe,T_choke,,PVTstr_)</f>
        <v>25.95703125</v>
      </c>
      <c r="AD51" s="32">
        <f>[1]!MF_p_choke_atma(AD$46,fw_,d_choke,$H51,1,d_pipe,T_choke,,PVTstr_)</f>
        <v>24.90234375</v>
      </c>
      <c r="AE51" s="32">
        <f>[1]!MF_p_choke_atma(AE$46,fw_,d_choke,$H51,1,d_pipe,T_choke,,PVTstr_)</f>
        <v>24.55078125</v>
      </c>
      <c r="AF51" s="32">
        <f>[1]!MF_p_choke_atma(AF$46,fw_,d_choke,$H51,1,d_pipe,T_choke,,PVTstr_)</f>
        <v>24.140625</v>
      </c>
      <c r="AG51" s="32">
        <f>[1]!MF_p_choke_atma(AG$46,fw_,d_choke,$H51,1,d_pipe,T_choke,,PVTstr_)</f>
        <v>24.08203125</v>
      </c>
      <c r="AH51" s="32">
        <f>[1]!MF_p_choke_atma(AH$46,fw_,d_choke,$H51,1,d_pipe,T_choke,,PVTstr_)</f>
        <v>22.79296875</v>
      </c>
      <c r="AI51" s="32">
        <f>[1]!MF_p_choke_atma(AI$46,fw_,d_choke,$H51,1,d_pipe,T_choke,,PVTstr_)</f>
        <v>21.85546875</v>
      </c>
      <c r="AJ51" s="32">
        <f>[1]!MF_p_choke_atma(AJ$46,fw_,d_choke,$H51,1,d_pipe,T_choke,,PVTstr_)</f>
        <v>19.6875</v>
      </c>
      <c r="AK51" s="32">
        <f>[1]!MF_p_choke_atma(AK$46,fw_,d_choke,$H51,1,d_pipe,T_choke,,PVTstr_)</f>
        <v>16.875</v>
      </c>
      <c r="AL51" s="32">
        <f>[1]!MF_p_choke_atma(AL$46,fw_,d_choke,$H51,1,d_pipe,T_choke,,PVTstr_)</f>
        <v>-1</v>
      </c>
      <c r="AM51" s="32">
        <f>[1]!MF_p_choke_atma(AM$46,fw_,d_choke,$H51,1,d_pipe,T_choke,,PVTstr_)</f>
        <v>-1</v>
      </c>
      <c r="AN51" s="32">
        <f>[1]!MF_p_choke_atma(AN$46,fw_,d_choke,$H51,1,d_pipe,T_choke,,PVTstr_)</f>
        <v>-1</v>
      </c>
      <c r="AO51" s="32">
        <f>[1]!MF_p_choke_atma(AO$46,fw_,d_choke,$H51,1,d_pipe,T_choke,,PVTstr_)</f>
        <v>-1</v>
      </c>
      <c r="AP51" s="32">
        <f>[1]!MF_p_choke_atma(AP$46,fw_,d_choke,$H51,1,d_pipe,T_choke,,PVTstr_)</f>
        <v>-1</v>
      </c>
      <c r="AQ51" s="32">
        <f>[1]!MF_p_choke_atma(AQ$46,fw_,d_choke,$H51,1,d_pipe,T_choke,,PVTstr_)</f>
        <v>-1</v>
      </c>
      <c r="AR51" s="32">
        <f>[1]!MF_p_choke_atma(AR$46,fw_,d_choke,$H51,1,d_pipe,T_choke,,PVTstr_)</f>
        <v>-1</v>
      </c>
    </row>
    <row r="52" spans="8:44" x14ac:dyDescent="0.2">
      <c r="H52" s="29">
        <v>35</v>
      </c>
      <c r="I52" s="32">
        <f>[1]!MF_p_choke_atma(I$46,fw_,d_choke,$H52,1,d_pipe,T_choke,,PVTstr_)</f>
        <v>35</v>
      </c>
      <c r="J52" s="32">
        <f>[1]!MF_p_choke_atma(J$46,fw_,d_choke,$H52,1,d_pipe,T_choke,,PVTstr_)</f>
        <v>34.931106567382813</v>
      </c>
      <c r="K52" s="32">
        <f>[1]!MF_p_choke_atma(K$46,fw_,d_choke,$H52,1,d_pipe,T_choke,,PVTstr_)</f>
        <v>34.759674072265625</v>
      </c>
      <c r="L52" s="32">
        <f>[1]!MF_p_choke_atma(L$46,fw_,d_choke,$H52,1,d_pipe,T_choke,,PVTstr_)</f>
        <v>34.622955322265625</v>
      </c>
      <c r="M52" s="32">
        <f>[1]!MF_p_choke_atma(M$46,fw_,d_choke,$H52,1,d_pipe,T_choke,,PVTstr_)</f>
        <v>34.50653076171875</v>
      </c>
      <c r="N52" s="32">
        <f>[1]!MF_p_choke_atma(N$46,fw_,d_choke,$H52,1,d_pipe,T_choke,,PVTstr_)</f>
        <v>34.427490234375</v>
      </c>
      <c r="O52" s="32">
        <f>[1]!MF_p_choke_atma(O$46,fw_,d_choke,$H52,1,d_pipe,T_choke,,PVTstr_)</f>
        <v>34.40185546875</v>
      </c>
      <c r="P52" s="32">
        <f>[1]!MF_p_choke_atma(P$46,fw_,d_choke,$H52,1,d_pipe,T_choke,,PVTstr_)</f>
        <v>34.39971923828125</v>
      </c>
      <c r="Q52" s="32">
        <f>[1]!MF_p_choke_atma(Q$46,fw_,d_choke,$H52,1,d_pipe,T_choke,,PVTstr_)</f>
        <v>34.1241455078125</v>
      </c>
      <c r="R52" s="32">
        <f>[1]!MF_p_choke_atma(R$46,fw_,d_choke,$H52,1,d_pipe,T_choke,,PVTstr_)</f>
        <v>33.948974609375</v>
      </c>
      <c r="S52" s="32">
        <f>[1]!MF_p_choke_atma(S$46,fw_,d_choke,$H52,1,d_pipe,T_choke,,PVTstr_)</f>
        <v>33.8720703125</v>
      </c>
      <c r="T52" s="32">
        <f>[1]!MF_p_choke_atma(T$46,fw_,d_choke,$H52,1,d_pipe,T_choke,,PVTstr_)</f>
        <v>33.7908935546875</v>
      </c>
      <c r="U52" s="32">
        <f>[1]!MF_p_choke_atma(U$46,fw_,d_choke,$H52,1,d_pipe,T_choke,,PVTstr_)</f>
        <v>33.6669921875</v>
      </c>
      <c r="V52" s="32">
        <f>[1]!MF_p_choke_atma(V$46,fw_,d_choke,$H52,1,d_pipe,T_choke,,PVTstr_)</f>
        <v>33.58154296875</v>
      </c>
      <c r="W52" s="32">
        <f>[1]!MF_p_choke_atma(W$46,fw_,d_choke,$H52,1,d_pipe,T_choke,,PVTstr_)</f>
        <v>33.572998046875</v>
      </c>
      <c r="X52" s="32">
        <f>[1]!MF_p_choke_atma(X$46,fw_,d_choke,$H52,1,d_pipe,T_choke,,PVTstr_)</f>
        <v>33.154296875</v>
      </c>
      <c r="Y52" s="32">
        <f>[1]!MF_p_choke_atma(Y$46,fw_,d_choke,$H52,1,d_pipe,T_choke,,PVTstr_)</f>
        <v>32.667236328125</v>
      </c>
      <c r="Z52" s="32">
        <f>[1]!MF_p_choke_atma(Z$46,fw_,d_choke,$H52,1,d_pipe,T_choke,,PVTstr_)</f>
        <v>32.359619140625</v>
      </c>
      <c r="AA52" s="32">
        <f>[1]!MF_p_choke_atma(AA$46,fw_,d_choke,$H52,1,d_pipe,T_choke,,PVTstr_)</f>
        <v>32.2998046875</v>
      </c>
      <c r="AB52" s="32">
        <f>[1]!MF_p_choke_atma(AB$46,fw_,d_choke,$H52,1,d_pipe,T_choke,,PVTstr_)</f>
        <v>32.291259765625</v>
      </c>
      <c r="AC52" s="32">
        <f>[1]!MF_p_choke_atma(AC$46,fw_,d_choke,$H52,1,d_pipe,T_choke,,PVTstr_)</f>
        <v>31.6845703125</v>
      </c>
      <c r="AD52" s="32">
        <f>[1]!MF_p_choke_atma(AD$46,fw_,d_choke,$H52,1,d_pipe,T_choke,,PVTstr_)</f>
        <v>30.8984375</v>
      </c>
      <c r="AE52" s="32">
        <f>[1]!MF_p_choke_atma(AE$46,fw_,d_choke,$H52,1,d_pipe,T_choke,,PVTstr_)</f>
        <v>30.64208984375</v>
      </c>
      <c r="AF52" s="32">
        <f>[1]!MF_p_choke_atma(AF$46,fw_,d_choke,$H52,1,d_pipe,T_choke,,PVTstr_)</f>
        <v>30.36865234375</v>
      </c>
      <c r="AG52" s="32">
        <f>[1]!MF_p_choke_atma(AG$46,fw_,d_choke,$H52,1,d_pipe,T_choke,,PVTstr_)</f>
        <v>30.3173828125</v>
      </c>
      <c r="AH52" s="32">
        <f>[1]!MF_p_choke_atma(AH$46,fw_,d_choke,$H52,1,d_pipe,T_choke,,PVTstr_)</f>
        <v>29.47998046875</v>
      </c>
      <c r="AI52" s="32">
        <f>[1]!MF_p_choke_atma(AI$46,fw_,d_choke,$H52,1,d_pipe,T_choke,,PVTstr_)</f>
        <v>28.916015625</v>
      </c>
      <c r="AJ52" s="32">
        <f>[1]!MF_p_choke_atma(AJ$46,fw_,d_choke,$H52,1,d_pipe,T_choke,,PVTstr_)</f>
        <v>27.9248046875</v>
      </c>
      <c r="AK52" s="32">
        <f>[1]!MF_p_choke_atma(AK$46,fw_,d_choke,$H52,1,d_pipe,T_choke,,PVTstr_)</f>
        <v>27.3095703125</v>
      </c>
      <c r="AL52" s="32">
        <f>[1]!MF_p_choke_atma(AL$46,fw_,d_choke,$H52,1,d_pipe,T_choke,,PVTstr_)</f>
        <v>27.275390625</v>
      </c>
      <c r="AM52" s="32">
        <f>[1]!MF_p_choke_atma(AM$46,fw_,d_choke,$H52,1,d_pipe,T_choke,,PVTstr_)</f>
        <v>26.11328125</v>
      </c>
      <c r="AN52" s="32">
        <f>[1]!MF_p_choke_atma(AN$46,fw_,d_choke,$H52,1,d_pipe,T_choke,,PVTstr_)</f>
        <v>23.994140625</v>
      </c>
      <c r="AO52" s="32">
        <f>[1]!MF_p_choke_atma(AO$46,fw_,d_choke,$H52,1,d_pipe,T_choke,,PVTstr_)</f>
        <v>22.490234375</v>
      </c>
      <c r="AP52" s="32">
        <f>[1]!MF_p_choke_atma(AP$46,fw_,d_choke,$H52,1,d_pipe,T_choke,,PVTstr_)</f>
        <v>21.19140625</v>
      </c>
      <c r="AQ52" s="32">
        <f>[1]!MF_p_choke_atma(AQ$46,fw_,d_choke,$H52,1,d_pipe,T_choke,,PVTstr_)</f>
        <v>19.6875</v>
      </c>
      <c r="AR52" s="32">
        <f>[1]!MF_p_choke_atma(AR$46,fw_,d_choke,$H52,1,d_pipe,T_choke,,PVTstr_)</f>
        <v>-1</v>
      </c>
    </row>
    <row r="104" spans="2:26" x14ac:dyDescent="0.2">
      <c r="C104">
        <v>1.2</v>
      </c>
    </row>
    <row r="106" spans="2:26" x14ac:dyDescent="0.2">
      <c r="B106" s="35" t="s">
        <v>37</v>
      </c>
      <c r="C106" s="2">
        <v>0</v>
      </c>
      <c r="D106" s="19">
        <v>15</v>
      </c>
      <c r="E106" s="19">
        <v>28</v>
      </c>
      <c r="F106" s="19">
        <v>35</v>
      </c>
      <c r="G106" s="19">
        <v>40</v>
      </c>
      <c r="H106" s="19">
        <v>43</v>
      </c>
      <c r="I106" s="19">
        <v>43.96</v>
      </c>
      <c r="J106" s="19">
        <v>44</v>
      </c>
      <c r="K106" s="19">
        <v>53</v>
      </c>
      <c r="L106" s="19">
        <v>58</v>
      </c>
      <c r="M106" s="19">
        <v>60</v>
      </c>
      <c r="N106" s="19">
        <v>62</v>
      </c>
      <c r="O106" s="19">
        <v>64</v>
      </c>
      <c r="P106" s="19">
        <v>65</v>
      </c>
      <c r="Q106" s="19">
        <v>66</v>
      </c>
      <c r="R106" s="19">
        <v>67</v>
      </c>
      <c r="S106" s="19">
        <v>67.099999999999994</v>
      </c>
      <c r="T106" s="19">
        <v>70</v>
      </c>
      <c r="U106" s="19">
        <v>75</v>
      </c>
      <c r="V106" s="19">
        <v>78</v>
      </c>
      <c r="W106" s="19">
        <v>79.5</v>
      </c>
      <c r="X106" s="19">
        <v>80.2</v>
      </c>
      <c r="Y106" s="19">
        <v>80.400000000000006</v>
      </c>
      <c r="Z106" s="19">
        <v>80.5</v>
      </c>
    </row>
    <row r="107" spans="2:26" x14ac:dyDescent="0.2">
      <c r="B107" s="2">
        <v>15</v>
      </c>
      <c r="C107" s="17">
        <f>[1]!MF_p_choke_atma(C$106,fw_,d_choke,$B107,1,d_pipe,T_choke,,PVTstr_)</f>
        <v>15</v>
      </c>
      <c r="D107" s="17">
        <f>[1]!MF_p_choke_atma(D$106,fw_,d_choke,$B107,1,d_pipe,T_choke,,PVTstr_)</f>
        <v>14.843902587890625</v>
      </c>
      <c r="E107" s="17">
        <f>[1]!MF_p_choke_atma(E$106,fw_,d_choke,$B107,1,d_pipe,T_choke,,PVTstr_)</f>
        <v>14.43603515625</v>
      </c>
      <c r="F107" s="17">
        <f>[1]!MF_p_choke_atma(F$106,fw_,d_choke,$B107,1,d_pipe,T_choke,,PVTstr_)</f>
        <v>14.095458984375</v>
      </c>
      <c r="G107" s="17">
        <f>[1]!MF_p_choke_atma(G$106,fw_,d_choke,$B107,1,d_pipe,T_choke,,PVTstr_)</f>
        <v>13.7841796875</v>
      </c>
      <c r="H107" s="17">
        <f>[1]!MF_p_choke_atma(H$106,fw_,d_choke,$B107,1,d_pipe,T_choke,,PVTstr_)</f>
        <v>13.564453125</v>
      </c>
      <c r="I107" s="17">
        <f>[1]!MF_p_choke_atma(I$106,fw_,d_choke,$B107,1,d_pipe,T_choke,,PVTstr_)</f>
        <v>13.4912109375</v>
      </c>
      <c r="J107" s="17">
        <f>[1]!MF_p_choke_atma(J$106,fw_,d_choke,$B107,1,d_pipe,T_choke,,PVTstr_)</f>
        <v>13.4912109375</v>
      </c>
      <c r="K107" s="17">
        <f>[1]!MF_p_choke_atma(K$106,fw_,d_choke,$B107,1,d_pipe,T_choke,,PVTstr_)</f>
        <v>12.6123046875</v>
      </c>
      <c r="L107" s="17">
        <f>[1]!MF_p_choke_atma(L$106,fw_,d_choke,$B107,1,d_pipe,T_choke,,PVTstr_)</f>
        <v>11.923828125</v>
      </c>
      <c r="M107" s="17">
        <f>[1]!MF_p_choke_atma(M$106,fw_,d_choke,$B107,1,d_pipe,T_choke,,PVTstr_)</f>
        <v>11.5869140625</v>
      </c>
      <c r="N107" s="17">
        <f>[1]!MF_p_choke_atma(N$106,fw_,d_choke,$B107,1,d_pipe,T_choke,,PVTstr_)</f>
        <v>11.1767578125</v>
      </c>
      <c r="O107" s="17">
        <f>[1]!MF_p_choke_atma(O$106,fw_,d_choke,$B107,1,d_pipe,T_choke,,PVTstr_)</f>
        <v>10.6640625</v>
      </c>
      <c r="P107" s="17">
        <f>[1]!MF_p_choke_atma(P$106,fw_,d_choke,$B107,1,d_pipe,T_choke,,PVTstr_)</f>
        <v>10.3125</v>
      </c>
      <c r="Q107" s="17">
        <f>[1]!MF_p_choke_atma(Q$106,fw_,d_choke,$B107,1,d_pipe,T_choke,,PVTstr_)</f>
        <v>9.90234375</v>
      </c>
      <c r="R107" s="17">
        <f>[1]!MF_p_choke_atma(R$106,fw_,d_choke,$B107,1,d_pipe,T_choke,,PVTstr_)</f>
        <v>8.4375</v>
      </c>
      <c r="S107" s="17">
        <f>[1]!MF_p_choke_atma(S$106,fw_,d_choke,$B107,1,d_pipe,T_choke,,PVTstr_)</f>
        <v>-1</v>
      </c>
      <c r="T107" s="17">
        <f>[1]!MF_p_choke_atma(T$106,fw_,d_choke,$B107,1,d_pipe,T_choke,,PVTstr_)</f>
        <v>-1</v>
      </c>
      <c r="U107" s="17">
        <f>[1]!MF_p_choke_atma(U$106,fw_,d_choke,$B107,1,d_pipe,T_choke,,PVTstr_)</f>
        <v>-1</v>
      </c>
      <c r="V107" s="17">
        <f>[1]!MF_p_choke_atma(V$106,fw_,d_choke,$B107,1,d_pipe,T_choke,,PVTstr_)</f>
        <v>-1</v>
      </c>
      <c r="W107" s="17">
        <f>[1]!MF_p_choke_atma(W$106,fw_,d_choke,$B107,1,d_pipe,T_choke,,PVTstr_)</f>
        <v>-1</v>
      </c>
      <c r="X107" s="17">
        <f>[1]!MF_p_choke_atma(X$106,fw_,d_choke,$B107,1,d_pipe,T_choke,,PVTstr_)</f>
        <v>-1</v>
      </c>
      <c r="Y107" s="17">
        <f>[1]!MF_p_choke_atma(Y$106,fw_,d_choke,$B107,1,d_pipe,T_choke,,PVTstr_)</f>
        <v>-1</v>
      </c>
      <c r="Z107" s="17">
        <f>[1]!MF_p_choke_atma(Z$106,fw_,d_choke,$B107,1,d_pipe,T_choke,,PVTstr_)</f>
        <v>-1</v>
      </c>
    </row>
    <row r="108" spans="2:26" x14ac:dyDescent="0.2">
      <c r="B108" s="2">
        <v>15</v>
      </c>
      <c r="C108" s="17">
        <f>[1]!MF_p_choke_atma(C$106,fw_,d_choke,$B108,1,d_pipe,T_choke,cf_,PVTstr_)</f>
        <v>15</v>
      </c>
      <c r="D108" s="17">
        <f>[1]!MF_p_choke_atma(D$106,fw_,d_choke,$B108,1,d_pipe,T_choke,cf_,PVTstr_)</f>
        <v>14.8919677734375</v>
      </c>
      <c r="E108" s="17">
        <f>[1]!MF_p_choke_atma(E$106,fw_,d_choke,$B108,1,d_pipe,T_choke,cf_,PVTstr_)</f>
        <v>14.615478515625</v>
      </c>
      <c r="F108" s="17">
        <f>[1]!MF_p_choke_atma(F$106,fw_,d_choke,$B108,1,d_pipe,T_choke,cf_,PVTstr_)</f>
        <v>14.3865966796875</v>
      </c>
      <c r="G108" s="17">
        <f>[1]!MF_p_choke_atma(G$106,fw_,d_choke,$B108,1,d_pipe,T_choke,cf_,PVTstr_)</f>
        <v>14.183349609375</v>
      </c>
      <c r="H108" s="17">
        <f>[1]!MF_p_choke_atma(H$106,fw_,d_choke,$B108,1,d_pipe,T_choke,cf_,PVTstr_)</f>
        <v>14.0478515625</v>
      </c>
      <c r="I108" s="17">
        <f>[1]!MF_p_choke_atma(I$106,fw_,d_choke,$B108,1,d_pipe,T_choke,cf_,PVTstr_)</f>
        <v>14.000244140625</v>
      </c>
      <c r="J108" s="17">
        <f>[1]!MF_p_choke_atma(J$106,fw_,d_choke,$B108,1,d_pipe,T_choke,cf_,PVTstr_)</f>
        <v>13.99658203125</v>
      </c>
      <c r="K108" s="17">
        <f>[1]!MF_p_choke_atma(K$106,fw_,d_choke,$B108,1,d_pipe,T_choke,cf_,PVTstr_)</f>
        <v>13.4765625</v>
      </c>
      <c r="L108" s="17">
        <f>[1]!MF_p_choke_atma(L$106,fw_,d_choke,$B108,1,d_pipe,T_choke,cf_,PVTstr_)</f>
        <v>13.1103515625</v>
      </c>
      <c r="M108" s="17">
        <f>[1]!MF_p_choke_atma(M$106,fw_,d_choke,$B108,1,d_pipe,T_choke,cf_,PVTstr_)</f>
        <v>12.94189453125</v>
      </c>
      <c r="N108" s="17">
        <f>[1]!MF_p_choke_atma(N$106,fw_,d_choke,$B108,1,d_pipe,T_choke,cf_,PVTstr_)</f>
        <v>12.76611328125</v>
      </c>
      <c r="O108" s="17">
        <f>[1]!MF_p_choke_atma(O$106,fw_,d_choke,$B108,1,d_pipe,T_choke,cf_,PVTstr_)</f>
        <v>12.568359375</v>
      </c>
      <c r="P108" s="17">
        <f>[1]!MF_p_choke_atma(P$106,fw_,d_choke,$B108,1,d_pipe,T_choke,cf_,PVTstr_)</f>
        <v>12.4658203125</v>
      </c>
      <c r="Q108" s="17">
        <f>[1]!MF_p_choke_atma(Q$106,fw_,d_choke,$B108,1,d_pipe,T_choke,cf_,PVTstr_)</f>
        <v>12.36328125</v>
      </c>
      <c r="R108" s="17">
        <f>[1]!MF_p_choke_atma(R$106,fw_,d_choke,$B108,1,d_pipe,T_choke,cf_,PVTstr_)</f>
        <v>12.24609375</v>
      </c>
      <c r="S108" s="17">
        <f>[1]!MF_p_choke_atma(S$106,fw_,d_choke,$B108,1,d_pipe,T_choke,cf_,PVTstr_)</f>
        <v>12.2314453125</v>
      </c>
      <c r="T108" s="17">
        <f>[1]!MF_p_choke_atma(T$106,fw_,d_choke,$B108,1,d_pipe,T_choke,cf_,PVTstr_)</f>
        <v>11.865234375</v>
      </c>
      <c r="U108" s="17">
        <f>[1]!MF_p_choke_atma(U$106,fw_,d_choke,$B108,1,d_pipe,T_choke,cf_,PVTstr_)</f>
        <v>11.07421875</v>
      </c>
      <c r="V108" s="17">
        <f>[1]!MF_p_choke_atma(V$106,fw_,d_choke,$B108,1,d_pipe,T_choke,cf_,PVTstr_)</f>
        <v>10.3125</v>
      </c>
      <c r="W108" s="17">
        <f>[1]!MF_p_choke_atma(W$106,fw_,d_choke,$B108,1,d_pipe,T_choke,cf_,PVTstr_)</f>
        <v>9.7265625</v>
      </c>
      <c r="X108" s="17">
        <f>[1]!MF_p_choke_atma(X$106,fw_,d_choke,$B108,1,d_pipe,T_choke,cf_,PVTstr_)</f>
        <v>9.2578125</v>
      </c>
      <c r="Y108" s="17">
        <f>[1]!MF_p_choke_atma(Y$106,fw_,d_choke,$B108,1,d_pipe,T_choke,cf_,PVTstr_)</f>
        <v>8.4375</v>
      </c>
      <c r="Z108" s="17">
        <f>[1]!MF_p_choke_atma(Z$106,fw_,d_choke,$B108,1,d_pipe,T_choke,cf_,PVTstr_)</f>
        <v>-1</v>
      </c>
    </row>
  </sheetData>
  <mergeCells count="6">
    <mergeCell ref="B3:E3"/>
    <mergeCell ref="B4:E4"/>
    <mergeCell ref="B5:E5"/>
    <mergeCell ref="B6:E8"/>
    <mergeCell ref="I33:T33"/>
    <mergeCell ref="I45:T4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34</vt:i4>
      </vt:variant>
    </vt:vector>
  </HeadingPairs>
  <TitlesOfParts>
    <vt:vector size="35" baseType="lpstr">
      <vt:lpstr>exercise_choke</vt:lpstr>
      <vt:lpstr>exercise_choke!Bob_</vt:lpstr>
      <vt:lpstr>exercise_choke!cf_</vt:lpstr>
      <vt:lpstr>exercise_choke!d_choke</vt:lpstr>
      <vt:lpstr>exercise_choke!d_pipe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exercise_choke!input_0</vt:lpstr>
      <vt:lpstr>exercise_choke!input_1</vt:lpstr>
      <vt:lpstr>exercise_choke!input_2</vt:lpstr>
      <vt:lpstr>exercise_choke!input_3</vt:lpstr>
      <vt:lpstr>exercise_choke!input_4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exercise_choke!output_0</vt:lpstr>
      <vt:lpstr>exercise_choke!output_1</vt:lpstr>
      <vt:lpstr>exercise_choke!Pb_</vt:lpstr>
      <vt:lpstr>exercise_choke!Pbuf_</vt:lpstr>
      <vt:lpstr>exercise_choke!Plin_</vt:lpstr>
      <vt:lpstr>exercise_choke!PVT_str_wat_</vt:lpstr>
      <vt:lpstr>exercise_choke!PVTstr_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2020-04-15T19:21:43Z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