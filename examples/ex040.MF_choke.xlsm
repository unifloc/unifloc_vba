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ink/ink1.xml" ContentType="application/inkml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8616A807-D99A-4616-90F2-360E1F136449}" xr6:coauthVersionLast="45" xr6:coauthVersionMax="45" xr10:uidLastSave="{00000000-0000-0000-0000-000000000000}"/>
  <bookViews>
    <workbookView xWindow="-120" yWindow="-120" windowWidth="38640" windowHeight="21240" tabRatio="591" xr2:uid="{00000000-000D-0000-FFFF-FFFF00000000}"/>
  </bookViews>
  <sheets>
    <sheet name="exercise_choke" sheetId="120" r:id="rId1"/>
  </sheets>
  <externalReferences>
    <externalReference r:id="rId2"/>
  </externalReferences>
  <definedNames>
    <definedName name="Bob_" localSheetId="0">exercise_choke!$C$18</definedName>
    <definedName name="cf_" localSheetId="0">exercise_choke!$C$104</definedName>
    <definedName name="d_choke" localSheetId="0">exercise_choke!$C$26</definedName>
    <definedName name="d_pipe" localSheetId="0">exercise_choke!$C$25</definedName>
    <definedName name="fw_" localSheetId="0">exercise_choke!$C$22</definedName>
    <definedName name="gamma_gas_" localSheetId="0">exercise_choke!$C$13</definedName>
    <definedName name="gamma_oil_" localSheetId="0">exercise_choke!$C$11</definedName>
    <definedName name="gamma_wat_" localSheetId="0">exercise_choke!$C$12</definedName>
    <definedName name="gamma_wat_kf_" localSheetId="0">exercise_choke!$C$20</definedName>
    <definedName name="gas_only" localSheetId="0">exercise_choke!$G$25</definedName>
    <definedName name="input_0" localSheetId="0">exercise_choke!$C$11:$C$30</definedName>
    <definedName name="input_1" localSheetId="0">exercise_choke!$H$35:$H$40</definedName>
    <definedName name="input_2" localSheetId="0">exercise_choke!$I$34:$AJ$34</definedName>
    <definedName name="input_3" localSheetId="0">exercise_choke!$H$47:$H$52</definedName>
    <definedName name="input_4" localSheetId="0">exercise_choke!$I$46:$AR$46</definedName>
    <definedName name="input_Course" localSheetId="0">exercise_choke!$I$3</definedName>
    <definedName name="input_Date" localSheetId="0">exercise_choke!$I$1</definedName>
    <definedName name="input_Group" localSheetId="0">exercise_choke!$I$4</definedName>
    <definedName name="input_Notes" localSheetId="0">exercise_choke!$I$6</definedName>
    <definedName name="input_Student_Name" localSheetId="0">exercise_choke!$I$5</definedName>
    <definedName name="input_Version" localSheetId="0">exercise_choke!$I$2</definedName>
    <definedName name="muob_" localSheetId="0">exercise_choke!$C$19</definedName>
    <definedName name="output_0" localSheetId="0">exercise_choke!$I$35:$AJ$40</definedName>
    <definedName name="output_1" localSheetId="0">exercise_choke!$I$47:$AR$52</definedName>
    <definedName name="Pb_" localSheetId="0">exercise_choke!$C$16</definedName>
    <definedName name="Pbuf_" localSheetId="0">exercise_choke!$C$28</definedName>
    <definedName name="Plin_" localSheetId="0">exercise_choke!$C$29</definedName>
    <definedName name="PVT_str_wat_" localSheetId="0">exercise_choke!$F$30</definedName>
    <definedName name="PVTstr_" localSheetId="0">exercise_choke!$F$29</definedName>
    <definedName name="qgas_free" localSheetId="0">exercise_choke!$C$30</definedName>
    <definedName name="Qliq_" localSheetId="0">exercise_choke!$C$27</definedName>
    <definedName name="Rp_" localSheetId="0">exercise_choke!$C$15</definedName>
    <definedName name="Rsb_" localSheetId="0">exercise_choke!$C$14</definedName>
    <definedName name="T_choke" localSheetId="0">exercise_choke!$C$23</definedName>
    <definedName name="T_upchoke" localSheetId="0">exercise_choke!$C$23</definedName>
    <definedName name="Tres_" localSheetId="0">exercise_choke!$C$17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0" i="120" l="1"/>
  <c r="E17" i="120"/>
  <c r="E16" i="120"/>
  <c r="E15" i="120"/>
  <c r="E14" i="120"/>
  <c r="E13" i="120"/>
  <c r="E12" i="120"/>
  <c r="E11" i="120"/>
  <c r="AL4" i="120"/>
  <c r="AL3" i="120"/>
  <c r="AL2" i="120"/>
  <c r="AL1" i="120"/>
  <c r="F29" i="120"/>
  <c r="AG51" i="120"/>
  <c r="X52" i="120"/>
  <c r="AN51" i="120"/>
  <c r="Q35" i="120"/>
  <c r="L37" i="120"/>
  <c r="AH52" i="120"/>
  <c r="W36" i="120"/>
  <c r="X36" i="120"/>
  <c r="Q40" i="120"/>
  <c r="AD38" i="120"/>
  <c r="O36" i="120"/>
  <c r="Y52" i="120"/>
  <c r="AF39" i="120"/>
  <c r="AP51" i="120"/>
  <c r="AG52" i="120"/>
  <c r="AJ36" i="120"/>
  <c r="M36" i="120"/>
  <c r="AR48" i="120"/>
  <c r="O48" i="120"/>
  <c r="Y36" i="120"/>
  <c r="U49" i="120"/>
  <c r="L50" i="120"/>
  <c r="AB49" i="120"/>
  <c r="R39" i="120"/>
  <c r="M108" i="120"/>
  <c r="K35" i="120"/>
  <c r="AH39" i="120"/>
  <c r="AA49" i="120"/>
  <c r="AI39" i="120"/>
  <c r="Z39" i="120"/>
  <c r="Z108" i="120"/>
  <c r="R38" i="120"/>
  <c r="U107" i="120"/>
  <c r="T36" i="120"/>
  <c r="V47" i="120"/>
  <c r="AG36" i="120"/>
  <c r="Z36" i="120"/>
  <c r="R37" i="120"/>
  <c r="Z38" i="120"/>
  <c r="N107" i="120"/>
  <c r="I35" i="120"/>
  <c r="O52" i="120"/>
  <c r="L49" i="120"/>
  <c r="AF36" i="120"/>
  <c r="X47" i="120"/>
  <c r="AC49" i="120"/>
  <c r="AC51" i="120"/>
  <c r="AH36" i="120"/>
  <c r="AI36" i="120"/>
  <c r="P38" i="120"/>
  <c r="AI37" i="120"/>
  <c r="AA39" i="120"/>
  <c r="Z47" i="120"/>
  <c r="AG37" i="120"/>
  <c r="AA38" i="120"/>
  <c r="AE51" i="120"/>
  <c r="W38" i="120"/>
  <c r="AL51" i="120"/>
  <c r="V39" i="120"/>
  <c r="N36" i="120"/>
  <c r="AE38" i="120"/>
  <c r="AN48" i="120"/>
  <c r="T51" i="120"/>
  <c r="AR52" i="120"/>
  <c r="O40" i="120"/>
  <c r="R49" i="120"/>
  <c r="O107" i="120"/>
  <c r="R108" i="120"/>
  <c r="V107" i="120"/>
  <c r="AG49" i="120"/>
  <c r="AQ49" i="120"/>
  <c r="AA40" i="120"/>
  <c r="M50" i="120"/>
  <c r="U40" i="120"/>
  <c r="X39" i="120"/>
  <c r="J52" i="120"/>
  <c r="X107" i="120"/>
  <c r="I36" i="120"/>
  <c r="AF38" i="120"/>
  <c r="O35" i="120"/>
  <c r="K47" i="120"/>
  <c r="S40" i="120"/>
  <c r="J51" i="120"/>
  <c r="W108" i="120"/>
  <c r="K107" i="120"/>
  <c r="AD39" i="120"/>
  <c r="AG35" i="120"/>
  <c r="M48" i="120"/>
  <c r="I47" i="120"/>
  <c r="I50" i="120"/>
  <c r="B47" i="120" a="1"/>
  <c r="S52" i="120"/>
  <c r="AA37" i="120"/>
  <c r="AK47" i="120"/>
  <c r="AA47" i="120"/>
  <c r="AH47" i="120"/>
  <c r="M37" i="120"/>
  <c r="AB37" i="120"/>
  <c r="Z51" i="120"/>
  <c r="I39" i="120"/>
  <c r="Y39" i="120"/>
  <c r="AE47" i="120"/>
  <c r="J49" i="120"/>
  <c r="AA51" i="120"/>
  <c r="H107" i="120"/>
  <c r="S51" i="120"/>
  <c r="AI38" i="120"/>
  <c r="AJ38" i="120"/>
  <c r="O37" i="120"/>
  <c r="AA36" i="120"/>
  <c r="Q108" i="120"/>
  <c r="B43" i="120" a="1"/>
  <c r="R50" i="120"/>
  <c r="J39" i="120"/>
  <c r="AD47" i="120"/>
  <c r="C108" i="120"/>
  <c r="AB39" i="120"/>
  <c r="AH50" i="120"/>
  <c r="S108" i="120"/>
  <c r="AB50" i="120"/>
  <c r="I108" i="120"/>
  <c r="L52" i="120"/>
  <c r="N40" i="120"/>
  <c r="L47" i="120"/>
  <c r="V35" i="120"/>
  <c r="Q36" i="120"/>
  <c r="U36" i="120"/>
  <c r="P51" i="120"/>
  <c r="U51" i="120"/>
  <c r="Q48" i="120"/>
  <c r="Z37" i="120"/>
  <c r="AI40" i="120"/>
  <c r="AF49" i="120"/>
  <c r="AL49" i="120"/>
  <c r="K38" i="120"/>
  <c r="J38" i="120"/>
  <c r="O39" i="120"/>
  <c r="M40" i="120"/>
  <c r="S48" i="120"/>
  <c r="V48" i="120"/>
  <c r="AK51" i="120"/>
  <c r="AB48" i="120"/>
  <c r="M51" i="120"/>
  <c r="AR47" i="120"/>
  <c r="W48" i="120"/>
  <c r="L36" i="120"/>
  <c r="AK52" i="120"/>
  <c r="AE36" i="120"/>
  <c r="AB36" i="120"/>
  <c r="D107" i="120"/>
  <c r="AB52" i="120"/>
  <c r="J108" i="120"/>
  <c r="S47" i="120"/>
  <c r="V49" i="120"/>
  <c r="F108" i="120"/>
  <c r="Q37" i="120"/>
  <c r="V38" i="120"/>
  <c r="AK49" i="120"/>
  <c r="AE50" i="120"/>
  <c r="AE39" i="120"/>
  <c r="Y49" i="120"/>
  <c r="Y108" i="120"/>
  <c r="L107" i="120"/>
  <c r="L108" i="120"/>
  <c r="V40" i="120"/>
  <c r="K39" i="120"/>
  <c r="R51" i="120"/>
  <c r="AQ48" i="120"/>
  <c r="T40" i="120"/>
  <c r="U50" i="120"/>
  <c r="L51" i="120"/>
  <c r="S36" i="120"/>
  <c r="W107" i="120"/>
  <c r="Z35" i="120"/>
  <c r="T47" i="120"/>
  <c r="S49" i="120"/>
  <c r="AM50" i="120"/>
  <c r="AN49" i="120"/>
  <c r="AC40" i="120"/>
  <c r="AC37" i="120"/>
  <c r="AA35" i="120"/>
  <c r="Z107" i="120"/>
  <c r="AO52" i="120"/>
  <c r="X37" i="120"/>
  <c r="V52" i="120"/>
  <c r="K36" i="120"/>
  <c r="R107" i="120"/>
  <c r="AJ37" i="120"/>
  <c r="AR51" i="120"/>
  <c r="W52" i="120"/>
  <c r="O47" i="120"/>
  <c r="N52" i="120"/>
  <c r="AJ47" i="120"/>
  <c r="G1" i="120"/>
  <c r="AD48" i="120"/>
  <c r="N38" i="120"/>
  <c r="AH51" i="120"/>
  <c r="P36" i="120"/>
  <c r="P107" i="120"/>
  <c r="Z52" i="120"/>
  <c r="AL50" i="120"/>
  <c r="I49" i="120"/>
  <c r="AM48" i="120"/>
  <c r="X40" i="120"/>
  <c r="J50" i="120"/>
  <c r="S107" i="120"/>
  <c r="S50" i="120"/>
  <c r="W35" i="120"/>
  <c r="AC35" i="120"/>
  <c r="L35" i="120"/>
  <c r="Z49" i="120"/>
  <c r="AF50" i="120"/>
  <c r="T38" i="120"/>
  <c r="W37" i="120"/>
  <c r="B87" i="120" a="1"/>
  <c r="N35" i="120"/>
  <c r="AC50" i="120"/>
  <c r="AE40" i="120"/>
  <c r="AK50" i="120"/>
  <c r="AB47" i="120"/>
  <c r="AE37" i="120"/>
  <c r="E108" i="120"/>
  <c r="Y40" i="120"/>
  <c r="Y48" i="120"/>
  <c r="P47" i="120"/>
  <c r="W40" i="120"/>
  <c r="K37" i="120"/>
  <c r="N47" i="120"/>
  <c r="N48" i="120"/>
  <c r="J48" i="120"/>
  <c r="Q50" i="120"/>
  <c r="AE35" i="120"/>
  <c r="O51" i="120"/>
  <c r="Q38" i="120"/>
  <c r="AJ39" i="120"/>
  <c r="Y37" i="120"/>
  <c r="L38" i="120"/>
  <c r="S37" i="120"/>
  <c r="AJ51" i="120"/>
  <c r="K108" i="120"/>
  <c r="AD50" i="120"/>
  <c r="P49" i="120"/>
  <c r="AP50" i="120"/>
  <c r="C107" i="120"/>
  <c r="AH35" i="120"/>
  <c r="T35" i="120"/>
  <c r="P108" i="120"/>
  <c r="O38" i="120"/>
  <c r="L40" i="120"/>
  <c r="M35" i="120"/>
  <c r="AC39" i="120"/>
  <c r="P40" i="120"/>
  <c r="T107" i="120"/>
  <c r="Z40" i="120"/>
  <c r="AD49" i="120"/>
  <c r="Y107" i="120"/>
  <c r="AI35" i="120"/>
  <c r="R40" i="120"/>
  <c r="K51" i="120"/>
  <c r="S35" i="120"/>
  <c r="N50" i="120"/>
  <c r="AI51" i="120"/>
  <c r="AN50" i="120"/>
  <c r="AO47" i="120"/>
  <c r="R36" i="120"/>
  <c r="Q47" i="120"/>
  <c r="AA50" i="120"/>
  <c r="AO49" i="120"/>
  <c r="AJ50" i="120"/>
  <c r="J37" i="120"/>
  <c r="AC36" i="120"/>
  <c r="P37" i="120"/>
  <c r="N51" i="120"/>
  <c r="AM51" i="120"/>
  <c r="L48" i="120"/>
  <c r="N37" i="120"/>
  <c r="M38" i="120"/>
  <c r="U37" i="120"/>
  <c r="D108" i="120"/>
  <c r="Q51" i="120"/>
  <c r="T48" i="120"/>
  <c r="AI48" i="120"/>
  <c r="AM47" i="120"/>
  <c r="U108" i="120"/>
  <c r="I38" i="120"/>
  <c r="X38" i="120"/>
  <c r="K50" i="120"/>
  <c r="B35" i="120" a="1"/>
  <c r="R47" i="120"/>
  <c r="Q49" i="120"/>
  <c r="AH40" i="120"/>
  <c r="J35" i="120"/>
  <c r="AL48" i="120"/>
  <c r="B39" i="120" a="1"/>
  <c r="G108" i="120"/>
  <c r="AR49" i="120"/>
  <c r="W50" i="120"/>
  <c r="AB38" i="120"/>
  <c r="R35" i="120"/>
  <c r="I44" i="120"/>
  <c r="AE49" i="120"/>
  <c r="J47" i="120"/>
  <c r="Y50" i="120"/>
  <c r="X51" i="120"/>
  <c r="M107" i="120"/>
  <c r="AM49" i="120"/>
  <c r="Y51" i="120"/>
  <c r="AC52" i="120"/>
  <c r="AO50" i="120"/>
  <c r="AA48" i="120"/>
  <c r="X35" i="120"/>
  <c r="I37" i="120"/>
  <c r="U48" i="120"/>
  <c r="U39" i="120"/>
  <c r="P50" i="120"/>
  <c r="AF47" i="120"/>
  <c r="K48" i="120"/>
  <c r="AB35" i="120"/>
  <c r="AP52" i="120"/>
  <c r="P35" i="120"/>
  <c r="I48" i="120"/>
  <c r="AJ48" i="120"/>
  <c r="P48" i="120"/>
  <c r="AP48" i="120"/>
  <c r="U47" i="120"/>
  <c r="T52" i="120"/>
  <c r="AI52" i="120"/>
  <c r="AN52" i="120"/>
  <c r="R48" i="120"/>
  <c r="AF48" i="120"/>
  <c r="K49" i="120"/>
  <c r="X50" i="120"/>
  <c r="AQ50" i="120"/>
  <c r="S39" i="120"/>
  <c r="Z50" i="120"/>
  <c r="AG38" i="120"/>
  <c r="T39" i="120"/>
  <c r="AL52" i="120"/>
  <c r="AH37" i="120"/>
  <c r="AM52" i="120"/>
  <c r="N108" i="120"/>
  <c r="AD35" i="120"/>
  <c r="O49" i="120"/>
  <c r="V51" i="120"/>
  <c r="I51" i="120"/>
  <c r="P39" i="120"/>
  <c r="AC47" i="120"/>
  <c r="F107" i="120"/>
  <c r="M47" i="120"/>
  <c r="AC38" i="120"/>
  <c r="O50" i="120"/>
  <c r="AF51" i="120"/>
  <c r="K52" i="120"/>
  <c r="AF40" i="120"/>
  <c r="AJ49" i="120"/>
  <c r="X108" i="120"/>
  <c r="I52" i="120"/>
  <c r="AJ52" i="120"/>
  <c r="P52" i="120"/>
  <c r="M49" i="120"/>
  <c r="AI47" i="120"/>
  <c r="AO51" i="120"/>
  <c r="S38" i="120"/>
  <c r="Q107" i="120"/>
  <c r="AO48" i="120"/>
  <c r="AF52" i="120"/>
  <c r="E107" i="120"/>
  <c r="N49" i="120"/>
  <c r="AJ40" i="120"/>
  <c r="AH49" i="120"/>
  <c r="AE52" i="120"/>
  <c r="T49" i="120"/>
  <c r="AI49" i="120"/>
  <c r="AF37" i="120"/>
  <c r="Q39" i="120"/>
  <c r="N39" i="120"/>
  <c r="AP49" i="120"/>
  <c r="Y35" i="120"/>
  <c r="I107" i="120"/>
  <c r="AJ35" i="120"/>
  <c r="W47" i="120"/>
  <c r="R52" i="120"/>
  <c r="AC48" i="120"/>
  <c r="W39" i="120"/>
  <c r="T108" i="120"/>
  <c r="U35" i="120"/>
  <c r="AQ52" i="120"/>
  <c r="V36" i="120"/>
  <c r="Y38" i="120"/>
  <c r="AF35" i="120"/>
  <c r="J36" i="120"/>
  <c r="AG40" i="120"/>
  <c r="AQ51" i="120"/>
  <c r="X49" i="120"/>
  <c r="AA52" i="120"/>
  <c r="AB40" i="120"/>
  <c r="AG47" i="120"/>
  <c r="X48" i="120"/>
  <c r="AN47" i="120"/>
  <c r="V50" i="120"/>
  <c r="AQ47" i="120"/>
  <c r="AH48" i="120"/>
  <c r="M52" i="120"/>
  <c r="AL47" i="120"/>
  <c r="V37" i="120"/>
  <c r="AD52" i="120"/>
  <c r="U52" i="120"/>
  <c r="AD37" i="120"/>
  <c r="J107" i="120"/>
  <c r="AB51" i="120"/>
  <c r="AG48" i="120"/>
  <c r="AK48" i="120"/>
  <c r="W51" i="120"/>
  <c r="U38" i="120"/>
  <c r="G107" i="120"/>
  <c r="Y47" i="120"/>
  <c r="AH38" i="120"/>
  <c r="AG39" i="120"/>
  <c r="M39" i="120"/>
  <c r="AP47" i="120"/>
  <c r="K40" i="120"/>
  <c r="O108" i="120"/>
  <c r="J40" i="120"/>
  <c r="V108" i="120"/>
  <c r="AD40" i="120"/>
  <c r="AE48" i="120"/>
  <c r="T50" i="120"/>
  <c r="AI50" i="120"/>
  <c r="L39" i="120"/>
  <c r="AR50" i="120"/>
  <c r="AG50" i="120"/>
  <c r="Q52" i="120"/>
  <c r="Z48" i="120"/>
  <c r="W49" i="120"/>
  <c r="I40" i="120"/>
  <c r="AD36" i="120"/>
  <c r="T37" i="120"/>
  <c r="AD51" i="120"/>
  <c r="H108" i="120"/>
  <c r="B87" i="120" l="1"/>
  <c r="E47" i="120"/>
  <c r="F47" i="120"/>
  <c r="B48" i="120"/>
  <c r="C48" i="120"/>
  <c r="D48" i="120"/>
  <c r="D47" i="120"/>
  <c r="E48" i="120"/>
  <c r="F48" i="120"/>
  <c r="C47" i="120"/>
  <c r="B47" i="120"/>
  <c r="C39" i="120"/>
  <c r="D39" i="120"/>
  <c r="E39" i="120"/>
  <c r="F39" i="120"/>
  <c r="B40" i="120"/>
  <c r="C40" i="120"/>
  <c r="D40" i="120"/>
  <c r="E40" i="120"/>
  <c r="B39" i="120"/>
  <c r="F40" i="120"/>
  <c r="D43" i="120"/>
  <c r="E43" i="120"/>
  <c r="F43" i="120"/>
  <c r="B44" i="120"/>
  <c r="C44" i="120"/>
  <c r="D44" i="120"/>
  <c r="E44" i="120"/>
  <c r="F44" i="120"/>
  <c r="B43" i="120"/>
  <c r="C43" i="120"/>
  <c r="D35" i="120"/>
  <c r="E35" i="120"/>
  <c r="F35" i="120"/>
  <c r="B36" i="120"/>
  <c r="C36" i="120"/>
  <c r="D36" i="120"/>
  <c r="C35" i="120"/>
  <c r="E36" i="120"/>
  <c r="F36" i="120"/>
  <c r="B35" i="1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<sst xmlns="http://schemas.openxmlformats.org/spreadsheetml/2006/main" count="79" uniqueCount="63">
  <si>
    <t>Физико - химические свойства флюида   PVT</t>
  </si>
  <si>
    <t>м3/м3</t>
  </si>
  <si>
    <t>С</t>
  </si>
  <si>
    <t>%</t>
  </si>
  <si>
    <t>сП</t>
  </si>
  <si>
    <t>атмa</t>
  </si>
  <si>
    <t>МПа</t>
  </si>
  <si>
    <t>Ф</t>
  </si>
  <si>
    <t>Дебит жидкости</t>
  </si>
  <si>
    <t>Параметры потока флюида</t>
  </si>
  <si>
    <t xml:space="preserve">графики для расчета потока через ограничение - штуцер </t>
  </si>
  <si>
    <t>Конструкция</t>
  </si>
  <si>
    <t>мм</t>
  </si>
  <si>
    <t>Рвых</t>
  </si>
  <si>
    <t>Упражнения по работе с макросами Unifloc VBA</t>
  </si>
  <si>
    <t>версия</t>
  </si>
  <si>
    <t>PVT строка</t>
  </si>
  <si>
    <t>м3/сут</t>
  </si>
  <si>
    <t>атм</t>
  </si>
  <si>
    <t>Рассчитать линейное давление</t>
  </si>
  <si>
    <t>Рассчитать буферное давление</t>
  </si>
  <si>
    <t>Рассчитать подстроечный параметр</t>
  </si>
  <si>
    <t>Рассчитать дебит через штуцер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</si>
  <si>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</si>
  <si>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</si>
  <si>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</si>
  <si>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</si>
  <si>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</si>
  <si>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</si>
  <si>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</si>
  <si>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</si>
  <si>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</si>
  <si>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</si>
  <si>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</si>
  <si>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</si>
  <si>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</si>
  <si>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пример расчета характеристик штуцера</t>
  </si>
  <si>
    <t>Рвх</t>
  </si>
  <si>
    <t>qmax</t>
  </si>
  <si>
    <t>T</t>
  </si>
  <si>
    <r>
      <rPr>
        <sz val="10"/>
        <rFont val="Arial Cyr"/>
      </rPr>
      <t>d</t>
    </r>
    <r>
      <rPr>
        <vertAlign val="subscript"/>
        <sz val="10"/>
        <rFont val="Arial Cyr"/>
      </rPr>
      <t>tub</t>
    </r>
  </si>
  <si>
    <r>
      <t>d</t>
    </r>
    <r>
      <rPr>
        <vertAlign val="subscript"/>
        <sz val="10"/>
        <rFont val="Arial Cyr"/>
      </rPr>
      <t>choke</t>
    </r>
  </si>
  <si>
    <r>
      <t>P</t>
    </r>
    <r>
      <rPr>
        <vertAlign val="subscript"/>
        <sz val="10"/>
        <rFont val="Arial Cyr"/>
      </rPr>
      <t>line</t>
    </r>
  </si>
  <si>
    <r>
      <t>P</t>
    </r>
    <r>
      <rPr>
        <vertAlign val="subscript"/>
        <sz val="10"/>
        <rFont val="Arial Cyr"/>
      </rPr>
      <t>buf</t>
    </r>
  </si>
  <si>
    <r>
      <t>Q</t>
    </r>
    <r>
      <rPr>
        <vertAlign val="subscript"/>
        <sz val="10"/>
        <rFont val="Arial Cyr"/>
      </rPr>
      <t>liq</t>
    </r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</si>
  <si>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</si>
  <si>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</si>
  <si>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</si>
  <si>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</si>
  <si>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</si>
  <si>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</si>
  <si>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</si>
  <si>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</si>
  <si>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</si>
  <si>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</si>
  <si>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</si>
  <si>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</si>
  <si>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</si>
  <si>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</si>
  <si>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штуцере</t>
  </si>
  <si>
    <t>https://neutrium.net/wp-content/uploads/2015/01/Choked-Flow1.png</t>
  </si>
  <si>
    <r>
      <t>Q</t>
    </r>
    <r>
      <rPr>
        <vertAlign val="subscript"/>
        <sz val="11"/>
        <color theme="1"/>
        <rFont val="Calibri"/>
        <family val="2"/>
        <charset val="204"/>
      </rPr>
      <t>gas_free</t>
    </r>
  </si>
  <si>
    <t>gas_only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</si>
</sst>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0.0"/>
  </numFmts>
  <fonts count="18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bscript"/>
      <sz val="10"/>
      <name val="Arial Cyr"/>
    </font>
    <font>
      <sz val="10"/>
      <name val="Arial Cyr"/>
    </font>
    <font>
      <u/>
      <sz val="10"/>
      <color theme="10"/>
      <name val="Arial Cyr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  <xf numFmtId="0" fontId="17" fillId="0" borderId="0" applyNumberFormat="0" applyFill="0" applyBorder="0" applyAlignment="0" applyProtection="0"/>
  </cellStyleXfs>
  <cellXfs count="63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Border="1"/>
    <xf numFmtId="0" fontId="0" fillId="0" borderId="0" xfId="0" applyFont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9" fillId="4" borderId="2" xfId="0" applyFont="1" applyFill="1" applyBorder="1" applyAlignment="1">
      <alignment horizontal="center" wrapText="1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12" fillId="4" borderId="2" xfId="0" applyFont="1" applyFill="1" applyBorder="1" applyAlignment="1">
      <alignment horizontal="center"/>
    </xf>
    <xf numFmtId="0" fontId="0" fillId="5" borderId="2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0" fontId="0" fillId="0" borderId="0" xfId="0" applyFill="1" applyBorder="1"/>
    <xf numFmtId="1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0" fillId="4" borderId="5" xfId="0" applyFill="1" applyBorder="1"/>
    <xf numFmtId="1" fontId="0" fillId="2" borderId="6" xfId="0" applyNumberFormat="1" applyFill="1" applyBorder="1" applyAlignment="1">
      <alignment horizontal="center"/>
    </xf>
    <xf numFmtId="0" fontId="0" fillId="4" borderId="0" xfId="0" applyFill="1"/>
    <xf numFmtId="0" fontId="0" fillId="4" borderId="0" xfId="0" applyFill="1" applyBorder="1" applyAlignment="1"/>
    <xf numFmtId="0" fontId="0" fillId="4" borderId="0" xfId="0" applyFill="1" applyBorder="1"/>
    <xf numFmtId="0" fontId="0" fillId="0" borderId="7" xfId="0" applyBorder="1"/>
    <xf numFmtId="165" fontId="0" fillId="6" borderId="2" xfId="0" applyNumberFormat="1" applyFill="1" applyBorder="1" applyAlignment="1">
      <alignment horizontal="center"/>
    </xf>
    <xf numFmtId="165" fontId="0" fillId="6" borderId="2" xfId="0" applyNumberFormat="1" applyFill="1" applyBorder="1" applyAlignment="1">
      <alignment horizontal="left"/>
    </xf>
    <xf numFmtId="0" fontId="0" fillId="6" borderId="2" xfId="0" applyFill="1" applyBorder="1" applyAlignment="1">
      <alignment horizontal="center"/>
    </xf>
    <xf numFmtId="2" fontId="0" fillId="6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left"/>
    </xf>
    <xf numFmtId="1" fontId="0" fillId="7" borderId="2" xfId="0" applyNumberFormat="1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1" fontId="0" fillId="7" borderId="2" xfId="0" applyNumberFormat="1" applyFill="1" applyBorder="1" applyAlignment="1">
      <alignment horizontal="left"/>
    </xf>
    <xf numFmtId="14" fontId="0" fillId="3" borderId="0" xfId="0" applyNumberFormat="1" applyFill="1" applyAlignment="1">
      <alignment horizontal="left" vertical="top"/>
    </xf>
    <xf numFmtId="0" fontId="0" fillId="3" borderId="0" xfId="0" applyFill="1"/>
    <xf numFmtId="0" fontId="0" fillId="3" borderId="0" xfId="0" applyFill="1" applyAlignment="1">
      <alignment horizontal="left" vertical="top"/>
    </xf>
    <xf numFmtId="0" fontId="9" fillId="4" borderId="2" xfId="0" applyFont="1" applyFill="1" applyBorder="1" applyAlignment="1">
      <alignment horizontal="left"/>
    </xf>
    <xf numFmtId="0" fontId="0" fillId="4" borderId="4" xfId="0" applyFill="1" applyBorder="1" applyAlignment="1">
      <alignment vertical="top"/>
    </xf>
    <xf numFmtId="0" fontId="0" fillId="4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4" borderId="6" xfId="0" applyFill="1" applyBorder="1" applyAlignment="1">
      <alignment vertical="top"/>
    </xf>
    <xf numFmtId="0" fontId="0" fillId="4" borderId="3" xfId="0" applyFill="1" applyBorder="1" applyAlignment="1">
      <alignment vertical="top"/>
    </xf>
    <xf numFmtId="0" fontId="17" fillId="0" borderId="0" xfId="9"/>
    <xf numFmtId="0" fontId="9" fillId="4" borderId="4" xfId="0" applyFont="1" applyFill="1" applyBorder="1" applyAlignment="1">
      <alignment horizontal="center" wrapText="1"/>
    </xf>
    <xf numFmtId="0" fontId="0" fillId="2" borderId="4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8" borderId="5" xfId="0" applyFill="1" applyBorder="1" applyAlignment="1">
      <alignment horizontal="left"/>
    </xf>
    <xf numFmtId="0" fontId="0" fillId="8" borderId="8" xfId="0" applyFill="1" applyBorder="1" applyAlignment="1">
      <alignment horizontal="left"/>
    </xf>
    <xf numFmtId="0" fontId="0" fillId="8" borderId="9" xfId="0" applyFill="1" applyBorder="1" applyAlignment="1">
      <alignment horizontal="left"/>
    </xf>
    <xf numFmtId="0" fontId="0" fillId="8" borderId="10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3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7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</cellXfs>
  <cellStyles count="10">
    <cellStyle name="Iau?iue_AA_1" xfId="1" xr:uid="{00000000-0005-0000-0000-000000000000}"/>
    <cellStyle name="Normal_Sheet2" xfId="6" xr:uid="{00000000-0005-0000-0000-000001000000}"/>
    <cellStyle name="Гиперссылка" xfId="9" builtinId="8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7" xr:uid="{00000000-0005-0000-0000-000006000000}"/>
    <cellStyle name="Процентный 2" xfId="8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exercise_choke!$H$47</c:f>
              <c:strCache>
                <c:ptCount val="1"/>
                <c:pt idx="0">
                  <c:v>10</c:v>
                </c:pt>
              </c:strCache>
            </c:strRef>
          </c:tx>
          <c:xVal>
            <c:numRef>
              <c:f>exercise_choke!$I$46:$AB$46</c:f>
              <c:numCache>
                <c:formatCode>0</c:formatCode>
                <c:ptCount val="20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</c:numCache>
            </c:numRef>
          </c:xVal>
          <c:yVal>
            <c:numRef>
              <c:f>exercise_choke!$I$47:$AB$47</c:f>
              <c:numCache>
                <c:formatCode>0</c:formatCode>
                <c:ptCount val="20"/>
                <c:pt idx="0">
                  <c:v>10</c:v>
                </c:pt>
                <c:pt idx="1">
                  <c:v>9.70703125</c:v>
                </c:pt>
                <c:pt idx="2">
                  <c:v>8.7713623046875</c:v>
                </c:pt>
                <c:pt idx="3">
                  <c:v>7.2998046875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26-4E67-9D72-5C00F2814E65}"/>
            </c:ext>
          </c:extLst>
        </c:ser>
        <c:ser>
          <c:idx val="0"/>
          <c:order val="1"/>
          <c:tx>
            <c:strRef>
              <c:f>exercise_choke!$H$48</c:f>
              <c:strCache>
                <c:ptCount val="1"/>
                <c:pt idx="0">
                  <c:v>15</c:v>
                </c:pt>
              </c:strCache>
            </c:strRef>
          </c:tx>
          <c:xVal>
            <c:numRef>
              <c:f>exercise_choke!$I$46:$AB$46</c:f>
              <c:numCache>
                <c:formatCode>0</c:formatCode>
                <c:ptCount val="20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</c:numCache>
            </c:numRef>
          </c:xVal>
          <c:yVal>
            <c:numRef>
              <c:f>exercise_choke!$I$48:$AB$48</c:f>
              <c:numCache>
                <c:formatCode>0</c:formatCode>
                <c:ptCount val="20"/>
                <c:pt idx="0">
                  <c:v>15</c:v>
                </c:pt>
                <c:pt idx="1">
                  <c:v>14.803791046142578</c:v>
                </c:pt>
                <c:pt idx="2">
                  <c:v>14.27215576171875</c:v>
                </c:pt>
                <c:pt idx="3">
                  <c:v>13.7933349609375</c:v>
                </c:pt>
                <c:pt idx="4">
                  <c:v>13.32733154296875</c:v>
                </c:pt>
                <c:pt idx="5">
                  <c:v>12.9730224609375</c:v>
                </c:pt>
                <c:pt idx="6">
                  <c:v>12.8448486328125</c:v>
                </c:pt>
                <c:pt idx="7">
                  <c:v>12.83843994140625</c:v>
                </c:pt>
                <c:pt idx="8">
                  <c:v>10.517578125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26-4E67-9D72-5C00F2814E65}"/>
            </c:ext>
          </c:extLst>
        </c:ser>
        <c:ser>
          <c:idx val="1"/>
          <c:order val="2"/>
          <c:tx>
            <c:strRef>
              <c:f>exercise_choke!$H$49</c:f>
              <c:strCache>
                <c:ptCount val="1"/>
                <c:pt idx="0">
                  <c:v>20</c:v>
                </c:pt>
              </c:strCache>
            </c:strRef>
          </c:tx>
          <c:xVal>
            <c:numRef>
              <c:f>exercise_choke!$I$46:$AB$46</c:f>
              <c:numCache>
                <c:formatCode>0</c:formatCode>
                <c:ptCount val="20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</c:numCache>
            </c:numRef>
          </c:xVal>
          <c:yVal>
            <c:numRef>
              <c:f>exercise_choke!$I$49:$AB$49</c:f>
              <c:numCache>
                <c:formatCode>0</c:formatCode>
                <c:ptCount val="20"/>
                <c:pt idx="0">
                  <c:v>20</c:v>
                </c:pt>
                <c:pt idx="1">
                  <c:v>19.849395751953125</c:v>
                </c:pt>
                <c:pt idx="2">
                  <c:v>19.4580078125</c:v>
                </c:pt>
                <c:pt idx="3">
                  <c:v>19.129638671875</c:v>
                </c:pt>
                <c:pt idx="4">
                  <c:v>18.83392333984375</c:v>
                </c:pt>
                <c:pt idx="5">
                  <c:v>18.6279296875</c:v>
                </c:pt>
                <c:pt idx="6">
                  <c:v>18.55712890625</c:v>
                </c:pt>
                <c:pt idx="7">
                  <c:v>18.5540771484375</c:v>
                </c:pt>
                <c:pt idx="8">
                  <c:v>17.740478515625</c:v>
                </c:pt>
                <c:pt idx="9">
                  <c:v>17.13134765625</c:v>
                </c:pt>
                <c:pt idx="10">
                  <c:v>16.8408203125</c:v>
                </c:pt>
                <c:pt idx="11">
                  <c:v>16.51123046875</c:v>
                </c:pt>
                <c:pt idx="12">
                  <c:v>15.91796875</c:v>
                </c:pt>
                <c:pt idx="13">
                  <c:v>15.419921875</c:v>
                </c:pt>
                <c:pt idx="14">
                  <c:v>15.36376953125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126-4E67-9D72-5C00F2814E65}"/>
            </c:ext>
          </c:extLst>
        </c:ser>
        <c:ser>
          <c:idx val="2"/>
          <c:order val="3"/>
          <c:tx>
            <c:strRef>
              <c:f>exercise_choke!$H$50</c:f>
              <c:strCache>
                <c:ptCount val="1"/>
                <c:pt idx="0">
                  <c:v>25</c:v>
                </c:pt>
              </c:strCache>
            </c:strRef>
          </c:tx>
          <c:xVal>
            <c:numRef>
              <c:f>exercise_choke!$I$46:$AW$46</c:f>
              <c:numCache>
                <c:formatCode>0</c:formatCode>
                <c:ptCount val="41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exercise_choke!$I$50:$AW$50</c:f>
              <c:numCache>
                <c:formatCode>0</c:formatCode>
                <c:ptCount val="41"/>
                <c:pt idx="0">
                  <c:v>25</c:v>
                </c:pt>
                <c:pt idx="1">
                  <c:v>24.876213073730469</c:v>
                </c:pt>
                <c:pt idx="2">
                  <c:v>24.560356140136719</c:v>
                </c:pt>
                <c:pt idx="3">
                  <c:v>24.301910400390625</c:v>
                </c:pt>
                <c:pt idx="4">
                  <c:v>24.074935913085938</c:v>
                </c:pt>
                <c:pt idx="5">
                  <c:v>23.920440673828125</c:v>
                </c:pt>
                <c:pt idx="6">
                  <c:v>23.8677978515625</c:v>
                </c:pt>
                <c:pt idx="7">
                  <c:v>23.865509033203125</c:v>
                </c:pt>
                <c:pt idx="8">
                  <c:v>23.290252685546875</c:v>
                </c:pt>
                <c:pt idx="9">
                  <c:v>22.8973388671875</c:v>
                </c:pt>
                <c:pt idx="10">
                  <c:v>22.723388671875</c:v>
                </c:pt>
                <c:pt idx="11">
                  <c:v>22.5372314453125</c:v>
                </c:pt>
                <c:pt idx="12">
                  <c:v>22.235107421875</c:v>
                </c:pt>
                <c:pt idx="13">
                  <c:v>22.015380859375</c:v>
                </c:pt>
                <c:pt idx="14">
                  <c:v>21.99249267578125</c:v>
                </c:pt>
                <c:pt idx="15">
                  <c:v>20.78857421875</c:v>
                </c:pt>
                <c:pt idx="16">
                  <c:v>18.768310546875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126-4E67-9D72-5C00F2814E65}"/>
            </c:ext>
          </c:extLst>
        </c:ser>
        <c:ser>
          <c:idx val="3"/>
          <c:order val="4"/>
          <c:tx>
            <c:strRef>
              <c:f>exercise_choke!$H$51</c:f>
              <c:strCache>
                <c:ptCount val="1"/>
                <c:pt idx="0">
                  <c:v>30</c:v>
                </c:pt>
              </c:strCache>
            </c:strRef>
          </c:tx>
          <c:xVal>
            <c:numRef>
              <c:f>exercise_choke!$I$46:$AW$46</c:f>
              <c:numCache>
                <c:formatCode>0</c:formatCode>
                <c:ptCount val="41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exercise_choke!$I$51:$AW$51</c:f>
              <c:numCache>
                <c:formatCode>0</c:formatCode>
                <c:ptCount val="41"/>
                <c:pt idx="0">
                  <c:v>30</c:v>
                </c:pt>
                <c:pt idx="1">
                  <c:v>29.893970489501953</c:v>
                </c:pt>
                <c:pt idx="2">
                  <c:v>29.625778198242188</c:v>
                </c:pt>
                <c:pt idx="3">
                  <c:v>29.409255981445313</c:v>
                </c:pt>
                <c:pt idx="4">
                  <c:v>29.221115112304688</c:v>
                </c:pt>
                <c:pt idx="5">
                  <c:v>29.094085693359375</c:v>
                </c:pt>
                <c:pt idx="6">
                  <c:v>29.051513671875</c:v>
                </c:pt>
                <c:pt idx="7">
                  <c:v>29.0496826171875</c:v>
                </c:pt>
                <c:pt idx="8">
                  <c:v>28.5882568359375</c:v>
                </c:pt>
                <c:pt idx="9">
                  <c:v>28.282470703125</c:v>
                </c:pt>
                <c:pt idx="10">
                  <c:v>28.14971923828125</c:v>
                </c:pt>
                <c:pt idx="11">
                  <c:v>28.0096435546875</c:v>
                </c:pt>
                <c:pt idx="12">
                  <c:v>27.7862548828125</c:v>
                </c:pt>
                <c:pt idx="13">
                  <c:v>27.62786865234375</c:v>
                </c:pt>
                <c:pt idx="14">
                  <c:v>27.6123046875</c:v>
                </c:pt>
                <c:pt idx="15">
                  <c:v>26.80755615234375</c:v>
                </c:pt>
                <c:pt idx="16">
                  <c:v>25.7574462890625</c:v>
                </c:pt>
                <c:pt idx="17">
                  <c:v>25.02685546875</c:v>
                </c:pt>
                <c:pt idx="18">
                  <c:v>24.86572265625</c:v>
                </c:pt>
                <c:pt idx="19">
                  <c:v>24.847412109375</c:v>
                </c:pt>
                <c:pt idx="20">
                  <c:v>22.97607421875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126-4E67-9D72-5C00F2814E65}"/>
            </c:ext>
          </c:extLst>
        </c:ser>
        <c:ser>
          <c:idx val="5"/>
          <c:order val="5"/>
          <c:tx>
            <c:strRef>
              <c:f>exercise_choke!$H$52</c:f>
              <c:strCache>
                <c:ptCount val="1"/>
                <c:pt idx="0">
                  <c:v>35</c:v>
                </c:pt>
              </c:strCache>
            </c:strRef>
          </c:tx>
          <c:xVal>
            <c:numRef>
              <c:f>exercise_choke!$I$46:$AR$46</c:f>
              <c:numCache>
                <c:formatCode>0</c:formatCode>
                <c:ptCount val="36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exercise_choke!$I$52:$AR$52</c:f>
              <c:numCache>
                <c:formatCode>0</c:formatCode>
                <c:ptCount val="36"/>
                <c:pt idx="0">
                  <c:v>35</c:v>
                </c:pt>
                <c:pt idx="1">
                  <c:v>34.906606674194336</c:v>
                </c:pt>
                <c:pt idx="2">
                  <c:v>34.671688079833984</c:v>
                </c:pt>
                <c:pt idx="3">
                  <c:v>34.483165740966797</c:v>
                </c:pt>
                <c:pt idx="4">
                  <c:v>34.3206787109375</c:v>
                </c:pt>
                <c:pt idx="5">
                  <c:v>34.211463928222656</c:v>
                </c:pt>
                <c:pt idx="6">
                  <c:v>34.174880981445313</c:v>
                </c:pt>
                <c:pt idx="7">
                  <c:v>34.17327880859375</c:v>
                </c:pt>
                <c:pt idx="8">
                  <c:v>33.781280517578125</c:v>
                </c:pt>
                <c:pt idx="9">
                  <c:v>33.524932861328125</c:v>
                </c:pt>
                <c:pt idx="10">
                  <c:v>33.414382934570313</c:v>
                </c:pt>
                <c:pt idx="11">
                  <c:v>33.299026489257813</c:v>
                </c:pt>
                <c:pt idx="12">
                  <c:v>33.1158447265625</c:v>
                </c:pt>
                <c:pt idx="13">
                  <c:v>32.9876708984375</c:v>
                </c:pt>
                <c:pt idx="14">
                  <c:v>32.974319458007813</c:v>
                </c:pt>
                <c:pt idx="15">
                  <c:v>32.337188720703125</c:v>
                </c:pt>
                <c:pt idx="16">
                  <c:v>31.5521240234375</c:v>
                </c:pt>
                <c:pt idx="17">
                  <c:v>31.043701171875</c:v>
                </c:pt>
                <c:pt idx="18">
                  <c:v>30.93475341796875</c:v>
                </c:pt>
                <c:pt idx="19">
                  <c:v>30.924072265625</c:v>
                </c:pt>
                <c:pt idx="20">
                  <c:v>29.82177734375</c:v>
                </c:pt>
                <c:pt idx="21">
                  <c:v>28.189697265625</c:v>
                </c:pt>
                <c:pt idx="22">
                  <c:v>27.56591796875</c:v>
                </c:pt>
                <c:pt idx="23">
                  <c:v>26.839599609375</c:v>
                </c:pt>
                <c:pt idx="24">
                  <c:v>26.702880859375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126-4E67-9D72-5C00F2814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  <c:max val="1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ax val="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exercise_choke!$B$107</c:f>
              <c:strCache>
                <c:ptCount val="1"/>
                <c:pt idx="0">
                  <c:v>15</c:v>
                </c:pt>
              </c:strCache>
            </c:strRef>
          </c:tx>
          <c:xVal>
            <c:numRef>
              <c:f>exercise_choke!$C$106:$V$106</c:f>
              <c:numCache>
                <c:formatCode>0</c:formatCode>
                <c:ptCount val="20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64</c:v>
                </c:pt>
                <c:pt idx="13">
                  <c:v>66</c:v>
                </c:pt>
                <c:pt idx="14">
                  <c:v>68</c:v>
                </c:pt>
                <c:pt idx="15">
                  <c:v>70</c:v>
                </c:pt>
                <c:pt idx="16">
                  <c:v>72</c:v>
                </c:pt>
                <c:pt idx="17">
                  <c:v>74</c:v>
                </c:pt>
                <c:pt idx="18">
                  <c:v>76</c:v>
                </c:pt>
                <c:pt idx="19">
                  <c:v>78</c:v>
                </c:pt>
              </c:numCache>
            </c:numRef>
          </c:xVal>
          <c:yVal>
            <c:numRef>
              <c:f>exercise_choke!$C$107:$V$107</c:f>
              <c:numCache>
                <c:formatCode>0</c:formatCode>
                <c:ptCount val="20"/>
                <c:pt idx="0">
                  <c:v>15</c:v>
                </c:pt>
                <c:pt idx="1">
                  <c:v>14.803791046142578</c:v>
                </c:pt>
                <c:pt idx="2">
                  <c:v>14.27215576171875</c:v>
                </c:pt>
                <c:pt idx="3">
                  <c:v>13.7933349609375</c:v>
                </c:pt>
                <c:pt idx="4">
                  <c:v>13.32733154296875</c:v>
                </c:pt>
                <c:pt idx="5">
                  <c:v>12.9730224609375</c:v>
                </c:pt>
                <c:pt idx="6">
                  <c:v>12.8448486328125</c:v>
                </c:pt>
                <c:pt idx="7">
                  <c:v>12.83843994140625</c:v>
                </c:pt>
                <c:pt idx="8">
                  <c:v>10.517578125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80-4FE4-914D-4D7121BE165F}"/>
            </c:ext>
          </c:extLst>
        </c:ser>
        <c:ser>
          <c:idx val="0"/>
          <c:order val="1"/>
          <c:tx>
            <c:strRef>
              <c:f>exercise_choke!$B$108</c:f>
              <c:strCache>
                <c:ptCount val="1"/>
                <c:pt idx="0">
                  <c:v>15</c:v>
                </c:pt>
              </c:strCache>
            </c:strRef>
          </c:tx>
          <c:xVal>
            <c:numRef>
              <c:f>exercise_choke!$C$106:$Z$106</c:f>
              <c:numCache>
                <c:formatCode>0</c:formatCode>
                <c:ptCount val="24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64</c:v>
                </c:pt>
                <c:pt idx="13">
                  <c:v>66</c:v>
                </c:pt>
                <c:pt idx="14">
                  <c:v>68</c:v>
                </c:pt>
                <c:pt idx="15">
                  <c:v>70</c:v>
                </c:pt>
                <c:pt idx="16">
                  <c:v>72</c:v>
                </c:pt>
                <c:pt idx="17">
                  <c:v>74</c:v>
                </c:pt>
                <c:pt idx="18">
                  <c:v>76</c:v>
                </c:pt>
                <c:pt idx="19">
                  <c:v>78</c:v>
                </c:pt>
                <c:pt idx="20">
                  <c:v>80</c:v>
                </c:pt>
                <c:pt idx="21">
                  <c:v>82</c:v>
                </c:pt>
                <c:pt idx="22">
                  <c:v>84</c:v>
                </c:pt>
                <c:pt idx="23">
                  <c:v>86</c:v>
                </c:pt>
              </c:numCache>
            </c:numRef>
          </c:xVal>
          <c:yVal>
            <c:numRef>
              <c:f>exercise_choke!$C$108:$Z$108</c:f>
              <c:numCache>
                <c:formatCode>0</c:formatCode>
                <c:ptCount val="24"/>
                <c:pt idx="0">
                  <c:v>15</c:v>
                </c:pt>
                <c:pt idx="1">
                  <c:v>14.838466644287109</c:v>
                </c:pt>
                <c:pt idx="2">
                  <c:v>14.408111572265625</c:v>
                </c:pt>
                <c:pt idx="3">
                  <c:v>14.03228759765625</c:v>
                </c:pt>
                <c:pt idx="4">
                  <c:v>13.67889404296875</c:v>
                </c:pt>
                <c:pt idx="5">
                  <c:v>13.421630859375</c:v>
                </c:pt>
                <c:pt idx="6">
                  <c:v>13.33099365234375</c:v>
                </c:pt>
                <c:pt idx="7">
                  <c:v>13.32733154296875</c:v>
                </c:pt>
                <c:pt idx="8">
                  <c:v>12.1380615234375</c:v>
                </c:pt>
                <c:pt idx="9">
                  <c:v>10.70068359375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80-4FE4-914D-4D7121BE16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exercise_choke!$H$35</c:f>
              <c:strCache>
                <c:ptCount val="1"/>
                <c:pt idx="0">
                  <c:v>1</c:v>
                </c:pt>
              </c:strCache>
            </c:strRef>
          </c:tx>
          <c:xVal>
            <c:numRef>
              <c:f>exercise_choke!$I$34:$AJ$34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exercise_choke!$I$35:$AJ$35</c:f>
              <c:numCache>
                <c:formatCode>0</c:formatCode>
                <c:ptCount val="28"/>
                <c:pt idx="0">
                  <c:v>1</c:v>
                </c:pt>
                <c:pt idx="1">
                  <c:v>1.0116004943847656</c:v>
                </c:pt>
                <c:pt idx="2">
                  <c:v>1.048126220703125</c:v>
                </c:pt>
                <c:pt idx="3">
                  <c:v>1.2255859375</c:v>
                </c:pt>
                <c:pt idx="4">
                  <c:v>2.24755859375</c:v>
                </c:pt>
                <c:pt idx="5">
                  <c:v>2.810791015625</c:v>
                </c:pt>
                <c:pt idx="6">
                  <c:v>5.6318359375</c:v>
                </c:pt>
                <c:pt idx="7">
                  <c:v>8.4599609375</c:v>
                </c:pt>
                <c:pt idx="8">
                  <c:v>11.2900390625</c:v>
                </c:pt>
                <c:pt idx="9">
                  <c:v>14.1240234375</c:v>
                </c:pt>
                <c:pt idx="10">
                  <c:v>16.9599609375</c:v>
                </c:pt>
                <c:pt idx="11">
                  <c:v>19.7939453125</c:v>
                </c:pt>
                <c:pt idx="12">
                  <c:v>22.6259765625</c:v>
                </c:pt>
                <c:pt idx="13">
                  <c:v>25.4541015625</c:v>
                </c:pt>
                <c:pt idx="14">
                  <c:v>28.2802734375</c:v>
                </c:pt>
                <c:pt idx="15">
                  <c:v>31.1005859375</c:v>
                </c:pt>
                <c:pt idx="16">
                  <c:v>33.9169921875</c:v>
                </c:pt>
                <c:pt idx="17">
                  <c:v>36.7255859375</c:v>
                </c:pt>
                <c:pt idx="18">
                  <c:v>39.5302734375</c:v>
                </c:pt>
                <c:pt idx="19">
                  <c:v>42.3271484375</c:v>
                </c:pt>
                <c:pt idx="20">
                  <c:v>45.1162109375</c:v>
                </c:pt>
                <c:pt idx="21">
                  <c:v>47.8994140625</c:v>
                </c:pt>
                <c:pt idx="22">
                  <c:v>50.6748046875</c:v>
                </c:pt>
                <c:pt idx="23">
                  <c:v>53.4443359375</c:v>
                </c:pt>
                <c:pt idx="24">
                  <c:v>56.2060546875</c:v>
                </c:pt>
                <c:pt idx="25">
                  <c:v>58.9599609375</c:v>
                </c:pt>
                <c:pt idx="26">
                  <c:v>61.7099609375</c:v>
                </c:pt>
                <c:pt idx="27">
                  <c:v>64.4521484375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28-43D2-8AEE-DD7FCF9E776F}"/>
            </c:ext>
          </c:extLst>
        </c:ser>
        <c:ser>
          <c:idx val="0"/>
          <c:order val="1"/>
          <c:tx>
            <c:strRef>
              <c:f>exercise_choke!$H$36</c:f>
              <c:strCache>
                <c:ptCount val="1"/>
                <c:pt idx="0">
                  <c:v>5</c:v>
                </c:pt>
              </c:strCache>
            </c:strRef>
          </c:tx>
          <c:xVal>
            <c:numRef>
              <c:f>exercise_choke!$I$34:$AJ$34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exercise_choke!$I$36:$AJ$36</c:f>
              <c:numCache>
                <c:formatCode>0</c:formatCode>
                <c:ptCount val="28"/>
                <c:pt idx="0">
                  <c:v>5</c:v>
                </c:pt>
                <c:pt idx="1">
                  <c:v>5.0023746490478516</c:v>
                </c:pt>
                <c:pt idx="2">
                  <c:v>5.0095129013061523</c:v>
                </c:pt>
                <c:pt idx="3">
                  <c:v>5.0382614135742188</c:v>
                </c:pt>
                <c:pt idx="4">
                  <c:v>5.1564788818359375</c:v>
                </c:pt>
                <c:pt idx="5">
                  <c:v>5.24871826171875</c:v>
                </c:pt>
                <c:pt idx="6">
                  <c:v>6.15753173828125</c:v>
                </c:pt>
                <c:pt idx="7">
                  <c:v>8.4588623046875</c:v>
                </c:pt>
                <c:pt idx="8">
                  <c:v>11.2908935546875</c:v>
                </c:pt>
                <c:pt idx="9">
                  <c:v>14.1253662109375</c:v>
                </c:pt>
                <c:pt idx="10">
                  <c:v>16.9598388671875</c:v>
                </c:pt>
                <c:pt idx="11">
                  <c:v>19.7930908203125</c:v>
                </c:pt>
                <c:pt idx="12">
                  <c:v>22.6263427734375</c:v>
                </c:pt>
                <c:pt idx="13">
                  <c:v>25.4547119140625</c:v>
                </c:pt>
                <c:pt idx="14">
                  <c:v>28.2806396484375</c:v>
                </c:pt>
                <c:pt idx="15">
                  <c:v>31.1016845703125</c:v>
                </c:pt>
                <c:pt idx="16">
                  <c:v>33.9166259765625</c:v>
                </c:pt>
                <c:pt idx="17">
                  <c:v>36.7266845703125</c:v>
                </c:pt>
                <c:pt idx="18">
                  <c:v>39.5294189453125</c:v>
                </c:pt>
                <c:pt idx="19">
                  <c:v>42.3260498046875</c:v>
                </c:pt>
                <c:pt idx="20">
                  <c:v>45.1165771484375</c:v>
                </c:pt>
                <c:pt idx="21">
                  <c:v>47.8997802734375</c:v>
                </c:pt>
                <c:pt idx="22">
                  <c:v>50.6756591796875</c:v>
                </c:pt>
                <c:pt idx="23">
                  <c:v>53.4442138671875</c:v>
                </c:pt>
                <c:pt idx="24">
                  <c:v>56.2054443359375</c:v>
                </c:pt>
                <c:pt idx="25">
                  <c:v>58.9605712890625</c:v>
                </c:pt>
                <c:pt idx="26">
                  <c:v>61.7095947265625</c:v>
                </c:pt>
                <c:pt idx="27">
                  <c:v>64.4512939453125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28-43D2-8AEE-DD7FCF9E776F}"/>
            </c:ext>
          </c:extLst>
        </c:ser>
        <c:ser>
          <c:idx val="2"/>
          <c:order val="2"/>
          <c:tx>
            <c:strRef>
              <c:f>exercise_choke!$H$37</c:f>
              <c:strCache>
                <c:ptCount val="1"/>
                <c:pt idx="0">
                  <c:v>10</c:v>
                </c:pt>
              </c:strCache>
            </c:strRef>
          </c:tx>
          <c:xVal>
            <c:numRef>
              <c:f>exercise_choke!$I$34:$AJ$34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exercise_choke!$I$37:$AJ$37</c:f>
              <c:numCache>
                <c:formatCode>0</c:formatCode>
                <c:ptCount val="28"/>
                <c:pt idx="0">
                  <c:v>10</c:v>
                </c:pt>
                <c:pt idx="1">
                  <c:v>10.001234412193298</c:v>
                </c:pt>
                <c:pt idx="2">
                  <c:v>10.004938840866089</c:v>
                </c:pt>
                <c:pt idx="3">
                  <c:v>10.019779205322266</c:v>
                </c:pt>
                <c:pt idx="4">
                  <c:v>10.079536437988281</c:v>
                </c:pt>
                <c:pt idx="5">
                  <c:v>10.124740600585938</c:v>
                </c:pt>
                <c:pt idx="6">
                  <c:v>10.515899658203125</c:v>
                </c:pt>
                <c:pt idx="7">
                  <c:v>11.22894287109375</c:v>
                </c:pt>
                <c:pt idx="8">
                  <c:v>12.3773193359375</c:v>
                </c:pt>
                <c:pt idx="9">
                  <c:v>14.1680908203125</c:v>
                </c:pt>
                <c:pt idx="10">
                  <c:v>16.9598388671875</c:v>
                </c:pt>
                <c:pt idx="11">
                  <c:v>19.7930908203125</c:v>
                </c:pt>
                <c:pt idx="12">
                  <c:v>22.6263427734375</c:v>
                </c:pt>
                <c:pt idx="13">
                  <c:v>25.4547119140625</c:v>
                </c:pt>
                <c:pt idx="14">
                  <c:v>28.2806396484375</c:v>
                </c:pt>
                <c:pt idx="15">
                  <c:v>31.1016845703125</c:v>
                </c:pt>
                <c:pt idx="16">
                  <c:v>33.9166259765625</c:v>
                </c:pt>
                <c:pt idx="17">
                  <c:v>36.7266845703125</c:v>
                </c:pt>
                <c:pt idx="18">
                  <c:v>39.5294189453125</c:v>
                </c:pt>
                <c:pt idx="19">
                  <c:v>42.3260498046875</c:v>
                </c:pt>
                <c:pt idx="20">
                  <c:v>45.1165771484375</c:v>
                </c:pt>
                <c:pt idx="21">
                  <c:v>47.8997802734375</c:v>
                </c:pt>
                <c:pt idx="22">
                  <c:v>50.6756591796875</c:v>
                </c:pt>
                <c:pt idx="23">
                  <c:v>53.4442138671875</c:v>
                </c:pt>
                <c:pt idx="24">
                  <c:v>56.2054443359375</c:v>
                </c:pt>
                <c:pt idx="25">
                  <c:v>58.9605712890625</c:v>
                </c:pt>
                <c:pt idx="26">
                  <c:v>61.7095947265625</c:v>
                </c:pt>
                <c:pt idx="27">
                  <c:v>64.4512939453125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28-43D2-8AEE-DD7FCF9E776F}"/>
            </c:ext>
          </c:extLst>
        </c:ser>
        <c:ser>
          <c:idx val="1"/>
          <c:order val="3"/>
          <c:tx>
            <c:strRef>
              <c:f>exercise_choke!$H$38</c:f>
              <c:strCache>
                <c:ptCount val="1"/>
                <c:pt idx="0">
                  <c:v>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exercise_choke!$I$34:$AJ$34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exercise_choke!$I$38:$AJ$38</c:f>
              <c:numCache>
                <c:formatCode>0</c:formatCode>
                <c:ptCount val="28"/>
                <c:pt idx="0">
                  <c:v>15</c:v>
                </c:pt>
                <c:pt idx="1">
                  <c:v>15.000852942466736</c:v>
                </c:pt>
                <c:pt idx="2">
                  <c:v>15.003411769866943</c:v>
                </c:pt>
                <c:pt idx="3">
                  <c:v>15.013654232025146</c:v>
                </c:pt>
                <c:pt idx="4">
                  <c:v>15.054731369018555</c:v>
                </c:pt>
                <c:pt idx="5">
                  <c:v>15.085659027099609</c:v>
                </c:pt>
                <c:pt idx="6">
                  <c:v>15.347442626953125</c:v>
                </c:pt>
                <c:pt idx="7">
                  <c:v>15.799942016601563</c:v>
                </c:pt>
                <c:pt idx="8">
                  <c:v>16.470108032226563</c:v>
                </c:pt>
                <c:pt idx="9">
                  <c:v>17.39959716796875</c:v>
                </c:pt>
                <c:pt idx="10">
                  <c:v>18.64837646484375</c:v>
                </c:pt>
                <c:pt idx="11">
                  <c:v>20.30548095703125</c:v>
                </c:pt>
                <c:pt idx="12">
                  <c:v>22.49542236328125</c:v>
                </c:pt>
                <c:pt idx="13">
                  <c:v>25.38665771484375</c:v>
                </c:pt>
                <c:pt idx="14">
                  <c:v>28.27972412109375</c:v>
                </c:pt>
                <c:pt idx="15">
                  <c:v>31.10137939453125</c:v>
                </c:pt>
                <c:pt idx="16">
                  <c:v>33.91754150390625</c:v>
                </c:pt>
                <c:pt idx="17">
                  <c:v>36.72637939453125</c:v>
                </c:pt>
                <c:pt idx="18">
                  <c:v>39.52972412109375</c:v>
                </c:pt>
                <c:pt idx="19">
                  <c:v>42.32574462890625</c:v>
                </c:pt>
                <c:pt idx="20">
                  <c:v>45.11627197265625</c:v>
                </c:pt>
                <c:pt idx="21">
                  <c:v>47.89947509765625</c:v>
                </c:pt>
                <c:pt idx="22">
                  <c:v>50.67535400390625</c:v>
                </c:pt>
                <c:pt idx="23">
                  <c:v>53.44390869140625</c:v>
                </c:pt>
                <c:pt idx="24">
                  <c:v>56.20513916015625</c:v>
                </c:pt>
                <c:pt idx="25">
                  <c:v>58.96087646484375</c:v>
                </c:pt>
                <c:pt idx="26">
                  <c:v>61.70928955078125</c:v>
                </c:pt>
                <c:pt idx="27">
                  <c:v>64.45220947265625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228-43D2-8AEE-DD7FCF9E776F}"/>
            </c:ext>
          </c:extLst>
        </c:ser>
        <c:ser>
          <c:idx val="5"/>
          <c:order val="4"/>
          <c:tx>
            <c:strRef>
              <c:f>exercise_choke!$H$39</c:f>
              <c:strCache>
                <c:ptCount val="1"/>
                <c:pt idx="0">
                  <c:v>20</c:v>
                </c:pt>
              </c:strCache>
            </c:strRef>
          </c:tx>
          <c:xVal>
            <c:numRef>
              <c:f>exercise_choke!$I$34:$AJ$34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exercise_choke!$I$39:$AJ$39</c:f>
              <c:numCache>
                <c:formatCode>0</c:formatCode>
                <c:ptCount val="28"/>
                <c:pt idx="0">
                  <c:v>20</c:v>
                </c:pt>
                <c:pt idx="1">
                  <c:v>20.000661313533783</c:v>
                </c:pt>
                <c:pt idx="2">
                  <c:v>20.002645254135132</c:v>
                </c:pt>
                <c:pt idx="3">
                  <c:v>20.010585784912109</c:v>
                </c:pt>
                <c:pt idx="4">
                  <c:v>20.042381286621094</c:v>
                </c:pt>
                <c:pt idx="5">
                  <c:v>20.066299438476563</c:v>
                </c:pt>
                <c:pt idx="6">
                  <c:v>20.267105102539063</c:v>
                </c:pt>
                <c:pt idx="7">
                  <c:v>20.60821533203125</c:v>
                </c:pt>
                <c:pt idx="8">
                  <c:v>21.10015869140625</c:v>
                </c:pt>
                <c:pt idx="9">
                  <c:v>21.75750732421875</c:v>
                </c:pt>
                <c:pt idx="10">
                  <c:v>22.60101318359375</c:v>
                </c:pt>
                <c:pt idx="11">
                  <c:v>23.6590576171875</c:v>
                </c:pt>
                <c:pt idx="12">
                  <c:v>24.9639892578125</c:v>
                </c:pt>
                <c:pt idx="13">
                  <c:v>26.5631103515625</c:v>
                </c:pt>
                <c:pt idx="14">
                  <c:v>28.5089111328125</c:v>
                </c:pt>
                <c:pt idx="15">
                  <c:v>30.8685302734375</c:v>
                </c:pt>
                <c:pt idx="16">
                  <c:v>33.7176513671875</c:v>
                </c:pt>
                <c:pt idx="17">
                  <c:v>36.7266845703125</c:v>
                </c:pt>
                <c:pt idx="18">
                  <c:v>39.5294189453125</c:v>
                </c:pt>
                <c:pt idx="19">
                  <c:v>42.3260498046875</c:v>
                </c:pt>
                <c:pt idx="20">
                  <c:v>45.1165771484375</c:v>
                </c:pt>
                <c:pt idx="21">
                  <c:v>47.8997802734375</c:v>
                </c:pt>
                <c:pt idx="22">
                  <c:v>50.6756591796875</c:v>
                </c:pt>
                <c:pt idx="23">
                  <c:v>53.4442138671875</c:v>
                </c:pt>
                <c:pt idx="24">
                  <c:v>56.2054443359375</c:v>
                </c:pt>
                <c:pt idx="25">
                  <c:v>58.9605712890625</c:v>
                </c:pt>
                <c:pt idx="26">
                  <c:v>61.7095947265625</c:v>
                </c:pt>
                <c:pt idx="27">
                  <c:v>64.4512939453125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228-43D2-8AEE-DD7FCF9E776F}"/>
            </c:ext>
          </c:extLst>
        </c:ser>
        <c:ser>
          <c:idx val="3"/>
          <c:order val="5"/>
          <c:tx>
            <c:strRef>
              <c:f>exercise_choke!$H$40</c:f>
              <c:strCache>
                <c:ptCount val="1"/>
                <c:pt idx="0">
                  <c:v>30</c:v>
                </c:pt>
              </c:strCache>
            </c:strRef>
          </c:tx>
          <c:xVal>
            <c:numRef>
              <c:f>exercise_choke!$I$34:$AJ$34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exercise_choke!$I$40:$AJ$40</c:f>
              <c:numCache>
                <c:formatCode>0</c:formatCode>
                <c:ptCount val="28"/>
                <c:pt idx="0">
                  <c:v>30</c:v>
                </c:pt>
                <c:pt idx="1">
                  <c:v>30.00046893954277</c:v>
                </c:pt>
                <c:pt idx="2">
                  <c:v>30.001875311136246</c:v>
                </c:pt>
                <c:pt idx="3">
                  <c:v>30.007503032684326</c:v>
                </c:pt>
                <c:pt idx="4">
                  <c:v>30.030026435852051</c:v>
                </c:pt>
                <c:pt idx="5">
                  <c:v>30.046920776367188</c:v>
                </c:pt>
                <c:pt idx="6">
                  <c:v>30.188255310058594</c:v>
                </c:pt>
                <c:pt idx="7">
                  <c:v>30.425491333007813</c:v>
                </c:pt>
                <c:pt idx="8">
                  <c:v>30.761260986328125</c:v>
                </c:pt>
                <c:pt idx="9">
                  <c:v>31.199798583984375</c:v>
                </c:pt>
                <c:pt idx="10">
                  <c:v>31.745452880859375</c:v>
                </c:pt>
                <c:pt idx="11">
                  <c:v>32.404632568359375</c:v>
                </c:pt>
                <c:pt idx="12">
                  <c:v>33.18511962890625</c:v>
                </c:pt>
                <c:pt idx="13">
                  <c:v>34.09515380859375</c:v>
                </c:pt>
                <c:pt idx="14">
                  <c:v>35.14434814453125</c:v>
                </c:pt>
                <c:pt idx="15">
                  <c:v>36.34552001953125</c:v>
                </c:pt>
                <c:pt idx="16">
                  <c:v>37.71148681640625</c:v>
                </c:pt>
                <c:pt idx="17">
                  <c:v>39.25689697265625</c:v>
                </c:pt>
                <c:pt idx="18">
                  <c:v>40.99456787109375</c:v>
                </c:pt>
                <c:pt idx="19">
                  <c:v>42.94281005859375</c:v>
                </c:pt>
                <c:pt idx="20">
                  <c:v>45.11810302734375</c:v>
                </c:pt>
                <c:pt idx="21">
                  <c:v>47.53326416015625</c:v>
                </c:pt>
                <c:pt idx="22">
                  <c:v>50.20294189453125</c:v>
                </c:pt>
                <c:pt idx="23">
                  <c:v>53.13995361328125</c:v>
                </c:pt>
                <c:pt idx="24">
                  <c:v>56.20513916015625</c:v>
                </c:pt>
                <c:pt idx="25">
                  <c:v>58.96087646484375</c:v>
                </c:pt>
                <c:pt idx="26">
                  <c:v>61.70928955078125</c:v>
                </c:pt>
                <c:pt idx="27">
                  <c:v>64.45220947265625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228-43D2-8AEE-DD7FCF9E7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3" Type="http://schemas.openxmlformats.org/officeDocument/2006/relationships/chart" Target="../charts/chart2.xml"/><Relationship Id="rId7" Type="http://schemas.openxmlformats.org/officeDocument/2006/relationships/image" Target="../media/image4.png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ustomXml" Target="../ink/ink1.xml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238125</xdr:colOff>
      <xdr:row>5</xdr:row>
      <xdr:rowOff>109743</xdr:rowOff>
    </xdr:from>
    <xdr:to>
      <xdr:col>48</xdr:col>
      <xdr:colOff>166686</xdr:colOff>
      <xdr:row>16</xdr:row>
      <xdr:rowOff>226217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3FA2B49B-5F5C-4BA1-BD0A-AAA0C5B86DEE}"/>
            </a:ext>
          </a:extLst>
        </xdr:cNvPr>
        <xdr:cNvGrpSpPr/>
      </xdr:nvGrpSpPr>
      <xdr:grpSpPr>
        <a:xfrm>
          <a:off x="15612596" y="995008"/>
          <a:ext cx="5262561" cy="2301621"/>
          <a:chOff x="16219419" y="824119"/>
          <a:chExt cx="5235640" cy="2241585"/>
        </a:xfrm>
      </xdr:grpSpPr>
      <xdr:pic>
        <xdr:nvPicPr>
          <xdr:cNvPr id="3" name="Рисунок 2">
            <a:extLst>
              <a:ext uri="{FF2B5EF4-FFF2-40B4-BE49-F238E27FC236}">
                <a16:creationId xmlns:a16="http://schemas.microsoft.com/office/drawing/2014/main" id="{D29F6E5B-A749-4F76-9036-1CB210B2CB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6219419" y="824119"/>
            <a:ext cx="5181600" cy="2241585"/>
          </a:xfrm>
          <a:prstGeom prst="rect">
            <a:avLst/>
          </a:prstGeom>
        </xdr:spPr>
      </xdr:pic>
      <xdr:sp macro="" textlink="$AL$4">
        <xdr:nvSpPr>
          <xdr:cNvPr id="4" name="TextBox 3">
            <a:extLst>
              <a:ext uri="{FF2B5EF4-FFF2-40B4-BE49-F238E27FC236}">
                <a16:creationId xmlns:a16="http://schemas.microsoft.com/office/drawing/2014/main" id="{731C0962-EAEA-496B-8F71-C42F7B21C3D8}"/>
              </a:ext>
            </a:extLst>
          </xdr:cNvPr>
          <xdr:cNvSpPr txBox="1"/>
        </xdr:nvSpPr>
        <xdr:spPr>
          <a:xfrm>
            <a:off x="17183611" y="2079857"/>
            <a:ext cx="1085051" cy="4332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fld id="{45FF6FD8-BAD0-44CF-AEFC-997364D34A00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Q = 80 m3/day</a:t>
            </a:fld>
            <a:endParaRPr lang="ru-RU" sz="1100"/>
          </a:p>
        </xdr:txBody>
      </xdr:sp>
      <xdr:sp macro="" textlink="$AL$2">
        <xdr:nvSpPr>
          <xdr:cNvPr id="5" name="TextBox 4">
            <a:extLst>
              <a:ext uri="{FF2B5EF4-FFF2-40B4-BE49-F238E27FC236}">
                <a16:creationId xmlns:a16="http://schemas.microsoft.com/office/drawing/2014/main" id="{0508F4C2-B779-4969-8838-91C4FC1A18EC}"/>
              </a:ext>
            </a:extLst>
          </xdr:cNvPr>
          <xdr:cNvSpPr txBox="1"/>
        </xdr:nvSpPr>
        <xdr:spPr>
          <a:xfrm>
            <a:off x="16282055" y="2085145"/>
            <a:ext cx="1005818" cy="235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BE629589-C801-45D0-9F9B-4A25698968FA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Pbuf = 26 atm</a:t>
            </a:fld>
            <a:endParaRPr lang="ru-RU" sz="1100"/>
          </a:p>
        </xdr:txBody>
      </xdr:sp>
      <xdr:sp macro="" textlink="$AL$3">
        <xdr:nvSpPr>
          <xdr:cNvPr id="6" name="TextBox 5">
            <a:extLst>
              <a:ext uri="{FF2B5EF4-FFF2-40B4-BE49-F238E27FC236}">
                <a16:creationId xmlns:a16="http://schemas.microsoft.com/office/drawing/2014/main" id="{45B8C902-49CF-448D-B135-6C321B60420B}"/>
              </a:ext>
            </a:extLst>
          </xdr:cNvPr>
          <xdr:cNvSpPr txBox="1"/>
        </xdr:nvSpPr>
        <xdr:spPr>
          <a:xfrm>
            <a:off x="20332250" y="2085146"/>
            <a:ext cx="1122809" cy="235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6CF60EE7-1DAD-4C9F-96CC-9584DA32B2C6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Pline = 20 atm</a:t>
            </a:fld>
            <a:endParaRPr lang="ru-RU" sz="1100"/>
          </a:p>
        </xdr:txBody>
      </xdr:sp>
      <xdr:sp macro="" textlink="$AL$1">
        <xdr:nvSpPr>
          <xdr:cNvPr id="7" name="TextBox 6">
            <a:extLst>
              <a:ext uri="{FF2B5EF4-FFF2-40B4-BE49-F238E27FC236}">
                <a16:creationId xmlns:a16="http://schemas.microsoft.com/office/drawing/2014/main" id="{9BFC706A-4B2A-4824-88CE-9635A831EE95}"/>
              </a:ext>
            </a:extLst>
          </xdr:cNvPr>
          <xdr:cNvSpPr txBox="1"/>
        </xdr:nvSpPr>
        <xdr:spPr>
          <a:xfrm>
            <a:off x="18468664" y="1789043"/>
            <a:ext cx="1390959" cy="235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34546ADC-568F-4B56-904D-9EBCA46BFF7B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dchoke = 20 mm</a:t>
            </a:fld>
            <a:endParaRPr lang="ru-RU" sz="1100"/>
          </a:p>
        </xdr:txBody>
      </xdr:sp>
    </xdr:grpSp>
    <xdr:clientData/>
  </xdr:twoCellAnchor>
  <xdr:twoCellAnchor>
    <xdr:from>
      <xdr:col>6</xdr:col>
      <xdr:colOff>404312</xdr:colOff>
      <xdr:row>0</xdr:row>
      <xdr:rowOff>59162</xdr:rowOff>
    </xdr:from>
    <xdr:to>
      <xdr:col>17</xdr:col>
      <xdr:colOff>375067</xdr:colOff>
      <xdr:row>17</xdr:row>
      <xdr:rowOff>180294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D31DD71-C8CF-4FAC-9E29-7816EF1B1D62}"/>
            </a:ext>
          </a:extLst>
        </xdr:cNvPr>
        <xdr:cNvSpPr txBox="1"/>
      </xdr:nvSpPr>
      <xdr:spPr>
        <a:xfrm>
          <a:off x="4566737" y="59162"/>
          <a:ext cx="4695155" cy="347393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Упражнение показывает расчет потока через штуцер. Расчет может проводится в нескольких вариантах. Примеры вызова приведены.</a:t>
          </a:r>
        </a:p>
        <a:p>
          <a:pPr marL="0" indent="0">
            <a:buFont typeface="Arial" panose="020B0604020202020204" pitchFamily="34" charset="0"/>
            <a:buNone/>
          </a:pP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следующие задания.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калибровочный коэффициент штуцера для заданных параметров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давления на выходе из штуцера от дебита при различных диаметрах и давлениях на входе с учетом калибровочного коэффициента. Подстройте ось дебитов вручную если необходимо.</a:t>
          </a:r>
          <a:endParaRPr lang="en-US" sz="1100" baseline="0"/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/>
            <a:t>Постройте зависимость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давления на входе в штуцер от дебита  с учетом калибровочного коэффициента. Подстройте ось дебитов вручную если необходимо </a:t>
          </a:r>
          <a:endParaRPr lang="en-US" sz="1100"/>
        </a:p>
        <a:p>
          <a:endParaRPr lang="ru-RU" sz="1100" baseline="0"/>
        </a:p>
        <a:p>
          <a:endParaRPr lang="ru-RU" sz="1100" baseline="0"/>
        </a:p>
        <a:p>
          <a:r>
            <a:rPr lang="ru-RU" sz="1100" baseline="0"/>
            <a:t>Используйте функции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MF_p_choke_atma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MF_qliq_choke_sm3day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MF_calibr_choke_fr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ru-RU" sz="1100" baseline="0"/>
        </a:p>
      </xdr:txBody>
    </xdr:sp>
    <xdr:clientData/>
  </xdr:twoCellAnchor>
  <xdr:twoCellAnchor>
    <xdr:from>
      <xdr:col>9</xdr:col>
      <xdr:colOff>118344</xdr:colOff>
      <xdr:row>54</xdr:row>
      <xdr:rowOff>82380</xdr:rowOff>
    </xdr:from>
    <xdr:to>
      <xdr:col>26</xdr:col>
      <xdr:colOff>252692</xdr:colOff>
      <xdr:row>81</xdr:row>
      <xdr:rowOff>138112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5D67BB7-BFF9-48A1-8786-794EE192C3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832402</xdr:colOff>
      <xdr:row>112</xdr:row>
      <xdr:rowOff>110986</xdr:rowOff>
    </xdr:from>
    <xdr:to>
      <xdr:col>16</xdr:col>
      <xdr:colOff>339567</xdr:colOff>
      <xdr:row>144</xdr:row>
      <xdr:rowOff>159164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B8BAFAB7-0BB3-4EE5-861E-C63D1080B1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314739</xdr:colOff>
      <xdr:row>48</xdr:row>
      <xdr:rowOff>107674</xdr:rowOff>
    </xdr:from>
    <xdr:to>
      <xdr:col>5</xdr:col>
      <xdr:colOff>165652</xdr:colOff>
      <xdr:row>53</xdr:row>
      <xdr:rowOff>16566</xdr:rowOff>
    </xdr:to>
    <xdr:sp macro="" textlink="">
      <xdr:nvSpPr>
        <xdr:cNvPr id="12" name="Выноска: стрелка вверх 11">
          <a:extLst>
            <a:ext uri="{FF2B5EF4-FFF2-40B4-BE49-F238E27FC236}">
              <a16:creationId xmlns:a16="http://schemas.microsoft.com/office/drawing/2014/main" id="{E9AECE4A-4D76-4BFF-9EBD-B5B51504DB88}"/>
            </a:ext>
          </a:extLst>
        </xdr:cNvPr>
        <xdr:cNvSpPr/>
      </xdr:nvSpPr>
      <xdr:spPr>
        <a:xfrm>
          <a:off x="924339" y="9013549"/>
          <a:ext cx="2746513" cy="718517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калибровочный коэффициент для заданных параметров</a:t>
          </a:r>
          <a:endParaRPr lang="ru-RU" sz="1100"/>
        </a:p>
      </xdr:txBody>
    </xdr:sp>
    <xdr:clientData/>
  </xdr:twoCellAnchor>
  <xdr:twoCellAnchor>
    <xdr:from>
      <xdr:col>37</xdr:col>
      <xdr:colOff>24848</xdr:colOff>
      <xdr:row>31</xdr:row>
      <xdr:rowOff>91109</xdr:rowOff>
    </xdr:from>
    <xdr:to>
      <xdr:col>45</xdr:col>
      <xdr:colOff>67991</xdr:colOff>
      <xdr:row>41</xdr:row>
      <xdr:rowOff>33880</xdr:rowOff>
    </xdr:to>
    <xdr:sp macro="" textlink="">
      <xdr:nvSpPr>
        <xdr:cNvPr id="13" name="Стрелка: влево 12">
          <a:extLst>
            <a:ext uri="{FF2B5EF4-FFF2-40B4-BE49-F238E27FC236}">
              <a16:creationId xmlns:a16="http://schemas.microsoft.com/office/drawing/2014/main" id="{738F76EB-891D-48AB-9E2A-DD4F596B723B}"/>
            </a:ext>
          </a:extLst>
        </xdr:cNvPr>
        <xdr:cNvSpPr/>
      </xdr:nvSpPr>
      <xdr:spPr>
        <a:xfrm>
          <a:off x="16531673" y="6244259"/>
          <a:ext cx="3091143" cy="1562021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30</xdr:col>
      <xdr:colOff>219488</xdr:colOff>
      <xdr:row>53</xdr:row>
      <xdr:rowOff>36235</xdr:rowOff>
    </xdr:from>
    <xdr:to>
      <xdr:col>38</xdr:col>
      <xdr:colOff>321467</xdr:colOff>
      <xdr:row>61</xdr:row>
      <xdr:rowOff>83342</xdr:rowOff>
    </xdr:to>
    <xdr:sp macro="" textlink="">
      <xdr:nvSpPr>
        <xdr:cNvPr id="14" name="Выноска: стрелка вверх 13">
          <a:extLst>
            <a:ext uri="{FF2B5EF4-FFF2-40B4-BE49-F238E27FC236}">
              <a16:creationId xmlns:a16="http://schemas.microsoft.com/office/drawing/2014/main" id="{01E8775A-04DA-40EA-B4FE-2D5C5A86FFA0}"/>
            </a:ext>
          </a:extLst>
        </xdr:cNvPr>
        <xdr:cNvSpPr/>
      </xdr:nvSpPr>
      <xdr:spPr>
        <a:xfrm>
          <a:off x="14059313" y="9751735"/>
          <a:ext cx="3149979" cy="1342507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Рассчитайте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необходимые значения в этой таблице.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Ниже автоматом должны отобразиться графики, если все сделать правильно</a:t>
          </a:r>
          <a:endParaRPr lang="ru-RU">
            <a:effectLst/>
          </a:endParaRP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5" name="Стрелка: влево 14">
          <a:extLst>
            <a:ext uri="{FF2B5EF4-FFF2-40B4-BE49-F238E27FC236}">
              <a16:creationId xmlns:a16="http://schemas.microsoft.com/office/drawing/2014/main" id="{44C88B08-DCC0-40E4-A678-90338678C36E}"/>
            </a:ext>
          </a:extLst>
        </xdr:cNvPr>
        <xdr:cNvSpPr/>
      </xdr:nvSpPr>
      <xdr:spPr>
        <a:xfrm>
          <a:off x="2976843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 editAs="oneCell">
    <xdr:from>
      <xdr:col>50</xdr:col>
      <xdr:colOff>309563</xdr:colOff>
      <xdr:row>0</xdr:row>
      <xdr:rowOff>142875</xdr:rowOff>
    </xdr:from>
    <xdr:to>
      <xdr:col>59</xdr:col>
      <xdr:colOff>395288</xdr:colOff>
      <xdr:row>20</xdr:row>
      <xdr:rowOff>50006</xdr:rowOff>
    </xdr:to>
    <xdr:pic>
      <xdr:nvPicPr>
        <xdr:cNvPr id="16" name="Рисунок 15" descr="Vena Contracta after a Restriction Orifice">
          <a:extLst>
            <a:ext uri="{FF2B5EF4-FFF2-40B4-BE49-F238E27FC236}">
              <a16:creationId xmlns:a16="http://schemas.microsoft.com/office/drawing/2014/main" id="{9ECB3B5C-A8DE-4EC6-94F5-3F2DB331FD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69388" y="142875"/>
          <a:ext cx="5343525" cy="395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51</xdr:col>
      <xdr:colOff>11907</xdr:colOff>
      <xdr:row>24</xdr:row>
      <xdr:rowOff>35720</xdr:rowOff>
    </xdr:from>
    <xdr:to>
      <xdr:col>60</xdr:col>
      <xdr:colOff>406826</xdr:colOff>
      <xdr:row>57</xdr:row>
      <xdr:rowOff>154782</xdr:rowOff>
    </xdr:to>
    <xdr:pic>
      <xdr:nvPicPr>
        <xdr:cNvPr id="17" name="Рисунок 16" descr="Choked Flow">
          <a:extLst>
            <a:ext uri="{FF2B5EF4-FFF2-40B4-BE49-F238E27FC236}">
              <a16:creationId xmlns:a16="http://schemas.microsoft.com/office/drawing/2014/main" id="{2132507A-D226-4C11-9347-0BB2208EE1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52732" y="4798220"/>
          <a:ext cx="5881319" cy="5719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38</xdr:col>
      <xdr:colOff>356231</xdr:colOff>
      <xdr:row>11</xdr:row>
      <xdr:rowOff>89602</xdr:rowOff>
    </xdr:from>
    <xdr:to>
      <xdr:col>40</xdr:col>
      <xdr:colOff>111551</xdr:colOff>
      <xdr:row>12</xdr:row>
      <xdr:rowOff>1597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8" name="Рукописный ввод 17">
              <a:extLst>
                <a:ext uri="{FF2B5EF4-FFF2-40B4-BE49-F238E27FC236}">
                  <a16:creationId xmlns:a16="http://schemas.microsoft.com/office/drawing/2014/main" id="{D0AEB788-D7B9-4987-8DF6-15AB17840CFE}"/>
                </a:ext>
              </a:extLst>
            </xdr14:cNvPr>
            <xdr14:cNvContentPartPr/>
          </xdr14:nvContentPartPr>
          <xdr14:nvPr macro=""/>
          <xdr14:xfrm>
            <a:off x="17251200" y="2066040"/>
            <a:ext cx="517320" cy="150120"/>
          </xdr14:xfrm>
        </xdr:contentPart>
      </mc:Choice>
      <mc:Fallback xmlns="">
        <xdr:pic>
          <xdr:nvPicPr>
            <xdr:cNvPr id="153" name="Рукописный ввод 152">
              <a:extLst>
                <a:ext uri="{FF2B5EF4-FFF2-40B4-BE49-F238E27FC236}">
                  <a16:creationId xmlns:a16="http://schemas.microsoft.com/office/drawing/2014/main" id="{CA2C8D5E-D33F-4A03-8EEA-F408A26B3B2A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7242560" y="2057400"/>
              <a:ext cx="534960" cy="16776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66675</xdr:colOff>
      <xdr:row>54</xdr:row>
      <xdr:rowOff>99928</xdr:rowOff>
    </xdr:from>
    <xdr:to>
      <xdr:col>9</xdr:col>
      <xdr:colOff>68917</xdr:colOff>
      <xdr:row>81</xdr:row>
      <xdr:rowOff>126207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F49F843B-3A5E-4891-9249-3C05C1DD8E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MF_calibr_choke"/>
      <definedName name="MF_calibr_choke_fast"/>
      <definedName name="MF_p_choke_atma"/>
      <definedName name="MF_q_choke_sm3day"/>
      <definedName name="PVT_encode_string"/>
      <definedName name="unf_Version"/>
    </definedNames>
    <sheetDataSet>
      <sheetData sheetId="0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5-04T08:16:46.835"/>
    </inkml:context>
    <inkml:brush xml:id="br0">
      <inkml:brushProperty name="width" value="0.05" units="cm"/>
      <inkml:brushProperty name="height" value="0.05" units="cm"/>
      <inkml:brushProperty name="color" value="#FF0066"/>
    </inkml:brush>
  </inkml:definitions>
  <inkml:trace contextRef="#ctx0" brushRef="#br0">255 5 80 0 0,'0'0'343'0'0,"0"0"11"0"0,0 0-10 0 0,0 0 1 0 0,0 0 11 0 0,0 0 13 0 0,0 0 36 0 0,-14 11 4782 0 0,10-9-4939 0 0,0 1 1 0 0,1-1 0 0 0,-1 0-1 0 0,1 1 1 0 0,0 0 0 0 0,0 0-1 0 0,0 0 1 0 0,0 0 0 0 0,1 0-1 0 0,-1 0 1 0 0,1 1-249 0 0,-22 22 881 0 0,0-1-273 0 0,2 0 0 0 0,0 1 0 0 0,-1 5-608 0 0,-21 26 252 0 0,14-14-1105 0 0,25-37 1372 0 0,-3 5-4151 0 0,7-7-955 0 0,9-11 988 0 0,-2 3 2444 0 0</inkml:trace>
  <inkml:trace contextRef="#ctx0" brushRef="#br0" timeOffset="1">452 46 116 0 0,'-7'6'514'0'0,"0"0"0"0"0,0 0 1 0 0,1 0-1 0 0,0 1 0 0 0,0 0 0 0 0,0 1 1 0 0,-2 5-515 0 0,2-5 350 0 0,-161 194 2748 0 0,167-201-3369 0 0,-14 17 68 0 0,13-10-5204 0 0,1-8 4460 0 0</inkml:trace>
  <inkml:trace contextRef="#ctx0" brushRef="#br0" timeOffset="2">620 80 188 0 0,'-13'22'773'0'0,"0"0"0"0"0,-1-1-1 0 0,-4 3-772 0 0,2-3 684 0 0,1 0 0 0 0,2 1 0 0 0,-2 5-684 0 0,-27 32-144 0 0,41-52-155 0 0,0-2-2709 0 0,1-5 2165 0 0</inkml:trace>
  <inkml:trace contextRef="#ctx0" brushRef="#br0" timeOffset="3">846 61 188 0 0,'-3'6'375'0'0,"0"1"-1"0"0,0-1 1 0 0,-1 0 0 0 0,0 0-1 0 0,0 0 1 0 0,-1 0 0 0 0,1-1-1 0 0,-1 1 1 0 0,0-1-1 0 0,-1-1 1 0 0,1 1-375 0 0,-14 14 823 0 0,1 0 1 0 0,1 1-1 0 0,0 3-823 0 0,2-4 561 0 0,0 0-1 0 0,-1-1 1 0 0,-12 9-561 0 0,26-25-167 0 0,0 0 1 0 0,0 0 0 0 0,0 0-1 0 0,0 1 1 0 0,0-1 0 0 0,1 1-1 0 0,-1-1 1 0 0,1 1 0 0 0,0-1-1 0 0,0 1 1 0 0,0 0 0 0 0,0 0-1 0 0,0 0 1 0 0,0 0 0 0 0,1-1 0 0 0,-1 1-1 0 0,1 2 167 0 0,0-4-1060 0 0,13-8-2464 0 0,-4 3 2535 0 0</inkml:trace>
  <inkml:trace contextRef="#ctx0" brushRef="#br0" timeOffset="4">1065 76 592 0 0,'-36'36'2652'0'0,"10"-12"-1656"0"0,2 1 0 0 0,1 0 0 0 0,1 2 1 0 0,1 1-1 0 0,1 0 0 0 0,1 4-996 0 0,18-30-192 0 0,-10 21-100 0 0,8-13-1049 0 0,6-8-2062 0 0,4-9 967 0 0,-1 3 1359 0 0</inkml:trace>
  <inkml:trace contextRef="#ctx0" brushRef="#br0" timeOffset="5">1342 1 572 0 0,'-116'143'4885'0'0,"92"-116"-4182"0"0,1 1 0 0 0,2 1 0 0 0,-14 24-703 0 0,29-42-557 0 0,-1-2 0 0 0,0 1 0 0 0,0-1 0 0 0,-9 8 557 0 0,15-16-971 0 0,1-1-138 0 0,7-3-1114 0 0,1-1 1252 0 0</inkml:trace>
  <inkml:trace contextRef="#ctx0" brushRef="#br0" timeOffset="6">1436 106 168 0 0,'-57'104'6461'0'0,"19"-41"-4030"0"0,14-23-1163 0 0,-24 30-1268 0 0,31-46-1721 0 0,12-14-4629 0 0,5-10 4877 0 0</inkml:trace>
</inkml: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neutrium.net/wp-content/uploads/2015/01/Choked-Flow1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73FD2-B877-4EE3-9D31-2AA865ABB49B}">
  <sheetPr codeName="Worksheet_Choke2">
    <outlinePr summaryBelow="0"/>
  </sheetPr>
  <dimension ref="A1:AZ108"/>
  <sheetViews>
    <sheetView tabSelected="1" zoomScale="85" zoomScaleNormal="85" workbookViewId="0">
      <selection activeCell="W15" sqref="W15"/>
    </sheetView>
  </sheetViews>
  <sheetFormatPr defaultRowHeight="12.75" x14ac:dyDescent="0.2"/>
  <cols>
    <col min="2" max="2" width="10" customWidth="1"/>
    <col min="3" max="3" width="12.28515625" customWidth="1"/>
    <col min="4" max="4" width="9.85546875" customWidth="1"/>
    <col min="5" max="5" width="11.28515625" customWidth="1"/>
    <col min="6" max="6" width="9.85546875" customWidth="1"/>
    <col min="7" max="7" width="10.28515625" customWidth="1"/>
    <col min="8" max="8" width="8.85546875" customWidth="1"/>
    <col min="9" max="9" width="6" customWidth="1"/>
    <col min="10" max="51" width="5.7109375" customWidth="1"/>
  </cols>
  <sheetData>
    <row r="1" spans="1:38" x14ac:dyDescent="0.2">
      <c r="A1" s="1" t="s">
        <v>14</v>
      </c>
      <c r="F1" t="s">
        <v>15</v>
      </c>
      <c r="G1" t="str">
        <f>[1]!unf_Version()</f>
        <v>7.25</v>
      </c>
      <c r="H1" t="s">
        <v>45</v>
      </c>
      <c r="I1" s="35">
        <v>44026</v>
      </c>
      <c r="J1" s="36"/>
      <c r="K1" s="36"/>
      <c r="L1" s="36"/>
      <c r="AL1" t="str">
        <f>"dchoke = "&amp;Plin_&amp;" mm"</f>
        <v>dchoke = 20 mm</v>
      </c>
    </row>
    <row r="2" spans="1:38" x14ac:dyDescent="0.2">
      <c r="A2" t="s">
        <v>59</v>
      </c>
      <c r="H2" t="s">
        <v>46</v>
      </c>
      <c r="I2" s="37">
        <v>7.25</v>
      </c>
      <c r="J2" s="36"/>
      <c r="K2" s="36"/>
      <c r="L2" s="36"/>
      <c r="AL2" t="str">
        <f>"Pbuf = "&amp;Pbuf_&amp;" atm"</f>
        <v>Pbuf = 26 atm</v>
      </c>
    </row>
    <row r="3" spans="1:38" ht="15" x14ac:dyDescent="0.25">
      <c r="A3" s="38" t="s">
        <v>47</v>
      </c>
      <c r="B3" s="51" t="s">
        <v>48</v>
      </c>
      <c r="C3" s="52"/>
      <c r="D3" s="52"/>
      <c r="E3" s="53"/>
      <c r="H3" t="s">
        <v>49</v>
      </c>
      <c r="I3" s="36" t="s">
        <v>48</v>
      </c>
      <c r="J3" s="36"/>
      <c r="K3" s="36"/>
      <c r="L3" s="36"/>
      <c r="AL3" t="str">
        <f>"Pline = "&amp;Plin_&amp;" atm"</f>
        <v>Pline = 20 atm</v>
      </c>
    </row>
    <row r="4" spans="1:38" ht="15" x14ac:dyDescent="0.25">
      <c r="A4" s="38" t="s">
        <v>50</v>
      </c>
      <c r="B4" s="51" t="s">
        <v>51</v>
      </c>
      <c r="C4" s="52"/>
      <c r="D4" s="52"/>
      <c r="E4" s="53"/>
      <c r="H4" t="s">
        <v>52</v>
      </c>
      <c r="I4" s="36" t="s">
        <v>51</v>
      </c>
      <c r="J4" s="36"/>
      <c r="K4" s="36"/>
      <c r="L4" s="36"/>
      <c r="AL4" t="str">
        <f>"Q = "&amp;Qliq_&amp;" m3/day"</f>
        <v>Q = 80 m3/day</v>
      </c>
    </row>
    <row r="5" spans="1:38" ht="15" x14ac:dyDescent="0.25">
      <c r="A5" s="38" t="s">
        <v>53</v>
      </c>
      <c r="B5" s="51" t="s">
        <v>54</v>
      </c>
      <c r="C5" s="52"/>
      <c r="D5" s="52"/>
      <c r="E5" s="53"/>
      <c r="H5" t="s">
        <v>55</v>
      </c>
      <c r="I5" s="36" t="s">
        <v>54</v>
      </c>
      <c r="J5" s="36"/>
      <c r="K5" s="36"/>
      <c r="L5" s="36"/>
    </row>
    <row r="6" spans="1:38" x14ac:dyDescent="0.2">
      <c r="A6" s="39" t="s">
        <v>56</v>
      </c>
      <c r="B6" s="54" t="s">
        <v>57</v>
      </c>
      <c r="C6" s="55"/>
      <c r="D6" s="55"/>
      <c r="E6" s="56"/>
      <c r="H6" s="40" t="s">
        <v>58</v>
      </c>
      <c r="I6" s="41" t="s">
        <v>57</v>
      </c>
      <c r="J6" s="41"/>
      <c r="K6" s="41"/>
      <c r="L6" s="41"/>
    </row>
    <row r="7" spans="1:38" x14ac:dyDescent="0.2">
      <c r="A7" s="42"/>
      <c r="B7" s="57"/>
      <c r="C7" s="58"/>
      <c r="D7" s="58"/>
      <c r="E7" s="59"/>
      <c r="H7" s="40"/>
      <c r="I7" s="41"/>
      <c r="J7" s="41"/>
      <c r="K7" s="41"/>
      <c r="L7" s="41"/>
    </row>
    <row r="8" spans="1:38" x14ac:dyDescent="0.2">
      <c r="A8" s="43"/>
      <c r="B8" s="60"/>
      <c r="C8" s="61"/>
      <c r="D8" s="61"/>
      <c r="E8" s="62"/>
      <c r="H8" s="40"/>
      <c r="I8" s="41"/>
      <c r="J8" s="41"/>
      <c r="K8" s="41"/>
      <c r="L8" s="41"/>
    </row>
    <row r="10" spans="1:38" x14ac:dyDescent="0.2">
      <c r="A10" s="1" t="s">
        <v>0</v>
      </c>
    </row>
    <row r="11" spans="1:38" ht="18.75" x14ac:dyDescent="0.35">
      <c r="B11" s="8" t="s">
        <v>23</v>
      </c>
      <c r="C11" s="2">
        <v>0.86</v>
      </c>
      <c r="D11" s="48"/>
      <c r="E11" s="12">
        <f>gamma_oil_*1000</f>
        <v>860</v>
      </c>
      <c r="F11" s="14" t="s">
        <v>32</v>
      </c>
    </row>
    <row r="12" spans="1:38" ht="18.75" x14ac:dyDescent="0.35">
      <c r="B12" s="9" t="s">
        <v>24</v>
      </c>
      <c r="C12" s="2">
        <v>1</v>
      </c>
      <c r="D12" s="48"/>
      <c r="E12" s="12">
        <f>gamma_wat_*1000</f>
        <v>1000</v>
      </c>
      <c r="F12" s="14" t="s">
        <v>32</v>
      </c>
    </row>
    <row r="13" spans="1:38" ht="18.75" x14ac:dyDescent="0.35">
      <c r="B13" s="9" t="s">
        <v>25</v>
      </c>
      <c r="C13" s="2">
        <v>0.9</v>
      </c>
      <c r="D13" s="48"/>
      <c r="E13" s="12">
        <f>gamma_gas_*1.22</f>
        <v>1.0980000000000001</v>
      </c>
      <c r="F13" s="14" t="s">
        <v>32</v>
      </c>
    </row>
    <row r="14" spans="1:38" ht="18.75" x14ac:dyDescent="0.35">
      <c r="B14" s="10" t="s">
        <v>26</v>
      </c>
      <c r="C14" s="2">
        <v>80</v>
      </c>
      <c r="D14" s="9" t="s">
        <v>35</v>
      </c>
      <c r="E14" s="13">
        <f>Rsb_/gamma_oil_</f>
        <v>93.023255813953483</v>
      </c>
      <c r="F14" s="14" t="s">
        <v>33</v>
      </c>
    </row>
    <row r="15" spans="1:38" ht="18.75" x14ac:dyDescent="0.35">
      <c r="B15" s="10" t="s">
        <v>27</v>
      </c>
      <c r="C15" s="2">
        <v>200</v>
      </c>
      <c r="D15" s="9" t="s">
        <v>35</v>
      </c>
      <c r="E15" s="13">
        <f>Rsb_/gamma_oil_</f>
        <v>93.023255813953483</v>
      </c>
      <c r="F15" s="14" t="s">
        <v>33</v>
      </c>
    </row>
    <row r="16" spans="1:38" ht="18" x14ac:dyDescent="0.35">
      <c r="B16" s="9" t="s">
        <v>28</v>
      </c>
      <c r="C16" s="2">
        <v>100</v>
      </c>
      <c r="D16" s="48" t="s">
        <v>5</v>
      </c>
      <c r="E16" s="13">
        <f>Pb_*1.01325</f>
        <v>101.325</v>
      </c>
      <c r="F16" s="15" t="s">
        <v>6</v>
      </c>
    </row>
    <row r="17" spans="1:52" ht="18" x14ac:dyDescent="0.35">
      <c r="B17" s="9" t="s">
        <v>29</v>
      </c>
      <c r="C17" s="2">
        <v>100</v>
      </c>
      <c r="D17" s="48" t="s">
        <v>2</v>
      </c>
      <c r="E17" s="13">
        <f>Tres_*9/5+32</f>
        <v>212</v>
      </c>
      <c r="F17" s="15" t="s">
        <v>7</v>
      </c>
    </row>
    <row r="18" spans="1:52" ht="18" x14ac:dyDescent="0.35">
      <c r="B18" s="10" t="s">
        <v>30</v>
      </c>
      <c r="C18" s="2">
        <v>1.2</v>
      </c>
      <c r="D18" s="47" t="s">
        <v>1</v>
      </c>
    </row>
    <row r="19" spans="1:52" ht="18" x14ac:dyDescent="0.35">
      <c r="B19" s="11" t="s">
        <v>31</v>
      </c>
      <c r="C19" s="2">
        <v>1</v>
      </c>
      <c r="D19" s="48" t="s">
        <v>4</v>
      </c>
    </row>
    <row r="20" spans="1:52" ht="18.75" x14ac:dyDescent="0.35">
      <c r="B20" s="9" t="s">
        <v>24</v>
      </c>
      <c r="C20" s="2">
        <v>1.2</v>
      </c>
      <c r="D20" s="48"/>
      <c r="E20" s="12">
        <f>gamma_wat_kf_*1000</f>
        <v>1200</v>
      </c>
      <c r="F20" s="14" t="s">
        <v>32</v>
      </c>
    </row>
    <row r="21" spans="1:52" x14ac:dyDescent="0.2">
      <c r="A21" s="1" t="s">
        <v>9</v>
      </c>
      <c r="C21" s="7"/>
    </row>
    <row r="22" spans="1:52" ht="15.75" x14ac:dyDescent="0.3">
      <c r="B22" s="11" t="s">
        <v>34</v>
      </c>
      <c r="C22" s="2">
        <v>70</v>
      </c>
      <c r="D22" s="48" t="s">
        <v>3</v>
      </c>
    </row>
    <row r="23" spans="1:52" ht="15" x14ac:dyDescent="0.25">
      <c r="B23" s="11" t="s">
        <v>39</v>
      </c>
      <c r="C23" s="2">
        <v>80</v>
      </c>
      <c r="D23" s="48" t="s">
        <v>2</v>
      </c>
      <c r="AZ23" s="44" t="s">
        <v>60</v>
      </c>
    </row>
    <row r="24" spans="1:52" x14ac:dyDescent="0.2">
      <c r="A24" s="1" t="s">
        <v>11</v>
      </c>
      <c r="C24" s="3"/>
      <c r="D24" s="3"/>
    </row>
    <row r="25" spans="1:52" ht="15.75" x14ac:dyDescent="0.3">
      <c r="B25" s="11" t="s">
        <v>40</v>
      </c>
      <c r="C25" s="2">
        <v>70</v>
      </c>
      <c r="D25" s="48" t="s">
        <v>12</v>
      </c>
      <c r="F25" s="11" t="s">
        <v>62</v>
      </c>
      <c r="G25" s="2">
        <v>0</v>
      </c>
    </row>
    <row r="26" spans="1:52" ht="15.75" x14ac:dyDescent="0.3">
      <c r="B26" s="11" t="s">
        <v>41</v>
      </c>
      <c r="C26" s="2">
        <v>10</v>
      </c>
      <c r="D26" s="48" t="s">
        <v>12</v>
      </c>
    </row>
    <row r="27" spans="1:52" ht="15.75" x14ac:dyDescent="0.3">
      <c r="B27" s="11" t="s">
        <v>44</v>
      </c>
      <c r="C27" s="2">
        <v>80</v>
      </c>
      <c r="D27" s="48" t="s">
        <v>17</v>
      </c>
    </row>
    <row r="28" spans="1:52" ht="15.75" x14ac:dyDescent="0.3">
      <c r="B28" s="11" t="s">
        <v>43</v>
      </c>
      <c r="C28" s="2">
        <v>26</v>
      </c>
      <c r="D28" s="48" t="s">
        <v>18</v>
      </c>
      <c r="F28" s="24" t="s">
        <v>16</v>
      </c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</row>
    <row r="29" spans="1:52" ht="15.75" x14ac:dyDescent="0.3">
      <c r="B29" s="45" t="s">
        <v>42</v>
      </c>
      <c r="C29" s="46">
        <v>20</v>
      </c>
      <c r="D29" s="16" t="s">
        <v>18</v>
      </c>
      <c r="F29" s="25" t="str">
        <f>[1]!PVT_encode_string(gamma_gas_,gamma_oil_,gamma_wat_,Rsb_,Rp_,Pb_,Tres_,Bob_,muob_,,,,,gas_only)</f>
        <v>{"gamma_gas":0.9,"gamma_oil":0.86,"gamma_wat":1,"rsb_m3m3":80,"rp_m3m3":200,"pb_atma":100,"t_res_C":100,"bob_m3m3":1.2,"muob_cP":1}</v>
      </c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</row>
    <row r="30" spans="1:52" ht="18" x14ac:dyDescent="0.35">
      <c r="B30" s="11" t="s">
        <v>61</v>
      </c>
      <c r="C30" s="2">
        <v>0</v>
      </c>
      <c r="D30" s="48" t="s">
        <v>17</v>
      </c>
    </row>
    <row r="31" spans="1:52" x14ac:dyDescent="0.2">
      <c r="B31" s="6"/>
    </row>
    <row r="32" spans="1:52" x14ac:dyDescent="0.2">
      <c r="B32" s="26" t="s">
        <v>36</v>
      </c>
      <c r="C32" s="26"/>
      <c r="D32" s="26"/>
      <c r="E32" s="26"/>
      <c r="F32" s="26"/>
      <c r="I32" t="s">
        <v>10</v>
      </c>
    </row>
    <row r="33" spans="2:44" x14ac:dyDescent="0.2">
      <c r="I33" s="50" t="s">
        <v>8</v>
      </c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</row>
    <row r="34" spans="2:44" x14ac:dyDescent="0.2">
      <c r="B34" s="18" t="s">
        <v>19</v>
      </c>
      <c r="H34" s="48" t="s">
        <v>13</v>
      </c>
      <c r="I34" s="2">
        <v>0</v>
      </c>
      <c r="J34" s="2">
        <v>1</v>
      </c>
      <c r="K34" s="19">
        <v>2</v>
      </c>
      <c r="L34" s="2">
        <v>4</v>
      </c>
      <c r="M34" s="20">
        <v>8</v>
      </c>
      <c r="N34" s="2">
        <v>10</v>
      </c>
      <c r="O34" s="2">
        <v>20</v>
      </c>
      <c r="P34" s="2">
        <v>30</v>
      </c>
      <c r="Q34" s="2">
        <v>40</v>
      </c>
      <c r="R34" s="2">
        <v>50</v>
      </c>
      <c r="S34" s="2">
        <v>60</v>
      </c>
      <c r="T34" s="2">
        <v>70</v>
      </c>
      <c r="U34" s="2">
        <v>80</v>
      </c>
      <c r="V34" s="2">
        <v>90</v>
      </c>
      <c r="W34" s="2">
        <v>100</v>
      </c>
      <c r="X34" s="2">
        <v>110</v>
      </c>
      <c r="Y34" s="2">
        <v>120</v>
      </c>
      <c r="Z34" s="2">
        <v>130</v>
      </c>
      <c r="AA34" s="2">
        <v>140</v>
      </c>
      <c r="AB34" s="2">
        <v>150</v>
      </c>
      <c r="AC34" s="2">
        <v>160</v>
      </c>
      <c r="AD34" s="2">
        <v>170</v>
      </c>
      <c r="AE34" s="2">
        <v>180</v>
      </c>
      <c r="AF34" s="2">
        <v>190</v>
      </c>
      <c r="AG34" s="2">
        <v>200</v>
      </c>
      <c r="AH34" s="2">
        <v>210</v>
      </c>
      <c r="AI34" s="2">
        <v>220</v>
      </c>
      <c r="AJ34" s="2">
        <v>230</v>
      </c>
    </row>
    <row r="35" spans="2:44" x14ac:dyDescent="0.2">
      <c r="B35" s="27">
        <f t="array" ref="B35:F36">[1]!MF_p_choke_atma(Pbuf_,fw_,d_choke,Pbuf_,1,d_pipe,T_choke,,PVTstr_,qgas_free)</f>
        <v>25.635307312011719</v>
      </c>
      <c r="C35" s="27">
        <v>26</v>
      </c>
      <c r="D35" s="27">
        <v>25.635307312011719</v>
      </c>
      <c r="E35" s="27">
        <v>80</v>
      </c>
      <c r="F35" s="27">
        <v>1</v>
      </c>
      <c r="H35" s="29">
        <v>1</v>
      </c>
      <c r="I35" s="32">
        <f>[1]!MF_p_choke_atma(I$34,fw_,d_choke,$H35,0,d_pipe,T_choke,,PVTstr_,qgas_free)</f>
        <v>1</v>
      </c>
      <c r="J35" s="32">
        <f>[1]!MF_p_choke_atma(J$34,fw_,d_choke,$H35,0,d_pipe,T_choke,,PVTstr_,qgas_free)</f>
        <v>1.0116004943847656</v>
      </c>
      <c r="K35" s="32">
        <f>[1]!MF_p_choke_atma(K$34,fw_,d_choke,$H35,0,d_pipe,T_choke,,PVTstr_,qgas_free)</f>
        <v>1.048126220703125</v>
      </c>
      <c r="L35" s="32">
        <f>[1]!MF_p_choke_atma(L$34,fw_,d_choke,$H35,0,d_pipe,T_choke,,PVTstr_,qgas_free)</f>
        <v>1.2255859375</v>
      </c>
      <c r="M35" s="32">
        <f>[1]!MF_p_choke_atma(M$34,fw_,d_choke,$H35,0,d_pipe,T_choke,,PVTstr_,qgas_free)</f>
        <v>2.24755859375</v>
      </c>
      <c r="N35" s="32">
        <f>[1]!MF_p_choke_atma(N$34,fw_,d_choke,$H35,0,d_pipe,T_choke,,PVTstr_,qgas_free)</f>
        <v>2.810791015625</v>
      </c>
      <c r="O35" s="32">
        <f>[1]!MF_p_choke_atma(O$34,fw_,d_choke,$H35,0,d_pipe,T_choke,,PVTstr_,qgas_free)</f>
        <v>5.6318359375</v>
      </c>
      <c r="P35" s="32">
        <f>[1]!MF_p_choke_atma(P$34,fw_,d_choke,$H35,0,d_pipe,T_choke,,PVTstr_,qgas_free)</f>
        <v>8.4599609375</v>
      </c>
      <c r="Q35" s="32">
        <f>[1]!MF_p_choke_atma(Q$34,fw_,d_choke,$H35,0,d_pipe,T_choke,,PVTstr_,qgas_free)</f>
        <v>11.2900390625</v>
      </c>
      <c r="R35" s="32">
        <f>[1]!MF_p_choke_atma(R$34,fw_,d_choke,$H35,0,d_pipe,T_choke,,PVTstr_,qgas_free)</f>
        <v>14.1240234375</v>
      </c>
      <c r="S35" s="32">
        <f>[1]!MF_p_choke_atma(S$34,fw_,d_choke,$H35,0,d_pipe,T_choke,,PVTstr_,qgas_free)</f>
        <v>16.9599609375</v>
      </c>
      <c r="T35" s="32">
        <f>[1]!MF_p_choke_atma(T$34,fw_,d_choke,$H35,0,d_pipe,T_choke,,PVTstr_,qgas_free)</f>
        <v>19.7939453125</v>
      </c>
      <c r="U35" s="32">
        <f>[1]!MF_p_choke_atma(U$34,fw_,d_choke,$H35,0,d_pipe,T_choke,,PVTstr_,qgas_free)</f>
        <v>22.6259765625</v>
      </c>
      <c r="V35" s="32">
        <f>[1]!MF_p_choke_atma(V$34,fw_,d_choke,$H35,0,d_pipe,T_choke,,PVTstr_,qgas_free)</f>
        <v>25.4541015625</v>
      </c>
      <c r="W35" s="32">
        <f>[1]!MF_p_choke_atma(W$34,fw_,d_choke,$H35,0,d_pipe,T_choke,,PVTstr_,qgas_free)</f>
        <v>28.2802734375</v>
      </c>
      <c r="X35" s="32">
        <f>[1]!MF_p_choke_atma(X$34,fw_,d_choke,$H35,0,d_pipe,T_choke,,PVTstr_,qgas_free)</f>
        <v>31.1005859375</v>
      </c>
      <c r="Y35" s="32">
        <f>[1]!MF_p_choke_atma(Y$34,fw_,d_choke,$H35,0,d_pipe,T_choke,,PVTstr_,qgas_free)</f>
        <v>33.9169921875</v>
      </c>
      <c r="Z35" s="32">
        <f>[1]!MF_p_choke_atma(Z$34,fw_,d_choke,$H35,0,d_pipe,T_choke,,PVTstr_,qgas_free)</f>
        <v>36.7255859375</v>
      </c>
      <c r="AA35" s="32">
        <f>[1]!MF_p_choke_atma(AA$34,fw_,d_choke,$H35,0,d_pipe,T_choke,,PVTstr_,qgas_free)</f>
        <v>39.5302734375</v>
      </c>
      <c r="AB35" s="32">
        <f>[1]!MF_p_choke_atma(AB$34,fw_,d_choke,$H35,0,d_pipe,T_choke,,PVTstr_,qgas_free)</f>
        <v>42.3271484375</v>
      </c>
      <c r="AC35" s="32">
        <f>[1]!MF_p_choke_atma(AC$34,fw_,d_choke,$H35,0,d_pipe,T_choke,,PVTstr_,qgas_free)</f>
        <v>45.1162109375</v>
      </c>
      <c r="AD35" s="32">
        <f>[1]!MF_p_choke_atma(AD$34,fw_,d_choke,$H35,0,d_pipe,T_choke,,PVTstr_,qgas_free)</f>
        <v>47.8994140625</v>
      </c>
      <c r="AE35" s="32">
        <f>[1]!MF_p_choke_atma(AE$34,fw_,d_choke,$H35,0,d_pipe,T_choke,,PVTstr_,qgas_free)</f>
        <v>50.6748046875</v>
      </c>
      <c r="AF35" s="32">
        <f>[1]!MF_p_choke_atma(AF$34,fw_,d_choke,$H35,0,d_pipe,T_choke,,PVTstr_,qgas_free)</f>
        <v>53.4443359375</v>
      </c>
      <c r="AG35" s="32">
        <f>[1]!MF_p_choke_atma(AG$34,fw_,d_choke,$H35,0,d_pipe,T_choke,,PVTstr_,qgas_free)</f>
        <v>56.2060546875</v>
      </c>
      <c r="AH35" s="32">
        <f>[1]!MF_p_choke_atma(AH$34,fw_,d_choke,$H35,0,d_pipe,T_choke,,PVTstr_,qgas_free)</f>
        <v>58.9599609375</v>
      </c>
      <c r="AI35" s="32">
        <f>[1]!MF_p_choke_atma(AI$34,fw_,d_choke,$H35,0,d_pipe,T_choke,,PVTstr_,qgas_free)</f>
        <v>61.7099609375</v>
      </c>
      <c r="AJ35" s="32">
        <f>[1]!MF_p_choke_atma(AJ$34,fw_,d_choke,$H35,0,d_pipe,T_choke,,PVTstr_,qgas_free)</f>
        <v>64.4521484375</v>
      </c>
    </row>
    <row r="36" spans="2:44" x14ac:dyDescent="0.2">
      <c r="B36" s="28" t="str">
        <v>Pout, atma</v>
      </c>
      <c r="C36" s="28" t="str">
        <v>p_intake_atma</v>
      </c>
      <c r="D36" s="28" t="str">
        <v>p_out_atma</v>
      </c>
      <c r="E36" s="28" t="str">
        <v>t_choke_C</v>
      </c>
      <c r="F36" s="28" t="str">
        <v>c_calibr_fr</v>
      </c>
      <c r="H36" s="29">
        <v>5</v>
      </c>
      <c r="I36" s="32">
        <f>[1]!MF_p_choke_atma(I$34,fw_,d_choke,$H36,0,d_pipe,T_choke,,PVTstr_,qgas_free)</f>
        <v>5</v>
      </c>
      <c r="J36" s="32">
        <f>[1]!MF_p_choke_atma(J$34,fw_,d_choke,$H36,0,d_pipe,T_choke,,PVTstr_,qgas_free)</f>
        <v>5.0023746490478516</v>
      </c>
      <c r="K36" s="32">
        <f>[1]!MF_p_choke_atma(K$34,fw_,d_choke,$H36,0,d_pipe,T_choke,,PVTstr_,qgas_free)</f>
        <v>5.0095129013061523</v>
      </c>
      <c r="L36" s="32">
        <f>[1]!MF_p_choke_atma(L$34,fw_,d_choke,$H36,0,d_pipe,T_choke,,PVTstr_,qgas_free)</f>
        <v>5.0382614135742188</v>
      </c>
      <c r="M36" s="32">
        <f>[1]!MF_p_choke_atma(M$34,fw_,d_choke,$H36,0,d_pipe,T_choke,,PVTstr_,qgas_free)</f>
        <v>5.1564788818359375</v>
      </c>
      <c r="N36" s="32">
        <f>[1]!MF_p_choke_atma(N$34,fw_,d_choke,$H36,0,d_pipe,T_choke,,PVTstr_,qgas_free)</f>
        <v>5.24871826171875</v>
      </c>
      <c r="O36" s="32">
        <f>[1]!MF_p_choke_atma(O$34,fw_,d_choke,$H36,0,d_pipe,T_choke,,PVTstr_,qgas_free)</f>
        <v>6.15753173828125</v>
      </c>
      <c r="P36" s="32">
        <f>[1]!MF_p_choke_atma(P$34,fw_,d_choke,$H36,0,d_pipe,T_choke,,PVTstr_,qgas_free)</f>
        <v>8.4588623046875</v>
      </c>
      <c r="Q36" s="32">
        <f>[1]!MF_p_choke_atma(Q$34,fw_,d_choke,$H36,0,d_pipe,T_choke,,PVTstr_,qgas_free)</f>
        <v>11.2908935546875</v>
      </c>
      <c r="R36" s="32">
        <f>[1]!MF_p_choke_atma(R$34,fw_,d_choke,$H36,0,d_pipe,T_choke,,PVTstr_,qgas_free)</f>
        <v>14.1253662109375</v>
      </c>
      <c r="S36" s="32">
        <f>[1]!MF_p_choke_atma(S$34,fw_,d_choke,$H36,0,d_pipe,T_choke,,PVTstr_,qgas_free)</f>
        <v>16.9598388671875</v>
      </c>
      <c r="T36" s="32">
        <f>[1]!MF_p_choke_atma(T$34,fw_,d_choke,$H36,0,d_pipe,T_choke,,PVTstr_,qgas_free)</f>
        <v>19.7930908203125</v>
      </c>
      <c r="U36" s="32">
        <f>[1]!MF_p_choke_atma(U$34,fw_,d_choke,$H36,0,d_pipe,T_choke,,PVTstr_,qgas_free)</f>
        <v>22.6263427734375</v>
      </c>
      <c r="V36" s="32">
        <f>[1]!MF_p_choke_atma(V$34,fw_,d_choke,$H36,0,d_pipe,T_choke,,PVTstr_,qgas_free)</f>
        <v>25.4547119140625</v>
      </c>
      <c r="W36" s="32">
        <f>[1]!MF_p_choke_atma(W$34,fw_,d_choke,$H36,0,d_pipe,T_choke,,PVTstr_,qgas_free)</f>
        <v>28.2806396484375</v>
      </c>
      <c r="X36" s="32">
        <f>[1]!MF_p_choke_atma(X$34,fw_,d_choke,$H36,0,d_pipe,T_choke,,PVTstr_,qgas_free)</f>
        <v>31.1016845703125</v>
      </c>
      <c r="Y36" s="32">
        <f>[1]!MF_p_choke_atma(Y$34,fw_,d_choke,$H36,0,d_pipe,T_choke,,PVTstr_,qgas_free)</f>
        <v>33.9166259765625</v>
      </c>
      <c r="Z36" s="32">
        <f>[1]!MF_p_choke_atma(Z$34,fw_,d_choke,$H36,0,d_pipe,T_choke,,PVTstr_,qgas_free)</f>
        <v>36.7266845703125</v>
      </c>
      <c r="AA36" s="32">
        <f>[1]!MF_p_choke_atma(AA$34,fw_,d_choke,$H36,0,d_pipe,T_choke,,PVTstr_,qgas_free)</f>
        <v>39.5294189453125</v>
      </c>
      <c r="AB36" s="32">
        <f>[1]!MF_p_choke_atma(AB$34,fw_,d_choke,$H36,0,d_pipe,T_choke,,PVTstr_,qgas_free)</f>
        <v>42.3260498046875</v>
      </c>
      <c r="AC36" s="32">
        <f>[1]!MF_p_choke_atma(AC$34,fw_,d_choke,$H36,0,d_pipe,T_choke,,PVTstr_,qgas_free)</f>
        <v>45.1165771484375</v>
      </c>
      <c r="AD36" s="32">
        <f>[1]!MF_p_choke_atma(AD$34,fw_,d_choke,$H36,0,d_pipe,T_choke,,PVTstr_,qgas_free)</f>
        <v>47.8997802734375</v>
      </c>
      <c r="AE36" s="32">
        <f>[1]!MF_p_choke_atma(AE$34,fw_,d_choke,$H36,0,d_pipe,T_choke,,PVTstr_,qgas_free)</f>
        <v>50.6756591796875</v>
      </c>
      <c r="AF36" s="32">
        <f>[1]!MF_p_choke_atma(AF$34,fw_,d_choke,$H36,0,d_pipe,T_choke,,PVTstr_,qgas_free)</f>
        <v>53.4442138671875</v>
      </c>
      <c r="AG36" s="32">
        <f>[1]!MF_p_choke_atma(AG$34,fw_,d_choke,$H36,0,d_pipe,T_choke,,PVTstr_,qgas_free)</f>
        <v>56.2054443359375</v>
      </c>
      <c r="AH36" s="32">
        <f>[1]!MF_p_choke_atma(AH$34,fw_,d_choke,$H36,0,d_pipe,T_choke,,PVTstr_,qgas_free)</f>
        <v>58.9605712890625</v>
      </c>
      <c r="AI36" s="32">
        <f>[1]!MF_p_choke_atma(AI$34,fw_,d_choke,$H36,0,d_pipe,T_choke,,PVTstr_,qgas_free)</f>
        <v>61.7095947265625</v>
      </c>
      <c r="AJ36" s="32">
        <f>[1]!MF_p_choke_atma(AJ$34,fw_,d_choke,$H36,0,d_pipe,T_choke,,PVTstr_,qgas_free)</f>
        <v>64.4512939453125</v>
      </c>
    </row>
    <row r="37" spans="2:44" x14ac:dyDescent="0.2">
      <c r="H37" s="29">
        <v>10</v>
      </c>
      <c r="I37" s="32">
        <f>[1]!MF_p_choke_atma(I$34,fw_,d_choke,$H37,0,d_pipe,T_choke,,PVTstr_,qgas_free)</f>
        <v>10</v>
      </c>
      <c r="J37" s="32">
        <f>[1]!MF_p_choke_atma(J$34,fw_,d_choke,$H37,0,d_pipe,T_choke,,PVTstr_,qgas_free)</f>
        <v>10.001234412193298</v>
      </c>
      <c r="K37" s="32">
        <f>[1]!MF_p_choke_atma(K$34,fw_,d_choke,$H37,0,d_pipe,T_choke,,PVTstr_,qgas_free)</f>
        <v>10.004938840866089</v>
      </c>
      <c r="L37" s="32">
        <f>[1]!MF_p_choke_atma(L$34,fw_,d_choke,$H37,0,d_pipe,T_choke,,PVTstr_,qgas_free)</f>
        <v>10.019779205322266</v>
      </c>
      <c r="M37" s="32">
        <f>[1]!MF_p_choke_atma(M$34,fw_,d_choke,$H37,0,d_pipe,T_choke,,PVTstr_,qgas_free)</f>
        <v>10.079536437988281</v>
      </c>
      <c r="N37" s="32">
        <f>[1]!MF_p_choke_atma(N$34,fw_,d_choke,$H37,0,d_pipe,T_choke,,PVTstr_,qgas_free)</f>
        <v>10.124740600585938</v>
      </c>
      <c r="O37" s="32">
        <f>[1]!MF_p_choke_atma(O$34,fw_,d_choke,$H37,0,d_pipe,T_choke,,PVTstr_,qgas_free)</f>
        <v>10.515899658203125</v>
      </c>
      <c r="P37" s="32">
        <f>[1]!MF_p_choke_atma(P$34,fw_,d_choke,$H37,0,d_pipe,T_choke,,PVTstr_,qgas_free)</f>
        <v>11.22894287109375</v>
      </c>
      <c r="Q37" s="32">
        <f>[1]!MF_p_choke_atma(Q$34,fw_,d_choke,$H37,0,d_pipe,T_choke,,PVTstr_,qgas_free)</f>
        <v>12.3773193359375</v>
      </c>
      <c r="R37" s="32">
        <f>[1]!MF_p_choke_atma(R$34,fw_,d_choke,$H37,0,d_pipe,T_choke,,PVTstr_,qgas_free)</f>
        <v>14.1680908203125</v>
      </c>
      <c r="S37" s="32">
        <f>[1]!MF_p_choke_atma(S$34,fw_,d_choke,$H37,0,d_pipe,T_choke,,PVTstr_,qgas_free)</f>
        <v>16.9598388671875</v>
      </c>
      <c r="T37" s="32">
        <f>[1]!MF_p_choke_atma(T$34,fw_,d_choke,$H37,0,d_pipe,T_choke,,PVTstr_,qgas_free)</f>
        <v>19.7930908203125</v>
      </c>
      <c r="U37" s="32">
        <f>[1]!MF_p_choke_atma(U$34,fw_,d_choke,$H37,0,d_pipe,T_choke,,PVTstr_,qgas_free)</f>
        <v>22.6263427734375</v>
      </c>
      <c r="V37" s="32">
        <f>[1]!MF_p_choke_atma(V$34,fw_,d_choke,$H37,0,d_pipe,T_choke,,PVTstr_,qgas_free)</f>
        <v>25.4547119140625</v>
      </c>
      <c r="W37" s="32">
        <f>[1]!MF_p_choke_atma(W$34,fw_,d_choke,$H37,0,d_pipe,T_choke,,PVTstr_,qgas_free)</f>
        <v>28.2806396484375</v>
      </c>
      <c r="X37" s="32">
        <f>[1]!MF_p_choke_atma(X$34,fw_,d_choke,$H37,0,d_pipe,T_choke,,PVTstr_,qgas_free)</f>
        <v>31.1016845703125</v>
      </c>
      <c r="Y37" s="32">
        <f>[1]!MF_p_choke_atma(Y$34,fw_,d_choke,$H37,0,d_pipe,T_choke,,PVTstr_,qgas_free)</f>
        <v>33.9166259765625</v>
      </c>
      <c r="Z37" s="32">
        <f>[1]!MF_p_choke_atma(Z$34,fw_,d_choke,$H37,0,d_pipe,T_choke,,PVTstr_,qgas_free)</f>
        <v>36.7266845703125</v>
      </c>
      <c r="AA37" s="32">
        <f>[1]!MF_p_choke_atma(AA$34,fw_,d_choke,$H37,0,d_pipe,T_choke,,PVTstr_,qgas_free)</f>
        <v>39.5294189453125</v>
      </c>
      <c r="AB37" s="32">
        <f>[1]!MF_p_choke_atma(AB$34,fw_,d_choke,$H37,0,d_pipe,T_choke,,PVTstr_,qgas_free)</f>
        <v>42.3260498046875</v>
      </c>
      <c r="AC37" s="32">
        <f>[1]!MF_p_choke_atma(AC$34,fw_,d_choke,$H37,0,d_pipe,T_choke,,PVTstr_,qgas_free)</f>
        <v>45.1165771484375</v>
      </c>
      <c r="AD37" s="32">
        <f>[1]!MF_p_choke_atma(AD$34,fw_,d_choke,$H37,0,d_pipe,T_choke,,PVTstr_,qgas_free)</f>
        <v>47.8997802734375</v>
      </c>
      <c r="AE37" s="32">
        <f>[1]!MF_p_choke_atma(AE$34,fw_,d_choke,$H37,0,d_pipe,T_choke,,PVTstr_,qgas_free)</f>
        <v>50.6756591796875</v>
      </c>
      <c r="AF37" s="32">
        <f>[1]!MF_p_choke_atma(AF$34,fw_,d_choke,$H37,0,d_pipe,T_choke,,PVTstr_,qgas_free)</f>
        <v>53.4442138671875</v>
      </c>
      <c r="AG37" s="32">
        <f>[1]!MF_p_choke_atma(AG$34,fw_,d_choke,$H37,0,d_pipe,T_choke,,PVTstr_,qgas_free)</f>
        <v>56.2054443359375</v>
      </c>
      <c r="AH37" s="32">
        <f>[1]!MF_p_choke_atma(AH$34,fw_,d_choke,$H37,0,d_pipe,T_choke,,PVTstr_,qgas_free)</f>
        <v>58.9605712890625</v>
      </c>
      <c r="AI37" s="32">
        <f>[1]!MF_p_choke_atma(AI$34,fw_,d_choke,$H37,0,d_pipe,T_choke,,PVTstr_,qgas_free)</f>
        <v>61.7095947265625</v>
      </c>
      <c r="AJ37" s="32">
        <f>[1]!MF_p_choke_atma(AJ$34,fw_,d_choke,$H37,0,d_pipe,T_choke,,PVTstr_,qgas_free)</f>
        <v>64.4512939453125</v>
      </c>
    </row>
    <row r="38" spans="2:44" x14ac:dyDescent="0.2">
      <c r="B38" s="18" t="s">
        <v>20</v>
      </c>
      <c r="H38" s="29">
        <v>15</v>
      </c>
      <c r="I38" s="32">
        <f>[1]!MF_p_choke_atma(I$34,fw_,d_choke,$H38,0,d_pipe,T_choke,,PVTstr_,qgas_free)</f>
        <v>15</v>
      </c>
      <c r="J38" s="32">
        <f>[1]!MF_p_choke_atma(J$34,fw_,d_choke,$H38,0,d_pipe,T_choke,,PVTstr_,qgas_free)</f>
        <v>15.000852942466736</v>
      </c>
      <c r="K38" s="32">
        <f>[1]!MF_p_choke_atma(K$34,fw_,d_choke,$H38,0,d_pipe,T_choke,,PVTstr_,qgas_free)</f>
        <v>15.003411769866943</v>
      </c>
      <c r="L38" s="32">
        <f>[1]!MF_p_choke_atma(L$34,fw_,d_choke,$H38,0,d_pipe,T_choke,,PVTstr_,qgas_free)</f>
        <v>15.013654232025146</v>
      </c>
      <c r="M38" s="32">
        <f>[1]!MF_p_choke_atma(M$34,fw_,d_choke,$H38,0,d_pipe,T_choke,,PVTstr_,qgas_free)</f>
        <v>15.054731369018555</v>
      </c>
      <c r="N38" s="32">
        <f>[1]!MF_p_choke_atma(N$34,fw_,d_choke,$H38,0,d_pipe,T_choke,,PVTstr_,qgas_free)</f>
        <v>15.085659027099609</v>
      </c>
      <c r="O38" s="32">
        <f>[1]!MF_p_choke_atma(O$34,fw_,d_choke,$H38,0,d_pipe,T_choke,,PVTstr_,qgas_free)</f>
        <v>15.347442626953125</v>
      </c>
      <c r="P38" s="32">
        <f>[1]!MF_p_choke_atma(P$34,fw_,d_choke,$H38,0,d_pipe,T_choke,,PVTstr_,qgas_free)</f>
        <v>15.799942016601563</v>
      </c>
      <c r="Q38" s="32">
        <f>[1]!MF_p_choke_atma(Q$34,fw_,d_choke,$H38,0,d_pipe,T_choke,,PVTstr_,qgas_free)</f>
        <v>16.470108032226563</v>
      </c>
      <c r="R38" s="32">
        <f>[1]!MF_p_choke_atma(R$34,fw_,d_choke,$H38,0,d_pipe,T_choke,,PVTstr_,qgas_free)</f>
        <v>17.39959716796875</v>
      </c>
      <c r="S38" s="32">
        <f>[1]!MF_p_choke_atma(S$34,fw_,d_choke,$H38,0,d_pipe,T_choke,,PVTstr_,qgas_free)</f>
        <v>18.64837646484375</v>
      </c>
      <c r="T38" s="32">
        <f>[1]!MF_p_choke_atma(T$34,fw_,d_choke,$H38,0,d_pipe,T_choke,,PVTstr_,qgas_free)</f>
        <v>20.30548095703125</v>
      </c>
      <c r="U38" s="32">
        <f>[1]!MF_p_choke_atma(U$34,fw_,d_choke,$H38,0,d_pipe,T_choke,,PVTstr_,qgas_free)</f>
        <v>22.49542236328125</v>
      </c>
      <c r="V38" s="32">
        <f>[1]!MF_p_choke_atma(V$34,fw_,d_choke,$H38,0,d_pipe,T_choke,,PVTstr_,qgas_free)</f>
        <v>25.38665771484375</v>
      </c>
      <c r="W38" s="32">
        <f>[1]!MF_p_choke_atma(W$34,fw_,d_choke,$H38,0,d_pipe,T_choke,,PVTstr_,qgas_free)</f>
        <v>28.27972412109375</v>
      </c>
      <c r="X38" s="32">
        <f>[1]!MF_p_choke_atma(X$34,fw_,d_choke,$H38,0,d_pipe,T_choke,,PVTstr_,qgas_free)</f>
        <v>31.10137939453125</v>
      </c>
      <c r="Y38" s="32">
        <f>[1]!MF_p_choke_atma(Y$34,fw_,d_choke,$H38,0,d_pipe,T_choke,,PVTstr_,qgas_free)</f>
        <v>33.91754150390625</v>
      </c>
      <c r="Z38" s="32">
        <f>[1]!MF_p_choke_atma(Z$34,fw_,d_choke,$H38,0,d_pipe,T_choke,,PVTstr_,qgas_free)</f>
        <v>36.72637939453125</v>
      </c>
      <c r="AA38" s="32">
        <f>[1]!MF_p_choke_atma(AA$34,fw_,d_choke,$H38,0,d_pipe,T_choke,,PVTstr_,qgas_free)</f>
        <v>39.52972412109375</v>
      </c>
      <c r="AB38" s="32">
        <f>[1]!MF_p_choke_atma(AB$34,fw_,d_choke,$H38,0,d_pipe,T_choke,,PVTstr_,qgas_free)</f>
        <v>42.32574462890625</v>
      </c>
      <c r="AC38" s="32">
        <f>[1]!MF_p_choke_atma(AC$34,fw_,d_choke,$H38,0,d_pipe,T_choke,,PVTstr_,qgas_free)</f>
        <v>45.11627197265625</v>
      </c>
      <c r="AD38" s="32">
        <f>[1]!MF_p_choke_atma(AD$34,fw_,d_choke,$H38,0,d_pipe,T_choke,,PVTstr_,qgas_free)</f>
        <v>47.89947509765625</v>
      </c>
      <c r="AE38" s="32">
        <f>[1]!MF_p_choke_atma(AE$34,fw_,d_choke,$H38,0,d_pipe,T_choke,,PVTstr_,qgas_free)</f>
        <v>50.67535400390625</v>
      </c>
      <c r="AF38" s="32">
        <f>[1]!MF_p_choke_atma(AF$34,fw_,d_choke,$H38,0,d_pipe,T_choke,,PVTstr_,qgas_free)</f>
        <v>53.44390869140625</v>
      </c>
      <c r="AG38" s="32">
        <f>[1]!MF_p_choke_atma(AG$34,fw_,d_choke,$H38,0,d_pipe,T_choke,,PVTstr_,qgas_free)</f>
        <v>56.20513916015625</v>
      </c>
      <c r="AH38" s="32">
        <f>[1]!MF_p_choke_atma(AH$34,fw_,d_choke,$H38,0,d_pipe,T_choke,,PVTstr_,qgas_free)</f>
        <v>58.96087646484375</v>
      </c>
      <c r="AI38" s="32">
        <f>[1]!MF_p_choke_atma(AI$34,fw_,d_choke,$H38,0,d_pipe,T_choke,,PVTstr_,qgas_free)</f>
        <v>61.70928955078125</v>
      </c>
      <c r="AJ38" s="32">
        <f>[1]!MF_p_choke_atma(AJ$34,fw_,d_choke,$H38,0,d_pipe,T_choke,,PVTstr_,qgas_free)</f>
        <v>64.45220947265625</v>
      </c>
    </row>
    <row r="39" spans="2:44" x14ac:dyDescent="0.2">
      <c r="B39" s="27">
        <f t="array" ref="B39:F40">[1]!MF_p_choke_atma(Qliq_,fw_,d_choke,Plin_,0,d_pipe,T_choke,,PVTstr_,qgas_free)</f>
        <v>24.9639892578125</v>
      </c>
      <c r="C39" s="27">
        <v>24.9639892578125</v>
      </c>
      <c r="D39" s="27">
        <v>20</v>
      </c>
      <c r="E39" s="27">
        <v>80</v>
      </c>
      <c r="F39" s="27">
        <v>1</v>
      </c>
      <c r="H39" s="29">
        <v>20</v>
      </c>
      <c r="I39" s="32">
        <f>[1]!MF_p_choke_atma(I$34,fw_,d_choke,$H39,0,d_pipe,T_choke,,PVTstr_,qgas_free)</f>
        <v>20</v>
      </c>
      <c r="J39" s="32">
        <f>[1]!MF_p_choke_atma(J$34,fw_,d_choke,$H39,0,d_pipe,T_choke,,PVTstr_,qgas_free)</f>
        <v>20.000661313533783</v>
      </c>
      <c r="K39" s="32">
        <f>[1]!MF_p_choke_atma(K$34,fw_,d_choke,$H39,0,d_pipe,T_choke,,PVTstr_,qgas_free)</f>
        <v>20.002645254135132</v>
      </c>
      <c r="L39" s="32">
        <f>[1]!MF_p_choke_atma(L$34,fw_,d_choke,$H39,0,d_pipe,T_choke,,PVTstr_,qgas_free)</f>
        <v>20.010585784912109</v>
      </c>
      <c r="M39" s="32">
        <f>[1]!MF_p_choke_atma(M$34,fw_,d_choke,$H39,0,d_pipe,T_choke,,PVTstr_,qgas_free)</f>
        <v>20.042381286621094</v>
      </c>
      <c r="N39" s="32">
        <f>[1]!MF_p_choke_atma(N$34,fw_,d_choke,$H39,0,d_pipe,T_choke,,PVTstr_,qgas_free)</f>
        <v>20.066299438476563</v>
      </c>
      <c r="O39" s="32">
        <f>[1]!MF_p_choke_atma(O$34,fw_,d_choke,$H39,0,d_pipe,T_choke,,PVTstr_,qgas_free)</f>
        <v>20.267105102539063</v>
      </c>
      <c r="P39" s="32">
        <f>[1]!MF_p_choke_atma(P$34,fw_,d_choke,$H39,0,d_pipe,T_choke,,PVTstr_,qgas_free)</f>
        <v>20.60821533203125</v>
      </c>
      <c r="Q39" s="32">
        <f>[1]!MF_p_choke_atma(Q$34,fw_,d_choke,$H39,0,d_pipe,T_choke,,PVTstr_,qgas_free)</f>
        <v>21.10015869140625</v>
      </c>
      <c r="R39" s="32">
        <f>[1]!MF_p_choke_atma(R$34,fw_,d_choke,$H39,0,d_pipe,T_choke,,PVTstr_,qgas_free)</f>
        <v>21.75750732421875</v>
      </c>
      <c r="S39" s="32">
        <f>[1]!MF_p_choke_atma(S$34,fw_,d_choke,$H39,0,d_pipe,T_choke,,PVTstr_,qgas_free)</f>
        <v>22.60101318359375</v>
      </c>
      <c r="T39" s="32">
        <f>[1]!MF_p_choke_atma(T$34,fw_,d_choke,$H39,0,d_pipe,T_choke,,PVTstr_,qgas_free)</f>
        <v>23.6590576171875</v>
      </c>
      <c r="U39" s="32">
        <f>[1]!MF_p_choke_atma(U$34,fw_,d_choke,$H39,0,d_pipe,T_choke,,PVTstr_,qgas_free)</f>
        <v>24.9639892578125</v>
      </c>
      <c r="V39" s="32">
        <f>[1]!MF_p_choke_atma(V$34,fw_,d_choke,$H39,0,d_pipe,T_choke,,PVTstr_,qgas_free)</f>
        <v>26.5631103515625</v>
      </c>
      <c r="W39" s="32">
        <f>[1]!MF_p_choke_atma(W$34,fw_,d_choke,$H39,0,d_pipe,T_choke,,PVTstr_,qgas_free)</f>
        <v>28.5089111328125</v>
      </c>
      <c r="X39" s="32">
        <f>[1]!MF_p_choke_atma(X$34,fw_,d_choke,$H39,0,d_pipe,T_choke,,PVTstr_,qgas_free)</f>
        <v>30.8685302734375</v>
      </c>
      <c r="Y39" s="32">
        <f>[1]!MF_p_choke_atma(Y$34,fw_,d_choke,$H39,0,d_pipe,T_choke,,PVTstr_,qgas_free)</f>
        <v>33.7176513671875</v>
      </c>
      <c r="Z39" s="32">
        <f>[1]!MF_p_choke_atma(Z$34,fw_,d_choke,$H39,0,d_pipe,T_choke,,PVTstr_,qgas_free)</f>
        <v>36.7266845703125</v>
      </c>
      <c r="AA39" s="32">
        <f>[1]!MF_p_choke_atma(AA$34,fw_,d_choke,$H39,0,d_pipe,T_choke,,PVTstr_,qgas_free)</f>
        <v>39.5294189453125</v>
      </c>
      <c r="AB39" s="32">
        <f>[1]!MF_p_choke_atma(AB$34,fw_,d_choke,$H39,0,d_pipe,T_choke,,PVTstr_,qgas_free)</f>
        <v>42.3260498046875</v>
      </c>
      <c r="AC39" s="32">
        <f>[1]!MF_p_choke_atma(AC$34,fw_,d_choke,$H39,0,d_pipe,T_choke,,PVTstr_,qgas_free)</f>
        <v>45.1165771484375</v>
      </c>
      <c r="AD39" s="32">
        <f>[1]!MF_p_choke_atma(AD$34,fw_,d_choke,$H39,0,d_pipe,T_choke,,PVTstr_,qgas_free)</f>
        <v>47.8997802734375</v>
      </c>
      <c r="AE39" s="32">
        <f>[1]!MF_p_choke_atma(AE$34,fw_,d_choke,$H39,0,d_pipe,T_choke,,PVTstr_,qgas_free)</f>
        <v>50.6756591796875</v>
      </c>
      <c r="AF39" s="32">
        <f>[1]!MF_p_choke_atma(AF$34,fw_,d_choke,$H39,0,d_pipe,T_choke,,PVTstr_,qgas_free)</f>
        <v>53.4442138671875</v>
      </c>
      <c r="AG39" s="32">
        <f>[1]!MF_p_choke_atma(AG$34,fw_,d_choke,$H39,0,d_pipe,T_choke,,PVTstr_,qgas_free)</f>
        <v>56.2054443359375</v>
      </c>
      <c r="AH39" s="32">
        <f>[1]!MF_p_choke_atma(AH$34,fw_,d_choke,$H39,0,d_pipe,T_choke,,PVTstr_,qgas_free)</f>
        <v>58.9605712890625</v>
      </c>
      <c r="AI39" s="32">
        <f>[1]!MF_p_choke_atma(AI$34,fw_,d_choke,$H39,0,d_pipe,T_choke,,PVTstr_,qgas_free)</f>
        <v>61.7095947265625</v>
      </c>
      <c r="AJ39" s="32">
        <f>[1]!MF_p_choke_atma(AJ$34,fw_,d_choke,$H39,0,d_pipe,T_choke,,PVTstr_,qgas_free)</f>
        <v>64.4512939453125</v>
      </c>
    </row>
    <row r="40" spans="2:44" x14ac:dyDescent="0.2">
      <c r="B40" s="28" t="str">
        <v>Pin, atma</v>
      </c>
      <c r="C40" s="28" t="str">
        <v>p_intake_atma</v>
      </c>
      <c r="D40" s="28" t="str">
        <v>p_out_atma</v>
      </c>
      <c r="E40" s="28" t="str">
        <v>t_choke_C</v>
      </c>
      <c r="F40" s="28" t="str">
        <v>c_calibr_fr</v>
      </c>
      <c r="H40" s="29">
        <v>30</v>
      </c>
      <c r="I40" s="32">
        <f>[1]!MF_p_choke_atma(I$34,fw_,d_choke,$H40,0,d_pipe,T_choke,,PVTstr_,qgas_free)</f>
        <v>30</v>
      </c>
      <c r="J40" s="32">
        <f>[1]!MF_p_choke_atma(J$34,fw_,d_choke,$H40,0,d_pipe,T_choke,,PVTstr_,qgas_free)</f>
        <v>30.00046893954277</v>
      </c>
      <c r="K40" s="32">
        <f>[1]!MF_p_choke_atma(K$34,fw_,d_choke,$H40,0,d_pipe,T_choke,,PVTstr_,qgas_free)</f>
        <v>30.001875311136246</v>
      </c>
      <c r="L40" s="32">
        <f>[1]!MF_p_choke_atma(L$34,fw_,d_choke,$H40,0,d_pipe,T_choke,,PVTstr_,qgas_free)</f>
        <v>30.007503032684326</v>
      </c>
      <c r="M40" s="32">
        <f>[1]!MF_p_choke_atma(M$34,fw_,d_choke,$H40,0,d_pipe,T_choke,,PVTstr_,qgas_free)</f>
        <v>30.030026435852051</v>
      </c>
      <c r="N40" s="32">
        <f>[1]!MF_p_choke_atma(N$34,fw_,d_choke,$H40,0,d_pipe,T_choke,,PVTstr_,qgas_free)</f>
        <v>30.046920776367188</v>
      </c>
      <c r="O40" s="32">
        <f>[1]!MF_p_choke_atma(O$34,fw_,d_choke,$H40,0,d_pipe,T_choke,,PVTstr_,qgas_free)</f>
        <v>30.188255310058594</v>
      </c>
      <c r="P40" s="32">
        <f>[1]!MF_p_choke_atma(P$34,fw_,d_choke,$H40,0,d_pipe,T_choke,,PVTstr_,qgas_free)</f>
        <v>30.425491333007813</v>
      </c>
      <c r="Q40" s="32">
        <f>[1]!MF_p_choke_atma(Q$34,fw_,d_choke,$H40,0,d_pipe,T_choke,,PVTstr_,qgas_free)</f>
        <v>30.761260986328125</v>
      </c>
      <c r="R40" s="32">
        <f>[1]!MF_p_choke_atma(R$34,fw_,d_choke,$H40,0,d_pipe,T_choke,,PVTstr_,qgas_free)</f>
        <v>31.199798583984375</v>
      </c>
      <c r="S40" s="32">
        <f>[1]!MF_p_choke_atma(S$34,fw_,d_choke,$H40,0,d_pipe,T_choke,,PVTstr_,qgas_free)</f>
        <v>31.745452880859375</v>
      </c>
      <c r="T40" s="32">
        <f>[1]!MF_p_choke_atma(T$34,fw_,d_choke,$H40,0,d_pipe,T_choke,,PVTstr_,qgas_free)</f>
        <v>32.404632568359375</v>
      </c>
      <c r="U40" s="32">
        <f>[1]!MF_p_choke_atma(U$34,fw_,d_choke,$H40,0,d_pipe,T_choke,,PVTstr_,qgas_free)</f>
        <v>33.18511962890625</v>
      </c>
      <c r="V40" s="32">
        <f>[1]!MF_p_choke_atma(V$34,fw_,d_choke,$H40,0,d_pipe,T_choke,,PVTstr_,qgas_free)</f>
        <v>34.09515380859375</v>
      </c>
      <c r="W40" s="32">
        <f>[1]!MF_p_choke_atma(W$34,fw_,d_choke,$H40,0,d_pipe,T_choke,,PVTstr_,qgas_free)</f>
        <v>35.14434814453125</v>
      </c>
      <c r="X40" s="32">
        <f>[1]!MF_p_choke_atma(X$34,fw_,d_choke,$H40,0,d_pipe,T_choke,,PVTstr_,qgas_free)</f>
        <v>36.34552001953125</v>
      </c>
      <c r="Y40" s="32">
        <f>[1]!MF_p_choke_atma(Y$34,fw_,d_choke,$H40,0,d_pipe,T_choke,,PVTstr_,qgas_free)</f>
        <v>37.71148681640625</v>
      </c>
      <c r="Z40" s="32">
        <f>[1]!MF_p_choke_atma(Z$34,fw_,d_choke,$H40,0,d_pipe,T_choke,,PVTstr_,qgas_free)</f>
        <v>39.25689697265625</v>
      </c>
      <c r="AA40" s="32">
        <f>[1]!MF_p_choke_atma(AA$34,fw_,d_choke,$H40,0,d_pipe,T_choke,,PVTstr_,qgas_free)</f>
        <v>40.99456787109375</v>
      </c>
      <c r="AB40" s="32">
        <f>[1]!MF_p_choke_atma(AB$34,fw_,d_choke,$H40,0,d_pipe,T_choke,,PVTstr_,qgas_free)</f>
        <v>42.94281005859375</v>
      </c>
      <c r="AC40" s="32">
        <f>[1]!MF_p_choke_atma(AC$34,fw_,d_choke,$H40,0,d_pipe,T_choke,,PVTstr_,qgas_free)</f>
        <v>45.11810302734375</v>
      </c>
      <c r="AD40" s="32">
        <f>[1]!MF_p_choke_atma(AD$34,fw_,d_choke,$H40,0,d_pipe,T_choke,,PVTstr_,qgas_free)</f>
        <v>47.53326416015625</v>
      </c>
      <c r="AE40" s="32">
        <f>[1]!MF_p_choke_atma(AE$34,fw_,d_choke,$H40,0,d_pipe,T_choke,,PVTstr_,qgas_free)</f>
        <v>50.20294189453125</v>
      </c>
      <c r="AF40" s="32">
        <f>[1]!MF_p_choke_atma(AF$34,fw_,d_choke,$H40,0,d_pipe,T_choke,,PVTstr_,qgas_free)</f>
        <v>53.13995361328125</v>
      </c>
      <c r="AG40" s="32">
        <f>[1]!MF_p_choke_atma(AG$34,fw_,d_choke,$H40,0,d_pipe,T_choke,,PVTstr_,qgas_free)</f>
        <v>56.20513916015625</v>
      </c>
      <c r="AH40" s="32">
        <f>[1]!MF_p_choke_atma(AH$34,fw_,d_choke,$H40,0,d_pipe,T_choke,,PVTstr_,qgas_free)</f>
        <v>58.96087646484375</v>
      </c>
      <c r="AI40" s="32">
        <f>[1]!MF_p_choke_atma(AI$34,fw_,d_choke,$H40,0,d_pipe,T_choke,,PVTstr_,qgas_free)</f>
        <v>61.70928955078125</v>
      </c>
      <c r="AJ40" s="32">
        <f>[1]!MF_p_choke_atma(AJ$34,fw_,d_choke,$H40,0,d_pipe,T_choke,,PVTstr_,qgas_free)</f>
        <v>64.45220947265625</v>
      </c>
    </row>
    <row r="41" spans="2:44" x14ac:dyDescent="0.2">
      <c r="I41" s="3"/>
      <c r="J41" s="3"/>
      <c r="K41" s="4"/>
      <c r="L41" s="5"/>
      <c r="M41" s="5"/>
      <c r="O41" s="3"/>
    </row>
    <row r="42" spans="2:44" x14ac:dyDescent="0.2">
      <c r="B42" t="s">
        <v>22</v>
      </c>
      <c r="I42" s="3"/>
      <c r="J42" s="3"/>
      <c r="K42" s="4"/>
      <c r="L42" s="5"/>
      <c r="M42" s="5"/>
      <c r="O42" s="3"/>
    </row>
    <row r="43" spans="2:44" x14ac:dyDescent="0.2">
      <c r="B43" s="29">
        <f t="array" ref="B43:F44">[1]!MF_q_choke_sm3day(fw_,d_choke,Pbuf_,Plin_,d_pipe,T_choke,,PVTstr_,qgas_free)</f>
        <v>86.701065414919356</v>
      </c>
      <c r="C43" s="29">
        <v>26</v>
      </c>
      <c r="D43" s="29">
        <v>20</v>
      </c>
      <c r="E43" s="29">
        <v>80</v>
      </c>
      <c r="F43" s="30">
        <v>1</v>
      </c>
    </row>
    <row r="44" spans="2:44" x14ac:dyDescent="0.2">
      <c r="B44" s="31" t="str">
        <v>Qliq</v>
      </c>
      <c r="C44" s="31" t="str">
        <v>p_intake_atma</v>
      </c>
      <c r="D44" s="31" t="str">
        <v>p_out_atma</v>
      </c>
      <c r="E44" s="31" t="str">
        <v>t_choke_C</v>
      </c>
      <c r="F44" s="31" t="str">
        <v>c_calibr_fr</v>
      </c>
      <c r="H44" s="21" t="s">
        <v>38</v>
      </c>
      <c r="I44" s="17">
        <f>[1]!MF_q_choke_sm3day(fw_,d_choke,H52,1,d_pipe,T_choke,,PVTstr_)</f>
        <v>123.85318253939143</v>
      </c>
    </row>
    <row r="45" spans="2:44" x14ac:dyDescent="0.2">
      <c r="I45" s="49" t="s">
        <v>8</v>
      </c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</row>
    <row r="46" spans="2:44" x14ac:dyDescent="0.2">
      <c r="B46" t="s">
        <v>21</v>
      </c>
      <c r="H46" s="48" t="s">
        <v>37</v>
      </c>
      <c r="I46" s="2">
        <v>0</v>
      </c>
      <c r="J46" s="19">
        <v>15</v>
      </c>
      <c r="K46" s="19">
        <v>28</v>
      </c>
      <c r="L46" s="19">
        <v>35</v>
      </c>
      <c r="M46" s="19">
        <v>40</v>
      </c>
      <c r="N46" s="19">
        <v>43</v>
      </c>
      <c r="O46" s="19">
        <v>43.96</v>
      </c>
      <c r="P46" s="19">
        <v>44</v>
      </c>
      <c r="Q46" s="19">
        <v>53</v>
      </c>
      <c r="R46" s="19">
        <v>58</v>
      </c>
      <c r="S46" s="19">
        <v>60</v>
      </c>
      <c r="T46" s="19">
        <v>62</v>
      </c>
      <c r="U46" s="19">
        <v>65</v>
      </c>
      <c r="V46" s="19">
        <v>67</v>
      </c>
      <c r="W46" s="19">
        <v>67.2</v>
      </c>
      <c r="X46" s="19">
        <v>76</v>
      </c>
      <c r="Y46" s="19">
        <v>85</v>
      </c>
      <c r="Z46" s="19">
        <v>90</v>
      </c>
      <c r="AA46" s="19">
        <v>91</v>
      </c>
      <c r="AB46" s="19">
        <v>91.1</v>
      </c>
      <c r="AC46" s="22">
        <v>100</v>
      </c>
      <c r="AD46" s="22">
        <v>110</v>
      </c>
      <c r="AE46" s="22">
        <v>113</v>
      </c>
      <c r="AF46" s="22">
        <v>116</v>
      </c>
      <c r="AG46" s="22">
        <v>116.5</v>
      </c>
      <c r="AH46" s="22">
        <v>125</v>
      </c>
      <c r="AI46" s="22">
        <v>130</v>
      </c>
      <c r="AJ46" s="22">
        <v>138</v>
      </c>
      <c r="AK46" s="22">
        <v>142.5</v>
      </c>
      <c r="AL46" s="22">
        <v>142.69999999999999</v>
      </c>
      <c r="AM46" s="22">
        <v>150</v>
      </c>
      <c r="AN46" s="22">
        <v>160</v>
      </c>
      <c r="AO46" s="22">
        <v>165</v>
      </c>
      <c r="AP46" s="22">
        <v>168</v>
      </c>
      <c r="AQ46" s="22">
        <v>170</v>
      </c>
      <c r="AR46" s="22">
        <v>170.3</v>
      </c>
    </row>
    <row r="47" spans="2:44" x14ac:dyDescent="0.2">
      <c r="B47" s="33">
        <f t="array" ref="B47:F48">[1]!MF_calibr_choke_fast(Qliq_,fw_,d_choke,Pbuf_,Plin_,d_pipe,T_choke,PVTstr_)</f>
        <v>0.92271069123717775</v>
      </c>
      <c r="C47" s="32">
        <v>26</v>
      </c>
      <c r="D47" s="32">
        <v>20</v>
      </c>
      <c r="E47" s="32">
        <v>80</v>
      </c>
      <c r="F47" s="33">
        <v>0.92271069123717775</v>
      </c>
      <c r="H47" s="29">
        <v>10</v>
      </c>
      <c r="I47" s="32">
        <f>[1]!MF_p_choke_atma(I$46,fw_,d_choke,$H47,1,d_pipe,T_choke,,PVTstr_,qgas_free)</f>
        <v>10</v>
      </c>
      <c r="J47" s="32">
        <f>[1]!MF_p_choke_atma(J$46,fw_,d_choke,$H47,1,d_pipe,T_choke,,PVTstr_,qgas_free)</f>
        <v>9.70703125</v>
      </c>
      <c r="K47" s="32">
        <f>[1]!MF_p_choke_atma(K$46,fw_,d_choke,$H47,1,d_pipe,T_choke,,PVTstr_,qgas_free)</f>
        <v>8.7713623046875</v>
      </c>
      <c r="L47" s="32">
        <f>[1]!MF_p_choke_atma(L$46,fw_,d_choke,$H47,1,d_pipe,T_choke,,PVTstr_,qgas_free)</f>
        <v>7.2998046875</v>
      </c>
      <c r="M47" s="32">
        <f>[1]!MF_p_choke_atma(M$46,fw_,d_choke,$H47,1,d_pipe,T_choke,,PVTstr_,qgas_free)</f>
        <v>-1</v>
      </c>
      <c r="N47" s="32">
        <f>[1]!MF_p_choke_atma(N$46,fw_,d_choke,$H47,1,d_pipe,T_choke,,PVTstr_,qgas_free)</f>
        <v>-1</v>
      </c>
      <c r="O47" s="32">
        <f>[1]!MF_p_choke_atma(O$46,fw_,d_choke,$H47,1,d_pipe,T_choke,,PVTstr_,qgas_free)</f>
        <v>-1</v>
      </c>
      <c r="P47" s="32">
        <f>[1]!MF_p_choke_atma(P$46,fw_,d_choke,$H47,1,d_pipe,T_choke,,PVTstr_,qgas_free)</f>
        <v>-1</v>
      </c>
      <c r="Q47" s="32">
        <f>[1]!MF_p_choke_atma(Q$46,fw_,d_choke,$H47,1,d_pipe,T_choke,,PVTstr_,qgas_free)</f>
        <v>-1</v>
      </c>
      <c r="R47" s="32">
        <f>[1]!MF_p_choke_atma(R$46,fw_,d_choke,$H47,1,d_pipe,T_choke,,PVTstr_,qgas_free)</f>
        <v>-1</v>
      </c>
      <c r="S47" s="32">
        <f>[1]!MF_p_choke_atma(S$46,fw_,d_choke,$H47,1,d_pipe,T_choke,,PVTstr_,qgas_free)</f>
        <v>-1</v>
      </c>
      <c r="T47" s="32">
        <f>[1]!MF_p_choke_atma(T$46,fw_,d_choke,$H47,1,d_pipe,T_choke,,PVTstr_,qgas_free)</f>
        <v>-1</v>
      </c>
      <c r="U47" s="32">
        <f>[1]!MF_p_choke_atma(U$46,fw_,d_choke,$H47,1,d_pipe,T_choke,,PVTstr_,qgas_free)</f>
        <v>-1</v>
      </c>
      <c r="V47" s="32">
        <f>[1]!MF_p_choke_atma(V$46,fw_,d_choke,$H47,1,d_pipe,T_choke,,PVTstr_,qgas_free)</f>
        <v>-1</v>
      </c>
      <c r="W47" s="32">
        <f>[1]!MF_p_choke_atma(W$46,fw_,d_choke,$H47,1,d_pipe,T_choke,,PVTstr_,qgas_free)</f>
        <v>-1</v>
      </c>
      <c r="X47" s="32">
        <f>[1]!MF_p_choke_atma(X$46,fw_,d_choke,$H47,1,d_pipe,T_choke,,PVTstr_,qgas_free)</f>
        <v>-1</v>
      </c>
      <c r="Y47" s="32">
        <f>[1]!MF_p_choke_atma(Y$46,fw_,d_choke,$H47,1,d_pipe,T_choke,,PVTstr_,qgas_free)</f>
        <v>-1</v>
      </c>
      <c r="Z47" s="32">
        <f>[1]!MF_p_choke_atma(Z$46,fw_,d_choke,$H47,1,d_pipe,T_choke,,PVTstr_,qgas_free)</f>
        <v>-1</v>
      </c>
      <c r="AA47" s="32">
        <f>[1]!MF_p_choke_atma(AA$46,fw_,d_choke,$H47,1,d_pipe,T_choke,,PVTstr_,qgas_free)</f>
        <v>-1</v>
      </c>
      <c r="AB47" s="32">
        <f>[1]!MF_p_choke_atma(AB$46,fw_,d_choke,$H47,1,d_pipe,T_choke,,PVTstr_,qgas_free)</f>
        <v>-1</v>
      </c>
      <c r="AC47" s="32">
        <f>[1]!MF_p_choke_atma(AC$46,fw_,d_choke,$H47,1,d_pipe,T_choke,,PVTstr_,qgas_free)</f>
        <v>-1</v>
      </c>
      <c r="AD47" s="32">
        <f>[1]!MF_p_choke_atma(AD$46,fw_,d_choke,$H47,1,d_pipe,T_choke,,PVTstr_,qgas_free)</f>
        <v>-1</v>
      </c>
      <c r="AE47" s="32">
        <f>[1]!MF_p_choke_atma(AE$46,fw_,d_choke,$H47,1,d_pipe,T_choke,,PVTstr_,qgas_free)</f>
        <v>-1</v>
      </c>
      <c r="AF47" s="32">
        <f>[1]!MF_p_choke_atma(AF$46,fw_,d_choke,$H47,1,d_pipe,T_choke,,PVTstr_,qgas_free)</f>
        <v>-1</v>
      </c>
      <c r="AG47" s="32">
        <f>[1]!MF_p_choke_atma(AG$46,fw_,d_choke,$H47,1,d_pipe,T_choke,,PVTstr_,qgas_free)</f>
        <v>-1</v>
      </c>
      <c r="AH47" s="32">
        <f>[1]!MF_p_choke_atma(AH$46,fw_,d_choke,$H47,1,d_pipe,T_choke,,PVTstr_,qgas_free)</f>
        <v>-1</v>
      </c>
      <c r="AI47" s="32">
        <f>[1]!MF_p_choke_atma(AI$46,fw_,d_choke,$H47,1,d_pipe,T_choke,,PVTstr_,qgas_free)</f>
        <v>-1</v>
      </c>
      <c r="AJ47" s="32">
        <f>[1]!MF_p_choke_atma(AJ$46,fw_,d_choke,$H47,1,d_pipe,T_choke,,PVTstr_,qgas_free)</f>
        <v>-1</v>
      </c>
      <c r="AK47" s="32">
        <f>[1]!MF_p_choke_atma(AK$46,fw_,d_choke,$H47,1,d_pipe,T_choke,,PVTstr_,qgas_free)</f>
        <v>-1</v>
      </c>
      <c r="AL47" s="32">
        <f>[1]!MF_p_choke_atma(AL$46,fw_,d_choke,$H47,1,d_pipe,T_choke,,PVTstr_,qgas_free)</f>
        <v>-1</v>
      </c>
      <c r="AM47" s="32">
        <f>[1]!MF_p_choke_atma(AM$46,fw_,d_choke,$H47,1,d_pipe,T_choke,,PVTstr_,qgas_free)</f>
        <v>-1</v>
      </c>
      <c r="AN47" s="32">
        <f>[1]!MF_p_choke_atma(AN$46,fw_,d_choke,$H47,1,d_pipe,T_choke,,PVTstr_,qgas_free)</f>
        <v>-1</v>
      </c>
      <c r="AO47" s="32">
        <f>[1]!MF_p_choke_atma(AO$46,fw_,d_choke,$H47,1,d_pipe,T_choke,,PVTstr_,qgas_free)</f>
        <v>-1</v>
      </c>
      <c r="AP47" s="32">
        <f>[1]!MF_p_choke_atma(AP$46,fw_,d_choke,$H47,1,d_pipe,T_choke,,PVTstr_,qgas_free)</f>
        <v>-1</v>
      </c>
      <c r="AQ47" s="32">
        <f>[1]!MF_p_choke_atma(AQ$46,fw_,d_choke,$H47,1,d_pipe,T_choke,,PVTstr_,qgas_free)</f>
        <v>-1</v>
      </c>
      <c r="AR47" s="32">
        <f>[1]!MF_p_choke_atma(AR$46,fw_,d_choke,$H47,1,d_pipe,T_choke,,PVTstr_,qgas_free)</f>
        <v>-1</v>
      </c>
    </row>
    <row r="48" spans="2:44" x14ac:dyDescent="0.2">
      <c r="B48" s="34" t="str">
        <v>c_calibr_fr</v>
      </c>
      <c r="C48" s="34" t="str">
        <v>p_intake_atma</v>
      </c>
      <c r="D48" s="34" t="str">
        <v>p_out_atma</v>
      </c>
      <c r="E48" s="34" t="str">
        <v>t_choke_C</v>
      </c>
      <c r="F48" s="34" t="str">
        <v>c_calibr_fr</v>
      </c>
      <c r="H48" s="29">
        <v>15</v>
      </c>
      <c r="I48" s="32">
        <f>[1]!MF_p_choke_atma(I$46,fw_,d_choke,$H48,1,d_pipe,T_choke,,PVTstr_,qgas_free)</f>
        <v>15</v>
      </c>
      <c r="J48" s="32">
        <f>[1]!MF_p_choke_atma(J$46,fw_,d_choke,$H48,1,d_pipe,T_choke,,PVTstr_,qgas_free)</f>
        <v>14.803791046142578</v>
      </c>
      <c r="K48" s="32">
        <f>[1]!MF_p_choke_atma(K$46,fw_,d_choke,$H48,1,d_pipe,T_choke,,PVTstr_,qgas_free)</f>
        <v>14.27215576171875</v>
      </c>
      <c r="L48" s="32">
        <f>[1]!MF_p_choke_atma(L$46,fw_,d_choke,$H48,1,d_pipe,T_choke,,PVTstr_,qgas_free)</f>
        <v>13.7933349609375</v>
      </c>
      <c r="M48" s="32">
        <f>[1]!MF_p_choke_atma(M$46,fw_,d_choke,$H48,1,d_pipe,T_choke,,PVTstr_,qgas_free)</f>
        <v>13.32733154296875</v>
      </c>
      <c r="N48" s="32">
        <f>[1]!MF_p_choke_atma(N$46,fw_,d_choke,$H48,1,d_pipe,T_choke,,PVTstr_,qgas_free)</f>
        <v>12.9730224609375</v>
      </c>
      <c r="O48" s="32">
        <f>[1]!MF_p_choke_atma(O$46,fw_,d_choke,$H48,1,d_pipe,T_choke,,PVTstr_,qgas_free)</f>
        <v>12.8448486328125</v>
      </c>
      <c r="P48" s="32">
        <f>[1]!MF_p_choke_atma(P$46,fw_,d_choke,$H48,1,d_pipe,T_choke,,PVTstr_,qgas_free)</f>
        <v>12.83843994140625</v>
      </c>
      <c r="Q48" s="32">
        <f>[1]!MF_p_choke_atma(Q$46,fw_,d_choke,$H48,1,d_pipe,T_choke,,PVTstr_,qgas_free)</f>
        <v>10.517578125</v>
      </c>
      <c r="R48" s="32">
        <f>[1]!MF_p_choke_atma(R$46,fw_,d_choke,$H48,1,d_pipe,T_choke,,PVTstr_,qgas_free)</f>
        <v>-1</v>
      </c>
      <c r="S48" s="32">
        <f>[1]!MF_p_choke_atma(S$46,fw_,d_choke,$H48,1,d_pipe,T_choke,,PVTstr_,qgas_free)</f>
        <v>-1</v>
      </c>
      <c r="T48" s="32">
        <f>[1]!MF_p_choke_atma(T$46,fw_,d_choke,$H48,1,d_pipe,T_choke,,PVTstr_,qgas_free)</f>
        <v>-1</v>
      </c>
      <c r="U48" s="32">
        <f>[1]!MF_p_choke_atma(U$46,fw_,d_choke,$H48,1,d_pipe,T_choke,,PVTstr_,qgas_free)</f>
        <v>-1</v>
      </c>
      <c r="V48" s="32">
        <f>[1]!MF_p_choke_atma(V$46,fw_,d_choke,$H48,1,d_pipe,T_choke,,PVTstr_,qgas_free)</f>
        <v>-1</v>
      </c>
      <c r="W48" s="32">
        <f>[1]!MF_p_choke_atma(W$46,fw_,d_choke,$H48,1,d_pipe,T_choke,,PVTstr_,qgas_free)</f>
        <v>-1</v>
      </c>
      <c r="X48" s="32">
        <f>[1]!MF_p_choke_atma(X$46,fw_,d_choke,$H48,1,d_pipe,T_choke,,PVTstr_,qgas_free)</f>
        <v>-1</v>
      </c>
      <c r="Y48" s="32">
        <f>[1]!MF_p_choke_atma(Y$46,fw_,d_choke,$H48,1,d_pipe,T_choke,,PVTstr_,qgas_free)</f>
        <v>-1</v>
      </c>
      <c r="Z48" s="32">
        <f>[1]!MF_p_choke_atma(Z$46,fw_,d_choke,$H48,1,d_pipe,T_choke,,PVTstr_,qgas_free)</f>
        <v>-1</v>
      </c>
      <c r="AA48" s="32">
        <f>[1]!MF_p_choke_atma(AA$46,fw_,d_choke,$H48,1,d_pipe,T_choke,,PVTstr_,qgas_free)</f>
        <v>-1</v>
      </c>
      <c r="AB48" s="32">
        <f>[1]!MF_p_choke_atma(AB$46,fw_,d_choke,$H48,1,d_pipe,T_choke,,PVTstr_,qgas_free)</f>
        <v>-1</v>
      </c>
      <c r="AC48" s="32">
        <f>[1]!MF_p_choke_atma(AC$46,fw_,d_choke,$H48,1,d_pipe,T_choke,,PVTstr_,qgas_free)</f>
        <v>-1</v>
      </c>
      <c r="AD48" s="32">
        <f>[1]!MF_p_choke_atma(AD$46,fw_,d_choke,$H48,1,d_pipe,T_choke,,PVTstr_,qgas_free)</f>
        <v>-1</v>
      </c>
      <c r="AE48" s="32">
        <f>[1]!MF_p_choke_atma(AE$46,fw_,d_choke,$H48,1,d_pipe,T_choke,,PVTstr_,qgas_free)</f>
        <v>-1</v>
      </c>
      <c r="AF48" s="32">
        <f>[1]!MF_p_choke_atma(AF$46,fw_,d_choke,$H48,1,d_pipe,T_choke,,PVTstr_,qgas_free)</f>
        <v>-1</v>
      </c>
      <c r="AG48" s="32">
        <f>[1]!MF_p_choke_atma(AG$46,fw_,d_choke,$H48,1,d_pipe,T_choke,,PVTstr_,qgas_free)</f>
        <v>-1</v>
      </c>
      <c r="AH48" s="32">
        <f>[1]!MF_p_choke_atma(AH$46,fw_,d_choke,$H48,1,d_pipe,T_choke,,PVTstr_,qgas_free)</f>
        <v>-1</v>
      </c>
      <c r="AI48" s="32">
        <f>[1]!MF_p_choke_atma(AI$46,fw_,d_choke,$H48,1,d_pipe,T_choke,,PVTstr_,qgas_free)</f>
        <v>-1</v>
      </c>
      <c r="AJ48" s="32">
        <f>[1]!MF_p_choke_atma(AJ$46,fw_,d_choke,$H48,1,d_pipe,T_choke,,PVTstr_,qgas_free)</f>
        <v>-1</v>
      </c>
      <c r="AK48" s="32">
        <f>[1]!MF_p_choke_atma(AK$46,fw_,d_choke,$H48,1,d_pipe,T_choke,,PVTstr_,qgas_free)</f>
        <v>-1</v>
      </c>
      <c r="AL48" s="32">
        <f>[1]!MF_p_choke_atma(AL$46,fw_,d_choke,$H48,1,d_pipe,T_choke,,PVTstr_,qgas_free)</f>
        <v>-1</v>
      </c>
      <c r="AM48" s="32">
        <f>[1]!MF_p_choke_atma(AM$46,fw_,d_choke,$H48,1,d_pipe,T_choke,,PVTstr_,qgas_free)</f>
        <v>-1</v>
      </c>
      <c r="AN48" s="32">
        <f>[1]!MF_p_choke_atma(AN$46,fw_,d_choke,$H48,1,d_pipe,T_choke,,PVTstr_,qgas_free)</f>
        <v>-1</v>
      </c>
      <c r="AO48" s="32">
        <f>[1]!MF_p_choke_atma(AO$46,fw_,d_choke,$H48,1,d_pipe,T_choke,,PVTstr_,qgas_free)</f>
        <v>-1</v>
      </c>
      <c r="AP48" s="32">
        <f>[1]!MF_p_choke_atma(AP$46,fw_,d_choke,$H48,1,d_pipe,T_choke,,PVTstr_,qgas_free)</f>
        <v>-1</v>
      </c>
      <c r="AQ48" s="32">
        <f>[1]!MF_p_choke_atma(AQ$46,fw_,d_choke,$H48,1,d_pipe,T_choke,,PVTstr_,qgas_free)</f>
        <v>-1</v>
      </c>
      <c r="AR48" s="32">
        <f>[1]!MF_p_choke_atma(AR$46,fw_,d_choke,$H48,1,d_pipe,T_choke,,PVTstr_,qgas_free)</f>
        <v>-1</v>
      </c>
    </row>
    <row r="49" spans="8:44" x14ac:dyDescent="0.2">
      <c r="H49" s="29">
        <v>20</v>
      </c>
      <c r="I49" s="32">
        <f>[1]!MF_p_choke_atma(I$46,fw_,d_choke,$H49,1,d_pipe,T_choke,,PVTstr_,qgas_free)</f>
        <v>20</v>
      </c>
      <c r="J49" s="32">
        <f>[1]!MF_p_choke_atma(J$46,fw_,d_choke,$H49,1,d_pipe,T_choke,,PVTstr_,qgas_free)</f>
        <v>19.849395751953125</v>
      </c>
      <c r="K49" s="32">
        <f>[1]!MF_p_choke_atma(K$46,fw_,d_choke,$H49,1,d_pipe,T_choke,,PVTstr_,qgas_free)</f>
        <v>19.4580078125</v>
      </c>
      <c r="L49" s="32">
        <f>[1]!MF_p_choke_atma(L$46,fw_,d_choke,$H49,1,d_pipe,T_choke,,PVTstr_,qgas_free)</f>
        <v>19.129638671875</v>
      </c>
      <c r="M49" s="32">
        <f>[1]!MF_p_choke_atma(M$46,fw_,d_choke,$H49,1,d_pipe,T_choke,,PVTstr_,qgas_free)</f>
        <v>18.83392333984375</v>
      </c>
      <c r="N49" s="32">
        <f>[1]!MF_p_choke_atma(N$46,fw_,d_choke,$H49,1,d_pipe,T_choke,,PVTstr_,qgas_free)</f>
        <v>18.6279296875</v>
      </c>
      <c r="O49" s="32">
        <f>[1]!MF_p_choke_atma(O$46,fw_,d_choke,$H49,1,d_pipe,T_choke,,PVTstr_,qgas_free)</f>
        <v>18.55712890625</v>
      </c>
      <c r="P49" s="32">
        <f>[1]!MF_p_choke_atma(P$46,fw_,d_choke,$H49,1,d_pipe,T_choke,,PVTstr_,qgas_free)</f>
        <v>18.5540771484375</v>
      </c>
      <c r="Q49" s="32">
        <f>[1]!MF_p_choke_atma(Q$46,fw_,d_choke,$H49,1,d_pipe,T_choke,,PVTstr_,qgas_free)</f>
        <v>17.740478515625</v>
      </c>
      <c r="R49" s="32">
        <f>[1]!MF_p_choke_atma(R$46,fw_,d_choke,$H49,1,d_pipe,T_choke,,PVTstr_,qgas_free)</f>
        <v>17.13134765625</v>
      </c>
      <c r="S49" s="32">
        <f>[1]!MF_p_choke_atma(S$46,fw_,d_choke,$H49,1,d_pipe,T_choke,,PVTstr_,qgas_free)</f>
        <v>16.8408203125</v>
      </c>
      <c r="T49" s="32">
        <f>[1]!MF_p_choke_atma(T$46,fw_,d_choke,$H49,1,d_pipe,T_choke,,PVTstr_,qgas_free)</f>
        <v>16.51123046875</v>
      </c>
      <c r="U49" s="32">
        <f>[1]!MF_p_choke_atma(U$46,fw_,d_choke,$H49,1,d_pipe,T_choke,,PVTstr_,qgas_free)</f>
        <v>15.91796875</v>
      </c>
      <c r="V49" s="32">
        <f>[1]!MF_p_choke_atma(V$46,fw_,d_choke,$H49,1,d_pipe,T_choke,,PVTstr_,qgas_free)</f>
        <v>15.419921875</v>
      </c>
      <c r="W49" s="32">
        <f>[1]!MF_p_choke_atma(W$46,fw_,d_choke,$H49,1,d_pipe,T_choke,,PVTstr_,qgas_free)</f>
        <v>15.36376953125</v>
      </c>
      <c r="X49" s="32">
        <f>[1]!MF_p_choke_atma(X$46,fw_,d_choke,$H49,1,d_pipe,T_choke,,PVTstr_,qgas_free)</f>
        <v>-1</v>
      </c>
      <c r="Y49" s="32">
        <f>[1]!MF_p_choke_atma(Y$46,fw_,d_choke,$H49,1,d_pipe,T_choke,,PVTstr_,qgas_free)</f>
        <v>-1</v>
      </c>
      <c r="Z49" s="32">
        <f>[1]!MF_p_choke_atma(Z$46,fw_,d_choke,$H49,1,d_pipe,T_choke,,PVTstr_,qgas_free)</f>
        <v>-1</v>
      </c>
      <c r="AA49" s="32">
        <f>[1]!MF_p_choke_atma(AA$46,fw_,d_choke,$H49,1,d_pipe,T_choke,,PVTstr_,qgas_free)</f>
        <v>-1</v>
      </c>
      <c r="AB49" s="32">
        <f>[1]!MF_p_choke_atma(AB$46,fw_,d_choke,$H49,1,d_pipe,T_choke,,PVTstr_,qgas_free)</f>
        <v>-1</v>
      </c>
      <c r="AC49" s="32">
        <f>[1]!MF_p_choke_atma(AC$46,fw_,d_choke,$H49,1,d_pipe,T_choke,,PVTstr_,qgas_free)</f>
        <v>-1</v>
      </c>
      <c r="AD49" s="32">
        <f>[1]!MF_p_choke_atma(AD$46,fw_,d_choke,$H49,1,d_pipe,T_choke,,PVTstr_,qgas_free)</f>
        <v>-1</v>
      </c>
      <c r="AE49" s="32">
        <f>[1]!MF_p_choke_atma(AE$46,fw_,d_choke,$H49,1,d_pipe,T_choke,,PVTstr_,qgas_free)</f>
        <v>-1</v>
      </c>
      <c r="AF49" s="32">
        <f>[1]!MF_p_choke_atma(AF$46,fw_,d_choke,$H49,1,d_pipe,T_choke,,PVTstr_,qgas_free)</f>
        <v>-1</v>
      </c>
      <c r="AG49" s="32">
        <f>[1]!MF_p_choke_atma(AG$46,fw_,d_choke,$H49,1,d_pipe,T_choke,,PVTstr_,qgas_free)</f>
        <v>-1</v>
      </c>
      <c r="AH49" s="32">
        <f>[1]!MF_p_choke_atma(AH$46,fw_,d_choke,$H49,1,d_pipe,T_choke,,PVTstr_,qgas_free)</f>
        <v>-1</v>
      </c>
      <c r="AI49" s="32">
        <f>[1]!MF_p_choke_atma(AI$46,fw_,d_choke,$H49,1,d_pipe,T_choke,,PVTstr_,qgas_free)</f>
        <v>-1</v>
      </c>
      <c r="AJ49" s="32">
        <f>[1]!MF_p_choke_atma(AJ$46,fw_,d_choke,$H49,1,d_pipe,T_choke,,PVTstr_,qgas_free)</f>
        <v>-1</v>
      </c>
      <c r="AK49" s="32">
        <f>[1]!MF_p_choke_atma(AK$46,fw_,d_choke,$H49,1,d_pipe,T_choke,,PVTstr_,qgas_free)</f>
        <v>-1</v>
      </c>
      <c r="AL49" s="32">
        <f>[1]!MF_p_choke_atma(AL$46,fw_,d_choke,$H49,1,d_pipe,T_choke,,PVTstr_,qgas_free)</f>
        <v>-1</v>
      </c>
      <c r="AM49" s="32">
        <f>[1]!MF_p_choke_atma(AM$46,fw_,d_choke,$H49,1,d_pipe,T_choke,,PVTstr_,qgas_free)</f>
        <v>-1</v>
      </c>
      <c r="AN49" s="32">
        <f>[1]!MF_p_choke_atma(AN$46,fw_,d_choke,$H49,1,d_pipe,T_choke,,PVTstr_,qgas_free)</f>
        <v>-1</v>
      </c>
      <c r="AO49" s="32">
        <f>[1]!MF_p_choke_atma(AO$46,fw_,d_choke,$H49,1,d_pipe,T_choke,,PVTstr_,qgas_free)</f>
        <v>-1</v>
      </c>
      <c r="AP49" s="32">
        <f>[1]!MF_p_choke_atma(AP$46,fw_,d_choke,$H49,1,d_pipe,T_choke,,PVTstr_,qgas_free)</f>
        <v>-1</v>
      </c>
      <c r="AQ49" s="32">
        <f>[1]!MF_p_choke_atma(AQ$46,fw_,d_choke,$H49,1,d_pipe,T_choke,,PVTstr_,qgas_free)</f>
        <v>-1</v>
      </c>
      <c r="AR49" s="32">
        <f>[1]!MF_p_choke_atma(AR$46,fw_,d_choke,$H49,1,d_pipe,T_choke,,PVTstr_,qgas_free)</f>
        <v>-1</v>
      </c>
    </row>
    <row r="50" spans="8:44" x14ac:dyDescent="0.2">
      <c r="H50" s="29">
        <v>25</v>
      </c>
      <c r="I50" s="32">
        <f>[1]!MF_p_choke_atma(I$46,fw_,d_choke,$H50,1,d_pipe,T_choke,,PVTstr_,qgas_free)</f>
        <v>25</v>
      </c>
      <c r="J50" s="32">
        <f>[1]!MF_p_choke_atma(J$46,fw_,d_choke,$H50,1,d_pipe,T_choke,,PVTstr_,qgas_free)</f>
        <v>24.876213073730469</v>
      </c>
      <c r="K50" s="32">
        <f>[1]!MF_p_choke_atma(K$46,fw_,d_choke,$H50,1,d_pipe,T_choke,,PVTstr_,qgas_free)</f>
        <v>24.560356140136719</v>
      </c>
      <c r="L50" s="32">
        <f>[1]!MF_p_choke_atma(L$46,fw_,d_choke,$H50,1,d_pipe,T_choke,,PVTstr_,qgas_free)</f>
        <v>24.301910400390625</v>
      </c>
      <c r="M50" s="32">
        <f>[1]!MF_p_choke_atma(M$46,fw_,d_choke,$H50,1,d_pipe,T_choke,,PVTstr_,qgas_free)</f>
        <v>24.074935913085938</v>
      </c>
      <c r="N50" s="32">
        <f>[1]!MF_p_choke_atma(N$46,fw_,d_choke,$H50,1,d_pipe,T_choke,,PVTstr_,qgas_free)</f>
        <v>23.920440673828125</v>
      </c>
      <c r="O50" s="32">
        <f>[1]!MF_p_choke_atma(O$46,fw_,d_choke,$H50,1,d_pipe,T_choke,,PVTstr_,qgas_free)</f>
        <v>23.8677978515625</v>
      </c>
      <c r="P50" s="32">
        <f>[1]!MF_p_choke_atma(P$46,fw_,d_choke,$H50,1,d_pipe,T_choke,,PVTstr_,qgas_free)</f>
        <v>23.865509033203125</v>
      </c>
      <c r="Q50" s="32">
        <f>[1]!MF_p_choke_atma(Q$46,fw_,d_choke,$H50,1,d_pipe,T_choke,,PVTstr_,qgas_free)</f>
        <v>23.290252685546875</v>
      </c>
      <c r="R50" s="32">
        <f>[1]!MF_p_choke_atma(R$46,fw_,d_choke,$H50,1,d_pipe,T_choke,,PVTstr_,qgas_free)</f>
        <v>22.8973388671875</v>
      </c>
      <c r="S50" s="32">
        <f>[1]!MF_p_choke_atma(S$46,fw_,d_choke,$H50,1,d_pipe,T_choke,,PVTstr_,qgas_free)</f>
        <v>22.723388671875</v>
      </c>
      <c r="T50" s="32">
        <f>[1]!MF_p_choke_atma(T$46,fw_,d_choke,$H50,1,d_pipe,T_choke,,PVTstr_,qgas_free)</f>
        <v>22.5372314453125</v>
      </c>
      <c r="U50" s="32">
        <f>[1]!MF_p_choke_atma(U$46,fw_,d_choke,$H50,1,d_pipe,T_choke,,PVTstr_,qgas_free)</f>
        <v>22.235107421875</v>
      </c>
      <c r="V50" s="32">
        <f>[1]!MF_p_choke_atma(V$46,fw_,d_choke,$H50,1,d_pipe,T_choke,,PVTstr_,qgas_free)</f>
        <v>22.015380859375</v>
      </c>
      <c r="W50" s="32">
        <f>[1]!MF_p_choke_atma(W$46,fw_,d_choke,$H50,1,d_pipe,T_choke,,PVTstr_,qgas_free)</f>
        <v>21.99249267578125</v>
      </c>
      <c r="X50" s="32">
        <f>[1]!MF_p_choke_atma(X$46,fw_,d_choke,$H50,1,d_pipe,T_choke,,PVTstr_,qgas_free)</f>
        <v>20.78857421875</v>
      </c>
      <c r="Y50" s="32">
        <f>[1]!MF_p_choke_atma(Y$46,fw_,d_choke,$H50,1,d_pipe,T_choke,,PVTstr_,qgas_free)</f>
        <v>18.768310546875</v>
      </c>
      <c r="Z50" s="32">
        <f>[1]!MF_p_choke_atma(Z$46,fw_,d_choke,$H50,1,d_pipe,T_choke,,PVTstr_,qgas_free)</f>
        <v>-1</v>
      </c>
      <c r="AA50" s="32">
        <f>[1]!MF_p_choke_atma(AA$46,fw_,d_choke,$H50,1,d_pipe,T_choke,,PVTstr_,qgas_free)</f>
        <v>-1</v>
      </c>
      <c r="AB50" s="32">
        <f>[1]!MF_p_choke_atma(AB$46,fw_,d_choke,$H50,1,d_pipe,T_choke,,PVTstr_,qgas_free)</f>
        <v>-1</v>
      </c>
      <c r="AC50" s="32">
        <f>[1]!MF_p_choke_atma(AC$46,fw_,d_choke,$H50,1,d_pipe,T_choke,,PVTstr_,qgas_free)</f>
        <v>-1</v>
      </c>
      <c r="AD50" s="32">
        <f>[1]!MF_p_choke_atma(AD$46,fw_,d_choke,$H50,1,d_pipe,T_choke,,PVTstr_,qgas_free)</f>
        <v>-1</v>
      </c>
      <c r="AE50" s="32">
        <f>[1]!MF_p_choke_atma(AE$46,fw_,d_choke,$H50,1,d_pipe,T_choke,,PVTstr_,qgas_free)</f>
        <v>-1</v>
      </c>
      <c r="AF50" s="32">
        <f>[1]!MF_p_choke_atma(AF$46,fw_,d_choke,$H50,1,d_pipe,T_choke,,PVTstr_,qgas_free)</f>
        <v>-1</v>
      </c>
      <c r="AG50" s="32">
        <f>[1]!MF_p_choke_atma(AG$46,fw_,d_choke,$H50,1,d_pipe,T_choke,,PVTstr_,qgas_free)</f>
        <v>-1</v>
      </c>
      <c r="AH50" s="32">
        <f>[1]!MF_p_choke_atma(AH$46,fw_,d_choke,$H50,1,d_pipe,T_choke,,PVTstr_,qgas_free)</f>
        <v>-1</v>
      </c>
      <c r="AI50" s="32">
        <f>[1]!MF_p_choke_atma(AI$46,fw_,d_choke,$H50,1,d_pipe,T_choke,,PVTstr_,qgas_free)</f>
        <v>-1</v>
      </c>
      <c r="AJ50" s="32">
        <f>[1]!MF_p_choke_atma(AJ$46,fw_,d_choke,$H50,1,d_pipe,T_choke,,PVTstr_,qgas_free)</f>
        <v>-1</v>
      </c>
      <c r="AK50" s="32">
        <f>[1]!MF_p_choke_atma(AK$46,fw_,d_choke,$H50,1,d_pipe,T_choke,,PVTstr_,qgas_free)</f>
        <v>-1</v>
      </c>
      <c r="AL50" s="32">
        <f>[1]!MF_p_choke_atma(AL$46,fw_,d_choke,$H50,1,d_pipe,T_choke,,PVTstr_,qgas_free)</f>
        <v>-1</v>
      </c>
      <c r="AM50" s="32">
        <f>[1]!MF_p_choke_atma(AM$46,fw_,d_choke,$H50,1,d_pipe,T_choke,,PVTstr_,qgas_free)</f>
        <v>-1</v>
      </c>
      <c r="AN50" s="32">
        <f>[1]!MF_p_choke_atma(AN$46,fw_,d_choke,$H50,1,d_pipe,T_choke,,PVTstr_,qgas_free)</f>
        <v>-1</v>
      </c>
      <c r="AO50" s="32">
        <f>[1]!MF_p_choke_atma(AO$46,fw_,d_choke,$H50,1,d_pipe,T_choke,,PVTstr_,qgas_free)</f>
        <v>-1</v>
      </c>
      <c r="AP50" s="32">
        <f>[1]!MF_p_choke_atma(AP$46,fw_,d_choke,$H50,1,d_pipe,T_choke,,PVTstr_,qgas_free)</f>
        <v>-1</v>
      </c>
      <c r="AQ50" s="32">
        <f>[1]!MF_p_choke_atma(AQ$46,fw_,d_choke,$H50,1,d_pipe,T_choke,,PVTstr_,qgas_free)</f>
        <v>-1</v>
      </c>
      <c r="AR50" s="32">
        <f>[1]!MF_p_choke_atma(AR$46,fw_,d_choke,$H50,1,d_pipe,T_choke,,PVTstr_,qgas_free)</f>
        <v>-1</v>
      </c>
    </row>
    <row r="51" spans="8:44" x14ac:dyDescent="0.2">
      <c r="H51" s="29">
        <v>30</v>
      </c>
      <c r="I51" s="32">
        <f>[1]!MF_p_choke_atma(I$46,fw_,d_choke,$H51,1,d_pipe,T_choke,,PVTstr_,qgas_free)</f>
        <v>30</v>
      </c>
      <c r="J51" s="32">
        <f>[1]!MF_p_choke_atma(J$46,fw_,d_choke,$H51,1,d_pipe,T_choke,,PVTstr_,qgas_free)</f>
        <v>29.893970489501953</v>
      </c>
      <c r="K51" s="32">
        <f>[1]!MF_p_choke_atma(K$46,fw_,d_choke,$H51,1,d_pipe,T_choke,,PVTstr_,qgas_free)</f>
        <v>29.625778198242188</v>
      </c>
      <c r="L51" s="32">
        <f>[1]!MF_p_choke_atma(L$46,fw_,d_choke,$H51,1,d_pipe,T_choke,,PVTstr_,qgas_free)</f>
        <v>29.409255981445313</v>
      </c>
      <c r="M51" s="32">
        <f>[1]!MF_p_choke_atma(M$46,fw_,d_choke,$H51,1,d_pipe,T_choke,,PVTstr_,qgas_free)</f>
        <v>29.221115112304688</v>
      </c>
      <c r="N51" s="32">
        <f>[1]!MF_p_choke_atma(N$46,fw_,d_choke,$H51,1,d_pipe,T_choke,,PVTstr_,qgas_free)</f>
        <v>29.094085693359375</v>
      </c>
      <c r="O51" s="32">
        <f>[1]!MF_p_choke_atma(O$46,fw_,d_choke,$H51,1,d_pipe,T_choke,,PVTstr_,qgas_free)</f>
        <v>29.051513671875</v>
      </c>
      <c r="P51" s="32">
        <f>[1]!MF_p_choke_atma(P$46,fw_,d_choke,$H51,1,d_pipe,T_choke,,PVTstr_,qgas_free)</f>
        <v>29.0496826171875</v>
      </c>
      <c r="Q51" s="32">
        <f>[1]!MF_p_choke_atma(Q$46,fw_,d_choke,$H51,1,d_pipe,T_choke,,PVTstr_,qgas_free)</f>
        <v>28.5882568359375</v>
      </c>
      <c r="R51" s="32">
        <f>[1]!MF_p_choke_atma(R$46,fw_,d_choke,$H51,1,d_pipe,T_choke,,PVTstr_,qgas_free)</f>
        <v>28.282470703125</v>
      </c>
      <c r="S51" s="32">
        <f>[1]!MF_p_choke_atma(S$46,fw_,d_choke,$H51,1,d_pipe,T_choke,,PVTstr_,qgas_free)</f>
        <v>28.14971923828125</v>
      </c>
      <c r="T51" s="32">
        <f>[1]!MF_p_choke_atma(T$46,fw_,d_choke,$H51,1,d_pipe,T_choke,,PVTstr_,qgas_free)</f>
        <v>28.0096435546875</v>
      </c>
      <c r="U51" s="32">
        <f>[1]!MF_p_choke_atma(U$46,fw_,d_choke,$H51,1,d_pipe,T_choke,,PVTstr_,qgas_free)</f>
        <v>27.7862548828125</v>
      </c>
      <c r="V51" s="32">
        <f>[1]!MF_p_choke_atma(V$46,fw_,d_choke,$H51,1,d_pipe,T_choke,,PVTstr_,qgas_free)</f>
        <v>27.62786865234375</v>
      </c>
      <c r="W51" s="32">
        <f>[1]!MF_p_choke_atma(W$46,fw_,d_choke,$H51,1,d_pipe,T_choke,,PVTstr_,qgas_free)</f>
        <v>27.6123046875</v>
      </c>
      <c r="X51" s="32">
        <f>[1]!MF_p_choke_atma(X$46,fw_,d_choke,$H51,1,d_pipe,T_choke,,PVTstr_,qgas_free)</f>
        <v>26.80755615234375</v>
      </c>
      <c r="Y51" s="32">
        <f>[1]!MF_p_choke_atma(Y$46,fw_,d_choke,$H51,1,d_pipe,T_choke,,PVTstr_,qgas_free)</f>
        <v>25.7574462890625</v>
      </c>
      <c r="Z51" s="32">
        <f>[1]!MF_p_choke_atma(Z$46,fw_,d_choke,$H51,1,d_pipe,T_choke,,PVTstr_,qgas_free)</f>
        <v>25.02685546875</v>
      </c>
      <c r="AA51" s="32">
        <f>[1]!MF_p_choke_atma(AA$46,fw_,d_choke,$H51,1,d_pipe,T_choke,,PVTstr_,qgas_free)</f>
        <v>24.86572265625</v>
      </c>
      <c r="AB51" s="32">
        <f>[1]!MF_p_choke_atma(AB$46,fw_,d_choke,$H51,1,d_pipe,T_choke,,PVTstr_,qgas_free)</f>
        <v>24.847412109375</v>
      </c>
      <c r="AC51" s="32">
        <f>[1]!MF_p_choke_atma(AC$46,fw_,d_choke,$H51,1,d_pipe,T_choke,,PVTstr_,qgas_free)</f>
        <v>22.97607421875</v>
      </c>
      <c r="AD51" s="32">
        <f>[1]!MF_p_choke_atma(AD$46,fw_,d_choke,$H51,1,d_pipe,T_choke,,PVTstr_,qgas_free)</f>
        <v>-1</v>
      </c>
      <c r="AE51" s="32">
        <f>[1]!MF_p_choke_atma(AE$46,fw_,d_choke,$H51,1,d_pipe,T_choke,,PVTstr_,qgas_free)</f>
        <v>-1</v>
      </c>
      <c r="AF51" s="32">
        <f>[1]!MF_p_choke_atma(AF$46,fw_,d_choke,$H51,1,d_pipe,T_choke,,PVTstr_,qgas_free)</f>
        <v>-1</v>
      </c>
      <c r="AG51" s="32">
        <f>[1]!MF_p_choke_atma(AG$46,fw_,d_choke,$H51,1,d_pipe,T_choke,,PVTstr_,qgas_free)</f>
        <v>-1</v>
      </c>
      <c r="AH51" s="32">
        <f>[1]!MF_p_choke_atma(AH$46,fw_,d_choke,$H51,1,d_pipe,T_choke,,PVTstr_,qgas_free)</f>
        <v>-1</v>
      </c>
      <c r="AI51" s="32">
        <f>[1]!MF_p_choke_atma(AI$46,fw_,d_choke,$H51,1,d_pipe,T_choke,,PVTstr_,qgas_free)</f>
        <v>-1</v>
      </c>
      <c r="AJ51" s="32">
        <f>[1]!MF_p_choke_atma(AJ$46,fw_,d_choke,$H51,1,d_pipe,T_choke,,PVTstr_,qgas_free)</f>
        <v>-1</v>
      </c>
      <c r="AK51" s="32">
        <f>[1]!MF_p_choke_atma(AK$46,fw_,d_choke,$H51,1,d_pipe,T_choke,,PVTstr_,qgas_free)</f>
        <v>-1</v>
      </c>
      <c r="AL51" s="32">
        <f>[1]!MF_p_choke_atma(AL$46,fw_,d_choke,$H51,1,d_pipe,T_choke,,PVTstr_,qgas_free)</f>
        <v>-1</v>
      </c>
      <c r="AM51" s="32">
        <f>[1]!MF_p_choke_atma(AM$46,fw_,d_choke,$H51,1,d_pipe,T_choke,,PVTstr_,qgas_free)</f>
        <v>-1</v>
      </c>
      <c r="AN51" s="32">
        <f>[1]!MF_p_choke_atma(AN$46,fw_,d_choke,$H51,1,d_pipe,T_choke,,PVTstr_,qgas_free)</f>
        <v>-1</v>
      </c>
      <c r="AO51" s="32">
        <f>[1]!MF_p_choke_atma(AO$46,fw_,d_choke,$H51,1,d_pipe,T_choke,,PVTstr_,qgas_free)</f>
        <v>-1</v>
      </c>
      <c r="AP51" s="32">
        <f>[1]!MF_p_choke_atma(AP$46,fw_,d_choke,$H51,1,d_pipe,T_choke,,PVTstr_,qgas_free)</f>
        <v>-1</v>
      </c>
      <c r="AQ51" s="32">
        <f>[1]!MF_p_choke_atma(AQ$46,fw_,d_choke,$H51,1,d_pipe,T_choke,,PVTstr_,qgas_free)</f>
        <v>-1</v>
      </c>
      <c r="AR51" s="32">
        <f>[1]!MF_p_choke_atma(AR$46,fw_,d_choke,$H51,1,d_pipe,T_choke,,PVTstr_,qgas_free)</f>
        <v>-1</v>
      </c>
    </row>
    <row r="52" spans="8:44" x14ac:dyDescent="0.2">
      <c r="H52" s="29">
        <v>35</v>
      </c>
      <c r="I52" s="32">
        <f>[1]!MF_p_choke_atma(I$46,fw_,d_choke,$H52,1,d_pipe,T_choke,,PVTstr_,qgas_free)</f>
        <v>35</v>
      </c>
      <c r="J52" s="32">
        <f>[1]!MF_p_choke_atma(J$46,fw_,d_choke,$H52,1,d_pipe,T_choke,,PVTstr_,qgas_free)</f>
        <v>34.906606674194336</v>
      </c>
      <c r="K52" s="32">
        <f>[1]!MF_p_choke_atma(K$46,fw_,d_choke,$H52,1,d_pipe,T_choke,,PVTstr_,qgas_free)</f>
        <v>34.671688079833984</v>
      </c>
      <c r="L52" s="32">
        <f>[1]!MF_p_choke_atma(L$46,fw_,d_choke,$H52,1,d_pipe,T_choke,,PVTstr_,qgas_free)</f>
        <v>34.483165740966797</v>
      </c>
      <c r="M52" s="32">
        <f>[1]!MF_p_choke_atma(M$46,fw_,d_choke,$H52,1,d_pipe,T_choke,,PVTstr_,qgas_free)</f>
        <v>34.3206787109375</v>
      </c>
      <c r="N52" s="32">
        <f>[1]!MF_p_choke_atma(N$46,fw_,d_choke,$H52,1,d_pipe,T_choke,,PVTstr_,qgas_free)</f>
        <v>34.211463928222656</v>
      </c>
      <c r="O52" s="32">
        <f>[1]!MF_p_choke_atma(O$46,fw_,d_choke,$H52,1,d_pipe,T_choke,,PVTstr_,qgas_free)</f>
        <v>34.174880981445313</v>
      </c>
      <c r="P52" s="32">
        <f>[1]!MF_p_choke_atma(P$46,fw_,d_choke,$H52,1,d_pipe,T_choke,,PVTstr_,qgas_free)</f>
        <v>34.17327880859375</v>
      </c>
      <c r="Q52" s="32">
        <f>[1]!MF_p_choke_atma(Q$46,fw_,d_choke,$H52,1,d_pipe,T_choke,,PVTstr_,qgas_free)</f>
        <v>33.781280517578125</v>
      </c>
      <c r="R52" s="32">
        <f>[1]!MF_p_choke_atma(R$46,fw_,d_choke,$H52,1,d_pipe,T_choke,,PVTstr_,qgas_free)</f>
        <v>33.524932861328125</v>
      </c>
      <c r="S52" s="32">
        <f>[1]!MF_p_choke_atma(S$46,fw_,d_choke,$H52,1,d_pipe,T_choke,,PVTstr_,qgas_free)</f>
        <v>33.414382934570313</v>
      </c>
      <c r="T52" s="32">
        <f>[1]!MF_p_choke_atma(T$46,fw_,d_choke,$H52,1,d_pipe,T_choke,,PVTstr_,qgas_free)</f>
        <v>33.299026489257813</v>
      </c>
      <c r="U52" s="32">
        <f>[1]!MF_p_choke_atma(U$46,fw_,d_choke,$H52,1,d_pipe,T_choke,,PVTstr_,qgas_free)</f>
        <v>33.1158447265625</v>
      </c>
      <c r="V52" s="32">
        <f>[1]!MF_p_choke_atma(V$46,fw_,d_choke,$H52,1,d_pipe,T_choke,,PVTstr_,qgas_free)</f>
        <v>32.9876708984375</v>
      </c>
      <c r="W52" s="32">
        <f>[1]!MF_p_choke_atma(W$46,fw_,d_choke,$H52,1,d_pipe,T_choke,,PVTstr_,qgas_free)</f>
        <v>32.974319458007813</v>
      </c>
      <c r="X52" s="32">
        <f>[1]!MF_p_choke_atma(X$46,fw_,d_choke,$H52,1,d_pipe,T_choke,,PVTstr_,qgas_free)</f>
        <v>32.337188720703125</v>
      </c>
      <c r="Y52" s="32">
        <f>[1]!MF_p_choke_atma(Y$46,fw_,d_choke,$H52,1,d_pipe,T_choke,,PVTstr_,qgas_free)</f>
        <v>31.5521240234375</v>
      </c>
      <c r="Z52" s="32">
        <f>[1]!MF_p_choke_atma(Z$46,fw_,d_choke,$H52,1,d_pipe,T_choke,,PVTstr_,qgas_free)</f>
        <v>31.043701171875</v>
      </c>
      <c r="AA52" s="32">
        <f>[1]!MF_p_choke_atma(AA$46,fw_,d_choke,$H52,1,d_pipe,T_choke,,PVTstr_,qgas_free)</f>
        <v>30.93475341796875</v>
      </c>
      <c r="AB52" s="32">
        <f>[1]!MF_p_choke_atma(AB$46,fw_,d_choke,$H52,1,d_pipe,T_choke,,PVTstr_,qgas_free)</f>
        <v>30.924072265625</v>
      </c>
      <c r="AC52" s="32">
        <f>[1]!MF_p_choke_atma(AC$46,fw_,d_choke,$H52,1,d_pipe,T_choke,,PVTstr_,qgas_free)</f>
        <v>29.82177734375</v>
      </c>
      <c r="AD52" s="32">
        <f>[1]!MF_p_choke_atma(AD$46,fw_,d_choke,$H52,1,d_pipe,T_choke,,PVTstr_,qgas_free)</f>
        <v>28.189697265625</v>
      </c>
      <c r="AE52" s="32">
        <f>[1]!MF_p_choke_atma(AE$46,fw_,d_choke,$H52,1,d_pipe,T_choke,,PVTstr_,qgas_free)</f>
        <v>27.56591796875</v>
      </c>
      <c r="AF52" s="32">
        <f>[1]!MF_p_choke_atma(AF$46,fw_,d_choke,$H52,1,d_pipe,T_choke,,PVTstr_,qgas_free)</f>
        <v>26.839599609375</v>
      </c>
      <c r="AG52" s="32">
        <f>[1]!MF_p_choke_atma(AG$46,fw_,d_choke,$H52,1,d_pipe,T_choke,,PVTstr_,qgas_free)</f>
        <v>26.702880859375</v>
      </c>
      <c r="AH52" s="32">
        <f>[1]!MF_p_choke_atma(AH$46,fw_,d_choke,$H52,1,d_pipe,T_choke,,PVTstr_,qgas_free)</f>
        <v>-1</v>
      </c>
      <c r="AI52" s="32">
        <f>[1]!MF_p_choke_atma(AI$46,fw_,d_choke,$H52,1,d_pipe,T_choke,,PVTstr_,qgas_free)</f>
        <v>-1</v>
      </c>
      <c r="AJ52" s="32">
        <f>[1]!MF_p_choke_atma(AJ$46,fw_,d_choke,$H52,1,d_pipe,T_choke,,PVTstr_,qgas_free)</f>
        <v>-1</v>
      </c>
      <c r="AK52" s="32">
        <f>[1]!MF_p_choke_atma(AK$46,fw_,d_choke,$H52,1,d_pipe,T_choke,,PVTstr_,qgas_free)</f>
        <v>-1</v>
      </c>
      <c r="AL52" s="32">
        <f>[1]!MF_p_choke_atma(AL$46,fw_,d_choke,$H52,1,d_pipe,T_choke,,PVTstr_,qgas_free)</f>
        <v>-1</v>
      </c>
      <c r="AM52" s="32">
        <f>[1]!MF_p_choke_atma(AM$46,fw_,d_choke,$H52,1,d_pipe,T_choke,,PVTstr_,qgas_free)</f>
        <v>-1</v>
      </c>
      <c r="AN52" s="32">
        <f>[1]!MF_p_choke_atma(AN$46,fw_,d_choke,$H52,1,d_pipe,T_choke,,PVTstr_,qgas_free)</f>
        <v>-1</v>
      </c>
      <c r="AO52" s="32">
        <f>[1]!MF_p_choke_atma(AO$46,fw_,d_choke,$H52,1,d_pipe,T_choke,,PVTstr_,qgas_free)</f>
        <v>-1</v>
      </c>
      <c r="AP52" s="32">
        <f>[1]!MF_p_choke_atma(AP$46,fw_,d_choke,$H52,1,d_pipe,T_choke,,PVTstr_,qgas_free)</f>
        <v>-1</v>
      </c>
      <c r="AQ52" s="32">
        <f>[1]!MF_p_choke_atma(AQ$46,fw_,d_choke,$H52,1,d_pipe,T_choke,,PVTstr_,qgas_free)</f>
        <v>-1</v>
      </c>
      <c r="AR52" s="32">
        <f>[1]!MF_p_choke_atma(AR$46,fw_,d_choke,$H52,1,d_pipe,T_choke,,PVTstr_,qgas_free)</f>
        <v>-1</v>
      </c>
    </row>
    <row r="85" spans="2:6" x14ac:dyDescent="0.2">
      <c r="B85">
        <v>5</v>
      </c>
    </row>
    <row r="87" spans="2:6" x14ac:dyDescent="0.2">
      <c r="B87" cm="1">
        <f t="array" ref="B87:F88">[1]!MF_calibr_choke(Qliq_,fw_,d_choke,Pbuf_,Plin_,d_pipe,T_choke,PVTstr_,qgas_free,B85)</f>
        <v>893.5546875</v>
      </c>
      <c r="C87" t="str">
        <v>qgas_free</v>
      </c>
      <c r="D87">
        <v>3.662109375E-4</v>
      </c>
      <c r="E87">
        <v>11</v>
      </c>
      <c r="F87" t="str">
        <v>solve_equation_bisection: done by  11 iterations, tolerance 0,001</v>
      </c>
    </row>
    <row r="88" spans="2:6" x14ac:dyDescent="0.2">
      <c r="B88" t="str">
        <v>solution</v>
      </c>
      <c r="C88" t="str">
        <v>cal_type</v>
      </c>
      <c r="D88" t="str">
        <v>y_solution</v>
      </c>
      <c r="E88" t="str">
        <v>iterations</v>
      </c>
      <c r="F88" t="str">
        <v>description</v>
      </c>
    </row>
    <row r="104" spans="2:26" x14ac:dyDescent="0.2">
      <c r="C104">
        <v>1.1000000000000001</v>
      </c>
    </row>
    <row r="106" spans="2:26" x14ac:dyDescent="0.2">
      <c r="B106" s="48" t="s">
        <v>37</v>
      </c>
      <c r="C106" s="2">
        <v>0</v>
      </c>
      <c r="D106" s="19">
        <v>15</v>
      </c>
      <c r="E106" s="19">
        <v>28</v>
      </c>
      <c r="F106" s="19">
        <v>35</v>
      </c>
      <c r="G106" s="19">
        <v>40</v>
      </c>
      <c r="H106" s="19">
        <v>43</v>
      </c>
      <c r="I106" s="19">
        <v>43.96</v>
      </c>
      <c r="J106" s="19">
        <v>44</v>
      </c>
      <c r="K106" s="19">
        <v>53</v>
      </c>
      <c r="L106" s="19">
        <v>58</v>
      </c>
      <c r="M106" s="19">
        <v>60</v>
      </c>
      <c r="N106" s="19">
        <v>62</v>
      </c>
      <c r="O106" s="19">
        <v>64</v>
      </c>
      <c r="P106" s="19">
        <v>66</v>
      </c>
      <c r="Q106" s="19">
        <v>68</v>
      </c>
      <c r="R106" s="19">
        <v>70</v>
      </c>
      <c r="S106" s="19">
        <v>72</v>
      </c>
      <c r="T106" s="19">
        <v>74</v>
      </c>
      <c r="U106" s="19">
        <v>76</v>
      </c>
      <c r="V106" s="19">
        <v>78</v>
      </c>
      <c r="W106" s="19">
        <v>80</v>
      </c>
      <c r="X106" s="19">
        <v>82</v>
      </c>
      <c r="Y106" s="19">
        <v>84</v>
      </c>
      <c r="Z106" s="19">
        <v>86</v>
      </c>
    </row>
    <row r="107" spans="2:26" x14ac:dyDescent="0.2">
      <c r="B107" s="2">
        <v>15</v>
      </c>
      <c r="C107" s="17">
        <f>[1]!MF_p_choke_atma(C$106,fw_,d_choke,$B107,1,d_pipe,T_choke,,PVTstr_,qgas_free)</f>
        <v>15</v>
      </c>
      <c r="D107" s="17">
        <f>[1]!MF_p_choke_atma(D$106,fw_,d_choke,$B107,1,d_pipe,T_choke,,PVTstr_,qgas_free)</f>
        <v>14.803791046142578</v>
      </c>
      <c r="E107" s="17">
        <f>[1]!MF_p_choke_atma(E$106,fw_,d_choke,$B107,1,d_pipe,T_choke,,PVTstr_,qgas_free)</f>
        <v>14.27215576171875</v>
      </c>
      <c r="F107" s="17">
        <f>[1]!MF_p_choke_atma(F$106,fw_,d_choke,$B107,1,d_pipe,T_choke,,PVTstr_,qgas_free)</f>
        <v>13.7933349609375</v>
      </c>
      <c r="G107" s="17">
        <f>[1]!MF_p_choke_atma(G$106,fw_,d_choke,$B107,1,d_pipe,T_choke,,PVTstr_,qgas_free)</f>
        <v>13.32733154296875</v>
      </c>
      <c r="H107" s="17">
        <f>[1]!MF_p_choke_atma(H$106,fw_,d_choke,$B107,1,d_pipe,T_choke,,PVTstr_,qgas_free)</f>
        <v>12.9730224609375</v>
      </c>
      <c r="I107" s="17">
        <f>[1]!MF_p_choke_atma(I$106,fw_,d_choke,$B107,1,d_pipe,T_choke,,PVTstr_,qgas_free)</f>
        <v>12.8448486328125</v>
      </c>
      <c r="J107" s="17">
        <f>[1]!MF_p_choke_atma(J$106,fw_,d_choke,$B107,1,d_pipe,T_choke,,PVTstr_,qgas_free)</f>
        <v>12.83843994140625</v>
      </c>
      <c r="K107" s="17">
        <f>[1]!MF_p_choke_atma(K$106,fw_,d_choke,$B107,1,d_pipe,T_choke,,PVTstr_,qgas_free)</f>
        <v>10.517578125</v>
      </c>
      <c r="L107" s="17">
        <f>[1]!MF_p_choke_atma(L$106,fw_,d_choke,$B107,1,d_pipe,T_choke,,PVTstr_,qgas_free)</f>
        <v>-1</v>
      </c>
      <c r="M107" s="17">
        <f>[1]!MF_p_choke_atma(M$106,fw_,d_choke,$B107,1,d_pipe,T_choke,,PVTstr_,qgas_free)</f>
        <v>-1</v>
      </c>
      <c r="N107" s="17">
        <f>[1]!MF_p_choke_atma(N$106,fw_,d_choke,$B107,1,d_pipe,T_choke,,PVTstr_,qgas_free)</f>
        <v>-1</v>
      </c>
      <c r="O107" s="17">
        <f>[1]!MF_p_choke_atma(O$106,fw_,d_choke,$B107,1,d_pipe,T_choke,,PVTstr_,qgas_free)</f>
        <v>-1</v>
      </c>
      <c r="P107" s="17">
        <f>[1]!MF_p_choke_atma(P$106,fw_,d_choke,$B107,1,d_pipe,T_choke,,PVTstr_,qgas_free)</f>
        <v>-1</v>
      </c>
      <c r="Q107" s="17">
        <f>[1]!MF_p_choke_atma(Q$106,fw_,d_choke,$B107,1,d_pipe,T_choke,,PVTstr_,qgas_free)</f>
        <v>-1</v>
      </c>
      <c r="R107" s="17">
        <f>[1]!MF_p_choke_atma(R$106,fw_,d_choke,$B107,1,d_pipe,T_choke,,PVTstr_,qgas_free)</f>
        <v>-1</v>
      </c>
      <c r="S107" s="17">
        <f>[1]!MF_p_choke_atma(S$106,fw_,d_choke,$B107,1,d_pipe,T_choke,,PVTstr_,qgas_free)</f>
        <v>-1</v>
      </c>
      <c r="T107" s="17">
        <f>[1]!MF_p_choke_atma(T$106,fw_,d_choke,$B107,1,d_pipe,T_choke,,PVTstr_,qgas_free)</f>
        <v>-1</v>
      </c>
      <c r="U107" s="17">
        <f>[1]!MF_p_choke_atma(U$106,fw_,d_choke,$B107,1,d_pipe,T_choke,,PVTstr_,qgas_free)</f>
        <v>-1</v>
      </c>
      <c r="V107" s="17">
        <f>[1]!MF_p_choke_atma(V$106,fw_,d_choke,$B107,1,d_pipe,T_choke,,PVTstr_,qgas_free)</f>
        <v>-1</v>
      </c>
      <c r="W107" s="17">
        <f>[1]!MF_p_choke_atma(W$106,fw_,d_choke,$B107,1,d_pipe,T_choke,,PVTstr_,qgas_free)</f>
        <v>-1</v>
      </c>
      <c r="X107" s="17">
        <f>[1]!MF_p_choke_atma(X$106,fw_,d_choke,$B107,1,d_pipe,T_choke,,PVTstr_,qgas_free)</f>
        <v>-1</v>
      </c>
      <c r="Y107" s="17">
        <f>[1]!MF_p_choke_atma(Y$106,fw_,d_choke,$B107,1,d_pipe,T_choke,,PVTstr_,qgas_free)</f>
        <v>-1</v>
      </c>
      <c r="Z107" s="17">
        <f>[1]!MF_p_choke_atma(Z$106,fw_,d_choke,$B107,1,d_pipe,T_choke,,PVTstr_,qgas_free)</f>
        <v>-1</v>
      </c>
    </row>
    <row r="108" spans="2:26" x14ac:dyDescent="0.2">
      <c r="B108" s="2">
        <v>15</v>
      </c>
      <c r="C108" s="17">
        <f>[1]!MF_p_choke_atma(C$106,fw_,d_choke,$B108,1,d_pipe,T_choke,cf_,PVTstr_,qgas_free)</f>
        <v>15</v>
      </c>
      <c r="D108" s="17">
        <f>[1]!MF_p_choke_atma(D$106,fw_,d_choke,$B108,1,d_pipe,T_choke,cf_,PVTstr_,qgas_free)</f>
        <v>14.838466644287109</v>
      </c>
      <c r="E108" s="17">
        <f>[1]!MF_p_choke_atma(E$106,fw_,d_choke,$B108,1,d_pipe,T_choke,cf_,PVTstr_,qgas_free)</f>
        <v>14.408111572265625</v>
      </c>
      <c r="F108" s="17">
        <f>[1]!MF_p_choke_atma(F$106,fw_,d_choke,$B108,1,d_pipe,T_choke,cf_,PVTstr_,qgas_free)</f>
        <v>14.03228759765625</v>
      </c>
      <c r="G108" s="17">
        <f>[1]!MF_p_choke_atma(G$106,fw_,d_choke,$B108,1,d_pipe,T_choke,cf_,PVTstr_,qgas_free)</f>
        <v>13.67889404296875</v>
      </c>
      <c r="H108" s="17">
        <f>[1]!MF_p_choke_atma(H$106,fw_,d_choke,$B108,1,d_pipe,T_choke,cf_,PVTstr_,qgas_free)</f>
        <v>13.421630859375</v>
      </c>
      <c r="I108" s="17">
        <f>[1]!MF_p_choke_atma(I$106,fw_,d_choke,$B108,1,d_pipe,T_choke,cf_,PVTstr_,qgas_free)</f>
        <v>13.33099365234375</v>
      </c>
      <c r="J108" s="17">
        <f>[1]!MF_p_choke_atma(J$106,fw_,d_choke,$B108,1,d_pipe,T_choke,cf_,PVTstr_,qgas_free)</f>
        <v>13.32733154296875</v>
      </c>
      <c r="K108" s="17">
        <f>[1]!MF_p_choke_atma(K$106,fw_,d_choke,$B108,1,d_pipe,T_choke,cf_,PVTstr_,qgas_free)</f>
        <v>12.1380615234375</v>
      </c>
      <c r="L108" s="17">
        <f>[1]!MF_p_choke_atma(L$106,fw_,d_choke,$B108,1,d_pipe,T_choke,cf_,PVTstr_,qgas_free)</f>
        <v>10.70068359375</v>
      </c>
      <c r="M108" s="17">
        <f>[1]!MF_p_choke_atma(M$106,fw_,d_choke,$B108,1,d_pipe,T_choke,cf_,PVTstr_,qgas_free)</f>
        <v>-1</v>
      </c>
      <c r="N108" s="17">
        <f>[1]!MF_p_choke_atma(N$106,fw_,d_choke,$B108,1,d_pipe,T_choke,cf_,PVTstr_,qgas_free)</f>
        <v>-1</v>
      </c>
      <c r="O108" s="17">
        <f>[1]!MF_p_choke_atma(O$106,fw_,d_choke,$B108,1,d_pipe,T_choke,cf_,PVTstr_,qgas_free)</f>
        <v>-1</v>
      </c>
      <c r="P108" s="17">
        <f>[1]!MF_p_choke_atma(P$106,fw_,d_choke,$B108,1,d_pipe,T_choke,cf_,PVTstr_,qgas_free)</f>
        <v>-1</v>
      </c>
      <c r="Q108" s="17">
        <f>[1]!MF_p_choke_atma(Q$106,fw_,d_choke,$B108,1,d_pipe,T_choke,cf_,PVTstr_,qgas_free)</f>
        <v>-1</v>
      </c>
      <c r="R108" s="17">
        <f>[1]!MF_p_choke_atma(R$106,fw_,d_choke,$B108,1,d_pipe,T_choke,cf_,PVTstr_,qgas_free)</f>
        <v>-1</v>
      </c>
      <c r="S108" s="17">
        <f>[1]!MF_p_choke_atma(S$106,fw_,d_choke,$B108,1,d_pipe,T_choke,cf_,PVTstr_,qgas_free)</f>
        <v>-1</v>
      </c>
      <c r="T108" s="17">
        <f>[1]!MF_p_choke_atma(T$106,fw_,d_choke,$B108,1,d_pipe,T_choke,cf_,PVTstr_,qgas_free)</f>
        <v>-1</v>
      </c>
      <c r="U108" s="17">
        <f>[1]!MF_p_choke_atma(U$106,fw_,d_choke,$B108,1,d_pipe,T_choke,cf_,PVTstr_,qgas_free)</f>
        <v>-1</v>
      </c>
      <c r="V108" s="17">
        <f>[1]!MF_p_choke_atma(V$106,fw_,d_choke,$B108,1,d_pipe,T_choke,cf_,PVTstr_,qgas_free)</f>
        <v>-1</v>
      </c>
      <c r="W108" s="17">
        <f>[1]!MF_p_choke_atma(W$106,fw_,d_choke,$B108,1,d_pipe,T_choke,cf_,PVTstr_,qgas_free)</f>
        <v>-1</v>
      </c>
      <c r="X108" s="17">
        <f>[1]!MF_p_choke_atma(X$106,fw_,d_choke,$B108,1,d_pipe,T_choke,cf_,PVTstr_,qgas_free)</f>
        <v>-1</v>
      </c>
      <c r="Y108" s="17">
        <f>[1]!MF_p_choke_atma(Y$106,fw_,d_choke,$B108,1,d_pipe,T_choke,cf_,PVTstr_,qgas_free)</f>
        <v>-1</v>
      </c>
      <c r="Z108" s="17">
        <f>[1]!MF_p_choke_atma(Z$106,fw_,d_choke,$B108,1,d_pipe,T_choke,cf_,PVTstr_,qgas_free)</f>
        <v>-1</v>
      </c>
    </row>
  </sheetData>
  <mergeCells count="6">
    <mergeCell ref="I45:T45"/>
    <mergeCell ref="B3:E3"/>
    <mergeCell ref="B4:E4"/>
    <mergeCell ref="B5:E5"/>
    <mergeCell ref="B6:E8"/>
    <mergeCell ref="I33:T33"/>
  </mergeCells>
  <hyperlinks>
    <hyperlink ref="AZ23" r:id="rId1" xr:uid="{D2423A2D-93CC-4B68-984B-ACB7C26634BD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36</vt:i4>
      </vt:variant>
    </vt:vector>
  </HeadingPairs>
  <TitlesOfParts>
    <vt:vector size="37" baseType="lpstr">
      <vt:lpstr>exercise_choke</vt:lpstr>
      <vt:lpstr>exercise_choke!Bob_</vt:lpstr>
      <vt:lpstr>exercise_choke!cf_</vt:lpstr>
      <vt:lpstr>exercise_choke!d_choke</vt:lpstr>
      <vt:lpstr>exercise_choke!d_pipe</vt:lpstr>
      <vt:lpstr>exercise_choke!fw_</vt:lpstr>
      <vt:lpstr>exercise_choke!gamma_gas_</vt:lpstr>
      <vt:lpstr>exercise_choke!gamma_oil_</vt:lpstr>
      <vt:lpstr>exercise_choke!gamma_wat_</vt:lpstr>
      <vt:lpstr>exercise_choke!gamma_wat_kf_</vt:lpstr>
      <vt:lpstr>exercise_choke!gas_only</vt:lpstr>
      <vt:lpstr>exercise_choke!input_0</vt:lpstr>
      <vt:lpstr>exercise_choke!input_1</vt:lpstr>
      <vt:lpstr>exercise_choke!input_2</vt:lpstr>
      <vt:lpstr>exercise_choke!input_3</vt:lpstr>
      <vt:lpstr>exercise_choke!input_4</vt:lpstr>
      <vt:lpstr>exercise_choke!input_Course</vt:lpstr>
      <vt:lpstr>exercise_choke!input_Date</vt:lpstr>
      <vt:lpstr>exercise_choke!input_Group</vt:lpstr>
      <vt:lpstr>exercise_choke!input_Notes</vt:lpstr>
      <vt:lpstr>exercise_choke!input_Student_Name</vt:lpstr>
      <vt:lpstr>exercise_choke!input_Version</vt:lpstr>
      <vt:lpstr>exercise_choke!muob_</vt:lpstr>
      <vt:lpstr>exercise_choke!output_0</vt:lpstr>
      <vt:lpstr>exercise_choke!output_1</vt:lpstr>
      <vt:lpstr>exercise_choke!Pb_</vt:lpstr>
      <vt:lpstr>exercise_choke!Pbuf_</vt:lpstr>
      <vt:lpstr>exercise_choke!Plin_</vt:lpstr>
      <vt:lpstr>exercise_choke!PVT_str_wat_</vt:lpstr>
      <vt:lpstr>exercise_choke!PVTstr_</vt:lpstr>
      <vt:lpstr>exercise_choke!qgas_free</vt:lpstr>
      <vt:lpstr>exercise_choke!Qliq_</vt:lpstr>
      <vt:lpstr>exercise_choke!Rp_</vt:lpstr>
      <vt:lpstr>exercise_choke!Rsb_</vt:lpstr>
      <vt:lpstr>exercise_choke!T_choke</vt:lpstr>
      <vt:lpstr>exercise_choke!T_upchoke</vt:lpstr>
      <vt:lpstr>exercise_choke!Tres_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2020-07-14T12:09:19Z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