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BEBFB176-5291-4728-8FC2-4D84501AFB03}" xr6:coauthVersionLast="47" xr6:coauthVersionMax="47" xr10:uidLastSave="{00000000-0000-0000-0000-000000000000}"/>
  <bookViews>
    <workbookView xWindow="-38520" yWindow="-1500" windowWidth="38640" windowHeight="21240" tabRatio="591" xr2:uid="{00000000-000D-0000-FFFF-FFFF00000000}"/>
  </bookViews>
  <sheets>
    <sheet name="exercise_choke" sheetId="120" r:id="rId1"/>
  </sheets>
  <externalReferences>
    <externalReference r:id="rId2"/>
  </externalReferences>
  <definedNames>
    <definedName name="Bob_" localSheetId="0">exercise_choke!$C$18</definedName>
    <definedName name="calc_along_flow">exercise_choke!$G$22</definedName>
    <definedName name="cf_" localSheetId="0">exercise_choke!$C$82</definedName>
    <definedName name="d_choke" localSheetId="0">exercise_choke!$C$26</definedName>
    <definedName name="d_pipe" localSheetId="0">exercise_choke!$C$25</definedName>
    <definedName name="feed">exercise_choke!$G$25</definedName>
    <definedName name="fw_" localSheetId="0">exercise_choke!$C$22</definedName>
    <definedName name="gamma_gas_" localSheetId="0">exercise_choke!$C$13</definedName>
    <definedName name="gamma_oil_" localSheetId="0">exercise_choke!$C$11</definedName>
    <definedName name="gamma_wat_" localSheetId="0">exercise_choke!$C$12</definedName>
    <definedName name="gamma_wat_kf_" localSheetId="0">exercise_choke!$C$20</definedName>
    <definedName name="gas_only" localSheetId="0">exercise_choke!$G$22</definedName>
    <definedName name="input_0" localSheetId="0">exercise_choke!$C$11:$C$30</definedName>
    <definedName name="input_1" localSheetId="0">exercise_choke!#REF!</definedName>
    <definedName name="input_2" localSheetId="0">exercise_choke!#REF!</definedName>
    <definedName name="input_3" localSheetId="0">exercise_choke!#REF!</definedName>
    <definedName name="input_4" localSheetId="0">exercise_choke!#REF!</definedName>
    <definedName name="input_Course" localSheetId="0">exercise_choke!$I$3</definedName>
    <definedName name="input_Date" localSheetId="0">exercise_choke!$I$1</definedName>
    <definedName name="input_Group" localSheetId="0">exercise_choke!$I$4</definedName>
    <definedName name="input_Notes" localSheetId="0">exercise_choke!$I$6</definedName>
    <definedName name="input_Student_Name" localSheetId="0">exercise_choke!$I$5</definedName>
    <definedName name="input_Version" localSheetId="0">exercise_choke!$I$2</definedName>
    <definedName name="muob_" localSheetId="0">exercise_choke!$C$19</definedName>
    <definedName name="output_0" localSheetId="0">exercise_choke!#REF!</definedName>
    <definedName name="output_1" localSheetId="0">exercise_choke!#REF!</definedName>
    <definedName name="param">exercise_choke!$I$28</definedName>
    <definedName name="Pb_" localSheetId="0">exercise_choke!$C$16</definedName>
    <definedName name="Pbuf_" localSheetId="0">exercise_choke!$C$28</definedName>
    <definedName name="Plin_" localSheetId="0">exercise_choke!$C$29</definedName>
    <definedName name="PVT_str_wat_" localSheetId="0">exercise_choke!#REF!</definedName>
    <definedName name="PVTstr_" localSheetId="0">exercise_choke!$G$24</definedName>
    <definedName name="qgas_free" localSheetId="0">exercise_choke!$C$30</definedName>
    <definedName name="Qliq_" localSheetId="0">exercise_choke!$C$27</definedName>
    <definedName name="Rp_" localSheetId="0">exercise_choke!$C$15</definedName>
    <definedName name="Rsb_" localSheetId="0">exercise_choke!$C$14</definedName>
    <definedName name="T_choke" localSheetId="0">exercise_choke!$C$23</definedName>
    <definedName name="T_upchoke" localSheetId="0">exercise_choke!$C$23</definedName>
    <definedName name="Tres_" localSheetId="0">exercise_choke!$C$17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51" i="120" l="1" a="1"/>
  <c r="AC51" i="120" s="1"/>
  <c r="I28" i="120" a="1"/>
  <c r="I28" i="120" l="1"/>
  <c r="I69" i="120" l="1"/>
  <c r="H69" i="120"/>
  <c r="G69" i="120"/>
  <c r="F69" i="120"/>
  <c r="E69" i="120"/>
  <c r="D69" i="120"/>
  <c r="E62" i="120"/>
  <c r="E63" i="120"/>
  <c r="E64" i="120"/>
  <c r="E65" i="120"/>
  <c r="E66" i="120"/>
  <c r="E61" i="120"/>
  <c r="C64" i="120" a="1"/>
  <c r="C62" i="120" a="1"/>
  <c r="C63" i="120" a="1"/>
  <c r="C65" i="120" a="1"/>
  <c r="C61" i="120" a="1"/>
  <c r="C66" i="120" a="1"/>
  <c r="C61" i="120" l="1"/>
  <c r="C62" i="120"/>
  <c r="C65" i="120"/>
  <c r="C63" i="120"/>
  <c r="C66" i="120"/>
  <c r="C64" i="120"/>
  <c r="C70" i="120" a="1"/>
  <c r="C70" i="120" l="1"/>
  <c r="E20" i="120" l="1"/>
  <c r="E17" i="120"/>
  <c r="E16" i="120"/>
  <c r="E15" i="120"/>
  <c r="E14" i="120"/>
  <c r="E13" i="120"/>
  <c r="E12" i="120"/>
  <c r="E11" i="120"/>
  <c r="AL4" i="120"/>
  <c r="AL3" i="120"/>
  <c r="AL2" i="120"/>
  <c r="AL1" i="120"/>
  <c r="G1" i="120"/>
  <c r="G24" i="120"/>
  <c r="D66" i="120" a="1"/>
  <c r="D65" i="120" a="1"/>
  <c r="D62" i="120" a="1"/>
  <c r="D61" i="120" a="1"/>
  <c r="D63" i="120" a="1"/>
  <c r="D64" i="120" a="1"/>
  <c r="D64" i="120" l="1"/>
  <c r="D66" i="120"/>
  <c r="D63" i="120"/>
  <c r="D65" i="120"/>
  <c r="D62" i="120"/>
  <c r="D61" i="120"/>
  <c r="G61" i="120" a="1"/>
  <c r="G65" i="120" a="1"/>
  <c r="G63" i="120" a="1"/>
  <c r="G62" i="120" a="1"/>
  <c r="G66" i="120" a="1"/>
  <c r="G64" i="120" a="1"/>
  <c r="G25" i="120" a="1"/>
  <c r="G61" i="120" l="1"/>
  <c r="G64" i="120"/>
  <c r="G62" i="120"/>
  <c r="G65" i="120"/>
  <c r="G63" i="120"/>
  <c r="G66" i="120"/>
  <c r="G25" i="120"/>
  <c r="W48" i="120" a="1"/>
  <c r="T37" i="120" a="1"/>
  <c r="B50" i="120" a="1"/>
  <c r="B35" i="120" a="1"/>
  <c r="H65" i="120" a="1"/>
  <c r="I61" i="120" a="1"/>
  <c r="H63" i="120" a="1"/>
  <c r="H62" i="120" a="1"/>
  <c r="I64" i="120" a="1"/>
  <c r="H64" i="120" a="1"/>
  <c r="B45" i="120" a="1"/>
  <c r="I65" i="120" a="1"/>
  <c r="I62" i="120" a="1"/>
  <c r="I63" i="120" a="1"/>
  <c r="I66" i="120" a="1"/>
  <c r="B40" i="120" a="1"/>
  <c r="H66" i="120" a="1"/>
  <c r="H61" i="120" a="1"/>
  <c r="W48" i="120" l="1"/>
  <c r="T37" i="120"/>
  <c r="B50" i="120"/>
  <c r="B35" i="120"/>
  <c r="I66" i="120"/>
  <c r="I62" i="120"/>
  <c r="I64" i="120"/>
  <c r="I65" i="120"/>
  <c r="I63" i="120"/>
  <c r="I61" i="120"/>
  <c r="H66" i="120"/>
  <c r="H63" i="120"/>
  <c r="H65" i="120"/>
  <c r="H62" i="120"/>
  <c r="H64" i="120"/>
  <c r="H61" i="120"/>
  <c r="B45" i="120"/>
  <c r="B40" i="120"/>
  <c r="Y51" i="120" a="1"/>
  <c r="V40" i="120" a="1"/>
  <c r="E70" i="120" a="1"/>
  <c r="N40" i="120" a="1"/>
  <c r="N45" i="120" a="1"/>
  <c r="N50" i="120" a="1"/>
  <c r="N35" i="120" a="1"/>
  <c r="E88" i="120" a="1"/>
  <c r="B88" i="120" a="1"/>
  <c r="Q88" i="120" a="1"/>
  <c r="H88" i="120" a="1"/>
  <c r="D70" i="120" a="1"/>
  <c r="F70" i="120" a="1"/>
  <c r="K88" i="120" a="1"/>
  <c r="N88" i="120" a="1"/>
  <c r="I70" i="120" a="1"/>
  <c r="G70" i="120" a="1"/>
  <c r="H70" i="120" a="1"/>
  <c r="Y51" i="120" l="1"/>
  <c r="V40" i="120"/>
  <c r="E70" i="120"/>
  <c r="N40" i="120"/>
  <c r="N50" i="120"/>
  <c r="N45" i="120"/>
  <c r="N35" i="120"/>
  <c r="Q88" i="120"/>
  <c r="B88" i="120"/>
  <c r="H88" i="120"/>
  <c r="N88" i="120"/>
  <c r="K88" i="120"/>
  <c r="E88" i="120"/>
  <c r="G70" i="120"/>
  <c r="H70" i="120"/>
  <c r="F70" i="120"/>
  <c r="I70" i="120"/>
  <c r="D70" i="12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<sst xmlns="http://schemas.openxmlformats.org/spreadsheetml/2006/main" count="96" uniqueCount="82">
  <si>
    <t>Физико - химические свойства флюида   PVT</t>
  </si>
  <si>
    <t>м3/м3</t>
  </si>
  <si>
    <t>С</t>
  </si>
  <si>
    <t>%</t>
  </si>
  <si>
    <t>сП</t>
  </si>
  <si>
    <t>атмa</t>
  </si>
  <si>
    <t>МПа</t>
  </si>
  <si>
    <t>Ф</t>
  </si>
  <si>
    <t>Параметры потока флюида</t>
  </si>
  <si>
    <t>Конструкция</t>
  </si>
  <si>
    <t>мм</t>
  </si>
  <si>
    <t>Упражнения по работе с макросами Unifloc VBA</t>
  </si>
  <si>
    <t>версия</t>
  </si>
  <si>
    <t>PVT строка</t>
  </si>
  <si>
    <t>м3/сут</t>
  </si>
  <si>
    <t>атм</t>
  </si>
  <si>
    <t>Рассчитать линейное давление</t>
  </si>
  <si>
    <t>Рассчитать буферное давление</t>
  </si>
  <si>
    <t>Рассчитать подстроечный параметр</t>
  </si>
  <si>
    <t>Рассчитать дебит через штуцер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</si>
  <si>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</si>
  <si>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</si>
  <si>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</si>
  <si>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</si>
  <si>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</si>
  <si>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</si>
  <si>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</si>
  <si>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</si>
  <si>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</si>
  <si>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</si>
  <si>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</si>
  <si>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</si>
  <si>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</si>
  <si>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пример расчета характеристик штуцера</t>
  </si>
  <si>
    <t>T</t>
  </si>
  <si>
    <r>
      <rPr>
        <sz val="10"/>
        <rFont val="Arial Cyr"/>
      </rPr>
      <t>d</t>
    </r>
    <r>
      <rPr>
        <vertAlign val="subscript"/>
        <sz val="10"/>
        <rFont val="Arial Cyr"/>
      </rPr>
      <t>tub</t>
    </r>
  </si>
  <si>
    <r>
      <t>d</t>
    </r>
    <r>
      <rPr>
        <vertAlign val="subscript"/>
        <sz val="10"/>
        <rFont val="Arial Cyr"/>
      </rPr>
      <t>choke</t>
    </r>
  </si>
  <si>
    <r>
      <t>P</t>
    </r>
    <r>
      <rPr>
        <vertAlign val="subscript"/>
        <sz val="10"/>
        <rFont val="Arial Cyr"/>
      </rPr>
      <t>line</t>
    </r>
  </si>
  <si>
    <r>
      <t>P</t>
    </r>
    <r>
      <rPr>
        <vertAlign val="subscript"/>
        <sz val="10"/>
        <rFont val="Arial Cyr"/>
      </rPr>
      <t>buf</t>
    </r>
  </si>
  <si>
    <r>
      <t>Q</t>
    </r>
    <r>
      <rPr>
        <vertAlign val="subscript"/>
        <sz val="10"/>
        <rFont val="Arial Cyr"/>
      </rPr>
      <t>liq</t>
    </r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</si>
  <si>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</si>
  <si>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</si>
  <si>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</si>
  <si>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</si>
  <si>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</si>
  <si>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</si>
  <si>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</si>
  <si>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</si>
  <si>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</si>
  <si>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</si>
  <si>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</si>
  <si>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</si>
  <si>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</si>
  <si>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</si>
  <si>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штуцере</t>
  </si>
  <si>
    <t>https://neutrium.net/wp-content/uploads/2015/01/Choked-Flow1.png</t>
  </si>
  <si>
    <r>
      <t>Q</t>
    </r>
    <r>
      <rPr>
        <vertAlign val="subscript"/>
        <sz val="11"/>
        <color theme="1"/>
        <rFont val="Calibri"/>
        <family val="2"/>
        <charset val="204"/>
      </rPr>
      <t>gas_free</t>
    </r>
  </si>
  <si>
    <t>Поток</t>
  </si>
  <si>
    <t>параметры</t>
  </si>
  <si>
    <t>параметры закодированные</t>
  </si>
  <si>
    <t>Расшифровка лога</t>
  </si>
  <si>
    <t xml:space="preserve"> </t>
  </si>
  <si>
    <t>show_log</t>
  </si>
  <si>
    <t>num_value</t>
  </si>
  <si>
    <t>show_array</t>
  </si>
  <si>
    <t>calc_along_flow</t>
  </si>
  <si>
    <t>дебиты</t>
  </si>
  <si>
    <t>потоки</t>
  </si>
  <si>
    <t>давление лин</t>
  </si>
  <si>
    <t>расчет</t>
  </si>
  <si>
    <t>давления</t>
  </si>
  <si>
    <t>диаметр</t>
  </si>
  <si>
    <t>д1</t>
  </si>
  <si>
    <t>д2</t>
  </si>
  <si>
    <t>д3</t>
  </si>
  <si>
    <t>д4</t>
  </si>
  <si>
    <t>д5</t>
  </si>
  <si>
    <t>д6</t>
  </si>
  <si>
    <t>Q</t>
  </si>
  <si>
    <t>Второй набор характеристик</t>
  </si>
  <si>
    <t>Построим характеристики c использованием функций поддерживающих списки в исходных данных</t>
  </si>
  <si>
    <t>show_json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</si>
</sst>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0.000"/>
  </numFmts>
  <fonts count="1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bscript"/>
      <sz val="10"/>
      <name val="Arial Cyr"/>
    </font>
    <font>
      <sz val="10"/>
      <name val="Arial Cyr"/>
    </font>
    <font>
      <u/>
      <sz val="10"/>
      <color theme="10"/>
      <name val="Arial Cyr"/>
      <charset val="204"/>
    </font>
    <font>
      <sz val="8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61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Font="1" applyAlignment="1">
      <alignment horizontal="center"/>
    </xf>
    <xf numFmtId="0" fontId="8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8" fillId="4" borderId="2" xfId="0" applyFont="1" applyFill="1" applyBorder="1" applyAlignment="1">
      <alignment horizontal="center" wrapText="1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0" borderId="0" xfId="0" applyFill="1" applyBorder="1"/>
    <xf numFmtId="0" fontId="0" fillId="4" borderId="0" xfId="0" applyFill="1"/>
    <xf numFmtId="0" fontId="0" fillId="4" borderId="0" xfId="0" applyFill="1" applyBorder="1"/>
    <xf numFmtId="0" fontId="0" fillId="0" borderId="7" xfId="0" applyBorder="1"/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8" fillId="4" borderId="2" xfId="0" applyFont="1" applyFill="1" applyBorder="1" applyAlignment="1">
      <alignment horizontal="left"/>
    </xf>
    <xf numFmtId="0" fontId="0" fillId="4" borderId="4" xfId="0" applyFill="1" applyBorder="1" applyAlignment="1">
      <alignment vertical="top"/>
    </xf>
    <xf numFmtId="0" fontId="0" fillId="4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4" borderId="6" xfId="0" applyFill="1" applyBorder="1" applyAlignment="1">
      <alignment vertical="top"/>
    </xf>
    <xf numFmtId="0" fontId="0" fillId="4" borderId="3" xfId="0" applyFill="1" applyBorder="1" applyAlignment="1">
      <alignment vertical="top"/>
    </xf>
    <xf numFmtId="0" fontId="16" fillId="0" borderId="0" xfId="8"/>
    <xf numFmtId="0" fontId="8" fillId="4" borderId="4" xfId="0" applyFont="1" applyFill="1" applyBorder="1" applyAlignment="1">
      <alignment horizontal="center" wrapText="1"/>
    </xf>
    <xf numFmtId="0" fontId="0" fillId="2" borderId="4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7" borderId="0" xfId="0" applyFill="1" applyBorder="1" applyAlignment="1"/>
    <xf numFmtId="0" fontId="0" fillId="8" borderId="0" xfId="0" applyFill="1"/>
    <xf numFmtId="165" fontId="0" fillId="0" borderId="0" xfId="0" applyNumberFormat="1"/>
    <xf numFmtId="0" fontId="0" fillId="0" borderId="0" xfId="0" applyFill="1"/>
    <xf numFmtId="2" fontId="0" fillId="0" borderId="0" xfId="0" applyNumberFormat="1" applyFill="1" applyAlignment="1">
      <alignment horizontal="center"/>
    </xf>
    <xf numFmtId="166" fontId="0" fillId="3" borderId="0" xfId="0" applyNumberFormat="1" applyFill="1" applyBorder="1" applyAlignment="1">
      <alignment horizontal="left"/>
    </xf>
    <xf numFmtId="165" fontId="0" fillId="3" borderId="0" xfId="0" applyNumberFormat="1" applyFill="1" applyBorder="1" applyAlignment="1">
      <alignment horizontal="left"/>
    </xf>
    <xf numFmtId="0" fontId="0" fillId="3" borderId="0" xfId="0" applyFill="1" applyAlignment="1">
      <alignment horizontal="left"/>
    </xf>
    <xf numFmtId="165" fontId="0" fillId="3" borderId="0" xfId="0" applyNumberFormat="1" applyFill="1" applyAlignment="1">
      <alignment horizontal="left"/>
    </xf>
    <xf numFmtId="2" fontId="0" fillId="3" borderId="0" xfId="0" applyNumberFormat="1" applyFill="1" applyAlignment="1">
      <alignment horizontal="center"/>
    </xf>
    <xf numFmtId="166" fontId="0" fillId="3" borderId="0" xfId="0" applyNumberFormat="1" applyFill="1" applyAlignment="1">
      <alignment horizontal="left"/>
    </xf>
    <xf numFmtId="2" fontId="0" fillId="3" borderId="0" xfId="0" applyNumberFormat="1" applyFill="1" applyAlignment="1">
      <alignment horizontal="left"/>
    </xf>
    <xf numFmtId="1" fontId="0" fillId="0" borderId="0" xfId="0" applyNumberFormat="1"/>
    <xf numFmtId="2" fontId="0" fillId="3" borderId="0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left"/>
    </xf>
    <xf numFmtId="2" fontId="0" fillId="0" borderId="0" xfId="0" applyNumberFormat="1"/>
    <xf numFmtId="0" fontId="0" fillId="6" borderId="5" xfId="0" applyFill="1" applyBorder="1" applyAlignment="1">
      <alignment horizontal="left"/>
    </xf>
    <xf numFmtId="0" fontId="0" fillId="6" borderId="8" xfId="0" applyFill="1" applyBorder="1" applyAlignment="1">
      <alignment horizontal="left"/>
    </xf>
    <xf numFmtId="0" fontId="0" fillId="6" borderId="9" xfId="0" applyFill="1" applyBorder="1" applyAlignment="1">
      <alignment horizontal="left"/>
    </xf>
    <xf numFmtId="0" fontId="0" fillId="6" borderId="10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16" xfId="0" applyFill="1" applyBorder="1" applyAlignment="1">
      <alignment horizontal="left" vertical="top"/>
    </xf>
  </cellXfs>
  <cellStyles count="9">
    <cellStyle name="Iau?iue_AA_1" xfId="1" xr:uid="{00000000-0005-0000-0000-000000000000}"/>
    <cellStyle name="Гиперссылка" xfId="8" builtinId="8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4228-43D2-8AEE-DD7FCF9E776F}"/>
            </c:ext>
          </c:extLst>
        </c:ser>
        <c:ser>
          <c:idx val="0"/>
          <c:order val="1"/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4228-43D2-8AEE-DD7FCF9E776F}"/>
            </c:ext>
          </c:extLst>
        </c:ser>
        <c:ser>
          <c:idx val="2"/>
          <c:order val="2"/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4228-43D2-8AEE-DD7FCF9E776F}"/>
            </c:ext>
          </c:extLst>
        </c:ser>
        <c:ser>
          <c:idx val="1"/>
          <c:order val="3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4228-43D2-8AEE-DD7FCF9E776F}"/>
            </c:ext>
          </c:extLst>
        </c:ser>
        <c:ser>
          <c:idx val="5"/>
          <c:order val="4"/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4-4228-43D2-8AEE-DD7FCF9E776F}"/>
            </c:ext>
          </c:extLst>
        </c:ser>
        <c:ser>
          <c:idx val="3"/>
          <c:order val="5"/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5-4228-43D2-8AEE-DD7FCF9E7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штуцера - давление на входе от дебита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exercise_choke!$D$69</c:f>
              <c:strCache>
                <c:ptCount val="1"/>
                <c:pt idx="0">
                  <c:v>d = 3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 formatCode="General">
                  <c:v>100</c:v>
                </c:pt>
              </c:numCache>
            </c:numRef>
          </c:xVal>
          <c:yVal>
            <c:numRef>
              <c:f>exercise_choke!$D$70:$D$81</c:f>
              <c:numCache>
                <c:formatCode>0.00</c:formatCode>
                <c:ptCount val="12"/>
                <c:pt idx="0">
                  <c:v>12.353</c:v>
                </c:pt>
                <c:pt idx="1">
                  <c:v>49.915999999999997</c:v>
                </c:pt>
                <c:pt idx="2">
                  <c:v>91.563999999999993</c:v>
                </c:pt>
                <c:pt idx="3">
                  <c:v>130.822</c:v>
                </c:pt>
                <c:pt idx="4">
                  <c:v>168.369</c:v>
                </c:pt>
                <c:pt idx="5">
                  <c:v>540.31100000000004</c:v>
                </c:pt>
                <c:pt idx="6">
                  <c:v>554.11500000000001</c:v>
                </c:pt>
                <c:pt idx="7">
                  <c:v>563.68899999999996</c:v>
                </c:pt>
                <c:pt idx="8">
                  <c:v>570.70899999999995</c:v>
                </c:pt>
                <c:pt idx="9">
                  <c:v>576.07600000000002</c:v>
                </c:pt>
                <c:pt idx="10">
                  <c:v>580.31799999999998</c:v>
                </c:pt>
                <c:pt idx="11" formatCode="General">
                  <c:v>583.75199999999995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81-4BC9-A537-61CC5E30F922}"/>
            </c:ext>
          </c:extLst>
        </c:ser>
        <c:ser>
          <c:idx val="1"/>
          <c:order val="1"/>
          <c:tx>
            <c:strRef>
              <c:f>exercise_choke!$E$69</c:f>
              <c:strCache>
                <c:ptCount val="1"/>
                <c:pt idx="0">
                  <c:v>d = 4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 formatCode="General">
                  <c:v>100</c:v>
                </c:pt>
              </c:numCache>
            </c:numRef>
          </c:xVal>
          <c:yVal>
            <c:numRef>
              <c:f>exercise_choke!$E$70:$E$81</c:f>
              <c:numCache>
                <c:formatCode>General</c:formatCode>
                <c:ptCount val="12"/>
                <c:pt idx="0" formatCode="0.00">
                  <c:v>12.109</c:v>
                </c:pt>
                <c:pt idx="1">
                  <c:v>28.553000000000001</c:v>
                </c:pt>
                <c:pt idx="2">
                  <c:v>53.197000000000003</c:v>
                </c:pt>
                <c:pt idx="3">
                  <c:v>76.846000000000004</c:v>
                </c:pt>
                <c:pt idx="4">
                  <c:v>99.626999999999995</c:v>
                </c:pt>
                <c:pt idx="5">
                  <c:v>121.717</c:v>
                </c:pt>
                <c:pt idx="6">
                  <c:v>143.244</c:v>
                </c:pt>
                <c:pt idx="7">
                  <c:v>164.268</c:v>
                </c:pt>
                <c:pt idx="8">
                  <c:v>184.857</c:v>
                </c:pt>
                <c:pt idx="9">
                  <c:v>548.197</c:v>
                </c:pt>
                <c:pt idx="10">
                  <c:v>555.66200000000003</c:v>
                </c:pt>
                <c:pt idx="11">
                  <c:v>561.63900000000001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A81-4BC9-A537-61CC5E30F922}"/>
            </c:ext>
          </c:extLst>
        </c:ser>
        <c:ser>
          <c:idx val="2"/>
          <c:order val="2"/>
          <c:tx>
            <c:strRef>
              <c:f>exercise_choke!$F$69</c:f>
              <c:strCache>
                <c:ptCount val="1"/>
                <c:pt idx="0">
                  <c:v>d = 6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 formatCode="General">
                  <c:v>100</c:v>
                </c:pt>
              </c:numCache>
            </c:numRef>
          </c:xVal>
          <c:yVal>
            <c:numRef>
              <c:f>exercise_choke!$F$70:$F$81</c:f>
              <c:numCache>
                <c:formatCode>General</c:formatCode>
                <c:ptCount val="12"/>
                <c:pt idx="0" formatCode="0.00">
                  <c:v>12.021000000000001</c:v>
                </c:pt>
                <c:pt idx="1">
                  <c:v>14.525</c:v>
                </c:pt>
                <c:pt idx="2">
                  <c:v>24.184999999999999</c:v>
                </c:pt>
                <c:pt idx="3">
                  <c:v>35.35</c:v>
                </c:pt>
                <c:pt idx="4">
                  <c:v>46.307000000000002</c:v>
                </c:pt>
                <c:pt idx="5">
                  <c:v>57.052999999999997</c:v>
                </c:pt>
                <c:pt idx="6">
                  <c:v>67.611000000000004</c:v>
                </c:pt>
                <c:pt idx="7">
                  <c:v>77.981999999999999</c:v>
                </c:pt>
                <c:pt idx="8">
                  <c:v>88.188999999999993</c:v>
                </c:pt>
                <c:pt idx="9">
                  <c:v>98.244</c:v>
                </c:pt>
                <c:pt idx="10">
                  <c:v>108.158</c:v>
                </c:pt>
                <c:pt idx="11">
                  <c:v>117.943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A81-4BC9-A537-61CC5E30F922}"/>
            </c:ext>
          </c:extLst>
        </c:ser>
        <c:ser>
          <c:idx val="3"/>
          <c:order val="3"/>
          <c:tx>
            <c:strRef>
              <c:f>exercise_choke!$G$69</c:f>
              <c:strCache>
                <c:ptCount val="1"/>
                <c:pt idx="0">
                  <c:v>d = 8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 formatCode="General">
                  <c:v>100</c:v>
                </c:pt>
              </c:numCache>
            </c:numRef>
          </c:xVal>
          <c:yVal>
            <c:numRef>
              <c:f>exercise_choke!$G$70:$G$81</c:f>
              <c:numCache>
                <c:formatCode>General</c:formatCode>
                <c:ptCount val="12"/>
                <c:pt idx="0" formatCode="0.00">
                  <c:v>12.007</c:v>
                </c:pt>
                <c:pt idx="1">
                  <c:v>12.705</c:v>
                </c:pt>
                <c:pt idx="2">
                  <c:v>14.943</c:v>
                </c:pt>
                <c:pt idx="3">
                  <c:v>20.103999999999999</c:v>
                </c:pt>
                <c:pt idx="4">
                  <c:v>26.452000000000002</c:v>
                </c:pt>
                <c:pt idx="5">
                  <c:v>32.732999999999997</c:v>
                </c:pt>
                <c:pt idx="6">
                  <c:v>38.947000000000003</c:v>
                </c:pt>
                <c:pt idx="7">
                  <c:v>45.1</c:v>
                </c:pt>
                <c:pt idx="8">
                  <c:v>51.182000000000002</c:v>
                </c:pt>
                <c:pt idx="9">
                  <c:v>57.204999999999998</c:v>
                </c:pt>
                <c:pt idx="10">
                  <c:v>63.158000000000001</c:v>
                </c:pt>
                <c:pt idx="11">
                  <c:v>69.063999999999993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A81-4BC9-A537-61CC5E30F922}"/>
            </c:ext>
          </c:extLst>
        </c:ser>
        <c:ser>
          <c:idx val="4"/>
          <c:order val="4"/>
          <c:tx>
            <c:strRef>
              <c:f>exercise_choke!$H$69</c:f>
              <c:strCache>
                <c:ptCount val="1"/>
                <c:pt idx="0">
                  <c:v>d = 10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 formatCode="General">
                  <c:v>100</c:v>
                </c:pt>
              </c:numCache>
            </c:numRef>
          </c:xVal>
          <c:yVal>
            <c:numRef>
              <c:f>exercise_choke!$H$70:$H$81</c:f>
              <c:numCache>
                <c:formatCode>General</c:formatCode>
                <c:ptCount val="12"/>
                <c:pt idx="0" formatCode="0.00">
                  <c:v>12.003</c:v>
                </c:pt>
                <c:pt idx="1">
                  <c:v>12.276999999999999</c:v>
                </c:pt>
                <c:pt idx="2">
                  <c:v>13.061</c:v>
                </c:pt>
                <c:pt idx="3">
                  <c:v>14.542</c:v>
                </c:pt>
                <c:pt idx="4">
                  <c:v>17.143999999999998</c:v>
                </c:pt>
                <c:pt idx="5">
                  <c:v>21.123000000000001</c:v>
                </c:pt>
                <c:pt idx="6">
                  <c:v>25.187000000000001</c:v>
                </c:pt>
                <c:pt idx="7">
                  <c:v>29.221</c:v>
                </c:pt>
                <c:pt idx="8">
                  <c:v>33.228999999999999</c:v>
                </c:pt>
                <c:pt idx="9">
                  <c:v>37.213000000000001</c:v>
                </c:pt>
                <c:pt idx="10">
                  <c:v>41.170999999999999</c:v>
                </c:pt>
                <c:pt idx="11">
                  <c:v>45.1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A81-4BC9-A537-61CC5E30F922}"/>
            </c:ext>
          </c:extLst>
        </c:ser>
        <c:ser>
          <c:idx val="5"/>
          <c:order val="5"/>
          <c:tx>
            <c:strRef>
              <c:f>exercise_choke!$I$69</c:f>
              <c:strCache>
                <c:ptCount val="1"/>
                <c:pt idx="0">
                  <c:v>d = 12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 formatCode="General">
                  <c:v>100</c:v>
                </c:pt>
              </c:numCache>
            </c:numRef>
          </c:xVal>
          <c:yVal>
            <c:numRef>
              <c:f>exercise_choke!$I$70:$I$81</c:f>
              <c:numCache>
                <c:formatCode>General</c:formatCode>
                <c:ptCount val="12"/>
                <c:pt idx="0" formatCode="0.00">
                  <c:v>12.000999999999999</c:v>
                </c:pt>
                <c:pt idx="1">
                  <c:v>12.131</c:v>
                </c:pt>
                <c:pt idx="2">
                  <c:v>12.484999999999999</c:v>
                </c:pt>
                <c:pt idx="3">
                  <c:v>13.103</c:v>
                </c:pt>
                <c:pt idx="4">
                  <c:v>14.058999999999999</c:v>
                </c:pt>
                <c:pt idx="5">
                  <c:v>15.481999999999999</c:v>
                </c:pt>
                <c:pt idx="6">
                  <c:v>17.603999999999999</c:v>
                </c:pt>
                <c:pt idx="7">
                  <c:v>20.417000000000002</c:v>
                </c:pt>
                <c:pt idx="8">
                  <c:v>23.244</c:v>
                </c:pt>
                <c:pt idx="9">
                  <c:v>26.056999999999999</c:v>
                </c:pt>
                <c:pt idx="10">
                  <c:v>28.856999999999999</c:v>
                </c:pt>
                <c:pt idx="11">
                  <c:v>31.646000000000001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A81-4BC9-A537-61CC5E30F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442272"/>
        <c:axId val="2140438528"/>
      </c:scatterChart>
      <c:valAx>
        <c:axId val="2140442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жидкости,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40438528"/>
        <c:crosses val="autoZero"/>
        <c:crossBetween val="midCat"/>
      </c:valAx>
      <c:valAx>
        <c:axId val="2140438528"/>
        <c:scaling>
          <c:orientation val="minMax"/>
          <c:max val="15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на входе в штуцер,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40442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штуцера - давление на выходе от дебита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exercise_choke!$D$69</c:f>
              <c:strCache>
                <c:ptCount val="1"/>
                <c:pt idx="0">
                  <c:v>d = 3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exercise_choke!$C$89:$C$108</c:f>
              <c:numCache>
                <c:formatCode>General</c:formatCode>
                <c:ptCount val="20"/>
              </c:numCache>
            </c:numRef>
          </c:xVal>
          <c:yVal>
            <c:numRef>
              <c:f>exercise_choke!$B$89:$B$108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EE-4F45-A790-AE9FDA7750F4}"/>
            </c:ext>
          </c:extLst>
        </c:ser>
        <c:ser>
          <c:idx val="1"/>
          <c:order val="1"/>
          <c:tx>
            <c:strRef>
              <c:f>exercise_choke!$E$69</c:f>
              <c:strCache>
                <c:ptCount val="1"/>
                <c:pt idx="0">
                  <c:v>d = 4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exercise_choke!$F$89:$F$108</c:f>
              <c:numCache>
                <c:formatCode>General</c:formatCode>
                <c:ptCount val="20"/>
              </c:numCache>
            </c:numRef>
          </c:xVal>
          <c:yVal>
            <c:numRef>
              <c:f>exercise_choke!$E$89:$E$108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4EE-4F45-A790-AE9FDA7750F4}"/>
            </c:ext>
          </c:extLst>
        </c:ser>
        <c:ser>
          <c:idx val="2"/>
          <c:order val="2"/>
          <c:tx>
            <c:strRef>
              <c:f>exercise_choke!$F$69</c:f>
              <c:strCache>
                <c:ptCount val="1"/>
                <c:pt idx="0">
                  <c:v>d = 6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exercise_choke!$I$89:$I$108</c:f>
              <c:numCache>
                <c:formatCode>General</c:formatCode>
                <c:ptCount val="20"/>
              </c:numCache>
            </c:numRef>
          </c:xVal>
          <c:yVal>
            <c:numRef>
              <c:f>exercise_choke!$H$89:$H$108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4EE-4F45-A790-AE9FDA7750F4}"/>
            </c:ext>
          </c:extLst>
        </c:ser>
        <c:ser>
          <c:idx val="3"/>
          <c:order val="3"/>
          <c:tx>
            <c:strRef>
              <c:f>exercise_choke!$G$69</c:f>
              <c:strCache>
                <c:ptCount val="1"/>
                <c:pt idx="0">
                  <c:v>d = 8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</a:ln>
            <a:effectLst>
              <a:glow rad="139700">
                <a:schemeClr val="accent2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exercise_choke!$L$89:$L$108</c:f>
              <c:numCache>
                <c:formatCode>General</c:formatCode>
                <c:ptCount val="20"/>
              </c:numCache>
            </c:numRef>
          </c:xVal>
          <c:yVal>
            <c:numRef>
              <c:f>exercise_choke!$K$89:$K$108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4EE-4F45-A790-AE9FDA7750F4}"/>
            </c:ext>
          </c:extLst>
        </c:ser>
        <c:ser>
          <c:idx val="4"/>
          <c:order val="4"/>
          <c:tx>
            <c:strRef>
              <c:f>exercise_choke!$H$69</c:f>
              <c:strCache>
                <c:ptCount val="1"/>
                <c:pt idx="0">
                  <c:v>d = 10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</a:ln>
            <a:effectLst>
              <a:glow rad="139700">
                <a:schemeClr val="accent4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exercise_choke!$O$89:$O$108</c:f>
              <c:numCache>
                <c:formatCode>General</c:formatCode>
                <c:ptCount val="20"/>
              </c:numCache>
            </c:numRef>
          </c:xVal>
          <c:yVal>
            <c:numRef>
              <c:f>exercise_choke!$N$89:$N$108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4EE-4F45-A790-AE9FDA7750F4}"/>
            </c:ext>
          </c:extLst>
        </c:ser>
        <c:ser>
          <c:idx val="5"/>
          <c:order val="5"/>
          <c:tx>
            <c:strRef>
              <c:f>exercise_choke!$I$69</c:f>
              <c:strCache>
                <c:ptCount val="1"/>
                <c:pt idx="0">
                  <c:v>d = 12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</a:ln>
            <a:effectLst>
              <a:glow rad="139700">
                <a:schemeClr val="accent6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exercise_choke!$R$89:$R$108</c:f>
              <c:numCache>
                <c:formatCode>General</c:formatCode>
                <c:ptCount val="20"/>
              </c:numCache>
            </c:numRef>
          </c:xVal>
          <c:yVal>
            <c:numRef>
              <c:f>exercise_choke!$Q$89:$Q$108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4EE-4F45-A790-AE9FDA775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45456"/>
        <c:axId val="58340880"/>
      </c:scatterChart>
      <c:valAx>
        <c:axId val="5834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жидкости,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340880"/>
        <c:crosses val="autoZero"/>
        <c:crossBetween val="midCat"/>
      </c:valAx>
      <c:valAx>
        <c:axId val="583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на выходе,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345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377460</xdr:colOff>
      <xdr:row>5</xdr:row>
      <xdr:rowOff>109743</xdr:rowOff>
    </xdr:from>
    <xdr:to>
      <xdr:col>48</xdr:col>
      <xdr:colOff>306021</xdr:colOff>
      <xdr:row>17</xdr:row>
      <xdr:rowOff>6598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3FA2B49B-5F5C-4BA1-BD0A-AAA0C5B86DEE}"/>
            </a:ext>
          </a:extLst>
        </xdr:cNvPr>
        <xdr:cNvGrpSpPr/>
      </xdr:nvGrpSpPr>
      <xdr:grpSpPr>
        <a:xfrm>
          <a:off x="22168543" y="998743"/>
          <a:ext cx="5262561" cy="2373355"/>
          <a:chOff x="16219419" y="824119"/>
          <a:chExt cx="5235640" cy="2241585"/>
        </a:xfrm>
      </xdr:grpSpPr>
      <xdr:pic>
        <xdr:nvPicPr>
          <xdr:cNvPr id="3" name="Рисунок 2">
            <a:extLst>
              <a:ext uri="{FF2B5EF4-FFF2-40B4-BE49-F238E27FC236}">
                <a16:creationId xmlns:a16="http://schemas.microsoft.com/office/drawing/2014/main" id="{D29F6E5B-A749-4F76-9036-1CB210B2CB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6219419" y="824119"/>
            <a:ext cx="5181600" cy="2241585"/>
          </a:xfrm>
          <a:prstGeom prst="rect">
            <a:avLst/>
          </a:prstGeom>
        </xdr:spPr>
      </xdr:pic>
      <xdr:sp macro="" textlink="$AL$4">
        <xdr:nvSpPr>
          <xdr:cNvPr id="4" name="TextBox 3">
            <a:extLst>
              <a:ext uri="{FF2B5EF4-FFF2-40B4-BE49-F238E27FC236}">
                <a16:creationId xmlns:a16="http://schemas.microsoft.com/office/drawing/2014/main" id="{731C0962-EAEA-496B-8F71-C42F7B21C3D8}"/>
              </a:ext>
            </a:extLst>
          </xdr:cNvPr>
          <xdr:cNvSpPr txBox="1"/>
        </xdr:nvSpPr>
        <xdr:spPr>
          <a:xfrm>
            <a:off x="17183611" y="2079857"/>
            <a:ext cx="1085051" cy="4332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45FF6FD8-BAD0-44CF-AEFC-997364D34A00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 = 10 m3/day</a:t>
            </a:fld>
            <a:endParaRPr lang="ru-RU" sz="1100"/>
          </a:p>
        </xdr:txBody>
      </xdr:sp>
      <xdr:sp macro="" textlink="$AL$2">
        <xdr:nvSpPr>
          <xdr:cNvPr id="5" name="TextBox 4">
            <a:extLst>
              <a:ext uri="{FF2B5EF4-FFF2-40B4-BE49-F238E27FC236}">
                <a16:creationId xmlns:a16="http://schemas.microsoft.com/office/drawing/2014/main" id="{0508F4C2-B779-4969-8838-91C4FC1A18EC}"/>
              </a:ext>
            </a:extLst>
          </xdr:cNvPr>
          <xdr:cNvSpPr txBox="1"/>
        </xdr:nvSpPr>
        <xdr:spPr>
          <a:xfrm>
            <a:off x="16282055" y="2085145"/>
            <a:ext cx="1005818" cy="23503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BE629589-C801-45D0-9F9B-4A25698968FA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Pbuf = 23 atm</a:t>
            </a:fld>
            <a:endParaRPr lang="ru-RU" sz="1100"/>
          </a:p>
        </xdr:txBody>
      </xdr:sp>
      <xdr:sp macro="" textlink="$AL$3">
        <xdr:nvSpPr>
          <xdr:cNvPr id="6" name="TextBox 5">
            <a:extLst>
              <a:ext uri="{FF2B5EF4-FFF2-40B4-BE49-F238E27FC236}">
                <a16:creationId xmlns:a16="http://schemas.microsoft.com/office/drawing/2014/main" id="{45B8C902-49CF-448D-B135-6C321B60420B}"/>
              </a:ext>
            </a:extLst>
          </xdr:cNvPr>
          <xdr:cNvSpPr txBox="1"/>
        </xdr:nvSpPr>
        <xdr:spPr>
          <a:xfrm>
            <a:off x="20332250" y="2085146"/>
            <a:ext cx="1122809" cy="23503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6CF60EE7-1DAD-4C9F-96CC-9584DA32B2C6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Pline = 12 atm</a:t>
            </a:fld>
            <a:endParaRPr lang="ru-RU" sz="1100"/>
          </a:p>
        </xdr:txBody>
      </xdr:sp>
      <xdr:sp macro="" textlink="$AL$1">
        <xdr:nvSpPr>
          <xdr:cNvPr id="7" name="TextBox 6">
            <a:extLst>
              <a:ext uri="{FF2B5EF4-FFF2-40B4-BE49-F238E27FC236}">
                <a16:creationId xmlns:a16="http://schemas.microsoft.com/office/drawing/2014/main" id="{9BFC706A-4B2A-4824-88CE-9635A831EE95}"/>
              </a:ext>
            </a:extLst>
          </xdr:cNvPr>
          <xdr:cNvSpPr txBox="1"/>
        </xdr:nvSpPr>
        <xdr:spPr>
          <a:xfrm>
            <a:off x="18468664" y="1789043"/>
            <a:ext cx="1390959" cy="23503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34546ADC-568F-4B56-904D-9EBCA46BFF7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dchoke = 12 mm</a:t>
            </a:fld>
            <a:endParaRPr lang="ru-RU" sz="1100"/>
          </a:p>
        </xdr:txBody>
      </xdr:sp>
    </xdr:grpSp>
    <xdr:clientData/>
  </xdr:twoCellAnchor>
  <xdr:twoCellAnchor>
    <xdr:from>
      <xdr:col>6</xdr:col>
      <xdr:colOff>404312</xdr:colOff>
      <xdr:row>0</xdr:row>
      <xdr:rowOff>59162</xdr:rowOff>
    </xdr:from>
    <xdr:to>
      <xdr:col>17</xdr:col>
      <xdr:colOff>375067</xdr:colOff>
      <xdr:row>17</xdr:row>
      <xdr:rowOff>180294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D31DD71-C8CF-4FAC-9E29-7816EF1B1D62}"/>
            </a:ext>
          </a:extLst>
        </xdr:cNvPr>
        <xdr:cNvSpPr txBox="1"/>
      </xdr:nvSpPr>
      <xdr:spPr>
        <a:xfrm>
          <a:off x="4566737" y="59162"/>
          <a:ext cx="4695155" cy="347393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Упражнение показывает расчет потока через штуцер. Расчет может проводится в нескольких вариантах. Примеры вызова приведены.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задания.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калибровочный коэффициент штуцера для заданных параметров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на выходе из штуцера от дебита при различных диаметрах и давлениях на входе с учетом калибровочного коэффициента. Подстройте ось дебитов вручную если необходимо.</a:t>
          </a:r>
          <a:endParaRPr lang="en-US" sz="1100" baseline="0"/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/>
            <a:t>Постройте зависимость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давления на входе в штуцер от дебита  с учетом калибровочного коэффициента. Подстройте ось дебитов вручную если необходимо </a:t>
          </a:r>
          <a:endParaRPr lang="en-US" sz="1100"/>
        </a:p>
        <a:p>
          <a:endParaRPr lang="ru-RU" sz="1100" baseline="0"/>
        </a:p>
        <a:p>
          <a:endParaRPr lang="ru-RU" sz="1100" baseline="0"/>
        </a:p>
        <a:p>
          <a:r>
            <a:rPr lang="ru-RU" sz="1100" baseline="0"/>
            <a:t>Используйте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MF_choke_p_atma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MF_choke_q_sm3day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MF_choke_calibr</a:t>
          </a:r>
          <a:endParaRPr lang="ru-RU" sz="1100" baseline="0"/>
        </a:p>
      </xdr:txBody>
    </xdr:sp>
    <xdr:clientData/>
  </xdr:twoCellAnchor>
  <xdr:twoCellAnchor>
    <xdr:from>
      <xdr:col>1</xdr:col>
      <xdr:colOff>314739</xdr:colOff>
      <xdr:row>51</xdr:row>
      <xdr:rowOff>107674</xdr:rowOff>
    </xdr:from>
    <xdr:to>
      <xdr:col>5</xdr:col>
      <xdr:colOff>165652</xdr:colOff>
      <xdr:row>56</xdr:row>
      <xdr:rowOff>16566</xdr:rowOff>
    </xdr:to>
    <xdr:sp macro="" textlink="">
      <xdr:nvSpPr>
        <xdr:cNvPr id="12" name="Выноска: стрелка вверх 11">
          <a:extLst>
            <a:ext uri="{FF2B5EF4-FFF2-40B4-BE49-F238E27FC236}">
              <a16:creationId xmlns:a16="http://schemas.microsoft.com/office/drawing/2014/main" id="{E9AECE4A-4D76-4BFF-9EBD-B5B51504DB88}"/>
            </a:ext>
          </a:extLst>
        </xdr:cNvPr>
        <xdr:cNvSpPr/>
      </xdr:nvSpPr>
      <xdr:spPr>
        <a:xfrm>
          <a:off x="924339" y="9013549"/>
          <a:ext cx="2746513" cy="718517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калибровочный коэффициент для заданных параметров</a:t>
          </a:r>
          <a:endParaRPr lang="ru-RU" sz="1100"/>
        </a:p>
      </xdr:txBody>
    </xdr:sp>
    <xdr:clientData/>
  </xdr:twoCellAnchor>
  <xdr:twoCellAnchor editAs="oneCell">
    <xdr:from>
      <xdr:col>50</xdr:col>
      <xdr:colOff>309563</xdr:colOff>
      <xdr:row>0</xdr:row>
      <xdr:rowOff>142875</xdr:rowOff>
    </xdr:from>
    <xdr:to>
      <xdr:col>59</xdr:col>
      <xdr:colOff>404810</xdr:colOff>
      <xdr:row>20</xdr:row>
      <xdr:rowOff>62251</xdr:rowOff>
    </xdr:to>
    <xdr:pic>
      <xdr:nvPicPr>
        <xdr:cNvPr id="16" name="Рисунок 15" descr="Vena Contracta after a Restriction Orifice">
          <a:extLst>
            <a:ext uri="{FF2B5EF4-FFF2-40B4-BE49-F238E27FC236}">
              <a16:creationId xmlns:a16="http://schemas.microsoft.com/office/drawing/2014/main" id="{9ECB3B5C-A8DE-4EC6-94F5-3F2DB331F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69388" y="142875"/>
          <a:ext cx="5343525" cy="395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11907</xdr:colOff>
      <xdr:row>24</xdr:row>
      <xdr:rowOff>35720</xdr:rowOff>
    </xdr:from>
    <xdr:to>
      <xdr:col>60</xdr:col>
      <xdr:colOff>405464</xdr:colOff>
      <xdr:row>57</xdr:row>
      <xdr:rowOff>154782</xdr:rowOff>
    </xdr:to>
    <xdr:pic>
      <xdr:nvPicPr>
        <xdr:cNvPr id="17" name="Рисунок 16" descr="Choked Flow">
          <a:extLst>
            <a:ext uri="{FF2B5EF4-FFF2-40B4-BE49-F238E27FC236}">
              <a16:creationId xmlns:a16="http://schemas.microsoft.com/office/drawing/2014/main" id="{2132507A-D226-4C11-9347-0BB2208EE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52732" y="4798220"/>
          <a:ext cx="5881319" cy="5719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41</xdr:col>
      <xdr:colOff>91167</xdr:colOff>
      <xdr:row>58</xdr:row>
      <xdr:rowOff>151634</xdr:rowOff>
    </xdr:from>
    <xdr:to>
      <xdr:col>56</xdr:col>
      <xdr:colOff>530678</xdr:colOff>
      <xdr:row>61</xdr:row>
      <xdr:rowOff>14628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49F843B-3A5E-4891-9249-3C05C1DD8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434497</xdr:colOff>
      <xdr:row>66</xdr:row>
      <xdr:rowOff>29954</xdr:rowOff>
    </xdr:from>
    <xdr:to>
      <xdr:col>20</xdr:col>
      <xdr:colOff>272142</xdr:colOff>
      <xdr:row>84</xdr:row>
      <xdr:rowOff>62808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95A13532-4C55-4ADD-BFFC-83F41F570E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430695</xdr:colOff>
      <xdr:row>85</xdr:row>
      <xdr:rowOff>85945</xdr:rowOff>
    </xdr:from>
    <xdr:to>
      <xdr:col>20</xdr:col>
      <xdr:colOff>247953</xdr:colOff>
      <xdr:row>106</xdr:row>
      <xdr:rowOff>29670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A5B99396-B67E-4A2A-A748-1B19002730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crv"/>
      <definedName name="decode_json_p_atma"/>
      <definedName name="encode_arange"/>
      <definedName name="encode_feed"/>
      <definedName name="encode_feed_list"/>
      <definedName name="encode_json"/>
      <definedName name="encode_PVT"/>
      <definedName name="json_choke_pq_crv"/>
      <definedName name="MF_choke_calibr"/>
      <definedName name="MF_choke_calibr_fast"/>
      <definedName name="MF_choke_p_atma"/>
      <definedName name="MF_choke_pq_crv"/>
      <definedName name="MF_choke_q_sm3day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neutrium.net/wp-content/uploads/2015/01/Choked-Flow1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73FD2-B877-4EE3-9D31-2AA865ABB49B}">
  <sheetPr codeName="Worksheet_Choke2">
    <outlinePr summaryBelow="0"/>
  </sheetPr>
  <dimension ref="A1:AZ114"/>
  <sheetViews>
    <sheetView tabSelected="1" topLeftCell="A28" zoomScale="90" zoomScaleNormal="90" workbookViewId="0">
      <selection activeCell="P60" sqref="P60"/>
    </sheetView>
  </sheetViews>
  <sheetFormatPr defaultRowHeight="12.75" x14ac:dyDescent="0.2"/>
  <cols>
    <col min="2" max="2" width="12.5703125" customWidth="1"/>
    <col min="3" max="3" width="16.28515625" customWidth="1"/>
    <col min="4" max="4" width="11.5703125" customWidth="1"/>
    <col min="5" max="5" width="12.42578125" customWidth="1"/>
    <col min="6" max="6" width="12.7109375" customWidth="1"/>
    <col min="7" max="7" width="15.7109375" customWidth="1"/>
    <col min="8" max="8" width="10.42578125" customWidth="1"/>
    <col min="9" max="9" width="14.28515625" customWidth="1"/>
    <col min="10" max="12" width="10.42578125" customWidth="1"/>
    <col min="13" max="13" width="9.7109375" customWidth="1"/>
    <col min="14" max="14" width="9.140625" customWidth="1"/>
    <col min="15" max="16" width="5.7109375" customWidth="1"/>
    <col min="17" max="17" width="9.7109375" customWidth="1"/>
    <col min="18" max="22" width="5.7109375" customWidth="1"/>
    <col min="23" max="23" width="13.5703125" customWidth="1"/>
    <col min="24" max="26" width="13.140625" customWidth="1"/>
    <col min="27" max="28" width="5.7109375" customWidth="1"/>
    <col min="29" max="29" width="14" customWidth="1"/>
    <col min="30" max="30" width="10.140625" customWidth="1"/>
    <col min="31" max="51" width="5.7109375" customWidth="1"/>
  </cols>
  <sheetData>
    <row r="1" spans="1:38" x14ac:dyDescent="0.2">
      <c r="A1" s="1" t="s">
        <v>11</v>
      </c>
      <c r="F1" t="s">
        <v>12</v>
      </c>
      <c r="G1" t="str">
        <f>[1]!unf_version()</f>
        <v>7.40</v>
      </c>
      <c r="H1" t="s">
        <v>40</v>
      </c>
      <c r="I1" s="19">
        <v>44977</v>
      </c>
      <c r="J1" s="20"/>
      <c r="K1" s="20"/>
      <c r="L1" s="20"/>
      <c r="AL1" t="str">
        <f>"dchoke = "&amp;Plin_&amp;" mm"</f>
        <v>dchoke = 12 mm</v>
      </c>
    </row>
    <row r="2" spans="1:38" x14ac:dyDescent="0.2">
      <c r="A2" t="s">
        <v>54</v>
      </c>
      <c r="H2" t="s">
        <v>41</v>
      </c>
      <c r="I2" s="21">
        <v>7.4</v>
      </c>
      <c r="J2" s="20"/>
      <c r="K2" s="20"/>
      <c r="L2" s="20"/>
      <c r="AL2" t="str">
        <f>"Pbuf = "&amp;Pbuf_&amp;" atm"</f>
        <v>Pbuf = 23 atm</v>
      </c>
    </row>
    <row r="3" spans="1:38" ht="15" x14ac:dyDescent="0.25">
      <c r="A3" s="22" t="s">
        <v>42</v>
      </c>
      <c r="B3" s="49" t="s">
        <v>43</v>
      </c>
      <c r="C3" s="50"/>
      <c r="D3" s="50"/>
      <c r="E3" s="51"/>
      <c r="H3" t="s">
        <v>44</v>
      </c>
      <c r="I3" s="20" t="s">
        <v>43</v>
      </c>
      <c r="J3" s="20"/>
      <c r="K3" s="20"/>
      <c r="L3" s="20"/>
      <c r="AL3" t="str">
        <f>"Pline = "&amp;Plin_&amp;" atm"</f>
        <v>Pline = 12 atm</v>
      </c>
    </row>
    <row r="4" spans="1:38" ht="15" x14ac:dyDescent="0.25">
      <c r="A4" s="22" t="s">
        <v>45</v>
      </c>
      <c r="B4" s="49" t="s">
        <v>46</v>
      </c>
      <c r="C4" s="50"/>
      <c r="D4" s="50"/>
      <c r="E4" s="51"/>
      <c r="H4" t="s">
        <v>47</v>
      </c>
      <c r="I4" s="20" t="s">
        <v>46</v>
      </c>
      <c r="J4" s="20"/>
      <c r="K4" s="20"/>
      <c r="L4" s="20"/>
      <c r="AL4" t="str">
        <f>"Q = "&amp;Qliq_&amp;" m3/day"</f>
        <v>Q = 10 m3/day</v>
      </c>
    </row>
    <row r="5" spans="1:38" ht="15" x14ac:dyDescent="0.25">
      <c r="A5" s="22" t="s">
        <v>48</v>
      </c>
      <c r="B5" s="49" t="s">
        <v>49</v>
      </c>
      <c r="C5" s="50"/>
      <c r="D5" s="50"/>
      <c r="E5" s="51"/>
      <c r="H5" t="s">
        <v>50</v>
      </c>
      <c r="I5" s="20" t="s">
        <v>49</v>
      </c>
      <c r="J5" s="20"/>
      <c r="K5" s="20"/>
      <c r="L5" s="20"/>
    </row>
    <row r="6" spans="1:38" x14ac:dyDescent="0.2">
      <c r="A6" s="23" t="s">
        <v>51</v>
      </c>
      <c r="B6" s="52" t="s">
        <v>52</v>
      </c>
      <c r="C6" s="53"/>
      <c r="D6" s="53"/>
      <c r="E6" s="54"/>
      <c r="H6" s="24" t="s">
        <v>53</v>
      </c>
      <c r="I6" s="25" t="s">
        <v>52</v>
      </c>
      <c r="J6" s="25"/>
      <c r="K6" s="25"/>
      <c r="L6" s="25"/>
    </row>
    <row r="7" spans="1:38" x14ac:dyDescent="0.2">
      <c r="A7" s="26"/>
      <c r="B7" s="55"/>
      <c r="C7" s="56"/>
      <c r="D7" s="56"/>
      <c r="E7" s="57"/>
      <c r="H7" s="24"/>
      <c r="I7" s="25"/>
      <c r="J7" s="25"/>
      <c r="K7" s="25"/>
      <c r="L7" s="25"/>
    </row>
    <row r="8" spans="1:38" x14ac:dyDescent="0.2">
      <c r="A8" s="27"/>
      <c r="B8" s="58"/>
      <c r="C8" s="59"/>
      <c r="D8" s="59"/>
      <c r="E8" s="60"/>
      <c r="H8" s="24"/>
      <c r="I8" s="25"/>
      <c r="J8" s="25"/>
      <c r="K8" s="25"/>
      <c r="L8" s="25"/>
    </row>
    <row r="10" spans="1:38" x14ac:dyDescent="0.2">
      <c r="A10" s="1" t="s">
        <v>0</v>
      </c>
    </row>
    <row r="11" spans="1:38" ht="18.75" x14ac:dyDescent="0.35">
      <c r="B11" s="6" t="s">
        <v>20</v>
      </c>
      <c r="C11" s="2">
        <v>0.8</v>
      </c>
      <c r="D11" s="32"/>
      <c r="E11" s="10">
        <f>gamma_oil_*1000</f>
        <v>800</v>
      </c>
      <c r="F11" s="12" t="s">
        <v>29</v>
      </c>
    </row>
    <row r="12" spans="1:38" ht="18.75" x14ac:dyDescent="0.35">
      <c r="B12" s="7" t="s">
        <v>21</v>
      </c>
      <c r="C12" s="2">
        <v>1</v>
      </c>
      <c r="D12" s="32"/>
      <c r="E12" s="10">
        <f>gamma_wat_*1000</f>
        <v>1000</v>
      </c>
      <c r="F12" s="12" t="s">
        <v>29</v>
      </c>
    </row>
    <row r="13" spans="1:38" ht="18.75" x14ac:dyDescent="0.35">
      <c r="B13" s="7" t="s">
        <v>22</v>
      </c>
      <c r="C13" s="2">
        <v>0.6</v>
      </c>
      <c r="D13" s="32"/>
      <c r="E13" s="10">
        <f>gamma_gas_*1.22</f>
        <v>0.73199999999999998</v>
      </c>
      <c r="F13" s="12" t="s">
        <v>29</v>
      </c>
    </row>
    <row r="14" spans="1:38" ht="18.75" x14ac:dyDescent="0.35">
      <c r="B14" s="8" t="s">
        <v>23</v>
      </c>
      <c r="C14" s="2">
        <v>250</v>
      </c>
      <c r="D14" s="7" t="s">
        <v>32</v>
      </c>
      <c r="E14" s="11">
        <f>Rsb_/gamma_oil_</f>
        <v>312.5</v>
      </c>
      <c r="F14" s="12" t="s">
        <v>30</v>
      </c>
    </row>
    <row r="15" spans="1:38" ht="18.75" x14ac:dyDescent="0.35">
      <c r="B15" s="8" t="s">
        <v>24</v>
      </c>
      <c r="C15" s="2">
        <v>250</v>
      </c>
      <c r="D15" s="7" t="s">
        <v>32</v>
      </c>
      <c r="E15" s="11">
        <f>Rsb_/gamma_oil_</f>
        <v>312.5</v>
      </c>
      <c r="F15" s="12" t="s">
        <v>30</v>
      </c>
    </row>
    <row r="16" spans="1:38" ht="18" x14ac:dyDescent="0.35">
      <c r="B16" s="7" t="s">
        <v>25</v>
      </c>
      <c r="C16" s="2"/>
      <c r="D16" s="32" t="s">
        <v>5</v>
      </c>
      <c r="E16" s="11">
        <f>Pb_*1.01325</f>
        <v>0</v>
      </c>
      <c r="F16" s="13" t="s">
        <v>6</v>
      </c>
    </row>
    <row r="17" spans="1:52" ht="18" x14ac:dyDescent="0.35">
      <c r="B17" s="7" t="s">
        <v>26</v>
      </c>
      <c r="C17" s="2">
        <v>100</v>
      </c>
      <c r="D17" s="32" t="s">
        <v>2</v>
      </c>
      <c r="E17" s="11">
        <f>Tres_*9/5+32</f>
        <v>212</v>
      </c>
      <c r="F17" s="13" t="s">
        <v>7</v>
      </c>
    </row>
    <row r="18" spans="1:52" ht="18" x14ac:dyDescent="0.35">
      <c r="B18" s="8" t="s">
        <v>27</v>
      </c>
      <c r="C18" s="2"/>
      <c r="D18" s="31" t="s">
        <v>1</v>
      </c>
    </row>
    <row r="19" spans="1:52" ht="18" x14ac:dyDescent="0.35">
      <c r="B19" s="9" t="s">
        <v>28</v>
      </c>
      <c r="C19" s="2"/>
      <c r="D19" s="32" t="s">
        <v>4</v>
      </c>
    </row>
    <row r="20" spans="1:52" ht="18.75" x14ac:dyDescent="0.35">
      <c r="B20" s="7" t="s">
        <v>21</v>
      </c>
      <c r="C20" s="2">
        <v>1</v>
      </c>
      <c r="D20" s="32"/>
      <c r="E20" s="10">
        <f>gamma_wat_kf_*1000</f>
        <v>1000</v>
      </c>
      <c r="F20" s="12" t="s">
        <v>29</v>
      </c>
    </row>
    <row r="21" spans="1:52" x14ac:dyDescent="0.2">
      <c r="A21" s="1" t="s">
        <v>8</v>
      </c>
      <c r="C21" s="5"/>
    </row>
    <row r="22" spans="1:52" ht="30.75" x14ac:dyDescent="0.3">
      <c r="B22" s="9" t="s">
        <v>31</v>
      </c>
      <c r="C22" s="2">
        <v>30</v>
      </c>
      <c r="D22" s="32" t="s">
        <v>3</v>
      </c>
      <c r="F22" s="9" t="s">
        <v>65</v>
      </c>
      <c r="G22" s="2">
        <v>1</v>
      </c>
    </row>
    <row r="23" spans="1:52" ht="15" x14ac:dyDescent="0.25">
      <c r="B23" s="9" t="s">
        <v>34</v>
      </c>
      <c r="C23" s="2">
        <v>80</v>
      </c>
      <c r="D23" s="32" t="s">
        <v>2</v>
      </c>
      <c r="AZ23" s="28" t="s">
        <v>55</v>
      </c>
    </row>
    <row r="24" spans="1:52" x14ac:dyDescent="0.2">
      <c r="A24" s="1" t="s">
        <v>9</v>
      </c>
      <c r="C24" s="3"/>
      <c r="D24" s="3"/>
      <c r="F24" s="33" t="s">
        <v>13</v>
      </c>
      <c r="G24" s="17" t="str">
        <f>[1]!encode_PVT(gamma_gas_,gamma_oil_,gamma_wat_,Rsb_,Pb_,Tres_,Bob_,muob_)</f>
        <v>{"gamma_gas":0.6,"gamma_oil":0.8,"gamma_wat":1,"rsb_m3m3":250,"PVT_corr_set":0}</v>
      </c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</row>
    <row r="25" spans="1:52" ht="15.75" x14ac:dyDescent="0.3">
      <c r="B25" s="9" t="s">
        <v>35</v>
      </c>
      <c r="C25" s="2">
        <v>70</v>
      </c>
      <c r="D25" s="32" t="s">
        <v>10</v>
      </c>
      <c r="F25" t="s">
        <v>57</v>
      </c>
      <c r="G25" s="17" t="str" cm="1">
        <f t="array" ref="G25">[1]!encode_feed(Qliq_,fw_,Rp_,qgas_free,PVTstr_)</f>
        <v>{"gamma_gas":0.6,"gamma_oil":0.8,"gamma_wat":1,"rsb_m3m3":250,"PVT_corr_set":0,"q_liq_sm3day":10,"fw_perc":30,"rp_m3m3":250}</v>
      </c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</row>
    <row r="26" spans="1:52" ht="15.75" x14ac:dyDescent="0.3">
      <c r="B26" s="9" t="s">
        <v>36</v>
      </c>
      <c r="C26" s="2">
        <v>5</v>
      </c>
      <c r="D26" s="32" t="s">
        <v>10</v>
      </c>
    </row>
    <row r="27" spans="1:52" ht="15.75" x14ac:dyDescent="0.3">
      <c r="B27" s="9" t="s">
        <v>39</v>
      </c>
      <c r="C27" s="2">
        <v>10</v>
      </c>
      <c r="D27" s="32" t="s">
        <v>14</v>
      </c>
      <c r="F27" t="s">
        <v>58</v>
      </c>
      <c r="I27" t="s">
        <v>59</v>
      </c>
    </row>
    <row r="28" spans="1:52" ht="15.75" x14ac:dyDescent="0.3">
      <c r="B28" s="9" t="s">
        <v>38</v>
      </c>
      <c r="C28" s="2">
        <v>23</v>
      </c>
      <c r="D28" s="32" t="s">
        <v>15</v>
      </c>
      <c r="F28" s="16" t="s">
        <v>64</v>
      </c>
      <c r="G28" s="16">
        <v>1</v>
      </c>
      <c r="I28" s="17" t="str" cm="1">
        <f t="array" ref="I28">[1]!encode_json(F28:G31)</f>
        <v>{"show_array":1,"show_log":0,"show_json":0}</v>
      </c>
      <c r="J28" s="17"/>
      <c r="K28" s="17"/>
      <c r="L28" s="17"/>
      <c r="M28" s="17"/>
      <c r="N28" s="17"/>
    </row>
    <row r="29" spans="1:52" ht="15.75" x14ac:dyDescent="0.3">
      <c r="B29" s="29" t="s">
        <v>37</v>
      </c>
      <c r="C29" s="30">
        <v>12</v>
      </c>
      <c r="D29" s="14" t="s">
        <v>15</v>
      </c>
      <c r="F29" s="16" t="s">
        <v>63</v>
      </c>
      <c r="G29" s="16"/>
    </row>
    <row r="30" spans="1:52" ht="18" x14ac:dyDescent="0.35">
      <c r="B30" s="9" t="s">
        <v>56</v>
      </c>
      <c r="C30" s="2"/>
      <c r="D30" s="32" t="s">
        <v>14</v>
      </c>
      <c r="F30" s="16" t="s">
        <v>62</v>
      </c>
      <c r="G30" s="16">
        <v>0</v>
      </c>
    </row>
    <row r="31" spans="1:52" x14ac:dyDescent="0.2">
      <c r="B31" s="4"/>
      <c r="F31" s="16" t="s">
        <v>81</v>
      </c>
      <c r="G31">
        <v>0</v>
      </c>
    </row>
    <row r="32" spans="1:52" x14ac:dyDescent="0.2">
      <c r="B32" s="18" t="s">
        <v>33</v>
      </c>
      <c r="C32" s="18"/>
      <c r="D32" s="18"/>
      <c r="E32" s="18"/>
      <c r="F32" s="18"/>
    </row>
    <row r="34" spans="2:23" x14ac:dyDescent="0.2">
      <c r="B34" s="15" t="s">
        <v>16</v>
      </c>
      <c r="N34" t="s">
        <v>60</v>
      </c>
    </row>
    <row r="35" spans="2:23" x14ac:dyDescent="0.2">
      <c r="B35" s="38" cm="1">
        <f t="array" ref="B35:L36">[1]!MF_choke_p_atma(d_choke,feed,Pbuf_,T_choke,d_pipe,calc_along_flow,,param)</f>
        <v>19.981999999999999</v>
      </c>
      <c r="C35" s="39">
        <v>23</v>
      </c>
      <c r="D35" s="39">
        <v>19.981999999999999</v>
      </c>
      <c r="E35" s="40">
        <v>10</v>
      </c>
      <c r="F35" s="40">
        <v>80</v>
      </c>
      <c r="G35" s="40">
        <v>79.040999999999997</v>
      </c>
      <c r="H35" s="40">
        <v>1</v>
      </c>
      <c r="I35" s="41">
        <v>154.357</v>
      </c>
      <c r="J35" s="41">
        <v>12.537000000000001</v>
      </c>
      <c r="K35" s="20">
        <v>14.742000000000001</v>
      </c>
      <c r="L35" t="str">
        <v>["set show_log=1 in param to show calc log"]</v>
      </c>
      <c r="M35" s="36"/>
      <c r="N35" s="34" cm="1">
        <f t="array" ref="N35">[1]!decode_json(K35,1)</f>
        <v>14.742000000000001</v>
      </c>
    </row>
    <row r="36" spans="2:23" x14ac:dyDescent="0.2">
      <c r="B36" s="39" t="str">
        <v>p_out_atma</v>
      </c>
      <c r="C36" s="39" t="str">
        <v>p_intake_atma</v>
      </c>
      <c r="D36" s="39" t="str">
        <v>p_out_atma</v>
      </c>
      <c r="E36" s="40" t="str">
        <v>q_liq_sm3day</v>
      </c>
      <c r="F36" s="44" t="str">
        <v>t_choke_C</v>
      </c>
      <c r="G36" s="44" t="str">
        <v>t_choke_throat_C</v>
      </c>
      <c r="H36" s="44" t="str">
        <v>calibr_fr</v>
      </c>
      <c r="I36" s="44" t="str">
        <v>sonic_vel_msec</v>
      </c>
      <c r="J36" s="44" t="str">
        <v>q_liq_max_sm3day</v>
      </c>
      <c r="K36" s="20" t="str">
        <v>p_crit_atma</v>
      </c>
      <c r="L36" t="str">
        <v>log</v>
      </c>
      <c r="M36" s="37"/>
    </row>
    <row r="37" spans="2:23" x14ac:dyDescent="0.2">
      <c r="C37" s="35"/>
      <c r="T37" t="str" cm="1">
        <f t="array" ref="T37:W38">[1]!MF_choke_calibr(d_choke,feed,0,Pbuf_,Plin_,T_choke,1,+d_pipe,param)</f>
        <v>{"x_solution":0.73095703125,"y_solution":0.0009765625,"cal_type":"calibr","iterations":11,"description":"solve_equation_bisection: done by  11 iterations, tolerance 0.01"}</v>
      </c>
      <c r="U37" t="str">
        <v>{"p_intake_atma":23.001,"p_out_atma":12,"t_choke_C":30,"calibr_fr":0.73095703125,"q_liq_sm3day":10,"q_gas_sm3day":1750,"q_gas_free_sm3day":0,"rp_m3m3":250,"fw_perc":30,"t_choke_throat_C":27.37,"sonic_vel_msec":142.548,"q_liq_max_sm3day":10}</v>
      </c>
      <c r="V37" t="str">
        <v>{"gamma_gas":0.6,"gamma_oil":0.8,"gamma_wat":1,"rsb_m3m3":250,"PVT_corr_set":0,"q_liq_sm3day":10,"fw_perc":30,"rp_m3m3":250}</v>
      </c>
      <c r="W37" t="str">
        <v>["set show_log=1 in param to show calc log"]</v>
      </c>
    </row>
    <row r="38" spans="2:23" x14ac:dyDescent="0.2">
      <c r="T38" t="str">
        <v>result</v>
      </c>
      <c r="U38" t="str">
        <v>last calc</v>
      </c>
      <c r="V38" t="str">
        <v>feed</v>
      </c>
      <c r="W38" t="str">
        <v>log</v>
      </c>
    </row>
    <row r="39" spans="2:23" x14ac:dyDescent="0.2">
      <c r="B39" s="15" t="s">
        <v>17</v>
      </c>
    </row>
    <row r="40" spans="2:23" x14ac:dyDescent="0.2">
      <c r="B40" s="38" cm="1">
        <f t="array" ref="B40:L41">[1]!MF_choke_p_atma(d_choke,feed,Plin_,T_choke,d_pipe,0,,I28)</f>
        <v>18.401</v>
      </c>
      <c r="C40" s="39">
        <v>18.401</v>
      </c>
      <c r="D40" s="39">
        <v>12</v>
      </c>
      <c r="E40" s="40">
        <v>10</v>
      </c>
      <c r="F40" s="43">
        <v>80</v>
      </c>
      <c r="G40" s="40">
        <v>77.043000000000006</v>
      </c>
      <c r="H40" s="40">
        <v>1</v>
      </c>
      <c r="I40" s="41">
        <v>153.357</v>
      </c>
      <c r="J40" s="41">
        <v>10</v>
      </c>
      <c r="K40" s="20">
        <v>11.837999999999999</v>
      </c>
      <c r="L40" t="str">
        <v>["set show_log=1 in param to show calc log"]</v>
      </c>
      <c r="M40" s="36"/>
      <c r="N40" s="34" cm="1">
        <f t="array" ref="N40">[1]!decode_json(K40,1)</f>
        <v>11.837999999999999</v>
      </c>
      <c r="V40" t="str" cm="1">
        <f t="array" ref="V40:W44">[1]!decode_json(T37)</f>
        <v>x_solution</v>
      </c>
      <c r="W40">
        <v>0.73095703125</v>
      </c>
    </row>
    <row r="41" spans="2:23" x14ac:dyDescent="0.2">
      <c r="B41" s="39" t="str">
        <v>p_intake_atma</v>
      </c>
      <c r="C41" s="39" t="str">
        <v>p_intake_atma</v>
      </c>
      <c r="D41" s="39" t="str">
        <v>p_out_atma</v>
      </c>
      <c r="E41" s="40" t="str">
        <v>q_liq_sm3day</v>
      </c>
      <c r="F41" s="44" t="str">
        <v>t_choke_C</v>
      </c>
      <c r="G41" s="44" t="str">
        <v>t_choke_throat_C</v>
      </c>
      <c r="H41" s="44" t="str">
        <v>calibr_fr</v>
      </c>
      <c r="I41" s="44" t="str">
        <v>sonic_vel_msec</v>
      </c>
      <c r="J41" s="44" t="str">
        <v>q_liq_max_sm3day</v>
      </c>
      <c r="K41" s="20" t="str">
        <v>p_crit_atma</v>
      </c>
      <c r="L41" t="str">
        <v>log</v>
      </c>
      <c r="M41" s="37"/>
      <c r="V41" t="str">
        <v>y_solution</v>
      </c>
      <c r="W41">
        <v>9.765625E-4</v>
      </c>
    </row>
    <row r="42" spans="2:23" x14ac:dyDescent="0.2">
      <c r="V42" t="str">
        <v>cal_type</v>
      </c>
      <c r="W42" t="str">
        <v>calibr</v>
      </c>
    </row>
    <row r="43" spans="2:23" x14ac:dyDescent="0.2">
      <c r="V43" t="str">
        <v>iterations</v>
      </c>
      <c r="W43">
        <v>11</v>
      </c>
    </row>
    <row r="44" spans="2:23" x14ac:dyDescent="0.2">
      <c r="B44" t="s">
        <v>19</v>
      </c>
      <c r="V44" t="str">
        <v>description</v>
      </c>
      <c r="W44" t="str">
        <v>solve_equation_bisection: done by  11 iterations, tolerance 0.01</v>
      </c>
    </row>
    <row r="45" spans="2:23" x14ac:dyDescent="0.2">
      <c r="B45" s="38" cm="1">
        <f t="array" ref="B45:L46">[1]!MF_choke_q_sm3day(feed,d_choke,Pbuf_,Plin_,T_choke,,,I28)</f>
        <v>12.537000000000001</v>
      </c>
      <c r="C45" s="39">
        <v>23</v>
      </c>
      <c r="D45" s="39">
        <v>12</v>
      </c>
      <c r="E45" s="40">
        <v>12.537000000000001</v>
      </c>
      <c r="F45" s="40">
        <v>80</v>
      </c>
      <c r="G45" s="40">
        <v>77.001000000000005</v>
      </c>
      <c r="H45" s="40">
        <v>1</v>
      </c>
      <c r="I45" s="41">
        <v>154.357</v>
      </c>
      <c r="J45" s="41">
        <v>12.537000000000001</v>
      </c>
      <c r="K45" s="20">
        <v>14.742000000000001</v>
      </c>
      <c r="L45" t="str">
        <v>["set show_log=1 in param to show calc log"]</v>
      </c>
      <c r="M45" s="36"/>
      <c r="N45" s="34" cm="1">
        <f t="array" ref="N45">[1]!decode_json(K45,1)</f>
        <v>14.742000000000001</v>
      </c>
    </row>
    <row r="46" spans="2:23" x14ac:dyDescent="0.2">
      <c r="B46" s="39" t="str">
        <v>q_liq_sm3day</v>
      </c>
      <c r="C46" s="39" t="str">
        <v>p_intake_atma</v>
      </c>
      <c r="D46" s="39" t="str">
        <v>p_out_atma</v>
      </c>
      <c r="E46" s="40" t="str">
        <v>q_liq_sm3day</v>
      </c>
      <c r="F46" s="42" t="str">
        <v>t_choke_C</v>
      </c>
      <c r="G46" s="42" t="str">
        <v>t_choke_throat_C</v>
      </c>
      <c r="H46" s="42" t="str">
        <v>calibr_fr</v>
      </c>
      <c r="I46" s="42" t="str">
        <v>sonic_vel_msec</v>
      </c>
      <c r="J46" s="42" t="str">
        <v>q_liq_max_sm3day</v>
      </c>
      <c r="K46" s="20" t="str">
        <v>p_crit_atma</v>
      </c>
      <c r="L46" t="str">
        <v>log</v>
      </c>
      <c r="M46" s="37"/>
      <c r="N46" s="37"/>
    </row>
    <row r="48" spans="2:23" x14ac:dyDescent="0.2">
      <c r="W48" t="str" cm="1">
        <f t="array" ref="W48">[1]!json_choke_pq_crv(d_choke,feed,Pbuf_,T_choke,d_pipe)</f>
        <v>{"curve_x":"p_out_atma","curve_y":"q_liq_sm3day","p_out_atma":[1,14.804,15.259,15.715,16.17,16.625,17.081,17.536,17.991,18.447,18.902,19.357,19.813,20.268,20.723,21.179,21.634,22.089,22.545,23],"q_liq_sm3day":[12.537,12.537,12.526,12.483,12.406,12.294,12.142,11.949,11.711,11.423,11.08,10.675,10.198,9.638,8.977,8.188,7.229,6.014,4.331,0]}</v>
      </c>
    </row>
    <row r="49" spans="2:29" x14ac:dyDescent="0.2">
      <c r="B49" t="s">
        <v>18</v>
      </c>
    </row>
    <row r="50" spans="2:29" x14ac:dyDescent="0.2">
      <c r="B50" s="20" t="str" cm="1">
        <f t="array" ref="B50:G51">[1]!MF_choke_calibr_fast(feed,d_choke,Pbuf_,Plin_,d_pipe,T_choke,I28)</f>
        <v>0.797656575215787</v>
      </c>
      <c r="C50" s="20">
        <v>23</v>
      </c>
      <c r="D50" s="20">
        <v>12</v>
      </c>
      <c r="E50" s="20">
        <v>80</v>
      </c>
      <c r="F50" s="46">
        <v>0.79765657521578681</v>
      </c>
      <c r="G50" s="20" t="str">
        <v>["set show_log=1 in param to show calc log"]</v>
      </c>
      <c r="H50" t="s">
        <v>61</v>
      </c>
      <c r="N50" s="34" t="str" cm="1">
        <f t="array" ref="N50">[1]!decode_json(G50,1)</f>
        <v>set show_log=1 in param to show calc log</v>
      </c>
    </row>
    <row r="51" spans="2:29" x14ac:dyDescent="0.2">
      <c r="B51" s="20" t="str">
        <v>calibr_fr</v>
      </c>
      <c r="C51" s="20" t="str">
        <v>p_intake_atma</v>
      </c>
      <c r="D51" s="20" t="str">
        <v>p_out_atma</v>
      </c>
      <c r="E51" s="20" t="str">
        <v>t_choke_C</v>
      </c>
      <c r="F51" s="47" t="str">
        <v>calibr_fr</v>
      </c>
      <c r="G51" s="20" t="str">
        <v>log</v>
      </c>
      <c r="Y51" t="str" cm="1">
        <f t="array" ref="Y51:Z71">[1]!decode_json_crv(W48)</f>
        <v>p_out_atma</v>
      </c>
      <c r="Z51" t="str">
        <v>q_liq_sm3day</v>
      </c>
      <c r="AC51" t="e" cm="1">
        <f t="array" ref="AC51">enc</f>
        <v>#NAME?</v>
      </c>
    </row>
    <row r="52" spans="2:29" x14ac:dyDescent="0.2">
      <c r="Y52">
        <v>1</v>
      </c>
      <c r="Z52">
        <v>12.537000000000001</v>
      </c>
    </row>
    <row r="53" spans="2:29" x14ac:dyDescent="0.2">
      <c r="Y53">
        <v>14.804</v>
      </c>
      <c r="Z53">
        <v>12.537000000000001</v>
      </c>
    </row>
    <row r="54" spans="2:29" x14ac:dyDescent="0.2">
      <c r="Y54">
        <v>15.259</v>
      </c>
      <c r="Z54">
        <v>12.526</v>
      </c>
    </row>
    <row r="55" spans="2:29" x14ac:dyDescent="0.2">
      <c r="Y55">
        <v>15.715</v>
      </c>
      <c r="Z55">
        <v>12.483000000000001</v>
      </c>
    </row>
    <row r="56" spans="2:29" x14ac:dyDescent="0.2">
      <c r="Y56">
        <v>16.170000000000002</v>
      </c>
      <c r="Z56">
        <v>12.406000000000001</v>
      </c>
    </row>
    <row r="57" spans="2:29" x14ac:dyDescent="0.2">
      <c r="Y57">
        <v>16.625</v>
      </c>
      <c r="Z57">
        <v>12.294</v>
      </c>
    </row>
    <row r="58" spans="2:29" x14ac:dyDescent="0.2">
      <c r="C58" s="45"/>
      <c r="Y58">
        <v>17.081</v>
      </c>
      <c r="Z58">
        <v>12.141999999999999</v>
      </c>
    </row>
    <row r="59" spans="2:29" x14ac:dyDescent="0.2">
      <c r="B59" t="s">
        <v>80</v>
      </c>
      <c r="Y59">
        <v>17.536000000000001</v>
      </c>
      <c r="Z59">
        <v>11.949</v>
      </c>
    </row>
    <row r="60" spans="2:29" x14ac:dyDescent="0.2">
      <c r="C60" t="s">
        <v>66</v>
      </c>
      <c r="D60" t="s">
        <v>67</v>
      </c>
      <c r="E60" t="s">
        <v>68</v>
      </c>
      <c r="F60" t="s">
        <v>71</v>
      </c>
      <c r="G60" t="s">
        <v>69</v>
      </c>
      <c r="H60" t="s">
        <v>70</v>
      </c>
      <c r="Y60">
        <v>17.991</v>
      </c>
      <c r="Z60">
        <v>11.711</v>
      </c>
    </row>
    <row r="61" spans="2:29" x14ac:dyDescent="0.2">
      <c r="B61" t="s">
        <v>72</v>
      </c>
      <c r="C61" s="48" t="str" cm="1">
        <f t="array" ref="C61">[1]!encode_arange(1,100,9)</f>
        <v>[1,10,19,28,37,46,55,64,73,82,91,100]</v>
      </c>
      <c r="D61" s="48" t="str" cm="1">
        <f t="array" ref="D61">[1]!encode_feed_list(C61,fw_,Rp_,,PVTstr_)</f>
        <v>[{"gamma_gas":0.6,"gamma_oil":0.8,"gamma_wat":1,"rsb_m3m3":250,"PVT_corr_set":0,"q_liq_sm3day":1,"fw_perc":30,"rp_m3m3":250},{"gamma_gas":0.6,"gamma_oil":0.8,"gamma_wat":1,"rsb_m3m3":250,"PVT_corr_set":0,"q_liq_sm3day":10,"fw_perc":30,"rp_m3m3":250},{"gamma_gas":0.6,"gamma_oil":0.8,"gamma_wat":1,"rsb_m3m3":250,"PVT_corr_set":0,"q_liq_sm3day":19,"fw_perc":30,"rp_m3m3":250},{"gamma_gas":0.6,"gamma_oil":0.8,"gamma_wat":1,"rsb_m3m3":250,"PVT_corr_set":0,"q_liq_sm3day":28,"fw_perc":30,"rp_m3m3":250},{"gamma_gas":0.6,"gamma_oil":0.8,"gamma_wat":1,"rsb_m3m3":250,"PVT_corr_set":0,"q_liq_sm3day":37,"fw_perc":30,"rp_m3m3":250},{"gamma_gas":0.6,"gamma_oil":0.8,"gamma_wat":1,"rsb_m3m3":250,"PVT_corr_set":0,"q_liq_sm3day":46,"fw_perc":30,"rp_m3m3":250},{"gamma_gas":0.6,"gamma_oil":0.8,"gamma_wat":1,"rsb_m3m3":250,"PVT_corr_set":0,"q_liq_sm3day":55,"fw_perc":30,"rp_m3m3":250},{"gamma_gas":0.6,"gamma_oil":0.8,"gamma_wat":1,"rsb_m3m3":250,"PVT_corr_set":0,"q_liq_sm3day":64,"fw_perc":30,"rp_m3m3":250},{"gamma_gas":0.6,"gamma_oil":0.8,"gamma_wat":1,"rsb_m3m3":250,"PVT_corr_set":0,"q_liq_sm3day":73,"fw_perc":30,"rp_m3m3":250},{"gamma_gas":0.6,"gamma_oil":0.8,"gamma_wat":1,"rsb_m3m3":250,"PVT_corr_set":0,"q_liq_sm3day":82,"fw_perc":30,"rp_m3m3":250},{"gamma_gas":0.6,"gamma_oil":0.8,"gamma_wat":1,"rsb_m3m3":250,"PVT_corr_set":0,"q_liq_sm3day":91,"fw_perc":30,"rp_m3m3":250},{"gamma_gas":0.6,"gamma_oil":0.8,"gamma_wat":1,"rsb_m3m3":250,"PVT_corr_set":0,"q_liq_sm3day":100,"fw_perc":30,"rp_m3m3":250}]</v>
      </c>
      <c r="E61">
        <f t="shared" ref="E61:E66" si="0">Plin_</f>
        <v>12</v>
      </c>
      <c r="F61">
        <v>3</v>
      </c>
      <c r="G61" t="str" cm="1">
        <f t="array" ref="G61">[1]!MF_choke_p_atma(F61,D61,E61,T_choke,d_pipe,0)</f>
        <v>{"p_atma":[12.353,49.916,91.564,130.822,168.369,540.311,554.115,563.689,570.709,576.076,580.318,583.752],"t_C":[80,80,80,80,80,80,80,80,80,80,80,80],"feed":[{"gamma_gas":0.6,"gamma_oil":0.8,"gamma_wat":1,"rsb_m3m3":250,"PVT_corr_set":0,"q_liq_sm3day":1,"fw_perc":30,"rp_m3m3":250},{"gamma_gas":0.6,"gamma_oil":0.8,"gamma_wat":1,"rsb_m3m3":250,"PVT_corr_set":0,"q_liq_sm3day":10,"fw_perc":30,"rp_m3m3":250},{"gamma_gas":0.6,"gamma_oil":0.8,"gamma_wat":1,"rsb_m3m3":250,"PVT_corr_set":0,"q_liq_sm3day":19,"fw_perc":30,"rp_m3m3":250},{"gamma_gas":0.6,"gamma_oil":0.8,"gamma_wat":1,"rsb_m3m3":250,"PVT_corr_set":0,"q_liq_sm3day":28,"fw_perc":30,"rp_m3m3":250},{"gamma_gas":0.6,"gamma_oil":0.8,"gamma_wat":1,"rsb_m3m3":250,"PVT_corr_set":0,"q_liq_sm3day":37,"fw_perc":30,"rp_m3m3":250},{"gamma_gas":0.6,"gamma_oil":0.8,"gamma_wat":1,"rsb_m3m3":250,"PVT_corr_set":0,"q_liq_sm3day":46,"fw_perc":30,"rp_m3m3":250},{"gamma_gas":0.6,"gamma_oil":0.8,"gamma_wat":1,"rsb_m3m3":250,"PVT_corr_set":0,"q_liq_sm3day":55,"fw_perc":30,"rp_m3m3":250},{"gamma_gas":0.6,"gamma_oil":0.8,"gamma_wat":1,"rsb_m3m3":250,"PVT_corr_set":0,"q_liq_sm3day":64,"fw_perc":30,"rp_m3m3":250},{"gamma_gas":0.6,"gamma_oil":0.8,"gamma_wat":1,"rsb_m3m3":250,"PVT_corr_set":0,"q_liq_sm3day":73,"fw_perc":30,"rp_m3m3":250},{"gamma_gas":0.6,"gamma_oil":0.8,"gamma_wat":1,"rsb_m3m3":250,"PVT_corr_set":0,"q_liq_sm3day":82,"fw_perc":30,"rp_m3m3":250},{"gamma_gas":0.6,"gamma_oil":0.8,"gamma_wat":1,"rsb_m3m3":250,"PVT_corr_set":0,"q_liq_sm3day":91,"fw_perc":30,"rp_m3m3":250},{"gamma_gas":0.6,"gamma_oil":0.8,"gamma_wat":1,"rsb_m3m3":250,"PVT_corr_set":0,"q_liq_sm3day":100,"fw_perc":30,"rp_m3m3":250}]}</v>
      </c>
      <c r="H61" t="str" cm="1">
        <f t="array" ref="H61">[1]!decode_json_p_atma(G61)</f>
        <v>[12.353,49.916,91.564,130.822,168.369,540.311,554.115,563.689,570.709,576.076,580.318,583.752]</v>
      </c>
      <c r="I61" t="e" cm="1">
        <f t="array" aca="1" ref="I61" ca="1">[1]!MF_choke_pq_crv(F61,feed,E61,T_choke,,1)</f>
        <v>#NAME?</v>
      </c>
      <c r="Y61">
        <v>18.446999999999999</v>
      </c>
      <c r="Z61">
        <v>11.423</v>
      </c>
    </row>
    <row r="62" spans="2:29" x14ac:dyDescent="0.2">
      <c r="B62" t="s">
        <v>73</v>
      </c>
      <c r="C62" s="48" t="str" cm="1">
        <f t="array" ref="C62">[1]!encode_arange(1,100,9)</f>
        <v>[1,10,19,28,37,46,55,64,73,82,91,100]</v>
      </c>
      <c r="D62" s="48" t="str" cm="1">
        <f t="array" ref="D62">[1]!encode_feed_list(C62,fw_,Rp_,,PVTstr_)</f>
        <v>[{"gamma_gas":0.6,"gamma_oil":0.8,"gamma_wat":1,"rsb_m3m3":250,"PVT_corr_set":0,"q_liq_sm3day":1,"fw_perc":30,"rp_m3m3":250},{"gamma_gas":0.6,"gamma_oil":0.8,"gamma_wat":1,"rsb_m3m3":250,"PVT_corr_set":0,"q_liq_sm3day":10,"fw_perc":30,"rp_m3m3":250},{"gamma_gas":0.6,"gamma_oil":0.8,"gamma_wat":1,"rsb_m3m3":250,"PVT_corr_set":0,"q_liq_sm3day":19,"fw_perc":30,"rp_m3m3":250},{"gamma_gas":0.6,"gamma_oil":0.8,"gamma_wat":1,"rsb_m3m3":250,"PVT_corr_set":0,"q_liq_sm3day":28,"fw_perc":30,"rp_m3m3":250},{"gamma_gas":0.6,"gamma_oil":0.8,"gamma_wat":1,"rsb_m3m3":250,"PVT_corr_set":0,"q_liq_sm3day":37,"fw_perc":30,"rp_m3m3":250},{"gamma_gas":0.6,"gamma_oil":0.8,"gamma_wat":1,"rsb_m3m3":250,"PVT_corr_set":0,"q_liq_sm3day":46,"fw_perc":30,"rp_m3m3":250},{"gamma_gas":0.6,"gamma_oil":0.8,"gamma_wat":1,"rsb_m3m3":250,"PVT_corr_set":0,"q_liq_sm3day":55,"fw_perc":30,"rp_m3m3":250},{"gamma_gas":0.6,"gamma_oil":0.8,"gamma_wat":1,"rsb_m3m3":250,"PVT_corr_set":0,"q_liq_sm3day":64,"fw_perc":30,"rp_m3m3":250},{"gamma_gas":0.6,"gamma_oil":0.8,"gamma_wat":1,"rsb_m3m3":250,"PVT_corr_set":0,"q_liq_sm3day":73,"fw_perc":30,"rp_m3m3":250},{"gamma_gas":0.6,"gamma_oil":0.8,"gamma_wat":1,"rsb_m3m3":250,"PVT_corr_set":0,"q_liq_sm3day":82,"fw_perc":30,"rp_m3m3":250},{"gamma_gas":0.6,"gamma_oil":0.8,"gamma_wat":1,"rsb_m3m3":250,"PVT_corr_set":0,"q_liq_sm3day":91,"fw_perc":30,"rp_m3m3":250},{"gamma_gas":0.6,"gamma_oil":0.8,"gamma_wat":1,"rsb_m3m3":250,"PVT_corr_set":0,"q_liq_sm3day":100,"fw_perc":30,"rp_m3m3":250}]</v>
      </c>
      <c r="E62">
        <f t="shared" si="0"/>
        <v>12</v>
      </c>
      <c r="F62">
        <v>4</v>
      </c>
      <c r="G62" t="str" cm="1">
        <f t="array" ref="G62">[1]!MF_choke_p_atma(F62,D62,E62,T_choke,d_pipe,0)</f>
        <v>{"p_atma":[12.109,28.553,53.197,76.846,99.627,121.717,143.244,164.268,184.857,548.197,555.662,561.639],"t_C":[80,80,80,80,80,80,80,80,80,80,80,80],"feed":[{"gamma_gas":0.6,"gamma_oil":0.8,"gamma_wat":1,"rsb_m3m3":250,"PVT_corr_set":0,"q_liq_sm3day":1,"fw_perc":30,"rp_m3m3":250},{"gamma_gas":0.6,"gamma_oil":0.8,"gamma_wat":1,"rsb_m3m3":250,"PVT_corr_set":0,"q_liq_sm3day":10,"fw_perc":30,"rp_m3m3":250},{"gamma_gas":0.6,"gamma_oil":0.8,"gamma_wat":1,"rsb_m3m3":250,"PVT_corr_set":0,"q_liq_sm3day":19,"fw_perc":30,"rp_m3m3":250},{"gamma_gas":0.6,"gamma_oil":0.8,"gamma_wat":1,"rsb_m3m3":250,"PVT_corr_set":0,"q_liq_sm3day":28,"fw_perc":30,"rp_m3m3":250},{"gamma_gas":0.6,"gamma_oil":0.8,"gamma_wat":1,"rsb_m3m3":250,"PVT_corr_set":0,"q_liq_sm3day":37,"fw_perc":30,"rp_m3m3":250},{"gamma_gas":0.6,"gamma_oil":0.8,"gamma_wat":1,"rsb_m3m3":250,"PVT_corr_set":0,"q_liq_sm3day":46,"fw_perc":30,"rp_m3m3":250},{"gamma_gas":0.6,"gamma_oil":0.8,"gamma_wat":1,"rsb_m3m3":250,"PVT_corr_set":0,"q_liq_sm3day":55,"fw_perc":30,"rp_m3m3":250},{"gamma_gas":0.6,"gamma_oil":0.8,"gamma_wat":1,"rsb_m3m3":250,"PVT_corr_set":0,"q_liq_sm3day":64,"fw_perc":30,"rp_m3m3":250},{"gamma_gas":0.6,"gamma_oil":0.8,"gamma_wat":1,"rsb_m3m3":250,"PVT_corr_set":0,"q_liq_sm3day":73,"fw_perc":30,"rp_m3m3":250},{"gamma_gas":0.6,"gamma_oil":0.8,"gamma_wat":1,"rsb_m3m3":250,"PVT_corr_set":0,"q_liq_sm3day":82,"fw_perc":30,"rp_m3m3":250},{"gamma_gas":0.6,"gamma_oil":0.8,"gamma_wat":1,"rsb_m3m3":250,"PVT_corr_set":0,"q_liq_sm3day":91,"fw_perc":30,"rp_m3m3":250},{"gamma_gas":0.6,"gamma_oil":0.8,"gamma_wat":1,"rsb_m3m3":250,"PVT_corr_set":0,"q_liq_sm3day":100,"fw_perc":30,"rp_m3m3":250}]}</v>
      </c>
      <c r="H62" t="str" cm="1">
        <f t="array" ref="H62">[1]!decode_json_p_atma(G62)</f>
        <v>[12.109,28.553,53.197,76.846,99.627,121.717,143.244,164.268,184.857,548.197,555.662,561.639]</v>
      </c>
      <c r="I62" t="e" cm="1">
        <f t="array" aca="1" ref="I62" ca="1">[1]!MF_choke_pq_crv(F62,feed,E62,T_choke,,1)</f>
        <v>#NAME?</v>
      </c>
      <c r="Y62">
        <v>18.902000000000001</v>
      </c>
      <c r="Z62">
        <v>11.08</v>
      </c>
    </row>
    <row r="63" spans="2:29" x14ac:dyDescent="0.2">
      <c r="B63" t="s">
        <v>74</v>
      </c>
      <c r="C63" s="48" t="str" cm="1">
        <f t="array" ref="C63">[1]!encode_arange(1,100,9)</f>
        <v>[1,10,19,28,37,46,55,64,73,82,91,100]</v>
      </c>
      <c r="D63" s="48" t="str" cm="1">
        <f t="array" ref="D63">[1]!encode_feed_list(C63,fw_,Rp_,,PVTstr_)</f>
        <v>[{"gamma_gas":0.6,"gamma_oil":0.8,"gamma_wat":1,"rsb_m3m3":250,"PVT_corr_set":0,"q_liq_sm3day":1,"fw_perc":30,"rp_m3m3":250},{"gamma_gas":0.6,"gamma_oil":0.8,"gamma_wat":1,"rsb_m3m3":250,"PVT_corr_set":0,"q_liq_sm3day":10,"fw_perc":30,"rp_m3m3":250},{"gamma_gas":0.6,"gamma_oil":0.8,"gamma_wat":1,"rsb_m3m3":250,"PVT_corr_set":0,"q_liq_sm3day":19,"fw_perc":30,"rp_m3m3":250},{"gamma_gas":0.6,"gamma_oil":0.8,"gamma_wat":1,"rsb_m3m3":250,"PVT_corr_set":0,"q_liq_sm3day":28,"fw_perc":30,"rp_m3m3":250},{"gamma_gas":0.6,"gamma_oil":0.8,"gamma_wat":1,"rsb_m3m3":250,"PVT_corr_set":0,"q_liq_sm3day":37,"fw_perc":30,"rp_m3m3":250},{"gamma_gas":0.6,"gamma_oil":0.8,"gamma_wat":1,"rsb_m3m3":250,"PVT_corr_set":0,"q_liq_sm3day":46,"fw_perc":30,"rp_m3m3":250},{"gamma_gas":0.6,"gamma_oil":0.8,"gamma_wat":1,"rsb_m3m3":250,"PVT_corr_set":0,"q_liq_sm3day":55,"fw_perc":30,"rp_m3m3":250},{"gamma_gas":0.6,"gamma_oil":0.8,"gamma_wat":1,"rsb_m3m3":250,"PVT_corr_set":0,"q_liq_sm3day":64,"fw_perc":30,"rp_m3m3":250},{"gamma_gas":0.6,"gamma_oil":0.8,"gamma_wat":1,"rsb_m3m3":250,"PVT_corr_set":0,"q_liq_sm3day":73,"fw_perc":30,"rp_m3m3":250},{"gamma_gas":0.6,"gamma_oil":0.8,"gamma_wat":1,"rsb_m3m3":250,"PVT_corr_set":0,"q_liq_sm3day":82,"fw_perc":30,"rp_m3m3":250},{"gamma_gas":0.6,"gamma_oil":0.8,"gamma_wat":1,"rsb_m3m3":250,"PVT_corr_set":0,"q_liq_sm3day":91,"fw_perc":30,"rp_m3m3":250},{"gamma_gas":0.6,"gamma_oil":0.8,"gamma_wat":1,"rsb_m3m3":250,"PVT_corr_set":0,"q_liq_sm3day":100,"fw_perc":30,"rp_m3m3":250}]</v>
      </c>
      <c r="E63">
        <f t="shared" si="0"/>
        <v>12</v>
      </c>
      <c r="F63">
        <v>6</v>
      </c>
      <c r="G63" t="str" cm="1">
        <f t="array" ref="G63">[1]!MF_choke_p_atma(F63,D63,E63,T_choke,d_pipe,0)</f>
        <v>{"p_atma":[12.021,14.525,24.185,35.35,46.307,57.053,67.611,77.982,88.189,98.244,108.158,117.943],"t_C":[80,80,80,80,80,80,80,80,80,80,80,80],"feed":[{"gamma_gas":0.6,"gamma_oil":0.8,"gamma_wat":1,"rsb_m3m3":250,"PVT_corr_set":0,"q_liq_sm3day":1,"fw_perc":30,"rp_m3m3":250},{"gamma_gas":0.6,"gamma_oil":0.8,"gamma_wat":1,"rsb_m3m3":250,"PVT_corr_set":0,"q_liq_sm3day":10,"fw_perc":30,"rp_m3m3":250},{"gamma_gas":0.6,"gamma_oil":0.8,"gamma_wat":1,"rsb_m3m3":250,"PVT_corr_set":0,"q_liq_sm3day":19,"fw_perc":30,"rp_m3m3":250},{"gamma_gas":0.6,"gamma_oil":0.8,"gamma_wat":1,"rsb_m3m3":250,"PVT_corr_set":0,"q_liq_sm3day":28,"fw_perc":30,"rp_m3m3":250},{"gamma_gas":0.6,"gamma_oil":0.8,"gamma_wat":1,"rsb_m3m3":250,"PVT_corr_set":0,"q_liq_sm3day":37,"fw_perc":30,"rp_m3m3":250},{"gamma_gas":0.6,"gamma_oil":0.8,"gamma_wat":1,"rsb_m3m3":250,"PVT_corr_set":0,"q_liq_sm3day":46,"fw_perc":30,"rp_m3m3":250},{"gamma_gas":0.6,"gamma_oil":0.8,"gamma_wat":1,"rsb_m3m3":250,"PVT_corr_set":0,"q_liq_sm3day":55,"fw_perc":30,"rp_m3m3":250},{"gamma_gas":0.6,"gamma_oil":0.8,"gamma_wat":1,"rsb_m3m3":250,"PVT_corr_set":0,"q_liq_sm3day":64,"fw_perc":30,"rp_m3m3":250},{"gamma_gas":0.6,"gamma_oil":0.8,"gamma_wat":1,"rsb_m3m3":250,"PVT_corr_set":0,"q_liq_sm3day":73,"fw_perc":30,"rp_m3m3":250},{"gamma_gas":0.6,"gamma_oil":0.8,"gamma_wat":1,"rsb_m3m3":250,"PVT_corr_set":0,"q_liq_sm3day":82,"fw_perc":30,"rp_m3m3":250},{"gamma_gas":0.6,"gamma_oil":0.8,"gamma_wat":1,"rsb_m3m3":250,"PVT_corr_set":0,"q_liq_sm3day":91,"fw_perc":30,"rp_m3m3":250},{"gamma_gas":0.6,"gamma_oil":0.8,"gamma_wat":1,"rsb_m3m3":250,"PVT_corr_set":0,"q_liq_sm3day":100,"fw_perc":30,"rp_m3m3":250}]}</v>
      </c>
      <c r="H63" t="str" cm="1">
        <f t="array" ref="H63">[1]!decode_json_p_atma(G63)</f>
        <v>[12.021,14.525,24.185,35.35,46.307,57.053,67.611,77.982,88.189,98.244,108.158,117.943]</v>
      </c>
      <c r="I63" t="e" cm="1">
        <f t="array" aca="1" ref="I63" ca="1">[1]!MF_choke_pq_crv(F63,feed,E63,T_choke,,1)</f>
        <v>#NAME?</v>
      </c>
      <c r="Y63">
        <v>19.356999999999999</v>
      </c>
      <c r="Z63">
        <v>10.675000000000001</v>
      </c>
    </row>
    <row r="64" spans="2:29" x14ac:dyDescent="0.2">
      <c r="B64" t="s">
        <v>75</v>
      </c>
      <c r="C64" s="48" t="str" cm="1">
        <f t="array" ref="C64">[1]!encode_arange(1,100,9)</f>
        <v>[1,10,19,28,37,46,55,64,73,82,91,100]</v>
      </c>
      <c r="D64" s="48" t="str" cm="1">
        <f t="array" ref="D64">[1]!encode_feed_list(C64,fw_,Rp_,,PVTstr_)</f>
        <v>[{"gamma_gas":0.6,"gamma_oil":0.8,"gamma_wat":1,"rsb_m3m3":250,"PVT_corr_set":0,"q_liq_sm3day":1,"fw_perc":30,"rp_m3m3":250},{"gamma_gas":0.6,"gamma_oil":0.8,"gamma_wat":1,"rsb_m3m3":250,"PVT_corr_set":0,"q_liq_sm3day":10,"fw_perc":30,"rp_m3m3":250},{"gamma_gas":0.6,"gamma_oil":0.8,"gamma_wat":1,"rsb_m3m3":250,"PVT_corr_set":0,"q_liq_sm3day":19,"fw_perc":30,"rp_m3m3":250},{"gamma_gas":0.6,"gamma_oil":0.8,"gamma_wat":1,"rsb_m3m3":250,"PVT_corr_set":0,"q_liq_sm3day":28,"fw_perc":30,"rp_m3m3":250},{"gamma_gas":0.6,"gamma_oil":0.8,"gamma_wat":1,"rsb_m3m3":250,"PVT_corr_set":0,"q_liq_sm3day":37,"fw_perc":30,"rp_m3m3":250},{"gamma_gas":0.6,"gamma_oil":0.8,"gamma_wat":1,"rsb_m3m3":250,"PVT_corr_set":0,"q_liq_sm3day":46,"fw_perc":30,"rp_m3m3":250},{"gamma_gas":0.6,"gamma_oil":0.8,"gamma_wat":1,"rsb_m3m3":250,"PVT_corr_set":0,"q_liq_sm3day":55,"fw_perc":30,"rp_m3m3":250},{"gamma_gas":0.6,"gamma_oil":0.8,"gamma_wat":1,"rsb_m3m3":250,"PVT_corr_set":0,"q_liq_sm3day":64,"fw_perc":30,"rp_m3m3":250},{"gamma_gas":0.6,"gamma_oil":0.8,"gamma_wat":1,"rsb_m3m3":250,"PVT_corr_set":0,"q_liq_sm3day":73,"fw_perc":30,"rp_m3m3":250},{"gamma_gas":0.6,"gamma_oil":0.8,"gamma_wat":1,"rsb_m3m3":250,"PVT_corr_set":0,"q_liq_sm3day":82,"fw_perc":30,"rp_m3m3":250},{"gamma_gas":0.6,"gamma_oil":0.8,"gamma_wat":1,"rsb_m3m3":250,"PVT_corr_set":0,"q_liq_sm3day":91,"fw_perc":30,"rp_m3m3":250},{"gamma_gas":0.6,"gamma_oil":0.8,"gamma_wat":1,"rsb_m3m3":250,"PVT_corr_set":0,"q_liq_sm3day":100,"fw_perc":30,"rp_m3m3":250}]</v>
      </c>
      <c r="E64">
        <f t="shared" si="0"/>
        <v>12</v>
      </c>
      <c r="F64">
        <v>8</v>
      </c>
      <c r="G64" t="str" cm="1">
        <f t="array" ref="G64">[1]!MF_choke_p_atma(F64,D64,E64,T_choke,d_pipe,0)</f>
        <v>{"p_atma":[12.007,12.705,14.943,20.104,26.452,32.733,38.947,45.1,51.182,57.205,63.158,69.064],"t_C":[80,80,80,80,80,80,80,80,80,80,80,80],"feed":[{"gamma_gas":0.6,"gamma_oil":0.8,"gamma_wat":1,"rsb_m3m3":250,"PVT_corr_set":0,"q_liq_sm3day":1,"fw_perc":30,"rp_m3m3":250},{"gamma_gas":0.6,"gamma_oil":0.8,"gamma_wat":1,"rsb_m3m3":250,"PVT_corr_set":0,"q_liq_sm3day":10,"fw_perc":30,"rp_m3m3":250},{"gamma_gas":0.6,"gamma_oil":0.8,"gamma_wat":1,"rsb_m3m3":250,"PVT_corr_set":0,"q_liq_sm3day":19,"fw_perc":30,"rp_m3m3":250},{"gamma_gas":0.6,"gamma_oil":0.8,"gamma_wat":1,"rsb_m3m3":250,"PVT_corr_set":0,"q_liq_sm3day":28,"fw_perc":30,"rp_m3m3":250},{"gamma_gas":0.6,"gamma_oil":0.8,"gamma_wat":1,"rsb_m3m3":250,"PVT_corr_set":0,"q_liq_sm3day":37,"fw_perc":30,"rp_m3m3":250},{"gamma_gas":0.6,"gamma_oil":0.8,"gamma_wat":1,"rsb_m3m3":250,"PVT_corr_set":0,"q_liq_sm3day":46,"fw_perc":30,"rp_m3m3":250},{"gamma_gas":0.6,"gamma_oil":0.8,"gamma_wat":1,"rsb_m3m3":250,"PVT_corr_set":0,"q_liq_sm3day":55,"fw_perc":30,"rp_m3m3":250},{"gamma_gas":0.6,"gamma_oil":0.8,"gamma_wat":1,"rsb_m3m3":250,"PVT_corr_set":0,"q_liq_sm3day":64,"fw_perc":30,"rp_m3m3":250},{"gamma_gas":0.6,"gamma_oil":0.8,"gamma_wat":1,"rsb_m3m3":250,"PVT_corr_set":0,"q_liq_sm3day":73,"fw_perc":30,"rp_m3m3":250},{"gamma_gas":0.6,"gamma_oil":0.8,"gamma_wat":1,"rsb_m3m3":250,"PVT_corr_set":0,"q_liq_sm3day":82,"fw_perc":30,"rp_m3m3":250},{"gamma_gas":0.6,"gamma_oil":0.8,"gamma_wat":1,"rsb_m3m3":250,"PVT_corr_set":0,"q_liq_sm3day":91,"fw_perc":30,"rp_m3m3":250},{"gamma_gas":0.6,"gamma_oil":0.8,"gamma_wat":1,"rsb_m3m3":250,"PVT_corr_set":0,"q_liq_sm3day":100,"fw_perc":30,"rp_m3m3":250}]}</v>
      </c>
      <c r="H64" t="str" cm="1">
        <f t="array" ref="H64">[1]!decode_json_p_atma(G64)</f>
        <v>[12.007,12.705,14.943,20.104,26.452,32.733,38.947,45.1,51.182,57.205,63.158,69.064]</v>
      </c>
      <c r="I64" t="e" cm="1">
        <f t="array" aca="1" ref="I64" ca="1">[1]!MF_choke_pq_crv(F64,feed,E64,T_choke,,1)</f>
        <v>#NAME?</v>
      </c>
      <c r="Y64">
        <v>19.812999999999999</v>
      </c>
      <c r="Z64">
        <v>10.198</v>
      </c>
    </row>
    <row r="65" spans="2:26" x14ac:dyDescent="0.2">
      <c r="B65" t="s">
        <v>76</v>
      </c>
      <c r="C65" s="48" t="str" cm="1">
        <f t="array" ref="C65">[1]!encode_arange(1,100,9)</f>
        <v>[1,10,19,28,37,46,55,64,73,82,91,100]</v>
      </c>
      <c r="D65" s="48" t="str" cm="1">
        <f t="array" ref="D65">[1]!encode_feed_list(C65,fw_,Rp_,,PVTstr_)</f>
        <v>[{"gamma_gas":0.6,"gamma_oil":0.8,"gamma_wat":1,"rsb_m3m3":250,"PVT_corr_set":0,"q_liq_sm3day":1,"fw_perc":30,"rp_m3m3":250},{"gamma_gas":0.6,"gamma_oil":0.8,"gamma_wat":1,"rsb_m3m3":250,"PVT_corr_set":0,"q_liq_sm3day":10,"fw_perc":30,"rp_m3m3":250},{"gamma_gas":0.6,"gamma_oil":0.8,"gamma_wat":1,"rsb_m3m3":250,"PVT_corr_set":0,"q_liq_sm3day":19,"fw_perc":30,"rp_m3m3":250},{"gamma_gas":0.6,"gamma_oil":0.8,"gamma_wat":1,"rsb_m3m3":250,"PVT_corr_set":0,"q_liq_sm3day":28,"fw_perc":30,"rp_m3m3":250},{"gamma_gas":0.6,"gamma_oil":0.8,"gamma_wat":1,"rsb_m3m3":250,"PVT_corr_set":0,"q_liq_sm3day":37,"fw_perc":30,"rp_m3m3":250},{"gamma_gas":0.6,"gamma_oil":0.8,"gamma_wat":1,"rsb_m3m3":250,"PVT_corr_set":0,"q_liq_sm3day":46,"fw_perc":30,"rp_m3m3":250},{"gamma_gas":0.6,"gamma_oil":0.8,"gamma_wat":1,"rsb_m3m3":250,"PVT_corr_set":0,"q_liq_sm3day":55,"fw_perc":30,"rp_m3m3":250},{"gamma_gas":0.6,"gamma_oil":0.8,"gamma_wat":1,"rsb_m3m3":250,"PVT_corr_set":0,"q_liq_sm3day":64,"fw_perc":30,"rp_m3m3":250},{"gamma_gas":0.6,"gamma_oil":0.8,"gamma_wat":1,"rsb_m3m3":250,"PVT_corr_set":0,"q_liq_sm3day":73,"fw_perc":30,"rp_m3m3":250},{"gamma_gas":0.6,"gamma_oil":0.8,"gamma_wat":1,"rsb_m3m3":250,"PVT_corr_set":0,"q_liq_sm3day":82,"fw_perc":30,"rp_m3m3":250},{"gamma_gas":0.6,"gamma_oil":0.8,"gamma_wat":1,"rsb_m3m3":250,"PVT_corr_set":0,"q_liq_sm3day":91,"fw_perc":30,"rp_m3m3":250},{"gamma_gas":0.6,"gamma_oil":0.8,"gamma_wat":1,"rsb_m3m3":250,"PVT_corr_set":0,"q_liq_sm3day":100,"fw_perc":30,"rp_m3m3":250}]</v>
      </c>
      <c r="E65">
        <f t="shared" si="0"/>
        <v>12</v>
      </c>
      <c r="F65">
        <v>10</v>
      </c>
      <c r="G65" t="str" cm="1">
        <f t="array" ref="G65">[1]!MF_choke_p_atma(F65,D65,E65,T_choke,d_pipe,0)</f>
        <v>{"p_atma":[12.003,12.277,13.061,14.542,17.144,21.123,25.187,29.221,33.229,37.213,41.171,45.1],"t_C":[80,80,80,80,80,80,80,80,80,80,80,80],"feed":[{"gamma_gas":0.6,"gamma_oil":0.8,"gamma_wat":1,"rsb_m3m3":250,"PVT_corr_set":0,"q_liq_sm3day":1,"fw_perc":30,"rp_m3m3":250},{"gamma_gas":0.6,"gamma_oil":0.8,"gamma_wat":1,"rsb_m3m3":250,"PVT_corr_set":0,"q_liq_sm3day":10,"fw_perc":30,"rp_m3m3":250},{"gamma_gas":0.6,"gamma_oil":0.8,"gamma_wat":1,"rsb_m3m3":250,"PVT_corr_set":0,"q_liq_sm3day":19,"fw_perc":30,"rp_m3m3":250},{"gamma_gas":0.6,"gamma_oil":0.8,"gamma_wat":1,"rsb_m3m3":250,"PVT_corr_set":0,"q_liq_sm3day":28,"fw_perc":30,"rp_m3m3":250},{"gamma_gas":0.6,"gamma_oil":0.8,"gamma_wat":1,"rsb_m3m3":250,"PVT_corr_set":0,"q_liq_sm3day":37,"fw_perc":30,"rp_m3m3":250},{"gamma_gas":0.6,"gamma_oil":0.8,"gamma_wat":1,"rsb_m3m3":250,"PVT_corr_set":0,"q_liq_sm3day":46,"fw_perc":30,"rp_m3m3":250},{"gamma_gas":0.6,"gamma_oil":0.8,"gamma_wat":1,"rsb_m3m3":250,"PVT_corr_set":0,"q_liq_sm3day":55,"fw_perc":30,"rp_m3m3":250},{"gamma_gas":0.6,"gamma_oil":0.8,"gamma_wat":1,"rsb_m3m3":250,"PVT_corr_set":0,"q_liq_sm3day":64,"fw_perc":30,"rp_m3m3":250},{"gamma_gas":0.6,"gamma_oil":0.8,"gamma_wat":1,"rsb_m3m3":250,"PVT_corr_set":0,"q_liq_sm3day":73,"fw_perc":30,"rp_m3m3":250},{"gamma_gas":0.6,"gamma_oil":0.8,"gamma_wat":1,"rsb_m3m3":250,"PVT_corr_set":0,"q_liq_sm3day":82,"fw_perc":30,"rp_m3m3":250},{"gamma_gas":0.6,"gamma_oil":0.8,"gamma_wat":1,"rsb_m3m3":250,"PVT_corr_set":0,"q_liq_sm3day":91,"fw_perc":30,"rp_m3m3":250},{"gamma_gas":0.6,"gamma_oil":0.8,"gamma_wat":1,"rsb_m3m3":250,"PVT_corr_set":0,"q_liq_sm3day":100,"fw_perc":30,"rp_m3m3":250}]}</v>
      </c>
      <c r="H65" t="str" cm="1">
        <f t="array" ref="H65">[1]!decode_json_p_atma(G65)</f>
        <v>[12.003,12.277,13.061,14.542,17.144,21.123,25.187,29.221,33.229,37.213,41.171,45.1]</v>
      </c>
      <c r="I65" t="e" cm="1">
        <f t="array" aca="1" ref="I65" ca="1">[1]!MF_choke_pq_crv(F65,feed,E65,T_choke,,1)</f>
        <v>#NAME?</v>
      </c>
      <c r="Y65">
        <v>20.268000000000001</v>
      </c>
      <c r="Z65">
        <v>9.6379999999999999</v>
      </c>
    </row>
    <row r="66" spans="2:26" x14ac:dyDescent="0.2">
      <c r="B66" t="s">
        <v>77</v>
      </c>
      <c r="C66" s="48" t="str" cm="1">
        <f t="array" ref="C66">[1]!encode_arange(1,100,9)</f>
        <v>[1,10,19,28,37,46,55,64,73,82,91,100]</v>
      </c>
      <c r="D66" s="48" t="str" cm="1">
        <f t="array" ref="D66">[1]!encode_feed_list(C66,fw_,Rp_,,PVTstr_)</f>
        <v>[{"gamma_gas":0.6,"gamma_oil":0.8,"gamma_wat":1,"rsb_m3m3":250,"PVT_corr_set":0,"q_liq_sm3day":1,"fw_perc":30,"rp_m3m3":250},{"gamma_gas":0.6,"gamma_oil":0.8,"gamma_wat":1,"rsb_m3m3":250,"PVT_corr_set":0,"q_liq_sm3day":10,"fw_perc":30,"rp_m3m3":250},{"gamma_gas":0.6,"gamma_oil":0.8,"gamma_wat":1,"rsb_m3m3":250,"PVT_corr_set":0,"q_liq_sm3day":19,"fw_perc":30,"rp_m3m3":250},{"gamma_gas":0.6,"gamma_oil":0.8,"gamma_wat":1,"rsb_m3m3":250,"PVT_corr_set":0,"q_liq_sm3day":28,"fw_perc":30,"rp_m3m3":250},{"gamma_gas":0.6,"gamma_oil":0.8,"gamma_wat":1,"rsb_m3m3":250,"PVT_corr_set":0,"q_liq_sm3day":37,"fw_perc":30,"rp_m3m3":250},{"gamma_gas":0.6,"gamma_oil":0.8,"gamma_wat":1,"rsb_m3m3":250,"PVT_corr_set":0,"q_liq_sm3day":46,"fw_perc":30,"rp_m3m3":250},{"gamma_gas":0.6,"gamma_oil":0.8,"gamma_wat":1,"rsb_m3m3":250,"PVT_corr_set":0,"q_liq_sm3day":55,"fw_perc":30,"rp_m3m3":250},{"gamma_gas":0.6,"gamma_oil":0.8,"gamma_wat":1,"rsb_m3m3":250,"PVT_corr_set":0,"q_liq_sm3day":64,"fw_perc":30,"rp_m3m3":250},{"gamma_gas":0.6,"gamma_oil":0.8,"gamma_wat":1,"rsb_m3m3":250,"PVT_corr_set":0,"q_liq_sm3day":73,"fw_perc":30,"rp_m3m3":250},{"gamma_gas":0.6,"gamma_oil":0.8,"gamma_wat":1,"rsb_m3m3":250,"PVT_corr_set":0,"q_liq_sm3day":82,"fw_perc":30,"rp_m3m3":250},{"gamma_gas":0.6,"gamma_oil":0.8,"gamma_wat":1,"rsb_m3m3":250,"PVT_corr_set":0,"q_liq_sm3day":91,"fw_perc":30,"rp_m3m3":250},{"gamma_gas":0.6,"gamma_oil":0.8,"gamma_wat":1,"rsb_m3m3":250,"PVT_corr_set":0,"q_liq_sm3day":100,"fw_perc":30,"rp_m3m3":250}]</v>
      </c>
      <c r="E66">
        <f t="shared" si="0"/>
        <v>12</v>
      </c>
      <c r="F66">
        <v>12</v>
      </c>
      <c r="G66" t="str" cm="1">
        <f t="array" ref="G66">[1]!MF_choke_p_atma(F66,D66,E66,T_choke,d_pipe,0)</f>
        <v>{"p_atma":[12.001,12.131,12.485,13.103,14.059,15.482,17.604,20.417,23.244,26.057,28.857,31.646],"t_C":[80,80,80,80,80,80,80,80,80,80,80,80],"feed":[{"gamma_gas":0.6,"gamma_oil":0.8,"gamma_wat":1,"rsb_m3m3":250,"PVT_corr_set":0,"q_liq_sm3day":1,"fw_perc":30,"rp_m3m3":250},{"gamma_gas":0.6,"gamma_oil":0.8,"gamma_wat":1,"rsb_m3m3":250,"PVT_corr_set":0,"q_liq_sm3day":10,"fw_perc":30,"rp_m3m3":250},{"gamma_gas":0.6,"gamma_oil":0.8,"gamma_wat":1,"rsb_m3m3":250,"PVT_corr_set":0,"q_liq_sm3day":19,"fw_perc":30,"rp_m3m3":250},{"gamma_gas":0.6,"gamma_oil":0.8,"gamma_wat":1,"rsb_m3m3":250,"PVT_corr_set":0,"q_liq_sm3day":28,"fw_perc":30,"rp_m3m3":250},{"gamma_gas":0.6,"gamma_oil":0.8,"gamma_wat":1,"rsb_m3m3":250,"PVT_corr_set":0,"q_liq_sm3day":37,"fw_perc":30,"rp_m3m3":250},{"gamma_gas":0.6,"gamma_oil":0.8,"gamma_wat":1,"rsb_m3m3":250,"PVT_corr_set":0,"q_liq_sm3day":46,"fw_perc":30,"rp_m3m3":250},{"gamma_gas":0.6,"gamma_oil":0.8,"gamma_wat":1,"rsb_m3m3":250,"PVT_corr_set":0,"q_liq_sm3day":55,"fw_perc":30,"rp_m3m3":250},{"gamma_gas":0.6,"gamma_oil":0.8,"gamma_wat":1,"rsb_m3m3":250,"PVT_corr_set":0,"q_liq_sm3day":64,"fw_perc":30,"rp_m3m3":250},{"gamma_gas":0.6,"gamma_oil":0.8,"gamma_wat":1,"rsb_m3m3":250,"PVT_corr_set":0,"q_liq_sm3day":73,"fw_perc":30,"rp_m3m3":250},{"gamma_gas":0.6,"gamma_oil":0.8,"gamma_wat":1,"rsb_m3m3":250,"PVT_corr_set":0,"q_liq_sm3day":82,"fw_perc":30,"rp_m3m3":250},{"gamma_gas":0.6,"gamma_oil":0.8,"gamma_wat":1,"rsb_m3m3":250,"PVT_corr_set":0,"q_liq_sm3day":91,"fw_perc":30,"rp_m3m3":250},{"gamma_gas":0.6,"gamma_oil":0.8,"gamma_wat":1,"rsb_m3m3":250,"PVT_corr_set":0,"q_liq_sm3day":100,"fw_perc":30,"rp_m3m3":250}]}</v>
      </c>
      <c r="H66" t="str" cm="1">
        <f t="array" ref="H66">[1]!decode_json_p_atma(G66)</f>
        <v>[12.001,12.131,12.485,13.103,14.059,15.482,17.604,20.417,23.244,26.057,28.857,31.646]</v>
      </c>
      <c r="I66" t="e" cm="1">
        <f t="array" aca="1" ref="I66" ca="1">[1]!MF_choke_pq_crv(F66,feed,E66,T_choke,,1)</f>
        <v>#NAME?</v>
      </c>
      <c r="Y66">
        <v>20.722999999999999</v>
      </c>
      <c r="Z66">
        <v>8.9770000000000003</v>
      </c>
    </row>
    <row r="67" spans="2:26" x14ac:dyDescent="0.2">
      <c r="Y67">
        <v>21.178999999999998</v>
      </c>
      <c r="Z67">
        <v>8.1880000000000006</v>
      </c>
    </row>
    <row r="68" spans="2:26" x14ac:dyDescent="0.2">
      <c r="Y68">
        <v>21.634</v>
      </c>
      <c r="Z68">
        <v>7.2290000000000001</v>
      </c>
    </row>
    <row r="69" spans="2:26" x14ac:dyDescent="0.2">
      <c r="C69" t="s">
        <v>78</v>
      </c>
      <c r="D69" t="str">
        <f>"d = " &amp;F61</f>
        <v>d = 3</v>
      </c>
      <c r="E69" t="str">
        <f>"d = " &amp;F62</f>
        <v>d = 4</v>
      </c>
      <c r="F69" t="str">
        <f>"d = " &amp;F63</f>
        <v>d = 6</v>
      </c>
      <c r="G69" t="str">
        <f>"d = " &amp;F64</f>
        <v>d = 8</v>
      </c>
      <c r="H69" t="str">
        <f>"d = " &amp;F65</f>
        <v>d = 10</v>
      </c>
      <c r="I69" t="str">
        <f>"d = " &amp;F66</f>
        <v>d = 12</v>
      </c>
      <c r="Y69">
        <v>22.088999999999999</v>
      </c>
      <c r="Z69">
        <v>6.0140000000000002</v>
      </c>
    </row>
    <row r="70" spans="2:26" x14ac:dyDescent="0.2">
      <c r="C70" s="48" cm="1">
        <f t="array" ref="C70:C81">[1]!decode_json(C61)</f>
        <v>1</v>
      </c>
      <c r="D70" s="48" cm="1">
        <f t="array" ref="D70:D81">[1]!decode_json(H61)</f>
        <v>12.353</v>
      </c>
      <c r="E70" s="48" cm="1">
        <f t="array" ref="E70:E81">[1]!decode_json(H62)</f>
        <v>12.109</v>
      </c>
      <c r="F70" s="48" cm="1">
        <f t="array" ref="F70:F81">[1]!decode_json(H63)</f>
        <v>12.021000000000001</v>
      </c>
      <c r="G70" s="48" cm="1">
        <f t="array" ref="G70:G81">[1]!decode_json(H64)</f>
        <v>12.007</v>
      </c>
      <c r="H70" s="48" cm="1">
        <f t="array" ref="H70:H81">[1]!decode_json(H65)</f>
        <v>12.003</v>
      </c>
      <c r="I70" s="48" cm="1">
        <f t="array" ref="I70:I81">[1]!decode_json(H66)</f>
        <v>12.000999999999999</v>
      </c>
      <c r="Y70">
        <v>22.545000000000002</v>
      </c>
      <c r="Z70">
        <v>4.3310000000000004</v>
      </c>
    </row>
    <row r="71" spans="2:26" x14ac:dyDescent="0.2">
      <c r="C71" s="48">
        <v>10</v>
      </c>
      <c r="D71" s="48">
        <v>49.915999999999997</v>
      </c>
      <c r="E71">
        <v>28.553000000000001</v>
      </c>
      <c r="F71">
        <v>14.525</v>
      </c>
      <c r="G71">
        <v>12.705</v>
      </c>
      <c r="H71">
        <v>12.276999999999999</v>
      </c>
      <c r="I71">
        <v>12.131</v>
      </c>
      <c r="Y71">
        <v>23</v>
      </c>
      <c r="Z71">
        <v>0</v>
      </c>
    </row>
    <row r="72" spans="2:26" x14ac:dyDescent="0.2">
      <c r="C72" s="48">
        <v>19</v>
      </c>
      <c r="D72" s="48">
        <v>91.563999999999993</v>
      </c>
      <c r="E72">
        <v>53.197000000000003</v>
      </c>
      <c r="F72">
        <v>24.184999999999999</v>
      </c>
      <c r="G72">
        <v>14.943</v>
      </c>
      <c r="H72">
        <v>13.061</v>
      </c>
      <c r="I72">
        <v>12.484999999999999</v>
      </c>
    </row>
    <row r="73" spans="2:26" x14ac:dyDescent="0.2">
      <c r="C73" s="48">
        <v>28</v>
      </c>
      <c r="D73" s="48">
        <v>130.822</v>
      </c>
      <c r="E73">
        <v>76.846000000000004</v>
      </c>
      <c r="F73">
        <v>35.35</v>
      </c>
      <c r="G73">
        <v>20.103999999999999</v>
      </c>
      <c r="H73">
        <v>14.542</v>
      </c>
      <c r="I73">
        <v>13.103</v>
      </c>
    </row>
    <row r="74" spans="2:26" x14ac:dyDescent="0.2">
      <c r="C74" s="48">
        <v>37</v>
      </c>
      <c r="D74" s="48">
        <v>168.369</v>
      </c>
      <c r="E74">
        <v>99.626999999999995</v>
      </c>
      <c r="F74">
        <v>46.307000000000002</v>
      </c>
      <c r="G74">
        <v>26.452000000000002</v>
      </c>
      <c r="H74">
        <v>17.143999999999998</v>
      </c>
      <c r="I74">
        <v>14.058999999999999</v>
      </c>
    </row>
    <row r="75" spans="2:26" x14ac:dyDescent="0.2">
      <c r="C75" s="48">
        <v>46</v>
      </c>
      <c r="D75" s="48">
        <v>540.31100000000004</v>
      </c>
      <c r="E75">
        <v>121.717</v>
      </c>
      <c r="F75">
        <v>57.052999999999997</v>
      </c>
      <c r="G75">
        <v>32.732999999999997</v>
      </c>
      <c r="H75">
        <v>21.123000000000001</v>
      </c>
      <c r="I75">
        <v>15.481999999999999</v>
      </c>
    </row>
    <row r="76" spans="2:26" x14ac:dyDescent="0.2">
      <c r="C76" s="48">
        <v>55</v>
      </c>
      <c r="D76" s="48">
        <v>554.11500000000001</v>
      </c>
      <c r="E76">
        <v>143.244</v>
      </c>
      <c r="F76">
        <v>67.611000000000004</v>
      </c>
      <c r="G76">
        <v>38.947000000000003</v>
      </c>
      <c r="H76">
        <v>25.187000000000001</v>
      </c>
      <c r="I76">
        <v>17.603999999999999</v>
      </c>
    </row>
    <row r="77" spans="2:26" x14ac:dyDescent="0.2">
      <c r="C77" s="48">
        <v>64</v>
      </c>
      <c r="D77" s="48">
        <v>563.68899999999996</v>
      </c>
      <c r="E77">
        <v>164.268</v>
      </c>
      <c r="F77">
        <v>77.981999999999999</v>
      </c>
      <c r="G77">
        <v>45.1</v>
      </c>
      <c r="H77">
        <v>29.221</v>
      </c>
      <c r="I77">
        <v>20.417000000000002</v>
      </c>
    </row>
    <row r="78" spans="2:26" x14ac:dyDescent="0.2">
      <c r="C78" s="48">
        <v>73</v>
      </c>
      <c r="D78" s="48">
        <v>570.70899999999995</v>
      </c>
      <c r="E78">
        <v>184.857</v>
      </c>
      <c r="F78">
        <v>88.188999999999993</v>
      </c>
      <c r="G78">
        <v>51.182000000000002</v>
      </c>
      <c r="H78">
        <v>33.228999999999999</v>
      </c>
      <c r="I78">
        <v>23.244</v>
      </c>
    </row>
    <row r="79" spans="2:26" x14ac:dyDescent="0.2">
      <c r="C79" s="48">
        <v>82</v>
      </c>
      <c r="D79" s="48">
        <v>576.07600000000002</v>
      </c>
      <c r="E79">
        <v>548.197</v>
      </c>
      <c r="F79">
        <v>98.244</v>
      </c>
      <c r="G79">
        <v>57.204999999999998</v>
      </c>
      <c r="H79">
        <v>37.213000000000001</v>
      </c>
      <c r="I79">
        <v>26.056999999999999</v>
      </c>
    </row>
    <row r="80" spans="2:26" x14ac:dyDescent="0.2">
      <c r="C80" s="48">
        <v>91</v>
      </c>
      <c r="D80" s="48">
        <v>580.31799999999998</v>
      </c>
      <c r="E80">
        <v>555.66200000000003</v>
      </c>
      <c r="F80">
        <v>108.158</v>
      </c>
      <c r="G80">
        <v>63.158000000000001</v>
      </c>
      <c r="H80">
        <v>41.170999999999999</v>
      </c>
      <c r="I80">
        <v>28.856999999999999</v>
      </c>
    </row>
    <row r="81" spans="2:17" x14ac:dyDescent="0.2">
      <c r="C81">
        <v>100</v>
      </c>
      <c r="D81">
        <v>583.75199999999995</v>
      </c>
      <c r="E81">
        <v>561.63900000000001</v>
      </c>
      <c r="F81">
        <v>117.943</v>
      </c>
      <c r="G81">
        <v>69.063999999999993</v>
      </c>
      <c r="H81">
        <v>45.1</v>
      </c>
      <c r="I81">
        <v>31.646000000000001</v>
      </c>
    </row>
    <row r="86" spans="2:17" x14ac:dyDescent="0.2">
      <c r="B86" t="s">
        <v>79</v>
      </c>
    </row>
    <row r="88" spans="2:17" x14ac:dyDescent="0.2">
      <c r="B88" t="str" cm="1">
        <f t="array" aca="1" ref="B88" ca="1">[1]!decode_json_crv(I61)</f>
        <v>error:decode_json_crv: Type mismatch</v>
      </c>
      <c r="E88" t="str" cm="1">
        <f t="array" aca="1" ref="E88" ca="1">[1]!decode_json_crv(I62)</f>
        <v>error:decode_json_crv: Type mismatch</v>
      </c>
      <c r="H88" t="str" cm="1">
        <f t="array" aca="1" ref="H88" ca="1">[1]!decode_json_crv(I63)</f>
        <v>error:decode_json_crv: Type mismatch</v>
      </c>
      <c r="K88" t="str" cm="1">
        <f t="array" aca="1" ref="K88" ca="1">[1]!decode_json_crv(I64)</f>
        <v>error:decode_json_crv: Type mismatch</v>
      </c>
      <c r="N88" t="str" cm="1">
        <f t="array" aca="1" ref="N88" ca="1">[1]!decode_json_crv(I65)</f>
        <v>error:decode_json_crv: Type mismatch</v>
      </c>
      <c r="Q88" t="str" cm="1">
        <f t="array" aca="1" ref="Q88" ca="1">[1]!decode_json_crv(I66)</f>
        <v>error:decode_json_crv: Type mismatch</v>
      </c>
    </row>
    <row r="109" spans="3:4" x14ac:dyDescent="0.2">
      <c r="C109" s="48"/>
      <c r="D109" s="48"/>
    </row>
    <row r="110" spans="3:4" x14ac:dyDescent="0.2">
      <c r="C110" s="48"/>
      <c r="D110" s="48"/>
    </row>
    <row r="111" spans="3:4" x14ac:dyDescent="0.2">
      <c r="C111" s="48"/>
      <c r="D111" s="48"/>
    </row>
    <row r="112" spans="3:4" x14ac:dyDescent="0.2">
      <c r="C112" s="48"/>
      <c r="D112" s="48"/>
    </row>
    <row r="113" spans="3:4" x14ac:dyDescent="0.2">
      <c r="C113" s="48"/>
      <c r="D113" s="48"/>
    </row>
    <row r="114" spans="3:4" x14ac:dyDescent="0.2">
      <c r="C114" s="48"/>
      <c r="D114" s="48"/>
    </row>
  </sheetData>
  <mergeCells count="4">
    <mergeCell ref="B3:E3"/>
    <mergeCell ref="B4:E4"/>
    <mergeCell ref="B5:E5"/>
    <mergeCell ref="B6:E8"/>
  </mergeCells>
  <phoneticPr fontId="17" type="noConversion"/>
  <hyperlinks>
    <hyperlink ref="AZ23" r:id="rId1" xr:uid="{D2423A2D-93CC-4B68-984B-ACB7C26634BD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32</vt:i4>
      </vt:variant>
    </vt:vector>
  </HeadingPairs>
  <TitlesOfParts>
    <vt:vector size="33" baseType="lpstr">
      <vt:lpstr>exercise_choke</vt:lpstr>
      <vt:lpstr>exercise_choke!Bob_</vt:lpstr>
      <vt:lpstr>calc_along_flow</vt:lpstr>
      <vt:lpstr>exercise_choke!cf_</vt:lpstr>
      <vt:lpstr>exercise_choke!d_choke</vt:lpstr>
      <vt:lpstr>exercise_choke!d_pipe</vt:lpstr>
      <vt:lpstr>feed</vt:lpstr>
      <vt:lpstr>exercise_choke!fw_</vt:lpstr>
      <vt:lpstr>exercise_choke!gamma_gas_</vt:lpstr>
      <vt:lpstr>exercise_choke!gamma_oil_</vt:lpstr>
      <vt:lpstr>exercise_choke!gamma_wat_</vt:lpstr>
      <vt:lpstr>exercise_choke!gamma_wat_kf_</vt:lpstr>
      <vt:lpstr>exercise_choke!gas_only</vt:lpstr>
      <vt:lpstr>exercise_choke!input_0</vt:lpstr>
      <vt:lpstr>exercise_choke!input_Course</vt:lpstr>
      <vt:lpstr>exercise_choke!input_Date</vt:lpstr>
      <vt:lpstr>exercise_choke!input_Group</vt:lpstr>
      <vt:lpstr>exercise_choke!input_Notes</vt:lpstr>
      <vt:lpstr>exercise_choke!input_Student_Name</vt:lpstr>
      <vt:lpstr>exercise_choke!input_Version</vt:lpstr>
      <vt:lpstr>exercise_choke!muob_</vt:lpstr>
      <vt:lpstr>param</vt:lpstr>
      <vt:lpstr>exercise_choke!Pb_</vt:lpstr>
      <vt:lpstr>exercise_choke!Pbuf_</vt:lpstr>
      <vt:lpstr>exercise_choke!Plin_</vt:lpstr>
      <vt:lpstr>exercise_choke!PVTstr_</vt:lpstr>
      <vt:lpstr>exercise_choke!qgas_free</vt:lpstr>
      <vt:lpstr>exercise_choke!Qliq_</vt:lpstr>
      <vt:lpstr>exercise_choke!Rp_</vt:lpstr>
      <vt:lpstr>exercise_choke!Rsb_</vt:lpstr>
      <vt:lpstr>exercise_choke!T_choke</vt:lpstr>
      <vt:lpstr>exercise_choke!T_upchoke</vt:lpstr>
      <vt:lpstr>exercise_choke!Tres_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rnt</cp:lastModifiedBy>
  <cp:lastPrinted>2007-08-27T05:31:44Z</cp:lastPrinted>
  <dcterms:created xsi:type="dcterms:W3CDTF">2005-04-11T05:46:28Z</dcterms:created>
  <dcterms:modified xsi:type="dcterms:W3CDTF">2023-02-20T15:57:29Z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