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C926DAD-A8C9-43D4-898C-79B43E9C9CD2}" xr6:coauthVersionLast="46" xr6:coauthVersionMax="46" xr10:uidLastSave="{00000000-0000-0000-0000-000000000000}"/>
  <bookViews>
    <workbookView xWindow="6180" yWindow="2235" windowWidth="32235" windowHeight="1833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I28" i="120" a="1"/>
  <c r="G1" i="120"/>
  <c r="G24" i="120"/>
  <c r="G25" i="120" s="1" a="1"/>
  <c r="G25" i="120" l="1"/>
  <c r="I28" i="120"/>
  <c r="Z50" i="120" a="1"/>
  <c r="B35" i="120" a="1"/>
  <c r="B40" i="120" a="1"/>
  <c r="B45" i="120" a="1"/>
  <c r="B50" i="120" a="1"/>
  <c r="AA74" i="120"/>
  <c r="Z74" i="120"/>
  <c r="AK74" i="120"/>
  <c r="Y74" i="120"/>
  <c r="M74" i="120"/>
  <c r="AL74" i="120"/>
  <c r="N74" i="120"/>
  <c r="AJ74" i="120"/>
  <c r="X74" i="120"/>
  <c r="L74" i="120"/>
  <c r="AI74" i="120"/>
  <c r="W74" i="120"/>
  <c r="K74" i="120"/>
  <c r="AH74" i="120"/>
  <c r="V74" i="120"/>
  <c r="J74" i="120"/>
  <c r="AG74" i="120"/>
  <c r="U74" i="120"/>
  <c r="I74" i="120"/>
  <c r="O74" i="120"/>
  <c r="AF74" i="120"/>
  <c r="T74" i="120"/>
  <c r="H74" i="120"/>
  <c r="AE74" i="120"/>
  <c r="S74" i="120"/>
  <c r="G74" i="120"/>
  <c r="AD74" i="120"/>
  <c r="R74" i="120"/>
  <c r="F74" i="120"/>
  <c r="AC74" i="120"/>
  <c r="Q74" i="120"/>
  <c r="E74" i="120"/>
  <c r="AB74" i="120"/>
  <c r="P74" i="120"/>
  <c r="D74" i="120"/>
  <c r="AL78" i="120"/>
  <c r="Z77" i="120"/>
  <c r="AL75" i="120"/>
  <c r="Y79" i="120"/>
  <c r="Y78" i="120"/>
  <c r="M78" i="120"/>
  <c r="AK77" i="120"/>
  <c r="Y77" i="120"/>
  <c r="M77" i="120"/>
  <c r="AK76" i="120"/>
  <c r="Y76" i="120"/>
  <c r="M76" i="120"/>
  <c r="AK75" i="120"/>
  <c r="Y75" i="120"/>
  <c r="M75" i="120"/>
  <c r="P79" i="120"/>
  <c r="AL79" i="120"/>
  <c r="Z78" i="120"/>
  <c r="AL77" i="120"/>
  <c r="AL76" i="120"/>
  <c r="N76" i="120"/>
  <c r="Z75" i="120"/>
  <c r="AK78" i="120"/>
  <c r="AJ79" i="120"/>
  <c r="X79" i="120"/>
  <c r="L79" i="120"/>
  <c r="AJ78" i="120"/>
  <c r="X78" i="120"/>
  <c r="L78" i="120"/>
  <c r="AJ77" i="120"/>
  <c r="X77" i="120"/>
  <c r="L77" i="120"/>
  <c r="AJ76" i="120"/>
  <c r="X76" i="120"/>
  <c r="L76" i="120"/>
  <c r="AJ75" i="120"/>
  <c r="X75" i="120"/>
  <c r="L75" i="120"/>
  <c r="AA79" i="120"/>
  <c r="N79" i="120"/>
  <c r="N78" i="120"/>
  <c r="N77" i="120"/>
  <c r="Z76" i="120"/>
  <c r="N75" i="120"/>
  <c r="AK79" i="120"/>
  <c r="M79" i="120"/>
  <c r="AI79" i="120"/>
  <c r="W79" i="120"/>
  <c r="K79" i="120"/>
  <c r="AI78" i="120"/>
  <c r="W78" i="120"/>
  <c r="K78" i="120"/>
  <c r="AI77" i="120"/>
  <c r="W77" i="120"/>
  <c r="K77" i="120"/>
  <c r="AI76" i="120"/>
  <c r="W76" i="120"/>
  <c r="K76" i="120"/>
  <c r="AI75" i="120"/>
  <c r="W75" i="120"/>
  <c r="K75" i="120"/>
  <c r="Z79" i="120"/>
  <c r="AH79" i="120"/>
  <c r="V79" i="120"/>
  <c r="J79" i="120"/>
  <c r="AH78" i="120"/>
  <c r="V78" i="120"/>
  <c r="J78" i="120"/>
  <c r="AH77" i="120"/>
  <c r="V77" i="120"/>
  <c r="J77" i="120"/>
  <c r="AH76" i="120"/>
  <c r="V76" i="120"/>
  <c r="J76" i="120"/>
  <c r="AH75" i="120"/>
  <c r="V75" i="120"/>
  <c r="J75" i="120"/>
  <c r="AB79" i="120"/>
  <c r="I79" i="120"/>
  <c r="I78" i="120"/>
  <c r="U77" i="120"/>
  <c r="I77" i="120"/>
  <c r="AG76" i="120"/>
  <c r="U76" i="120"/>
  <c r="I76" i="120"/>
  <c r="AG75" i="120"/>
  <c r="U75" i="120"/>
  <c r="I75" i="120"/>
  <c r="AF79" i="120"/>
  <c r="T79" i="120"/>
  <c r="H79" i="120"/>
  <c r="AF78" i="120"/>
  <c r="T78" i="120"/>
  <c r="H78" i="120"/>
  <c r="AF77" i="120"/>
  <c r="T77" i="120"/>
  <c r="H77" i="120"/>
  <c r="AF76" i="120"/>
  <c r="T76" i="120"/>
  <c r="H76" i="120"/>
  <c r="AF75" i="120"/>
  <c r="T75" i="120"/>
  <c r="H75" i="120"/>
  <c r="U79" i="120"/>
  <c r="AE79" i="120"/>
  <c r="S78" i="120"/>
  <c r="S77" i="120"/>
  <c r="G75" i="120"/>
  <c r="D79" i="120"/>
  <c r="AG78" i="120"/>
  <c r="AG77" i="120"/>
  <c r="S79" i="120"/>
  <c r="AE78" i="120"/>
  <c r="AE77" i="120"/>
  <c r="AE76" i="120"/>
  <c r="S76" i="120"/>
  <c r="S75" i="120"/>
  <c r="AD79" i="120"/>
  <c r="R79" i="120"/>
  <c r="F79" i="120"/>
  <c r="AD78" i="120"/>
  <c r="R78" i="120"/>
  <c r="F78" i="120"/>
  <c r="AD77" i="120"/>
  <c r="R77" i="120"/>
  <c r="F77" i="120"/>
  <c r="AD76" i="120"/>
  <c r="R76" i="120"/>
  <c r="F76" i="120"/>
  <c r="AD75" i="120"/>
  <c r="R75" i="120"/>
  <c r="F75" i="120"/>
  <c r="AG79" i="120"/>
  <c r="U78" i="120"/>
  <c r="G79" i="120"/>
  <c r="G78" i="120"/>
  <c r="G77" i="120"/>
  <c r="G76" i="120"/>
  <c r="AE75" i="120"/>
  <c r="AC79" i="120"/>
  <c r="Q79" i="120"/>
  <c r="E79" i="120"/>
  <c r="AC78" i="120"/>
  <c r="Q78" i="120"/>
  <c r="E78" i="120"/>
  <c r="AC77" i="120"/>
  <c r="Q77" i="120"/>
  <c r="E77" i="120"/>
  <c r="AC76" i="120"/>
  <c r="Q76" i="120"/>
  <c r="E76" i="120"/>
  <c r="AC75" i="120"/>
  <c r="Q75" i="120"/>
  <c r="E75" i="120"/>
  <c r="AB78" i="120"/>
  <c r="P78" i="120"/>
  <c r="D78" i="120"/>
  <c r="AB77" i="120"/>
  <c r="P77" i="120"/>
  <c r="D77" i="120"/>
  <c r="AB76" i="120"/>
  <c r="P76" i="120"/>
  <c r="D76" i="120"/>
  <c r="AB75" i="120"/>
  <c r="P75" i="120"/>
  <c r="D75" i="120"/>
  <c r="O79" i="120"/>
  <c r="C79" i="120"/>
  <c r="AA78" i="120"/>
  <c r="O78" i="120"/>
  <c r="C78" i="120"/>
  <c r="AA77" i="120"/>
  <c r="O77" i="120"/>
  <c r="C77" i="120"/>
  <c r="AA76" i="120"/>
  <c r="O76" i="120"/>
  <c r="C76" i="120"/>
  <c r="AA75" i="120"/>
  <c r="O75" i="120"/>
  <c r="C75" i="120"/>
  <c r="C65" i="120"/>
  <c r="C74" i="120"/>
  <c r="E62" i="120"/>
  <c r="K62" i="120"/>
  <c r="C62" i="120"/>
  <c r="H55" i="120" s="1" a="1"/>
  <c r="AA62" i="120"/>
  <c r="O62" i="120"/>
  <c r="Z62" i="120"/>
  <c r="N62" i="120"/>
  <c r="Y62" i="120"/>
  <c r="M62" i="120"/>
  <c r="X62" i="120"/>
  <c r="L62" i="120"/>
  <c r="W62" i="120"/>
  <c r="V62" i="120"/>
  <c r="J62" i="120"/>
  <c r="U62" i="120"/>
  <c r="I62" i="120"/>
  <c r="T62" i="120"/>
  <c r="S62" i="120"/>
  <c r="G62" i="120"/>
  <c r="AD62" i="120"/>
  <c r="R62" i="120"/>
  <c r="F62" i="120"/>
  <c r="AC62" i="120"/>
  <c r="Q62" i="120"/>
  <c r="AB62" i="120"/>
  <c r="P62" i="120"/>
  <c r="D62" i="120"/>
  <c r="H62" i="120"/>
  <c r="J67" i="120"/>
  <c r="N66" i="120"/>
  <c r="AD65" i="120"/>
  <c r="R65" i="120"/>
  <c r="F65" i="120"/>
  <c r="V64" i="120"/>
  <c r="J64" i="120"/>
  <c r="Z63" i="120"/>
  <c r="N63" i="120"/>
  <c r="U67" i="120"/>
  <c r="I67" i="120"/>
  <c r="Y66" i="120"/>
  <c r="M66" i="120"/>
  <c r="AC65" i="120"/>
  <c r="Q65" i="120"/>
  <c r="E65" i="120"/>
  <c r="U64" i="120"/>
  <c r="I64" i="120"/>
  <c r="Y63" i="120"/>
  <c r="M63" i="120"/>
  <c r="T67" i="120"/>
  <c r="H67" i="120"/>
  <c r="X66" i="120"/>
  <c r="L66" i="120"/>
  <c r="AB65" i="120"/>
  <c r="P65" i="120"/>
  <c r="D65" i="120"/>
  <c r="T64" i="120"/>
  <c r="H64" i="120"/>
  <c r="X63" i="120"/>
  <c r="L63" i="120"/>
  <c r="Z66" i="120"/>
  <c r="S67" i="120"/>
  <c r="G67" i="120"/>
  <c r="W66" i="120"/>
  <c r="K66" i="120"/>
  <c r="AA65" i="120"/>
  <c r="O65" i="120"/>
  <c r="S64" i="120"/>
  <c r="G64" i="120"/>
  <c r="W63" i="120"/>
  <c r="K63" i="120"/>
  <c r="V67" i="120"/>
  <c r="AD67" i="120"/>
  <c r="R67" i="120"/>
  <c r="F67" i="120"/>
  <c r="V66" i="120"/>
  <c r="J66" i="120"/>
  <c r="Z65" i="120"/>
  <c r="N65" i="120"/>
  <c r="AD64" i="120"/>
  <c r="R64" i="120"/>
  <c r="F64" i="120"/>
  <c r="V63" i="120"/>
  <c r="J63" i="120"/>
  <c r="AC67" i="120"/>
  <c r="Q67" i="120"/>
  <c r="E67" i="120"/>
  <c r="U66" i="120"/>
  <c r="I66" i="120"/>
  <c r="Y65" i="120"/>
  <c r="M65" i="120"/>
  <c r="AC64" i="120"/>
  <c r="Q64" i="120"/>
  <c r="E64" i="120"/>
  <c r="U63" i="120"/>
  <c r="I63" i="120"/>
  <c r="AB67" i="120"/>
  <c r="P67" i="120"/>
  <c r="D67" i="120"/>
  <c r="T66" i="120"/>
  <c r="H66" i="120"/>
  <c r="X65" i="120"/>
  <c r="L65" i="120"/>
  <c r="AB64" i="120"/>
  <c r="P64" i="120"/>
  <c r="D64" i="120"/>
  <c r="T63" i="120"/>
  <c r="H63" i="120"/>
  <c r="AA67" i="120"/>
  <c r="O67" i="120"/>
  <c r="C67" i="120"/>
  <c r="S66" i="120"/>
  <c r="G66" i="120"/>
  <c r="W65" i="120"/>
  <c r="K65" i="120"/>
  <c r="AA64" i="120"/>
  <c r="O64" i="120"/>
  <c r="C64" i="120"/>
  <c r="S63" i="120"/>
  <c r="G63" i="120"/>
  <c r="Z67" i="120"/>
  <c r="N67" i="120"/>
  <c r="AD66" i="120"/>
  <c r="R66" i="120"/>
  <c r="F66" i="120"/>
  <c r="V65" i="120"/>
  <c r="J65" i="120"/>
  <c r="Z64" i="120"/>
  <c r="N64" i="120"/>
  <c r="AD63" i="120"/>
  <c r="R63" i="120"/>
  <c r="F63" i="120"/>
  <c r="Y67" i="120"/>
  <c r="M67" i="120"/>
  <c r="AC66" i="120"/>
  <c r="Q66" i="120"/>
  <c r="E66" i="120"/>
  <c r="U65" i="120"/>
  <c r="I65" i="120"/>
  <c r="Y64" i="120"/>
  <c r="M64" i="120"/>
  <c r="AC63" i="120"/>
  <c r="Q63" i="120"/>
  <c r="E63" i="120"/>
  <c r="X67" i="120"/>
  <c r="L67" i="120"/>
  <c r="AB66" i="120"/>
  <c r="P66" i="120"/>
  <c r="D66" i="120"/>
  <c r="T65" i="120"/>
  <c r="H65" i="120"/>
  <c r="X64" i="120"/>
  <c r="L64" i="120"/>
  <c r="AB63" i="120"/>
  <c r="P63" i="120"/>
  <c r="D63" i="120"/>
  <c r="W67" i="120"/>
  <c r="K67" i="120"/>
  <c r="AA66" i="120"/>
  <c r="O66" i="120"/>
  <c r="C66" i="120"/>
  <c r="S65" i="120"/>
  <c r="G65" i="120"/>
  <c r="W64" i="120"/>
  <c r="K64" i="120"/>
  <c r="AA63" i="120"/>
  <c r="O63" i="120"/>
  <c r="C63" i="120"/>
  <c r="Q50" i="120" a="1"/>
  <c r="Q45" i="120" a="1"/>
  <c r="Q35" i="120" a="1"/>
  <c r="Q40" i="120" a="1"/>
  <c r="Z50" i="120" l="1"/>
  <c r="B50" i="120"/>
  <c r="B45" i="120"/>
  <c r="B40" i="120"/>
  <c r="B35" i="120"/>
  <c r="H55" i="120"/>
  <c r="Q50" i="120"/>
  <c r="Q45" i="120"/>
  <c r="Q40" i="120"/>
  <c r="Q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<sst xmlns="http://schemas.openxmlformats.org/spreadsheetml/2006/main" count="90" uniqueCount="72">
  <si>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</si>
  <si>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</si>
  <si>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</si>
  <si>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</si>
  <si>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</si>
  <si>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</si>
  <si>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</si>
  <si>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</si>
  <si>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</si>
  <si>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</si>
  <si>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</si>
  <si>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</si>
  <si>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</si>
  <si>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</si>
  <si>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</si>
  <si>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</si>
  <si>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</si>
  <si>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</si>
  <si>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</si>
  <si>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</si>
  <si>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</si>
  <si>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</si>
  <si>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</si>
  <si>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</si>
  <si>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</si>
  <si>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</si>
  <si>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</si>
  <si>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</si>
  <si>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</si>
  <si>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</si>
  <si>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</si>
  <si>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</si>
  <si>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</si>
  <si>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</si>
  <si>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</si>
  <si>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</si>
  <si>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</si>
  <si>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</si>
  <si>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</si>
  <si>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</si>
  <si>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</si>
  <si>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</si>
  <si>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</si>
  <si>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</si>
  <si>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</si>
  <si>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</si>
  <si>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</si>
  <si>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</si>
  <si>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</si>
  <si>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</si>
  <si>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</si>
  <si>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</si>
  <si>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</si>
  <si>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</si>
  <si>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</si>
  <si>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</si>
  <si>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</si>
  <si>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</si>
  <si>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</si>
  <si>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</si>
  <si>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</si>
  <si>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</si>
  <si>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</si>
  <si>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</si>
  <si>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</si>
  <si>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calc_along_flow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</si>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</sst>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5" fontId="0" fillId="10" borderId="0" xfId="0" applyNumberFormat="1" applyFill="1" applyBorder="1" applyAlignment="1">
      <alignment horizontal="center"/>
    </xf>
    <xf numFmtId="0" fontId="0" fillId="10" borderId="0" xfId="0" applyFill="1" applyBorder="1"/>
    <xf numFmtId="165" fontId="0" fillId="10" borderId="0" xfId="0" applyNumberFormat="1" applyFill="1" applyBorder="1" applyAlignment="1">
      <alignment horizontal="left"/>
    </xf>
    <xf numFmtId="0" fontId="0" fillId="10" borderId="0" xfId="0" applyFill="1" applyBorder="1" applyAlignment="1"/>
    <xf numFmtId="0" fontId="0" fillId="10" borderId="0" xfId="0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left"/>
    </xf>
    <xf numFmtId="1" fontId="0" fillId="10" borderId="0" xfId="0" applyNumberFormat="1" applyFill="1" applyBorder="1" applyAlignment="1">
      <alignment horizontal="left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exercise_choke!$C$74:$V$74</c:f>
              <c:numCache>
                <c:formatCode>0</c:formatCode>
                <c:ptCount val="20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exercise_choke!$C$75:$V$75</c:f>
              <c:numCache>
                <c:formatCode>0</c:formatCode>
                <c:ptCount val="20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exercise_choke!$C$76:$V$76</c:f>
              <c:numCache>
                <c:formatCode>0</c:formatCode>
                <c:ptCount val="20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exercise_choke!$I$53:$AW$53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exercise_choke!$I$54:$AW$54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7628054" y="1007814"/>
          <a:ext cx="5262561" cy="2399209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3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3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3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40</xdr:col>
      <xdr:colOff>330615</xdr:colOff>
      <xdr:row>87</xdr:row>
      <xdr:rowOff>19787</xdr:rowOff>
    </xdr:from>
    <xdr:to>
      <xdr:col>56</xdr:col>
      <xdr:colOff>522114</xdr:colOff>
      <xdr:row>114</xdr:row>
      <xdr:rowOff>75520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256 4 80 0 0,'0'0'343'0'0,"0"0"11"0"0,0 0-10 0 0,0 0 1 0 0,0 0 11 0 0,0 0 13 0 0,0 0 36 0 0,-15 12 4782 0 0,11-11-4939 0 0,0 3 1 0 0,1-2 0 0 0,-1-1-1 0 0,1 3 1 0 0,0-2 0 0 0,0 1-1 0 0,0 1 1 0 0,0-2 0 0 0,1 2-1 0 0,-1-2 1 0 0,1 3-249 0 0,-22 20 881 0 0,0-1-273 0 0,2 1 0 0 0,0 0 0 0 0,-1 7-608 0 0,-21 23 252 0 0,14-13-1105 0 0,25-36 1372 0 0,-3 5-4151 0 0,7-7-955 0 0,9-11 988 0 0,-2 3 2444 0 0</inkml:trace>
  <inkml:trace contextRef="#ctx0" brushRef="#br0" timeOffset="1">452 45 116 0 0,'-7'6'514'0'0,"0"0"0"0"0,1-1 1 0 0,0 2-1 0 0,0 0 0 0 0,-1-1 0 0 0,1 2 1 0 0,-2 5-515 0 0,2-5 350 0 0,-161 191 2748 0 0,167-199-3369 0 0,-14 19 68 0 0,13-12-5204 0 0,1-7 4460 0 0</inkml:trace>
  <inkml:trace contextRef="#ctx0" brushRef="#br0" timeOffset="2">620 79 188 0 0,'-13'22'773'0'0,"1"-2"0"0"0,-3 1-1 0 0,-3 4-772 0 0,3-6 684 0 0,0 2 0 0 0,1 1 0 0 0,-1 5-684 0 0,-27 31-144 0 0,41-51-155 0 0,0-3-2709 0 0,1-4 2165 0 0</inkml:trace>
  <inkml:trace contextRef="#ctx0" brushRef="#br0" timeOffset="3">846 60 188 0 0,'-3'6'375'0'0,"0"1"-1"0"0,0-1 1 0 0,0-1 0 0 0,-1 1-1 0 0,0 0 1 0 0,-1 0 0 0 0,1 0-1 0 0,-1-1 1 0 0,0 0-1 0 0,-2-2 1 0 0,2 3-375 0 0,-13 13 823 0 0,0-1 1 0 0,0 2-1 0 0,1 2-823 0 0,3-2 561 0 0,-1-2-1 0 0,-2 0 1 0 0,-10 8-561 0 0,25-23-167 0 0,0-2 1 0 0,0 1 0 0 0,0 0-1 0 0,0 1 1 0 0,0-1 0 0 0,1 0-1 0 0,-2 1 1 0 0,2 0 0 0 0,0-2-1 0 0,0 3 1 0 0,0-1 0 0 0,0 0-1 0 0,0 0 1 0 0,0-1 0 0 0,1 1 0 0 0,-1-1-1 0 0,1 4 167 0 0,0-6-1060 0 0,14-6-2464 0 0,-5 1 2535 0 0</inkml:trace>
  <inkml:trace contextRef="#ctx0" brushRef="#br0" timeOffset="4">1065 75 592 0 0,'-35'35'2652'0'0,"9"-11"-1656"0"0,2 1 0 0 0,0-1 0 0 0,3 2 1 0 0,0 2-1 0 0,0 0 0 0 0,3 3-996 0 0,17-30-192 0 0,-10 23-100 0 0,8-15-1049 0 0,6-7-2062 0 0,4-9 967 0 0,-1 4 1359 0 0</inkml:trace>
  <inkml:trace contextRef="#ctx0" brushRef="#br0" timeOffset="5">1343 1 572 0 0,'-116'140'4885'0'0,"92"-113"-4182"0"0,0 1 0 0 0,4 1 0 0 0,-16 23-703 0 0,31-42-557 0 0,-2-1 0 0 0,0 1 0 0 0,0-1 0 0 0,-9 7 557 0 0,15-15-971 0 0,1-1-138 0 0,7-2-1114 0 0,1-3 1252 0 0</inkml:trace>
  <inkml:trace contextRef="#ctx0" brushRef="#br0" timeOffset="6">1437 104 168 0 0,'-57'102'6461'0'0,"19"-39"-4030"0"0,14-24-1163 0 0,-24 29-1268 0 0,31-43-1721 0 0,12-16-4629 0 0,5-9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zoomScale="70" zoomScaleNormal="70" workbookViewId="0">
      <selection activeCell="AF41" sqref="AF41"/>
    </sheetView>
  </sheetViews>
  <sheetFormatPr defaultRowHeight="12.75" x14ac:dyDescent="0.2"/>
  <cols>
    <col min="2" max="12" width="10.42578125" customWidth="1"/>
    <col min="13" max="22" width="5.7109375" customWidth="1"/>
    <col min="23" max="23" width="13.5703125" customWidth="1"/>
    <col min="24" max="24" width="9.140625" customWidth="1"/>
    <col min="25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7.26</v>
      </c>
      <c r="H1" t="s">
        <v>45</v>
      </c>
      <c r="I1" s="28">
        <v>44223</v>
      </c>
      <c r="J1" s="29"/>
      <c r="K1" s="29"/>
      <c r="L1" s="29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0">
        <v>7.26</v>
      </c>
      <c r="J2" s="29"/>
      <c r="K2" s="29"/>
      <c r="L2" s="29"/>
      <c r="AL2" t="str">
        <f>"Pbuf = "&amp;Pbuf_&amp;" atm"</f>
        <v>Pbuf = 26 atm</v>
      </c>
    </row>
    <row r="3" spans="1:38" ht="15" x14ac:dyDescent="0.25">
      <c r="A3" s="31" t="s">
        <v>47</v>
      </c>
      <c r="B3" s="45" t="s">
        <v>48</v>
      </c>
      <c r="C3" s="46"/>
      <c r="D3" s="46"/>
      <c r="E3" s="47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20 atm</v>
      </c>
    </row>
    <row r="4" spans="1:38" ht="15" x14ac:dyDescent="0.25">
      <c r="A4" s="31" t="s">
        <v>50</v>
      </c>
      <c r="B4" s="45" t="s">
        <v>51</v>
      </c>
      <c r="C4" s="46"/>
      <c r="D4" s="46"/>
      <c r="E4" s="47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5" x14ac:dyDescent="0.25">
      <c r="A5" s="31" t="s">
        <v>53</v>
      </c>
      <c r="B5" s="45" t="s">
        <v>54</v>
      </c>
      <c r="C5" s="46"/>
      <c r="D5" s="46"/>
      <c r="E5" s="47"/>
      <c r="H5" t="s">
        <v>55</v>
      </c>
      <c r="I5" s="29" t="s">
        <v>54</v>
      </c>
      <c r="J5" s="29"/>
      <c r="K5" s="29"/>
      <c r="L5" s="29"/>
    </row>
    <row r="6" spans="1:38" x14ac:dyDescent="0.2">
      <c r="A6" s="32" t="s">
        <v>56</v>
      </c>
      <c r="B6" s="48" t="s">
        <v>57</v>
      </c>
      <c r="C6" s="49"/>
      <c r="D6" s="49"/>
      <c r="E6" s="50"/>
      <c r="H6" s="33" t="s">
        <v>58</v>
      </c>
      <c r="I6" s="34" t="s">
        <v>57</v>
      </c>
      <c r="J6" s="34"/>
      <c r="K6" s="34"/>
      <c r="L6" s="34"/>
    </row>
    <row r="7" spans="1:38" x14ac:dyDescent="0.2">
      <c r="A7" s="35"/>
      <c r="B7" s="51"/>
      <c r="C7" s="52"/>
      <c r="D7" s="52"/>
      <c r="E7" s="53"/>
      <c r="H7" s="33"/>
      <c r="I7" s="34"/>
      <c r="J7" s="34"/>
      <c r="K7" s="34"/>
      <c r="L7" s="34"/>
    </row>
    <row r="8" spans="1:38" x14ac:dyDescent="0.2">
      <c r="A8" s="36"/>
      <c r="B8" s="54"/>
      <c r="C8" s="55"/>
      <c r="D8" s="55"/>
      <c r="E8" s="56"/>
      <c r="H8" s="33"/>
      <c r="I8" s="34"/>
      <c r="J8" s="34"/>
      <c r="K8" s="34"/>
      <c r="L8" s="34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8.75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8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/>
      <c r="D18" s="40" t="s">
        <v>1</v>
      </c>
    </row>
    <row r="19" spans="1:52" ht="18" x14ac:dyDescent="0.35">
      <c r="B19" s="11" t="s">
        <v>31</v>
      </c>
      <c r="C19" s="2"/>
      <c r="D19" s="41" t="s">
        <v>4</v>
      </c>
    </row>
    <row r="20" spans="1:52" ht="18.75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0</v>
      </c>
      <c r="D22" s="41" t="s">
        <v>3</v>
      </c>
      <c r="F22" s="11" t="s">
        <v>62</v>
      </c>
      <c r="G22" s="2">
        <v>0</v>
      </c>
    </row>
    <row r="23" spans="1:52" ht="15" x14ac:dyDescent="0.25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75" x14ac:dyDescent="0.3">
      <c r="B25" s="11" t="s">
        <v>40</v>
      </c>
      <c r="C25" s="2">
        <v>70</v>
      </c>
      <c r="D25" s="41" t="s">
        <v>12</v>
      </c>
      <c r="F25" t="s">
        <v>63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75" x14ac:dyDescent="0.3">
      <c r="B26" s="11" t="s">
        <v>41</v>
      </c>
      <c r="C26" s="2">
        <v>10</v>
      </c>
      <c r="D26" s="41" t="s">
        <v>12</v>
      </c>
    </row>
    <row r="27" spans="1:52" ht="15.75" x14ac:dyDescent="0.3">
      <c r="B27" s="11" t="s">
        <v>44</v>
      </c>
      <c r="C27" s="2">
        <v>30</v>
      </c>
      <c r="D27" s="41" t="s">
        <v>17</v>
      </c>
      <c r="F27" t="s">
        <v>64</v>
      </c>
      <c r="I27" t="s">
        <v>66</v>
      </c>
    </row>
    <row r="28" spans="1:52" ht="15.75" x14ac:dyDescent="0.3">
      <c r="B28" s="11" t="s">
        <v>43</v>
      </c>
      <c r="C28" s="2">
        <v>26</v>
      </c>
      <c r="D28" s="41" t="s">
        <v>18</v>
      </c>
      <c r="F28" s="23" t="s">
        <v>65</v>
      </c>
      <c r="G28" s="23">
        <v>1</v>
      </c>
      <c r="I28" s="24" t="str" cm="1">
        <f t="array" ref="I28">[1]!encode_json(F28:G31)</f>
        <v>{"calc_along_flow":1,"choke_calibr_type":0,"show_log":1}</v>
      </c>
      <c r="J28" s="24"/>
      <c r="K28" s="24"/>
      <c r="L28" s="24"/>
      <c r="M28" s="24"/>
      <c r="N28" s="24"/>
    </row>
    <row r="29" spans="1:52" ht="15.75" x14ac:dyDescent="0.3">
      <c r="B29" s="38" t="s">
        <v>42</v>
      </c>
      <c r="C29" s="39">
        <v>20</v>
      </c>
      <c r="D29" s="16" t="s">
        <v>18</v>
      </c>
      <c r="F29" s="23" t="s">
        <v>69</v>
      </c>
      <c r="G29" s="23">
        <v>0</v>
      </c>
    </row>
    <row r="30" spans="1:52" ht="18" x14ac:dyDescent="0.35">
      <c r="B30" s="11" t="s">
        <v>61</v>
      </c>
      <c r="C30" s="2"/>
      <c r="D30" s="41" t="s">
        <v>17</v>
      </c>
      <c r="F30" s="23" t="s">
        <v>70</v>
      </c>
      <c r="G30" s="23">
        <v>1</v>
      </c>
    </row>
    <row r="31" spans="1:52" x14ac:dyDescent="0.2">
      <c r="B31" s="6"/>
      <c r="F31" s="23" t="s">
        <v>71</v>
      </c>
      <c r="G31" s="23"/>
    </row>
    <row r="32" spans="1:52" x14ac:dyDescent="0.2">
      <c r="B32" s="25" t="s">
        <v>36</v>
      </c>
      <c r="C32" s="25"/>
      <c r="D32" s="25"/>
      <c r="E32" s="25"/>
      <c r="F32" s="25"/>
      <c r="G32" s="23"/>
    </row>
    <row r="34" spans="2:17" x14ac:dyDescent="0.2">
      <c r="B34" s="18" t="s">
        <v>19</v>
      </c>
      <c r="Q34" t="s">
        <v>67</v>
      </c>
    </row>
    <row r="35" spans="2:17" x14ac:dyDescent="0.2">
      <c r="B35" s="57" cm="1">
        <f t="array" ref="B35:L37">[1]!MF_choke_p_atma(feed,d_choke,Pbuf_,1,T_choke,d_pipe,I28)</f>
        <v>24.5257568359375</v>
      </c>
      <c r="C35" s="57">
        <v>26</v>
      </c>
      <c r="D35" s="57">
        <v>24.5257568359375</v>
      </c>
      <c r="E35" s="57">
        <v>20</v>
      </c>
      <c r="F35" s="57">
        <v>1</v>
      </c>
      <c r="G35" s="61">
        <v>30</v>
      </c>
      <c r="H35" s="61">
        <v>7500</v>
      </c>
      <c r="I35" s="62">
        <v>19.47283659982962</v>
      </c>
      <c r="J35" s="63">
        <v>164.2254978960822</v>
      </c>
      <c r="K35" s="63">
        <v>51.827864088588115</v>
      </c>
      <c r="L35" s="60" t="str">
        <v>{"gamma_gas":0.9,"gamma_oil":0.86,"gamma_wat":1,"rsb_m3m3":200,"t_res_C":100,"PVT_corr_set":0,"q_liq_sm3day":30,"fw_perc":0,"rp_m3m3":250}</v>
      </c>
      <c r="P35" t="s">
        <v>68</v>
      </c>
      <c r="Q35" t="str" cm="1">
        <f t="array" ref="Q35">[1]!decode_json(B37)</f>
        <v>info: calibr_type = 0, standard calibration, choke_calibr = 1</v>
      </c>
    </row>
    <row r="36" spans="2:17" x14ac:dyDescent="0.2">
      <c r="B36" s="59" t="str">
        <v>p_out_atma</v>
      </c>
      <c r="C36" s="59" t="str">
        <v>p_intake_atma</v>
      </c>
      <c r="D36" s="59" t="str">
        <v>p_out_atma</v>
      </c>
      <c r="E36" s="59" t="str">
        <v>t_choke_C</v>
      </c>
      <c r="F36" s="59" t="str">
        <v>c_calibr_fr</v>
      </c>
      <c r="G36" s="64" t="str">
        <v>q_liq_sm3day</v>
      </c>
      <c r="H36" s="64" t="str">
        <v>q_gas_sm3day</v>
      </c>
      <c r="I36" s="64" t="str">
        <v>t_choke_throat_C</v>
      </c>
      <c r="J36" s="64" t="str">
        <v>sonic_vel_msec</v>
      </c>
      <c r="K36" s="64" t="str">
        <v>q_liq_max_sm3day</v>
      </c>
      <c r="L36" s="64" t="str">
        <v>feed</v>
      </c>
    </row>
    <row r="37" spans="2:17" x14ac:dyDescent="0.2">
      <c r="B37" s="64" t="str">
        <v>["info: calibr_type = 0, standard calibration, choke_calibr = 1"]</v>
      </c>
      <c r="C37" s="61" t="str">
        <v/>
      </c>
      <c r="D37" s="61" t="str">
        <v/>
      </c>
      <c r="E37" s="61" t="str">
        <v/>
      </c>
      <c r="F37" s="61" t="str">
        <v/>
      </c>
      <c r="G37" s="61" t="str">
        <v/>
      </c>
      <c r="H37" s="61" t="str">
        <v/>
      </c>
      <c r="I37" s="61" t="str">
        <v/>
      </c>
      <c r="J37" s="61" t="str">
        <v/>
      </c>
      <c r="K37" s="61" t="str">
        <v/>
      </c>
      <c r="L37" s="61" t="str">
        <v/>
      </c>
    </row>
    <row r="39" spans="2:17" x14ac:dyDescent="0.2">
      <c r="B39" s="18" t="s">
        <v>20</v>
      </c>
    </row>
    <row r="40" spans="2:17" x14ac:dyDescent="0.2">
      <c r="B40" s="57" cm="1">
        <f t="array" ref="B40:L42">[1]!MF_choke_p_atma(feed,d_choke,Plin_,0,T_choke,d_pipe,I28)</f>
        <v>21.9122314453125</v>
      </c>
      <c r="C40" s="57">
        <v>21.9122314453125</v>
      </c>
      <c r="D40" s="57">
        <v>20</v>
      </c>
      <c r="E40" s="57">
        <v>20</v>
      </c>
      <c r="F40" s="57">
        <v>1</v>
      </c>
      <c r="G40" s="61">
        <v>30</v>
      </c>
      <c r="H40" s="61">
        <v>7500</v>
      </c>
      <c r="I40" s="62">
        <v>19.143973065591297</v>
      </c>
      <c r="J40" s="63">
        <v>164.94094086538158</v>
      </c>
      <c r="K40" s="63">
        <v>43.062652772883247</v>
      </c>
      <c r="L40" s="60" t="str">
        <v>{"gamma_gas":0.9,"gamma_oil":0.86,"gamma_wat":1,"rsb_m3m3":200,"t_res_C":100,"PVT_corr_set":0,"q_liq_sm3day":30,"fw_perc":0,"rp_m3m3":250}</v>
      </c>
      <c r="P40" t="s">
        <v>68</v>
      </c>
      <c r="Q40" t="str" cm="1">
        <f t="array" ref="Q40">[1]!decode_json(B42)</f>
        <v>info: calibr_type = 0, standard calibration, choke_calibr = 1</v>
      </c>
    </row>
    <row r="41" spans="2:17" x14ac:dyDescent="0.2">
      <c r="B41" s="59" t="str">
        <v>p_intake_atma</v>
      </c>
      <c r="C41" s="59" t="str">
        <v>p_intake_atma</v>
      </c>
      <c r="D41" s="59" t="str">
        <v>p_out_atma</v>
      </c>
      <c r="E41" s="59" t="str">
        <v>t_choke_C</v>
      </c>
      <c r="F41" s="59" t="str">
        <v>c_calibr_fr</v>
      </c>
      <c r="G41" s="64" t="str">
        <v>q_liq_sm3day</v>
      </c>
      <c r="H41" s="64" t="str">
        <v>q_gas_sm3day</v>
      </c>
      <c r="I41" s="64" t="str">
        <v>t_choke_throat_C</v>
      </c>
      <c r="J41" s="64" t="str">
        <v>sonic_vel_msec</v>
      </c>
      <c r="K41" s="64" t="str">
        <v>q_liq_max_sm3day</v>
      </c>
      <c r="L41" s="64" t="str">
        <v>feed</v>
      </c>
    </row>
    <row r="42" spans="2:17" x14ac:dyDescent="0.2">
      <c r="B42" s="64" t="str">
        <v>["info: calibr_type = 0, standard calibration, choke_calibr = 1"]</v>
      </c>
      <c r="C42" s="61" t="str">
        <v/>
      </c>
      <c r="D42" s="61" t="str">
        <v/>
      </c>
      <c r="E42" s="61" t="str">
        <v/>
      </c>
      <c r="F42" s="61" t="str">
        <v/>
      </c>
      <c r="G42" s="61" t="str">
        <v/>
      </c>
      <c r="H42" s="61" t="str">
        <v/>
      </c>
      <c r="I42" s="61" t="str">
        <v/>
      </c>
      <c r="J42" s="61" t="str">
        <v/>
      </c>
      <c r="K42" s="61" t="str">
        <v/>
      </c>
      <c r="L42" s="61" t="str">
        <v/>
      </c>
    </row>
    <row r="44" spans="2:17" x14ac:dyDescent="0.2">
      <c r="B44" t="s">
        <v>22</v>
      </c>
    </row>
    <row r="45" spans="2:17" x14ac:dyDescent="0.2">
      <c r="B45" s="57" cm="1">
        <f t="array" ref="B45:L47">[1]!MF_choke_q_sm3day(feed,d_choke,Pbuf_,Plin_,T_choke,,I28)</f>
        <v>49.899947566854614</v>
      </c>
      <c r="C45" s="57">
        <v>26</v>
      </c>
      <c r="D45" s="57">
        <v>20</v>
      </c>
      <c r="E45" s="57">
        <v>20</v>
      </c>
      <c r="F45" s="57">
        <v>1</v>
      </c>
      <c r="G45" s="63">
        <v>49.899947566854614</v>
      </c>
      <c r="H45" s="63">
        <v>12474.986891713654</v>
      </c>
      <c r="I45" s="63">
        <v>17.630470035451449</v>
      </c>
      <c r="J45" s="63">
        <v>164.2254978960822</v>
      </c>
      <c r="K45" s="63">
        <v>51.827864088588115</v>
      </c>
      <c r="L45" s="60" t="str">
        <v>{"gamma_gas":0.9,"gamma_oil":0.86,"gamma_wat":1,"rsb_m3m3":200,"t_res_C":100,"PVT_corr_set":0,"q_liq_sm3day":49.8999475668546,"fw_perc":0,"rp_m3m3":250}</v>
      </c>
      <c r="P45" t="s">
        <v>68</v>
      </c>
      <c r="Q45" t="str" cm="1">
        <f t="array" ref="Q45">[1]!decode_json(B47)</f>
        <v>info: calibr_type = 0, standard calibration, choke_calibr = 1</v>
      </c>
    </row>
    <row r="46" spans="2:17" x14ac:dyDescent="0.2">
      <c r="B46" s="59" t="str">
        <v>q_liq_sm3day</v>
      </c>
      <c r="C46" s="59" t="str">
        <v>p_intake_atma</v>
      </c>
      <c r="D46" s="59" t="str">
        <v>p_out_atma</v>
      </c>
      <c r="E46" s="59" t="str">
        <v>t_choke_C</v>
      </c>
      <c r="F46" s="59" t="str">
        <v>c_calibr_fr</v>
      </c>
      <c r="G46" s="64" t="str">
        <v>q_liq_sm3day</v>
      </c>
      <c r="H46" s="64" t="str">
        <v>q_gas_sm3day</v>
      </c>
      <c r="I46" s="64" t="str">
        <v>t_choke_throat_C</v>
      </c>
      <c r="J46" s="64" t="str">
        <v>sonic_vel_msec</v>
      </c>
      <c r="K46" s="64" t="str">
        <v>q_liq_max_sm3day</v>
      </c>
      <c r="L46" s="64" t="str">
        <v>feed</v>
      </c>
    </row>
    <row r="47" spans="2:17" x14ac:dyDescent="0.2">
      <c r="B47" s="64" t="str">
        <v>["info: calibr_type = 0, standard calibration, choke_calibr = 1"]</v>
      </c>
      <c r="C47" s="61" t="str">
        <v/>
      </c>
      <c r="D47" s="61" t="str">
        <v/>
      </c>
      <c r="E47" s="61" t="str">
        <v/>
      </c>
      <c r="F47" s="61" t="str">
        <v/>
      </c>
      <c r="G47" s="61" t="str">
        <v/>
      </c>
      <c r="H47" s="61" t="str">
        <v/>
      </c>
      <c r="I47" s="61" t="str">
        <v/>
      </c>
      <c r="J47" s="61" t="str">
        <v/>
      </c>
      <c r="K47" s="61" t="str">
        <v/>
      </c>
      <c r="L47" s="61" t="str">
        <v/>
      </c>
    </row>
    <row r="49" spans="2:30" x14ac:dyDescent="0.2">
      <c r="B49" t="s">
        <v>21</v>
      </c>
    </row>
    <row r="50" spans="2:30" x14ac:dyDescent="0.2">
      <c r="B50" s="62" cm="1">
        <f t="array" ref="B50:F52">[1]!MF_choke_calibr(feed,d_choke,Pbuf_,Plin_,d_pipe,T_choke,I28)</f>
        <v>0.6011962890625</v>
      </c>
      <c r="C50" s="63" t="str">
        <v>calibr</v>
      </c>
      <c r="D50" s="63">
        <v>3.662109375E-4</v>
      </c>
      <c r="E50" s="63">
        <v>13</v>
      </c>
      <c r="F50" s="62" t="str">
        <v>solve_equation_bisection: done by  13 iterations, tolerance 0,001</v>
      </c>
      <c r="P50" t="s">
        <v>68</v>
      </c>
      <c r="Q50" t="str" cm="1">
        <f t="array" ref="Q50">[1]!decode_json(B52)</f>
        <v>info: calibr_type = 0, standard calibration, choke_calibr = 1</v>
      </c>
      <c r="Z50" t="str" cm="1">
        <f t="array" ref="Z50:AD52">[1]!MF_choke_calibr_fast(feed,d_choke,Pbuf_,Plin_,d_pipe,T_choke,I28)</f>
        <v>0,601203036532389</v>
      </c>
      <c r="AA50">
        <v>26</v>
      </c>
      <c r="AB50">
        <v>20</v>
      </c>
      <c r="AC50">
        <v>20</v>
      </c>
      <c r="AD50">
        <v>0.60120303653238916</v>
      </c>
    </row>
    <row r="51" spans="2:30" x14ac:dyDescent="0.2">
      <c r="B51" s="65" t="str">
        <v>solution</v>
      </c>
      <c r="C51" s="65" t="str">
        <v>cal_type</v>
      </c>
      <c r="D51" s="65" t="str">
        <v>y_solution</v>
      </c>
      <c r="E51" s="65" t="str">
        <v>iterations</v>
      </c>
      <c r="F51" s="65" t="str">
        <v>description</v>
      </c>
      <c r="Z51" t="str">
        <v>c_calibr_fr</v>
      </c>
      <c r="AA51" t="str">
        <v>p_intake_atma</v>
      </c>
      <c r="AB51" t="str">
        <v>p_out_atma</v>
      </c>
      <c r="AC51" t="str">
        <v>t_choke_C</v>
      </c>
      <c r="AD51" t="str">
        <v>c_calibr_fr</v>
      </c>
    </row>
    <row r="52" spans="2:30" x14ac:dyDescent="0.2">
      <c r="B52" s="58" t="str">
        <v>["info: calibr_type = 0, standard calibration, choke_calibr = 1"]</v>
      </c>
      <c r="C52" s="58" t="str">
        <v/>
      </c>
      <c r="D52" s="58" t="str">
        <v/>
      </c>
      <c r="E52" s="58" t="str">
        <v/>
      </c>
      <c r="F52" s="58" t="str">
        <v/>
      </c>
      <c r="Z52" t="str">
        <v>[]</v>
      </c>
      <c r="AA52" t="str">
        <v/>
      </c>
      <c r="AB52" t="str">
        <v/>
      </c>
      <c r="AC52" t="str">
        <v/>
      </c>
      <c r="AD52" t="str">
        <v/>
      </c>
    </row>
    <row r="55" spans="2:30" x14ac:dyDescent="0.2">
      <c r="H55" t="str" cm="1">
        <f t="array" ref="H55">[1]!encode_feed(C62,,,,feed)</f>
        <v>{"gamma_gas":0.9,"gamma_oil":0.86,"gamma_wat":1,"rsb_m3m3":200,"t_res_C":100,"q_liq_sm3day":1,"fw_perc":0,"rp_m3m3":250}</v>
      </c>
    </row>
    <row r="59" spans="2:30" x14ac:dyDescent="0.2">
      <c r="C59" t="s">
        <v>10</v>
      </c>
    </row>
    <row r="60" spans="2:30" x14ac:dyDescent="0.2">
      <c r="C60" s="44" t="s">
        <v>8</v>
      </c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</row>
    <row r="61" spans="2:30" x14ac:dyDescent="0.2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</row>
    <row r="62" spans="2:30" x14ac:dyDescent="0.2">
      <c r="B62" s="26">
        <v>1</v>
      </c>
      <c r="C62" s="27">
        <f>[1]!MF_choke_p_atma([1]!encode_feed(C$61,,,,feed),d_choke,$B62,0,T_choke,d_pipe,$I$28)</f>
        <v>1</v>
      </c>
      <c r="D62" s="27">
        <f>[1]!MF_choke_p_atma([1]!encode_feed(D$61,,,,feed),d_choke,$B62,0,T_choke,d_pipe,$I$28)</f>
        <v>1.0453033447265625</v>
      </c>
      <c r="E62" s="27">
        <f>[1]!MF_choke_p_atma([1]!encode_feed(E$61,,,,feed),d_choke,$B62,0,T_choke,d_pipe,$I$28)</f>
        <v>1.208251953125</v>
      </c>
      <c r="F62" s="27">
        <f>[1]!MF_choke_p_atma([1]!encode_feed(F$61,,,,feed),d_choke,$B62,0,T_choke,d_pipe,$I$28)</f>
        <v>2.156005859375</v>
      </c>
      <c r="G62" s="27">
        <f>[1]!MF_choke_p_atma([1]!encode_feed(G$61,,,,feed),d_choke,$B62,0,T_choke,d_pipe,$I$28)</f>
        <v>4.2900390625</v>
      </c>
      <c r="H62" s="27">
        <f>[1]!MF_choke_p_atma([1]!encode_feed(H$61,,,,feed),d_choke,$B62,0,T_choke,d_pipe,$I$28)</f>
        <v>5.34814453125</v>
      </c>
      <c r="I62" s="27">
        <f>[1]!MF_choke_p_atma([1]!encode_feed(I$61,,,,feed),d_choke,$B62,0,T_choke,d_pipe,$I$28)</f>
        <v>10.5458984375</v>
      </c>
      <c r="J62" s="27">
        <f>[1]!MF_choke_p_atma([1]!encode_feed(J$61,,,,feed),d_choke,$B62,0,T_choke,d_pipe,$I$28)</f>
        <v>15.5830078125</v>
      </c>
      <c r="K62" s="27">
        <f>[1]!MF_choke_p_atma([1]!encode_feed(K$61,,,,feed),d_choke,$B62,0,T_choke,d_pipe,$I$28)</f>
        <v>20.4541015625</v>
      </c>
      <c r="L62" s="27">
        <f>[1]!MF_choke_p_atma([1]!encode_feed(L$61,,,,feed),d_choke,$B62,0,T_choke,d_pipe,$I$28)</f>
        <v>25.1572265625</v>
      </c>
      <c r="M62" s="27">
        <f>[1]!MF_choke_p_atma([1]!encode_feed(M$61,,,,feed),d_choke,$B62,0,T_choke,d_pipe,$I$28)</f>
        <v>29.6962890625</v>
      </c>
      <c r="N62" s="27">
        <f>[1]!MF_choke_p_atma([1]!encode_feed(N$61,,,,feed),d_choke,$B62,0,T_choke,d_pipe,$I$28)</f>
        <v>34.0732421875</v>
      </c>
      <c r="O62" s="27">
        <f>[1]!MF_choke_p_atma([1]!encode_feed(O$61,,,,feed),d_choke,$B62,0,T_choke,d_pipe,$I$28)</f>
        <v>38.2958984375</v>
      </c>
      <c r="P62" s="27">
        <f>[1]!MF_choke_p_atma([1]!encode_feed(P$61,,,,feed),d_choke,$B62,0,T_choke,d_pipe,$I$28)</f>
        <v>42.3720703125</v>
      </c>
      <c r="Q62" s="27">
        <f>[1]!MF_choke_p_atma([1]!encode_feed(Q$61,,,,feed),d_choke,$B62,0,T_choke,d_pipe,$I$28)</f>
        <v>46.3115234375</v>
      </c>
      <c r="R62" s="27">
        <f>[1]!MF_choke_p_atma([1]!encode_feed(R$61,,,,feed),d_choke,$B62,0,T_choke,d_pipe,$I$28)</f>
        <v>50.1259765625</v>
      </c>
      <c r="S62" s="27">
        <f>[1]!MF_choke_p_atma([1]!encode_feed(S$61,,,,feed),d_choke,$B62,0,T_choke,d_pipe,$I$28)</f>
        <v>53.8251953125</v>
      </c>
      <c r="T62" s="27">
        <f>[1]!MF_choke_p_atma([1]!encode_feed(T$61,,,,feed),d_choke,$B62,0,T_choke,d_pipe,$I$28)</f>
        <v>57.4208984375</v>
      </c>
      <c r="U62" s="27">
        <f>[1]!MF_choke_p_atma([1]!encode_feed(U$61,,,,feed),d_choke,$B62,0,T_choke,d_pipe,$I$28)</f>
        <v>60.9228515625</v>
      </c>
      <c r="V62" s="27">
        <f>[1]!MF_choke_p_atma([1]!encode_feed(V$61,,,,feed),d_choke,$B62,0,T_choke,d_pipe,$I$28)</f>
        <v>64.3427734375</v>
      </c>
      <c r="W62" s="27">
        <f>[1]!MF_choke_p_atma([1]!encode_feed(W$61,,,,feed),d_choke,$B62,0,T_choke,d_pipe,$I$28)</f>
        <v>67.6884765625</v>
      </c>
      <c r="X62" s="27">
        <f>[1]!MF_choke_p_atma([1]!encode_feed(X$61,,,,feed),d_choke,$B62,0,T_choke,d_pipe,$I$28)</f>
        <v>70.9677734375</v>
      </c>
      <c r="Y62" s="27">
        <f>[1]!MF_choke_p_atma([1]!encode_feed(Y$61,,,,feed),d_choke,$B62,0,T_choke,d_pipe,$I$28)</f>
        <v>74.1923828125</v>
      </c>
      <c r="Z62" s="27">
        <f>[1]!MF_choke_p_atma([1]!encode_feed(Z$61,,,,feed),d_choke,$B62,0,T_choke,d_pipe,$I$28)</f>
        <v>77.3662109375</v>
      </c>
      <c r="AA62" s="27">
        <f>[1]!MF_choke_p_atma([1]!encode_feed(AA$61,,,,feed),d_choke,$B62,0,T_choke,d_pipe,$I$28)</f>
        <v>80.4970703125</v>
      </c>
      <c r="AB62" s="27">
        <f>[1]!MF_choke_p_atma([1]!encode_feed(AB$61,,,,feed),d_choke,$B62,0,T_choke,d_pipe,$I$28)</f>
        <v>83.5908203125</v>
      </c>
      <c r="AC62" s="27">
        <f>[1]!MF_choke_p_atma([1]!encode_feed(AC$61,,,,feed),d_choke,$B62,0,T_choke,d_pipe,$I$28)</f>
        <v>86.6533203125</v>
      </c>
      <c r="AD62" s="27">
        <f>[1]!MF_choke_p_atma([1]!encode_feed(AD$61,,,,feed),d_choke,$B62,0,T_choke,d_pipe,$I$28)</f>
        <v>89.6884765625</v>
      </c>
    </row>
    <row r="63" spans="2:30" x14ac:dyDescent="0.2">
      <c r="B63" s="26">
        <v>5</v>
      </c>
      <c r="C63" s="27">
        <f>[1]!MF_choke_p_atma([1]!encode_feed(C$61,,,,feed),d_choke,$B63,0,T_choke,d_pipe,$I$28)</f>
        <v>5</v>
      </c>
      <c r="D63" s="27">
        <f>[1]!MF_choke_p_atma([1]!encode_feed(D$61,,,,feed),d_choke,$B63,0,T_choke,d_pipe,$I$28)</f>
        <v>5.0085616111755371</v>
      </c>
      <c r="E63" s="27">
        <f>[1]!MF_choke_p_atma([1]!encode_feed(E$61,,,,feed),d_choke,$B63,0,T_choke,d_pipe,$I$28)</f>
        <v>5.0344085693359375</v>
      </c>
      <c r="F63" s="27">
        <f>[1]!MF_choke_p_atma([1]!encode_feed(F$61,,,,feed),d_choke,$B63,0,T_choke,d_pipe,$I$28)</f>
        <v>5.1403427124023438</v>
      </c>
      <c r="G63" s="27">
        <f>[1]!MF_choke_p_atma([1]!encode_feed(G$61,,,,feed),d_choke,$B63,0,T_choke,d_pipe,$I$28)</f>
        <v>5.60882568359375</v>
      </c>
      <c r="H63" s="27">
        <f>[1]!MF_choke_p_atma([1]!encode_feed(H$61,,,,feed),d_choke,$B63,0,T_choke,d_pipe,$I$28)</f>
        <v>6.014251708984375</v>
      </c>
      <c r="I63" s="27">
        <f>[1]!MF_choke_p_atma([1]!encode_feed(I$61,,,,feed),d_choke,$B63,0,T_choke,d_pipe,$I$28)</f>
        <v>10.5450439453125</v>
      </c>
      <c r="J63" s="27">
        <f>[1]!MF_choke_p_atma([1]!encode_feed(J$61,,,,feed),d_choke,$B63,0,T_choke,d_pipe,$I$28)</f>
        <v>15.5828857421875</v>
      </c>
      <c r="K63" s="27">
        <f>[1]!MF_choke_p_atma([1]!encode_feed(K$61,,,,feed),d_choke,$B63,0,T_choke,d_pipe,$I$28)</f>
        <v>20.4534912109375</v>
      </c>
      <c r="L63" s="27">
        <f>[1]!MF_choke_p_atma([1]!encode_feed(L$61,,,,feed),d_choke,$B63,0,T_choke,d_pipe,$I$28)</f>
        <v>25.1580810546875</v>
      </c>
      <c r="M63" s="27">
        <f>[1]!MF_choke_p_atma([1]!encode_feed(M$61,,,,feed),d_choke,$B63,0,T_choke,d_pipe,$I$28)</f>
        <v>29.6966552734375</v>
      </c>
      <c r="N63" s="27">
        <f>[1]!MF_choke_p_atma([1]!encode_feed(N$61,,,,feed),d_choke,$B63,0,T_choke,d_pipe,$I$28)</f>
        <v>34.0740966796875</v>
      </c>
      <c r="O63" s="27">
        <f>[1]!MF_choke_p_atma([1]!encode_feed(O$61,,,,feed),d_choke,$B63,0,T_choke,d_pipe,$I$28)</f>
        <v>38.2965087890625</v>
      </c>
      <c r="P63" s="27">
        <f>[1]!MF_choke_p_atma([1]!encode_feed(P$61,,,,feed),d_choke,$B63,0,T_choke,d_pipe,$I$28)</f>
        <v>42.3724365234375</v>
      </c>
      <c r="Q63" s="27">
        <f>[1]!MF_choke_p_atma([1]!encode_feed(Q$61,,,,feed),d_choke,$B63,0,T_choke,d_pipe,$I$28)</f>
        <v>46.3116455078125</v>
      </c>
      <c r="R63" s="27">
        <f>[1]!MF_choke_p_atma([1]!encode_feed(R$61,,,,feed),d_choke,$B63,0,T_choke,d_pipe,$I$28)</f>
        <v>50.1263427734375</v>
      </c>
      <c r="S63" s="27">
        <f>[1]!MF_choke_p_atma([1]!encode_feed(S$61,,,,feed),d_choke,$B63,0,T_choke,d_pipe,$I$28)</f>
        <v>53.8250732421875</v>
      </c>
      <c r="T63" s="27">
        <f>[1]!MF_choke_p_atma([1]!encode_feed(T$61,,,,feed),d_choke,$B63,0,T_choke,d_pipe,$I$28)</f>
        <v>57.4212646484375</v>
      </c>
      <c r="U63" s="27">
        <f>[1]!MF_choke_p_atma([1]!encode_feed(U$61,,,,feed),d_choke,$B63,0,T_choke,d_pipe,$I$28)</f>
        <v>60.9234619140625</v>
      </c>
      <c r="V63" s="27">
        <f>[1]!MF_choke_p_atma([1]!encode_feed(V$61,,,,feed),d_choke,$B63,0,T_choke,d_pipe,$I$28)</f>
        <v>64.3426513671875</v>
      </c>
      <c r="W63" s="27">
        <f>[1]!MF_choke_p_atma([1]!encode_feed(W$61,,,,feed),d_choke,$B63,0,T_choke,d_pipe,$I$28)</f>
        <v>67.6873779296875</v>
      </c>
      <c r="X63" s="27">
        <f>[1]!MF_choke_p_atma([1]!encode_feed(X$61,,,,feed),d_choke,$B63,0,T_choke,d_pipe,$I$28)</f>
        <v>70.9686279296875</v>
      </c>
      <c r="Y63" s="27">
        <f>[1]!MF_choke_p_atma([1]!encode_feed(Y$61,,,,feed),d_choke,$B63,0,T_choke,d_pipe,$I$28)</f>
        <v>74.1925048828125</v>
      </c>
      <c r="Z63" s="27">
        <f>[1]!MF_choke_p_atma([1]!encode_feed(Z$61,,,,feed),d_choke,$B63,0,T_choke,d_pipe,$I$28)</f>
        <v>77.3663330078125</v>
      </c>
      <c r="AA63" s="27">
        <f>[1]!MF_choke_p_atma([1]!encode_feed(AA$61,,,,feed),d_choke,$B63,0,T_choke,d_pipe,$I$28)</f>
        <v>80.4962158203125</v>
      </c>
      <c r="AB63" s="27">
        <f>[1]!MF_choke_p_atma([1]!encode_feed(AB$61,,,,feed),d_choke,$B63,0,T_choke,d_pipe,$I$28)</f>
        <v>83.5906982421875</v>
      </c>
      <c r="AC63" s="27">
        <f>[1]!MF_choke_p_atma([1]!encode_feed(AC$61,,,,feed),d_choke,$B63,0,T_choke,d_pipe,$I$28)</f>
        <v>86.6534423828125</v>
      </c>
      <c r="AD63" s="27">
        <f>[1]!MF_choke_p_atma([1]!encode_feed(AD$61,,,,feed),d_choke,$B63,0,T_choke,d_pipe,$I$28)</f>
        <v>89.6881103515625</v>
      </c>
    </row>
    <row r="64" spans="2:30" x14ac:dyDescent="0.2">
      <c r="B64" s="26">
        <v>10</v>
      </c>
      <c r="C64" s="27">
        <f>[1]!MF_choke_p_atma([1]!encode_feed(C$61,,,,feed),d_choke,$B64,0,T_choke,d_pipe,$I$28)</f>
        <v>10</v>
      </c>
      <c r="D64" s="27">
        <f>[1]!MF_choke_p_atma([1]!encode_feed(D$61,,,,feed),d_choke,$B64,0,T_choke,d_pipe,$I$28)</f>
        <v>10.004180669784546</v>
      </c>
      <c r="E64" s="27">
        <f>[1]!MF_choke_p_atma([1]!encode_feed(E$61,,,,feed),d_choke,$B64,0,T_choke,d_pipe,$I$28)</f>
        <v>10.016741752624512</v>
      </c>
      <c r="F64" s="27">
        <f>[1]!MF_choke_p_atma([1]!encode_feed(F$61,,,,feed),d_choke,$B64,0,T_choke,d_pipe,$I$28)</f>
        <v>10.067253112792969</v>
      </c>
      <c r="G64" s="27">
        <f>[1]!MF_choke_p_atma([1]!encode_feed(G$61,,,,feed),d_choke,$B64,0,T_choke,d_pipe,$I$28)</f>
        <v>10.273971557617188</v>
      </c>
      <c r="H64" s="27">
        <f>[1]!MF_choke_p_atma([1]!encode_feed(H$61,,,,feed),d_choke,$B64,0,T_choke,d_pipe,$I$28)</f>
        <v>10.4339599609375</v>
      </c>
      <c r="I64" s="27">
        <f>[1]!MF_choke_p_atma([1]!encode_feed(I$61,,,,feed),d_choke,$B64,0,T_choke,d_pipe,$I$28)</f>
        <v>11.9549560546875</v>
      </c>
      <c r="J64" s="27">
        <f>[1]!MF_choke_p_atma([1]!encode_feed(J$61,,,,feed),d_choke,$B64,0,T_choke,d_pipe,$I$28)</f>
        <v>15.4571533203125</v>
      </c>
      <c r="K64" s="27">
        <f>[1]!MF_choke_p_atma([1]!encode_feed(K$61,,,,feed),d_choke,$B64,0,T_choke,d_pipe,$I$28)</f>
        <v>20.4534912109375</v>
      </c>
      <c r="L64" s="27">
        <f>[1]!MF_choke_p_atma([1]!encode_feed(L$61,,,,feed),d_choke,$B64,0,T_choke,d_pipe,$I$28)</f>
        <v>25.1580810546875</v>
      </c>
      <c r="M64" s="27">
        <f>[1]!MF_choke_p_atma([1]!encode_feed(M$61,,,,feed),d_choke,$B64,0,T_choke,d_pipe,$I$28)</f>
        <v>29.6966552734375</v>
      </c>
      <c r="N64" s="27">
        <f>[1]!MF_choke_p_atma([1]!encode_feed(N$61,,,,feed),d_choke,$B64,0,T_choke,d_pipe,$I$28)</f>
        <v>34.0740966796875</v>
      </c>
      <c r="O64" s="27">
        <f>[1]!MF_choke_p_atma([1]!encode_feed(O$61,,,,feed),d_choke,$B64,0,T_choke,d_pipe,$I$28)</f>
        <v>38.2965087890625</v>
      </c>
      <c r="P64" s="27">
        <f>[1]!MF_choke_p_atma([1]!encode_feed(P$61,,,,feed),d_choke,$B64,0,T_choke,d_pipe,$I$28)</f>
        <v>42.3724365234375</v>
      </c>
      <c r="Q64" s="27">
        <f>[1]!MF_choke_p_atma([1]!encode_feed(Q$61,,,,feed),d_choke,$B64,0,T_choke,d_pipe,$I$28)</f>
        <v>46.3116455078125</v>
      </c>
      <c r="R64" s="27">
        <f>[1]!MF_choke_p_atma([1]!encode_feed(R$61,,,,feed),d_choke,$B64,0,T_choke,d_pipe,$I$28)</f>
        <v>50.1263427734375</v>
      </c>
      <c r="S64" s="27">
        <f>[1]!MF_choke_p_atma([1]!encode_feed(S$61,,,,feed),d_choke,$B64,0,T_choke,d_pipe,$I$28)</f>
        <v>53.8250732421875</v>
      </c>
      <c r="T64" s="27">
        <f>[1]!MF_choke_p_atma([1]!encode_feed(T$61,,,,feed),d_choke,$B64,0,T_choke,d_pipe,$I$28)</f>
        <v>57.4212646484375</v>
      </c>
      <c r="U64" s="27">
        <f>[1]!MF_choke_p_atma([1]!encode_feed(U$61,,,,feed),d_choke,$B64,0,T_choke,d_pipe,$I$28)</f>
        <v>60.9234619140625</v>
      </c>
      <c r="V64" s="27">
        <f>[1]!MF_choke_p_atma([1]!encode_feed(V$61,,,,feed),d_choke,$B64,0,T_choke,d_pipe,$I$28)</f>
        <v>64.3426513671875</v>
      </c>
      <c r="W64" s="27">
        <f>[1]!MF_choke_p_atma([1]!encode_feed(W$61,,,,feed),d_choke,$B64,0,T_choke,d_pipe,$I$28)</f>
        <v>67.6873779296875</v>
      </c>
      <c r="X64" s="27">
        <f>[1]!MF_choke_p_atma([1]!encode_feed(X$61,,,,feed),d_choke,$B64,0,T_choke,d_pipe,$I$28)</f>
        <v>70.9686279296875</v>
      </c>
      <c r="Y64" s="27">
        <f>[1]!MF_choke_p_atma([1]!encode_feed(Y$61,,,,feed),d_choke,$B64,0,T_choke,d_pipe,$I$28)</f>
        <v>74.1925048828125</v>
      </c>
      <c r="Z64" s="27">
        <f>[1]!MF_choke_p_atma([1]!encode_feed(Z$61,,,,feed),d_choke,$B64,0,T_choke,d_pipe,$I$28)</f>
        <v>77.3663330078125</v>
      </c>
      <c r="AA64" s="27">
        <f>[1]!MF_choke_p_atma([1]!encode_feed(AA$61,,,,feed),d_choke,$B64,0,T_choke,d_pipe,$I$28)</f>
        <v>80.4962158203125</v>
      </c>
      <c r="AB64" s="27">
        <f>[1]!MF_choke_p_atma([1]!encode_feed(AB$61,,,,feed),d_choke,$B64,0,T_choke,d_pipe,$I$28)</f>
        <v>83.5906982421875</v>
      </c>
      <c r="AC64" s="27">
        <f>[1]!MF_choke_p_atma([1]!encode_feed(AC$61,,,,feed),d_choke,$B64,0,T_choke,d_pipe,$I$28)</f>
        <v>86.6534423828125</v>
      </c>
      <c r="AD64" s="27">
        <f>[1]!MF_choke_p_atma([1]!encode_feed(AD$61,,,,feed),d_choke,$B64,0,T_choke,d_pipe,$I$28)</f>
        <v>89.6881103515625</v>
      </c>
    </row>
    <row r="65" spans="2:38" x14ac:dyDescent="0.2">
      <c r="B65" s="26">
        <v>15</v>
      </c>
      <c r="C65" s="27">
        <f>[1]!MF_choke_p_atma([1]!encode_feed(C$61,,,,feed),d_choke,$B65,0,T_choke,d_pipe,$I$28)</f>
        <v>15</v>
      </c>
      <c r="D65" s="27">
        <f>[1]!MF_choke_p_atma([1]!encode_feed(D$61,,,,feed),d_choke,$B65,0,T_choke,d_pipe,$I$28)</f>
        <v>15.002716183662415</v>
      </c>
      <c r="E65" s="27">
        <f>[1]!MF_choke_p_atma([1]!encode_feed(E$61,,,,feed),d_choke,$B65,0,T_choke,d_pipe,$I$28)</f>
        <v>15.010871887207031</v>
      </c>
      <c r="F65" s="27">
        <f>[1]!MF_choke_p_atma([1]!encode_feed(F$61,,,,feed),d_choke,$B65,0,T_choke,d_pipe,$I$28)</f>
        <v>15.043559074401855</v>
      </c>
      <c r="G65" s="27">
        <f>[1]!MF_choke_p_atma([1]!encode_feed(G$61,,,,feed),d_choke,$B65,0,T_choke,d_pipe,$I$28)</f>
        <v>15.175552368164063</v>
      </c>
      <c r="H65" s="27">
        <f>[1]!MF_choke_p_atma([1]!encode_feed(H$61,,,,feed),d_choke,$B65,0,T_choke,d_pipe,$I$28)</f>
        <v>15.275802612304688</v>
      </c>
      <c r="I65" s="27">
        <f>[1]!MF_choke_p_atma([1]!encode_feed(I$61,,,,feed),d_choke,$B65,0,T_choke,d_pipe,$I$28)</f>
        <v>16.155624389648438</v>
      </c>
      <c r="J65" s="27">
        <f>[1]!MF_choke_p_atma([1]!encode_feed(J$61,,,,feed),d_choke,$B65,0,T_choke,d_pipe,$I$28)</f>
        <v>17.81524658203125</v>
      </c>
      <c r="K65" s="27">
        <f>[1]!MF_choke_p_atma([1]!encode_feed(K$61,,,,feed),d_choke,$B65,0,T_choke,d_pipe,$I$28)</f>
        <v>20.61309814453125</v>
      </c>
      <c r="L65" s="27">
        <f>[1]!MF_choke_p_atma([1]!encode_feed(L$61,,,,feed),d_choke,$B65,0,T_choke,d_pipe,$I$28)</f>
        <v>25.15777587890625</v>
      </c>
      <c r="M65" s="27">
        <f>[1]!MF_choke_p_atma([1]!encode_feed(M$61,,,,feed),d_choke,$B65,0,T_choke,d_pipe,$I$28)</f>
        <v>29.69696044921875</v>
      </c>
      <c r="N65" s="27">
        <f>[1]!MF_choke_p_atma([1]!encode_feed(N$61,,,,feed),d_choke,$B65,0,T_choke,d_pipe,$I$28)</f>
        <v>34.07318115234375</v>
      </c>
      <c r="O65" s="27">
        <f>[1]!MF_choke_p_atma([1]!encode_feed(O$61,,,,feed),d_choke,$B65,0,T_choke,d_pipe,$I$28)</f>
        <v>38.29559326171875</v>
      </c>
      <c r="P65" s="27">
        <f>[1]!MF_choke_p_atma([1]!encode_feed(P$61,,,,feed),d_choke,$B65,0,T_choke,d_pipe,$I$28)</f>
        <v>42.37152099609375</v>
      </c>
      <c r="Q65" s="27">
        <f>[1]!MF_choke_p_atma([1]!encode_feed(Q$61,,,,feed),d_choke,$B65,0,T_choke,d_pipe,$I$28)</f>
        <v>46.31195068359375</v>
      </c>
      <c r="R65" s="27">
        <f>[1]!MF_choke_p_atma([1]!encode_feed(R$61,,,,feed),d_choke,$B65,0,T_choke,d_pipe,$I$28)</f>
        <v>50.12603759765625</v>
      </c>
      <c r="S65" s="27">
        <f>[1]!MF_choke_p_atma([1]!encode_feed(S$61,,,,feed),d_choke,$B65,0,T_choke,d_pipe,$I$28)</f>
        <v>53.82476806640625</v>
      </c>
      <c r="T65" s="27">
        <f>[1]!MF_choke_p_atma([1]!encode_feed(T$61,,,,feed),d_choke,$B65,0,T_choke,d_pipe,$I$28)</f>
        <v>57.42095947265625</v>
      </c>
      <c r="U65" s="27">
        <f>[1]!MF_choke_p_atma([1]!encode_feed(U$61,,,,feed),d_choke,$B65,0,T_choke,d_pipe,$I$28)</f>
        <v>60.92376708984375</v>
      </c>
      <c r="V65" s="27">
        <f>[1]!MF_choke_p_atma([1]!encode_feed(V$61,,,,feed),d_choke,$B65,0,T_choke,d_pipe,$I$28)</f>
        <v>64.34234619140625</v>
      </c>
      <c r="W65" s="27">
        <f>[1]!MF_choke_p_atma([1]!encode_feed(W$61,,,,feed),d_choke,$B65,0,T_choke,d_pipe,$I$28)</f>
        <v>67.68768310546875</v>
      </c>
      <c r="X65" s="27">
        <f>[1]!MF_choke_p_atma([1]!encode_feed(X$61,,,,feed),d_choke,$B65,0,T_choke,d_pipe,$I$28)</f>
        <v>70.96893310546875</v>
      </c>
      <c r="Y65" s="27">
        <f>[1]!MF_choke_p_atma([1]!encode_feed(Y$61,,,,feed),d_choke,$B65,0,T_choke,d_pipe,$I$28)</f>
        <v>74.19158935546875</v>
      </c>
      <c r="Z65" s="27">
        <f>[1]!MF_choke_p_atma([1]!encode_feed(Z$61,,,,feed),d_choke,$B65,0,T_choke,d_pipe,$I$28)</f>
        <v>77.36663818359375</v>
      </c>
      <c r="AA65" s="27">
        <f>[1]!MF_choke_p_atma([1]!encode_feed(AA$61,,,,feed),d_choke,$B65,0,T_choke,d_pipe,$I$28)</f>
        <v>80.49591064453125</v>
      </c>
      <c r="AB65" s="27">
        <f>[1]!MF_choke_p_atma([1]!encode_feed(AB$61,,,,feed),d_choke,$B65,0,T_choke,d_pipe,$I$28)</f>
        <v>83.59039306640625</v>
      </c>
      <c r="AC65" s="27">
        <f>[1]!MF_choke_p_atma([1]!encode_feed(AC$61,,,,feed),d_choke,$B65,0,T_choke,d_pipe,$I$28)</f>
        <v>86.65374755859375</v>
      </c>
      <c r="AD65" s="27">
        <f>[1]!MF_choke_p_atma([1]!encode_feed(AD$61,,,,feed),d_choke,$B65,0,T_choke,d_pipe,$I$28)</f>
        <v>89.68780517578125</v>
      </c>
    </row>
    <row r="66" spans="2:38" x14ac:dyDescent="0.2">
      <c r="B66" s="26">
        <v>20</v>
      </c>
      <c r="C66" s="27">
        <f>[1]!MF_choke_p_atma([1]!encode_feed(C$61,,,,feed),d_choke,$B66,0,T_choke,d_pipe,$I$28)</f>
        <v>20</v>
      </c>
      <c r="D66" s="27">
        <f>[1]!MF_choke_p_atma([1]!encode_feed(D$61,,,,feed),d_choke,$B66,0,T_choke,d_pipe,$I$28)</f>
        <v>20.001980662345886</v>
      </c>
      <c r="E66" s="27">
        <f>[1]!MF_choke_p_atma([1]!encode_feed(E$61,,,,feed),d_choke,$B66,0,T_choke,d_pipe,$I$28)</f>
        <v>20.007925033569336</v>
      </c>
      <c r="F66" s="27">
        <f>[1]!MF_choke_p_atma([1]!encode_feed(F$61,,,,feed),d_choke,$B66,0,T_choke,d_pipe,$I$28)</f>
        <v>20.031728744506836</v>
      </c>
      <c r="G66" s="27">
        <f>[1]!MF_choke_p_atma([1]!encode_feed(G$61,,,,feed),d_choke,$B66,0,T_choke,d_pipe,$I$28)</f>
        <v>20.127372741699219</v>
      </c>
      <c r="H66" s="27">
        <f>[1]!MF_choke_p_atma([1]!encode_feed(H$61,,,,feed),d_choke,$B66,0,T_choke,d_pipe,$I$28)</f>
        <v>20.1995849609375</v>
      </c>
      <c r="I66" s="27">
        <f>[1]!MF_choke_p_atma([1]!encode_feed(I$61,,,,feed),d_choke,$B66,0,T_choke,d_pipe,$I$28)</f>
        <v>20.8172607421875</v>
      </c>
      <c r="J66" s="27">
        <f>[1]!MF_choke_p_atma([1]!encode_feed(J$61,,,,feed),d_choke,$B66,0,T_choke,d_pipe,$I$28)</f>
        <v>21.9122314453125</v>
      </c>
      <c r="K66" s="27">
        <f>[1]!MF_choke_p_atma([1]!encode_feed(K$61,,,,feed),d_choke,$B66,0,T_choke,d_pipe,$I$28)</f>
        <v>23.5931396484375</v>
      </c>
      <c r="L66" s="27">
        <f>[1]!MF_choke_p_atma([1]!encode_feed(L$61,,,,feed),d_choke,$B66,0,T_choke,d_pipe,$I$28)</f>
        <v>26.0284423828125</v>
      </c>
      <c r="M66" s="27">
        <f>[1]!MF_choke_p_atma([1]!encode_feed(M$61,,,,feed),d_choke,$B66,0,T_choke,d_pipe,$I$28)</f>
        <v>29.4622802734375</v>
      </c>
      <c r="N66" s="27">
        <f>[1]!MF_choke_p_atma([1]!encode_feed(N$61,,,,feed),d_choke,$B66,0,T_choke,d_pipe,$I$28)</f>
        <v>34.0740966796875</v>
      </c>
      <c r="O66" s="27">
        <f>[1]!MF_choke_p_atma([1]!encode_feed(O$61,,,,feed),d_choke,$B66,0,T_choke,d_pipe,$I$28)</f>
        <v>38.2965087890625</v>
      </c>
      <c r="P66" s="27">
        <f>[1]!MF_choke_p_atma([1]!encode_feed(P$61,,,,feed),d_choke,$B66,0,T_choke,d_pipe,$I$28)</f>
        <v>42.3724365234375</v>
      </c>
      <c r="Q66" s="27">
        <f>[1]!MF_choke_p_atma([1]!encode_feed(Q$61,,,,feed),d_choke,$B66,0,T_choke,d_pipe,$I$28)</f>
        <v>46.3116455078125</v>
      </c>
      <c r="R66" s="27">
        <f>[1]!MF_choke_p_atma([1]!encode_feed(R$61,,,,feed),d_choke,$B66,0,T_choke,d_pipe,$I$28)</f>
        <v>50.1263427734375</v>
      </c>
      <c r="S66" s="27">
        <f>[1]!MF_choke_p_atma([1]!encode_feed(S$61,,,,feed),d_choke,$B66,0,T_choke,d_pipe,$I$28)</f>
        <v>53.8250732421875</v>
      </c>
      <c r="T66" s="27">
        <f>[1]!MF_choke_p_atma([1]!encode_feed(T$61,,,,feed),d_choke,$B66,0,T_choke,d_pipe,$I$28)</f>
        <v>57.4212646484375</v>
      </c>
      <c r="U66" s="27">
        <f>[1]!MF_choke_p_atma([1]!encode_feed(U$61,,,,feed),d_choke,$B66,0,T_choke,d_pipe,$I$28)</f>
        <v>60.9234619140625</v>
      </c>
      <c r="V66" s="27">
        <f>[1]!MF_choke_p_atma([1]!encode_feed(V$61,,,,feed),d_choke,$B66,0,T_choke,d_pipe,$I$28)</f>
        <v>64.3426513671875</v>
      </c>
      <c r="W66" s="27">
        <f>[1]!MF_choke_p_atma([1]!encode_feed(W$61,,,,feed),d_choke,$B66,0,T_choke,d_pipe,$I$28)</f>
        <v>67.6873779296875</v>
      </c>
      <c r="X66" s="27">
        <f>[1]!MF_choke_p_atma([1]!encode_feed(X$61,,,,feed),d_choke,$B66,0,T_choke,d_pipe,$I$28)</f>
        <v>70.9686279296875</v>
      </c>
      <c r="Y66" s="27">
        <f>[1]!MF_choke_p_atma([1]!encode_feed(Y$61,,,,feed),d_choke,$B66,0,T_choke,d_pipe,$I$28)</f>
        <v>74.1925048828125</v>
      </c>
      <c r="Z66" s="27">
        <f>[1]!MF_choke_p_atma([1]!encode_feed(Z$61,,,,feed),d_choke,$B66,0,T_choke,d_pipe,$I$28)</f>
        <v>77.3663330078125</v>
      </c>
      <c r="AA66" s="27">
        <f>[1]!MF_choke_p_atma([1]!encode_feed(AA$61,,,,feed),d_choke,$B66,0,T_choke,d_pipe,$I$28)</f>
        <v>80.4962158203125</v>
      </c>
      <c r="AB66" s="27">
        <f>[1]!MF_choke_p_atma([1]!encode_feed(AB$61,,,,feed),d_choke,$B66,0,T_choke,d_pipe,$I$28)</f>
        <v>83.5906982421875</v>
      </c>
      <c r="AC66" s="27">
        <f>[1]!MF_choke_p_atma([1]!encode_feed(AC$61,,,,feed),d_choke,$B66,0,T_choke,d_pipe,$I$28)</f>
        <v>86.6534423828125</v>
      </c>
      <c r="AD66" s="27">
        <f>[1]!MF_choke_p_atma([1]!encode_feed(AD$61,,,,feed),d_choke,$B66,0,T_choke,d_pipe,$I$28)</f>
        <v>89.6881103515625</v>
      </c>
    </row>
    <row r="67" spans="2:38" x14ac:dyDescent="0.2">
      <c r="B67" s="26">
        <v>30</v>
      </c>
      <c r="C67" s="27">
        <f>[1]!MF_choke_p_atma([1]!encode_feed(C$61,,,,feed),d_choke,$B67,0,T_choke,d_pipe,$I$28)</f>
        <v>30</v>
      </c>
      <c r="D67" s="27">
        <f>[1]!MF_choke_p_atma([1]!encode_feed(D$61,,,,feed),d_choke,$B67,0,T_choke,d_pipe,$I$28)</f>
        <v>30.001239627599716</v>
      </c>
      <c r="E67" s="27">
        <f>[1]!MF_choke_p_atma([1]!encode_feed(E$61,,,,feed),d_choke,$B67,0,T_choke,d_pipe,$I$28)</f>
        <v>30.004958510398865</v>
      </c>
      <c r="F67" s="27">
        <f>[1]!MF_choke_p_atma([1]!encode_feed(F$61,,,,feed),d_choke,$B67,0,T_choke,d_pipe,$I$28)</f>
        <v>30.019841194152832</v>
      </c>
      <c r="G67" s="27">
        <f>[1]!MF_choke_p_atma([1]!encode_feed(G$61,,,,feed),d_choke,$B67,0,T_choke,d_pipe,$I$28)</f>
        <v>30.079450607299805</v>
      </c>
      <c r="H67" s="27">
        <f>[1]!MF_choke_p_atma([1]!encode_feed(H$61,,,,feed),d_choke,$B67,0,T_choke,d_pipe,$I$28)</f>
        <v>30.124282836914063</v>
      </c>
      <c r="I67" s="27">
        <f>[1]!MF_choke_p_atma([1]!encode_feed(I$61,,,,feed),d_choke,$B67,0,T_choke,d_pipe,$I$28)</f>
        <v>30.501136779785156</v>
      </c>
      <c r="J67" s="27">
        <f>[1]!MF_choke_p_atma([1]!encode_feed(J$61,,,,feed),d_choke,$B67,0,T_choke,d_pipe,$I$28)</f>
        <v>31.142807006835938</v>
      </c>
      <c r="K67" s="27">
        <f>[1]!MF_choke_p_atma([1]!encode_feed(K$61,,,,feed),d_choke,$B67,0,T_choke,d_pipe,$I$28)</f>
        <v>32.07000732421875</v>
      </c>
      <c r="L67" s="27">
        <f>[1]!MF_choke_p_atma([1]!encode_feed(L$61,,,,feed),d_choke,$B67,0,T_choke,d_pipe,$I$28)</f>
        <v>33.31146240234375</v>
      </c>
      <c r="M67" s="27">
        <f>[1]!MF_choke_p_atma([1]!encode_feed(M$61,,,,feed),d_choke,$B67,0,T_choke,d_pipe,$I$28)</f>
        <v>34.90631103515625</v>
      </c>
      <c r="N67" s="27">
        <f>[1]!MF_choke_p_atma([1]!encode_feed(N$61,,,,feed),d_choke,$B67,0,T_choke,d_pipe,$I$28)</f>
        <v>36.89849853515625</v>
      </c>
      <c r="O67" s="27">
        <f>[1]!MF_choke_p_atma([1]!encode_feed(O$61,,,,feed),d_choke,$B67,0,T_choke,d_pipe,$I$28)</f>
        <v>39.34295654296875</v>
      </c>
      <c r="P67" s="27">
        <f>[1]!MF_choke_p_atma([1]!encode_feed(P$61,,,,feed),d_choke,$B67,0,T_choke,d_pipe,$I$28)</f>
        <v>42.29278564453125</v>
      </c>
      <c r="Q67" s="27">
        <f>[1]!MF_choke_p_atma([1]!encode_feed(Q$61,,,,feed),d_choke,$B67,0,T_choke,d_pipe,$I$28)</f>
        <v>45.79193115234375</v>
      </c>
      <c r="R67" s="27">
        <f>[1]!MF_choke_p_atma([1]!encode_feed(R$61,,,,feed),d_choke,$B67,0,T_choke,d_pipe,$I$28)</f>
        <v>49.87152099609375</v>
      </c>
      <c r="S67" s="27">
        <f>[1]!MF_choke_p_atma([1]!encode_feed(S$61,,,,feed),d_choke,$B67,0,T_choke,d_pipe,$I$28)</f>
        <v>53.82476806640625</v>
      </c>
      <c r="T67" s="27">
        <f>[1]!MF_choke_p_atma([1]!encode_feed(T$61,,,,feed),d_choke,$B67,0,T_choke,d_pipe,$I$28)</f>
        <v>57.42095947265625</v>
      </c>
      <c r="U67" s="27">
        <f>[1]!MF_choke_p_atma([1]!encode_feed(U$61,,,,feed),d_choke,$B67,0,T_choke,d_pipe,$I$28)</f>
        <v>60.92376708984375</v>
      </c>
      <c r="V67" s="27">
        <f>[1]!MF_choke_p_atma([1]!encode_feed(V$61,,,,feed),d_choke,$B67,0,T_choke,d_pipe,$I$28)</f>
        <v>64.34234619140625</v>
      </c>
      <c r="W67" s="27">
        <f>[1]!MF_choke_p_atma([1]!encode_feed(W$61,,,,feed),d_choke,$B67,0,T_choke,d_pipe,$I$28)</f>
        <v>67.68768310546875</v>
      </c>
      <c r="X67" s="27">
        <f>[1]!MF_choke_p_atma([1]!encode_feed(X$61,,,,feed),d_choke,$B67,0,T_choke,d_pipe,$I$28)</f>
        <v>70.96893310546875</v>
      </c>
      <c r="Y67" s="27">
        <f>[1]!MF_choke_p_atma([1]!encode_feed(Y$61,,,,feed),d_choke,$B67,0,T_choke,d_pipe,$I$28)</f>
        <v>74.19158935546875</v>
      </c>
      <c r="Z67" s="27">
        <f>[1]!MF_choke_p_atma([1]!encode_feed(Z$61,,,,feed),d_choke,$B67,0,T_choke,d_pipe,$I$28)</f>
        <v>77.36663818359375</v>
      </c>
      <c r="AA67" s="27">
        <f>[1]!MF_choke_p_atma([1]!encode_feed(AA$61,,,,feed),d_choke,$B67,0,T_choke,d_pipe,$I$28)</f>
        <v>80.49591064453125</v>
      </c>
      <c r="AB67" s="27">
        <f>[1]!MF_choke_p_atma([1]!encode_feed(AB$61,,,,feed),d_choke,$B67,0,T_choke,d_pipe,$I$28)</f>
        <v>83.59039306640625</v>
      </c>
      <c r="AC67" s="27">
        <f>[1]!MF_choke_p_atma([1]!encode_feed(AC$61,,,,feed),d_choke,$B67,0,T_choke,d_pipe,$I$28)</f>
        <v>86.65374755859375</v>
      </c>
      <c r="AD67" s="27">
        <f>[1]!MF_choke_p_atma([1]!encode_feed(AD$61,,,,feed),d_choke,$B67,0,T_choke,d_pipe,$I$28)</f>
        <v>89.68780517578125</v>
      </c>
    </row>
    <row r="68" spans="2:38" x14ac:dyDescent="0.2">
      <c r="C68" s="3"/>
      <c r="D68" s="3"/>
      <c r="E68" s="4"/>
      <c r="F68" s="5"/>
      <c r="G68" s="5"/>
      <c r="I68" s="3"/>
    </row>
    <row r="69" spans="2:38" x14ac:dyDescent="0.2">
      <c r="C69" s="3"/>
      <c r="D69" s="3"/>
      <c r="E69" s="4"/>
      <c r="F69" s="5"/>
      <c r="G69" s="5"/>
      <c r="I69" s="3"/>
    </row>
    <row r="71" spans="2:38" x14ac:dyDescent="0.2">
      <c r="B71" s="21" t="s">
        <v>38</v>
      </c>
      <c r="C71" s="17" t="e">
        <f ca="1">[1]!MF_q_choke_sm3day(fw_,d_choke,B79,1,d_pipe,T_choke,,PVTstr_)</f>
        <v>#NAME?</v>
      </c>
    </row>
    <row r="72" spans="2:38" x14ac:dyDescent="0.2">
      <c r="C72" s="43" t="s">
        <v>8</v>
      </c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</row>
    <row r="73" spans="2:38" x14ac:dyDescent="0.2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">
      <c r="B74" s="26">
        <v>10</v>
      </c>
      <c r="C74" s="27">
        <f>[1]!MF_choke_p_atma([1]!encode_feed(C$73,,,,feed),d_choke,$B74,1,T_choke,d_pipe,$I$28)</f>
        <v>10</v>
      </c>
      <c r="D74" s="27">
        <f>[1]!MF_choke_p_atma([1]!encode_feed(D$73,,,,feed),d_choke,$B74,1,T_choke,d_pipe,$I$28)</f>
        <v>8.7939453125</v>
      </c>
      <c r="E74" s="27">
        <f>[1]!MF_choke_p_atma([1]!encode_feed(E$73,,,,feed),d_choke,$B74,1,T_choke,d_pipe,$I$28)</f>
        <v>-1</v>
      </c>
      <c r="F74" s="27">
        <f>[1]!MF_choke_p_atma([1]!encode_feed(F$73,,,,feed),d_choke,$B74,1,T_choke,d_pipe,$I$28)</f>
        <v>-1</v>
      </c>
      <c r="G74" s="27">
        <f>[1]!MF_choke_p_atma([1]!encode_feed(G$73,,,,feed),d_choke,$B74,1,T_choke,d_pipe,$I$28)</f>
        <v>-1</v>
      </c>
      <c r="H74" s="27">
        <f>[1]!MF_choke_p_atma([1]!encode_feed(H$73,,,,feed),d_choke,$B74,1,T_choke,d_pipe,$I$28)</f>
        <v>-1</v>
      </c>
      <c r="I74" s="27">
        <f>[1]!MF_choke_p_atma([1]!encode_feed(I$73,,,,feed),d_choke,$B74,1,T_choke,d_pipe,$I$28)</f>
        <v>-1</v>
      </c>
      <c r="J74" s="27">
        <f>[1]!MF_choke_p_atma([1]!encode_feed(J$73,,,,feed),d_choke,$B74,1,T_choke,d_pipe,$I$28)</f>
        <v>-1</v>
      </c>
      <c r="K74" s="27">
        <f>[1]!MF_choke_p_atma([1]!encode_feed(K$73,,,,feed),d_choke,$B74,1,T_choke,d_pipe,$I$28)</f>
        <v>-1</v>
      </c>
      <c r="L74" s="27">
        <f>[1]!MF_choke_p_atma([1]!encode_feed(L$73,,,,feed),d_choke,$B74,1,T_choke,d_pipe,$I$28)</f>
        <v>-1</v>
      </c>
      <c r="M74" s="27">
        <f>[1]!MF_choke_p_atma([1]!encode_feed(M$73,,,,feed),d_choke,$B74,1,T_choke,d_pipe,$I$28)</f>
        <v>-1</v>
      </c>
      <c r="N74" s="27">
        <f>[1]!MF_choke_p_atma([1]!encode_feed(N$73,,,,feed),d_choke,$B74,1,T_choke,d_pipe,$I$28)</f>
        <v>-1</v>
      </c>
      <c r="O74" s="27">
        <f>[1]!MF_choke_p_atma([1]!encode_feed(O$73,,,,feed),d_choke,$B74,1,T_choke,d_pipe,$I$28)</f>
        <v>-1</v>
      </c>
      <c r="P74" s="27">
        <f>[1]!MF_choke_p_atma([1]!encode_feed(P$73,,,,feed),d_choke,$B74,1,T_choke,d_pipe,$I$28)</f>
        <v>-1</v>
      </c>
      <c r="Q74" s="27">
        <f>[1]!MF_choke_p_atma([1]!encode_feed(Q$73,,,,feed),d_choke,$B74,1,T_choke,d_pipe,$I$28)</f>
        <v>-1</v>
      </c>
      <c r="R74" s="27">
        <f>[1]!MF_choke_p_atma([1]!encode_feed(R$73,,,,feed),d_choke,$B74,1,T_choke,d_pipe,$I$28)</f>
        <v>-1</v>
      </c>
      <c r="S74" s="27">
        <f>[1]!MF_choke_p_atma([1]!encode_feed(S$73,,,,feed),d_choke,$B74,1,T_choke,d_pipe,$I$28)</f>
        <v>-1</v>
      </c>
      <c r="T74" s="27">
        <f>[1]!MF_choke_p_atma([1]!encode_feed(T$73,,,,feed),d_choke,$B74,1,T_choke,d_pipe,$I$28)</f>
        <v>-1</v>
      </c>
      <c r="U74" s="27">
        <f>[1]!MF_choke_p_atma([1]!encode_feed(U$73,,,,feed),d_choke,$B74,1,T_choke,d_pipe,$I$28)</f>
        <v>-1</v>
      </c>
      <c r="V74" s="27">
        <f>[1]!MF_choke_p_atma([1]!encode_feed(V$73,,,,feed),d_choke,$B74,1,T_choke,d_pipe,$I$28)</f>
        <v>-1</v>
      </c>
      <c r="W74" s="27">
        <f>[1]!MF_choke_p_atma([1]!encode_feed(W$73,,,,feed),d_choke,$B74,1,T_choke,d_pipe,$I$28)</f>
        <v>-1</v>
      </c>
      <c r="X74" s="27">
        <f>[1]!MF_choke_p_atma([1]!encode_feed(X$73,,,,feed),d_choke,$B74,1,T_choke,d_pipe,$I$28)</f>
        <v>-1</v>
      </c>
      <c r="Y74" s="27">
        <f>[1]!MF_choke_p_atma([1]!encode_feed(Y$73,,,,feed),d_choke,$B74,1,T_choke,d_pipe,$I$28)</f>
        <v>-1</v>
      </c>
      <c r="Z74" s="27">
        <f>[1]!MF_choke_p_atma([1]!encode_feed(Z$73,,,,feed),d_choke,$B74,1,T_choke,d_pipe,$I$28)</f>
        <v>-1</v>
      </c>
      <c r="AA74" s="27">
        <f>[1]!MF_choke_p_atma([1]!encode_feed(AA$73,,,,feed),d_choke,$B74,1,T_choke,d_pipe,$I$28)</f>
        <v>-1</v>
      </c>
      <c r="AB74" s="27">
        <f>[1]!MF_choke_p_atma([1]!encode_feed(AB$73,,,,feed),d_choke,$B74,1,T_choke,d_pipe,$I$28)</f>
        <v>-1</v>
      </c>
      <c r="AC74" s="27">
        <f>[1]!MF_choke_p_atma([1]!encode_feed(AC$73,,,,feed),d_choke,$B74,1,T_choke,d_pipe,$I$28)</f>
        <v>-1</v>
      </c>
      <c r="AD74" s="27">
        <f>[1]!MF_choke_p_atma([1]!encode_feed(AD$73,,,,feed),d_choke,$B74,1,T_choke,d_pipe,$I$28)</f>
        <v>-1</v>
      </c>
      <c r="AE74" s="27">
        <f>[1]!MF_choke_p_atma([1]!encode_feed(AE$73,,,,feed),d_choke,$B74,1,T_choke,d_pipe,$I$28)</f>
        <v>-1</v>
      </c>
      <c r="AF74" s="27">
        <f>[1]!MF_choke_p_atma([1]!encode_feed(AF$73,,,,feed),d_choke,$B74,1,T_choke,d_pipe,$I$28)</f>
        <v>-1</v>
      </c>
      <c r="AG74" s="27">
        <f>[1]!MF_choke_p_atma([1]!encode_feed(AG$73,,,,feed),d_choke,$B74,1,T_choke,d_pipe,$I$28)</f>
        <v>-1</v>
      </c>
      <c r="AH74" s="27">
        <f>[1]!MF_choke_p_atma([1]!encode_feed(AH$73,,,,feed),d_choke,$B74,1,T_choke,d_pipe,$I$28)</f>
        <v>-1</v>
      </c>
      <c r="AI74" s="27">
        <f>[1]!MF_choke_p_atma([1]!encode_feed(AI$73,,,,feed),d_choke,$B74,1,T_choke,d_pipe,$I$28)</f>
        <v>-1</v>
      </c>
      <c r="AJ74" s="27">
        <f>[1]!MF_choke_p_atma([1]!encode_feed(AJ$73,,,,feed),d_choke,$B74,1,T_choke,d_pipe,$I$28)</f>
        <v>-1</v>
      </c>
      <c r="AK74" s="27">
        <f>[1]!MF_choke_p_atma([1]!encode_feed(AK$73,,,,feed),d_choke,$B74,1,T_choke,d_pipe,$I$28)</f>
        <v>-1</v>
      </c>
      <c r="AL74" s="27">
        <f>[1]!MF_choke_p_atma([1]!encode_feed(AL$73,,,,feed),d_choke,$B74,1,T_choke,d_pipe,$I$28)</f>
        <v>-1</v>
      </c>
    </row>
    <row r="75" spans="2:38" x14ac:dyDescent="0.2">
      <c r="B75" s="26">
        <v>15</v>
      </c>
      <c r="C75" s="27">
        <f>[1]!MF_choke_p_atma([1]!encode_feed(C$73,,,,feed),d_choke,$B75,1,T_choke,d_pipe,$I$28)</f>
        <v>15</v>
      </c>
      <c r="D75" s="27">
        <f>[1]!MF_choke_p_atma([1]!encode_feed(D$73,,,,feed),d_choke,$B75,1,T_choke,d_pipe,$I$28)</f>
        <v>14.333267211914063</v>
      </c>
      <c r="E75" s="27">
        <f>[1]!MF_choke_p_atma([1]!encode_feed(E$73,,,,feed),d_choke,$B75,1,T_choke,d_pipe,$I$28)</f>
        <v>11.3818359375</v>
      </c>
      <c r="F75" s="27">
        <f>[1]!MF_choke_p_atma([1]!encode_feed(F$73,,,,feed),d_choke,$B75,1,T_choke,d_pipe,$I$28)</f>
        <v>-1</v>
      </c>
      <c r="G75" s="27">
        <f>[1]!MF_choke_p_atma([1]!encode_feed(G$73,,,,feed),d_choke,$B75,1,T_choke,d_pipe,$I$28)</f>
        <v>-1</v>
      </c>
      <c r="H75" s="27">
        <f>[1]!MF_choke_p_atma([1]!encode_feed(H$73,,,,feed),d_choke,$B75,1,T_choke,d_pipe,$I$28)</f>
        <v>-1</v>
      </c>
      <c r="I75" s="27">
        <f>[1]!MF_choke_p_atma([1]!encode_feed(I$73,,,,feed),d_choke,$B75,1,T_choke,d_pipe,$I$28)</f>
        <v>-1</v>
      </c>
      <c r="J75" s="27">
        <f>[1]!MF_choke_p_atma([1]!encode_feed(J$73,,,,feed),d_choke,$B75,1,T_choke,d_pipe,$I$28)</f>
        <v>-1</v>
      </c>
      <c r="K75" s="27">
        <f>[1]!MF_choke_p_atma([1]!encode_feed(K$73,,,,feed),d_choke,$B75,1,T_choke,d_pipe,$I$28)</f>
        <v>-1</v>
      </c>
      <c r="L75" s="27">
        <f>[1]!MF_choke_p_atma([1]!encode_feed(L$73,,,,feed),d_choke,$B75,1,T_choke,d_pipe,$I$28)</f>
        <v>-1</v>
      </c>
      <c r="M75" s="27">
        <f>[1]!MF_choke_p_atma([1]!encode_feed(M$73,,,,feed),d_choke,$B75,1,T_choke,d_pipe,$I$28)</f>
        <v>-1</v>
      </c>
      <c r="N75" s="27">
        <f>[1]!MF_choke_p_atma([1]!encode_feed(N$73,,,,feed),d_choke,$B75,1,T_choke,d_pipe,$I$28)</f>
        <v>-1</v>
      </c>
      <c r="O75" s="27">
        <f>[1]!MF_choke_p_atma([1]!encode_feed(O$73,,,,feed),d_choke,$B75,1,T_choke,d_pipe,$I$28)</f>
        <v>-1</v>
      </c>
      <c r="P75" s="27">
        <f>[1]!MF_choke_p_atma([1]!encode_feed(P$73,,,,feed),d_choke,$B75,1,T_choke,d_pipe,$I$28)</f>
        <v>-1</v>
      </c>
      <c r="Q75" s="27">
        <f>[1]!MF_choke_p_atma([1]!encode_feed(Q$73,,,,feed),d_choke,$B75,1,T_choke,d_pipe,$I$28)</f>
        <v>-1</v>
      </c>
      <c r="R75" s="27">
        <f>[1]!MF_choke_p_atma([1]!encode_feed(R$73,,,,feed),d_choke,$B75,1,T_choke,d_pipe,$I$28)</f>
        <v>-1</v>
      </c>
      <c r="S75" s="27">
        <f>[1]!MF_choke_p_atma([1]!encode_feed(S$73,,,,feed),d_choke,$B75,1,T_choke,d_pipe,$I$28)</f>
        <v>-1</v>
      </c>
      <c r="T75" s="27">
        <f>[1]!MF_choke_p_atma([1]!encode_feed(T$73,,,,feed),d_choke,$B75,1,T_choke,d_pipe,$I$28)</f>
        <v>-1</v>
      </c>
      <c r="U75" s="27">
        <f>[1]!MF_choke_p_atma([1]!encode_feed(U$73,,,,feed),d_choke,$B75,1,T_choke,d_pipe,$I$28)</f>
        <v>-1</v>
      </c>
      <c r="V75" s="27">
        <f>[1]!MF_choke_p_atma([1]!encode_feed(V$73,,,,feed),d_choke,$B75,1,T_choke,d_pipe,$I$28)</f>
        <v>-1</v>
      </c>
      <c r="W75" s="27">
        <f>[1]!MF_choke_p_atma([1]!encode_feed(W$73,,,,feed),d_choke,$B75,1,T_choke,d_pipe,$I$28)</f>
        <v>-1</v>
      </c>
      <c r="X75" s="27">
        <f>[1]!MF_choke_p_atma([1]!encode_feed(X$73,,,,feed),d_choke,$B75,1,T_choke,d_pipe,$I$28)</f>
        <v>-1</v>
      </c>
      <c r="Y75" s="27">
        <f>[1]!MF_choke_p_atma([1]!encode_feed(Y$73,,,,feed),d_choke,$B75,1,T_choke,d_pipe,$I$28)</f>
        <v>-1</v>
      </c>
      <c r="Z75" s="27">
        <f>[1]!MF_choke_p_atma([1]!encode_feed(Z$73,,,,feed),d_choke,$B75,1,T_choke,d_pipe,$I$28)</f>
        <v>-1</v>
      </c>
      <c r="AA75" s="27">
        <f>[1]!MF_choke_p_atma([1]!encode_feed(AA$73,,,,feed),d_choke,$B75,1,T_choke,d_pipe,$I$28)</f>
        <v>-1</v>
      </c>
      <c r="AB75" s="27">
        <f>[1]!MF_choke_p_atma([1]!encode_feed(AB$73,,,,feed),d_choke,$B75,1,T_choke,d_pipe,$I$28)</f>
        <v>-1</v>
      </c>
      <c r="AC75" s="27">
        <f>[1]!MF_choke_p_atma([1]!encode_feed(AC$73,,,,feed),d_choke,$B75,1,T_choke,d_pipe,$I$28)</f>
        <v>-1</v>
      </c>
      <c r="AD75" s="27">
        <f>[1]!MF_choke_p_atma([1]!encode_feed(AD$73,,,,feed),d_choke,$B75,1,T_choke,d_pipe,$I$28)</f>
        <v>-1</v>
      </c>
      <c r="AE75" s="27">
        <f>[1]!MF_choke_p_atma([1]!encode_feed(AE$73,,,,feed),d_choke,$B75,1,T_choke,d_pipe,$I$28)</f>
        <v>-1</v>
      </c>
      <c r="AF75" s="27">
        <f>[1]!MF_choke_p_atma([1]!encode_feed(AF$73,,,,feed),d_choke,$B75,1,T_choke,d_pipe,$I$28)</f>
        <v>-1</v>
      </c>
      <c r="AG75" s="27">
        <f>[1]!MF_choke_p_atma([1]!encode_feed(AG$73,,,,feed),d_choke,$B75,1,T_choke,d_pipe,$I$28)</f>
        <v>-1</v>
      </c>
      <c r="AH75" s="27">
        <f>[1]!MF_choke_p_atma([1]!encode_feed(AH$73,,,,feed),d_choke,$B75,1,T_choke,d_pipe,$I$28)</f>
        <v>-1</v>
      </c>
      <c r="AI75" s="27">
        <f>[1]!MF_choke_p_atma([1]!encode_feed(AI$73,,,,feed),d_choke,$B75,1,T_choke,d_pipe,$I$28)</f>
        <v>-1</v>
      </c>
      <c r="AJ75" s="27">
        <f>[1]!MF_choke_p_atma([1]!encode_feed(AJ$73,,,,feed),d_choke,$B75,1,T_choke,d_pipe,$I$28)</f>
        <v>-1</v>
      </c>
      <c r="AK75" s="27">
        <f>[1]!MF_choke_p_atma([1]!encode_feed(AK$73,,,,feed),d_choke,$B75,1,T_choke,d_pipe,$I$28)</f>
        <v>-1</v>
      </c>
      <c r="AL75" s="27">
        <f>[1]!MF_choke_p_atma([1]!encode_feed(AL$73,,,,feed),d_choke,$B75,1,T_choke,d_pipe,$I$28)</f>
        <v>-1</v>
      </c>
    </row>
    <row r="76" spans="2:38" x14ac:dyDescent="0.2">
      <c r="B76" s="26">
        <v>20</v>
      </c>
      <c r="C76" s="27">
        <f>[1]!MF_choke_p_atma([1]!encode_feed(C$73,,,,feed),d_choke,$B76,1,T_choke,d_pipe,$I$28)</f>
        <v>20</v>
      </c>
      <c r="D76" s="27">
        <f>[1]!MF_choke_p_atma([1]!encode_feed(D$73,,,,feed),d_choke,$B76,1,T_choke,d_pipe,$I$28)</f>
        <v>19.53399658203125</v>
      </c>
      <c r="E76" s="27">
        <f>[1]!MF_choke_p_atma([1]!encode_feed(E$73,,,,feed),d_choke,$B76,1,T_choke,d_pipe,$I$28)</f>
        <v>18.128662109375</v>
      </c>
      <c r="F76" s="27">
        <f>[1]!MF_choke_p_atma([1]!encode_feed(F$73,,,,feed),d_choke,$B76,1,T_choke,d_pipe,$I$28)</f>
        <v>16.50146484375</v>
      </c>
      <c r="G76" s="27">
        <f>[1]!MF_choke_p_atma([1]!encode_feed(G$73,,,,feed),d_choke,$B76,1,T_choke,d_pipe,$I$28)</f>
        <v>-1</v>
      </c>
      <c r="H76" s="27">
        <f>[1]!MF_choke_p_atma([1]!encode_feed(H$73,,,,feed),d_choke,$B76,1,T_choke,d_pipe,$I$28)</f>
        <v>-1</v>
      </c>
      <c r="I76" s="27">
        <f>[1]!MF_choke_p_atma([1]!encode_feed(I$73,,,,feed),d_choke,$B76,1,T_choke,d_pipe,$I$28)</f>
        <v>-1</v>
      </c>
      <c r="J76" s="27">
        <f>[1]!MF_choke_p_atma([1]!encode_feed(J$73,,,,feed),d_choke,$B76,1,T_choke,d_pipe,$I$28)</f>
        <v>-1</v>
      </c>
      <c r="K76" s="27">
        <f>[1]!MF_choke_p_atma([1]!encode_feed(K$73,,,,feed),d_choke,$B76,1,T_choke,d_pipe,$I$28)</f>
        <v>-1</v>
      </c>
      <c r="L76" s="27">
        <f>[1]!MF_choke_p_atma([1]!encode_feed(L$73,,,,feed),d_choke,$B76,1,T_choke,d_pipe,$I$28)</f>
        <v>-1</v>
      </c>
      <c r="M76" s="27">
        <f>[1]!MF_choke_p_atma([1]!encode_feed(M$73,,,,feed),d_choke,$B76,1,T_choke,d_pipe,$I$28)</f>
        <v>-1</v>
      </c>
      <c r="N76" s="27">
        <f>[1]!MF_choke_p_atma([1]!encode_feed(N$73,,,,feed),d_choke,$B76,1,T_choke,d_pipe,$I$28)</f>
        <v>-1</v>
      </c>
      <c r="O76" s="27">
        <f>[1]!MF_choke_p_atma([1]!encode_feed(O$73,,,,feed),d_choke,$B76,1,T_choke,d_pipe,$I$28)</f>
        <v>-1</v>
      </c>
      <c r="P76" s="27">
        <f>[1]!MF_choke_p_atma([1]!encode_feed(P$73,,,,feed),d_choke,$B76,1,T_choke,d_pipe,$I$28)</f>
        <v>-1</v>
      </c>
      <c r="Q76" s="27">
        <f>[1]!MF_choke_p_atma([1]!encode_feed(Q$73,,,,feed),d_choke,$B76,1,T_choke,d_pipe,$I$28)</f>
        <v>-1</v>
      </c>
      <c r="R76" s="27">
        <f>[1]!MF_choke_p_atma([1]!encode_feed(R$73,,,,feed),d_choke,$B76,1,T_choke,d_pipe,$I$28)</f>
        <v>-1</v>
      </c>
      <c r="S76" s="27">
        <f>[1]!MF_choke_p_atma([1]!encode_feed(S$73,,,,feed),d_choke,$B76,1,T_choke,d_pipe,$I$28)</f>
        <v>-1</v>
      </c>
      <c r="T76" s="27">
        <f>[1]!MF_choke_p_atma([1]!encode_feed(T$73,,,,feed),d_choke,$B76,1,T_choke,d_pipe,$I$28)</f>
        <v>-1</v>
      </c>
      <c r="U76" s="27">
        <f>[1]!MF_choke_p_atma([1]!encode_feed(U$73,,,,feed),d_choke,$B76,1,T_choke,d_pipe,$I$28)</f>
        <v>-1</v>
      </c>
      <c r="V76" s="27">
        <f>[1]!MF_choke_p_atma([1]!encode_feed(V$73,,,,feed),d_choke,$B76,1,T_choke,d_pipe,$I$28)</f>
        <v>-1</v>
      </c>
      <c r="W76" s="27">
        <f>[1]!MF_choke_p_atma([1]!encode_feed(W$73,,,,feed),d_choke,$B76,1,T_choke,d_pipe,$I$28)</f>
        <v>-1</v>
      </c>
      <c r="X76" s="27">
        <f>[1]!MF_choke_p_atma([1]!encode_feed(X$73,,,,feed),d_choke,$B76,1,T_choke,d_pipe,$I$28)</f>
        <v>-1</v>
      </c>
      <c r="Y76" s="27">
        <f>[1]!MF_choke_p_atma([1]!encode_feed(Y$73,,,,feed),d_choke,$B76,1,T_choke,d_pipe,$I$28)</f>
        <v>-1</v>
      </c>
      <c r="Z76" s="27">
        <f>[1]!MF_choke_p_atma([1]!encode_feed(Z$73,,,,feed),d_choke,$B76,1,T_choke,d_pipe,$I$28)</f>
        <v>-1</v>
      </c>
      <c r="AA76" s="27">
        <f>[1]!MF_choke_p_atma([1]!encode_feed(AA$73,,,,feed),d_choke,$B76,1,T_choke,d_pipe,$I$28)</f>
        <v>-1</v>
      </c>
      <c r="AB76" s="27">
        <f>[1]!MF_choke_p_atma([1]!encode_feed(AB$73,,,,feed),d_choke,$B76,1,T_choke,d_pipe,$I$28)</f>
        <v>-1</v>
      </c>
      <c r="AC76" s="27">
        <f>[1]!MF_choke_p_atma([1]!encode_feed(AC$73,,,,feed),d_choke,$B76,1,T_choke,d_pipe,$I$28)</f>
        <v>-1</v>
      </c>
      <c r="AD76" s="27">
        <f>[1]!MF_choke_p_atma([1]!encode_feed(AD$73,,,,feed),d_choke,$B76,1,T_choke,d_pipe,$I$28)</f>
        <v>-1</v>
      </c>
      <c r="AE76" s="27">
        <f>[1]!MF_choke_p_atma([1]!encode_feed(AE$73,,,,feed),d_choke,$B76,1,T_choke,d_pipe,$I$28)</f>
        <v>-1</v>
      </c>
      <c r="AF76" s="27">
        <f>[1]!MF_choke_p_atma([1]!encode_feed(AF$73,,,,feed),d_choke,$B76,1,T_choke,d_pipe,$I$28)</f>
        <v>-1</v>
      </c>
      <c r="AG76" s="27">
        <f>[1]!MF_choke_p_atma([1]!encode_feed(AG$73,,,,feed),d_choke,$B76,1,T_choke,d_pipe,$I$28)</f>
        <v>-1</v>
      </c>
      <c r="AH76" s="27">
        <f>[1]!MF_choke_p_atma([1]!encode_feed(AH$73,,,,feed),d_choke,$B76,1,T_choke,d_pipe,$I$28)</f>
        <v>-1</v>
      </c>
      <c r="AI76" s="27">
        <f>[1]!MF_choke_p_atma([1]!encode_feed(AI$73,,,,feed),d_choke,$B76,1,T_choke,d_pipe,$I$28)</f>
        <v>-1</v>
      </c>
      <c r="AJ76" s="27">
        <f>[1]!MF_choke_p_atma([1]!encode_feed(AJ$73,,,,feed),d_choke,$B76,1,T_choke,d_pipe,$I$28)</f>
        <v>-1</v>
      </c>
      <c r="AK76" s="27">
        <f>[1]!MF_choke_p_atma([1]!encode_feed(AK$73,,,,feed),d_choke,$B76,1,T_choke,d_pipe,$I$28)</f>
        <v>-1</v>
      </c>
      <c r="AL76" s="27">
        <f>[1]!MF_choke_p_atma([1]!encode_feed(AL$73,,,,feed),d_choke,$B76,1,T_choke,d_pipe,$I$28)</f>
        <v>-1</v>
      </c>
    </row>
    <row r="77" spans="2:38" x14ac:dyDescent="0.2">
      <c r="B77" s="26">
        <v>25</v>
      </c>
      <c r="C77" s="27">
        <f>[1]!MF_choke_p_atma([1]!encode_feed(C$73,,,,feed),d_choke,$B77,1,T_choke,d_pipe,$I$28)</f>
        <v>25</v>
      </c>
      <c r="D77" s="27">
        <f>[1]!MF_choke_p_atma([1]!encode_feed(D$73,,,,feed),d_choke,$B77,1,T_choke,d_pipe,$I$28)</f>
        <v>24.644851684570313</v>
      </c>
      <c r="E77" s="27">
        <f>[1]!MF_choke_p_atma([1]!encode_feed(E$73,,,,feed),d_choke,$B77,1,T_choke,d_pipe,$I$28)</f>
        <v>23.664093017578125</v>
      </c>
      <c r="F77" s="27">
        <f>[1]!MF_choke_p_atma([1]!encode_feed(F$73,,,,feed),d_choke,$B77,1,T_choke,d_pipe,$I$28)</f>
        <v>22.75238037109375</v>
      </c>
      <c r="G77" s="27">
        <f>[1]!MF_choke_p_atma([1]!encode_feed(G$73,,,,feed),d_choke,$B77,1,T_choke,d_pipe,$I$28)</f>
        <v>21.8231201171875</v>
      </c>
      <c r="H77" s="27">
        <f>[1]!MF_choke_p_atma([1]!encode_feed(H$73,,,,feed),d_choke,$B77,1,T_choke,d_pipe,$I$28)</f>
        <v>21.08001708984375</v>
      </c>
      <c r="I77" s="27">
        <f>[1]!MF_choke_p_atma([1]!encode_feed(I$73,,,,feed),d_choke,$B77,1,T_choke,d_pipe,$I$28)</f>
        <v>20.79620361328125</v>
      </c>
      <c r="J77" s="27">
        <f>[1]!MF_choke_p_atma([1]!encode_feed(J$73,,,,feed),d_choke,$B77,1,T_choke,d_pipe,$I$28)</f>
        <v>20.78399658203125</v>
      </c>
      <c r="K77" s="27">
        <f>[1]!MF_choke_p_atma([1]!encode_feed(K$73,,,,feed),d_choke,$B77,1,T_choke,d_pipe,$I$28)</f>
        <v>-1</v>
      </c>
      <c r="L77" s="27">
        <f>[1]!MF_choke_p_atma([1]!encode_feed(L$73,,,,feed),d_choke,$B77,1,T_choke,d_pipe,$I$28)</f>
        <v>-1</v>
      </c>
      <c r="M77" s="27">
        <f>[1]!MF_choke_p_atma([1]!encode_feed(M$73,,,,feed),d_choke,$B77,1,T_choke,d_pipe,$I$28)</f>
        <v>-1</v>
      </c>
      <c r="N77" s="27">
        <f>[1]!MF_choke_p_atma([1]!encode_feed(N$73,,,,feed),d_choke,$B77,1,T_choke,d_pipe,$I$28)</f>
        <v>-1</v>
      </c>
      <c r="O77" s="27">
        <f>[1]!MF_choke_p_atma([1]!encode_feed(O$73,,,,feed),d_choke,$B77,1,T_choke,d_pipe,$I$28)</f>
        <v>-1</v>
      </c>
      <c r="P77" s="27">
        <f>[1]!MF_choke_p_atma([1]!encode_feed(P$73,,,,feed),d_choke,$B77,1,T_choke,d_pipe,$I$28)</f>
        <v>-1</v>
      </c>
      <c r="Q77" s="27">
        <f>[1]!MF_choke_p_atma([1]!encode_feed(Q$73,,,,feed),d_choke,$B77,1,T_choke,d_pipe,$I$28)</f>
        <v>-1</v>
      </c>
      <c r="R77" s="27">
        <f>[1]!MF_choke_p_atma([1]!encode_feed(R$73,,,,feed),d_choke,$B77,1,T_choke,d_pipe,$I$28)</f>
        <v>-1</v>
      </c>
      <c r="S77" s="27">
        <f>[1]!MF_choke_p_atma([1]!encode_feed(S$73,,,,feed),d_choke,$B77,1,T_choke,d_pipe,$I$28)</f>
        <v>-1</v>
      </c>
      <c r="T77" s="27">
        <f>[1]!MF_choke_p_atma([1]!encode_feed(T$73,,,,feed),d_choke,$B77,1,T_choke,d_pipe,$I$28)</f>
        <v>-1</v>
      </c>
      <c r="U77" s="27">
        <f>[1]!MF_choke_p_atma([1]!encode_feed(U$73,,,,feed),d_choke,$B77,1,T_choke,d_pipe,$I$28)</f>
        <v>-1</v>
      </c>
      <c r="V77" s="27">
        <f>[1]!MF_choke_p_atma([1]!encode_feed(V$73,,,,feed),d_choke,$B77,1,T_choke,d_pipe,$I$28)</f>
        <v>-1</v>
      </c>
      <c r="W77" s="27">
        <f>[1]!MF_choke_p_atma([1]!encode_feed(W$73,,,,feed),d_choke,$B77,1,T_choke,d_pipe,$I$28)</f>
        <v>-1</v>
      </c>
      <c r="X77" s="27">
        <f>[1]!MF_choke_p_atma([1]!encode_feed(X$73,,,,feed),d_choke,$B77,1,T_choke,d_pipe,$I$28)</f>
        <v>-1</v>
      </c>
      <c r="Y77" s="27">
        <f>[1]!MF_choke_p_atma([1]!encode_feed(Y$73,,,,feed),d_choke,$B77,1,T_choke,d_pipe,$I$28)</f>
        <v>-1</v>
      </c>
      <c r="Z77" s="27">
        <f>[1]!MF_choke_p_atma([1]!encode_feed(Z$73,,,,feed),d_choke,$B77,1,T_choke,d_pipe,$I$28)</f>
        <v>-1</v>
      </c>
      <c r="AA77" s="27">
        <f>[1]!MF_choke_p_atma([1]!encode_feed(AA$73,,,,feed),d_choke,$B77,1,T_choke,d_pipe,$I$28)</f>
        <v>-1</v>
      </c>
      <c r="AB77" s="27">
        <f>[1]!MF_choke_p_atma([1]!encode_feed(AB$73,,,,feed),d_choke,$B77,1,T_choke,d_pipe,$I$28)</f>
        <v>-1</v>
      </c>
      <c r="AC77" s="27">
        <f>[1]!MF_choke_p_atma([1]!encode_feed(AC$73,,,,feed),d_choke,$B77,1,T_choke,d_pipe,$I$28)</f>
        <v>-1</v>
      </c>
      <c r="AD77" s="27">
        <f>[1]!MF_choke_p_atma([1]!encode_feed(AD$73,,,,feed),d_choke,$B77,1,T_choke,d_pipe,$I$28)</f>
        <v>-1</v>
      </c>
      <c r="AE77" s="27">
        <f>[1]!MF_choke_p_atma([1]!encode_feed(AE$73,,,,feed),d_choke,$B77,1,T_choke,d_pipe,$I$28)</f>
        <v>-1</v>
      </c>
      <c r="AF77" s="27">
        <f>[1]!MF_choke_p_atma([1]!encode_feed(AF$73,,,,feed),d_choke,$B77,1,T_choke,d_pipe,$I$28)</f>
        <v>-1</v>
      </c>
      <c r="AG77" s="27">
        <f>[1]!MF_choke_p_atma([1]!encode_feed(AG$73,,,,feed),d_choke,$B77,1,T_choke,d_pipe,$I$28)</f>
        <v>-1</v>
      </c>
      <c r="AH77" s="27">
        <f>[1]!MF_choke_p_atma([1]!encode_feed(AH$73,,,,feed),d_choke,$B77,1,T_choke,d_pipe,$I$28)</f>
        <v>-1</v>
      </c>
      <c r="AI77" s="27">
        <f>[1]!MF_choke_p_atma([1]!encode_feed(AI$73,,,,feed),d_choke,$B77,1,T_choke,d_pipe,$I$28)</f>
        <v>-1</v>
      </c>
      <c r="AJ77" s="27">
        <f>[1]!MF_choke_p_atma([1]!encode_feed(AJ$73,,,,feed),d_choke,$B77,1,T_choke,d_pipe,$I$28)</f>
        <v>-1</v>
      </c>
      <c r="AK77" s="27">
        <f>[1]!MF_choke_p_atma([1]!encode_feed(AK$73,,,,feed),d_choke,$B77,1,T_choke,d_pipe,$I$28)</f>
        <v>-1</v>
      </c>
      <c r="AL77" s="27">
        <f>[1]!MF_choke_p_atma([1]!encode_feed(AL$73,,,,feed),d_choke,$B77,1,T_choke,d_pipe,$I$28)</f>
        <v>-1</v>
      </c>
    </row>
    <row r="78" spans="2:38" x14ac:dyDescent="0.2">
      <c r="B78" s="26">
        <v>30</v>
      </c>
      <c r="C78" s="27">
        <f>[1]!MF_choke_p_atma([1]!encode_feed(C$73,,,,feed),d_choke,$B78,1,T_choke,d_pipe,$I$28)</f>
        <v>30</v>
      </c>
      <c r="D78" s="27">
        <f>[1]!MF_choke_p_atma([1]!encode_feed(D$73,,,,feed),d_choke,$B78,1,T_choke,d_pipe,$I$28)</f>
        <v>29.7161865234375</v>
      </c>
      <c r="E78" s="27">
        <f>[1]!MF_choke_p_atma([1]!encode_feed(E$73,,,,feed),d_choke,$B78,1,T_choke,d_pipe,$I$28)</f>
        <v>28.96270751953125</v>
      </c>
      <c r="F78" s="27">
        <f>[1]!MF_choke_p_atma([1]!encode_feed(F$73,,,,feed),d_choke,$B78,1,T_choke,d_pipe,$I$28)</f>
        <v>28.30902099609375</v>
      </c>
      <c r="G78" s="27">
        <f>[1]!MF_choke_p_atma([1]!encode_feed(G$73,,,,feed),d_choke,$B78,1,T_choke,d_pipe,$I$28)</f>
        <v>27.69927978515625</v>
      </c>
      <c r="H78" s="27">
        <f>[1]!MF_choke_p_atma([1]!encode_feed(H$73,,,,feed),d_choke,$B78,1,T_choke,d_pipe,$I$28)</f>
        <v>27.2607421875</v>
      </c>
      <c r="I78" s="27">
        <f>[1]!MF_choke_p_atma([1]!encode_feed(I$73,,,,feed),d_choke,$B78,1,T_choke,d_pipe,$I$28)</f>
        <v>27.10693359375</v>
      </c>
      <c r="J78" s="27">
        <f>[1]!MF_choke_p_atma([1]!encode_feed(J$73,,,,feed),d_choke,$B78,1,T_choke,d_pipe,$I$28)</f>
        <v>27.099609375</v>
      </c>
      <c r="K78" s="27">
        <f>[1]!MF_choke_p_atma([1]!encode_feed(K$73,,,,feed),d_choke,$B78,1,T_choke,d_pipe,$I$28)</f>
        <v>25.162353515625</v>
      </c>
      <c r="L78" s="27">
        <f>[1]!MF_choke_p_atma([1]!encode_feed(L$73,,,,feed),d_choke,$B78,1,T_choke,d_pipe,$I$28)</f>
        <v>23.3056640625</v>
      </c>
      <c r="M78" s="27">
        <f>[1]!MF_choke_p_atma([1]!encode_feed(M$73,,,,feed),d_choke,$B78,1,T_choke,d_pipe,$I$28)</f>
        <v>22.03125</v>
      </c>
      <c r="N78" s="27">
        <f>[1]!MF_choke_p_atma([1]!encode_feed(N$73,,,,feed),d_choke,$B78,1,T_choke,d_pipe,$I$28)</f>
        <v>-1</v>
      </c>
      <c r="O78" s="27">
        <f>[1]!MF_choke_p_atma([1]!encode_feed(O$73,,,,feed),d_choke,$B78,1,T_choke,d_pipe,$I$28)</f>
        <v>-1</v>
      </c>
      <c r="P78" s="27">
        <f>[1]!MF_choke_p_atma([1]!encode_feed(P$73,,,,feed),d_choke,$B78,1,T_choke,d_pipe,$I$28)</f>
        <v>-1</v>
      </c>
      <c r="Q78" s="27">
        <f>[1]!MF_choke_p_atma([1]!encode_feed(Q$73,,,,feed),d_choke,$B78,1,T_choke,d_pipe,$I$28)</f>
        <v>-1</v>
      </c>
      <c r="R78" s="27">
        <f>[1]!MF_choke_p_atma([1]!encode_feed(R$73,,,,feed),d_choke,$B78,1,T_choke,d_pipe,$I$28)</f>
        <v>-1</v>
      </c>
      <c r="S78" s="27">
        <f>[1]!MF_choke_p_atma([1]!encode_feed(S$73,,,,feed),d_choke,$B78,1,T_choke,d_pipe,$I$28)</f>
        <v>-1</v>
      </c>
      <c r="T78" s="27">
        <f>[1]!MF_choke_p_atma([1]!encode_feed(T$73,,,,feed),d_choke,$B78,1,T_choke,d_pipe,$I$28)</f>
        <v>-1</v>
      </c>
      <c r="U78" s="27">
        <f>[1]!MF_choke_p_atma([1]!encode_feed(U$73,,,,feed),d_choke,$B78,1,T_choke,d_pipe,$I$28)</f>
        <v>-1</v>
      </c>
      <c r="V78" s="27">
        <f>[1]!MF_choke_p_atma([1]!encode_feed(V$73,,,,feed),d_choke,$B78,1,T_choke,d_pipe,$I$28)</f>
        <v>-1</v>
      </c>
      <c r="W78" s="27">
        <f>[1]!MF_choke_p_atma([1]!encode_feed(W$73,,,,feed),d_choke,$B78,1,T_choke,d_pipe,$I$28)</f>
        <v>-1</v>
      </c>
      <c r="X78" s="27">
        <f>[1]!MF_choke_p_atma([1]!encode_feed(X$73,,,,feed),d_choke,$B78,1,T_choke,d_pipe,$I$28)</f>
        <v>-1</v>
      </c>
      <c r="Y78" s="27">
        <f>[1]!MF_choke_p_atma([1]!encode_feed(Y$73,,,,feed),d_choke,$B78,1,T_choke,d_pipe,$I$28)</f>
        <v>-1</v>
      </c>
      <c r="Z78" s="27">
        <f>[1]!MF_choke_p_atma([1]!encode_feed(Z$73,,,,feed),d_choke,$B78,1,T_choke,d_pipe,$I$28)</f>
        <v>-1</v>
      </c>
      <c r="AA78" s="27">
        <f>[1]!MF_choke_p_atma([1]!encode_feed(AA$73,,,,feed),d_choke,$B78,1,T_choke,d_pipe,$I$28)</f>
        <v>-1</v>
      </c>
      <c r="AB78" s="27">
        <f>[1]!MF_choke_p_atma([1]!encode_feed(AB$73,,,,feed),d_choke,$B78,1,T_choke,d_pipe,$I$28)</f>
        <v>-1</v>
      </c>
      <c r="AC78" s="27">
        <f>[1]!MF_choke_p_atma([1]!encode_feed(AC$73,,,,feed),d_choke,$B78,1,T_choke,d_pipe,$I$28)</f>
        <v>-1</v>
      </c>
      <c r="AD78" s="27">
        <f>[1]!MF_choke_p_atma([1]!encode_feed(AD$73,,,,feed),d_choke,$B78,1,T_choke,d_pipe,$I$28)</f>
        <v>-1</v>
      </c>
      <c r="AE78" s="27">
        <f>[1]!MF_choke_p_atma([1]!encode_feed(AE$73,,,,feed),d_choke,$B78,1,T_choke,d_pipe,$I$28)</f>
        <v>-1</v>
      </c>
      <c r="AF78" s="27">
        <f>[1]!MF_choke_p_atma([1]!encode_feed(AF$73,,,,feed),d_choke,$B78,1,T_choke,d_pipe,$I$28)</f>
        <v>-1</v>
      </c>
      <c r="AG78" s="27">
        <f>[1]!MF_choke_p_atma([1]!encode_feed(AG$73,,,,feed),d_choke,$B78,1,T_choke,d_pipe,$I$28)</f>
        <v>-1</v>
      </c>
      <c r="AH78" s="27">
        <f>[1]!MF_choke_p_atma([1]!encode_feed(AH$73,,,,feed),d_choke,$B78,1,T_choke,d_pipe,$I$28)</f>
        <v>-1</v>
      </c>
      <c r="AI78" s="27">
        <f>[1]!MF_choke_p_atma([1]!encode_feed(AI$73,,,,feed),d_choke,$B78,1,T_choke,d_pipe,$I$28)</f>
        <v>-1</v>
      </c>
      <c r="AJ78" s="27">
        <f>[1]!MF_choke_p_atma([1]!encode_feed(AJ$73,,,,feed),d_choke,$B78,1,T_choke,d_pipe,$I$28)</f>
        <v>-1</v>
      </c>
      <c r="AK78" s="27">
        <f>[1]!MF_choke_p_atma([1]!encode_feed(AK$73,,,,feed),d_choke,$B78,1,T_choke,d_pipe,$I$28)</f>
        <v>-1</v>
      </c>
      <c r="AL78" s="27">
        <f>[1]!MF_choke_p_atma([1]!encode_feed(AL$73,,,,feed),d_choke,$B78,1,T_choke,d_pipe,$I$28)</f>
        <v>-1</v>
      </c>
    </row>
    <row r="79" spans="2:38" x14ac:dyDescent="0.2">
      <c r="B79" s="26">
        <v>35</v>
      </c>
      <c r="C79" s="27">
        <f>[1]!MF_choke_p_atma([1]!encode_feed(C$73,,,,feed),d_choke,$B79,1,T_choke,d_pipe,$I$28)</f>
        <v>35</v>
      </c>
      <c r="D79" s="27">
        <f>[1]!MF_choke_p_atma([1]!encode_feed(D$73,,,,feed),d_choke,$B79,1,T_choke,d_pipe,$I$28)</f>
        <v>34.766082763671875</v>
      </c>
      <c r="E79" s="27">
        <f>[1]!MF_choke_p_atma([1]!encode_feed(E$73,,,,feed),d_choke,$B79,1,T_choke,d_pipe,$I$28)</f>
        <v>34.1583251953125</v>
      </c>
      <c r="F79" s="27">
        <f>[1]!MF_choke_p_atma([1]!encode_feed(F$73,,,,feed),d_choke,$B79,1,T_choke,d_pipe,$I$28)</f>
        <v>33.64776611328125</v>
      </c>
      <c r="G79" s="27">
        <f>[1]!MF_choke_p_atma([1]!encode_feed(G$73,,,,feed),d_choke,$B79,1,T_choke,d_pipe,$I$28)</f>
        <v>33.189010620117188</v>
      </c>
      <c r="H79" s="27">
        <f>[1]!MF_choke_p_atma([1]!encode_feed(H$73,,,,feed),d_choke,$B79,1,T_choke,d_pipe,$I$28)</f>
        <v>32.869110107421875</v>
      </c>
      <c r="I79" s="27">
        <f>[1]!MF_choke_p_atma([1]!encode_feed(I$73,,,,feed),d_choke,$B79,1,T_choke,d_pipe,$I$28)</f>
        <v>32.75909423828125</v>
      </c>
      <c r="J79" s="27">
        <f>[1]!MF_choke_p_atma([1]!encode_feed(J$73,,,,feed),d_choke,$B79,1,T_choke,d_pipe,$I$28)</f>
        <v>32.75482177734375</v>
      </c>
      <c r="K79" s="27">
        <f>[1]!MF_choke_p_atma([1]!encode_feed(K$73,,,,feed),d_choke,$B79,1,T_choke,d_pipe,$I$28)</f>
        <v>31.49871826171875</v>
      </c>
      <c r="L79" s="27">
        <f>[1]!MF_choke_p_atma([1]!encode_feed(L$73,,,,feed),d_choke,$B79,1,T_choke,d_pipe,$I$28)</f>
        <v>30.565185546875</v>
      </c>
      <c r="M79" s="27">
        <f>[1]!MF_choke_p_atma([1]!encode_feed(M$73,,,,feed),d_choke,$B79,1,T_choke,d_pipe,$I$28)</f>
        <v>30.1251220703125</v>
      </c>
      <c r="N79" s="27">
        <f>[1]!MF_choke_p_atma([1]!encode_feed(N$73,,,,feed),d_choke,$B79,1,T_choke,d_pipe,$I$28)</f>
        <v>29.6295166015625</v>
      </c>
      <c r="O79" s="27">
        <f>[1]!MF_choke_p_atma([1]!encode_feed(O$73,,,,feed),d_choke,$B79,1,T_choke,d_pipe,$I$28)</f>
        <v>28.7579345703125</v>
      </c>
      <c r="P79" s="27">
        <f>[1]!MF_choke_p_atma([1]!encode_feed(P$73,,,,feed),d_choke,$B79,1,T_choke,d_pipe,$I$28)</f>
        <v>28.052978515625</v>
      </c>
      <c r="Q79" s="27">
        <f>[1]!MF_choke_p_atma([1]!encode_feed(Q$73,,,,feed),d_choke,$B79,1,T_choke,d_pipe,$I$28)</f>
        <v>27.97607421875</v>
      </c>
      <c r="R79" s="27">
        <f>[1]!MF_choke_p_atma([1]!encode_feed(R$73,,,,feed),d_choke,$B79,1,T_choke,d_pipe,$I$28)</f>
        <v>-1</v>
      </c>
      <c r="S79" s="27">
        <f>[1]!MF_choke_p_atma([1]!encode_feed(S$73,,,,feed),d_choke,$B79,1,T_choke,d_pipe,$I$28)</f>
        <v>-1</v>
      </c>
      <c r="T79" s="27">
        <f>[1]!MF_choke_p_atma([1]!encode_feed(T$73,,,,feed),d_choke,$B79,1,T_choke,d_pipe,$I$28)</f>
        <v>-1</v>
      </c>
      <c r="U79" s="27">
        <f>[1]!MF_choke_p_atma([1]!encode_feed(U$73,,,,feed),d_choke,$B79,1,T_choke,d_pipe,$I$28)</f>
        <v>-1</v>
      </c>
      <c r="V79" s="27">
        <f>[1]!MF_choke_p_atma([1]!encode_feed(V$73,,,,feed),d_choke,$B79,1,T_choke,d_pipe,$I$28)</f>
        <v>-1</v>
      </c>
      <c r="W79" s="27">
        <f>[1]!MF_choke_p_atma([1]!encode_feed(W$73,,,,feed),d_choke,$B79,1,T_choke,d_pipe,$I$28)</f>
        <v>-1</v>
      </c>
      <c r="X79" s="27">
        <f>[1]!MF_choke_p_atma([1]!encode_feed(X$73,,,,feed),d_choke,$B79,1,T_choke,d_pipe,$I$28)</f>
        <v>-1</v>
      </c>
      <c r="Y79" s="27">
        <f>[1]!MF_choke_p_atma([1]!encode_feed(Y$73,,,,feed),d_choke,$B79,1,T_choke,d_pipe,$I$28)</f>
        <v>-1</v>
      </c>
      <c r="Z79" s="27">
        <f>[1]!MF_choke_p_atma([1]!encode_feed(Z$73,,,,feed),d_choke,$B79,1,T_choke,d_pipe,$I$28)</f>
        <v>-1</v>
      </c>
      <c r="AA79" s="27">
        <f>[1]!MF_choke_p_atma([1]!encode_feed(AA$73,,,,feed),d_choke,$B79,1,T_choke,d_pipe,$I$28)</f>
        <v>-1</v>
      </c>
      <c r="AB79" s="27">
        <f>[1]!MF_choke_p_atma([1]!encode_feed(AB$73,,,,feed),d_choke,$B79,1,T_choke,d_pipe,$I$28)</f>
        <v>-1</v>
      </c>
      <c r="AC79" s="27">
        <f>[1]!MF_choke_p_atma([1]!encode_feed(AC$73,,,,feed),d_choke,$B79,1,T_choke,d_pipe,$I$28)</f>
        <v>-1</v>
      </c>
      <c r="AD79" s="27">
        <f>[1]!MF_choke_p_atma([1]!encode_feed(AD$73,,,,feed),d_choke,$B79,1,T_choke,d_pipe,$I$28)</f>
        <v>-1</v>
      </c>
      <c r="AE79" s="27">
        <f>[1]!MF_choke_p_atma([1]!encode_feed(AE$73,,,,feed),d_choke,$B79,1,T_choke,d_pipe,$I$28)</f>
        <v>-1</v>
      </c>
      <c r="AF79" s="27">
        <f>[1]!MF_choke_p_atma([1]!encode_feed(AF$73,,,,feed),d_choke,$B79,1,T_choke,d_pipe,$I$28)</f>
        <v>-1</v>
      </c>
      <c r="AG79" s="27">
        <f>[1]!MF_choke_p_atma([1]!encode_feed(AG$73,,,,feed),d_choke,$B79,1,T_choke,d_pipe,$I$28)</f>
        <v>-1</v>
      </c>
      <c r="AH79" s="27">
        <f>[1]!MF_choke_p_atma([1]!encode_feed(AH$73,,,,feed),d_choke,$B79,1,T_choke,d_pipe,$I$28)</f>
        <v>-1</v>
      </c>
      <c r="AI79" s="27">
        <f>[1]!MF_choke_p_atma([1]!encode_feed(AI$73,,,,feed),d_choke,$B79,1,T_choke,d_pipe,$I$28)</f>
        <v>-1</v>
      </c>
      <c r="AJ79" s="27">
        <f>[1]!MF_choke_p_atma([1]!encode_feed(AJ$73,,,,feed),d_choke,$B79,1,T_choke,d_pipe,$I$28)</f>
        <v>-1</v>
      </c>
      <c r="AK79" s="27">
        <f>[1]!MF_choke_p_atma([1]!encode_feed(AK$73,,,,feed),d_choke,$B79,1,T_choke,d_pipe,$I$28)</f>
        <v>-1</v>
      </c>
      <c r="AL79" s="27">
        <f>[1]!MF_choke_p_atma([1]!encode_feed(AL$73,,,,feed),d_choke,$B79,1,T_choke,d_pipe,$I$28)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2021-01-27T13:31:50Z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