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ink/ink1.xml" ContentType="application/inkml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36C468A8-F4EE-4CEE-8517-36F0EA9FA340}" xr6:coauthVersionLast="47" xr6:coauthVersionMax="47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alc_along_flow">exercise_choke!$G$22</definedName>
    <definedName name="cf_" localSheetId="0">exercise_choke!$C$107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exercise_choke!$B$62:$B$67</definedName>
    <definedName name="input_2" localSheetId="0">exercise_choke!$C$61:$AD$61</definedName>
    <definedName name="input_3" localSheetId="0">exercise_choke!$B$74:$B$79</definedName>
    <definedName name="input_4" localSheetId="0">exercise_choke!$C$73:$AL$73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exercise_choke!$C$62:$AD$67</definedName>
    <definedName name="output_1" localSheetId="0">exercise_choke!$C$74:$AL$79</definedName>
    <definedName name="param">exercise_choke!$I$28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exercise_choke!$F$30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9" i="120" l="1" a="1"/>
  <c r="I49" i="120" l="1"/>
  <c r="L51" i="120" a="1"/>
  <c r="L54" i="120" a="1"/>
  <c r="L51" i="120" l="1"/>
  <c r="L54" i="120"/>
  <c r="C71" i="120" l="1"/>
  <c r="E20" i="120"/>
  <c r="E17" i="120"/>
  <c r="E16" i="120"/>
  <c r="E15" i="120"/>
  <c r="E14" i="120"/>
  <c r="E13" i="120"/>
  <c r="E12" i="120"/>
  <c r="E11" i="120"/>
  <c r="AL4" i="120"/>
  <c r="AL3" i="120"/>
  <c r="AL2" i="120"/>
  <c r="AL1" i="120"/>
  <c r="G24" i="120"/>
  <c r="I28" i="120" a="1"/>
  <c r="G1" i="120"/>
  <c r="I28" i="120" l="1"/>
  <c r="I52" i="120" a="1"/>
  <c r="I54" i="120" a="1"/>
  <c r="G25" i="120" a="1"/>
  <c r="I54" i="120" l="1"/>
  <c r="I52" i="120"/>
  <c r="G25" i="120"/>
  <c r="N54" i="120" a="1"/>
  <c r="B45" i="120" a="1"/>
  <c r="B35" i="120" a="1"/>
  <c r="M54" i="120" a="1"/>
  <c r="B40" i="120" a="1"/>
  <c r="N40" i="120" a="1"/>
  <c r="B50" i="120" a="1"/>
  <c r="N50" i="120" a="1"/>
  <c r="X35" i="120" a="1"/>
  <c r="AF35" i="120" s="1" a="1"/>
  <c r="C82" i="120" a="1"/>
  <c r="N45" i="120" a="1"/>
  <c r="X50" i="120" a="1"/>
  <c r="AI50" i="120" a="1"/>
  <c r="AF50" i="120" a="1"/>
  <c r="N35" i="120" a="1"/>
  <c r="B45" i="120" l="1"/>
  <c r="N54" i="120"/>
  <c r="B35" i="120"/>
  <c r="M54" i="120"/>
  <c r="N35" i="120"/>
  <c r="C82" i="120"/>
  <c r="X50" i="120"/>
  <c r="X35" i="120"/>
  <c r="AF35" i="120"/>
  <c r="AF50" i="120"/>
  <c r="B50" i="120"/>
  <c r="C58" i="120"/>
  <c r="B40" i="120"/>
  <c r="AI50" i="120"/>
  <c r="N50" i="120"/>
  <c r="N45" i="120"/>
  <c r="N40" i="120"/>
  <c r="Q42" i="120" a="1"/>
  <c r="C85" i="120" a="1"/>
  <c r="AC50" i="120" a="1"/>
  <c r="AC35" i="120" a="1"/>
  <c r="AI35" i="120" a="1"/>
  <c r="Q42" i="120" l="1"/>
  <c r="AI35" i="120"/>
  <c r="C85" i="120"/>
  <c r="AC50" i="120"/>
  <c r="AC35" i="1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<sst xmlns="http://schemas.openxmlformats.org/spreadsheetml/2006/main" count="104" uniqueCount="84">
  <si>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</si>
  <si>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</si>
  <si>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</si>
  <si>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</si>
  <si>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</si>
  <si>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</si>
  <si>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</si>
  <si>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</si>
  <si>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Дебит жидкости</t>
  </si>
  <si>
    <t>Параметры потока флюида</t>
  </si>
  <si>
    <t xml:space="preserve">графики для расчета потока через ограничение - штуцер </t>
  </si>
  <si>
    <t>Конструкция</t>
  </si>
  <si>
    <t>мм</t>
  </si>
  <si>
    <t>Рвых</t>
  </si>
  <si>
    <t>Упражнения по работе с макросами Unifloc VBA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</si>
  <si>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</si>
  <si>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</si>
  <si>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</si>
  <si>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</si>
  <si>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</si>
  <si>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</si>
  <si>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</si>
  <si>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</si>
  <si>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</si>
  <si>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</si>
  <si>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</si>
  <si>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</si>
  <si>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</si>
  <si>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</si>
  <si>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</si>
  <si>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</si>
  <si>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</si>
  <si>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</si>
  <si>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</si>
  <si>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</si>
  <si>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</si>
  <si>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</si>
  <si>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Рвх</t>
  </si>
  <si>
    <t>qmax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</si>
  <si>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</si>
  <si>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</si>
  <si>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</si>
  <si>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</si>
  <si>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</si>
  <si>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</si>
  <si>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</si>
  <si>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</si>
  <si>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</si>
  <si>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</si>
  <si>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</si>
  <si>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</si>
  <si>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</si>
  <si>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</si>
  <si>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</si>
  <si>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</si>
  <si>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</si>
  <si>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</si>
  <si>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</si>
  <si>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</si>
  <si>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</si>
  <si>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</si>
  <si>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</si>
  <si>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Поток</t>
  </si>
  <si>
    <t>параметры</t>
  </si>
  <si>
    <t>параметры закодированные</t>
  </si>
  <si>
    <t>Расшифровка лога</t>
  </si>
  <si>
    <t xml:space="preserve"> </t>
  </si>
  <si>
    <t>choke_calibr_type</t>
  </si>
  <si>
    <t>show_log</t>
  </si>
  <si>
    <t>num_value</t>
  </si>
  <si>
    <t>show_array</t>
  </si>
  <si>
    <t>calc_along_flow</t>
  </si>
  <si>
    <t>p_intake_atma</t>
  </si>
  <si>
    <t>p_out_atma</t>
  </si>
  <si>
    <t>t_choke_C</t>
  </si>
  <si>
    <t>calibr_fr</t>
  </si>
  <si>
    <t>q_liq_sm3day</t>
  </si>
  <si>
    <t>q_gas_sm3day</t>
  </si>
  <si>
    <t>q_gas_free_sm3day</t>
  </si>
  <si>
    <t>rp_m3m3</t>
  </si>
  <si>
    <t>fw_perc</t>
  </si>
  <si>
    <t>t_choke_throat_C</t>
  </si>
  <si>
    <t>sonic_vel_msec</t>
  </si>
  <si>
    <t>q_liq_max_sm3day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</si>
</sst>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0.000"/>
  </numFmts>
  <fonts count="17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75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0" xfId="0" applyFont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8" fillId="4" borderId="2" xfId="0" applyFont="1" applyFill="1" applyBorder="1" applyAlignment="1">
      <alignment horizontal="center" wrapText="1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0" borderId="0" xfId="0" applyFill="1" applyBorder="1"/>
    <xf numFmtId="1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0" fontId="0" fillId="4" borderId="5" xfId="0" applyFill="1" applyBorder="1"/>
    <xf numFmtId="1" fontId="0" fillId="2" borderId="6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0" borderId="7" xfId="0" applyBorder="1"/>
    <xf numFmtId="0" fontId="0" fillId="6" borderId="2" xfId="0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8" fillId="4" borderId="2" xfId="0" applyFont="1" applyFill="1" applyBorder="1" applyAlignment="1">
      <alignment horizontal="left"/>
    </xf>
    <xf numFmtId="0" fontId="0" fillId="4" borderId="4" xfId="0" applyFill="1" applyBorder="1" applyAlignment="1">
      <alignment vertical="top"/>
    </xf>
    <xf numFmtId="0" fontId="0" fillId="4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4" borderId="6" xfId="0" applyFill="1" applyBorder="1" applyAlignment="1">
      <alignment vertical="top"/>
    </xf>
    <xf numFmtId="0" fontId="0" fillId="4" borderId="3" xfId="0" applyFill="1" applyBorder="1" applyAlignment="1">
      <alignment vertical="top"/>
    </xf>
    <xf numFmtId="0" fontId="16" fillId="0" borderId="0" xfId="8"/>
    <xf numFmtId="0" fontId="8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9" borderId="0" xfId="0" applyFill="1" applyBorder="1" applyAlignment="1"/>
    <xf numFmtId="1" fontId="0" fillId="10" borderId="0" xfId="0" applyNumberFormat="1" applyFill="1" applyBorder="1" applyAlignment="1">
      <alignment horizontal="center"/>
    </xf>
    <xf numFmtId="1" fontId="0" fillId="10" borderId="0" xfId="0" applyNumberFormat="1" applyFill="1" applyBorder="1" applyAlignment="1">
      <alignment horizontal="left"/>
    </xf>
    <xf numFmtId="0" fontId="0" fillId="11" borderId="0" xfId="0" applyFill="1"/>
    <xf numFmtId="165" fontId="0" fillId="0" borderId="0" xfId="0" applyNumberFormat="1"/>
    <xf numFmtId="166" fontId="0" fillId="10" borderId="0" xfId="0" applyNumberFormat="1" applyFill="1" applyBorder="1" applyAlignment="1">
      <alignment horizontal="left"/>
    </xf>
    <xf numFmtId="0" fontId="0" fillId="0" borderId="0" xfId="0" applyFill="1"/>
    <xf numFmtId="2" fontId="0" fillId="0" borderId="0" xfId="0" applyNumberFormat="1" applyFill="1" applyAlignment="1">
      <alignment horizontal="center"/>
    </xf>
    <xf numFmtId="166" fontId="0" fillId="3" borderId="0" xfId="0" applyNumberFormat="1" applyFill="1" applyBorder="1" applyAlignment="1">
      <alignment horizontal="left"/>
    </xf>
    <xf numFmtId="165" fontId="0" fillId="3" borderId="0" xfId="0" applyNumberFormat="1" applyFill="1" applyBorder="1" applyAlignment="1">
      <alignment horizontal="left"/>
    </xf>
    <xf numFmtId="0" fontId="0" fillId="3" borderId="0" xfId="0" applyFill="1" applyAlignment="1">
      <alignment horizontal="left"/>
    </xf>
    <xf numFmtId="165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center"/>
    </xf>
    <xf numFmtId="166" fontId="0" fillId="3" borderId="0" xfId="0" applyNumberFormat="1" applyFill="1" applyAlignment="1">
      <alignment horizontal="left"/>
    </xf>
    <xf numFmtId="2" fontId="0" fillId="3" borderId="0" xfId="0" applyNumberFormat="1" applyFill="1" applyAlignment="1">
      <alignment horizontal="left"/>
    </xf>
    <xf numFmtId="1" fontId="0" fillId="0" borderId="0" xfId="0" applyNumberFormat="1"/>
    <xf numFmtId="2" fontId="0" fillId="3" borderId="0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left"/>
    </xf>
    <xf numFmtId="2" fontId="0" fillId="0" borderId="0" xfId="0" applyNumberFormat="1"/>
    <xf numFmtId="0" fontId="0" fillId="5" borderId="3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8" borderId="5" xfId="0" applyFill="1" applyBorder="1" applyAlignment="1">
      <alignment horizontal="left"/>
    </xf>
    <xf numFmtId="0" fontId="0" fillId="8" borderId="8" xfId="0" applyFill="1" applyBorder="1" applyAlignment="1">
      <alignment horizontal="left"/>
    </xf>
    <xf numFmtId="0" fontId="0" fillId="8" borderId="9" xfId="0" applyFill="1" applyBorder="1" applyAlignment="1">
      <alignment horizontal="left"/>
    </xf>
    <xf numFmtId="0" fontId="0" fillId="8" borderId="10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3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7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Гиперссылка" xfId="8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5"/>
          <c:order val="0"/>
          <c:tx>
            <c:strRef>
              <c:f>exercise_choke!$B$74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exercise_choke!$C$74:$AL$74</c:f>
              <c:numCache>
                <c:formatCode>0</c:formatCode>
                <c:ptCount val="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126-4E67-9D72-5C00F2814E65}"/>
            </c:ext>
          </c:extLst>
        </c:ser>
        <c:ser>
          <c:idx val="0"/>
          <c:order val="1"/>
          <c:tx>
            <c:strRef>
              <c:f>exercise_choke!$B$75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exercise_choke!$C$75:$AL$75</c:f>
              <c:numCache>
                <c:formatCode>0</c:formatCode>
                <c:ptCount val="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3C-49A1-BD08-67B48AB2B5DA}"/>
            </c:ext>
          </c:extLst>
        </c:ser>
        <c:ser>
          <c:idx val="1"/>
          <c:order val="2"/>
          <c:tx>
            <c:strRef>
              <c:f>exercise_choke!$B$76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exercise_choke!$C$76:$AL$76</c:f>
              <c:numCache>
                <c:formatCode>0</c:formatCode>
                <c:ptCount val="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3C-49A1-BD08-67B48AB2B5DA}"/>
            </c:ext>
          </c:extLst>
        </c:ser>
        <c:ser>
          <c:idx val="2"/>
          <c:order val="3"/>
          <c:tx>
            <c:strRef>
              <c:f>exercise_choke!$B$77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exercise_choke!$C$77:$AL$77</c:f>
              <c:numCache>
                <c:formatCode>0</c:formatCode>
                <c:ptCount val="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3C-49A1-BD08-67B48AB2B5DA}"/>
            </c:ext>
          </c:extLst>
        </c:ser>
        <c:ser>
          <c:idx val="3"/>
          <c:order val="4"/>
          <c:tx>
            <c:strRef>
              <c:f>exercise_choke!$B$78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exercise_choke!$C$78:$AL$78</c:f>
              <c:numCache>
                <c:formatCode>0</c:formatCode>
                <c:ptCount val="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3C-49A1-BD08-67B48AB2B5DA}"/>
            </c:ext>
          </c:extLst>
        </c:ser>
        <c:ser>
          <c:idx val="4"/>
          <c:order val="5"/>
          <c:tx>
            <c:strRef>
              <c:f>exercise_choke!$B$79</c:f>
              <c:strCache>
                <c:ptCount val="1"/>
                <c:pt idx="0">
                  <c:v>35</c:v>
                </c:pt>
              </c:strCache>
            </c:strRef>
          </c:tx>
          <c:xVal>
            <c:numRef>
              <c:f>exercise_choke!$C$73:$AL$73</c:f>
              <c:numCache>
                <c:formatCode>0</c:formatCode>
                <c:ptCount val="36"/>
                <c:pt idx="0" formatCode="General">
                  <c:v>0</c:v>
                </c:pt>
                <c:pt idx="1">
                  <c:v>15</c:v>
                </c:pt>
                <c:pt idx="2">
                  <c:v>28</c:v>
                </c:pt>
                <c:pt idx="3">
                  <c:v>35</c:v>
                </c:pt>
                <c:pt idx="4">
                  <c:v>40</c:v>
                </c:pt>
                <c:pt idx="5">
                  <c:v>43</c:v>
                </c:pt>
                <c:pt idx="6">
                  <c:v>43.96</c:v>
                </c:pt>
                <c:pt idx="7">
                  <c:v>44</c:v>
                </c:pt>
                <c:pt idx="8">
                  <c:v>53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65</c:v>
                </c:pt>
                <c:pt idx="13">
                  <c:v>67</c:v>
                </c:pt>
                <c:pt idx="14">
                  <c:v>67.2</c:v>
                </c:pt>
                <c:pt idx="15">
                  <c:v>76</c:v>
                </c:pt>
                <c:pt idx="16">
                  <c:v>85</c:v>
                </c:pt>
                <c:pt idx="17">
                  <c:v>90</c:v>
                </c:pt>
                <c:pt idx="18">
                  <c:v>91</c:v>
                </c:pt>
                <c:pt idx="19">
                  <c:v>91.1</c:v>
                </c:pt>
                <c:pt idx="20">
                  <c:v>100</c:v>
                </c:pt>
                <c:pt idx="21">
                  <c:v>110</c:v>
                </c:pt>
                <c:pt idx="22">
                  <c:v>113</c:v>
                </c:pt>
                <c:pt idx="23">
                  <c:v>116</c:v>
                </c:pt>
                <c:pt idx="24">
                  <c:v>116.5</c:v>
                </c:pt>
                <c:pt idx="25">
                  <c:v>125</c:v>
                </c:pt>
                <c:pt idx="26">
                  <c:v>130</c:v>
                </c:pt>
                <c:pt idx="27">
                  <c:v>138</c:v>
                </c:pt>
                <c:pt idx="28">
                  <c:v>142.5</c:v>
                </c:pt>
                <c:pt idx="29">
                  <c:v>142.69999999999999</c:v>
                </c:pt>
                <c:pt idx="30">
                  <c:v>150</c:v>
                </c:pt>
                <c:pt idx="31">
                  <c:v>160</c:v>
                </c:pt>
                <c:pt idx="32">
                  <c:v>165</c:v>
                </c:pt>
                <c:pt idx="33">
                  <c:v>168</c:v>
                </c:pt>
                <c:pt idx="34">
                  <c:v>170</c:v>
                </c:pt>
                <c:pt idx="35">
                  <c:v>170.3</c:v>
                </c:pt>
              </c:numCache>
            </c:numRef>
          </c:xVal>
          <c:yVal>
            <c:numRef>
              <c:f>exercise_choke!$C$79:$AL$79</c:f>
              <c:numCache>
                <c:formatCode>0</c:formatCode>
                <c:ptCount val="3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3C-49A1-BD08-67B48AB2B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  <c:max val="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exercise_choke!$B$62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exercise_choke!$C$62:$AD$62</c:f>
              <c:numCache>
                <c:formatCode>0</c:formatCode>
                <c:ptCount val="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tx>
            <c:strRef>
              <c:f>exercise_choke!$B$63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exercise_choke!$C$63:$AD$63</c:f>
              <c:numCache>
                <c:formatCode>0</c:formatCode>
                <c:ptCount val="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tx>
            <c:strRef>
              <c:f>exercise_choke!$B$64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exercise_choke!$C$64:$AD$64</c:f>
              <c:numCache>
                <c:formatCode>0</c:formatCode>
                <c:ptCount val="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tx>
            <c:strRef>
              <c:f>exercise_choke!$B$65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exercise_choke!$C$65:$AD$65</c:f>
              <c:numCache>
                <c:formatCode>0</c:formatCode>
                <c:ptCount val="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tx>
            <c:strRef>
              <c:f>exercise_choke!$B$66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exercise_choke!$C$66:$AD$66</c:f>
              <c:numCache>
                <c:formatCode>0</c:formatCode>
                <c:ptCount val="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tx>
            <c:strRef>
              <c:f>exercise_choke!$B$67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exercise_choke!$C$61:$AD$61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 formatCode="0">
                  <c:v>2</c:v>
                </c:pt>
                <c:pt idx="3">
                  <c:v>4</c:v>
                </c:pt>
                <c:pt idx="4" formatCode="0.00">
                  <c:v>8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  <c:pt idx="10">
                  <c:v>60</c:v>
                </c:pt>
                <c:pt idx="11">
                  <c:v>70</c:v>
                </c:pt>
                <c:pt idx="12">
                  <c:v>80</c:v>
                </c:pt>
                <c:pt idx="13">
                  <c:v>90</c:v>
                </c:pt>
                <c:pt idx="14">
                  <c:v>100</c:v>
                </c:pt>
                <c:pt idx="15">
                  <c:v>110</c:v>
                </c:pt>
                <c:pt idx="16">
                  <c:v>120</c:v>
                </c:pt>
                <c:pt idx="17">
                  <c:v>130</c:v>
                </c:pt>
                <c:pt idx="18">
                  <c:v>140</c:v>
                </c:pt>
                <c:pt idx="19">
                  <c:v>150</c:v>
                </c:pt>
                <c:pt idx="20">
                  <c:v>160</c:v>
                </c:pt>
                <c:pt idx="21">
                  <c:v>170</c:v>
                </c:pt>
                <c:pt idx="22">
                  <c:v>180</c:v>
                </c:pt>
                <c:pt idx="23">
                  <c:v>190</c:v>
                </c:pt>
                <c:pt idx="24">
                  <c:v>200</c:v>
                </c:pt>
                <c:pt idx="25">
                  <c:v>210</c:v>
                </c:pt>
                <c:pt idx="26">
                  <c:v>220</c:v>
                </c:pt>
                <c:pt idx="27">
                  <c:v>230</c:v>
                </c:pt>
              </c:numCache>
            </c:numRef>
          </c:xVal>
          <c:yVal>
            <c:numRef>
              <c:f>exercise_choke!$C$67:$AD$67</c:f>
              <c:numCache>
                <c:formatCode>0</c:formatCode>
                <c:ptCount val="2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exercise_choke!$D$85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exercise_choke!$D$86:$D$105</c:f>
              <c:numCache>
                <c:formatCode>0.00</c:formatCode>
                <c:ptCount val="20"/>
              </c:numCache>
            </c:numRef>
          </c:xVal>
          <c:yVal>
            <c:numRef>
              <c:f>exercise_choke!$C$86:$C$105</c:f>
              <c:numCache>
                <c:formatCode>0.00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24-4016-83C3-0660D0AD6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2313392"/>
        <c:axId val="1862323792"/>
      </c:scatterChart>
      <c:valAx>
        <c:axId val="186231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2323792"/>
        <c:crosses val="autoZero"/>
        <c:crossBetween val="midCat"/>
      </c:valAx>
      <c:valAx>
        <c:axId val="186232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2313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ustomXml" Target="../ink/ink1.xml"/><Relationship Id="rId4" Type="http://schemas.openxmlformats.org/officeDocument/2006/relationships/image" Target="../media/image3.png"/><Relationship Id="rId9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103654</xdr:colOff>
      <xdr:row>5</xdr:row>
      <xdr:rowOff>109743</xdr:rowOff>
    </xdr:from>
    <xdr:to>
      <xdr:col>48</xdr:col>
      <xdr:colOff>32215</xdr:colOff>
      <xdr:row>17</xdr:row>
      <xdr:rowOff>5237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22264407" y="988284"/>
          <a:ext cx="5325314" cy="2217353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10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515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23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515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12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515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12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404312</xdr:colOff>
      <xdr:row>0</xdr:row>
      <xdr:rowOff>59162</xdr:rowOff>
    </xdr:from>
    <xdr:to>
      <xdr:col>17</xdr:col>
      <xdr:colOff>375067</xdr:colOff>
      <xdr:row>17</xdr:row>
      <xdr:rowOff>180294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4566737" y="59162"/>
          <a:ext cx="4695155" cy="347393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Упражнение показывает расчет потока через штуцер. Расчет может проводится в нескольких вариантах. Примеры вызова приведены.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MF_choke_p_atma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MF_choke_q_sm3day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MF_choke_calibr</a:t>
          </a:r>
          <a:endParaRPr lang="ru-RU" sz="1100" baseline="0"/>
        </a:p>
      </xdr:txBody>
    </xdr:sp>
    <xdr:clientData/>
  </xdr:twoCellAnchor>
  <xdr:twoCellAnchor>
    <xdr:from>
      <xdr:col>11</xdr:col>
      <xdr:colOff>341209</xdr:colOff>
      <xdr:row>92</xdr:row>
      <xdr:rowOff>47496</xdr:rowOff>
    </xdr:from>
    <xdr:to>
      <xdr:col>23</xdr:col>
      <xdr:colOff>49429</xdr:colOff>
      <xdr:row>119</xdr:row>
      <xdr:rowOff>103230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5D67BB7-BFF9-48A1-8786-794EE192C3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>
    <xdr:from>
      <xdr:col>31</xdr:col>
      <xdr:colOff>24848</xdr:colOff>
      <xdr:row>58</xdr:row>
      <xdr:rowOff>91109</xdr:rowOff>
    </xdr:from>
    <xdr:to>
      <xdr:col>39</xdr:col>
      <xdr:colOff>67991</xdr:colOff>
      <xdr:row>68</xdr:row>
      <xdr:rowOff>33880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738F76EB-891D-48AB-9E2A-DD4F596B723B}"/>
            </a:ext>
          </a:extLst>
        </xdr:cNvPr>
        <xdr:cNvSpPr/>
      </xdr:nvSpPr>
      <xdr:spPr>
        <a:xfrm>
          <a:off x="16531673" y="6244259"/>
          <a:ext cx="3091143" cy="1562021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10</xdr:col>
      <xdr:colOff>301132</xdr:colOff>
      <xdr:row>80</xdr:row>
      <xdr:rowOff>36234</xdr:rowOff>
    </xdr:from>
    <xdr:to>
      <xdr:col>17</xdr:col>
      <xdr:colOff>158182</xdr:colOff>
      <xdr:row>88</xdr:row>
      <xdr:rowOff>83342</xdr:rowOff>
    </xdr:to>
    <xdr:sp macro="" textlink="">
      <xdr:nvSpPr>
        <xdr:cNvPr id="14" name="Выноска: стрелка вверх 13">
          <a:extLst>
            <a:ext uri="{FF2B5EF4-FFF2-40B4-BE49-F238E27FC236}">
              <a16:creationId xmlns:a16="http://schemas.microsoft.com/office/drawing/2014/main" id="{01E8775A-04DA-40EA-B4FE-2D5C5A86FFA0}"/>
            </a:ext>
          </a:extLst>
        </xdr:cNvPr>
        <xdr:cNvSpPr/>
      </xdr:nvSpPr>
      <xdr:spPr>
        <a:xfrm>
          <a:off x="7159132" y="14282913"/>
          <a:ext cx="3149979" cy="1353393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Рассчитайте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необходимые значения в этой таблице.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Ниже автоматом должны отобразиться графики, если все сделать правильно</a:t>
          </a:r>
          <a:endParaRPr lang="ru-RU">
            <a:effectLst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5" name="Стрелка: влево 14">
          <a:extLst>
            <a:ext uri="{FF2B5EF4-FFF2-40B4-BE49-F238E27FC236}">
              <a16:creationId xmlns:a16="http://schemas.microsoft.com/office/drawing/2014/main" id="{44C88B08-DCC0-40E4-A678-90338678C36E}"/>
            </a:ext>
          </a:extLst>
        </xdr:cNvPr>
        <xdr:cNvSpPr/>
      </xdr:nvSpPr>
      <xdr:spPr>
        <a:xfrm>
          <a:off x="29768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395287</xdr:colOff>
      <xdr:row>20</xdr:row>
      <xdr:rowOff>50006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406826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356231</xdr:colOff>
      <xdr:row>11</xdr:row>
      <xdr:rowOff>89602</xdr:rowOff>
    </xdr:from>
    <xdr:to>
      <xdr:col>40</xdr:col>
      <xdr:colOff>111552</xdr:colOff>
      <xdr:row>12</xdr:row>
      <xdr:rowOff>1597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D0AEB788-D7B9-4987-8DF6-15AB17840CFE}"/>
                </a:ext>
              </a:extLst>
            </xdr14:cNvPr>
            <xdr14:cNvContentPartPr/>
          </xdr14:nvContentPartPr>
          <xdr14:nvPr macro=""/>
          <xdr14:xfrm>
            <a:off x="17251200" y="2066040"/>
            <a:ext cx="517320" cy="15012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CA2C8D5E-D33F-4A03-8EEA-F408A26B3B2A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7242560" y="2057400"/>
              <a:ext cx="53496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41</xdr:col>
      <xdr:colOff>91167</xdr:colOff>
      <xdr:row>58</xdr:row>
      <xdr:rowOff>151634</xdr:rowOff>
    </xdr:from>
    <xdr:to>
      <xdr:col>56</xdr:col>
      <xdr:colOff>530678</xdr:colOff>
      <xdr:row>86</xdr:row>
      <xdr:rowOff>14628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623047</xdr:colOff>
      <xdr:row>66</xdr:row>
      <xdr:rowOff>85163</xdr:rowOff>
    </xdr:from>
    <xdr:to>
      <xdr:col>16</xdr:col>
      <xdr:colOff>134470</xdr:colOff>
      <xdr:row>93</xdr:row>
      <xdr:rowOff>143435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88964B2-F858-44CD-AEBE-D9F69D510A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arange"/>
      <definedName name="encode_feed"/>
      <definedName name="encode_feed_list"/>
      <definedName name="encode_json"/>
      <definedName name="encode_PVT"/>
      <definedName name="MF_choke_calc"/>
      <definedName name="MF_choke_calibr"/>
      <definedName name="MF_choke_calibr_fast"/>
      <definedName name="MF_choke_crv_json"/>
      <definedName name="MF_choke_p_atma"/>
      <definedName name="MF_choke_q_sm3day"/>
      <definedName name="MF_q_choke_sm3day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5-04T08:16:46.835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260 4 80 0 0,'0'0'343'0'0,"0"0"11"0"0,0 0-10 0 0,0 0 1 0 0,0 0 11 0 0,0 0 13 0 0,0 0 36 0 0,-15 10 4782 0 0,11-9-4939 0 0,0 2 1 0 0,1-1 0 0 0,0-1-1 0 0,-1 2 1 0 0,1 0 0 0 0,0-1-1 0 0,0 1 1 0 0,0-2 0 0 0,0 3-1 0 0,0-2 1 0 0,2 2-249 0 0,-23 18 881 0 0,0-1-273 0 0,0 0 0 0 0,2 1 0 0 0,-2 5-608 0 0,-20 21 252 0 0,13-12-1105 0 0,26-31 1372 0 0,-3 5-4151 0 0,7-7-955 0 0,9-9 988 0 0,-2 3 2444 0 0</inkml:trace>
  <inkml:trace contextRef="#ctx0" brushRef="#br0" timeOffset="1">460 39 116 0 0,'-8'5'514'0'0,"2"0"0"0"0,-1 0 1 0 0,1 1-1 0 0,0 0 0 0 0,-1-1 0 0 0,1 2 1 0 0,-2 4-515 0 0,3-4 350 0 0,-165 165 2748 0 0,170-172-3369 0 0,-15 16 68 0 0,14-10-5204 0 0,1-6 4460 0 0</inkml:trace>
  <inkml:trace contextRef="#ctx0" brushRef="#br0" timeOffset="2">630 68 188 0 0,'-12'19'773'0'0,"-1"-1"0"0"0,-1 0-1 0 0,-5 3-772 0 0,3-4 684 0 0,2 1 0 0 0,-1 1 0 0 0,-1 5-684 0 0,-25 25-144 0 0,39-43-155 0 0,1-2-2709 0 0,1-4 2165 0 0</inkml:trace>
  <inkml:trace contextRef="#ctx0" brushRef="#br0" timeOffset="3">861 52 188 0 0,'-3'5'375'0'0,"0"1"-1"0"0,-1-1 1 0 0,1 0 0 0 0,-1 0-1 0 0,1 0 1 0 0,-2 0 0 0 0,1 0-1 0 0,-2 0 1 0 0,0-1-1 0 0,0-1 1 0 0,1 2-375 0 0,-13 11 823 0 0,-1 1 1 0 0,0-1-1 0 0,3 4-823 0 0,1-4 561 0 0,0 0-1 0 0,-2-1 1 0 0,-10 8-561 0 0,25-21-167 0 0,-1-1 1 0 0,1 1 0 0 0,0 0-1 0 0,0 0 1 0 0,0 0 0 0 0,1 0-1 0 0,-1 1 1 0 0,1-1 0 0 0,0-1-1 0 0,0 2 1 0 0,0 0 0 0 0,0-1-1 0 0,-1 2 1 0 0,1-3 0 0 0,1 1 0 0 0,-1 0-1 0 0,1 3 167 0 0,0-5-1060 0 0,14-5-2464 0 0,-4 1 2535 0 0</inkml:trace>
  <inkml:trace contextRef="#ctx0" brushRef="#br0" timeOffset="4">1084 65 592 0 0,'-36'30'2652'0'0,"10"-9"-1656"0"0,1 0 0 0 0,1 0 0 0 0,3 2 1 0 0,-1 1-1 0 0,1-1 0 0 0,3 5-996 0 0,17-27-192 0 0,-11 19-100 0 0,8-12-1049 0 0,8-7-2062 0 0,4-6 967 0 0,-3 2 1359 0 0</inkml:trace>
  <inkml:trace contextRef="#ctx0" brushRef="#br0" timeOffset="5">1366 1 572 0 0,'-118'121'4885'0'0,"94"-98"-4182"0"0,0 1 0 0 0,3 1 0 0 0,-15 20-703 0 0,30-36-557 0 0,0-1 0 0 0,-2 1 0 0 0,1-3 0 0 0,-9 9 557 0 0,15-15-971 0 0,1 0-138 0 0,7-1-1114 0 0,0-3 1252 0 0</inkml:trace>
  <inkml:trace contextRef="#ctx0" brushRef="#br0" timeOffset="6">1462 90 168 0 0,'-58'89'6461'0'0,"19"-36"-4030"0"0,15-19-1163 0 0,-25 25-1268 0 0,32-38-1721 0 0,12-13-4629 0 0,5-8 4877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05"/>
  <sheetViews>
    <sheetView tabSelected="1" topLeftCell="A25" zoomScale="85" zoomScaleNormal="85" workbookViewId="0">
      <selection activeCell="G30" sqref="G30"/>
    </sheetView>
  </sheetViews>
  <sheetFormatPr defaultRowHeight="13.2" x14ac:dyDescent="0.25"/>
  <cols>
    <col min="2" max="2" width="13.88671875" customWidth="1"/>
    <col min="3" max="3" width="13.44140625" customWidth="1"/>
    <col min="4" max="4" width="11.5546875" customWidth="1"/>
    <col min="5" max="5" width="12.44140625" customWidth="1"/>
    <col min="6" max="6" width="12.6640625" customWidth="1"/>
    <col min="7" max="7" width="15.6640625" customWidth="1"/>
    <col min="8" max="8" width="10.44140625" customWidth="1"/>
    <col min="9" max="9" width="14.33203125" customWidth="1"/>
    <col min="10" max="12" width="10.44140625" customWidth="1"/>
    <col min="13" max="13" width="9.6640625" customWidth="1"/>
    <col min="14" max="14" width="9.109375" customWidth="1"/>
    <col min="15" max="16" width="5.6640625" customWidth="1"/>
    <col min="17" max="17" width="9.6640625" customWidth="1"/>
    <col min="18" max="22" width="5.6640625" customWidth="1"/>
    <col min="23" max="23" width="13.5546875" customWidth="1"/>
    <col min="24" max="26" width="13.109375" customWidth="1"/>
    <col min="27" max="28" width="5.6640625" customWidth="1"/>
    <col min="29" max="29" width="14" customWidth="1"/>
    <col min="30" max="30" width="10.109375" customWidth="1"/>
    <col min="31" max="51" width="5.6640625" customWidth="1"/>
  </cols>
  <sheetData>
    <row r="1" spans="1:38" x14ac:dyDescent="0.25">
      <c r="A1" s="1" t="s">
        <v>14</v>
      </c>
      <c r="F1" t="s">
        <v>15</v>
      </c>
      <c r="G1" t="str">
        <f>[1]!unf_Version()</f>
        <v>7.30</v>
      </c>
      <c r="H1" t="s">
        <v>45</v>
      </c>
      <c r="I1" s="28">
        <v>44406</v>
      </c>
      <c r="J1" s="29"/>
      <c r="K1" s="29"/>
      <c r="L1" s="29"/>
      <c r="AL1" t="str">
        <f>"dchoke = "&amp;Plin_&amp;" mm"</f>
        <v>dchoke = 12 mm</v>
      </c>
    </row>
    <row r="2" spans="1:38" x14ac:dyDescent="0.25">
      <c r="A2" t="s">
        <v>59</v>
      </c>
      <c r="H2" t="s">
        <v>46</v>
      </c>
      <c r="I2" s="30">
        <v>7.3</v>
      </c>
      <c r="J2" s="29"/>
      <c r="K2" s="29"/>
      <c r="L2" s="29"/>
      <c r="AL2" t="str">
        <f>"Pbuf = "&amp;Pbuf_&amp;" atm"</f>
        <v>Pbuf = 23 atm</v>
      </c>
    </row>
    <row r="3" spans="1:38" ht="14.4" x14ac:dyDescent="0.3">
      <c r="A3" s="31" t="s">
        <v>47</v>
      </c>
      <c r="B3" s="63" t="s">
        <v>48</v>
      </c>
      <c r="C3" s="64"/>
      <c r="D3" s="64"/>
      <c r="E3" s="65"/>
      <c r="H3" t="s">
        <v>49</v>
      </c>
      <c r="I3" s="29" t="s">
        <v>48</v>
      </c>
      <c r="J3" s="29"/>
      <c r="K3" s="29"/>
      <c r="L3" s="29"/>
      <c r="AL3" t="str">
        <f>"Pline = "&amp;Plin_&amp;" atm"</f>
        <v>Pline = 12 atm</v>
      </c>
    </row>
    <row r="4" spans="1:38" ht="14.4" x14ac:dyDescent="0.3">
      <c r="A4" s="31" t="s">
        <v>50</v>
      </c>
      <c r="B4" s="63" t="s">
        <v>51</v>
      </c>
      <c r="C4" s="64"/>
      <c r="D4" s="64"/>
      <c r="E4" s="65"/>
      <c r="H4" t="s">
        <v>52</v>
      </c>
      <c r="I4" s="29" t="s">
        <v>51</v>
      </c>
      <c r="J4" s="29"/>
      <c r="K4" s="29"/>
      <c r="L4" s="29"/>
      <c r="AL4" t="str">
        <f>"Q = "&amp;Qliq_&amp;" m3/day"</f>
        <v>Q = 10 m3/day</v>
      </c>
    </row>
    <row r="5" spans="1:38" ht="14.4" x14ac:dyDescent="0.3">
      <c r="A5" s="31" t="s">
        <v>53</v>
      </c>
      <c r="B5" s="63" t="s">
        <v>54</v>
      </c>
      <c r="C5" s="64"/>
      <c r="D5" s="64"/>
      <c r="E5" s="65"/>
      <c r="H5" t="s">
        <v>55</v>
      </c>
      <c r="I5" s="29" t="s">
        <v>54</v>
      </c>
      <c r="J5" s="29"/>
      <c r="K5" s="29"/>
      <c r="L5" s="29"/>
    </row>
    <row r="6" spans="1:38" x14ac:dyDescent="0.25">
      <c r="A6" s="32" t="s">
        <v>56</v>
      </c>
      <c r="B6" s="66" t="s">
        <v>57</v>
      </c>
      <c r="C6" s="67"/>
      <c r="D6" s="67"/>
      <c r="E6" s="68"/>
      <c r="H6" s="33" t="s">
        <v>58</v>
      </c>
      <c r="I6" s="34" t="s">
        <v>57</v>
      </c>
      <c r="J6" s="34"/>
      <c r="K6" s="34"/>
      <c r="L6" s="34"/>
    </row>
    <row r="7" spans="1:38" x14ac:dyDescent="0.25">
      <c r="A7" s="35"/>
      <c r="B7" s="69"/>
      <c r="C7" s="70"/>
      <c r="D7" s="70"/>
      <c r="E7" s="71"/>
      <c r="H7" s="33"/>
      <c r="I7" s="34"/>
      <c r="J7" s="34"/>
      <c r="K7" s="34"/>
      <c r="L7" s="34"/>
    </row>
    <row r="8" spans="1:38" x14ac:dyDescent="0.25">
      <c r="A8" s="36"/>
      <c r="B8" s="72"/>
      <c r="C8" s="73"/>
      <c r="D8" s="73"/>
      <c r="E8" s="74"/>
      <c r="H8" s="33"/>
      <c r="I8" s="34"/>
      <c r="J8" s="34"/>
      <c r="K8" s="34"/>
      <c r="L8" s="34"/>
    </row>
    <row r="10" spans="1:38" x14ac:dyDescent="0.25">
      <c r="A10" s="1" t="s">
        <v>0</v>
      </c>
    </row>
    <row r="11" spans="1:38" ht="16.8" x14ac:dyDescent="0.35">
      <c r="B11" s="8" t="s">
        <v>23</v>
      </c>
      <c r="C11" s="2">
        <v>0.8</v>
      </c>
      <c r="D11" s="41"/>
      <c r="E11" s="12">
        <f>gamma_oil_*1000</f>
        <v>800</v>
      </c>
      <c r="F11" s="14" t="s">
        <v>32</v>
      </c>
    </row>
    <row r="12" spans="1:38" ht="16.8" x14ac:dyDescent="0.35">
      <c r="B12" s="9" t="s">
        <v>24</v>
      </c>
      <c r="C12" s="2">
        <v>1</v>
      </c>
      <c r="D12" s="41"/>
      <c r="E12" s="12">
        <f>gamma_wat_*1000</f>
        <v>1000</v>
      </c>
      <c r="F12" s="14" t="s">
        <v>32</v>
      </c>
    </row>
    <row r="13" spans="1:38" ht="16.8" x14ac:dyDescent="0.35">
      <c r="B13" s="9" t="s">
        <v>25</v>
      </c>
      <c r="C13" s="2">
        <v>0.6</v>
      </c>
      <c r="D13" s="41"/>
      <c r="E13" s="12">
        <f>gamma_gas_*1.22</f>
        <v>0.73199999999999998</v>
      </c>
      <c r="F13" s="14" t="s">
        <v>32</v>
      </c>
    </row>
    <row r="14" spans="1:38" ht="16.8" x14ac:dyDescent="0.35">
      <c r="B14" s="10" t="s">
        <v>26</v>
      </c>
      <c r="C14" s="2">
        <v>250</v>
      </c>
      <c r="D14" s="9" t="s">
        <v>35</v>
      </c>
      <c r="E14" s="13">
        <f>Rsb_/gamma_oil_</f>
        <v>312.5</v>
      </c>
      <c r="F14" s="14" t="s">
        <v>33</v>
      </c>
    </row>
    <row r="15" spans="1:38" ht="16.8" x14ac:dyDescent="0.35">
      <c r="B15" s="10" t="s">
        <v>27</v>
      </c>
      <c r="C15" s="2">
        <v>250</v>
      </c>
      <c r="D15" s="9" t="s">
        <v>35</v>
      </c>
      <c r="E15" s="13">
        <f>Rsb_/gamma_oil_</f>
        <v>312.5</v>
      </c>
      <c r="F15" s="14" t="s">
        <v>33</v>
      </c>
    </row>
    <row r="16" spans="1:38" ht="15.6" x14ac:dyDescent="0.35">
      <c r="B16" s="9" t="s">
        <v>28</v>
      </c>
      <c r="C16" s="2"/>
      <c r="D16" s="41" t="s">
        <v>5</v>
      </c>
      <c r="E16" s="13">
        <f>Pb_*1.01325</f>
        <v>0</v>
      </c>
      <c r="F16" s="15" t="s">
        <v>6</v>
      </c>
    </row>
    <row r="17" spans="1:52" ht="15.6" x14ac:dyDescent="0.35">
      <c r="B17" s="9" t="s">
        <v>29</v>
      </c>
      <c r="C17" s="2">
        <v>100</v>
      </c>
      <c r="D17" s="41" t="s">
        <v>2</v>
      </c>
      <c r="E17" s="13">
        <f>Tres_*9/5+32</f>
        <v>212</v>
      </c>
      <c r="F17" s="15" t="s">
        <v>7</v>
      </c>
    </row>
    <row r="18" spans="1:52" ht="15.6" x14ac:dyDescent="0.35">
      <c r="B18" s="10" t="s">
        <v>30</v>
      </c>
      <c r="C18" s="2"/>
      <c r="D18" s="40" t="s">
        <v>1</v>
      </c>
    </row>
    <row r="19" spans="1:52" ht="15.6" x14ac:dyDescent="0.35">
      <c r="B19" s="11" t="s">
        <v>31</v>
      </c>
      <c r="C19" s="2"/>
      <c r="D19" s="41" t="s">
        <v>4</v>
      </c>
    </row>
    <row r="20" spans="1:52" ht="16.8" x14ac:dyDescent="0.35">
      <c r="B20" s="9" t="s">
        <v>24</v>
      </c>
      <c r="C20" s="2">
        <v>1</v>
      </c>
      <c r="D20" s="41"/>
      <c r="E20" s="12">
        <f>gamma_wat_kf_*1000</f>
        <v>1000</v>
      </c>
      <c r="F20" s="14" t="s">
        <v>32</v>
      </c>
    </row>
    <row r="21" spans="1:52" x14ac:dyDescent="0.25">
      <c r="A21" s="1" t="s">
        <v>9</v>
      </c>
      <c r="C21" s="7"/>
    </row>
    <row r="22" spans="1:52" ht="29.4" x14ac:dyDescent="0.35">
      <c r="B22" s="11" t="s">
        <v>34</v>
      </c>
      <c r="C22" s="2">
        <v>30</v>
      </c>
      <c r="D22" s="41" t="s">
        <v>3</v>
      </c>
      <c r="F22" s="11" t="s">
        <v>71</v>
      </c>
      <c r="G22" s="2">
        <v>1</v>
      </c>
    </row>
    <row r="23" spans="1:52" ht="14.4" x14ac:dyDescent="0.3">
      <c r="B23" s="11" t="s">
        <v>39</v>
      </c>
      <c r="C23" s="2">
        <v>80</v>
      </c>
      <c r="D23" s="41" t="s">
        <v>2</v>
      </c>
      <c r="AZ23" s="37" t="s">
        <v>60</v>
      </c>
    </row>
    <row r="24" spans="1:52" x14ac:dyDescent="0.25">
      <c r="A24" s="1" t="s">
        <v>11</v>
      </c>
      <c r="C24" s="3"/>
      <c r="D24" s="3"/>
      <c r="F24" s="42" t="s">
        <v>16</v>
      </c>
      <c r="G24" s="24" t="str">
        <f>[1]!encode_PVT(gamma_gas_,gamma_oil_,gamma_wat_,Rsb_,Pb_,Tres_,Bob_,muob_)</f>
        <v>{"gamma_gas":0.6,"gamma_oil":0.8,"gamma_wat":1,"rsb_m3m3":250,"t_res_C":100}</v>
      </c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</row>
    <row r="25" spans="1:52" ht="15.6" x14ac:dyDescent="0.35">
      <c r="B25" s="11" t="s">
        <v>40</v>
      </c>
      <c r="C25" s="2">
        <v>70</v>
      </c>
      <c r="D25" s="41" t="s">
        <v>12</v>
      </c>
      <c r="F25" t="s">
        <v>62</v>
      </c>
      <c r="G25" s="24" t="str" cm="1">
        <f t="array" ref="G25">[1]!encode_feed(Qliq_,fw_,Rp_,qgas_free,PVTstr_)</f>
        <v>{"gamma_gas":0.6,"gamma_oil":0.8,"gamma_wat":1,"rsb_m3m3":250,"t_res_C":100,"q_liq_sm3day":10,"fw_perc":30,"rp_m3m3":250}</v>
      </c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</row>
    <row r="26" spans="1:52" ht="15.6" x14ac:dyDescent="0.35">
      <c r="B26" s="11" t="s">
        <v>41</v>
      </c>
      <c r="C26" s="2">
        <v>8</v>
      </c>
      <c r="D26" s="41" t="s">
        <v>12</v>
      </c>
    </row>
    <row r="27" spans="1:52" ht="15.6" x14ac:dyDescent="0.35">
      <c r="B27" s="11" t="s">
        <v>44</v>
      </c>
      <c r="C27" s="2">
        <v>10</v>
      </c>
      <c r="D27" s="41" t="s">
        <v>17</v>
      </c>
      <c r="F27" t="s">
        <v>63</v>
      </c>
      <c r="I27" t="s">
        <v>64</v>
      </c>
    </row>
    <row r="28" spans="1:52" ht="15.6" x14ac:dyDescent="0.35">
      <c r="B28" s="11" t="s">
        <v>43</v>
      </c>
      <c r="C28" s="2">
        <v>23</v>
      </c>
      <c r="D28" s="41" t="s">
        <v>18</v>
      </c>
      <c r="F28" s="23" t="s">
        <v>70</v>
      </c>
      <c r="G28" s="23">
        <v>1</v>
      </c>
      <c r="I28" s="24" t="str" cm="1">
        <f t="array" ref="I28">[1]!encode_json(F28:G31)</f>
        <v>{"show_array":1,"choke_calibr_type":5,"show_log":1}</v>
      </c>
      <c r="J28" s="24"/>
      <c r="K28" s="24"/>
      <c r="L28" s="24"/>
      <c r="M28" s="24"/>
      <c r="N28" s="24"/>
    </row>
    <row r="29" spans="1:52" ht="15.6" x14ac:dyDescent="0.35">
      <c r="B29" s="38" t="s">
        <v>42</v>
      </c>
      <c r="C29" s="39">
        <v>12</v>
      </c>
      <c r="D29" s="16" t="s">
        <v>18</v>
      </c>
      <c r="F29" s="23" t="s">
        <v>69</v>
      </c>
      <c r="G29" s="23"/>
    </row>
    <row r="30" spans="1:52" ht="15.6" x14ac:dyDescent="0.35">
      <c r="B30" s="11" t="s">
        <v>61</v>
      </c>
      <c r="C30" s="2"/>
      <c r="D30" s="41" t="s">
        <v>17</v>
      </c>
      <c r="F30" s="23" t="s">
        <v>67</v>
      </c>
      <c r="G30" s="23">
        <v>5</v>
      </c>
    </row>
    <row r="31" spans="1:52" x14ac:dyDescent="0.25">
      <c r="B31" s="6"/>
      <c r="F31" s="23" t="s">
        <v>68</v>
      </c>
      <c r="G31" s="23">
        <v>1</v>
      </c>
    </row>
    <row r="32" spans="1:52" x14ac:dyDescent="0.25">
      <c r="B32" s="25" t="s">
        <v>36</v>
      </c>
      <c r="C32" s="25"/>
      <c r="D32" s="25"/>
      <c r="E32" s="25"/>
      <c r="F32" s="25"/>
    </row>
    <row r="34" spans="2:37" x14ac:dyDescent="0.25">
      <c r="B34" s="18" t="s">
        <v>19</v>
      </c>
      <c r="N34" t="s">
        <v>65</v>
      </c>
    </row>
    <row r="35" spans="2:37" x14ac:dyDescent="0.25">
      <c r="B35" s="50" cm="1">
        <f t="array" ref="B35:K36">[1]!MF_choke_p_atma(d_choke,feed,Pbuf_,T_choke,d_pipe,calc_along_flow,,param)</f>
        <v>22.635999999999999</v>
      </c>
      <c r="C35" s="51">
        <v>23</v>
      </c>
      <c r="D35" s="51">
        <v>22.635999999999999</v>
      </c>
      <c r="E35" s="52">
        <v>10</v>
      </c>
      <c r="F35" s="52">
        <v>80</v>
      </c>
      <c r="G35" s="52">
        <v>79.89</v>
      </c>
      <c r="H35" s="52">
        <v>1</v>
      </c>
      <c r="I35" s="53">
        <v>154.357</v>
      </c>
      <c r="J35" s="53">
        <v>32.094999999999999</v>
      </c>
      <c r="K35" s="29" t="str">
        <v>[]</v>
      </c>
      <c r="L35" t="s">
        <v>66</v>
      </c>
      <c r="M35" s="48"/>
      <c r="N35" s="45" t="str" cm="1">
        <f t="array" ref="N35">[1]!decode_json(K35,1)</f>
        <v>error</v>
      </c>
      <c r="X35" s="29" t="str" cm="1">
        <f t="array" ref="X35">[1]!MF_choke_calc(d_choke,feed,Pbuf_,Plin_,T_choke,d_pipe,,I28)</f>
        <v>error:MF_choke_calc:Object variable or With block variable not set</v>
      </c>
      <c r="Y35" s="29"/>
      <c r="Z35" s="29"/>
      <c r="AA35" t="s">
        <v>66</v>
      </c>
      <c r="AC35" t="str" cm="1">
        <f t="array" ref="AC35">[1]!decode_json(X35)</f>
        <v>error</v>
      </c>
      <c r="AF35" t="str" cm="1">
        <f t="array" ref="AF35">[1]!decode_json(Y35)</f>
        <v>error</v>
      </c>
      <c r="AI35" t="str" cm="1">
        <f t="array" ref="AI35">[1]!decode_json(Z35)</f>
        <v>error</v>
      </c>
      <c r="AK35" t="s">
        <v>72</v>
      </c>
    </row>
    <row r="36" spans="2:37" x14ac:dyDescent="0.25">
      <c r="B36" s="51" t="str">
        <v>p_out_atma</v>
      </c>
      <c r="C36" s="51" t="str">
        <v>p_intake_atma</v>
      </c>
      <c r="D36" s="51" t="str">
        <v>p_out_atma</v>
      </c>
      <c r="E36" s="52" t="str">
        <v>q_liq_sm3day</v>
      </c>
      <c r="F36" s="56" t="str">
        <v>t_choke_C</v>
      </c>
      <c r="G36" s="56" t="str">
        <v>t_choke_throat_C</v>
      </c>
      <c r="H36" s="56" t="str">
        <v>calibr_fr</v>
      </c>
      <c r="I36" s="56" t="str">
        <v>sonic_vel_msec</v>
      </c>
      <c r="J36" s="56" t="str">
        <v>q_liq_max_sm3day</v>
      </c>
      <c r="K36" s="29" t="str">
        <v>log</v>
      </c>
      <c r="M36" s="49"/>
      <c r="X36" s="29"/>
      <c r="Y36" s="29"/>
      <c r="Z36" s="29"/>
      <c r="AK36" t="s">
        <v>73</v>
      </c>
    </row>
    <row r="37" spans="2:37" x14ac:dyDescent="0.25">
      <c r="C37" s="46"/>
      <c r="AK37" t="s">
        <v>74</v>
      </c>
    </row>
    <row r="38" spans="2:37" x14ac:dyDescent="0.25">
      <c r="AK38" t="s">
        <v>75</v>
      </c>
    </row>
    <row r="39" spans="2:37" x14ac:dyDescent="0.25">
      <c r="B39" s="18" t="s">
        <v>20</v>
      </c>
      <c r="AK39" t="s">
        <v>76</v>
      </c>
    </row>
    <row r="40" spans="2:37" x14ac:dyDescent="0.25">
      <c r="B40" s="50" cm="1">
        <f t="array" ref="B40:K41">[1]!MF_choke_p_atma(d_choke,feed,Plin_,T_choke,d_pipe,0,,I28)</f>
        <v>12.705</v>
      </c>
      <c r="C40" s="51">
        <v>12.705</v>
      </c>
      <c r="D40" s="51">
        <v>12</v>
      </c>
      <c r="E40" s="52">
        <v>10</v>
      </c>
      <c r="F40" s="55">
        <v>80</v>
      </c>
      <c r="G40" s="52">
        <v>79.591999999999999</v>
      </c>
      <c r="H40" s="52">
        <v>1</v>
      </c>
      <c r="I40" s="53">
        <v>152.096</v>
      </c>
      <c r="J40" s="53">
        <v>17.616</v>
      </c>
      <c r="K40" s="29" t="str">
        <v>[]</v>
      </c>
      <c r="L40" t="s">
        <v>66</v>
      </c>
      <c r="M40" s="48"/>
      <c r="N40" s="45" t="str" cm="1">
        <f t="array" ref="N40">[1]!decode_json(K40,1)</f>
        <v>error</v>
      </c>
      <c r="AK40" t="s">
        <v>77</v>
      </c>
    </row>
    <row r="41" spans="2:37" x14ac:dyDescent="0.25">
      <c r="B41" s="51" t="str">
        <v>p_intake_atma</v>
      </c>
      <c r="C41" s="51" t="str">
        <v>p_intake_atma</v>
      </c>
      <c r="D41" s="51" t="str">
        <v>p_out_atma</v>
      </c>
      <c r="E41" s="52" t="str">
        <v>q_liq_sm3day</v>
      </c>
      <c r="F41" s="56" t="str">
        <v>t_choke_C</v>
      </c>
      <c r="G41" s="56" t="str">
        <v>t_choke_throat_C</v>
      </c>
      <c r="H41" s="56" t="str">
        <v>calibr_fr</v>
      </c>
      <c r="I41" s="56" t="str">
        <v>sonic_vel_msec</v>
      </c>
      <c r="J41" s="56" t="str">
        <v>q_liq_max_sm3day</v>
      </c>
      <c r="K41" s="29" t="str">
        <v>log</v>
      </c>
      <c r="M41" s="49"/>
      <c r="AK41" t="s">
        <v>78</v>
      </c>
    </row>
    <row r="42" spans="2:37" x14ac:dyDescent="0.25">
      <c r="Q42" t="str" cm="1">
        <f t="array" ref="Q42">[1]!decode_json(I50)</f>
        <v>error</v>
      </c>
      <c r="AK42" t="s">
        <v>79</v>
      </c>
    </row>
    <row r="43" spans="2:37" x14ac:dyDescent="0.25">
      <c r="AK43" t="s">
        <v>80</v>
      </c>
    </row>
    <row r="44" spans="2:37" x14ac:dyDescent="0.25">
      <c r="B44" t="s">
        <v>22</v>
      </c>
      <c r="AK44" t="s">
        <v>81</v>
      </c>
    </row>
    <row r="45" spans="2:37" x14ac:dyDescent="0.25">
      <c r="B45" s="50" cm="1">
        <f t="array" ref="B45:K46">[1]!MF_choke_q_sm3day(feed,d_choke,Pbuf_,Plin_,T_choke,,,I28)</f>
        <v>32.094999999999999</v>
      </c>
      <c r="C45" s="51">
        <v>23</v>
      </c>
      <c r="D45" s="51">
        <v>12</v>
      </c>
      <c r="E45" s="52">
        <v>32.094999999999999</v>
      </c>
      <c r="F45" s="52">
        <v>80</v>
      </c>
      <c r="G45" s="52">
        <v>77.001000000000005</v>
      </c>
      <c r="H45" s="52">
        <v>1</v>
      </c>
      <c r="I45" s="53">
        <v>154.357</v>
      </c>
      <c r="J45" s="53">
        <v>32.094999999999999</v>
      </c>
      <c r="K45" s="29" t="str">
        <v>[]</v>
      </c>
      <c r="L45" t="s">
        <v>66</v>
      </c>
      <c r="M45" s="48"/>
      <c r="N45" s="45" t="str" cm="1">
        <f t="array" ref="N45">[1]!decode_json(K45,1)</f>
        <v>error</v>
      </c>
      <c r="AK45" t="s">
        <v>82</v>
      </c>
    </row>
    <row r="46" spans="2:37" x14ac:dyDescent="0.25">
      <c r="B46" s="51" t="str">
        <v>q_liq_sm3day</v>
      </c>
      <c r="C46" s="51" t="str">
        <v>p_intake_atma</v>
      </c>
      <c r="D46" s="51" t="str">
        <v>p_out_atma</v>
      </c>
      <c r="E46" s="52" t="str">
        <v>q_liq_sm3day</v>
      </c>
      <c r="F46" s="54" t="str">
        <v>t_choke_C</v>
      </c>
      <c r="G46" s="54" t="str">
        <v>t_choke_throat_C</v>
      </c>
      <c r="H46" s="54" t="str">
        <v>calibr_fr</v>
      </c>
      <c r="I46" s="54" t="str">
        <v>sonic_vel_msec</v>
      </c>
      <c r="J46" s="54" t="str">
        <v>q_liq_max_sm3day</v>
      </c>
      <c r="K46" s="29" t="str">
        <v>log</v>
      </c>
      <c r="M46" s="49"/>
      <c r="N46" s="49"/>
      <c r="AK46" t="s">
        <v>83</v>
      </c>
    </row>
    <row r="49" spans="2:35" x14ac:dyDescent="0.25">
      <c r="B49" t="s">
        <v>21</v>
      </c>
      <c r="I49" t="str" cm="1">
        <f t="array" ref="I49">[1]!encode_arange(10,50,10)</f>
        <v>[10,20,30,40,50]</v>
      </c>
    </row>
    <row r="50" spans="2:35" x14ac:dyDescent="0.25">
      <c r="B50" s="29" t="str" cm="1">
        <f t="array" ref="B50:G51">[1]!MF_choke_calibr_fast(feed,d_choke,Pbuf_,Plin_,d_pipe,T_choke,I28)</f>
        <v>0,311574454912143</v>
      </c>
      <c r="C50" s="29">
        <v>23</v>
      </c>
      <c r="D50" s="29">
        <v>12</v>
      </c>
      <c r="E50" s="29">
        <v>80</v>
      </c>
      <c r="F50" s="58">
        <v>0.31157445491214275</v>
      </c>
      <c r="G50" s="29" t="str">
        <v>[]</v>
      </c>
      <c r="H50" t="s">
        <v>66</v>
      </c>
      <c r="N50" s="45" t="str" cm="1">
        <f t="array" ref="N50">[1]!decode_json(G50,1)</f>
        <v>error</v>
      </c>
      <c r="X50" s="47" t="str" cm="1">
        <f t="array" ref="X50">[1]!MF_choke_calibr(feed,d_choke,Pbuf_,Plin_,G30,d_pipe,T_choke,I28)</f>
        <v>Error:MF_choke_calibr:</v>
      </c>
      <c r="Y50" s="43"/>
      <c r="Z50" s="43"/>
      <c r="AA50" s="44"/>
      <c r="AB50" t="s">
        <v>66</v>
      </c>
      <c r="AC50" t="str" cm="1">
        <f t="array" ref="AC50">[1]!decode_json(X50)</f>
        <v>error</v>
      </c>
      <c r="AF50" t="str" cm="1">
        <f t="array" ref="AF50">[1]!decode_json(Y50)</f>
        <v>error</v>
      </c>
      <c r="AI50" t="str" cm="1">
        <f t="array" ref="AI50">[1]!decode_json(Z50)</f>
        <v>error</v>
      </c>
    </row>
    <row r="51" spans="2:35" x14ac:dyDescent="0.25">
      <c r="B51" s="29" t="str">
        <v>calibr_fr</v>
      </c>
      <c r="C51" s="29" t="str">
        <v>p_intake_atma</v>
      </c>
      <c r="D51" s="29" t="str">
        <v>p_out_atma</v>
      </c>
      <c r="E51" s="29" t="str">
        <v>t_choke_C</v>
      </c>
      <c r="F51" s="59" t="str">
        <v>calibr_fr</v>
      </c>
      <c r="G51" s="29" t="str">
        <v>log</v>
      </c>
      <c r="L51" t="str" cm="1">
        <f t="array" ref="L51">[1]!encode_feed_list(I49)</f>
        <v>[{"gamma_gas":0.6,"gamma_oil":0.86,"gamma_wat":1,"rsb_m3m3":100,"q_liq_sm3day":10},{"gamma_gas":0.6,"gamma_oil":0.86,"gamma_wat":1,"rsb_m3m3":100,"q_liq_sm3day":20},{"gamma_gas":0.6,"gamma_oil":0.86,"gamma_wat":1,"rsb_m3m3":100,"q_liq_sm3day":30},{"gamma_gas":0.6,"gamma_oil":0.86,"gamma_wat":1,"rsb_m3m3":100,"q_liq_sm3day":40},{"gamma_gas":0.6,"gamma_oil":0.86,"gamma_wat":1,"rsb_m3m3":100,"q_liq_sm3day":50}]</v>
      </c>
      <c r="X51" s="44"/>
      <c r="Y51" s="44"/>
      <c r="Z51" s="44"/>
      <c r="AA51" s="44"/>
    </row>
    <row r="52" spans="2:35" x14ac:dyDescent="0.25">
      <c r="I52" t="str" cm="1">
        <f t="array" ref="I52:J52">[1]!MF_choke_p_atma(d_choke,L51,Pbuf_,T_choke,d_pipe,0,,param)</f>
        <v>[23.2034645080566,23.8303527832031,24.9333953857422,26.6070861816406,29.0047912597656]</v>
      </c>
      <c r="J52" t="str">
        <v>[]</v>
      </c>
    </row>
    <row r="54" spans="2:35" x14ac:dyDescent="0.25">
      <c r="I54" t="str" cm="1">
        <f t="array" ref="I54:J54">[1]!MF_choke_q_sm3day(L51,d_choke,Pbuf_,Plin_,T_choke,,,I28)</f>
        <v>[43.2589390992925,43.2589390992925,43.2589390992925,43.2589390992925,43.2589390992922]</v>
      </c>
      <c r="J54" t="str">
        <v>[]</v>
      </c>
      <c r="L54" cm="1">
        <f t="array" ref="L54:L58">[1]!decode_json(I49)</f>
        <v>10</v>
      </c>
      <c r="M54" cm="1">
        <f t="array" ref="M54:M58">[1]!decode_json(I52)</f>
        <v>23.203464508056602</v>
      </c>
      <c r="N54" cm="1">
        <f t="array" ref="N54:N58">[1]!decode_json(I54)</f>
        <v>43.258939099292498</v>
      </c>
    </row>
    <row r="55" spans="2:35" x14ac:dyDescent="0.25">
      <c r="L55">
        <v>20</v>
      </c>
      <c r="M55">
        <v>23.8303527832031</v>
      </c>
      <c r="N55">
        <v>43.258939099292498</v>
      </c>
    </row>
    <row r="56" spans="2:35" x14ac:dyDescent="0.25">
      <c r="L56">
        <v>30</v>
      </c>
      <c r="M56">
        <v>24.933395385742202</v>
      </c>
      <c r="N56">
        <v>43.258939099292498</v>
      </c>
    </row>
    <row r="57" spans="2:35" x14ac:dyDescent="0.25">
      <c r="L57">
        <v>40</v>
      </c>
      <c r="M57">
        <v>26.6070861816406</v>
      </c>
      <c r="N57">
        <v>43.258939099292498</v>
      </c>
    </row>
    <row r="58" spans="2:35" x14ac:dyDescent="0.25">
      <c r="C58" s="57">
        <f>C62</f>
        <v>0</v>
      </c>
      <c r="L58">
        <v>50</v>
      </c>
      <c r="M58">
        <v>29.0047912597656</v>
      </c>
      <c r="N58">
        <v>43.258939099292199</v>
      </c>
    </row>
    <row r="59" spans="2:35" x14ac:dyDescent="0.25">
      <c r="C59" t="s">
        <v>10</v>
      </c>
    </row>
    <row r="60" spans="2:35" x14ac:dyDescent="0.25">
      <c r="C60" s="62" t="s">
        <v>8</v>
      </c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</row>
    <row r="61" spans="2:35" x14ac:dyDescent="0.25">
      <c r="B61" s="41" t="s">
        <v>13</v>
      </c>
      <c r="C61" s="2">
        <v>0</v>
      </c>
      <c r="D61" s="2">
        <v>1</v>
      </c>
      <c r="E61" s="19">
        <v>2</v>
      </c>
      <c r="F61" s="2">
        <v>4</v>
      </c>
      <c r="G61" s="20">
        <v>8</v>
      </c>
      <c r="H61" s="2">
        <v>10</v>
      </c>
      <c r="I61" s="2">
        <v>20</v>
      </c>
      <c r="J61" s="2">
        <v>30</v>
      </c>
      <c r="K61" s="2">
        <v>40</v>
      </c>
      <c r="L61" s="2">
        <v>50</v>
      </c>
      <c r="M61" s="2">
        <v>60</v>
      </c>
      <c r="N61" s="2">
        <v>70</v>
      </c>
      <c r="O61" s="2">
        <v>80</v>
      </c>
      <c r="P61" s="2">
        <v>90</v>
      </c>
      <c r="Q61" s="2">
        <v>100</v>
      </c>
      <c r="R61" s="2">
        <v>110</v>
      </c>
      <c r="S61" s="2">
        <v>120</v>
      </c>
      <c r="T61" s="2">
        <v>130</v>
      </c>
      <c r="U61" s="2">
        <v>140</v>
      </c>
      <c r="V61" s="2">
        <v>150</v>
      </c>
      <c r="W61" s="2">
        <v>160</v>
      </c>
      <c r="X61" s="2">
        <v>170</v>
      </c>
      <c r="Y61" s="2">
        <v>180</v>
      </c>
      <c r="Z61" s="2">
        <v>190</v>
      </c>
      <c r="AA61" s="2">
        <v>200</v>
      </c>
      <c r="AB61" s="2">
        <v>210</v>
      </c>
      <c r="AC61" s="2">
        <v>220</v>
      </c>
      <c r="AD61" s="2">
        <v>230</v>
      </c>
    </row>
    <row r="62" spans="2:35" x14ac:dyDescent="0.25">
      <c r="B62" s="26">
        <v>1</v>
      </c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27"/>
      <c r="AD62" s="27"/>
    </row>
    <row r="63" spans="2:35" x14ac:dyDescent="0.25">
      <c r="B63" s="26">
        <v>5</v>
      </c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</row>
    <row r="64" spans="2:35" x14ac:dyDescent="0.25">
      <c r="B64" s="26">
        <v>10</v>
      </c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27"/>
      <c r="AD64" s="27"/>
    </row>
    <row r="65" spans="2:38" x14ac:dyDescent="0.25">
      <c r="B65" s="26">
        <v>15</v>
      </c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27"/>
      <c r="AD65" s="27"/>
    </row>
    <row r="66" spans="2:38" x14ac:dyDescent="0.25">
      <c r="B66" s="26">
        <v>20</v>
      </c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27"/>
      <c r="AD66" s="27"/>
    </row>
    <row r="67" spans="2:38" x14ac:dyDescent="0.25">
      <c r="B67" s="26">
        <v>30</v>
      </c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27"/>
      <c r="AD67" s="27"/>
    </row>
    <row r="68" spans="2:38" x14ac:dyDescent="0.25">
      <c r="C68" s="3"/>
      <c r="D68" s="3"/>
      <c r="E68" s="4"/>
      <c r="F68" s="5"/>
      <c r="G68" s="5"/>
      <c r="I68" s="3"/>
    </row>
    <row r="69" spans="2:38" x14ac:dyDescent="0.25">
      <c r="C69" s="3"/>
      <c r="D69" s="3"/>
      <c r="E69" s="4"/>
      <c r="F69" s="5"/>
      <c r="G69" s="5"/>
      <c r="I69" s="3"/>
    </row>
    <row r="71" spans="2:38" x14ac:dyDescent="0.25">
      <c r="B71" s="21" t="s">
        <v>38</v>
      </c>
      <c r="C71" s="17" t="e">
        <f ca="1">[1]!MF_q_choke_sm3day(fw_,d_choke,B79,1,d_pipe,T_choke,,PVTstr_)</f>
        <v>#NAME?</v>
      </c>
    </row>
    <row r="72" spans="2:38" x14ac:dyDescent="0.25">
      <c r="C72" s="61" t="s">
        <v>8</v>
      </c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</row>
    <row r="73" spans="2:38" x14ac:dyDescent="0.25">
      <c r="B73" s="41" t="s">
        <v>37</v>
      </c>
      <c r="C73" s="2">
        <v>0</v>
      </c>
      <c r="D73" s="19">
        <v>15</v>
      </c>
      <c r="E73" s="19">
        <v>28</v>
      </c>
      <c r="F73" s="19">
        <v>35</v>
      </c>
      <c r="G73" s="19">
        <v>40</v>
      </c>
      <c r="H73" s="19">
        <v>43</v>
      </c>
      <c r="I73" s="19">
        <v>43.96</v>
      </c>
      <c r="J73" s="19">
        <v>44</v>
      </c>
      <c r="K73" s="19">
        <v>53</v>
      </c>
      <c r="L73" s="19">
        <v>58</v>
      </c>
      <c r="M73" s="19">
        <v>60</v>
      </c>
      <c r="N73" s="19">
        <v>62</v>
      </c>
      <c r="O73" s="19">
        <v>65</v>
      </c>
      <c r="P73" s="19">
        <v>67</v>
      </c>
      <c r="Q73" s="19">
        <v>67.2</v>
      </c>
      <c r="R73" s="19">
        <v>76</v>
      </c>
      <c r="S73" s="19">
        <v>85</v>
      </c>
      <c r="T73" s="19">
        <v>90</v>
      </c>
      <c r="U73" s="19">
        <v>91</v>
      </c>
      <c r="V73" s="19">
        <v>91.1</v>
      </c>
      <c r="W73" s="22">
        <v>100</v>
      </c>
      <c r="X73" s="22">
        <v>110</v>
      </c>
      <c r="Y73" s="22">
        <v>113</v>
      </c>
      <c r="Z73" s="22">
        <v>116</v>
      </c>
      <c r="AA73" s="22">
        <v>116.5</v>
      </c>
      <c r="AB73" s="22">
        <v>125</v>
      </c>
      <c r="AC73" s="22">
        <v>130</v>
      </c>
      <c r="AD73" s="22">
        <v>138</v>
      </c>
      <c r="AE73" s="22">
        <v>142.5</v>
      </c>
      <c r="AF73" s="22">
        <v>142.69999999999999</v>
      </c>
      <c r="AG73" s="22">
        <v>150</v>
      </c>
      <c r="AH73" s="22">
        <v>160</v>
      </c>
      <c r="AI73" s="22">
        <v>165</v>
      </c>
      <c r="AJ73" s="22">
        <v>168</v>
      </c>
      <c r="AK73" s="22">
        <v>170</v>
      </c>
      <c r="AL73" s="22">
        <v>170.3</v>
      </c>
    </row>
    <row r="74" spans="2:38" x14ac:dyDescent="0.25">
      <c r="B74" s="26">
        <v>10</v>
      </c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27"/>
      <c r="AD74" s="27"/>
      <c r="AE74" s="27"/>
      <c r="AF74" s="27"/>
      <c r="AG74" s="27"/>
      <c r="AH74" s="27"/>
      <c r="AI74" s="27"/>
      <c r="AJ74" s="27"/>
      <c r="AK74" s="27"/>
      <c r="AL74" s="27"/>
    </row>
    <row r="75" spans="2:38" x14ac:dyDescent="0.25">
      <c r="B75" s="26">
        <v>15</v>
      </c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27"/>
      <c r="AD75" s="27"/>
      <c r="AE75" s="27"/>
      <c r="AF75" s="27"/>
      <c r="AG75" s="27"/>
      <c r="AH75" s="27"/>
      <c r="AI75" s="27"/>
      <c r="AJ75" s="27"/>
      <c r="AK75" s="27"/>
      <c r="AL75" s="27"/>
    </row>
    <row r="76" spans="2:38" x14ac:dyDescent="0.25">
      <c r="B76" s="26">
        <v>20</v>
      </c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27"/>
      <c r="AD76" s="27"/>
      <c r="AE76" s="27"/>
      <c r="AF76" s="27"/>
      <c r="AG76" s="27"/>
      <c r="AH76" s="27"/>
      <c r="AI76" s="27"/>
      <c r="AJ76" s="27"/>
      <c r="AK76" s="27"/>
      <c r="AL76" s="27"/>
    </row>
    <row r="77" spans="2:38" x14ac:dyDescent="0.25">
      <c r="B77" s="26">
        <v>25</v>
      </c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</row>
    <row r="78" spans="2:38" x14ac:dyDescent="0.25">
      <c r="B78" s="26">
        <v>30</v>
      </c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27"/>
      <c r="AD78" s="27"/>
      <c r="AE78" s="27"/>
      <c r="AF78" s="27"/>
      <c r="AG78" s="27"/>
      <c r="AH78" s="27"/>
      <c r="AI78" s="27"/>
      <c r="AJ78" s="27"/>
      <c r="AK78" s="27"/>
      <c r="AL78" s="27"/>
    </row>
    <row r="79" spans="2:38" x14ac:dyDescent="0.25">
      <c r="B79" s="26">
        <v>35</v>
      </c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</row>
    <row r="82" spans="3:4" x14ac:dyDescent="0.25">
      <c r="C82" t="str" cm="1">
        <f t="array" ref="C82">[1]!MF_choke_crv_json(d_choke,feed,Pbuf_,T_choke,d_pipe,0)</f>
        <v>error:MF_choke_crv_json:Object variable or With block variable not set</v>
      </c>
    </row>
    <row r="85" spans="3:4" x14ac:dyDescent="0.25">
      <c r="C85" t="str" cm="1">
        <f t="array" ref="C85">[1]!decode_json_crv(C82)</f>
        <v>error</v>
      </c>
    </row>
    <row r="86" spans="3:4" x14ac:dyDescent="0.25">
      <c r="C86" s="60"/>
      <c r="D86" s="60"/>
    </row>
    <row r="87" spans="3:4" x14ac:dyDescent="0.25">
      <c r="C87" s="60"/>
      <c r="D87" s="60"/>
    </row>
    <row r="88" spans="3:4" x14ac:dyDescent="0.25">
      <c r="C88" s="60"/>
      <c r="D88" s="60"/>
    </row>
    <row r="89" spans="3:4" x14ac:dyDescent="0.25">
      <c r="C89" s="60"/>
      <c r="D89" s="60"/>
    </row>
    <row r="90" spans="3:4" x14ac:dyDescent="0.25">
      <c r="C90" s="60"/>
      <c r="D90" s="60"/>
    </row>
    <row r="91" spans="3:4" x14ac:dyDescent="0.25">
      <c r="C91" s="60"/>
      <c r="D91" s="60"/>
    </row>
    <row r="92" spans="3:4" x14ac:dyDescent="0.25">
      <c r="C92" s="60"/>
      <c r="D92" s="60"/>
    </row>
    <row r="93" spans="3:4" x14ac:dyDescent="0.25">
      <c r="C93" s="60"/>
      <c r="D93" s="60"/>
    </row>
    <row r="94" spans="3:4" x14ac:dyDescent="0.25">
      <c r="C94" s="60"/>
      <c r="D94" s="60"/>
    </row>
    <row r="95" spans="3:4" x14ac:dyDescent="0.25">
      <c r="C95" s="60"/>
      <c r="D95" s="60"/>
    </row>
    <row r="96" spans="3:4" x14ac:dyDescent="0.25">
      <c r="C96" s="60"/>
      <c r="D96" s="60"/>
    </row>
    <row r="97" spans="3:4" x14ac:dyDescent="0.25">
      <c r="C97" s="60"/>
      <c r="D97" s="60"/>
    </row>
    <row r="98" spans="3:4" x14ac:dyDescent="0.25">
      <c r="C98" s="60"/>
      <c r="D98" s="60"/>
    </row>
    <row r="99" spans="3:4" x14ac:dyDescent="0.25">
      <c r="C99" s="60"/>
      <c r="D99" s="60"/>
    </row>
    <row r="100" spans="3:4" x14ac:dyDescent="0.25">
      <c r="C100" s="60"/>
      <c r="D100" s="60"/>
    </row>
    <row r="101" spans="3:4" x14ac:dyDescent="0.25">
      <c r="C101" s="60"/>
      <c r="D101" s="60"/>
    </row>
    <row r="102" spans="3:4" x14ac:dyDescent="0.25">
      <c r="C102" s="60"/>
      <c r="D102" s="60"/>
    </row>
    <row r="103" spans="3:4" x14ac:dyDescent="0.25">
      <c r="C103" s="60"/>
      <c r="D103" s="60"/>
    </row>
    <row r="104" spans="3:4" x14ac:dyDescent="0.25">
      <c r="C104" s="60"/>
      <c r="D104" s="60"/>
    </row>
    <row r="105" spans="3:4" x14ac:dyDescent="0.25">
      <c r="C105" s="60"/>
      <c r="D105" s="60"/>
    </row>
  </sheetData>
  <mergeCells count="6">
    <mergeCell ref="C72:N72"/>
    <mergeCell ref="B3:E3"/>
    <mergeCell ref="B4:E4"/>
    <mergeCell ref="B5:E5"/>
    <mergeCell ref="B6:E8"/>
    <mergeCell ref="C60:N60"/>
  </mergeCells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39</vt:i4>
      </vt:variant>
    </vt:vector>
  </HeadingPairs>
  <TitlesOfParts>
    <vt:vector size="40" baseType="lpstr">
      <vt:lpstr>exercise_choke</vt:lpstr>
      <vt:lpstr>exercise_choke!Bob_</vt:lpstr>
      <vt:lpstr>calc_along_flow</vt:lpstr>
      <vt:lpstr>exercise_choke!cf_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exercise_choke!input_1</vt:lpstr>
      <vt:lpstr>exercise_choke!input_2</vt:lpstr>
      <vt:lpstr>exercise_choke!input_3</vt:lpstr>
      <vt:lpstr>exercise_choke!input_4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exercise_choke!output_0</vt:lpstr>
      <vt:lpstr>exercise_choke!output_1</vt:lpstr>
      <vt:lpstr>param</vt:lpstr>
      <vt:lpstr>exercise_choke!Pb_</vt:lpstr>
      <vt:lpstr>exercise_choke!Pbuf_</vt:lpstr>
      <vt:lpstr>exercise_choke!Plin_</vt:lpstr>
      <vt:lpstr>exercise_choke!PVT_str_wat_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2021-07-29T09:47:09Z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