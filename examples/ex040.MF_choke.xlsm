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D379886D-02D3-451E-AE6D-E3E86E32782C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exercise_choke!$C$105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exercise_choke!$B$60:$B$65</definedName>
    <definedName name="input_2" localSheetId="0">exercise_choke!$C$59:$AD$59</definedName>
    <definedName name="input_3" localSheetId="0">exercise_choke!$B$72:$B$77</definedName>
    <definedName name="input_4" localSheetId="0">exercise_choke!$C$71:$AL$71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exercise_choke!$C$60:$AD$65</definedName>
    <definedName name="output_1" localSheetId="0">exercise_choke!$C$72:$AL$77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F93" i="120" a="1"/>
  <c r="G24" i="120"/>
  <c r="G1" i="120"/>
  <c r="I28" i="120" a="1"/>
  <c r="B48" i="120" a="1"/>
  <c r="L109" i="120"/>
  <c r="AI76" i="120"/>
  <c r="AI72" i="120"/>
  <c r="D62" i="120"/>
  <c r="Z74" i="120"/>
  <c r="J77" i="120"/>
  <c r="J73" i="120"/>
  <c r="O62" i="120"/>
  <c r="N74" i="120"/>
  <c r="I77" i="120"/>
  <c r="I73" i="120"/>
  <c r="N62" i="120"/>
  <c r="N61" i="120"/>
  <c r="T77" i="120"/>
  <c r="T73" i="120"/>
  <c r="Y62" i="120"/>
  <c r="R63" i="120"/>
  <c r="G108" i="120"/>
  <c r="G74" i="120"/>
  <c r="T63" i="120"/>
  <c r="V65" i="120"/>
  <c r="AD77" i="120"/>
  <c r="AD73" i="120"/>
  <c r="G63" i="120"/>
  <c r="Z72" i="120"/>
  <c r="P108" i="120"/>
  <c r="P74" i="120"/>
  <c r="AC63" i="120"/>
  <c r="Z76" i="120"/>
  <c r="AA77" i="120"/>
  <c r="AA73" i="120"/>
  <c r="D63" i="120"/>
  <c r="Z77" i="120"/>
  <c r="Y108" i="120"/>
  <c r="Y74" i="120"/>
  <c r="J64" i="120"/>
  <c r="AJ77" i="120"/>
  <c r="S62" i="120"/>
  <c r="V72" i="120"/>
  <c r="U76" i="120"/>
  <c r="R61" i="120"/>
  <c r="AF72" i="120"/>
  <c r="S77" i="120"/>
  <c r="N76" i="120"/>
  <c r="K62" i="120"/>
  <c r="AB73" i="120"/>
  <c r="N73" i="120"/>
  <c r="H62" i="120"/>
  <c r="AK73" i="120"/>
  <c r="AD76" i="120"/>
  <c r="P73" i="120"/>
  <c r="AA76" i="120"/>
  <c r="Y77" i="120"/>
  <c r="W75" i="120"/>
  <c r="AH75" i="120"/>
  <c r="Z65" i="120"/>
  <c r="H72" i="120"/>
  <c r="AE72" i="120"/>
  <c r="R72" i="120"/>
  <c r="D73" i="120"/>
  <c r="O72" i="120"/>
  <c r="M77" i="120"/>
  <c r="AB76" i="120"/>
  <c r="C76" i="120"/>
  <c r="AK76" i="120"/>
  <c r="P64" i="120"/>
  <c r="Y64" i="120"/>
  <c r="M75" i="120"/>
  <c r="V77" i="120"/>
  <c r="U77" i="120"/>
  <c r="E72" i="120"/>
  <c r="Z75" i="120"/>
  <c r="C108" i="120"/>
  <c r="X108" i="120"/>
  <c r="X77" i="120"/>
  <c r="W76" i="120"/>
  <c r="W72" i="120"/>
  <c r="T61" i="120"/>
  <c r="N72" i="120"/>
  <c r="AH76" i="120"/>
  <c r="AH72" i="120"/>
  <c r="C62" i="120"/>
  <c r="C69" i="120"/>
  <c r="AG76" i="120"/>
  <c r="AG72" i="120"/>
  <c r="AD61" i="120"/>
  <c r="N75" i="120"/>
  <c r="H77" i="120"/>
  <c r="H73" i="120"/>
  <c r="M62" i="120"/>
  <c r="AD60" i="120"/>
  <c r="AE77" i="120"/>
  <c r="AE73" i="120"/>
  <c r="H63" i="120"/>
  <c r="F63" i="120"/>
  <c r="R77" i="120"/>
  <c r="R73" i="120"/>
  <c r="W62" i="120"/>
  <c r="AA63" i="120"/>
  <c r="D108" i="120"/>
  <c r="D74" i="120"/>
  <c r="Q63" i="120"/>
  <c r="AL74" i="120"/>
  <c r="O77" i="120"/>
  <c r="O73" i="120"/>
  <c r="T62" i="120"/>
  <c r="AL76" i="120"/>
  <c r="M108" i="120"/>
  <c r="M74" i="120"/>
  <c r="Z63" i="120"/>
  <c r="X74" i="120"/>
  <c r="K72" i="120"/>
  <c r="S61" i="120"/>
  <c r="U72" i="120"/>
  <c r="AF76" i="120"/>
  <c r="AC61" i="120"/>
  <c r="S73" i="120"/>
  <c r="F77" i="120"/>
  <c r="O60" i="120"/>
  <c r="E63" i="120"/>
  <c r="C73" i="120"/>
  <c r="AK77" i="120"/>
  <c r="Q65" i="120"/>
  <c r="X75" i="120"/>
  <c r="K64" i="120"/>
  <c r="Z73" i="120"/>
  <c r="U61" i="120"/>
  <c r="X72" i="120"/>
  <c r="W60" i="120"/>
  <c r="V60" i="120"/>
  <c r="E61" i="120"/>
  <c r="AB61" i="120"/>
  <c r="U64" i="120"/>
  <c r="O76" i="120"/>
  <c r="M73" i="120"/>
  <c r="Y61" i="120"/>
  <c r="AB60" i="120"/>
  <c r="F62" i="120"/>
  <c r="E76" i="120"/>
  <c r="Z61" i="120"/>
  <c r="O74" i="120"/>
  <c r="AB63" i="120"/>
  <c r="K77" i="120"/>
  <c r="AA62" i="120"/>
  <c r="F60" i="120"/>
  <c r="AF73" i="120"/>
  <c r="I63" i="120"/>
  <c r="F108" i="120"/>
  <c r="F74" i="120"/>
  <c r="N77" i="120"/>
  <c r="M109" i="120"/>
  <c r="V64" i="120"/>
  <c r="L74" i="120"/>
  <c r="K76" i="120"/>
  <c r="H61" i="120"/>
  <c r="V76" i="120"/>
  <c r="G62" i="120"/>
  <c r="G65" i="120"/>
  <c r="AL73" i="120"/>
  <c r="X62" i="120"/>
  <c r="F73" i="120"/>
  <c r="AB77" i="120"/>
  <c r="C77" i="120"/>
  <c r="AL75" i="120"/>
  <c r="N63" i="120"/>
  <c r="AA61" i="120"/>
  <c r="U62" i="120"/>
  <c r="X61" i="120"/>
  <c r="AD62" i="120"/>
  <c r="L60" i="120"/>
  <c r="L72" i="120"/>
  <c r="AJ75" i="120"/>
  <c r="C63" i="120"/>
  <c r="O63" i="120"/>
  <c r="O61" i="120"/>
  <c r="I62" i="120"/>
  <c r="W64" i="120"/>
  <c r="AB72" i="120"/>
  <c r="C72" i="120"/>
  <c r="AK72" i="120"/>
  <c r="R108" i="120"/>
  <c r="N108" i="120"/>
  <c r="X109" i="120"/>
  <c r="V73" i="120"/>
  <c r="AF77" i="120"/>
  <c r="AC73" i="120"/>
  <c r="M64" i="120"/>
  <c r="AK74" i="120"/>
  <c r="I64" i="120"/>
  <c r="AI75" i="120"/>
  <c r="AB65" i="120"/>
  <c r="X60" i="120"/>
  <c r="AJ76" i="120"/>
  <c r="J76" i="120"/>
  <c r="J72" i="120"/>
  <c r="G61" i="120"/>
  <c r="L77" i="120"/>
  <c r="I76" i="120"/>
  <c r="I72" i="120"/>
  <c r="F61" i="120"/>
  <c r="K61" i="120"/>
  <c r="T76" i="120"/>
  <c r="T72" i="120"/>
  <c r="Q61" i="120"/>
  <c r="S65" i="120"/>
  <c r="G77" i="120"/>
  <c r="G73" i="120"/>
  <c r="L62" i="120"/>
  <c r="AL72" i="120"/>
  <c r="AD72" i="120"/>
  <c r="P77" i="120"/>
  <c r="AA72" i="120"/>
  <c r="Y73" i="120"/>
  <c r="P65" i="120"/>
  <c r="AA65" i="120"/>
  <c r="AG75" i="120"/>
  <c r="H76" i="120"/>
  <c r="AE76" i="120"/>
  <c r="R76" i="120"/>
  <c r="D77" i="120"/>
  <c r="AA60" i="120"/>
  <c r="L61" i="120"/>
  <c r="R62" i="120"/>
  <c r="L75" i="120"/>
  <c r="W61" i="120"/>
  <c r="AE74" i="120"/>
  <c r="P109" i="120"/>
  <c r="Y109" i="120"/>
  <c r="P62" i="120"/>
  <c r="U73" i="120"/>
  <c r="S74" i="120"/>
  <c r="AB74" i="120"/>
  <c r="AL77" i="120"/>
  <c r="B44" i="120" a="1"/>
  <c r="W109" i="120"/>
  <c r="K75" i="120"/>
  <c r="D65" i="120"/>
  <c r="E109" i="120"/>
  <c r="I61" i="120"/>
  <c r="V75" i="120"/>
  <c r="O65" i="120"/>
  <c r="K60" i="120"/>
  <c r="Y60" i="120"/>
  <c r="U75" i="120"/>
  <c r="N65" i="120"/>
  <c r="J60" i="120"/>
  <c r="X73" i="120"/>
  <c r="AF75" i="120"/>
  <c r="Y65" i="120"/>
  <c r="U60" i="120"/>
  <c r="C60" i="120"/>
  <c r="S76" i="120"/>
  <c r="S72" i="120"/>
  <c r="P61" i="120"/>
  <c r="X76" i="120"/>
  <c r="F76" i="120"/>
  <c r="F72" i="120"/>
  <c r="C61" i="120"/>
  <c r="K109" i="120"/>
  <c r="AI74" i="120"/>
  <c r="T64" i="120"/>
  <c r="AC76" i="120"/>
  <c r="V109" i="120"/>
  <c r="J75" i="120"/>
  <c r="C65" i="120"/>
  <c r="Q108" i="120"/>
  <c r="U109" i="120"/>
  <c r="I75" i="120"/>
  <c r="AD64" i="120"/>
  <c r="G60" i="120"/>
  <c r="AC62" i="120"/>
  <c r="T75" i="120"/>
  <c r="M65" i="120"/>
  <c r="I60" i="120"/>
  <c r="AJ74" i="120"/>
  <c r="G76" i="120"/>
  <c r="G72" i="120"/>
  <c r="D61" i="120"/>
  <c r="L73" i="120"/>
  <c r="AD75" i="120"/>
  <c r="W65" i="120"/>
  <c r="AC77" i="120"/>
  <c r="Q109" i="120"/>
  <c r="P76" i="120"/>
  <c r="P72" i="120"/>
  <c r="M61" i="120"/>
  <c r="E65" i="120"/>
  <c r="AA75" i="120"/>
  <c r="T65" i="120"/>
  <c r="P60" i="120"/>
  <c r="L76" i="120"/>
  <c r="Y76" i="120"/>
  <c r="Y72" i="120"/>
  <c r="V61" i="120"/>
  <c r="S64" i="120"/>
  <c r="I109" i="120"/>
  <c r="R64" i="120"/>
  <c r="T109" i="120"/>
  <c r="AC64" i="120"/>
  <c r="AC65" i="120"/>
  <c r="X65" i="120"/>
  <c r="M63" i="120"/>
  <c r="R75" i="120"/>
  <c r="AC74" i="120"/>
  <c r="D76" i="120"/>
  <c r="AC60" i="120"/>
  <c r="O75" i="120"/>
  <c r="D60" i="120"/>
  <c r="M76" i="120"/>
  <c r="J61" i="120"/>
  <c r="AB64" i="120"/>
  <c r="O64" i="120"/>
  <c r="P75" i="120"/>
  <c r="C109" i="120"/>
  <c r="L64" i="120"/>
  <c r="Y75" i="120"/>
  <c r="N60" i="120"/>
  <c r="W73" i="120"/>
  <c r="V62" i="120"/>
  <c r="AH73" i="120"/>
  <c r="J62" i="120"/>
  <c r="AG73" i="120"/>
  <c r="Q72" i="120"/>
  <c r="H74" i="120"/>
  <c r="G109" i="120"/>
  <c r="C64" i="120"/>
  <c r="O108" i="120"/>
  <c r="F65" i="120"/>
  <c r="R60" i="120"/>
  <c r="Z62" i="120"/>
  <c r="S108" i="120"/>
  <c r="S63" i="120"/>
  <c r="C74" i="120"/>
  <c r="W108" i="120"/>
  <c r="W74" i="120"/>
  <c r="H64" i="120"/>
  <c r="E75" i="120"/>
  <c r="J109" i="120"/>
  <c r="AH74" i="120"/>
  <c r="Q75" i="120"/>
  <c r="AG74" i="120"/>
  <c r="Q77" i="120"/>
  <c r="H75" i="120"/>
  <c r="S60" i="120"/>
  <c r="AE75" i="120"/>
  <c r="T60" i="120"/>
  <c r="K65" i="120"/>
  <c r="L108" i="120"/>
  <c r="D72" i="120"/>
  <c r="M60" i="120"/>
  <c r="H65" i="120"/>
  <c r="AJ72" i="120"/>
  <c r="M72" i="120"/>
  <c r="G75" i="120"/>
  <c r="AD74" i="120"/>
  <c r="Y63" i="120"/>
  <c r="E60" i="120"/>
  <c r="N109" i="120"/>
  <c r="R65" i="120"/>
  <c r="W77" i="120"/>
  <c r="AB62" i="120"/>
  <c r="AH77" i="120"/>
  <c r="K63" i="120"/>
  <c r="AG77" i="120"/>
  <c r="J63" i="120"/>
  <c r="H108" i="120"/>
  <c r="U63" i="120"/>
  <c r="E74" i="120"/>
  <c r="R74" i="120"/>
  <c r="D75" i="120"/>
  <c r="Z108" i="120"/>
  <c r="K73" i="120"/>
  <c r="AD63" i="120"/>
  <c r="D64" i="120"/>
  <c r="D109" i="120"/>
  <c r="P63" i="120"/>
  <c r="K108" i="120"/>
  <c r="K74" i="120"/>
  <c r="X63" i="120"/>
  <c r="E73" i="120"/>
  <c r="V108" i="120"/>
  <c r="V74" i="120"/>
  <c r="G64" i="120"/>
  <c r="Q73" i="120"/>
  <c r="U108" i="120"/>
  <c r="U74" i="120"/>
  <c r="F64" i="120"/>
  <c r="Q76" i="120"/>
  <c r="H109" i="120"/>
  <c r="AF74" i="120"/>
  <c r="Q64" i="120"/>
  <c r="E77" i="120"/>
  <c r="E62" i="120"/>
  <c r="S75" i="120"/>
  <c r="L65" i="120"/>
  <c r="H60" i="120"/>
  <c r="R109" i="120"/>
  <c r="F75" i="120"/>
  <c r="AA64" i="120"/>
  <c r="AC72" i="120"/>
  <c r="AJ73" i="120"/>
  <c r="AB75" i="120"/>
  <c r="U65" i="120"/>
  <c r="Q60" i="120"/>
  <c r="O109" i="120"/>
  <c r="C75" i="120"/>
  <c r="X64" i="120"/>
  <c r="Z109" i="120"/>
  <c r="Q62" i="120"/>
  <c r="AK75" i="120"/>
  <c r="AD65" i="120"/>
  <c r="Z60" i="120"/>
  <c r="AI77" i="120"/>
  <c r="AI73" i="120"/>
  <c r="L63" i="120"/>
  <c r="Z64" i="120"/>
  <c r="J108" i="120"/>
  <c r="J74" i="120"/>
  <c r="W63" i="120"/>
  <c r="J65" i="120"/>
  <c r="I108" i="120"/>
  <c r="I74" i="120"/>
  <c r="V63" i="120"/>
  <c r="Q74" i="120"/>
  <c r="T108" i="120"/>
  <c r="T74" i="120"/>
  <c r="E64" i="120"/>
  <c r="AC75" i="120"/>
  <c r="S109" i="120"/>
  <c r="E108" i="120"/>
  <c r="F109" i="120"/>
  <c r="N64" i="120"/>
  <c r="I65" i="120"/>
  <c r="AA74" i="120"/>
  <c r="B88" i="120" a="1"/>
  <c r="I93" i="120" l="1"/>
  <c r="J94" i="120"/>
  <c r="K95" i="120"/>
  <c r="K93" i="120"/>
  <c r="M94" i="120"/>
  <c r="N95" i="120"/>
  <c r="N94" i="120"/>
  <c r="N93" i="120"/>
  <c r="P95" i="120"/>
  <c r="P94" i="120"/>
  <c r="F95" i="120"/>
  <c r="J93" i="120"/>
  <c r="K94" i="120"/>
  <c r="L95" i="120"/>
  <c r="L94" i="120"/>
  <c r="M95" i="120"/>
  <c r="L93" i="120"/>
  <c r="M93" i="120"/>
  <c r="O95" i="120"/>
  <c r="O94" i="120"/>
  <c r="O93" i="120"/>
  <c r="P93" i="120"/>
  <c r="F94" i="120"/>
  <c r="G95" i="120"/>
  <c r="F93" i="120"/>
  <c r="G94" i="120"/>
  <c r="H95" i="120"/>
  <c r="G93" i="120"/>
  <c r="H94" i="120"/>
  <c r="I95" i="120"/>
  <c r="H93" i="120"/>
  <c r="I94" i="120"/>
  <c r="J95" i="120"/>
  <c r="I28" i="120"/>
  <c r="B88" i="120"/>
  <c r="B44" i="120"/>
  <c r="C44" i="120"/>
  <c r="D44" i="120"/>
  <c r="E44" i="120"/>
  <c r="F44" i="120"/>
  <c r="B45" i="120"/>
  <c r="C45" i="120"/>
  <c r="D45" i="120"/>
  <c r="E45" i="120"/>
  <c r="F45" i="120"/>
  <c r="B48" i="120"/>
  <c r="C48" i="120"/>
  <c r="D48" i="120"/>
  <c r="E48" i="120"/>
  <c r="F48" i="120"/>
  <c r="B49" i="120"/>
  <c r="C49" i="120"/>
  <c r="D49" i="120"/>
  <c r="E49" i="120"/>
  <c r="F49" i="120"/>
  <c r="G25" i="120" a="1"/>
  <c r="G25" i="120" l="1"/>
  <c r="F88" i="120" a="1"/>
  <c r="B35" i="120" a="1"/>
  <c r="B40" i="120" a="1"/>
  <c r="W10" i="120" a="1"/>
  <c r="F88" i="120" l="1"/>
  <c r="B35" i="120"/>
  <c r="W10" i="120"/>
  <c r="D40" i="120"/>
  <c r="B40" i="120"/>
  <c r="C40" i="120"/>
  <c r="F40" i="120"/>
  <c r="B41" i="120"/>
  <c r="E41" i="120"/>
  <c r="F41" i="120"/>
  <c r="E40" i="120"/>
  <c r="C41" i="120"/>
  <c r="D41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<sst xmlns="http://schemas.openxmlformats.org/spreadsheetml/2006/main" count="83" uniqueCount="67">
  <si>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</si>
  <si>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</si>
  <si>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</si>
  <si>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</si>
  <si>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</si>
  <si>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</si>
  <si>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</si>
  <si>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</si>
  <si>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</si>
  <si>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</si>
  <si>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</si>
  <si>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</si>
  <si>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</si>
  <si>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</si>
  <si>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</si>
  <si>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</si>
  <si>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</si>
  <si>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</si>
  <si>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</si>
  <si>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</si>
  <si>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</si>
  <si>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</si>
  <si>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</si>
  <si>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</si>
  <si>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</si>
  <si>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</si>
  <si>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</si>
  <si>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</si>
  <si>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</si>
  <si>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</si>
  <si>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</si>
  <si>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</si>
  <si>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</si>
  <si>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</si>
  <si>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</si>
  <si>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</si>
  <si>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</si>
  <si>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</si>
  <si>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</si>
  <si>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</si>
  <si>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</si>
  <si>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</si>
  <si>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</si>
  <si>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</si>
  <si>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</si>
  <si>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</si>
  <si>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</si>
  <si>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</si>
  <si>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</si>
  <si>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</si>
  <si>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</si>
  <si>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</si>
  <si>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</si>
  <si>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</si>
  <si>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</si>
  <si>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</si>
  <si>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</si>
  <si>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</si>
  <si>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</si>
  <si>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</si>
  <si>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</si>
  <si>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</si>
  <si>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</si>
  <si>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</si>
  <si>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</si>
  <si>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calc_along_flow</t>
  </si>
  <si>
    <t>параметры закодированные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</si>
</sst>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65" fontId="0" fillId="6" borderId="2" xfId="0" applyNumberFormat="1" applyFill="1" applyBorder="1" applyAlignment="1">
      <alignment horizontal="center"/>
    </xf>
    <xf numFmtId="165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exercise_choke!$B$72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exercise_choke!$C$71:$V$71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exercise_choke!$C$72:$V$72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exercise_choke!$B$73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exercise_choke!$C$71:$V$71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exercise_choke!$C$73:$V$73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exercise_choke!$B$74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exercise_choke!$C$71:$V$71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exercise_choke!$C$74:$V$74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exercise_choke!$B$75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exercise_choke!$I$47:$AW$47</c:f>
              <c:numCache>
                <c:formatCode>General</c:formatCode>
                <c:ptCount val="41"/>
              </c:numCache>
            </c:numRef>
          </c:xVal>
          <c:yVal>
            <c:numRef>
              <c:f>exercise_choke!$I$51:$AW$51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exercise_choke!$B$76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exercise_choke!$I$47:$AW$47</c:f>
              <c:numCache>
                <c:formatCode>General</c:formatCode>
                <c:ptCount val="41"/>
              </c:numCache>
            </c:numRef>
          </c:xVal>
          <c:yVal>
            <c:numRef>
              <c:f>exercise_choke!$I$52:$AW$52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exercise_choke!$B$77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exercise_choke!$C$71:$AL$71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exercise_choke!$C$107:$V$107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exercise_choke!$C$108:$V$108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exercise_choke!$B$109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exercise_choke!$C$107:$Z$107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exercise_choke!$C$109:$Z$109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exercise_choke!$B$60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exercise_choke!$C$60:$AD$60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exercise_choke!$C$61:$AD$61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exercise_choke!$B$62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exercise_choke!$B$63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exercise_choke!$B$64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exercise_choke!$B$65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exercise_choke!$C$59:$AD$59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6679396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5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5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5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53</xdr:col>
      <xdr:colOff>289794</xdr:colOff>
      <xdr:row>89</xdr:row>
      <xdr:rowOff>101430</xdr:rowOff>
    </xdr:from>
    <xdr:to>
      <xdr:col>65</xdr:col>
      <xdr:colOff>386042</xdr:colOff>
      <xdr:row>116</xdr:row>
      <xdr:rowOff>157162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113</xdr:row>
      <xdr:rowOff>110986</xdr:rowOff>
    </xdr:from>
    <xdr:to>
      <xdr:col>16</xdr:col>
      <xdr:colOff>339567</xdr:colOff>
      <xdr:row>145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314739</xdr:colOff>
      <xdr:row>49</xdr:row>
      <xdr:rowOff>107674</xdr:rowOff>
    </xdr:from>
    <xdr:to>
      <xdr:col>5</xdr:col>
      <xdr:colOff>165652</xdr:colOff>
      <xdr:row>54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56</xdr:row>
      <xdr:rowOff>91109</xdr:rowOff>
    </xdr:from>
    <xdr:to>
      <xdr:col>39</xdr:col>
      <xdr:colOff>67991</xdr:colOff>
      <xdr:row>66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54</xdr:row>
      <xdr:rowOff>36235</xdr:rowOff>
    </xdr:from>
    <xdr:to>
      <xdr:col>38</xdr:col>
      <xdr:colOff>321467</xdr:colOff>
      <xdr:row>62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53</xdr:col>
      <xdr:colOff>104775</xdr:colOff>
      <xdr:row>61</xdr:row>
      <xdr:rowOff>42778</xdr:rowOff>
    </xdr:from>
    <xdr:to>
      <xdr:col>63</xdr:col>
      <xdr:colOff>30817</xdr:colOff>
      <xdr:row>88</xdr:row>
      <xdr:rowOff>69057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alibr_choke"/>
      <definedName name="MF_calibr_choke_fast"/>
      <definedName name="MF_choke_p_atma"/>
      <definedName name="MF_choke_q_sm3day"/>
      <definedName name="MF_p_choke_atma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260 4 80 0 0,'0'0'343'0'0,"0"0"11"0"0,0 0-10 0 0,0 0 1 0 0,0 0 11 0 0,0 0 13 0 0,0 0 36 0 0,-15 10 4782 0 0,11-9-4939 0 0,0 2 1 0 0,1-1 0 0 0,-1-1-1 0 0,1 2 1 0 0,0-1 0 0 0,0 1-1 0 0,0 0 1 0 0,0-1 0 0 0,1 1-1 0 0,-1-1 1 0 0,1 2-249 0 0,-23 18 881 0 0,1-1-273 0 0,1 0 0 0 0,1 1 0 0 0,-1 5-608 0 0,-22 21 252 0 0,14-12-1105 0 0,26-31 1372 0 0,-3 5-4151 0 0,7-7-955 0 0,9-9 988 0 0,-2 3 2444 0 0</inkml:trace>
  <inkml:trace contextRef="#ctx0" brushRef="#br0" timeOffset="1">460 39 116 0 0,'-7'5'514'0'0,"0"0"0"0"0,0 0 1 0 0,1 1-1 0 0,0 0 0 0 0,-1-1 0 0 0,1 2 1 0 0,-2 4-515 0 0,2-4 350 0 0,-164 165 2748 0 0,170-172-3369 0 0,-14 16 68 0 0,13-10-5204 0 0,1-6 4460 0 0</inkml:trace>
  <inkml:trace contextRef="#ctx0" brushRef="#br0" timeOffset="2">631 68 188 0 0,'-13'19'773'0'0,"0"-1"0"0"0,-2 0-1 0 0,-3 3-772 0 0,2-4 684 0 0,1 1 0 0 0,1 1 0 0 0,-1 4-684 0 0,-28 27-144 0 0,42-44-155 0 0,0-2-2709 0 0,1-4 2165 0 0</inkml:trace>
  <inkml:trace contextRef="#ctx0" brushRef="#br0" timeOffset="3">861 52 188 0 0,'-3'5'375'0'0,"0"1"-1"0"0,0-1 1 0 0,-1 0 0 0 0,0 0-1 0 0,0 0 1 0 0,-1 0 0 0 0,1 0-1 0 0,-1 0 1 0 0,0-1-1 0 0,-2-1 1 0 0,2 2-375 0 0,-14 11 823 0 0,1 0 1 0 0,0 1-1 0 0,1 2-823 0 0,2-2 561 0 0,0-1-1 0 0,-2-1 1 0 0,-11 8-561 0 0,26-21-167 0 0,0-1 1 0 0,0 1 0 0 0,0 0-1 0 0,0 0 1 0 0,0 0 0 0 0,1 0-1 0 0,-2 0 1 0 0,2 1 0 0 0,0-2-1 0 0,0 2 1 0 0,0 0 0 0 0,0-1-1 0 0,0 1 1 0 0,0-1 0 0 0,1 0 0 0 0,-1 0-1 0 0,1 3 167 0 0,0-5-1060 0 0,14-5-2464 0 0,-5 1 2535 0 0</inkml:trace>
  <inkml:trace contextRef="#ctx0" brushRef="#br0" timeOffset="4">1084 65 592 0 0,'-36'30'2652'0'0,"9"-9"-1656"0"0,3 0 0 0 0,0 0 0 0 0,2 2 1 0 0,1 1-1 0 0,0 0 0 0 0,2 3-996 0 0,18-26-192 0 0,-10 19-100 0 0,8-12-1049 0 0,6-6-2062 0 0,4-8 967 0 0,-1 3 1359 0 0</inkml:trace>
  <inkml:trace contextRef="#ctx0" brushRef="#br0" timeOffset="5">1366 1 572 0 0,'-118'121'4885'0'0,"94"-98"-4182"0"0,0 1 0 0 0,3 1 0 0 0,-15 20-703 0 0,30-36-557 0 0,-1-1 0 0 0,0 0 0 0 0,0 0 0 0 0,-9 6 557 0 0,15-13-971 0 0,1-1-138 0 0,7-2-1114 0 0,1-2 1252 0 0</inkml:trace>
  <inkml:trace contextRef="#ctx0" brushRef="#br0" timeOffset="6">1462 90 168 0 0,'-58'88'6461'0'0,"19"-34"-4030"0"0,15-20-1163 0 0,-25 25-1268 0 0,32-38-1721 0 0,12-13-4629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9"/>
  <sheetViews>
    <sheetView tabSelected="1" topLeftCell="A63" zoomScale="85" zoomScaleNormal="85" workbookViewId="0">
      <selection activeCell="G68" sqref="G68"/>
    </sheetView>
  </sheetViews>
  <sheetFormatPr defaultRowHeight="13.2" x14ac:dyDescent="0.25"/>
  <cols>
    <col min="2" max="2" width="10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8.88671875" customWidth="1"/>
    <col min="9" max="9" width="6" customWidth="1"/>
    <col min="10" max="22" width="5.6640625" customWidth="1"/>
    <col min="23" max="23" width="13.5546875" customWidth="1"/>
    <col min="24" max="24" width="9.109375" customWidth="1"/>
    <col min="25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7.26</v>
      </c>
      <c r="H1" t="s">
        <v>45</v>
      </c>
      <c r="I1" s="34">
        <v>44221</v>
      </c>
      <c r="J1" s="35"/>
      <c r="K1" s="35"/>
      <c r="L1" s="35"/>
      <c r="AL1" t="str">
        <f>"dchoke = "&amp;Plin_&amp;" mm"</f>
        <v>dchoke = 20 mm</v>
      </c>
    </row>
    <row r="2" spans="1:38" x14ac:dyDescent="0.25">
      <c r="A2" t="s">
        <v>59</v>
      </c>
      <c r="H2" t="s">
        <v>46</v>
      </c>
      <c r="I2" s="36">
        <v>7.26</v>
      </c>
      <c r="J2" s="35"/>
      <c r="K2" s="35"/>
      <c r="L2" s="35"/>
      <c r="AL2" t="str">
        <f>"Pbuf = "&amp;Pbuf_&amp;" atm"</f>
        <v>Pbuf = 26 atm</v>
      </c>
    </row>
    <row r="3" spans="1:38" ht="14.4" x14ac:dyDescent="0.3">
      <c r="A3" s="37" t="s">
        <v>47</v>
      </c>
      <c r="B3" s="51" t="s">
        <v>48</v>
      </c>
      <c r="C3" s="52"/>
      <c r="D3" s="52"/>
      <c r="E3" s="53"/>
      <c r="H3" t="s">
        <v>49</v>
      </c>
      <c r="I3" s="35" t="s">
        <v>48</v>
      </c>
      <c r="J3" s="35"/>
      <c r="K3" s="35"/>
      <c r="L3" s="35"/>
      <c r="AL3" t="str">
        <f>"Pline = "&amp;Plin_&amp;" atm"</f>
        <v>Pline = 20 atm</v>
      </c>
    </row>
    <row r="4" spans="1:38" ht="14.4" x14ac:dyDescent="0.3">
      <c r="A4" s="37" t="s">
        <v>50</v>
      </c>
      <c r="B4" s="51" t="s">
        <v>51</v>
      </c>
      <c r="C4" s="52"/>
      <c r="D4" s="52"/>
      <c r="E4" s="53"/>
      <c r="H4" t="s">
        <v>52</v>
      </c>
      <c r="I4" s="35" t="s">
        <v>51</v>
      </c>
      <c r="J4" s="35"/>
      <c r="K4" s="35"/>
      <c r="L4" s="35"/>
      <c r="AL4" t="str">
        <f>"Q = "&amp;Qliq_&amp;" m3/day"</f>
        <v>Q = 80 m3/day</v>
      </c>
    </row>
    <row r="5" spans="1:38" ht="14.4" x14ac:dyDescent="0.3">
      <c r="A5" s="37" t="s">
        <v>53</v>
      </c>
      <c r="B5" s="51" t="s">
        <v>54</v>
      </c>
      <c r="C5" s="52"/>
      <c r="D5" s="52"/>
      <c r="E5" s="53"/>
      <c r="H5" t="s">
        <v>55</v>
      </c>
      <c r="I5" s="35" t="s">
        <v>54</v>
      </c>
      <c r="J5" s="35"/>
      <c r="K5" s="35"/>
      <c r="L5" s="35"/>
    </row>
    <row r="6" spans="1:38" x14ac:dyDescent="0.25">
      <c r="A6" s="38" t="s">
        <v>56</v>
      </c>
      <c r="B6" s="54" t="s">
        <v>57</v>
      </c>
      <c r="C6" s="55"/>
      <c r="D6" s="55"/>
      <c r="E6" s="56"/>
      <c r="H6" s="39" t="s">
        <v>58</v>
      </c>
      <c r="I6" s="40" t="s">
        <v>57</v>
      </c>
      <c r="J6" s="40"/>
      <c r="K6" s="40"/>
      <c r="L6" s="40"/>
    </row>
    <row r="7" spans="1:38" x14ac:dyDescent="0.25">
      <c r="A7" s="41"/>
      <c r="B7" s="57"/>
      <c r="C7" s="58"/>
      <c r="D7" s="58"/>
      <c r="E7" s="59"/>
      <c r="H7" s="39"/>
      <c r="I7" s="40"/>
      <c r="J7" s="40"/>
      <c r="K7" s="40"/>
      <c r="L7" s="40"/>
    </row>
    <row r="8" spans="1:38" x14ac:dyDescent="0.25">
      <c r="A8" s="42"/>
      <c r="B8" s="60"/>
      <c r="C8" s="61"/>
      <c r="D8" s="61"/>
      <c r="E8" s="62"/>
      <c r="H8" s="39"/>
      <c r="I8" s="40"/>
      <c r="J8" s="40"/>
      <c r="K8" s="40"/>
      <c r="L8" s="40"/>
    </row>
    <row r="10" spans="1:38" x14ac:dyDescent="0.25">
      <c r="A10" s="1" t="s">
        <v>0</v>
      </c>
      <c r="W10" t="str" cm="1">
        <f t="array" ref="W10">[1]!decode_json(Q93)</f>
        <v>error</v>
      </c>
    </row>
    <row r="11" spans="1:38" ht="16.8" x14ac:dyDescent="0.35">
      <c r="B11" s="8" t="s">
        <v>23</v>
      </c>
      <c r="C11" s="2">
        <v>0.86</v>
      </c>
      <c r="D11" s="47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7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7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6.8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5.6" x14ac:dyDescent="0.35">
      <c r="B16" s="9" t="s">
        <v>28</v>
      </c>
      <c r="C16" s="2"/>
      <c r="D16" s="47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7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6" t="s">
        <v>1</v>
      </c>
    </row>
    <row r="19" spans="1:52" ht="15.6" x14ac:dyDescent="0.35">
      <c r="B19" s="11" t="s">
        <v>31</v>
      </c>
      <c r="C19" s="2"/>
      <c r="D19" s="47" t="s">
        <v>4</v>
      </c>
    </row>
    <row r="20" spans="1:52" ht="16.8" x14ac:dyDescent="0.35">
      <c r="B20" s="9" t="s">
        <v>24</v>
      </c>
      <c r="C20" s="2">
        <v>1.2</v>
      </c>
      <c r="D20" s="47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15.6" x14ac:dyDescent="0.35">
      <c r="B22" s="11" t="s">
        <v>34</v>
      </c>
      <c r="C22" s="2">
        <v>70</v>
      </c>
      <c r="D22" s="47" t="s">
        <v>3</v>
      </c>
      <c r="F22" s="11" t="s">
        <v>62</v>
      </c>
      <c r="G22" s="2">
        <v>0</v>
      </c>
    </row>
    <row r="23" spans="1:52" ht="14.4" x14ac:dyDescent="0.3">
      <c r="B23" s="11" t="s">
        <v>39</v>
      </c>
      <c r="C23" s="2">
        <v>80</v>
      </c>
      <c r="D23" s="47" t="s">
        <v>2</v>
      </c>
      <c r="AZ23" s="43" t="s">
        <v>60</v>
      </c>
    </row>
    <row r="24" spans="1:52" x14ac:dyDescent="0.25">
      <c r="A24" s="1" t="s">
        <v>11</v>
      </c>
      <c r="C24" s="3"/>
      <c r="D24" s="3"/>
      <c r="F24" s="48" t="s">
        <v>16</v>
      </c>
      <c r="G24" s="24" t="str">
        <f>[1]!encode_PVT(gamma_gas_,gamma_oil_,gamma_wat_,Rsb_,Pb_,Tres_,Bob_,muob_)</f>
        <v>{"gamma_gas":0.9,"gamma_oil":0.86,"gamma_wat":1,"rsb_m3m3":80,"t_res_C":100}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7" t="s">
        <v>12</v>
      </c>
      <c r="F25" t="s">
        <v>63</v>
      </c>
      <c r="G25" s="24" t="str" cm="1">
        <f t="array" ref="G25">[1]!encode_feed(Qliq_,fw_,Rp_,qgas_free,PVTstr_)</f>
        <v>{"q_liq_sm3day":80,"fw_perc":70,"rp_m3m3":200,"q_gas_free_sm3day":0,"gamma_gas":0.9,"gamma_oil":0.86,"gamma_wat":1,"rsb_m3m3":80,"t_res_C":100}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7" t="s">
        <v>12</v>
      </c>
    </row>
    <row r="27" spans="1:52" ht="15.6" x14ac:dyDescent="0.35">
      <c r="B27" s="11" t="s">
        <v>44</v>
      </c>
      <c r="C27" s="2">
        <v>80</v>
      </c>
      <c r="D27" s="47" t="s">
        <v>17</v>
      </c>
      <c r="F27" t="s">
        <v>64</v>
      </c>
      <c r="I27" t="s">
        <v>66</v>
      </c>
    </row>
    <row r="28" spans="1:52" ht="15.6" x14ac:dyDescent="0.35">
      <c r="B28" s="11" t="s">
        <v>43</v>
      </c>
      <c r="C28" s="2">
        <v>26</v>
      </c>
      <c r="D28" s="47" t="s">
        <v>18</v>
      </c>
      <c r="F28" s="23" t="s">
        <v>65</v>
      </c>
      <c r="G28" s="23">
        <v>1</v>
      </c>
      <c r="I28" s="24" t="str" cm="1">
        <f t="array" ref="I28">[1]!encode_json(F28:G29)</f>
        <v>{"calc_along_flow":1}</v>
      </c>
      <c r="J28" s="24"/>
      <c r="K28" s="24"/>
      <c r="L28" s="24"/>
      <c r="M28" s="24"/>
      <c r="N28" s="24"/>
    </row>
    <row r="29" spans="1:52" ht="15.6" x14ac:dyDescent="0.35">
      <c r="B29" s="44" t="s">
        <v>42</v>
      </c>
      <c r="C29" s="45">
        <v>20</v>
      </c>
      <c r="D29" s="16" t="s">
        <v>18</v>
      </c>
      <c r="F29" s="23"/>
      <c r="G29" s="23"/>
    </row>
    <row r="30" spans="1:52" ht="15.6" x14ac:dyDescent="0.35">
      <c r="B30" s="11" t="s">
        <v>61</v>
      </c>
      <c r="C30" s="2">
        <v>0</v>
      </c>
      <c r="D30" s="47" t="s">
        <v>17</v>
      </c>
      <c r="F30" s="23"/>
      <c r="G30" s="23"/>
    </row>
    <row r="31" spans="1:52" x14ac:dyDescent="0.25">
      <c r="B31" s="6"/>
    </row>
    <row r="32" spans="1:52" x14ac:dyDescent="0.25">
      <c r="B32" s="25" t="s">
        <v>36</v>
      </c>
      <c r="C32" s="25"/>
      <c r="D32" s="25"/>
      <c r="E32" s="25"/>
      <c r="F32" s="25"/>
    </row>
    <row r="34" spans="2:12" x14ac:dyDescent="0.25">
      <c r="B34" s="18" t="s">
        <v>19</v>
      </c>
    </row>
    <row r="35" spans="2:12" x14ac:dyDescent="0.25">
      <c r="B35" s="26" cm="1">
        <f t="array" ref="B35:L37">[1]!MF_choke_p_atma(feed,d_choke,Pbuf_,1,T_choke,d_pipe)</f>
        <v>26</v>
      </c>
      <c r="C35" s="26">
        <v>26</v>
      </c>
      <c r="D35" s="26">
        <v>21.28369140625</v>
      </c>
      <c r="E35" s="26">
        <v>80</v>
      </c>
      <c r="F35" s="26">
        <v>1</v>
      </c>
      <c r="G35">
        <v>80</v>
      </c>
      <c r="H35">
        <v>4800.0000000000009</v>
      </c>
      <c r="I35">
        <v>79.637286688267608</v>
      </c>
      <c r="J35">
        <v>107.64324142567445</v>
      </c>
      <c r="K35">
        <v>90.999831538924298</v>
      </c>
      <c r="L35" t="str">
        <v>{"q_liq_sm3day":80,"fw_perc":70,"rp_m3m3":200,"q_gas_free_sm3day":0,"gamma_gas":0.9,"gamma_oil":0.86,"gamma_wat":1,"rsb_m3m3":80,"t_res_C":100,"PVT_corr_set":0}</v>
      </c>
    </row>
    <row r="36" spans="2:12" x14ac:dyDescent="0.25">
      <c r="B36" s="27" t="str">
        <v>p_intake_atma</v>
      </c>
      <c r="C36" s="27" t="str">
        <v>p_intake_atma</v>
      </c>
      <c r="D36" s="27" t="str">
        <v>p_out_atma</v>
      </c>
      <c r="E36" s="27" t="str">
        <v>t_choke_C</v>
      </c>
      <c r="F36" s="27" t="str">
        <v>c_calibr_fr</v>
      </c>
      <c r="G36" t="str">
        <v>q_liq_sm3day</v>
      </c>
      <c r="H36" t="str">
        <v>q_gas_sm3day</v>
      </c>
      <c r="I36" t="str">
        <v>t_choke_throat_C</v>
      </c>
      <c r="J36" t="str">
        <v>sonic_vel_msec</v>
      </c>
      <c r="K36" t="str">
        <v>q_liq_max_sm3day</v>
      </c>
      <c r="L36" t="str">
        <v>feed</v>
      </c>
    </row>
    <row r="37" spans="2:12" x14ac:dyDescent="0.25">
      <c r="B37" t="str">
        <v>["info: no param found, default settings applied","info: choke_calibr = 1"]</v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</row>
    <row r="39" spans="2:12" x14ac:dyDescent="0.25">
      <c r="B39" s="18" t="s">
        <v>20</v>
      </c>
    </row>
    <row r="40" spans="2:12" x14ac:dyDescent="0.25">
      <c r="B40" s="26">
        <f t="array" ref="B40:F41">[1]!MF_choke_p_atma(feed,d_choke,Plin_,0,T_choke,d_pipe)</f>
        <v>25.0860595703125</v>
      </c>
      <c r="C40" s="26">
        <v>25.0860595703125</v>
      </c>
      <c r="D40" s="26">
        <v>20</v>
      </c>
      <c r="E40" s="26">
        <v>80</v>
      </c>
      <c r="F40" s="26">
        <v>1</v>
      </c>
    </row>
    <row r="41" spans="2:12" x14ac:dyDescent="0.25">
      <c r="B41" s="27" t="str">
        <v>p_intake_atma</v>
      </c>
      <c r="C41" s="27" t="str">
        <v>p_intake_atma</v>
      </c>
      <c r="D41" s="27" t="str">
        <v>p_out_atma</v>
      </c>
      <c r="E41" s="27" t="str">
        <v>t_choke_C</v>
      </c>
      <c r="F41" s="27" t="str">
        <v>c_calibr_fr</v>
      </c>
    </row>
    <row r="43" spans="2:12" x14ac:dyDescent="0.25">
      <c r="B43" t="s">
        <v>22</v>
      </c>
    </row>
    <row r="44" spans="2:12" x14ac:dyDescent="0.25">
      <c r="B44" s="28" t="e">
        <f t="array" aca="1" ref="B44:F45" ca="1">[1]!MF_q_choke_sm3day(fw_,d_choke,Pbuf_,Plin_,d_pipe,T_choke,,PVTstr_,qgas_free)</f>
        <v>#NAME?</v>
      </c>
      <c r="C44" s="28" t="e">
        <f ca="1"/>
        <v>#NAME?</v>
      </c>
      <c r="D44" s="28" t="e">
        <f ca="1"/>
        <v>#NAME?</v>
      </c>
      <c r="E44" s="28" t="e">
        <f ca="1"/>
        <v>#NAME?</v>
      </c>
      <c r="F44" s="29" t="e">
        <f ca="1"/>
        <v>#NAME?</v>
      </c>
    </row>
    <row r="45" spans="2:12" x14ac:dyDescent="0.25">
      <c r="B45" s="30" t="e">
        <f ca="1"/>
        <v>#NAME?</v>
      </c>
      <c r="C45" s="30" t="e">
        <f ca="1"/>
        <v>#NAME?</v>
      </c>
      <c r="D45" s="30" t="e">
        <f ca="1"/>
        <v>#NAME?</v>
      </c>
      <c r="E45" s="30" t="e">
        <f ca="1"/>
        <v>#NAME?</v>
      </c>
      <c r="F45" s="30" t="e">
        <f ca="1"/>
        <v>#NAME?</v>
      </c>
    </row>
    <row r="47" spans="2:12" x14ac:dyDescent="0.25">
      <c r="B47" t="s">
        <v>21</v>
      </c>
    </row>
    <row r="48" spans="2:12" x14ac:dyDescent="0.25">
      <c r="B48" s="32">
        <f t="array" ref="B48:F49">[1]!MF_calibr_choke_fast(Qliq_,fw_,d_choke,Pbuf_,Plin_,d_pipe,T_choke,PVTstr_)</f>
        <v>-1</v>
      </c>
      <c r="C48" s="31">
        <v>-1</v>
      </c>
      <c r="D48" s="31">
        <v>-1</v>
      </c>
      <c r="E48" s="31">
        <v>-1</v>
      </c>
      <c r="F48" s="32">
        <v>-1</v>
      </c>
    </row>
    <row r="49" spans="2:30" x14ac:dyDescent="0.25">
      <c r="B49" s="33">
        <v>-1</v>
      </c>
      <c r="C49" s="33">
        <v>-1</v>
      </c>
      <c r="D49" s="33">
        <v>-1</v>
      </c>
      <c r="E49" s="33">
        <v>-1</v>
      </c>
      <c r="F49" s="33">
        <v>-1</v>
      </c>
    </row>
    <row r="57" spans="2:30" x14ac:dyDescent="0.25">
      <c r="C57" t="s">
        <v>10</v>
      </c>
    </row>
    <row r="58" spans="2:30" x14ac:dyDescent="0.25">
      <c r="C58" s="50" t="s">
        <v>8</v>
      </c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2:30" x14ac:dyDescent="0.25">
      <c r="B59" s="47" t="s">
        <v>13</v>
      </c>
      <c r="C59" s="2">
        <v>0</v>
      </c>
      <c r="D59" s="2">
        <v>1</v>
      </c>
      <c r="E59" s="19">
        <v>2</v>
      </c>
      <c r="F59" s="2">
        <v>4</v>
      </c>
      <c r="G59" s="20">
        <v>8</v>
      </c>
      <c r="H59" s="2">
        <v>10</v>
      </c>
      <c r="I59" s="2">
        <v>20</v>
      </c>
      <c r="J59" s="2">
        <v>30</v>
      </c>
      <c r="K59" s="2">
        <v>40</v>
      </c>
      <c r="L59" s="2">
        <v>50</v>
      </c>
      <c r="M59" s="2">
        <v>60</v>
      </c>
      <c r="N59" s="2">
        <v>70</v>
      </c>
      <c r="O59" s="2">
        <v>80</v>
      </c>
      <c r="P59" s="2">
        <v>90</v>
      </c>
      <c r="Q59" s="2">
        <v>100</v>
      </c>
      <c r="R59" s="2">
        <v>110</v>
      </c>
      <c r="S59" s="2">
        <v>120</v>
      </c>
      <c r="T59" s="2">
        <v>130</v>
      </c>
      <c r="U59" s="2">
        <v>140</v>
      </c>
      <c r="V59" s="2">
        <v>150</v>
      </c>
      <c r="W59" s="2">
        <v>160</v>
      </c>
      <c r="X59" s="2">
        <v>170</v>
      </c>
      <c r="Y59" s="2">
        <v>180</v>
      </c>
      <c r="Z59" s="2">
        <v>190</v>
      </c>
      <c r="AA59" s="2">
        <v>200</v>
      </c>
      <c r="AB59" s="2">
        <v>210</v>
      </c>
      <c r="AC59" s="2">
        <v>220</v>
      </c>
      <c r="AD59" s="2">
        <v>230</v>
      </c>
    </row>
    <row r="60" spans="2:30" x14ac:dyDescent="0.25">
      <c r="B60" s="28">
        <v>1</v>
      </c>
      <c r="C60" s="31" t="e">
        <f ca="1">[1]!MF_p_choke_atma(C$59,fw_,d_choke,$B60,0,d_pipe,T_choke,,PVTstr_,qgas_free)</f>
        <v>#NAME?</v>
      </c>
      <c r="D60" s="31" t="e">
        <f ca="1">[1]!MF_p_choke_atma(D$59,fw_,d_choke,$B60,0,d_pipe,T_choke,,PVTstr_,qgas_free)</f>
        <v>#NAME?</v>
      </c>
      <c r="E60" s="31" t="e">
        <f ca="1">[1]!MF_p_choke_atma(E$59,fw_,d_choke,$B60,0,d_pipe,T_choke,,PVTstr_,qgas_free)</f>
        <v>#NAME?</v>
      </c>
      <c r="F60" s="31" t="e">
        <f ca="1">[1]!MF_p_choke_atma(F$59,fw_,d_choke,$B60,0,d_pipe,T_choke,,PVTstr_,qgas_free)</f>
        <v>#NAME?</v>
      </c>
      <c r="G60" s="31" t="e">
        <f ca="1">[1]!MF_p_choke_atma(G$59,fw_,d_choke,$B60,0,d_pipe,T_choke,,PVTstr_,qgas_free)</f>
        <v>#NAME?</v>
      </c>
      <c r="H60" s="31" t="e">
        <f ca="1">[1]!MF_p_choke_atma(H$59,fw_,d_choke,$B60,0,d_pipe,T_choke,,PVTstr_,qgas_free)</f>
        <v>#NAME?</v>
      </c>
      <c r="I60" s="31" t="e">
        <f ca="1">[1]!MF_p_choke_atma(I$59,fw_,d_choke,$B60,0,d_pipe,T_choke,,PVTstr_,qgas_free)</f>
        <v>#NAME?</v>
      </c>
      <c r="J60" s="31" t="e">
        <f ca="1">[1]!MF_p_choke_atma(J$59,fw_,d_choke,$B60,0,d_pipe,T_choke,,PVTstr_,qgas_free)</f>
        <v>#NAME?</v>
      </c>
      <c r="K60" s="31" t="e">
        <f ca="1">[1]!MF_p_choke_atma(K$59,fw_,d_choke,$B60,0,d_pipe,T_choke,,PVTstr_,qgas_free)</f>
        <v>#NAME?</v>
      </c>
      <c r="L60" s="31" t="e">
        <f ca="1">[1]!MF_p_choke_atma(L$59,fw_,d_choke,$B60,0,d_pipe,T_choke,,PVTstr_,qgas_free)</f>
        <v>#NAME?</v>
      </c>
      <c r="M60" s="31" t="e">
        <f ca="1">[1]!MF_p_choke_atma(M$59,fw_,d_choke,$B60,0,d_pipe,T_choke,,PVTstr_,qgas_free)</f>
        <v>#NAME?</v>
      </c>
      <c r="N60" s="31" t="e">
        <f ca="1">[1]!MF_p_choke_atma(N$59,fw_,d_choke,$B60,0,d_pipe,T_choke,,PVTstr_,qgas_free)</f>
        <v>#NAME?</v>
      </c>
      <c r="O60" s="31" t="e">
        <f ca="1">[1]!MF_p_choke_atma(O$59,fw_,d_choke,$B60,0,d_pipe,T_choke,,PVTstr_,qgas_free)</f>
        <v>#NAME?</v>
      </c>
      <c r="P60" s="31" t="e">
        <f ca="1">[1]!MF_p_choke_atma(P$59,fw_,d_choke,$B60,0,d_pipe,T_choke,,PVTstr_,qgas_free)</f>
        <v>#NAME?</v>
      </c>
      <c r="Q60" s="31" t="e">
        <f ca="1">[1]!MF_p_choke_atma(Q$59,fw_,d_choke,$B60,0,d_pipe,T_choke,,PVTstr_,qgas_free)</f>
        <v>#NAME?</v>
      </c>
      <c r="R60" s="31" t="e">
        <f ca="1">[1]!MF_p_choke_atma(R$59,fw_,d_choke,$B60,0,d_pipe,T_choke,,PVTstr_,qgas_free)</f>
        <v>#NAME?</v>
      </c>
      <c r="S60" s="31" t="e">
        <f ca="1">[1]!MF_p_choke_atma(S$59,fw_,d_choke,$B60,0,d_pipe,T_choke,,PVTstr_,qgas_free)</f>
        <v>#NAME?</v>
      </c>
      <c r="T60" s="31" t="e">
        <f ca="1">[1]!MF_p_choke_atma(T$59,fw_,d_choke,$B60,0,d_pipe,T_choke,,PVTstr_,qgas_free)</f>
        <v>#NAME?</v>
      </c>
      <c r="U60" s="31" t="e">
        <f ca="1">[1]!MF_p_choke_atma(U$59,fw_,d_choke,$B60,0,d_pipe,T_choke,,PVTstr_,qgas_free)</f>
        <v>#NAME?</v>
      </c>
      <c r="V60" s="31" t="e">
        <f ca="1">[1]!MF_p_choke_atma(V$59,fw_,d_choke,$B60,0,d_pipe,T_choke,,PVTstr_,qgas_free)</f>
        <v>#NAME?</v>
      </c>
      <c r="W60" s="31" t="e">
        <f ca="1">[1]!MF_p_choke_atma(W$59,fw_,d_choke,$B60,0,d_pipe,T_choke,,PVTstr_,qgas_free)</f>
        <v>#NAME?</v>
      </c>
      <c r="X60" s="31" t="e">
        <f ca="1">[1]!MF_p_choke_atma(X$59,fw_,d_choke,$B60,0,d_pipe,T_choke,,PVTstr_,qgas_free)</f>
        <v>#NAME?</v>
      </c>
      <c r="Y60" s="31" t="e">
        <f ca="1">[1]!MF_p_choke_atma(Y$59,fw_,d_choke,$B60,0,d_pipe,T_choke,,PVTstr_,qgas_free)</f>
        <v>#NAME?</v>
      </c>
      <c r="Z60" s="31" t="e">
        <f ca="1">[1]!MF_p_choke_atma(Z$59,fw_,d_choke,$B60,0,d_pipe,T_choke,,PVTstr_,qgas_free)</f>
        <v>#NAME?</v>
      </c>
      <c r="AA60" s="31" t="e">
        <f ca="1">[1]!MF_p_choke_atma(AA$59,fw_,d_choke,$B60,0,d_pipe,T_choke,,PVTstr_,qgas_free)</f>
        <v>#NAME?</v>
      </c>
      <c r="AB60" s="31" t="e">
        <f ca="1">[1]!MF_p_choke_atma(AB$59,fw_,d_choke,$B60,0,d_pipe,T_choke,,PVTstr_,qgas_free)</f>
        <v>#NAME?</v>
      </c>
      <c r="AC60" s="31" t="e">
        <f ca="1">[1]!MF_p_choke_atma(AC$59,fw_,d_choke,$B60,0,d_pipe,T_choke,,PVTstr_,qgas_free)</f>
        <v>#NAME?</v>
      </c>
      <c r="AD60" s="31" t="e">
        <f ca="1">[1]!MF_p_choke_atma(AD$59,fw_,d_choke,$B60,0,d_pipe,T_choke,,PVTstr_,qgas_free)</f>
        <v>#NAME?</v>
      </c>
    </row>
    <row r="61" spans="2:30" x14ac:dyDescent="0.25">
      <c r="B61" s="28">
        <v>5</v>
      </c>
      <c r="C61" s="31" t="e">
        <f ca="1">[1]!MF_p_choke_atma(C$59,fw_,d_choke,$B61,0,d_pipe,T_choke,,PVTstr_,qgas_free)</f>
        <v>#NAME?</v>
      </c>
      <c r="D61" s="31" t="e">
        <f ca="1">[1]!MF_p_choke_atma(D$59,fw_,d_choke,$B61,0,d_pipe,T_choke,,PVTstr_,qgas_free)</f>
        <v>#NAME?</v>
      </c>
      <c r="E61" s="31" t="e">
        <f ca="1">[1]!MF_p_choke_atma(E$59,fw_,d_choke,$B61,0,d_pipe,T_choke,,PVTstr_,qgas_free)</f>
        <v>#NAME?</v>
      </c>
      <c r="F61" s="31" t="e">
        <f ca="1">[1]!MF_p_choke_atma(F$59,fw_,d_choke,$B61,0,d_pipe,T_choke,,PVTstr_,qgas_free)</f>
        <v>#NAME?</v>
      </c>
      <c r="G61" s="31" t="e">
        <f ca="1">[1]!MF_p_choke_atma(G$59,fw_,d_choke,$B61,0,d_pipe,T_choke,,PVTstr_,qgas_free)</f>
        <v>#NAME?</v>
      </c>
      <c r="H61" s="31" t="e">
        <f ca="1">[1]!MF_p_choke_atma(H$59,fw_,d_choke,$B61,0,d_pipe,T_choke,,PVTstr_,qgas_free)</f>
        <v>#NAME?</v>
      </c>
      <c r="I61" s="31" t="e">
        <f ca="1">[1]!MF_p_choke_atma(I$59,fw_,d_choke,$B61,0,d_pipe,T_choke,,PVTstr_,qgas_free)</f>
        <v>#NAME?</v>
      </c>
      <c r="J61" s="31" t="e">
        <f ca="1">[1]!MF_p_choke_atma(J$59,fw_,d_choke,$B61,0,d_pipe,T_choke,,PVTstr_,qgas_free)</f>
        <v>#NAME?</v>
      </c>
      <c r="K61" s="31" t="e">
        <f ca="1">[1]!MF_p_choke_atma(K$59,fw_,d_choke,$B61,0,d_pipe,T_choke,,PVTstr_,qgas_free)</f>
        <v>#NAME?</v>
      </c>
      <c r="L61" s="31" t="e">
        <f ca="1">[1]!MF_p_choke_atma(L$59,fw_,d_choke,$B61,0,d_pipe,T_choke,,PVTstr_,qgas_free)</f>
        <v>#NAME?</v>
      </c>
      <c r="M61" s="31" t="e">
        <f ca="1">[1]!MF_p_choke_atma(M$59,fw_,d_choke,$B61,0,d_pipe,T_choke,,PVTstr_,qgas_free)</f>
        <v>#NAME?</v>
      </c>
      <c r="N61" s="31" t="e">
        <f ca="1">[1]!MF_p_choke_atma(N$59,fw_,d_choke,$B61,0,d_pipe,T_choke,,PVTstr_,qgas_free)</f>
        <v>#NAME?</v>
      </c>
      <c r="O61" s="31" t="e">
        <f ca="1">[1]!MF_p_choke_atma(O$59,fw_,d_choke,$B61,0,d_pipe,T_choke,,PVTstr_,qgas_free)</f>
        <v>#NAME?</v>
      </c>
      <c r="P61" s="31" t="e">
        <f ca="1">[1]!MF_p_choke_atma(P$59,fw_,d_choke,$B61,0,d_pipe,T_choke,,PVTstr_,qgas_free)</f>
        <v>#NAME?</v>
      </c>
      <c r="Q61" s="31" t="e">
        <f ca="1">[1]!MF_p_choke_atma(Q$59,fw_,d_choke,$B61,0,d_pipe,T_choke,,PVTstr_,qgas_free)</f>
        <v>#NAME?</v>
      </c>
      <c r="R61" s="31" t="e">
        <f ca="1">[1]!MF_p_choke_atma(R$59,fw_,d_choke,$B61,0,d_pipe,T_choke,,PVTstr_,qgas_free)</f>
        <v>#NAME?</v>
      </c>
      <c r="S61" s="31" t="e">
        <f ca="1">[1]!MF_p_choke_atma(S$59,fw_,d_choke,$B61,0,d_pipe,T_choke,,PVTstr_,qgas_free)</f>
        <v>#NAME?</v>
      </c>
      <c r="T61" s="31" t="e">
        <f ca="1">[1]!MF_p_choke_atma(T$59,fw_,d_choke,$B61,0,d_pipe,T_choke,,PVTstr_,qgas_free)</f>
        <v>#NAME?</v>
      </c>
      <c r="U61" s="31" t="e">
        <f ca="1">[1]!MF_p_choke_atma(U$59,fw_,d_choke,$B61,0,d_pipe,T_choke,,PVTstr_,qgas_free)</f>
        <v>#NAME?</v>
      </c>
      <c r="V61" s="31" t="e">
        <f ca="1">[1]!MF_p_choke_atma(V$59,fw_,d_choke,$B61,0,d_pipe,T_choke,,PVTstr_,qgas_free)</f>
        <v>#NAME?</v>
      </c>
      <c r="W61" s="31" t="e">
        <f ca="1">[1]!MF_p_choke_atma(W$59,fw_,d_choke,$B61,0,d_pipe,T_choke,,PVTstr_,qgas_free)</f>
        <v>#NAME?</v>
      </c>
      <c r="X61" s="31" t="e">
        <f ca="1">[1]!MF_p_choke_atma(X$59,fw_,d_choke,$B61,0,d_pipe,T_choke,,PVTstr_,qgas_free)</f>
        <v>#NAME?</v>
      </c>
      <c r="Y61" s="31" t="e">
        <f ca="1">[1]!MF_p_choke_atma(Y$59,fw_,d_choke,$B61,0,d_pipe,T_choke,,PVTstr_,qgas_free)</f>
        <v>#NAME?</v>
      </c>
      <c r="Z61" s="31" t="e">
        <f ca="1">[1]!MF_p_choke_atma(Z$59,fw_,d_choke,$B61,0,d_pipe,T_choke,,PVTstr_,qgas_free)</f>
        <v>#NAME?</v>
      </c>
      <c r="AA61" s="31" t="e">
        <f ca="1">[1]!MF_p_choke_atma(AA$59,fw_,d_choke,$B61,0,d_pipe,T_choke,,PVTstr_,qgas_free)</f>
        <v>#NAME?</v>
      </c>
      <c r="AB61" s="31" t="e">
        <f ca="1">[1]!MF_p_choke_atma(AB$59,fw_,d_choke,$B61,0,d_pipe,T_choke,,PVTstr_,qgas_free)</f>
        <v>#NAME?</v>
      </c>
      <c r="AC61" s="31" t="e">
        <f ca="1">[1]!MF_p_choke_atma(AC$59,fw_,d_choke,$B61,0,d_pipe,T_choke,,PVTstr_,qgas_free)</f>
        <v>#NAME?</v>
      </c>
      <c r="AD61" s="31" t="e">
        <f ca="1">[1]!MF_p_choke_atma(AD$59,fw_,d_choke,$B61,0,d_pipe,T_choke,,PVTstr_,qgas_free)</f>
        <v>#NAME?</v>
      </c>
    </row>
    <row r="62" spans="2:30" x14ac:dyDescent="0.25">
      <c r="B62" s="28">
        <v>10</v>
      </c>
      <c r="C62" s="31" t="e">
        <f ca="1">[1]!MF_p_choke_atma(C$59,fw_,d_choke,$B62,0,d_pipe,T_choke,,PVTstr_,qgas_free)</f>
        <v>#NAME?</v>
      </c>
      <c r="D62" s="31" t="e">
        <f ca="1">[1]!MF_p_choke_atma(D$59,fw_,d_choke,$B62,0,d_pipe,T_choke,,PVTstr_,qgas_free)</f>
        <v>#NAME?</v>
      </c>
      <c r="E62" s="31" t="e">
        <f ca="1">[1]!MF_p_choke_atma(E$59,fw_,d_choke,$B62,0,d_pipe,T_choke,,PVTstr_,qgas_free)</f>
        <v>#NAME?</v>
      </c>
      <c r="F62" s="31" t="e">
        <f ca="1">[1]!MF_p_choke_atma(F$59,fw_,d_choke,$B62,0,d_pipe,T_choke,,PVTstr_,qgas_free)</f>
        <v>#NAME?</v>
      </c>
      <c r="G62" s="31" t="e">
        <f ca="1">[1]!MF_p_choke_atma(G$59,fw_,d_choke,$B62,0,d_pipe,T_choke,,PVTstr_,qgas_free)</f>
        <v>#NAME?</v>
      </c>
      <c r="H62" s="31" t="e">
        <f ca="1">[1]!MF_p_choke_atma(H$59,fw_,d_choke,$B62,0,d_pipe,T_choke,,PVTstr_,qgas_free)</f>
        <v>#NAME?</v>
      </c>
      <c r="I62" s="31" t="e">
        <f ca="1">[1]!MF_p_choke_atma(I$59,fw_,d_choke,$B62,0,d_pipe,T_choke,,PVTstr_,qgas_free)</f>
        <v>#NAME?</v>
      </c>
      <c r="J62" s="31" t="e">
        <f ca="1">[1]!MF_p_choke_atma(J$59,fw_,d_choke,$B62,0,d_pipe,T_choke,,PVTstr_,qgas_free)</f>
        <v>#NAME?</v>
      </c>
      <c r="K62" s="31" t="e">
        <f ca="1">[1]!MF_p_choke_atma(K$59,fw_,d_choke,$B62,0,d_pipe,T_choke,,PVTstr_,qgas_free)</f>
        <v>#NAME?</v>
      </c>
      <c r="L62" s="31" t="e">
        <f ca="1">[1]!MF_p_choke_atma(L$59,fw_,d_choke,$B62,0,d_pipe,T_choke,,PVTstr_,qgas_free)</f>
        <v>#NAME?</v>
      </c>
      <c r="M62" s="31" t="e">
        <f ca="1">[1]!MF_p_choke_atma(M$59,fw_,d_choke,$B62,0,d_pipe,T_choke,,PVTstr_,qgas_free)</f>
        <v>#NAME?</v>
      </c>
      <c r="N62" s="31" t="e">
        <f ca="1">[1]!MF_p_choke_atma(N$59,fw_,d_choke,$B62,0,d_pipe,T_choke,,PVTstr_,qgas_free)</f>
        <v>#NAME?</v>
      </c>
      <c r="O62" s="31" t="e">
        <f ca="1">[1]!MF_p_choke_atma(O$59,fw_,d_choke,$B62,0,d_pipe,T_choke,,PVTstr_,qgas_free)</f>
        <v>#NAME?</v>
      </c>
      <c r="P62" s="31" t="e">
        <f ca="1">[1]!MF_p_choke_atma(P$59,fw_,d_choke,$B62,0,d_pipe,T_choke,,PVTstr_,qgas_free)</f>
        <v>#NAME?</v>
      </c>
      <c r="Q62" s="31" t="e">
        <f ca="1">[1]!MF_p_choke_atma(Q$59,fw_,d_choke,$B62,0,d_pipe,T_choke,,PVTstr_,qgas_free)</f>
        <v>#NAME?</v>
      </c>
      <c r="R62" s="31" t="e">
        <f ca="1">[1]!MF_p_choke_atma(R$59,fw_,d_choke,$B62,0,d_pipe,T_choke,,PVTstr_,qgas_free)</f>
        <v>#NAME?</v>
      </c>
      <c r="S62" s="31" t="e">
        <f ca="1">[1]!MF_p_choke_atma(S$59,fw_,d_choke,$B62,0,d_pipe,T_choke,,PVTstr_,qgas_free)</f>
        <v>#NAME?</v>
      </c>
      <c r="T62" s="31" t="e">
        <f ca="1">[1]!MF_p_choke_atma(T$59,fw_,d_choke,$B62,0,d_pipe,T_choke,,PVTstr_,qgas_free)</f>
        <v>#NAME?</v>
      </c>
      <c r="U62" s="31" t="e">
        <f ca="1">[1]!MF_p_choke_atma(U$59,fw_,d_choke,$B62,0,d_pipe,T_choke,,PVTstr_,qgas_free)</f>
        <v>#NAME?</v>
      </c>
      <c r="V62" s="31" t="e">
        <f ca="1">[1]!MF_p_choke_atma(V$59,fw_,d_choke,$B62,0,d_pipe,T_choke,,PVTstr_,qgas_free)</f>
        <v>#NAME?</v>
      </c>
      <c r="W62" s="31" t="e">
        <f ca="1">[1]!MF_p_choke_atma(W$59,fw_,d_choke,$B62,0,d_pipe,T_choke,,PVTstr_,qgas_free)</f>
        <v>#NAME?</v>
      </c>
      <c r="X62" s="31" t="e">
        <f ca="1">[1]!MF_p_choke_atma(X$59,fw_,d_choke,$B62,0,d_pipe,T_choke,,PVTstr_,qgas_free)</f>
        <v>#NAME?</v>
      </c>
      <c r="Y62" s="31" t="e">
        <f ca="1">[1]!MF_p_choke_atma(Y$59,fw_,d_choke,$B62,0,d_pipe,T_choke,,PVTstr_,qgas_free)</f>
        <v>#NAME?</v>
      </c>
      <c r="Z62" s="31" t="e">
        <f ca="1">[1]!MF_p_choke_atma(Z$59,fw_,d_choke,$B62,0,d_pipe,T_choke,,PVTstr_,qgas_free)</f>
        <v>#NAME?</v>
      </c>
      <c r="AA62" s="31" t="e">
        <f ca="1">[1]!MF_p_choke_atma(AA$59,fw_,d_choke,$B62,0,d_pipe,T_choke,,PVTstr_,qgas_free)</f>
        <v>#NAME?</v>
      </c>
      <c r="AB62" s="31" t="e">
        <f ca="1">[1]!MF_p_choke_atma(AB$59,fw_,d_choke,$B62,0,d_pipe,T_choke,,PVTstr_,qgas_free)</f>
        <v>#NAME?</v>
      </c>
      <c r="AC62" s="31" t="e">
        <f ca="1">[1]!MF_p_choke_atma(AC$59,fw_,d_choke,$B62,0,d_pipe,T_choke,,PVTstr_,qgas_free)</f>
        <v>#NAME?</v>
      </c>
      <c r="AD62" s="31" t="e">
        <f ca="1">[1]!MF_p_choke_atma(AD$59,fw_,d_choke,$B62,0,d_pipe,T_choke,,PVTstr_,qgas_free)</f>
        <v>#NAME?</v>
      </c>
    </row>
    <row r="63" spans="2:30" x14ac:dyDescent="0.25">
      <c r="B63" s="28">
        <v>15</v>
      </c>
      <c r="C63" s="31" t="e">
        <f ca="1">[1]!MF_p_choke_atma(C$59,fw_,d_choke,$B63,0,d_pipe,T_choke,,PVTstr_,qgas_free)</f>
        <v>#NAME?</v>
      </c>
      <c r="D63" s="31" t="e">
        <f ca="1">[1]!MF_p_choke_atma(D$59,fw_,d_choke,$B63,0,d_pipe,T_choke,,PVTstr_,qgas_free)</f>
        <v>#NAME?</v>
      </c>
      <c r="E63" s="31" t="e">
        <f ca="1">[1]!MF_p_choke_atma(E$59,fw_,d_choke,$B63,0,d_pipe,T_choke,,PVTstr_,qgas_free)</f>
        <v>#NAME?</v>
      </c>
      <c r="F63" s="31" t="e">
        <f ca="1">[1]!MF_p_choke_atma(F$59,fw_,d_choke,$B63,0,d_pipe,T_choke,,PVTstr_,qgas_free)</f>
        <v>#NAME?</v>
      </c>
      <c r="G63" s="31" t="e">
        <f ca="1">[1]!MF_p_choke_atma(G$59,fw_,d_choke,$B63,0,d_pipe,T_choke,,PVTstr_,qgas_free)</f>
        <v>#NAME?</v>
      </c>
      <c r="H63" s="31" t="e">
        <f ca="1">[1]!MF_p_choke_atma(H$59,fw_,d_choke,$B63,0,d_pipe,T_choke,,PVTstr_,qgas_free)</f>
        <v>#NAME?</v>
      </c>
      <c r="I63" s="31" t="e">
        <f ca="1">[1]!MF_p_choke_atma(I$59,fw_,d_choke,$B63,0,d_pipe,T_choke,,PVTstr_,qgas_free)</f>
        <v>#NAME?</v>
      </c>
      <c r="J63" s="31" t="e">
        <f ca="1">[1]!MF_p_choke_atma(J$59,fw_,d_choke,$B63,0,d_pipe,T_choke,,PVTstr_,qgas_free)</f>
        <v>#NAME?</v>
      </c>
      <c r="K63" s="31" t="e">
        <f ca="1">[1]!MF_p_choke_atma(K$59,fw_,d_choke,$B63,0,d_pipe,T_choke,,PVTstr_,qgas_free)</f>
        <v>#NAME?</v>
      </c>
      <c r="L63" s="31" t="e">
        <f ca="1">[1]!MF_p_choke_atma(L$59,fw_,d_choke,$B63,0,d_pipe,T_choke,,PVTstr_,qgas_free)</f>
        <v>#NAME?</v>
      </c>
      <c r="M63" s="31" t="e">
        <f ca="1">[1]!MF_p_choke_atma(M$59,fw_,d_choke,$B63,0,d_pipe,T_choke,,PVTstr_,qgas_free)</f>
        <v>#NAME?</v>
      </c>
      <c r="N63" s="31" t="e">
        <f ca="1">[1]!MF_p_choke_atma(N$59,fw_,d_choke,$B63,0,d_pipe,T_choke,,PVTstr_,qgas_free)</f>
        <v>#NAME?</v>
      </c>
      <c r="O63" s="31" t="e">
        <f ca="1">[1]!MF_p_choke_atma(O$59,fw_,d_choke,$B63,0,d_pipe,T_choke,,PVTstr_,qgas_free)</f>
        <v>#NAME?</v>
      </c>
      <c r="P63" s="31" t="e">
        <f ca="1">[1]!MF_p_choke_atma(P$59,fw_,d_choke,$B63,0,d_pipe,T_choke,,PVTstr_,qgas_free)</f>
        <v>#NAME?</v>
      </c>
      <c r="Q63" s="31" t="e">
        <f ca="1">[1]!MF_p_choke_atma(Q$59,fw_,d_choke,$B63,0,d_pipe,T_choke,,PVTstr_,qgas_free)</f>
        <v>#NAME?</v>
      </c>
      <c r="R63" s="31" t="e">
        <f ca="1">[1]!MF_p_choke_atma(R$59,fw_,d_choke,$B63,0,d_pipe,T_choke,,PVTstr_,qgas_free)</f>
        <v>#NAME?</v>
      </c>
      <c r="S63" s="31" t="e">
        <f ca="1">[1]!MF_p_choke_atma(S$59,fw_,d_choke,$B63,0,d_pipe,T_choke,,PVTstr_,qgas_free)</f>
        <v>#NAME?</v>
      </c>
      <c r="T63" s="31" t="e">
        <f ca="1">[1]!MF_p_choke_atma(T$59,fw_,d_choke,$B63,0,d_pipe,T_choke,,PVTstr_,qgas_free)</f>
        <v>#NAME?</v>
      </c>
      <c r="U63" s="31" t="e">
        <f ca="1">[1]!MF_p_choke_atma(U$59,fw_,d_choke,$B63,0,d_pipe,T_choke,,PVTstr_,qgas_free)</f>
        <v>#NAME?</v>
      </c>
      <c r="V63" s="31" t="e">
        <f ca="1">[1]!MF_p_choke_atma(V$59,fw_,d_choke,$B63,0,d_pipe,T_choke,,PVTstr_,qgas_free)</f>
        <v>#NAME?</v>
      </c>
      <c r="W63" s="31" t="e">
        <f ca="1">[1]!MF_p_choke_atma(W$59,fw_,d_choke,$B63,0,d_pipe,T_choke,,PVTstr_,qgas_free)</f>
        <v>#NAME?</v>
      </c>
      <c r="X63" s="31" t="e">
        <f ca="1">[1]!MF_p_choke_atma(X$59,fw_,d_choke,$B63,0,d_pipe,T_choke,,PVTstr_,qgas_free)</f>
        <v>#NAME?</v>
      </c>
      <c r="Y63" s="31" t="e">
        <f ca="1">[1]!MF_p_choke_atma(Y$59,fw_,d_choke,$B63,0,d_pipe,T_choke,,PVTstr_,qgas_free)</f>
        <v>#NAME?</v>
      </c>
      <c r="Z63" s="31" t="e">
        <f ca="1">[1]!MF_p_choke_atma(Z$59,fw_,d_choke,$B63,0,d_pipe,T_choke,,PVTstr_,qgas_free)</f>
        <v>#NAME?</v>
      </c>
      <c r="AA63" s="31" t="e">
        <f ca="1">[1]!MF_p_choke_atma(AA$59,fw_,d_choke,$B63,0,d_pipe,T_choke,,PVTstr_,qgas_free)</f>
        <v>#NAME?</v>
      </c>
      <c r="AB63" s="31" t="e">
        <f ca="1">[1]!MF_p_choke_atma(AB$59,fw_,d_choke,$B63,0,d_pipe,T_choke,,PVTstr_,qgas_free)</f>
        <v>#NAME?</v>
      </c>
      <c r="AC63" s="31" t="e">
        <f ca="1">[1]!MF_p_choke_atma(AC$59,fw_,d_choke,$B63,0,d_pipe,T_choke,,PVTstr_,qgas_free)</f>
        <v>#NAME?</v>
      </c>
      <c r="AD63" s="31" t="e">
        <f ca="1">[1]!MF_p_choke_atma(AD$59,fw_,d_choke,$B63,0,d_pipe,T_choke,,PVTstr_,qgas_free)</f>
        <v>#NAME?</v>
      </c>
    </row>
    <row r="64" spans="2:30" x14ac:dyDescent="0.25">
      <c r="B64" s="28">
        <v>20</v>
      </c>
      <c r="C64" s="31" t="e">
        <f ca="1">[1]!MF_p_choke_atma(C$59,fw_,d_choke,$B64,0,d_pipe,T_choke,,PVTstr_,qgas_free)</f>
        <v>#NAME?</v>
      </c>
      <c r="D64" s="31" t="e">
        <f ca="1">[1]!MF_p_choke_atma(D$59,fw_,d_choke,$B64,0,d_pipe,T_choke,,PVTstr_,qgas_free)</f>
        <v>#NAME?</v>
      </c>
      <c r="E64" s="31" t="e">
        <f ca="1">[1]!MF_p_choke_atma(E$59,fw_,d_choke,$B64,0,d_pipe,T_choke,,PVTstr_,qgas_free)</f>
        <v>#NAME?</v>
      </c>
      <c r="F64" s="31" t="e">
        <f ca="1">[1]!MF_p_choke_atma(F$59,fw_,d_choke,$B64,0,d_pipe,T_choke,,PVTstr_,qgas_free)</f>
        <v>#NAME?</v>
      </c>
      <c r="G64" s="31" t="e">
        <f ca="1">[1]!MF_p_choke_atma(G$59,fw_,d_choke,$B64,0,d_pipe,T_choke,,PVTstr_,qgas_free)</f>
        <v>#NAME?</v>
      </c>
      <c r="H64" s="31" t="e">
        <f ca="1">[1]!MF_p_choke_atma(H$59,fw_,d_choke,$B64,0,d_pipe,T_choke,,PVTstr_,qgas_free)</f>
        <v>#NAME?</v>
      </c>
      <c r="I64" s="31" t="e">
        <f ca="1">[1]!MF_p_choke_atma(I$59,fw_,d_choke,$B64,0,d_pipe,T_choke,,PVTstr_,qgas_free)</f>
        <v>#NAME?</v>
      </c>
      <c r="J64" s="31" t="e">
        <f ca="1">[1]!MF_p_choke_atma(J$59,fw_,d_choke,$B64,0,d_pipe,T_choke,,PVTstr_,qgas_free)</f>
        <v>#NAME?</v>
      </c>
      <c r="K64" s="31" t="e">
        <f ca="1">[1]!MF_p_choke_atma(K$59,fw_,d_choke,$B64,0,d_pipe,T_choke,,PVTstr_,qgas_free)</f>
        <v>#NAME?</v>
      </c>
      <c r="L64" s="31" t="e">
        <f ca="1">[1]!MF_p_choke_atma(L$59,fw_,d_choke,$B64,0,d_pipe,T_choke,,PVTstr_,qgas_free)</f>
        <v>#NAME?</v>
      </c>
      <c r="M64" s="31" t="e">
        <f ca="1">[1]!MF_p_choke_atma(M$59,fw_,d_choke,$B64,0,d_pipe,T_choke,,PVTstr_,qgas_free)</f>
        <v>#NAME?</v>
      </c>
      <c r="N64" s="31" t="e">
        <f ca="1">[1]!MF_p_choke_atma(N$59,fw_,d_choke,$B64,0,d_pipe,T_choke,,PVTstr_,qgas_free)</f>
        <v>#NAME?</v>
      </c>
      <c r="O64" s="31" t="e">
        <f ca="1">[1]!MF_p_choke_atma(O$59,fw_,d_choke,$B64,0,d_pipe,T_choke,,PVTstr_,qgas_free)</f>
        <v>#NAME?</v>
      </c>
      <c r="P64" s="31" t="e">
        <f ca="1">[1]!MF_p_choke_atma(P$59,fw_,d_choke,$B64,0,d_pipe,T_choke,,PVTstr_,qgas_free)</f>
        <v>#NAME?</v>
      </c>
      <c r="Q64" s="31" t="e">
        <f ca="1">[1]!MF_p_choke_atma(Q$59,fw_,d_choke,$B64,0,d_pipe,T_choke,,PVTstr_,qgas_free)</f>
        <v>#NAME?</v>
      </c>
      <c r="R64" s="31" t="e">
        <f ca="1">[1]!MF_p_choke_atma(R$59,fw_,d_choke,$B64,0,d_pipe,T_choke,,PVTstr_,qgas_free)</f>
        <v>#NAME?</v>
      </c>
      <c r="S64" s="31" t="e">
        <f ca="1">[1]!MF_p_choke_atma(S$59,fw_,d_choke,$B64,0,d_pipe,T_choke,,PVTstr_,qgas_free)</f>
        <v>#NAME?</v>
      </c>
      <c r="T64" s="31" t="e">
        <f ca="1">[1]!MF_p_choke_atma(T$59,fw_,d_choke,$B64,0,d_pipe,T_choke,,PVTstr_,qgas_free)</f>
        <v>#NAME?</v>
      </c>
      <c r="U64" s="31" t="e">
        <f ca="1">[1]!MF_p_choke_atma(U$59,fw_,d_choke,$B64,0,d_pipe,T_choke,,PVTstr_,qgas_free)</f>
        <v>#NAME?</v>
      </c>
      <c r="V64" s="31" t="e">
        <f ca="1">[1]!MF_p_choke_atma(V$59,fw_,d_choke,$B64,0,d_pipe,T_choke,,PVTstr_,qgas_free)</f>
        <v>#NAME?</v>
      </c>
      <c r="W64" s="31" t="e">
        <f ca="1">[1]!MF_p_choke_atma(W$59,fw_,d_choke,$B64,0,d_pipe,T_choke,,PVTstr_,qgas_free)</f>
        <v>#NAME?</v>
      </c>
      <c r="X64" s="31" t="e">
        <f ca="1">[1]!MF_p_choke_atma(X$59,fw_,d_choke,$B64,0,d_pipe,T_choke,,PVTstr_,qgas_free)</f>
        <v>#NAME?</v>
      </c>
      <c r="Y64" s="31" t="e">
        <f ca="1">[1]!MF_p_choke_atma(Y$59,fw_,d_choke,$B64,0,d_pipe,T_choke,,PVTstr_,qgas_free)</f>
        <v>#NAME?</v>
      </c>
      <c r="Z64" s="31" t="e">
        <f ca="1">[1]!MF_p_choke_atma(Z$59,fw_,d_choke,$B64,0,d_pipe,T_choke,,PVTstr_,qgas_free)</f>
        <v>#NAME?</v>
      </c>
      <c r="AA64" s="31" t="e">
        <f ca="1">[1]!MF_p_choke_atma(AA$59,fw_,d_choke,$B64,0,d_pipe,T_choke,,PVTstr_,qgas_free)</f>
        <v>#NAME?</v>
      </c>
      <c r="AB64" s="31" t="e">
        <f ca="1">[1]!MF_p_choke_atma(AB$59,fw_,d_choke,$B64,0,d_pipe,T_choke,,PVTstr_,qgas_free)</f>
        <v>#NAME?</v>
      </c>
      <c r="AC64" s="31" t="e">
        <f ca="1">[1]!MF_p_choke_atma(AC$59,fw_,d_choke,$B64,0,d_pipe,T_choke,,PVTstr_,qgas_free)</f>
        <v>#NAME?</v>
      </c>
      <c r="AD64" s="31" t="e">
        <f ca="1">[1]!MF_p_choke_atma(AD$59,fw_,d_choke,$B64,0,d_pipe,T_choke,,PVTstr_,qgas_free)</f>
        <v>#NAME?</v>
      </c>
    </row>
    <row r="65" spans="2:38" x14ac:dyDescent="0.25">
      <c r="B65" s="28">
        <v>30</v>
      </c>
      <c r="C65" s="31" t="e">
        <f ca="1">[1]!MF_p_choke_atma(C$59,fw_,d_choke,$B65,0,d_pipe,T_choke,,PVTstr_,qgas_free)</f>
        <v>#NAME?</v>
      </c>
      <c r="D65" s="31" t="e">
        <f ca="1">[1]!MF_p_choke_atma(D$59,fw_,d_choke,$B65,0,d_pipe,T_choke,,PVTstr_,qgas_free)</f>
        <v>#NAME?</v>
      </c>
      <c r="E65" s="31" t="e">
        <f ca="1">[1]!MF_p_choke_atma(E$59,fw_,d_choke,$B65,0,d_pipe,T_choke,,PVTstr_,qgas_free)</f>
        <v>#NAME?</v>
      </c>
      <c r="F65" s="31" t="e">
        <f ca="1">[1]!MF_p_choke_atma(F$59,fw_,d_choke,$B65,0,d_pipe,T_choke,,PVTstr_,qgas_free)</f>
        <v>#NAME?</v>
      </c>
      <c r="G65" s="31" t="e">
        <f ca="1">[1]!MF_p_choke_atma(G$59,fw_,d_choke,$B65,0,d_pipe,T_choke,,PVTstr_,qgas_free)</f>
        <v>#NAME?</v>
      </c>
      <c r="H65" s="31" t="e">
        <f ca="1">[1]!MF_p_choke_atma(H$59,fw_,d_choke,$B65,0,d_pipe,T_choke,,PVTstr_,qgas_free)</f>
        <v>#NAME?</v>
      </c>
      <c r="I65" s="31" t="e">
        <f ca="1">[1]!MF_p_choke_atma(I$59,fw_,d_choke,$B65,0,d_pipe,T_choke,,PVTstr_,qgas_free)</f>
        <v>#NAME?</v>
      </c>
      <c r="J65" s="31" t="e">
        <f ca="1">[1]!MF_p_choke_atma(J$59,fw_,d_choke,$B65,0,d_pipe,T_choke,,PVTstr_,qgas_free)</f>
        <v>#NAME?</v>
      </c>
      <c r="K65" s="31" t="e">
        <f ca="1">[1]!MF_p_choke_atma(K$59,fw_,d_choke,$B65,0,d_pipe,T_choke,,PVTstr_,qgas_free)</f>
        <v>#NAME?</v>
      </c>
      <c r="L65" s="31" t="e">
        <f ca="1">[1]!MF_p_choke_atma(L$59,fw_,d_choke,$B65,0,d_pipe,T_choke,,PVTstr_,qgas_free)</f>
        <v>#NAME?</v>
      </c>
      <c r="M65" s="31" t="e">
        <f ca="1">[1]!MF_p_choke_atma(M$59,fw_,d_choke,$B65,0,d_pipe,T_choke,,PVTstr_,qgas_free)</f>
        <v>#NAME?</v>
      </c>
      <c r="N65" s="31" t="e">
        <f ca="1">[1]!MF_p_choke_atma(N$59,fw_,d_choke,$B65,0,d_pipe,T_choke,,PVTstr_,qgas_free)</f>
        <v>#NAME?</v>
      </c>
      <c r="O65" s="31" t="e">
        <f ca="1">[1]!MF_p_choke_atma(O$59,fw_,d_choke,$B65,0,d_pipe,T_choke,,PVTstr_,qgas_free)</f>
        <v>#NAME?</v>
      </c>
      <c r="P65" s="31" t="e">
        <f ca="1">[1]!MF_p_choke_atma(P$59,fw_,d_choke,$B65,0,d_pipe,T_choke,,PVTstr_,qgas_free)</f>
        <v>#NAME?</v>
      </c>
      <c r="Q65" s="31" t="e">
        <f ca="1">[1]!MF_p_choke_atma(Q$59,fw_,d_choke,$B65,0,d_pipe,T_choke,,PVTstr_,qgas_free)</f>
        <v>#NAME?</v>
      </c>
      <c r="R65" s="31" t="e">
        <f ca="1">[1]!MF_p_choke_atma(R$59,fw_,d_choke,$B65,0,d_pipe,T_choke,,PVTstr_,qgas_free)</f>
        <v>#NAME?</v>
      </c>
      <c r="S65" s="31" t="e">
        <f ca="1">[1]!MF_p_choke_atma(S$59,fw_,d_choke,$B65,0,d_pipe,T_choke,,PVTstr_,qgas_free)</f>
        <v>#NAME?</v>
      </c>
      <c r="T65" s="31" t="e">
        <f ca="1">[1]!MF_p_choke_atma(T$59,fw_,d_choke,$B65,0,d_pipe,T_choke,,PVTstr_,qgas_free)</f>
        <v>#NAME?</v>
      </c>
      <c r="U65" s="31" t="e">
        <f ca="1">[1]!MF_p_choke_atma(U$59,fw_,d_choke,$B65,0,d_pipe,T_choke,,PVTstr_,qgas_free)</f>
        <v>#NAME?</v>
      </c>
      <c r="V65" s="31" t="e">
        <f ca="1">[1]!MF_p_choke_atma(V$59,fw_,d_choke,$B65,0,d_pipe,T_choke,,PVTstr_,qgas_free)</f>
        <v>#NAME?</v>
      </c>
      <c r="W65" s="31" t="e">
        <f ca="1">[1]!MF_p_choke_atma(W$59,fw_,d_choke,$B65,0,d_pipe,T_choke,,PVTstr_,qgas_free)</f>
        <v>#NAME?</v>
      </c>
      <c r="X65" s="31" t="e">
        <f ca="1">[1]!MF_p_choke_atma(X$59,fw_,d_choke,$B65,0,d_pipe,T_choke,,PVTstr_,qgas_free)</f>
        <v>#NAME?</v>
      </c>
      <c r="Y65" s="31" t="e">
        <f ca="1">[1]!MF_p_choke_atma(Y$59,fw_,d_choke,$B65,0,d_pipe,T_choke,,PVTstr_,qgas_free)</f>
        <v>#NAME?</v>
      </c>
      <c r="Z65" s="31" t="e">
        <f ca="1">[1]!MF_p_choke_atma(Z$59,fw_,d_choke,$B65,0,d_pipe,T_choke,,PVTstr_,qgas_free)</f>
        <v>#NAME?</v>
      </c>
      <c r="AA65" s="31" t="e">
        <f ca="1">[1]!MF_p_choke_atma(AA$59,fw_,d_choke,$B65,0,d_pipe,T_choke,,PVTstr_,qgas_free)</f>
        <v>#NAME?</v>
      </c>
      <c r="AB65" s="31" t="e">
        <f ca="1">[1]!MF_p_choke_atma(AB$59,fw_,d_choke,$B65,0,d_pipe,T_choke,,PVTstr_,qgas_free)</f>
        <v>#NAME?</v>
      </c>
      <c r="AC65" s="31" t="e">
        <f ca="1">[1]!MF_p_choke_atma(AC$59,fw_,d_choke,$B65,0,d_pipe,T_choke,,PVTstr_,qgas_free)</f>
        <v>#NAME?</v>
      </c>
      <c r="AD65" s="31" t="e">
        <f ca="1">[1]!MF_p_choke_atma(AD$59,fw_,d_choke,$B65,0,d_pipe,T_choke,,PVTstr_,qgas_free)</f>
        <v>#NAME?</v>
      </c>
    </row>
    <row r="66" spans="2:38" x14ac:dyDescent="0.25">
      <c r="C66" s="3"/>
      <c r="D66" s="3"/>
      <c r="E66" s="4"/>
      <c r="F66" s="5"/>
      <c r="G66" s="5"/>
      <c r="I66" s="3"/>
    </row>
    <row r="67" spans="2:38" x14ac:dyDescent="0.25">
      <c r="C67" s="3"/>
      <c r="D67" s="3"/>
      <c r="E67" s="4"/>
      <c r="F67" s="5"/>
      <c r="G67" s="5"/>
      <c r="I67" s="3"/>
    </row>
    <row r="69" spans="2:38" x14ac:dyDescent="0.25">
      <c r="B69" s="21" t="s">
        <v>38</v>
      </c>
      <c r="C69" s="17" t="e">
        <f ca="1">[1]!MF_q_choke_sm3day(fw_,d_choke,B77,1,d_pipe,T_choke,,PVTstr_)</f>
        <v>#NAME?</v>
      </c>
    </row>
    <row r="70" spans="2:38" x14ac:dyDescent="0.25">
      <c r="C70" s="49" t="s">
        <v>8</v>
      </c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</row>
    <row r="71" spans="2:38" x14ac:dyDescent="0.25">
      <c r="B71" s="47" t="s">
        <v>37</v>
      </c>
      <c r="C71" s="2">
        <v>0</v>
      </c>
      <c r="D71" s="19">
        <v>15</v>
      </c>
      <c r="E71" s="19">
        <v>28</v>
      </c>
      <c r="F71" s="19">
        <v>35</v>
      </c>
      <c r="G71" s="19">
        <v>40</v>
      </c>
      <c r="H71" s="19">
        <v>43</v>
      </c>
      <c r="I71" s="19">
        <v>43.96</v>
      </c>
      <c r="J71" s="19">
        <v>44</v>
      </c>
      <c r="K71" s="19">
        <v>53</v>
      </c>
      <c r="L71" s="19">
        <v>58</v>
      </c>
      <c r="M71" s="19">
        <v>60</v>
      </c>
      <c r="N71" s="19">
        <v>62</v>
      </c>
      <c r="O71" s="19">
        <v>65</v>
      </c>
      <c r="P71" s="19">
        <v>67</v>
      </c>
      <c r="Q71" s="19">
        <v>67.2</v>
      </c>
      <c r="R71" s="19">
        <v>76</v>
      </c>
      <c r="S71" s="19">
        <v>85</v>
      </c>
      <c r="T71" s="19">
        <v>90</v>
      </c>
      <c r="U71" s="19">
        <v>91</v>
      </c>
      <c r="V71" s="19">
        <v>91.1</v>
      </c>
      <c r="W71" s="22">
        <v>100</v>
      </c>
      <c r="X71" s="22">
        <v>110</v>
      </c>
      <c r="Y71" s="22">
        <v>113</v>
      </c>
      <c r="Z71" s="22">
        <v>116</v>
      </c>
      <c r="AA71" s="22">
        <v>116.5</v>
      </c>
      <c r="AB71" s="22">
        <v>125</v>
      </c>
      <c r="AC71" s="22">
        <v>130</v>
      </c>
      <c r="AD71" s="22">
        <v>138</v>
      </c>
      <c r="AE71" s="22">
        <v>142.5</v>
      </c>
      <c r="AF71" s="22">
        <v>142.69999999999999</v>
      </c>
      <c r="AG71" s="22">
        <v>150</v>
      </c>
      <c r="AH71" s="22">
        <v>160</v>
      </c>
      <c r="AI71" s="22">
        <v>165</v>
      </c>
      <c r="AJ71" s="22">
        <v>168</v>
      </c>
      <c r="AK71" s="22">
        <v>170</v>
      </c>
      <c r="AL71" s="22">
        <v>170.3</v>
      </c>
    </row>
    <row r="72" spans="2:38" x14ac:dyDescent="0.25">
      <c r="B72" s="28">
        <v>10</v>
      </c>
      <c r="C72" s="31" t="e">
        <f ca="1">[1]!MF_p_choke_atma(C$71,fw_,d_choke,$B72,1,d_pipe,T_choke,,PVTstr_,qgas_free)</f>
        <v>#NAME?</v>
      </c>
      <c r="D72" s="31" t="e">
        <f ca="1">[1]!MF_p_choke_atma(D$71,fw_,d_choke,$B72,1,d_pipe,T_choke,,PVTstr_,qgas_free)</f>
        <v>#NAME?</v>
      </c>
      <c r="E72" s="31" t="e">
        <f ca="1">[1]!MF_p_choke_atma(E$71,fw_,d_choke,$B72,1,d_pipe,T_choke,,PVTstr_,qgas_free)</f>
        <v>#NAME?</v>
      </c>
      <c r="F72" s="31" t="e">
        <f ca="1">[1]!MF_p_choke_atma(F$71,fw_,d_choke,$B72,1,d_pipe,T_choke,,PVTstr_,qgas_free)</f>
        <v>#NAME?</v>
      </c>
      <c r="G72" s="31" t="e">
        <f ca="1">[1]!MF_p_choke_atma(G$71,fw_,d_choke,$B72,1,d_pipe,T_choke,,PVTstr_,qgas_free)</f>
        <v>#NAME?</v>
      </c>
      <c r="H72" s="31" t="e">
        <f ca="1">[1]!MF_p_choke_atma(H$71,fw_,d_choke,$B72,1,d_pipe,T_choke,,PVTstr_,qgas_free)</f>
        <v>#NAME?</v>
      </c>
      <c r="I72" s="31" t="e">
        <f ca="1">[1]!MF_p_choke_atma(I$71,fw_,d_choke,$B72,1,d_pipe,T_choke,,PVTstr_,qgas_free)</f>
        <v>#NAME?</v>
      </c>
      <c r="J72" s="31" t="e">
        <f ca="1">[1]!MF_p_choke_atma(J$71,fw_,d_choke,$B72,1,d_pipe,T_choke,,PVTstr_,qgas_free)</f>
        <v>#NAME?</v>
      </c>
      <c r="K72" s="31" t="e">
        <f ca="1">[1]!MF_p_choke_atma(K$71,fw_,d_choke,$B72,1,d_pipe,T_choke,,PVTstr_,qgas_free)</f>
        <v>#NAME?</v>
      </c>
      <c r="L72" s="31" t="e">
        <f ca="1">[1]!MF_p_choke_atma(L$71,fw_,d_choke,$B72,1,d_pipe,T_choke,,PVTstr_,qgas_free)</f>
        <v>#NAME?</v>
      </c>
      <c r="M72" s="31" t="e">
        <f ca="1">[1]!MF_p_choke_atma(M$71,fw_,d_choke,$B72,1,d_pipe,T_choke,,PVTstr_,qgas_free)</f>
        <v>#NAME?</v>
      </c>
      <c r="N72" s="31" t="e">
        <f ca="1">[1]!MF_p_choke_atma(N$71,fw_,d_choke,$B72,1,d_pipe,T_choke,,PVTstr_,qgas_free)</f>
        <v>#NAME?</v>
      </c>
      <c r="O72" s="31" t="e">
        <f ca="1">[1]!MF_p_choke_atma(O$71,fw_,d_choke,$B72,1,d_pipe,T_choke,,PVTstr_,qgas_free)</f>
        <v>#NAME?</v>
      </c>
      <c r="P72" s="31" t="e">
        <f ca="1">[1]!MF_p_choke_atma(P$71,fw_,d_choke,$B72,1,d_pipe,T_choke,,PVTstr_,qgas_free)</f>
        <v>#NAME?</v>
      </c>
      <c r="Q72" s="31" t="e">
        <f ca="1">[1]!MF_p_choke_atma(Q$71,fw_,d_choke,$B72,1,d_pipe,T_choke,,PVTstr_,qgas_free)</f>
        <v>#NAME?</v>
      </c>
      <c r="R72" s="31" t="e">
        <f ca="1">[1]!MF_p_choke_atma(R$71,fw_,d_choke,$B72,1,d_pipe,T_choke,,PVTstr_,qgas_free)</f>
        <v>#NAME?</v>
      </c>
      <c r="S72" s="31" t="e">
        <f ca="1">[1]!MF_p_choke_atma(S$71,fw_,d_choke,$B72,1,d_pipe,T_choke,,PVTstr_,qgas_free)</f>
        <v>#NAME?</v>
      </c>
      <c r="T72" s="31" t="e">
        <f ca="1">[1]!MF_p_choke_atma(T$71,fw_,d_choke,$B72,1,d_pipe,T_choke,,PVTstr_,qgas_free)</f>
        <v>#NAME?</v>
      </c>
      <c r="U72" s="31" t="e">
        <f ca="1">[1]!MF_p_choke_atma(U$71,fw_,d_choke,$B72,1,d_pipe,T_choke,,PVTstr_,qgas_free)</f>
        <v>#NAME?</v>
      </c>
      <c r="V72" s="31" t="e">
        <f ca="1">[1]!MF_p_choke_atma(V$71,fw_,d_choke,$B72,1,d_pipe,T_choke,,PVTstr_,qgas_free)</f>
        <v>#NAME?</v>
      </c>
      <c r="W72" s="31" t="e">
        <f ca="1">[1]!MF_p_choke_atma(W$71,fw_,d_choke,$B72,1,d_pipe,T_choke,,PVTstr_,qgas_free)</f>
        <v>#NAME?</v>
      </c>
      <c r="X72" s="31" t="e">
        <f ca="1">[1]!MF_p_choke_atma(X$71,fw_,d_choke,$B72,1,d_pipe,T_choke,,PVTstr_,qgas_free)</f>
        <v>#NAME?</v>
      </c>
      <c r="Y72" s="31" t="e">
        <f ca="1">[1]!MF_p_choke_atma(Y$71,fw_,d_choke,$B72,1,d_pipe,T_choke,,PVTstr_,qgas_free)</f>
        <v>#NAME?</v>
      </c>
      <c r="Z72" s="31" t="e">
        <f ca="1">[1]!MF_p_choke_atma(Z$71,fw_,d_choke,$B72,1,d_pipe,T_choke,,PVTstr_,qgas_free)</f>
        <v>#NAME?</v>
      </c>
      <c r="AA72" s="31" t="e">
        <f ca="1">[1]!MF_p_choke_atma(AA$71,fw_,d_choke,$B72,1,d_pipe,T_choke,,PVTstr_,qgas_free)</f>
        <v>#NAME?</v>
      </c>
      <c r="AB72" s="31" t="e">
        <f ca="1">[1]!MF_p_choke_atma(AB$71,fw_,d_choke,$B72,1,d_pipe,T_choke,,PVTstr_,qgas_free)</f>
        <v>#NAME?</v>
      </c>
      <c r="AC72" s="31" t="e">
        <f ca="1">[1]!MF_p_choke_atma(AC$71,fw_,d_choke,$B72,1,d_pipe,T_choke,,PVTstr_,qgas_free)</f>
        <v>#NAME?</v>
      </c>
      <c r="AD72" s="31" t="e">
        <f ca="1">[1]!MF_p_choke_atma(AD$71,fw_,d_choke,$B72,1,d_pipe,T_choke,,PVTstr_,qgas_free)</f>
        <v>#NAME?</v>
      </c>
      <c r="AE72" s="31" t="e">
        <f ca="1">[1]!MF_p_choke_atma(AE$71,fw_,d_choke,$B72,1,d_pipe,T_choke,,PVTstr_,qgas_free)</f>
        <v>#NAME?</v>
      </c>
      <c r="AF72" s="31" t="e">
        <f ca="1">[1]!MF_p_choke_atma(AF$71,fw_,d_choke,$B72,1,d_pipe,T_choke,,PVTstr_,qgas_free)</f>
        <v>#NAME?</v>
      </c>
      <c r="AG72" s="31" t="e">
        <f ca="1">[1]!MF_p_choke_atma(AG$71,fw_,d_choke,$B72,1,d_pipe,T_choke,,PVTstr_,qgas_free)</f>
        <v>#NAME?</v>
      </c>
      <c r="AH72" s="31" t="e">
        <f ca="1">[1]!MF_p_choke_atma(AH$71,fw_,d_choke,$B72,1,d_pipe,T_choke,,PVTstr_,qgas_free)</f>
        <v>#NAME?</v>
      </c>
      <c r="AI72" s="31" t="e">
        <f ca="1">[1]!MF_p_choke_atma(AI$71,fw_,d_choke,$B72,1,d_pipe,T_choke,,PVTstr_,qgas_free)</f>
        <v>#NAME?</v>
      </c>
      <c r="AJ72" s="31" t="e">
        <f ca="1">[1]!MF_p_choke_atma(AJ$71,fw_,d_choke,$B72,1,d_pipe,T_choke,,PVTstr_,qgas_free)</f>
        <v>#NAME?</v>
      </c>
      <c r="AK72" s="31" t="e">
        <f ca="1">[1]!MF_p_choke_atma(AK$71,fw_,d_choke,$B72,1,d_pipe,T_choke,,PVTstr_,qgas_free)</f>
        <v>#NAME?</v>
      </c>
      <c r="AL72" s="31" t="e">
        <f ca="1">[1]!MF_p_choke_atma(AL$71,fw_,d_choke,$B72,1,d_pipe,T_choke,,PVTstr_,qgas_free)</f>
        <v>#NAME?</v>
      </c>
    </row>
    <row r="73" spans="2:38" x14ac:dyDescent="0.25">
      <c r="B73" s="28">
        <v>15</v>
      </c>
      <c r="C73" s="31" t="e">
        <f ca="1">[1]!MF_p_choke_atma(C$71,fw_,d_choke,$B73,1,d_pipe,T_choke,,PVTstr_,qgas_free)</f>
        <v>#NAME?</v>
      </c>
      <c r="D73" s="31" t="e">
        <f ca="1">[1]!MF_p_choke_atma(D$71,fw_,d_choke,$B73,1,d_pipe,T_choke,,PVTstr_,qgas_free)</f>
        <v>#NAME?</v>
      </c>
      <c r="E73" s="31" t="e">
        <f ca="1">[1]!MF_p_choke_atma(E$71,fw_,d_choke,$B73,1,d_pipe,T_choke,,PVTstr_,qgas_free)</f>
        <v>#NAME?</v>
      </c>
      <c r="F73" s="31" t="e">
        <f ca="1">[1]!MF_p_choke_atma(F$71,fw_,d_choke,$B73,1,d_pipe,T_choke,,PVTstr_,qgas_free)</f>
        <v>#NAME?</v>
      </c>
      <c r="G73" s="31" t="e">
        <f ca="1">[1]!MF_p_choke_atma(G$71,fw_,d_choke,$B73,1,d_pipe,T_choke,,PVTstr_,qgas_free)</f>
        <v>#NAME?</v>
      </c>
      <c r="H73" s="31" t="e">
        <f ca="1">[1]!MF_p_choke_atma(H$71,fw_,d_choke,$B73,1,d_pipe,T_choke,,PVTstr_,qgas_free)</f>
        <v>#NAME?</v>
      </c>
      <c r="I73" s="31" t="e">
        <f ca="1">[1]!MF_p_choke_atma(I$71,fw_,d_choke,$B73,1,d_pipe,T_choke,,PVTstr_,qgas_free)</f>
        <v>#NAME?</v>
      </c>
      <c r="J73" s="31" t="e">
        <f ca="1">[1]!MF_p_choke_atma(J$71,fw_,d_choke,$B73,1,d_pipe,T_choke,,PVTstr_,qgas_free)</f>
        <v>#NAME?</v>
      </c>
      <c r="K73" s="31" t="e">
        <f ca="1">[1]!MF_p_choke_atma(K$71,fw_,d_choke,$B73,1,d_pipe,T_choke,,PVTstr_,qgas_free)</f>
        <v>#NAME?</v>
      </c>
      <c r="L73" s="31" t="e">
        <f ca="1">[1]!MF_p_choke_atma(L$71,fw_,d_choke,$B73,1,d_pipe,T_choke,,PVTstr_,qgas_free)</f>
        <v>#NAME?</v>
      </c>
      <c r="M73" s="31" t="e">
        <f ca="1">[1]!MF_p_choke_atma(M$71,fw_,d_choke,$B73,1,d_pipe,T_choke,,PVTstr_,qgas_free)</f>
        <v>#NAME?</v>
      </c>
      <c r="N73" s="31" t="e">
        <f ca="1">[1]!MF_p_choke_atma(N$71,fw_,d_choke,$B73,1,d_pipe,T_choke,,PVTstr_,qgas_free)</f>
        <v>#NAME?</v>
      </c>
      <c r="O73" s="31" t="e">
        <f ca="1">[1]!MF_p_choke_atma(O$71,fw_,d_choke,$B73,1,d_pipe,T_choke,,PVTstr_,qgas_free)</f>
        <v>#NAME?</v>
      </c>
      <c r="P73" s="31" t="e">
        <f ca="1">[1]!MF_p_choke_atma(P$71,fw_,d_choke,$B73,1,d_pipe,T_choke,,PVTstr_,qgas_free)</f>
        <v>#NAME?</v>
      </c>
      <c r="Q73" s="31" t="e">
        <f ca="1">[1]!MF_p_choke_atma(Q$71,fw_,d_choke,$B73,1,d_pipe,T_choke,,PVTstr_,qgas_free)</f>
        <v>#NAME?</v>
      </c>
      <c r="R73" s="31" t="e">
        <f ca="1">[1]!MF_p_choke_atma(R$71,fw_,d_choke,$B73,1,d_pipe,T_choke,,PVTstr_,qgas_free)</f>
        <v>#NAME?</v>
      </c>
      <c r="S73" s="31" t="e">
        <f ca="1">[1]!MF_p_choke_atma(S$71,fw_,d_choke,$B73,1,d_pipe,T_choke,,PVTstr_,qgas_free)</f>
        <v>#NAME?</v>
      </c>
      <c r="T73" s="31" t="e">
        <f ca="1">[1]!MF_p_choke_atma(T$71,fw_,d_choke,$B73,1,d_pipe,T_choke,,PVTstr_,qgas_free)</f>
        <v>#NAME?</v>
      </c>
      <c r="U73" s="31" t="e">
        <f ca="1">[1]!MF_p_choke_atma(U$71,fw_,d_choke,$B73,1,d_pipe,T_choke,,PVTstr_,qgas_free)</f>
        <v>#NAME?</v>
      </c>
      <c r="V73" s="31" t="e">
        <f ca="1">[1]!MF_p_choke_atma(V$71,fw_,d_choke,$B73,1,d_pipe,T_choke,,PVTstr_,qgas_free)</f>
        <v>#NAME?</v>
      </c>
      <c r="W73" s="31" t="e">
        <f ca="1">[1]!MF_p_choke_atma(W$71,fw_,d_choke,$B73,1,d_pipe,T_choke,,PVTstr_,qgas_free)</f>
        <v>#NAME?</v>
      </c>
      <c r="X73" s="31" t="e">
        <f ca="1">[1]!MF_p_choke_atma(X$71,fw_,d_choke,$B73,1,d_pipe,T_choke,,PVTstr_,qgas_free)</f>
        <v>#NAME?</v>
      </c>
      <c r="Y73" s="31" t="e">
        <f ca="1">[1]!MF_p_choke_atma(Y$71,fw_,d_choke,$B73,1,d_pipe,T_choke,,PVTstr_,qgas_free)</f>
        <v>#NAME?</v>
      </c>
      <c r="Z73" s="31" t="e">
        <f ca="1">[1]!MF_p_choke_atma(Z$71,fw_,d_choke,$B73,1,d_pipe,T_choke,,PVTstr_,qgas_free)</f>
        <v>#NAME?</v>
      </c>
      <c r="AA73" s="31" t="e">
        <f ca="1">[1]!MF_p_choke_atma(AA$71,fw_,d_choke,$B73,1,d_pipe,T_choke,,PVTstr_,qgas_free)</f>
        <v>#NAME?</v>
      </c>
      <c r="AB73" s="31" t="e">
        <f ca="1">[1]!MF_p_choke_atma(AB$71,fw_,d_choke,$B73,1,d_pipe,T_choke,,PVTstr_,qgas_free)</f>
        <v>#NAME?</v>
      </c>
      <c r="AC73" s="31" t="e">
        <f ca="1">[1]!MF_p_choke_atma(AC$71,fw_,d_choke,$B73,1,d_pipe,T_choke,,PVTstr_,qgas_free)</f>
        <v>#NAME?</v>
      </c>
      <c r="AD73" s="31" t="e">
        <f ca="1">[1]!MF_p_choke_atma(AD$71,fw_,d_choke,$B73,1,d_pipe,T_choke,,PVTstr_,qgas_free)</f>
        <v>#NAME?</v>
      </c>
      <c r="AE73" s="31" t="e">
        <f ca="1">[1]!MF_p_choke_atma(AE$71,fw_,d_choke,$B73,1,d_pipe,T_choke,,PVTstr_,qgas_free)</f>
        <v>#NAME?</v>
      </c>
      <c r="AF73" s="31" t="e">
        <f ca="1">[1]!MF_p_choke_atma(AF$71,fw_,d_choke,$B73,1,d_pipe,T_choke,,PVTstr_,qgas_free)</f>
        <v>#NAME?</v>
      </c>
      <c r="AG73" s="31" t="e">
        <f ca="1">[1]!MF_p_choke_atma(AG$71,fw_,d_choke,$B73,1,d_pipe,T_choke,,PVTstr_,qgas_free)</f>
        <v>#NAME?</v>
      </c>
      <c r="AH73" s="31" t="e">
        <f ca="1">[1]!MF_p_choke_atma(AH$71,fw_,d_choke,$B73,1,d_pipe,T_choke,,PVTstr_,qgas_free)</f>
        <v>#NAME?</v>
      </c>
      <c r="AI73" s="31" t="e">
        <f ca="1">[1]!MF_p_choke_atma(AI$71,fw_,d_choke,$B73,1,d_pipe,T_choke,,PVTstr_,qgas_free)</f>
        <v>#NAME?</v>
      </c>
      <c r="AJ73" s="31" t="e">
        <f ca="1">[1]!MF_p_choke_atma(AJ$71,fw_,d_choke,$B73,1,d_pipe,T_choke,,PVTstr_,qgas_free)</f>
        <v>#NAME?</v>
      </c>
      <c r="AK73" s="31" t="e">
        <f ca="1">[1]!MF_p_choke_atma(AK$71,fw_,d_choke,$B73,1,d_pipe,T_choke,,PVTstr_,qgas_free)</f>
        <v>#NAME?</v>
      </c>
      <c r="AL73" s="31" t="e">
        <f ca="1">[1]!MF_p_choke_atma(AL$71,fw_,d_choke,$B73,1,d_pipe,T_choke,,PVTstr_,qgas_free)</f>
        <v>#NAME?</v>
      </c>
    </row>
    <row r="74" spans="2:38" x14ac:dyDescent="0.25">
      <c r="B74" s="28">
        <v>20</v>
      </c>
      <c r="C74" s="31" t="e">
        <f ca="1">[1]!MF_p_choke_atma(C$71,fw_,d_choke,$B74,1,d_pipe,T_choke,,PVTstr_,qgas_free)</f>
        <v>#NAME?</v>
      </c>
      <c r="D74" s="31" t="e">
        <f ca="1">[1]!MF_p_choke_atma(D$71,fw_,d_choke,$B74,1,d_pipe,T_choke,,PVTstr_,qgas_free)</f>
        <v>#NAME?</v>
      </c>
      <c r="E74" s="31" t="e">
        <f ca="1">[1]!MF_p_choke_atma(E$71,fw_,d_choke,$B74,1,d_pipe,T_choke,,PVTstr_,qgas_free)</f>
        <v>#NAME?</v>
      </c>
      <c r="F74" s="31" t="e">
        <f ca="1">[1]!MF_p_choke_atma(F$71,fw_,d_choke,$B74,1,d_pipe,T_choke,,PVTstr_,qgas_free)</f>
        <v>#NAME?</v>
      </c>
      <c r="G74" s="31" t="e">
        <f ca="1">[1]!MF_p_choke_atma(G$71,fw_,d_choke,$B74,1,d_pipe,T_choke,,PVTstr_,qgas_free)</f>
        <v>#NAME?</v>
      </c>
      <c r="H74" s="31" t="e">
        <f ca="1">[1]!MF_p_choke_atma(H$71,fw_,d_choke,$B74,1,d_pipe,T_choke,,PVTstr_,qgas_free)</f>
        <v>#NAME?</v>
      </c>
      <c r="I74" s="31" t="e">
        <f ca="1">[1]!MF_p_choke_atma(I$71,fw_,d_choke,$B74,1,d_pipe,T_choke,,PVTstr_,qgas_free)</f>
        <v>#NAME?</v>
      </c>
      <c r="J74" s="31" t="e">
        <f ca="1">[1]!MF_p_choke_atma(J$71,fw_,d_choke,$B74,1,d_pipe,T_choke,,PVTstr_,qgas_free)</f>
        <v>#NAME?</v>
      </c>
      <c r="K74" s="31" t="e">
        <f ca="1">[1]!MF_p_choke_atma(K$71,fw_,d_choke,$B74,1,d_pipe,T_choke,,PVTstr_,qgas_free)</f>
        <v>#NAME?</v>
      </c>
      <c r="L74" s="31" t="e">
        <f ca="1">[1]!MF_p_choke_atma(L$71,fw_,d_choke,$B74,1,d_pipe,T_choke,,PVTstr_,qgas_free)</f>
        <v>#NAME?</v>
      </c>
      <c r="M74" s="31" t="e">
        <f ca="1">[1]!MF_p_choke_atma(M$71,fw_,d_choke,$B74,1,d_pipe,T_choke,,PVTstr_,qgas_free)</f>
        <v>#NAME?</v>
      </c>
      <c r="N74" s="31" t="e">
        <f ca="1">[1]!MF_p_choke_atma(N$71,fw_,d_choke,$B74,1,d_pipe,T_choke,,PVTstr_,qgas_free)</f>
        <v>#NAME?</v>
      </c>
      <c r="O74" s="31" t="e">
        <f ca="1">[1]!MF_p_choke_atma(O$71,fw_,d_choke,$B74,1,d_pipe,T_choke,,PVTstr_,qgas_free)</f>
        <v>#NAME?</v>
      </c>
      <c r="P74" s="31" t="e">
        <f ca="1">[1]!MF_p_choke_atma(P$71,fw_,d_choke,$B74,1,d_pipe,T_choke,,PVTstr_,qgas_free)</f>
        <v>#NAME?</v>
      </c>
      <c r="Q74" s="31" t="e">
        <f ca="1">[1]!MF_p_choke_atma(Q$71,fw_,d_choke,$B74,1,d_pipe,T_choke,,PVTstr_,qgas_free)</f>
        <v>#NAME?</v>
      </c>
      <c r="R74" s="31" t="e">
        <f ca="1">[1]!MF_p_choke_atma(R$71,fw_,d_choke,$B74,1,d_pipe,T_choke,,PVTstr_,qgas_free)</f>
        <v>#NAME?</v>
      </c>
      <c r="S74" s="31" t="e">
        <f ca="1">[1]!MF_p_choke_atma(S$71,fw_,d_choke,$B74,1,d_pipe,T_choke,,PVTstr_,qgas_free)</f>
        <v>#NAME?</v>
      </c>
      <c r="T74" s="31" t="e">
        <f ca="1">[1]!MF_p_choke_atma(T$71,fw_,d_choke,$B74,1,d_pipe,T_choke,,PVTstr_,qgas_free)</f>
        <v>#NAME?</v>
      </c>
      <c r="U74" s="31" t="e">
        <f ca="1">[1]!MF_p_choke_atma(U$71,fw_,d_choke,$B74,1,d_pipe,T_choke,,PVTstr_,qgas_free)</f>
        <v>#NAME?</v>
      </c>
      <c r="V74" s="31" t="e">
        <f ca="1">[1]!MF_p_choke_atma(V$71,fw_,d_choke,$B74,1,d_pipe,T_choke,,PVTstr_,qgas_free)</f>
        <v>#NAME?</v>
      </c>
      <c r="W74" s="31" t="e">
        <f ca="1">[1]!MF_p_choke_atma(W$71,fw_,d_choke,$B74,1,d_pipe,T_choke,,PVTstr_,qgas_free)</f>
        <v>#NAME?</v>
      </c>
      <c r="X74" s="31" t="e">
        <f ca="1">[1]!MF_p_choke_atma(X$71,fw_,d_choke,$B74,1,d_pipe,T_choke,,PVTstr_,qgas_free)</f>
        <v>#NAME?</v>
      </c>
      <c r="Y74" s="31" t="e">
        <f ca="1">[1]!MF_p_choke_atma(Y$71,fw_,d_choke,$B74,1,d_pipe,T_choke,,PVTstr_,qgas_free)</f>
        <v>#NAME?</v>
      </c>
      <c r="Z74" s="31" t="e">
        <f ca="1">[1]!MF_p_choke_atma(Z$71,fw_,d_choke,$B74,1,d_pipe,T_choke,,PVTstr_,qgas_free)</f>
        <v>#NAME?</v>
      </c>
      <c r="AA74" s="31" t="e">
        <f ca="1">[1]!MF_p_choke_atma(AA$71,fw_,d_choke,$B74,1,d_pipe,T_choke,,PVTstr_,qgas_free)</f>
        <v>#NAME?</v>
      </c>
      <c r="AB74" s="31" t="e">
        <f ca="1">[1]!MF_p_choke_atma(AB$71,fw_,d_choke,$B74,1,d_pipe,T_choke,,PVTstr_,qgas_free)</f>
        <v>#NAME?</v>
      </c>
      <c r="AC74" s="31" t="e">
        <f ca="1">[1]!MF_p_choke_atma(AC$71,fw_,d_choke,$B74,1,d_pipe,T_choke,,PVTstr_,qgas_free)</f>
        <v>#NAME?</v>
      </c>
      <c r="AD74" s="31" t="e">
        <f ca="1">[1]!MF_p_choke_atma(AD$71,fw_,d_choke,$B74,1,d_pipe,T_choke,,PVTstr_,qgas_free)</f>
        <v>#NAME?</v>
      </c>
      <c r="AE74" s="31" t="e">
        <f ca="1">[1]!MF_p_choke_atma(AE$71,fw_,d_choke,$B74,1,d_pipe,T_choke,,PVTstr_,qgas_free)</f>
        <v>#NAME?</v>
      </c>
      <c r="AF74" s="31" t="e">
        <f ca="1">[1]!MF_p_choke_atma(AF$71,fw_,d_choke,$B74,1,d_pipe,T_choke,,PVTstr_,qgas_free)</f>
        <v>#NAME?</v>
      </c>
      <c r="AG74" s="31" t="e">
        <f ca="1">[1]!MF_p_choke_atma(AG$71,fw_,d_choke,$B74,1,d_pipe,T_choke,,PVTstr_,qgas_free)</f>
        <v>#NAME?</v>
      </c>
      <c r="AH74" s="31" t="e">
        <f ca="1">[1]!MF_p_choke_atma(AH$71,fw_,d_choke,$B74,1,d_pipe,T_choke,,PVTstr_,qgas_free)</f>
        <v>#NAME?</v>
      </c>
      <c r="AI74" s="31" t="e">
        <f ca="1">[1]!MF_p_choke_atma(AI$71,fw_,d_choke,$B74,1,d_pipe,T_choke,,PVTstr_,qgas_free)</f>
        <v>#NAME?</v>
      </c>
      <c r="AJ74" s="31" t="e">
        <f ca="1">[1]!MF_p_choke_atma(AJ$71,fw_,d_choke,$B74,1,d_pipe,T_choke,,PVTstr_,qgas_free)</f>
        <v>#NAME?</v>
      </c>
      <c r="AK74" s="31" t="e">
        <f ca="1">[1]!MF_p_choke_atma(AK$71,fw_,d_choke,$B74,1,d_pipe,T_choke,,PVTstr_,qgas_free)</f>
        <v>#NAME?</v>
      </c>
      <c r="AL74" s="31" t="e">
        <f ca="1">[1]!MF_p_choke_atma(AL$71,fw_,d_choke,$B74,1,d_pipe,T_choke,,PVTstr_,qgas_free)</f>
        <v>#NAME?</v>
      </c>
    </row>
    <row r="75" spans="2:38" x14ac:dyDescent="0.25">
      <c r="B75" s="28">
        <v>25</v>
      </c>
      <c r="C75" s="31" t="e">
        <f ca="1">[1]!MF_p_choke_atma(C$71,fw_,d_choke,$B75,1,d_pipe,T_choke,,PVTstr_,qgas_free)</f>
        <v>#NAME?</v>
      </c>
      <c r="D75" s="31" t="e">
        <f ca="1">[1]!MF_p_choke_atma(D$71,fw_,d_choke,$B75,1,d_pipe,T_choke,,PVTstr_,qgas_free)</f>
        <v>#NAME?</v>
      </c>
      <c r="E75" s="31" t="e">
        <f ca="1">[1]!MF_p_choke_atma(E$71,fw_,d_choke,$B75,1,d_pipe,T_choke,,PVTstr_,qgas_free)</f>
        <v>#NAME?</v>
      </c>
      <c r="F75" s="31" t="e">
        <f ca="1">[1]!MF_p_choke_atma(F$71,fw_,d_choke,$B75,1,d_pipe,T_choke,,PVTstr_,qgas_free)</f>
        <v>#NAME?</v>
      </c>
      <c r="G75" s="31" t="e">
        <f ca="1">[1]!MF_p_choke_atma(G$71,fw_,d_choke,$B75,1,d_pipe,T_choke,,PVTstr_,qgas_free)</f>
        <v>#NAME?</v>
      </c>
      <c r="H75" s="31" t="e">
        <f ca="1">[1]!MF_p_choke_atma(H$71,fw_,d_choke,$B75,1,d_pipe,T_choke,,PVTstr_,qgas_free)</f>
        <v>#NAME?</v>
      </c>
      <c r="I75" s="31" t="e">
        <f ca="1">[1]!MF_p_choke_atma(I$71,fw_,d_choke,$B75,1,d_pipe,T_choke,,PVTstr_,qgas_free)</f>
        <v>#NAME?</v>
      </c>
      <c r="J75" s="31" t="e">
        <f ca="1">[1]!MF_p_choke_atma(J$71,fw_,d_choke,$B75,1,d_pipe,T_choke,,PVTstr_,qgas_free)</f>
        <v>#NAME?</v>
      </c>
      <c r="K75" s="31" t="e">
        <f ca="1">[1]!MF_p_choke_atma(K$71,fw_,d_choke,$B75,1,d_pipe,T_choke,,PVTstr_,qgas_free)</f>
        <v>#NAME?</v>
      </c>
      <c r="L75" s="31" t="e">
        <f ca="1">[1]!MF_p_choke_atma(L$71,fw_,d_choke,$B75,1,d_pipe,T_choke,,PVTstr_,qgas_free)</f>
        <v>#NAME?</v>
      </c>
      <c r="M75" s="31" t="e">
        <f ca="1">[1]!MF_p_choke_atma(M$71,fw_,d_choke,$B75,1,d_pipe,T_choke,,PVTstr_,qgas_free)</f>
        <v>#NAME?</v>
      </c>
      <c r="N75" s="31" t="e">
        <f ca="1">[1]!MF_p_choke_atma(N$71,fw_,d_choke,$B75,1,d_pipe,T_choke,,PVTstr_,qgas_free)</f>
        <v>#NAME?</v>
      </c>
      <c r="O75" s="31" t="e">
        <f ca="1">[1]!MF_p_choke_atma(O$71,fw_,d_choke,$B75,1,d_pipe,T_choke,,PVTstr_,qgas_free)</f>
        <v>#NAME?</v>
      </c>
      <c r="P75" s="31" t="e">
        <f ca="1">[1]!MF_p_choke_atma(P$71,fw_,d_choke,$B75,1,d_pipe,T_choke,,PVTstr_,qgas_free)</f>
        <v>#NAME?</v>
      </c>
      <c r="Q75" s="31" t="e">
        <f ca="1">[1]!MF_p_choke_atma(Q$71,fw_,d_choke,$B75,1,d_pipe,T_choke,,PVTstr_,qgas_free)</f>
        <v>#NAME?</v>
      </c>
      <c r="R75" s="31" t="e">
        <f ca="1">[1]!MF_p_choke_atma(R$71,fw_,d_choke,$B75,1,d_pipe,T_choke,,PVTstr_,qgas_free)</f>
        <v>#NAME?</v>
      </c>
      <c r="S75" s="31" t="e">
        <f ca="1">[1]!MF_p_choke_atma(S$71,fw_,d_choke,$B75,1,d_pipe,T_choke,,PVTstr_,qgas_free)</f>
        <v>#NAME?</v>
      </c>
      <c r="T75" s="31" t="e">
        <f ca="1">[1]!MF_p_choke_atma(T$71,fw_,d_choke,$B75,1,d_pipe,T_choke,,PVTstr_,qgas_free)</f>
        <v>#NAME?</v>
      </c>
      <c r="U75" s="31" t="e">
        <f ca="1">[1]!MF_p_choke_atma(U$71,fw_,d_choke,$B75,1,d_pipe,T_choke,,PVTstr_,qgas_free)</f>
        <v>#NAME?</v>
      </c>
      <c r="V75" s="31" t="e">
        <f ca="1">[1]!MF_p_choke_atma(V$71,fw_,d_choke,$B75,1,d_pipe,T_choke,,PVTstr_,qgas_free)</f>
        <v>#NAME?</v>
      </c>
      <c r="W75" s="31" t="e">
        <f ca="1">[1]!MF_p_choke_atma(W$71,fw_,d_choke,$B75,1,d_pipe,T_choke,,PVTstr_,qgas_free)</f>
        <v>#NAME?</v>
      </c>
      <c r="X75" s="31" t="e">
        <f ca="1">[1]!MF_p_choke_atma(X$71,fw_,d_choke,$B75,1,d_pipe,T_choke,,PVTstr_,qgas_free)</f>
        <v>#NAME?</v>
      </c>
      <c r="Y75" s="31" t="e">
        <f ca="1">[1]!MF_p_choke_atma(Y$71,fw_,d_choke,$B75,1,d_pipe,T_choke,,PVTstr_,qgas_free)</f>
        <v>#NAME?</v>
      </c>
      <c r="Z75" s="31" t="e">
        <f ca="1">[1]!MF_p_choke_atma(Z$71,fw_,d_choke,$B75,1,d_pipe,T_choke,,PVTstr_,qgas_free)</f>
        <v>#NAME?</v>
      </c>
      <c r="AA75" s="31" t="e">
        <f ca="1">[1]!MF_p_choke_atma(AA$71,fw_,d_choke,$B75,1,d_pipe,T_choke,,PVTstr_,qgas_free)</f>
        <v>#NAME?</v>
      </c>
      <c r="AB75" s="31" t="e">
        <f ca="1">[1]!MF_p_choke_atma(AB$71,fw_,d_choke,$B75,1,d_pipe,T_choke,,PVTstr_,qgas_free)</f>
        <v>#NAME?</v>
      </c>
      <c r="AC75" s="31" t="e">
        <f ca="1">[1]!MF_p_choke_atma(AC$71,fw_,d_choke,$B75,1,d_pipe,T_choke,,PVTstr_,qgas_free)</f>
        <v>#NAME?</v>
      </c>
      <c r="AD75" s="31" t="e">
        <f ca="1">[1]!MF_p_choke_atma(AD$71,fw_,d_choke,$B75,1,d_pipe,T_choke,,PVTstr_,qgas_free)</f>
        <v>#NAME?</v>
      </c>
      <c r="AE75" s="31" t="e">
        <f ca="1">[1]!MF_p_choke_atma(AE$71,fw_,d_choke,$B75,1,d_pipe,T_choke,,PVTstr_,qgas_free)</f>
        <v>#NAME?</v>
      </c>
      <c r="AF75" s="31" t="e">
        <f ca="1">[1]!MF_p_choke_atma(AF$71,fw_,d_choke,$B75,1,d_pipe,T_choke,,PVTstr_,qgas_free)</f>
        <v>#NAME?</v>
      </c>
      <c r="AG75" s="31" t="e">
        <f ca="1">[1]!MF_p_choke_atma(AG$71,fw_,d_choke,$B75,1,d_pipe,T_choke,,PVTstr_,qgas_free)</f>
        <v>#NAME?</v>
      </c>
      <c r="AH75" s="31" t="e">
        <f ca="1">[1]!MF_p_choke_atma(AH$71,fw_,d_choke,$B75,1,d_pipe,T_choke,,PVTstr_,qgas_free)</f>
        <v>#NAME?</v>
      </c>
      <c r="AI75" s="31" t="e">
        <f ca="1">[1]!MF_p_choke_atma(AI$71,fw_,d_choke,$B75,1,d_pipe,T_choke,,PVTstr_,qgas_free)</f>
        <v>#NAME?</v>
      </c>
      <c r="AJ75" s="31" t="e">
        <f ca="1">[1]!MF_p_choke_atma(AJ$71,fw_,d_choke,$B75,1,d_pipe,T_choke,,PVTstr_,qgas_free)</f>
        <v>#NAME?</v>
      </c>
      <c r="AK75" s="31" t="e">
        <f ca="1">[1]!MF_p_choke_atma(AK$71,fw_,d_choke,$B75,1,d_pipe,T_choke,,PVTstr_,qgas_free)</f>
        <v>#NAME?</v>
      </c>
      <c r="AL75" s="31" t="e">
        <f ca="1">[1]!MF_p_choke_atma(AL$71,fw_,d_choke,$B75,1,d_pipe,T_choke,,PVTstr_,qgas_free)</f>
        <v>#NAME?</v>
      </c>
    </row>
    <row r="76" spans="2:38" x14ac:dyDescent="0.25">
      <c r="B76" s="28">
        <v>30</v>
      </c>
      <c r="C76" s="31" t="e">
        <f ca="1">[1]!MF_p_choke_atma(C$71,fw_,d_choke,$B76,1,d_pipe,T_choke,,PVTstr_,qgas_free)</f>
        <v>#NAME?</v>
      </c>
      <c r="D76" s="31" t="e">
        <f ca="1">[1]!MF_p_choke_atma(D$71,fw_,d_choke,$B76,1,d_pipe,T_choke,,PVTstr_,qgas_free)</f>
        <v>#NAME?</v>
      </c>
      <c r="E76" s="31" t="e">
        <f ca="1">[1]!MF_p_choke_atma(E$71,fw_,d_choke,$B76,1,d_pipe,T_choke,,PVTstr_,qgas_free)</f>
        <v>#NAME?</v>
      </c>
      <c r="F76" s="31" t="e">
        <f ca="1">[1]!MF_p_choke_atma(F$71,fw_,d_choke,$B76,1,d_pipe,T_choke,,PVTstr_,qgas_free)</f>
        <v>#NAME?</v>
      </c>
      <c r="G76" s="31" t="e">
        <f ca="1">[1]!MF_p_choke_atma(G$71,fw_,d_choke,$B76,1,d_pipe,T_choke,,PVTstr_,qgas_free)</f>
        <v>#NAME?</v>
      </c>
      <c r="H76" s="31" t="e">
        <f ca="1">[1]!MF_p_choke_atma(H$71,fw_,d_choke,$B76,1,d_pipe,T_choke,,PVTstr_,qgas_free)</f>
        <v>#NAME?</v>
      </c>
      <c r="I76" s="31" t="e">
        <f ca="1">[1]!MF_p_choke_atma(I$71,fw_,d_choke,$B76,1,d_pipe,T_choke,,PVTstr_,qgas_free)</f>
        <v>#NAME?</v>
      </c>
      <c r="J76" s="31" t="e">
        <f ca="1">[1]!MF_p_choke_atma(J$71,fw_,d_choke,$B76,1,d_pipe,T_choke,,PVTstr_,qgas_free)</f>
        <v>#NAME?</v>
      </c>
      <c r="K76" s="31" t="e">
        <f ca="1">[1]!MF_p_choke_atma(K$71,fw_,d_choke,$B76,1,d_pipe,T_choke,,PVTstr_,qgas_free)</f>
        <v>#NAME?</v>
      </c>
      <c r="L76" s="31" t="e">
        <f ca="1">[1]!MF_p_choke_atma(L$71,fw_,d_choke,$B76,1,d_pipe,T_choke,,PVTstr_,qgas_free)</f>
        <v>#NAME?</v>
      </c>
      <c r="M76" s="31" t="e">
        <f ca="1">[1]!MF_p_choke_atma(M$71,fw_,d_choke,$B76,1,d_pipe,T_choke,,PVTstr_,qgas_free)</f>
        <v>#NAME?</v>
      </c>
      <c r="N76" s="31" t="e">
        <f ca="1">[1]!MF_p_choke_atma(N$71,fw_,d_choke,$B76,1,d_pipe,T_choke,,PVTstr_,qgas_free)</f>
        <v>#NAME?</v>
      </c>
      <c r="O76" s="31" t="e">
        <f ca="1">[1]!MF_p_choke_atma(O$71,fw_,d_choke,$B76,1,d_pipe,T_choke,,PVTstr_,qgas_free)</f>
        <v>#NAME?</v>
      </c>
      <c r="P76" s="31" t="e">
        <f ca="1">[1]!MF_p_choke_atma(P$71,fw_,d_choke,$B76,1,d_pipe,T_choke,,PVTstr_,qgas_free)</f>
        <v>#NAME?</v>
      </c>
      <c r="Q76" s="31" t="e">
        <f ca="1">[1]!MF_p_choke_atma(Q$71,fw_,d_choke,$B76,1,d_pipe,T_choke,,PVTstr_,qgas_free)</f>
        <v>#NAME?</v>
      </c>
      <c r="R76" s="31" t="e">
        <f ca="1">[1]!MF_p_choke_atma(R$71,fw_,d_choke,$B76,1,d_pipe,T_choke,,PVTstr_,qgas_free)</f>
        <v>#NAME?</v>
      </c>
      <c r="S76" s="31" t="e">
        <f ca="1">[1]!MF_p_choke_atma(S$71,fw_,d_choke,$B76,1,d_pipe,T_choke,,PVTstr_,qgas_free)</f>
        <v>#NAME?</v>
      </c>
      <c r="T76" s="31" t="e">
        <f ca="1">[1]!MF_p_choke_atma(T$71,fw_,d_choke,$B76,1,d_pipe,T_choke,,PVTstr_,qgas_free)</f>
        <v>#NAME?</v>
      </c>
      <c r="U76" s="31" t="e">
        <f ca="1">[1]!MF_p_choke_atma(U$71,fw_,d_choke,$B76,1,d_pipe,T_choke,,PVTstr_,qgas_free)</f>
        <v>#NAME?</v>
      </c>
      <c r="V76" s="31" t="e">
        <f ca="1">[1]!MF_p_choke_atma(V$71,fw_,d_choke,$B76,1,d_pipe,T_choke,,PVTstr_,qgas_free)</f>
        <v>#NAME?</v>
      </c>
      <c r="W76" s="31" t="e">
        <f ca="1">[1]!MF_p_choke_atma(W$71,fw_,d_choke,$B76,1,d_pipe,T_choke,,PVTstr_,qgas_free)</f>
        <v>#NAME?</v>
      </c>
      <c r="X76" s="31" t="e">
        <f ca="1">[1]!MF_p_choke_atma(X$71,fw_,d_choke,$B76,1,d_pipe,T_choke,,PVTstr_,qgas_free)</f>
        <v>#NAME?</v>
      </c>
      <c r="Y76" s="31" t="e">
        <f ca="1">[1]!MF_p_choke_atma(Y$71,fw_,d_choke,$B76,1,d_pipe,T_choke,,PVTstr_,qgas_free)</f>
        <v>#NAME?</v>
      </c>
      <c r="Z76" s="31" t="e">
        <f ca="1">[1]!MF_p_choke_atma(Z$71,fw_,d_choke,$B76,1,d_pipe,T_choke,,PVTstr_,qgas_free)</f>
        <v>#NAME?</v>
      </c>
      <c r="AA76" s="31" t="e">
        <f ca="1">[1]!MF_p_choke_atma(AA$71,fw_,d_choke,$B76,1,d_pipe,T_choke,,PVTstr_,qgas_free)</f>
        <v>#NAME?</v>
      </c>
      <c r="AB76" s="31" t="e">
        <f ca="1">[1]!MF_p_choke_atma(AB$71,fw_,d_choke,$B76,1,d_pipe,T_choke,,PVTstr_,qgas_free)</f>
        <v>#NAME?</v>
      </c>
      <c r="AC76" s="31" t="e">
        <f ca="1">[1]!MF_p_choke_atma(AC$71,fw_,d_choke,$B76,1,d_pipe,T_choke,,PVTstr_,qgas_free)</f>
        <v>#NAME?</v>
      </c>
      <c r="AD76" s="31" t="e">
        <f ca="1">[1]!MF_p_choke_atma(AD$71,fw_,d_choke,$B76,1,d_pipe,T_choke,,PVTstr_,qgas_free)</f>
        <v>#NAME?</v>
      </c>
      <c r="AE76" s="31" t="e">
        <f ca="1">[1]!MF_p_choke_atma(AE$71,fw_,d_choke,$B76,1,d_pipe,T_choke,,PVTstr_,qgas_free)</f>
        <v>#NAME?</v>
      </c>
      <c r="AF76" s="31" t="e">
        <f ca="1">[1]!MF_p_choke_atma(AF$71,fw_,d_choke,$B76,1,d_pipe,T_choke,,PVTstr_,qgas_free)</f>
        <v>#NAME?</v>
      </c>
      <c r="AG76" s="31" t="e">
        <f ca="1">[1]!MF_p_choke_atma(AG$71,fw_,d_choke,$B76,1,d_pipe,T_choke,,PVTstr_,qgas_free)</f>
        <v>#NAME?</v>
      </c>
      <c r="AH76" s="31" t="e">
        <f ca="1">[1]!MF_p_choke_atma(AH$71,fw_,d_choke,$B76,1,d_pipe,T_choke,,PVTstr_,qgas_free)</f>
        <v>#NAME?</v>
      </c>
      <c r="AI76" s="31" t="e">
        <f ca="1">[1]!MF_p_choke_atma(AI$71,fw_,d_choke,$B76,1,d_pipe,T_choke,,PVTstr_,qgas_free)</f>
        <v>#NAME?</v>
      </c>
      <c r="AJ76" s="31" t="e">
        <f ca="1">[1]!MF_p_choke_atma(AJ$71,fw_,d_choke,$B76,1,d_pipe,T_choke,,PVTstr_,qgas_free)</f>
        <v>#NAME?</v>
      </c>
      <c r="AK76" s="31" t="e">
        <f ca="1">[1]!MF_p_choke_atma(AK$71,fw_,d_choke,$B76,1,d_pipe,T_choke,,PVTstr_,qgas_free)</f>
        <v>#NAME?</v>
      </c>
      <c r="AL76" s="31" t="e">
        <f ca="1">[1]!MF_p_choke_atma(AL$71,fw_,d_choke,$B76,1,d_pipe,T_choke,,PVTstr_,qgas_free)</f>
        <v>#NAME?</v>
      </c>
    </row>
    <row r="77" spans="2:38" x14ac:dyDescent="0.25">
      <c r="B77" s="28">
        <v>35</v>
      </c>
      <c r="C77" s="31" t="e">
        <f ca="1">[1]!MF_p_choke_atma(C$71,fw_,d_choke,$B77,1,d_pipe,T_choke,,PVTstr_,qgas_free)</f>
        <v>#NAME?</v>
      </c>
      <c r="D77" s="31" t="e">
        <f ca="1">[1]!MF_p_choke_atma(D$71,fw_,d_choke,$B77,1,d_pipe,T_choke,,PVTstr_,qgas_free)</f>
        <v>#NAME?</v>
      </c>
      <c r="E77" s="31" t="e">
        <f ca="1">[1]!MF_p_choke_atma(E$71,fw_,d_choke,$B77,1,d_pipe,T_choke,,PVTstr_,qgas_free)</f>
        <v>#NAME?</v>
      </c>
      <c r="F77" s="31" t="e">
        <f ca="1">[1]!MF_p_choke_atma(F$71,fw_,d_choke,$B77,1,d_pipe,T_choke,,PVTstr_,qgas_free)</f>
        <v>#NAME?</v>
      </c>
      <c r="G77" s="31" t="e">
        <f ca="1">[1]!MF_p_choke_atma(G$71,fw_,d_choke,$B77,1,d_pipe,T_choke,,PVTstr_,qgas_free)</f>
        <v>#NAME?</v>
      </c>
      <c r="H77" s="31" t="e">
        <f ca="1">[1]!MF_p_choke_atma(H$71,fw_,d_choke,$B77,1,d_pipe,T_choke,,PVTstr_,qgas_free)</f>
        <v>#NAME?</v>
      </c>
      <c r="I77" s="31" t="e">
        <f ca="1">[1]!MF_p_choke_atma(I$71,fw_,d_choke,$B77,1,d_pipe,T_choke,,PVTstr_,qgas_free)</f>
        <v>#NAME?</v>
      </c>
      <c r="J77" s="31" t="e">
        <f ca="1">[1]!MF_p_choke_atma(J$71,fw_,d_choke,$B77,1,d_pipe,T_choke,,PVTstr_,qgas_free)</f>
        <v>#NAME?</v>
      </c>
      <c r="K77" s="31" t="e">
        <f ca="1">[1]!MF_p_choke_atma(K$71,fw_,d_choke,$B77,1,d_pipe,T_choke,,PVTstr_,qgas_free)</f>
        <v>#NAME?</v>
      </c>
      <c r="L77" s="31" t="e">
        <f ca="1">[1]!MF_p_choke_atma(L$71,fw_,d_choke,$B77,1,d_pipe,T_choke,,PVTstr_,qgas_free)</f>
        <v>#NAME?</v>
      </c>
      <c r="M77" s="31" t="e">
        <f ca="1">[1]!MF_p_choke_atma(M$71,fw_,d_choke,$B77,1,d_pipe,T_choke,,PVTstr_,qgas_free)</f>
        <v>#NAME?</v>
      </c>
      <c r="N77" s="31" t="e">
        <f ca="1">[1]!MF_p_choke_atma(N$71,fw_,d_choke,$B77,1,d_pipe,T_choke,,PVTstr_,qgas_free)</f>
        <v>#NAME?</v>
      </c>
      <c r="O77" s="31" t="e">
        <f ca="1">[1]!MF_p_choke_atma(O$71,fw_,d_choke,$B77,1,d_pipe,T_choke,,PVTstr_,qgas_free)</f>
        <v>#NAME?</v>
      </c>
      <c r="P77" s="31" t="e">
        <f ca="1">[1]!MF_p_choke_atma(P$71,fw_,d_choke,$B77,1,d_pipe,T_choke,,PVTstr_,qgas_free)</f>
        <v>#NAME?</v>
      </c>
      <c r="Q77" s="31" t="e">
        <f ca="1">[1]!MF_p_choke_atma(Q$71,fw_,d_choke,$B77,1,d_pipe,T_choke,,PVTstr_,qgas_free)</f>
        <v>#NAME?</v>
      </c>
      <c r="R77" s="31" t="e">
        <f ca="1">[1]!MF_p_choke_atma(R$71,fw_,d_choke,$B77,1,d_pipe,T_choke,,PVTstr_,qgas_free)</f>
        <v>#NAME?</v>
      </c>
      <c r="S77" s="31" t="e">
        <f ca="1">[1]!MF_p_choke_atma(S$71,fw_,d_choke,$B77,1,d_pipe,T_choke,,PVTstr_,qgas_free)</f>
        <v>#NAME?</v>
      </c>
      <c r="T77" s="31" t="e">
        <f ca="1">[1]!MF_p_choke_atma(T$71,fw_,d_choke,$B77,1,d_pipe,T_choke,,PVTstr_,qgas_free)</f>
        <v>#NAME?</v>
      </c>
      <c r="U77" s="31" t="e">
        <f ca="1">[1]!MF_p_choke_atma(U$71,fw_,d_choke,$B77,1,d_pipe,T_choke,,PVTstr_,qgas_free)</f>
        <v>#NAME?</v>
      </c>
      <c r="V77" s="31" t="e">
        <f ca="1">[1]!MF_p_choke_atma(V$71,fw_,d_choke,$B77,1,d_pipe,T_choke,,PVTstr_,qgas_free)</f>
        <v>#NAME?</v>
      </c>
      <c r="W77" s="31" t="e">
        <f ca="1">[1]!MF_p_choke_atma(W$71,fw_,d_choke,$B77,1,d_pipe,T_choke,,PVTstr_,qgas_free)</f>
        <v>#NAME?</v>
      </c>
      <c r="X77" s="31" t="e">
        <f ca="1">[1]!MF_p_choke_atma(X$71,fw_,d_choke,$B77,1,d_pipe,T_choke,,PVTstr_,qgas_free)</f>
        <v>#NAME?</v>
      </c>
      <c r="Y77" s="31" t="e">
        <f ca="1">[1]!MF_p_choke_atma(Y$71,fw_,d_choke,$B77,1,d_pipe,T_choke,,PVTstr_,qgas_free)</f>
        <v>#NAME?</v>
      </c>
      <c r="Z77" s="31" t="e">
        <f ca="1">[1]!MF_p_choke_atma(Z$71,fw_,d_choke,$B77,1,d_pipe,T_choke,,PVTstr_,qgas_free)</f>
        <v>#NAME?</v>
      </c>
      <c r="AA77" s="31" t="e">
        <f ca="1">[1]!MF_p_choke_atma(AA$71,fw_,d_choke,$B77,1,d_pipe,T_choke,,PVTstr_,qgas_free)</f>
        <v>#NAME?</v>
      </c>
      <c r="AB77" s="31" t="e">
        <f ca="1">[1]!MF_p_choke_atma(AB$71,fw_,d_choke,$B77,1,d_pipe,T_choke,,PVTstr_,qgas_free)</f>
        <v>#NAME?</v>
      </c>
      <c r="AC77" s="31" t="e">
        <f ca="1">[1]!MF_p_choke_atma(AC$71,fw_,d_choke,$B77,1,d_pipe,T_choke,,PVTstr_,qgas_free)</f>
        <v>#NAME?</v>
      </c>
      <c r="AD77" s="31" t="e">
        <f ca="1">[1]!MF_p_choke_atma(AD$71,fw_,d_choke,$B77,1,d_pipe,T_choke,,PVTstr_,qgas_free)</f>
        <v>#NAME?</v>
      </c>
      <c r="AE77" s="31" t="e">
        <f ca="1">[1]!MF_p_choke_atma(AE$71,fw_,d_choke,$B77,1,d_pipe,T_choke,,PVTstr_,qgas_free)</f>
        <v>#NAME?</v>
      </c>
      <c r="AF77" s="31" t="e">
        <f ca="1">[1]!MF_p_choke_atma(AF$71,fw_,d_choke,$B77,1,d_pipe,T_choke,,PVTstr_,qgas_free)</f>
        <v>#NAME?</v>
      </c>
      <c r="AG77" s="31" t="e">
        <f ca="1">[1]!MF_p_choke_atma(AG$71,fw_,d_choke,$B77,1,d_pipe,T_choke,,PVTstr_,qgas_free)</f>
        <v>#NAME?</v>
      </c>
      <c r="AH77" s="31" t="e">
        <f ca="1">[1]!MF_p_choke_atma(AH$71,fw_,d_choke,$B77,1,d_pipe,T_choke,,PVTstr_,qgas_free)</f>
        <v>#NAME?</v>
      </c>
      <c r="AI77" s="31" t="e">
        <f ca="1">[1]!MF_p_choke_atma(AI$71,fw_,d_choke,$B77,1,d_pipe,T_choke,,PVTstr_,qgas_free)</f>
        <v>#NAME?</v>
      </c>
      <c r="AJ77" s="31" t="e">
        <f ca="1">[1]!MF_p_choke_atma(AJ$71,fw_,d_choke,$B77,1,d_pipe,T_choke,,PVTstr_,qgas_free)</f>
        <v>#NAME?</v>
      </c>
      <c r="AK77" s="31" t="e">
        <f ca="1">[1]!MF_p_choke_atma(AK$71,fw_,d_choke,$B77,1,d_pipe,T_choke,,PVTstr_,qgas_free)</f>
        <v>#NAME?</v>
      </c>
      <c r="AL77" s="31" t="e">
        <f ca="1">[1]!MF_p_choke_atma(AL$71,fw_,d_choke,$B77,1,d_pipe,T_choke,,PVTstr_,qgas_free)</f>
        <v>#NAME?</v>
      </c>
    </row>
    <row r="86" spans="2:16" x14ac:dyDescent="0.25">
      <c r="B86">
        <v>5</v>
      </c>
    </row>
    <row r="88" spans="2:16" x14ac:dyDescent="0.25">
      <c r="B88" cm="1">
        <f t="array" ref="B88">[1]!MF_calibr_choke(Qliq_,fw_,d_choke,Pbuf_,Plin_,d_pipe,T_choke,PVTstr_,qgas_free,B86)</f>
        <v>-1</v>
      </c>
      <c r="F88" cm="1">
        <f t="array" ref="F88:P90">[1]!MF_choke_p_atma(feed,d_choke,Pbuf_,1,T_choke,d_pipe)</f>
        <v>26</v>
      </c>
      <c r="G88">
        <v>26</v>
      </c>
      <c r="H88">
        <v>21.28369140625</v>
      </c>
      <c r="I88">
        <v>80</v>
      </c>
      <c r="J88">
        <v>1</v>
      </c>
      <c r="K88">
        <v>80</v>
      </c>
      <c r="L88">
        <v>4800.0000000000009</v>
      </c>
      <c r="M88">
        <v>79.637286688267608</v>
      </c>
      <c r="N88">
        <v>107.64324142567445</v>
      </c>
      <c r="O88">
        <v>90.999831538924298</v>
      </c>
      <c r="P88" t="str">
        <v>{"q_liq_sm3day":80,"fw_perc":70,"rp_m3m3":200,"q_gas_free_sm3day":0,"gamma_gas":0.9,"gamma_oil":0.86,"gamma_wat":1,"rsb_m3m3":80,"t_res_C":100,"PVT_corr_set":0}</v>
      </c>
    </row>
    <row r="89" spans="2:16" x14ac:dyDescent="0.25">
      <c r="F89" t="str">
        <v>p_intake_atma</v>
      </c>
      <c r="G89" t="str">
        <v>p_intake_atma</v>
      </c>
      <c r="H89" t="str">
        <v>p_out_atma</v>
      </c>
      <c r="I89" t="str">
        <v>t_choke_C</v>
      </c>
      <c r="J89" t="str">
        <v>c_calibr_fr</v>
      </c>
      <c r="K89" t="str">
        <v>q_liq_sm3day</v>
      </c>
      <c r="L89" t="str">
        <v>q_gas_sm3day</v>
      </c>
      <c r="M89" t="str">
        <v>t_choke_throat_C</v>
      </c>
      <c r="N89" t="str">
        <v>sonic_vel_msec</v>
      </c>
      <c r="O89" t="str">
        <v>q_liq_max_sm3day</v>
      </c>
      <c r="P89" t="str">
        <v>feed</v>
      </c>
    </row>
    <row r="90" spans="2:16" x14ac:dyDescent="0.25">
      <c r="F90" t="str">
        <v>["info: no param found, default settings applied","info: choke_calibr = 1"]</v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</row>
    <row r="93" spans="2:16" x14ac:dyDescent="0.25">
      <c r="F93">
        <f t="array" ref="F93:P95">[1]!MF_choke_q_sm3day(feed,d_choke,Pbuf_,Plin_,T_choke,d_pipe,I28)</f>
        <v>26</v>
      </c>
      <c r="G93">
        <v>26</v>
      </c>
      <c r="H93">
        <v>20</v>
      </c>
      <c r="I93">
        <v>80</v>
      </c>
      <c r="J93">
        <v>1</v>
      </c>
      <c r="K93">
        <v>85.77777824364324</v>
      </c>
      <c r="L93">
        <v>5146.6666946185951</v>
      </c>
      <c r="M93">
        <v>79.5241420384083</v>
      </c>
      <c r="N93">
        <v>107.64324142567445</v>
      </c>
      <c r="O93">
        <v>90.999831538924298</v>
      </c>
      <c r="P93" t="str">
        <v>{"q_liq_sm3day":85.7777782436432,"fw_perc":70,"rp_m3m3":200,"q_gas_free_sm3day":0,"gamma_gas":0.9,"gamma_oil":0.86,"gamma_wat":1,"rsb_m3m3":80,"t_res_C":100,"PVT_corr_set":0}</v>
      </c>
    </row>
    <row r="94" spans="2:16" x14ac:dyDescent="0.25">
      <c r="F94" t="str">
        <v>p_intake_atma</v>
      </c>
      <c r="G94" t="str">
        <v>p_intake_atma</v>
      </c>
      <c r="H94" t="str">
        <v>p_out_atma</v>
      </c>
      <c r="I94" t="str">
        <v>t_choke_C</v>
      </c>
      <c r="J94" t="str">
        <v>c_calibr_fr</v>
      </c>
      <c r="K94" t="str">
        <v>q_liq_sm3day</v>
      </c>
      <c r="L94" t="str">
        <v>q_gas_sm3day</v>
      </c>
      <c r="M94" t="str">
        <v>t_choke_throat_C</v>
      </c>
      <c r="N94" t="str">
        <v>sonic_vel_msec</v>
      </c>
      <c r="O94" t="str">
        <v>q_liq_max_sm3day</v>
      </c>
      <c r="P94" t="str">
        <v>feed</v>
      </c>
    </row>
    <row r="95" spans="2:16" x14ac:dyDescent="0.25">
      <c r="F95" t="str">
        <v>["set show_log=1 in param to show calc log"]</v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</row>
    <row r="105" spans="2:26" x14ac:dyDescent="0.25">
      <c r="C105">
        <v>1.1000000000000001</v>
      </c>
    </row>
    <row r="107" spans="2:26" x14ac:dyDescent="0.25">
      <c r="B107" s="47" t="s">
        <v>37</v>
      </c>
      <c r="C107" s="2">
        <v>0</v>
      </c>
      <c r="D107" s="19">
        <v>15</v>
      </c>
      <c r="E107" s="19">
        <v>28</v>
      </c>
      <c r="F107" s="19">
        <v>35</v>
      </c>
      <c r="G107" s="19">
        <v>40</v>
      </c>
      <c r="H107" s="19">
        <v>43</v>
      </c>
      <c r="I107" s="19">
        <v>43.96</v>
      </c>
      <c r="J107" s="19">
        <v>44</v>
      </c>
      <c r="K107" s="19">
        <v>53</v>
      </c>
      <c r="L107" s="19">
        <v>58</v>
      </c>
      <c r="M107" s="19">
        <v>60</v>
      </c>
      <c r="N107" s="19">
        <v>62</v>
      </c>
      <c r="O107" s="19">
        <v>64</v>
      </c>
      <c r="P107" s="19">
        <v>66</v>
      </c>
      <c r="Q107" s="19">
        <v>68</v>
      </c>
      <c r="R107" s="19">
        <v>70</v>
      </c>
      <c r="S107" s="19">
        <v>72</v>
      </c>
      <c r="T107" s="19">
        <v>74</v>
      </c>
      <c r="U107" s="19">
        <v>76</v>
      </c>
      <c r="V107" s="19">
        <v>78</v>
      </c>
      <c r="W107" s="19">
        <v>80</v>
      </c>
      <c r="X107" s="19">
        <v>82</v>
      </c>
      <c r="Y107" s="19">
        <v>84</v>
      </c>
      <c r="Z107" s="19">
        <v>86</v>
      </c>
    </row>
    <row r="108" spans="2:26" x14ac:dyDescent="0.25">
      <c r="B108" s="2">
        <v>15</v>
      </c>
      <c r="C108" s="17" t="e">
        <f ca="1">[1]!MF_p_choke_atma(C$107,fw_,d_choke,$B108,1,d_pipe,T_choke,,PVTstr_,qgas_free)</f>
        <v>#NAME?</v>
      </c>
      <c r="D108" s="17" t="e">
        <f ca="1">[1]!MF_p_choke_atma(D$107,fw_,d_choke,$B108,1,d_pipe,T_choke,,PVTstr_,qgas_free)</f>
        <v>#NAME?</v>
      </c>
      <c r="E108" s="17" t="e">
        <f ca="1">[1]!MF_p_choke_atma(E$107,fw_,d_choke,$B108,1,d_pipe,T_choke,,PVTstr_,qgas_free)</f>
        <v>#NAME?</v>
      </c>
      <c r="F108" s="17" t="e">
        <f ca="1">[1]!MF_p_choke_atma(F$107,fw_,d_choke,$B108,1,d_pipe,T_choke,,PVTstr_,qgas_free)</f>
        <v>#NAME?</v>
      </c>
      <c r="G108" s="17" t="e">
        <f ca="1">[1]!MF_p_choke_atma(G$107,fw_,d_choke,$B108,1,d_pipe,T_choke,,PVTstr_,qgas_free)</f>
        <v>#NAME?</v>
      </c>
      <c r="H108" s="17" t="e">
        <f ca="1">[1]!MF_p_choke_atma(H$107,fw_,d_choke,$B108,1,d_pipe,T_choke,,PVTstr_,qgas_free)</f>
        <v>#NAME?</v>
      </c>
      <c r="I108" s="17" t="e">
        <f ca="1">[1]!MF_p_choke_atma(I$107,fw_,d_choke,$B108,1,d_pipe,T_choke,,PVTstr_,qgas_free)</f>
        <v>#NAME?</v>
      </c>
      <c r="J108" s="17" t="e">
        <f ca="1">[1]!MF_p_choke_atma(J$107,fw_,d_choke,$B108,1,d_pipe,T_choke,,PVTstr_,qgas_free)</f>
        <v>#NAME?</v>
      </c>
      <c r="K108" s="17" t="e">
        <f ca="1">[1]!MF_p_choke_atma(K$107,fw_,d_choke,$B108,1,d_pipe,T_choke,,PVTstr_,qgas_free)</f>
        <v>#NAME?</v>
      </c>
      <c r="L108" s="17" t="e">
        <f ca="1">[1]!MF_p_choke_atma(L$107,fw_,d_choke,$B108,1,d_pipe,T_choke,,PVTstr_,qgas_free)</f>
        <v>#NAME?</v>
      </c>
      <c r="M108" s="17" t="e">
        <f ca="1">[1]!MF_p_choke_atma(M$107,fw_,d_choke,$B108,1,d_pipe,T_choke,,PVTstr_,qgas_free)</f>
        <v>#NAME?</v>
      </c>
      <c r="N108" s="17" t="e">
        <f ca="1">[1]!MF_p_choke_atma(N$107,fw_,d_choke,$B108,1,d_pipe,T_choke,,PVTstr_,qgas_free)</f>
        <v>#NAME?</v>
      </c>
      <c r="O108" s="17" t="e">
        <f ca="1">[1]!MF_p_choke_atma(O$107,fw_,d_choke,$B108,1,d_pipe,T_choke,,PVTstr_,qgas_free)</f>
        <v>#NAME?</v>
      </c>
      <c r="P108" s="17" t="e">
        <f ca="1">[1]!MF_p_choke_atma(P$107,fw_,d_choke,$B108,1,d_pipe,T_choke,,PVTstr_,qgas_free)</f>
        <v>#NAME?</v>
      </c>
      <c r="Q108" s="17" t="e">
        <f ca="1">[1]!MF_p_choke_atma(Q$107,fw_,d_choke,$B108,1,d_pipe,T_choke,,PVTstr_,qgas_free)</f>
        <v>#NAME?</v>
      </c>
      <c r="R108" s="17" t="e">
        <f ca="1">[1]!MF_p_choke_atma(R$107,fw_,d_choke,$B108,1,d_pipe,T_choke,,PVTstr_,qgas_free)</f>
        <v>#NAME?</v>
      </c>
      <c r="S108" s="17" t="e">
        <f ca="1">[1]!MF_p_choke_atma(S$107,fw_,d_choke,$B108,1,d_pipe,T_choke,,PVTstr_,qgas_free)</f>
        <v>#NAME?</v>
      </c>
      <c r="T108" s="17" t="e">
        <f ca="1">[1]!MF_p_choke_atma(T$107,fw_,d_choke,$B108,1,d_pipe,T_choke,,PVTstr_,qgas_free)</f>
        <v>#NAME?</v>
      </c>
      <c r="U108" s="17" t="e">
        <f ca="1">[1]!MF_p_choke_atma(U$107,fw_,d_choke,$B108,1,d_pipe,T_choke,,PVTstr_,qgas_free)</f>
        <v>#NAME?</v>
      </c>
      <c r="V108" s="17" t="e">
        <f ca="1">[1]!MF_p_choke_atma(V$107,fw_,d_choke,$B108,1,d_pipe,T_choke,,PVTstr_,qgas_free)</f>
        <v>#NAME?</v>
      </c>
      <c r="W108" s="17" t="e">
        <f ca="1">[1]!MF_p_choke_atma(W$107,fw_,d_choke,$B108,1,d_pipe,T_choke,,PVTstr_,qgas_free)</f>
        <v>#NAME?</v>
      </c>
      <c r="X108" s="17" t="e">
        <f ca="1">[1]!MF_p_choke_atma(X$107,fw_,d_choke,$B108,1,d_pipe,T_choke,,PVTstr_,qgas_free)</f>
        <v>#NAME?</v>
      </c>
      <c r="Y108" s="17" t="e">
        <f ca="1">[1]!MF_p_choke_atma(Y$107,fw_,d_choke,$B108,1,d_pipe,T_choke,,PVTstr_,qgas_free)</f>
        <v>#NAME?</v>
      </c>
      <c r="Z108" s="17" t="e">
        <f ca="1">[1]!MF_p_choke_atma(Z$107,fw_,d_choke,$B108,1,d_pipe,T_choke,,PVTstr_,qgas_free)</f>
        <v>#NAME?</v>
      </c>
    </row>
    <row r="109" spans="2:26" x14ac:dyDescent="0.25">
      <c r="B109" s="2">
        <v>15</v>
      </c>
      <c r="C109" s="17" t="e">
        <f ca="1">[1]!MF_p_choke_atma(C$107,fw_,d_choke,$B109,1,d_pipe,T_choke,cf_,PVTstr_,qgas_free)</f>
        <v>#NAME?</v>
      </c>
      <c r="D109" s="17" t="e">
        <f ca="1">[1]!MF_p_choke_atma(D$107,fw_,d_choke,$B109,1,d_pipe,T_choke,cf_,PVTstr_,qgas_free)</f>
        <v>#NAME?</v>
      </c>
      <c r="E109" s="17" t="e">
        <f ca="1">[1]!MF_p_choke_atma(E$107,fw_,d_choke,$B109,1,d_pipe,T_choke,cf_,PVTstr_,qgas_free)</f>
        <v>#NAME?</v>
      </c>
      <c r="F109" s="17" t="e">
        <f ca="1">[1]!MF_p_choke_atma(F$107,fw_,d_choke,$B109,1,d_pipe,T_choke,cf_,PVTstr_,qgas_free)</f>
        <v>#NAME?</v>
      </c>
      <c r="G109" s="17" t="e">
        <f ca="1">[1]!MF_p_choke_atma(G$107,fw_,d_choke,$B109,1,d_pipe,T_choke,cf_,PVTstr_,qgas_free)</f>
        <v>#NAME?</v>
      </c>
      <c r="H109" s="17" t="e">
        <f ca="1">[1]!MF_p_choke_atma(H$107,fw_,d_choke,$B109,1,d_pipe,T_choke,cf_,PVTstr_,qgas_free)</f>
        <v>#NAME?</v>
      </c>
      <c r="I109" s="17" t="e">
        <f ca="1">[1]!MF_p_choke_atma(I$107,fw_,d_choke,$B109,1,d_pipe,T_choke,cf_,PVTstr_,qgas_free)</f>
        <v>#NAME?</v>
      </c>
      <c r="J109" s="17" t="e">
        <f ca="1">[1]!MF_p_choke_atma(J$107,fw_,d_choke,$B109,1,d_pipe,T_choke,cf_,PVTstr_,qgas_free)</f>
        <v>#NAME?</v>
      </c>
      <c r="K109" s="17" t="e">
        <f ca="1">[1]!MF_p_choke_atma(K$107,fw_,d_choke,$B109,1,d_pipe,T_choke,cf_,PVTstr_,qgas_free)</f>
        <v>#NAME?</v>
      </c>
      <c r="L109" s="17" t="e">
        <f ca="1">[1]!MF_p_choke_atma(L$107,fw_,d_choke,$B109,1,d_pipe,T_choke,cf_,PVTstr_,qgas_free)</f>
        <v>#NAME?</v>
      </c>
      <c r="M109" s="17" t="e">
        <f ca="1">[1]!MF_p_choke_atma(M$107,fw_,d_choke,$B109,1,d_pipe,T_choke,cf_,PVTstr_,qgas_free)</f>
        <v>#NAME?</v>
      </c>
      <c r="N109" s="17" t="e">
        <f ca="1">[1]!MF_p_choke_atma(N$107,fw_,d_choke,$B109,1,d_pipe,T_choke,cf_,PVTstr_,qgas_free)</f>
        <v>#NAME?</v>
      </c>
      <c r="O109" s="17" t="e">
        <f ca="1">[1]!MF_p_choke_atma(O$107,fw_,d_choke,$B109,1,d_pipe,T_choke,cf_,PVTstr_,qgas_free)</f>
        <v>#NAME?</v>
      </c>
      <c r="P109" s="17" t="e">
        <f ca="1">[1]!MF_p_choke_atma(P$107,fw_,d_choke,$B109,1,d_pipe,T_choke,cf_,PVTstr_,qgas_free)</f>
        <v>#NAME?</v>
      </c>
      <c r="Q109" s="17" t="e">
        <f ca="1">[1]!MF_p_choke_atma(Q$107,fw_,d_choke,$B109,1,d_pipe,T_choke,cf_,PVTstr_,qgas_free)</f>
        <v>#NAME?</v>
      </c>
      <c r="R109" s="17" t="e">
        <f ca="1">[1]!MF_p_choke_atma(R$107,fw_,d_choke,$B109,1,d_pipe,T_choke,cf_,PVTstr_,qgas_free)</f>
        <v>#NAME?</v>
      </c>
      <c r="S109" s="17" t="e">
        <f ca="1">[1]!MF_p_choke_atma(S$107,fw_,d_choke,$B109,1,d_pipe,T_choke,cf_,PVTstr_,qgas_free)</f>
        <v>#NAME?</v>
      </c>
      <c r="T109" s="17" t="e">
        <f ca="1">[1]!MF_p_choke_atma(T$107,fw_,d_choke,$B109,1,d_pipe,T_choke,cf_,PVTstr_,qgas_free)</f>
        <v>#NAME?</v>
      </c>
      <c r="U109" s="17" t="e">
        <f ca="1">[1]!MF_p_choke_atma(U$107,fw_,d_choke,$B109,1,d_pipe,T_choke,cf_,PVTstr_,qgas_free)</f>
        <v>#NAME?</v>
      </c>
      <c r="V109" s="17" t="e">
        <f ca="1">[1]!MF_p_choke_atma(V$107,fw_,d_choke,$B109,1,d_pipe,T_choke,cf_,PVTstr_,qgas_free)</f>
        <v>#NAME?</v>
      </c>
      <c r="W109" s="17" t="e">
        <f ca="1">[1]!MF_p_choke_atma(W$107,fw_,d_choke,$B109,1,d_pipe,T_choke,cf_,PVTstr_,qgas_free)</f>
        <v>#NAME?</v>
      </c>
      <c r="X109" s="17" t="e">
        <f ca="1">[1]!MF_p_choke_atma(X$107,fw_,d_choke,$B109,1,d_pipe,T_choke,cf_,PVTstr_,qgas_free)</f>
        <v>#NAME?</v>
      </c>
      <c r="Y109" s="17" t="e">
        <f ca="1">[1]!MF_p_choke_atma(Y$107,fw_,d_choke,$B109,1,d_pipe,T_choke,cf_,PVTstr_,qgas_free)</f>
        <v>#NAME?</v>
      </c>
      <c r="Z109" s="17" t="e">
        <f ca="1">[1]!MF_p_choke_atma(Z$107,fw_,d_choke,$B109,1,d_pipe,T_choke,cf_,PVTstr_,qgas_free)</f>
        <v>#NAME?</v>
      </c>
    </row>
  </sheetData>
  <mergeCells count="6">
    <mergeCell ref="C70:N70"/>
    <mergeCell ref="B3:E3"/>
    <mergeCell ref="B4:E4"/>
    <mergeCell ref="B5:E5"/>
    <mergeCell ref="B6:E8"/>
    <mergeCell ref="C58:N58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2021-01-25T16:17:05Z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