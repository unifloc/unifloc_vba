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DF684754-A60F-4919-A818-F4ADB876C310}" xr6:coauthVersionLast="45" xr6:coauthVersionMax="45" xr10:uidLastSave="{00000000-0000-0000-0000-000000000000}"/>
  <bookViews>
    <workbookView xWindow="-38520" yWindow="-120" windowWidth="38640" windowHeight="21840" tabRatio="586" xr2:uid="{00000000-000D-0000-FFFF-FFFF00000000}"/>
  </bookViews>
  <sheets>
    <sheet name="exercise_MF1" sheetId="119" r:id="rId1"/>
  </sheets>
  <externalReferences>
    <externalReference r:id="rId2"/>
  </externalReferences>
  <definedNames>
    <definedName name="Bob_" localSheetId="0">exercise_MF1!$C$18</definedName>
    <definedName name="calibr_fric" localSheetId="0">exercise_MF1!$H$32</definedName>
    <definedName name="calibr_grav" localSheetId="0">exercise_MF1!$H$31</definedName>
    <definedName name="calibr_type" localSheetId="0">exercise_MF1!$H$28</definedName>
    <definedName name="fw_" localSheetId="0">exercise_MF1!$C$27</definedName>
    <definedName name="gamma_gas_" localSheetId="0">exercise_MF1!$C$13</definedName>
    <definedName name="gamma_oil_" localSheetId="0">exercise_MF1!$C$11</definedName>
    <definedName name="gamma_wat_" localSheetId="0">exercise_MF1!$C$12</definedName>
    <definedName name="gas_only_" localSheetId="0">exercise_MF1!$H$29</definedName>
    <definedName name="Hydr_corr_" localSheetId="0">exercise_MF1!$H$27</definedName>
    <definedName name="id_" localSheetId="0">exercise_MF1!$C$30</definedName>
    <definedName name="input_0" localSheetId="0">exercise_MF1!$C$11:$C$35</definedName>
    <definedName name="input_1" localSheetId="0">exercise_MF1!$H$26:$H$32</definedName>
    <definedName name="input_Course" localSheetId="0">exercise_MF1!$I$3</definedName>
    <definedName name="input_Date" localSheetId="0">exercise_MF1!$I$1</definedName>
    <definedName name="input_Group" localSheetId="0">exercise_MF1!$I$4</definedName>
    <definedName name="input_Notes" localSheetId="0">exercise_MF1!$I$6</definedName>
    <definedName name="input_Student_Name" localSheetId="0">exercise_MF1!$I$5</definedName>
    <definedName name="input_Version" localSheetId="0">exercise_MF1!$I$2</definedName>
    <definedName name="Ksep" localSheetId="0">exercise_MF1!$C$21</definedName>
    <definedName name="L_" localSheetId="0">exercise_MF1!$C$29</definedName>
    <definedName name="muob_" localSheetId="0">exercise_MF1!$C$19</definedName>
    <definedName name="n_" localSheetId="0">exercise_MF1!$A$66</definedName>
    <definedName name="output_0" localSheetId="0">exercise_MF1!$C$40:$K$63</definedName>
    <definedName name="output_1" localSheetId="0">exercise_MF1!$M$40:$U$63</definedName>
    <definedName name="p0_" localSheetId="0">exercise_MF1!$C$32</definedName>
    <definedName name="p1_" localSheetId="0">exercise_MF1!$C$33</definedName>
    <definedName name="Pb_" localSheetId="0">exercise_MF1!$C$16</definedName>
    <definedName name="Psep" localSheetId="0">exercise_MF1!$C$22</definedName>
    <definedName name="PVRstr1_" localSheetId="0">exercise_MF1!$C$37</definedName>
    <definedName name="PVT_corr_" localSheetId="0">exercise_MF1!$H$26</definedName>
    <definedName name="Q_" localSheetId="0">exercise_MF1!$C$25</definedName>
    <definedName name="Q_gas_free_" localSheetId="0">exercise_MF1!$C$26</definedName>
    <definedName name="Rp_" localSheetId="0">exercise_MF1!$C$15</definedName>
    <definedName name="Rsb_" localSheetId="0">exercise_MF1!$C$14</definedName>
    <definedName name="t0_" localSheetId="0">exercise_MF1!$C$34</definedName>
    <definedName name="t1_" localSheetId="0">exercise_MF1!$C$35</definedName>
    <definedName name="theta_" localSheetId="0">exercise_MF1!$C$31</definedName>
    <definedName name="Tres_" localSheetId="0">exercise_MF1!$C$17</definedName>
    <definedName name="Tsep" localSheetId="0">exercise_MF1!$C$23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7" i="119" l="1"/>
  <c r="AG16" i="119"/>
  <c r="E16" i="119"/>
  <c r="AG15" i="119"/>
  <c r="E15" i="119"/>
  <c r="AG14" i="119"/>
  <c r="E14" i="119"/>
  <c r="AG13" i="119"/>
  <c r="E13" i="119"/>
  <c r="AG12" i="119"/>
  <c r="E12" i="119"/>
  <c r="E11" i="119"/>
  <c r="K29" i="119" a="1"/>
  <c r="M41" i="119" a="1"/>
  <c r="C41" i="119" a="1"/>
  <c r="C37" i="119"/>
  <c r="G1" i="119"/>
  <c r="K29" i="119" l="1"/>
  <c r="M41" i="119"/>
  <c r="C41" i="119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<sst xmlns="http://schemas.openxmlformats.org/spreadsheetml/2006/main" count="82" uniqueCount="68">
  <si>
    <t>ID</t>
  </si>
  <si>
    <t>Физико - химические свойства флюида   PVT</t>
  </si>
  <si>
    <t>С</t>
  </si>
  <si>
    <t>%</t>
  </si>
  <si>
    <t>сП</t>
  </si>
  <si>
    <t>атмa</t>
  </si>
  <si>
    <t>МПа</t>
  </si>
  <si>
    <t>Ф</t>
  </si>
  <si>
    <t>Параметры потока флюида</t>
  </si>
  <si>
    <t>PVT строка</t>
  </si>
  <si>
    <t>Упражнения по работе с макросами Unifloc VBA</t>
  </si>
  <si>
    <t>версия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</si>
  <si>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</si>
  <si>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</si>
  <si>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</si>
  <si>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</si>
  <si>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</si>
  <si>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</si>
  <si>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</si>
  <si>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</si>
  <si>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</si>
  <si>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</si>
  <si>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Q</t>
    </r>
    <r>
      <rPr>
        <vertAlign val="subscript"/>
        <sz val="10"/>
        <rFont val="Arial Cyr"/>
        <charset val="204"/>
      </rPr>
      <t>l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</si>
  <si>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charset val="204"/>
      </rPr>
      <t>/сут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</si>
  <si>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</si>
  <si>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</si>
  <si>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r>
      <t>f</t>
    </r>
    <r>
      <rPr>
        <vertAlign val="subscript"/>
        <sz val="10"/>
        <rFont val="Arial Cyr"/>
        <charset val="204"/>
      </rPr>
      <t>w</t>
    </r>
  </si>
  <si>
    <t>Параметры трубы</t>
  </si>
  <si>
    <t>L</t>
  </si>
  <si>
    <t>θ</t>
  </si>
  <si>
    <t>м</t>
  </si>
  <si>
    <t>мм</t>
  </si>
  <si>
    <t>°</t>
  </si>
  <si>
    <t>P0</t>
  </si>
  <si>
    <t>P1</t>
  </si>
  <si>
    <t>T0</t>
  </si>
  <si>
    <t>T1</t>
  </si>
  <si>
    <t>°C</t>
  </si>
  <si>
    <r>
      <t>Q</t>
    </r>
    <r>
      <rPr>
        <vertAlign val="subscript"/>
        <sz val="11"/>
        <color theme="1"/>
        <rFont val="Calibri"/>
        <family val="2"/>
        <charset val="204"/>
      </rPr>
      <t>gas free</t>
    </r>
  </si>
  <si>
    <r>
      <t>нм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charset val="204"/>
      </rPr>
      <t>/сут</t>
    </r>
  </si>
  <si>
    <t>Подписи</t>
  </si>
  <si>
    <t>Поправки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</si>
  <si>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</si>
  <si>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</si>
  <si>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</si>
  <si>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</si>
  <si>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</si>
  <si>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</si>
  <si>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</si>
  <si>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</si>
  <si>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</si>
  <si>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</si>
  <si>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</si>
  <si>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</si>
  <si>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</si>
  <si>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</si>
  <si>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Многофазный поток в трубе.</t>
  </si>
  <si>
    <t>Корреляция гидр</t>
  </si>
  <si>
    <t>Калибровка трение</t>
  </si>
  <si>
    <t>Калибровка грав</t>
  </si>
  <si>
    <t>калибровка тип</t>
  </si>
  <si>
    <t>Корреляция PVT</t>
  </si>
  <si>
    <t>Сепарация газа</t>
  </si>
  <si>
    <t>только газ</t>
  </si>
  <si>
    <r>
      <t>K</t>
    </r>
    <r>
      <rPr>
        <vertAlign val="subscript"/>
        <sz val="11"/>
        <color theme="1"/>
        <rFont val="Calibri"/>
        <family val="2"/>
        <charset val="204"/>
      </rPr>
      <t>sep</t>
    </r>
  </si>
  <si>
    <r>
      <t>P</t>
    </r>
    <r>
      <rPr>
        <vertAlign val="subscript"/>
        <sz val="11"/>
        <color theme="1"/>
        <rFont val="Calibri"/>
        <family val="2"/>
        <charset val="204"/>
      </rPr>
      <t>sep</t>
    </r>
  </si>
  <si>
    <r>
      <t>T</t>
    </r>
    <r>
      <rPr>
        <vertAlign val="subscript"/>
        <sz val="11"/>
        <color theme="1"/>
        <rFont val="Calibri"/>
        <family val="2"/>
        <charset val="204"/>
      </rPr>
      <t>sep</t>
    </r>
  </si>
  <si>
    <t>Расчет против потока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</si>
</sst>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0.000"/>
  </numFmts>
  <fonts count="20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0"/>
      <color indexed="8"/>
      <name val="Arial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0"/>
      <name val="Arial Cyr"/>
      <charset val="204"/>
    </font>
    <font>
      <vertAlign val="superscript"/>
      <sz val="11"/>
      <name val="Calibri"/>
      <family val="2"/>
      <charset val="204"/>
      <scheme val="minor"/>
    </font>
    <font>
      <sz val="10"/>
      <color theme="0" tint="-0.14999847407452621"/>
      <name val="Arial Cyr"/>
      <charset val="204"/>
    </font>
    <font>
      <sz val="10"/>
      <name val="Calibri"/>
      <family val="2"/>
      <charset val="204"/>
    </font>
    <font>
      <b/>
      <sz val="10"/>
      <name val="Arial Cyr"/>
    </font>
    <font>
      <b/>
      <i/>
      <sz val="10"/>
      <name val="Arial Cyr"/>
    </font>
  </fonts>
  <fills count="8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43" fontId="7" fillId="0" borderId="0" applyFont="0" applyFill="0" applyBorder="0" applyAlignment="0" applyProtection="0"/>
    <xf numFmtId="0" fontId="8" fillId="0" borderId="0"/>
    <xf numFmtId="0" fontId="1" fillId="0" borderId="0"/>
    <xf numFmtId="9" fontId="1" fillId="0" borderId="0" applyFont="0" applyFill="0" applyBorder="0" applyAlignment="0" applyProtection="0"/>
  </cellStyleXfs>
  <cellXfs count="68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wrapText="1"/>
    </xf>
    <xf numFmtId="0" fontId="0" fillId="4" borderId="2" xfId="0" applyFill="1" applyBorder="1" applyAlignment="1">
      <alignment horizontal="center"/>
    </xf>
    <xf numFmtId="0" fontId="0" fillId="3" borderId="2" xfId="0" applyFont="1" applyFill="1" applyBorder="1" applyAlignment="1">
      <alignment horizontal="center"/>
    </xf>
    <xf numFmtId="1" fontId="0" fillId="3" borderId="2" xfId="0" applyNumberFormat="1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4" borderId="2" xfId="0" applyFont="1" applyFill="1" applyBorder="1" applyAlignment="1">
      <alignment horizontal="center"/>
    </xf>
    <xf numFmtId="0" fontId="10" fillId="5" borderId="2" xfId="0" applyFont="1" applyFill="1" applyBorder="1" applyAlignment="1">
      <alignment horizontal="center"/>
    </xf>
    <xf numFmtId="0" fontId="0" fillId="5" borderId="2" xfId="0" applyFill="1" applyBorder="1" applyAlignment="1">
      <alignment horizontal="center" wrapText="1"/>
    </xf>
    <xf numFmtId="0" fontId="10" fillId="5" borderId="2" xfId="0" applyFont="1" applyFill="1" applyBorder="1" applyAlignment="1">
      <alignment horizontal="center" wrapText="1"/>
    </xf>
    <xf numFmtId="0" fontId="0" fillId="4" borderId="2" xfId="0" applyFill="1" applyBorder="1" applyAlignment="1">
      <alignment horizontal="center" wrapText="1"/>
    </xf>
    <xf numFmtId="0" fontId="0" fillId="3" borderId="2" xfId="0" applyFill="1" applyBorder="1"/>
    <xf numFmtId="0" fontId="16" fillId="0" borderId="0" xfId="0" applyFont="1"/>
    <xf numFmtId="1" fontId="0" fillId="2" borderId="2" xfId="0" applyNumberFormat="1" applyFill="1" applyBorder="1" applyAlignment="1">
      <alignment horizontal="center"/>
    </xf>
    <xf numFmtId="164" fontId="0" fillId="0" borderId="0" xfId="0" applyNumberFormat="1"/>
    <xf numFmtId="0" fontId="17" fillId="0" borderId="0" xfId="0" applyFont="1"/>
    <xf numFmtId="0" fontId="0" fillId="6" borderId="2" xfId="0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7" xfId="0" applyFill="1" applyBorder="1"/>
    <xf numFmtId="0" fontId="0" fillId="6" borderId="8" xfId="0" applyFill="1" applyBorder="1"/>
    <xf numFmtId="0" fontId="0" fillId="6" borderId="9" xfId="0" applyFill="1" applyBorder="1"/>
    <xf numFmtId="0" fontId="0" fillId="6" borderId="5" xfId="0" applyFill="1" applyBorder="1"/>
    <xf numFmtId="0" fontId="0" fillId="6" borderId="0" xfId="0" applyFill="1" applyBorder="1"/>
    <xf numFmtId="0" fontId="0" fillId="6" borderId="6" xfId="0" applyFill="1" applyBorder="1"/>
    <xf numFmtId="14" fontId="0" fillId="3" borderId="0" xfId="0" applyNumberFormat="1" applyFill="1" applyAlignment="1">
      <alignment horizontal="left" vertical="top"/>
    </xf>
    <xf numFmtId="0" fontId="0" fillId="3" borderId="0" xfId="0" applyFill="1"/>
    <xf numFmtId="0" fontId="0" fillId="3" borderId="0" xfId="0" applyFill="1" applyAlignment="1">
      <alignment horizontal="left" vertical="top"/>
    </xf>
    <xf numFmtId="0" fontId="10" fillId="5" borderId="2" xfId="0" applyFont="1" applyFill="1" applyBorder="1" applyAlignment="1">
      <alignment horizontal="left"/>
    </xf>
    <xf numFmtId="0" fontId="0" fillId="5" borderId="13" xfId="0" applyFill="1" applyBorder="1" applyAlignment="1">
      <alignment vertical="top"/>
    </xf>
    <xf numFmtId="0" fontId="0" fillId="5" borderId="0" xfId="0" applyFill="1" applyAlignment="1">
      <alignment vertical="top"/>
    </xf>
    <xf numFmtId="0" fontId="0" fillId="3" borderId="0" xfId="0" applyFill="1" applyAlignment="1">
      <alignment vertical="top"/>
    </xf>
    <xf numFmtId="0" fontId="0" fillId="5" borderId="15" xfId="0" applyFill="1" applyBorder="1" applyAlignment="1">
      <alignment vertical="top"/>
    </xf>
    <xf numFmtId="0" fontId="0" fillId="5" borderId="16" xfId="0" applyFill="1" applyBorder="1" applyAlignment="1">
      <alignment vertical="top"/>
    </xf>
    <xf numFmtId="0" fontId="18" fillId="0" borderId="0" xfId="0" applyFont="1"/>
    <xf numFmtId="1" fontId="0" fillId="6" borderId="14" xfId="0" applyNumberFormat="1" applyFill="1" applyBorder="1"/>
    <xf numFmtId="0" fontId="0" fillId="6" borderId="5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1" fontId="0" fillId="6" borderId="0" xfId="0" applyNumberFormat="1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1" fontId="0" fillId="6" borderId="8" xfId="0" applyNumberFormat="1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1" fontId="19" fillId="6" borderId="14" xfId="0" applyNumberFormat="1" applyFont="1" applyFill="1" applyBorder="1" applyAlignment="1">
      <alignment horizontal="center"/>
    </xf>
    <xf numFmtId="0" fontId="19" fillId="6" borderId="3" xfId="0" applyFont="1" applyFill="1" applyBorder="1" applyAlignment="1">
      <alignment horizontal="center"/>
    </xf>
    <xf numFmtId="0" fontId="19" fillId="6" borderId="4" xfId="0" applyFont="1" applyFill="1" applyBorder="1" applyAlignment="1">
      <alignment horizontal="center"/>
    </xf>
    <xf numFmtId="0" fontId="19" fillId="6" borderId="7" xfId="0" applyFont="1" applyFill="1" applyBorder="1" applyAlignment="1">
      <alignment horizontal="left"/>
    </xf>
    <xf numFmtId="0" fontId="19" fillId="6" borderId="8" xfId="0" applyFont="1" applyFill="1" applyBorder="1" applyAlignment="1">
      <alignment horizontal="left"/>
    </xf>
    <xf numFmtId="0" fontId="19" fillId="6" borderId="9" xfId="0" applyFont="1" applyFill="1" applyBorder="1" applyAlignment="1">
      <alignment horizontal="left"/>
    </xf>
    <xf numFmtId="0" fontId="10" fillId="5" borderId="0" xfId="0" applyFont="1" applyFill="1" applyBorder="1" applyAlignment="1">
      <alignment horizontal="center" wrapText="1"/>
    </xf>
    <xf numFmtId="0" fontId="10" fillId="5" borderId="6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0" fillId="7" borderId="10" xfId="0" applyFill="1" applyBorder="1" applyAlignment="1">
      <alignment horizontal="left"/>
    </xf>
    <xf numFmtId="0" fontId="0" fillId="7" borderId="11" xfId="0" applyFill="1" applyBorder="1" applyAlignment="1">
      <alignment horizontal="left"/>
    </xf>
    <xf numFmtId="0" fontId="0" fillId="7" borderId="12" xfId="0" applyFill="1" applyBorder="1" applyAlignment="1">
      <alignment horizontal="left"/>
    </xf>
    <xf numFmtId="0" fontId="0" fillId="7" borderId="14" xfId="0" applyFill="1" applyBorder="1" applyAlignment="1">
      <alignment horizontal="left" vertical="top"/>
    </xf>
    <xf numFmtId="0" fontId="0" fillId="7" borderId="3" xfId="0" applyFill="1" applyBorder="1" applyAlignment="1">
      <alignment horizontal="left" vertical="top"/>
    </xf>
    <xf numFmtId="0" fontId="0" fillId="7" borderId="4" xfId="0" applyFill="1" applyBorder="1" applyAlignment="1">
      <alignment horizontal="left" vertical="top"/>
    </xf>
    <xf numFmtId="0" fontId="0" fillId="7" borderId="5" xfId="0" applyFill="1" applyBorder="1" applyAlignment="1">
      <alignment horizontal="left" vertical="top"/>
    </xf>
    <xf numFmtId="0" fontId="0" fillId="7" borderId="0" xfId="0" applyFill="1" applyAlignment="1">
      <alignment horizontal="left" vertical="top"/>
    </xf>
    <xf numFmtId="0" fontId="0" fillId="7" borderId="6" xfId="0" applyFill="1" applyBorder="1" applyAlignment="1">
      <alignment horizontal="left" vertical="top"/>
    </xf>
    <xf numFmtId="0" fontId="0" fillId="7" borderId="7" xfId="0" applyFill="1" applyBorder="1" applyAlignment="1">
      <alignment horizontal="left" vertical="top"/>
    </xf>
    <xf numFmtId="0" fontId="0" fillId="7" borderId="8" xfId="0" applyFill="1" applyBorder="1" applyAlignment="1">
      <alignment horizontal="left" vertical="top"/>
    </xf>
    <xf numFmtId="0" fontId="0" fillId="7" borderId="9" xfId="0" applyFill="1" applyBorder="1" applyAlignment="1">
      <alignment horizontal="left" vertical="top"/>
    </xf>
    <xf numFmtId="1" fontId="0" fillId="7" borderId="0" xfId="0" applyNumberFormat="1" applyFill="1" applyBorder="1" applyAlignment="1">
      <alignment horizontal="center"/>
    </xf>
  </cellXfs>
  <cellStyles count="9">
    <cellStyle name="Iau?iue_AA_1" xfId="1" xr:uid="{00000000-0005-0000-0000-000000000000}"/>
    <cellStyle name="Normal_Sheet2" xfId="6" xr:uid="{00000000-0005-0000-0000-000001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7" xr:uid="{00000000-0005-0000-0000-000006000000}"/>
    <cellStyle name="Процентный 2" xfId="8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exercise_MF1!$C$40</c:f>
              <c:strCache>
                <c:ptCount val="1"/>
                <c:pt idx="0">
                  <c:v>Расчет против потока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exercise_MF1!$F$44:$F$63</c:f>
              <c:numCache>
                <c:formatCode>0</c:formatCode>
                <c:ptCount val="20"/>
                <c:pt idx="0">
                  <c:v>10</c:v>
                </c:pt>
                <c:pt idx="1">
                  <c:v>15.344933576062061</c:v>
                </c:pt>
                <c:pt idx="2">
                  <c:v>20.685474834044587</c:v>
                </c:pt>
                <c:pt idx="3">
                  <c:v>26.021583099528669</c:v>
                </c:pt>
                <c:pt idx="4">
                  <c:v>31.35321795910648</c:v>
                </c:pt>
                <c:pt idx="5">
                  <c:v>36.679922787854935</c:v>
                </c:pt>
                <c:pt idx="6">
                  <c:v>42.000796959482663</c:v>
                </c:pt>
                <c:pt idx="7">
                  <c:v>47.317034320418621</c:v>
                </c:pt>
                <c:pt idx="8">
                  <c:v>52.628596442286103</c:v>
                </c:pt>
                <c:pt idx="9">
                  <c:v>57.935445132302597</c:v>
                </c:pt>
                <c:pt idx="10">
                  <c:v>63.236665962187416</c:v>
                </c:pt>
                <c:pt idx="11">
                  <c:v>68.53218972313374</c:v>
                </c:pt>
                <c:pt idx="12">
                  <c:v>73.822845653395945</c:v>
                </c:pt>
                <c:pt idx="13">
                  <c:v>79.108597388642124</c:v>
                </c:pt>
                <c:pt idx="14">
                  <c:v>84.389408787661353</c:v>
                </c:pt>
                <c:pt idx="15">
                  <c:v>89.663867580544164</c:v>
                </c:pt>
                <c:pt idx="16">
                  <c:v>94.932820964626472</c:v>
                </c:pt>
                <c:pt idx="17">
                  <c:v>100.19668809369665</c:v>
                </c:pt>
                <c:pt idx="18">
                  <c:v>105.45543458028648</c:v>
                </c:pt>
                <c:pt idx="19">
                  <c:v>110.70902625369689</c:v>
                </c:pt>
              </c:numCache>
            </c:numRef>
          </c:xVal>
          <c:yVal>
            <c:numRef>
              <c:f>exercise_MF1!$D$44:$D$63</c:f>
              <c:numCache>
                <c:formatCode>0</c:formatCode>
                <c:ptCount val="20"/>
                <c:pt idx="0">
                  <c:v>0</c:v>
                </c:pt>
                <c:pt idx="1">
                  <c:v>78.94736842105263</c:v>
                </c:pt>
                <c:pt idx="2">
                  <c:v>157.89473684210526</c:v>
                </c:pt>
                <c:pt idx="3">
                  <c:v>236.84210526315789</c:v>
                </c:pt>
                <c:pt idx="4">
                  <c:v>315.78947368421052</c:v>
                </c:pt>
                <c:pt idx="5">
                  <c:v>394.73684210526312</c:v>
                </c:pt>
                <c:pt idx="6">
                  <c:v>473.68421052631578</c:v>
                </c:pt>
                <c:pt idx="7">
                  <c:v>552.63157894736844</c:v>
                </c:pt>
                <c:pt idx="8">
                  <c:v>631.57894736842104</c:v>
                </c:pt>
                <c:pt idx="9">
                  <c:v>710.52631578947364</c:v>
                </c:pt>
                <c:pt idx="10">
                  <c:v>789.47368421052624</c:v>
                </c:pt>
                <c:pt idx="11">
                  <c:v>868.42105263157896</c:v>
                </c:pt>
                <c:pt idx="12">
                  <c:v>947.36842105263156</c:v>
                </c:pt>
                <c:pt idx="13">
                  <c:v>1026.3157894736842</c:v>
                </c:pt>
                <c:pt idx="14">
                  <c:v>1105.2631578947369</c:v>
                </c:pt>
                <c:pt idx="15">
                  <c:v>1184.2105263157894</c:v>
                </c:pt>
                <c:pt idx="16">
                  <c:v>1263.1578947368421</c:v>
                </c:pt>
                <c:pt idx="17">
                  <c:v>1342.1052631578948</c:v>
                </c:pt>
                <c:pt idx="18">
                  <c:v>1421.0526315789473</c:v>
                </c:pt>
                <c:pt idx="19">
                  <c:v>1500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DC-4EE8-95B8-F20F53E4C3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802048"/>
        <c:axId val="1586749600"/>
      </c:scatterChart>
      <c:valAx>
        <c:axId val="1619802048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49600"/>
        <c:crosses val="autoZero"/>
        <c:crossBetween val="midCat"/>
      </c:valAx>
      <c:valAx>
        <c:axId val="15867496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Расстояние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9802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exercise_MF1!$C$40</c:f>
          <c:strCache>
            <c:ptCount val="1"/>
            <c:pt idx="0">
              <c:v>Расчет против потока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exercise_MF1!$F$43</c:f>
              <c:strCache>
                <c:ptCount val="1"/>
                <c:pt idx="0">
                  <c:v>p,atma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exercise_MF1!$D$44:$D$63</c:f>
              <c:numCache>
                <c:formatCode>0</c:formatCode>
                <c:ptCount val="20"/>
                <c:pt idx="0">
                  <c:v>0</c:v>
                </c:pt>
                <c:pt idx="1">
                  <c:v>78.94736842105263</c:v>
                </c:pt>
                <c:pt idx="2">
                  <c:v>157.89473684210526</c:v>
                </c:pt>
                <c:pt idx="3">
                  <c:v>236.84210526315789</c:v>
                </c:pt>
                <c:pt idx="4">
                  <c:v>315.78947368421052</c:v>
                </c:pt>
                <c:pt idx="5">
                  <c:v>394.73684210526312</c:v>
                </c:pt>
                <c:pt idx="6">
                  <c:v>473.68421052631578</c:v>
                </c:pt>
                <c:pt idx="7">
                  <c:v>552.63157894736844</c:v>
                </c:pt>
                <c:pt idx="8">
                  <c:v>631.57894736842104</c:v>
                </c:pt>
                <c:pt idx="9">
                  <c:v>710.52631578947364</c:v>
                </c:pt>
                <c:pt idx="10">
                  <c:v>789.47368421052624</c:v>
                </c:pt>
                <c:pt idx="11">
                  <c:v>868.42105263157896</c:v>
                </c:pt>
                <c:pt idx="12">
                  <c:v>947.36842105263156</c:v>
                </c:pt>
                <c:pt idx="13">
                  <c:v>1026.3157894736842</c:v>
                </c:pt>
                <c:pt idx="14">
                  <c:v>1105.2631578947369</c:v>
                </c:pt>
                <c:pt idx="15">
                  <c:v>1184.2105263157894</c:v>
                </c:pt>
                <c:pt idx="16">
                  <c:v>1263.1578947368421</c:v>
                </c:pt>
                <c:pt idx="17">
                  <c:v>1342.1052631578948</c:v>
                </c:pt>
                <c:pt idx="18">
                  <c:v>1421.0526315789473</c:v>
                </c:pt>
                <c:pt idx="19">
                  <c:v>1500</c:v>
                </c:pt>
              </c:numCache>
            </c:numRef>
          </c:xVal>
          <c:yVal>
            <c:numRef>
              <c:f>exercise_MF1!$F$44:$F$63</c:f>
              <c:numCache>
                <c:formatCode>0</c:formatCode>
                <c:ptCount val="20"/>
                <c:pt idx="0">
                  <c:v>10</c:v>
                </c:pt>
                <c:pt idx="1">
                  <c:v>15.344933576062061</c:v>
                </c:pt>
                <c:pt idx="2">
                  <c:v>20.685474834044587</c:v>
                </c:pt>
                <c:pt idx="3">
                  <c:v>26.021583099528669</c:v>
                </c:pt>
                <c:pt idx="4">
                  <c:v>31.35321795910648</c:v>
                </c:pt>
                <c:pt idx="5">
                  <c:v>36.679922787854935</c:v>
                </c:pt>
                <c:pt idx="6">
                  <c:v>42.000796959482663</c:v>
                </c:pt>
                <c:pt idx="7">
                  <c:v>47.317034320418621</c:v>
                </c:pt>
                <c:pt idx="8">
                  <c:v>52.628596442286103</c:v>
                </c:pt>
                <c:pt idx="9">
                  <c:v>57.935445132302597</c:v>
                </c:pt>
                <c:pt idx="10">
                  <c:v>63.236665962187416</c:v>
                </c:pt>
                <c:pt idx="11">
                  <c:v>68.53218972313374</c:v>
                </c:pt>
                <c:pt idx="12">
                  <c:v>73.822845653395945</c:v>
                </c:pt>
                <c:pt idx="13">
                  <c:v>79.108597388642124</c:v>
                </c:pt>
                <c:pt idx="14">
                  <c:v>84.389408787661353</c:v>
                </c:pt>
                <c:pt idx="15">
                  <c:v>89.663867580544164</c:v>
                </c:pt>
                <c:pt idx="16">
                  <c:v>94.932820964626472</c:v>
                </c:pt>
                <c:pt idx="17">
                  <c:v>100.19668809369665</c:v>
                </c:pt>
                <c:pt idx="18">
                  <c:v>105.45543458028648</c:v>
                </c:pt>
                <c:pt idx="19">
                  <c:v>110.70902625369689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15-44DB-8FD1-B950E61FF61D}"/>
            </c:ext>
          </c:extLst>
        </c:ser>
        <c:ser>
          <c:idx val="4"/>
          <c:order val="2"/>
          <c:tx>
            <c:strRef>
              <c:f>exercise_MF1!$J$43</c:f>
              <c:strCache>
                <c:ptCount val="1"/>
                <c:pt idx="0">
                  <c:v>t_amb, C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exercise_MF1!$D$44:$D$63</c:f>
              <c:numCache>
                <c:formatCode>0</c:formatCode>
                <c:ptCount val="20"/>
                <c:pt idx="0">
                  <c:v>0</c:v>
                </c:pt>
                <c:pt idx="1">
                  <c:v>78.94736842105263</c:v>
                </c:pt>
                <c:pt idx="2">
                  <c:v>157.89473684210526</c:v>
                </c:pt>
                <c:pt idx="3">
                  <c:v>236.84210526315789</c:v>
                </c:pt>
                <c:pt idx="4">
                  <c:v>315.78947368421052</c:v>
                </c:pt>
                <c:pt idx="5">
                  <c:v>394.73684210526312</c:v>
                </c:pt>
                <c:pt idx="6">
                  <c:v>473.68421052631578</c:v>
                </c:pt>
                <c:pt idx="7">
                  <c:v>552.63157894736844</c:v>
                </c:pt>
                <c:pt idx="8">
                  <c:v>631.57894736842104</c:v>
                </c:pt>
                <c:pt idx="9">
                  <c:v>710.52631578947364</c:v>
                </c:pt>
                <c:pt idx="10">
                  <c:v>789.47368421052624</c:v>
                </c:pt>
                <c:pt idx="11">
                  <c:v>868.42105263157896</c:v>
                </c:pt>
                <c:pt idx="12">
                  <c:v>947.36842105263156</c:v>
                </c:pt>
                <c:pt idx="13">
                  <c:v>1026.3157894736842</c:v>
                </c:pt>
                <c:pt idx="14">
                  <c:v>1105.2631578947369</c:v>
                </c:pt>
                <c:pt idx="15">
                  <c:v>1184.2105263157894</c:v>
                </c:pt>
                <c:pt idx="16">
                  <c:v>1263.1578947368421</c:v>
                </c:pt>
                <c:pt idx="17">
                  <c:v>1342.1052631578948</c:v>
                </c:pt>
                <c:pt idx="18">
                  <c:v>1421.0526315789473</c:v>
                </c:pt>
                <c:pt idx="19">
                  <c:v>1500</c:v>
                </c:pt>
              </c:numCache>
            </c:numRef>
          </c:xVal>
          <c:yVal>
            <c:numRef>
              <c:f>exercise_MF1!$J$44:$J$63</c:f>
              <c:numCache>
                <c:formatCode>0</c:formatCode>
                <c:ptCount val="20"/>
                <c:pt idx="0">
                  <c:v>40</c:v>
                </c:pt>
                <c:pt idx="1">
                  <c:v>42.105263157894733</c:v>
                </c:pt>
                <c:pt idx="2">
                  <c:v>44.210526315789473</c:v>
                </c:pt>
                <c:pt idx="3">
                  <c:v>46.315789473684212</c:v>
                </c:pt>
                <c:pt idx="4">
                  <c:v>48.421052631578945</c:v>
                </c:pt>
                <c:pt idx="5">
                  <c:v>50.526315789473685</c:v>
                </c:pt>
                <c:pt idx="6">
                  <c:v>52.631578947368425</c:v>
                </c:pt>
                <c:pt idx="7">
                  <c:v>54.736842105263158</c:v>
                </c:pt>
                <c:pt idx="8">
                  <c:v>56.842105263157897</c:v>
                </c:pt>
                <c:pt idx="9">
                  <c:v>58.947368421052637</c:v>
                </c:pt>
                <c:pt idx="10">
                  <c:v>61.05263157894737</c:v>
                </c:pt>
                <c:pt idx="11">
                  <c:v>63.15789473684211</c:v>
                </c:pt>
                <c:pt idx="12">
                  <c:v>65.26315789473685</c:v>
                </c:pt>
                <c:pt idx="13">
                  <c:v>67.368421052631589</c:v>
                </c:pt>
                <c:pt idx="14">
                  <c:v>69.473684210526329</c:v>
                </c:pt>
                <c:pt idx="15">
                  <c:v>71.578947368421055</c:v>
                </c:pt>
                <c:pt idx="16">
                  <c:v>73.684210526315795</c:v>
                </c:pt>
                <c:pt idx="17">
                  <c:v>75.789473684210535</c:v>
                </c:pt>
                <c:pt idx="18">
                  <c:v>77.894736842105274</c:v>
                </c:pt>
                <c:pt idx="19">
                  <c:v>80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15-44DB-8FD1-B950E61FF6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2867680"/>
        <c:axId val="1586759168"/>
      </c:scatterChart>
      <c:scatterChart>
        <c:scatterStyle val="smoothMarker"/>
        <c:varyColors val="0"/>
        <c:ser>
          <c:idx val="2"/>
          <c:order val="1"/>
          <c:tx>
            <c:strRef>
              <c:f>exercise_MF1!$H$43</c:f>
              <c:strCache>
                <c:ptCount val="1"/>
                <c:pt idx="0">
                  <c:v>Hl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exercise_MF1!$D$44:$D$63</c:f>
              <c:numCache>
                <c:formatCode>0</c:formatCode>
                <c:ptCount val="20"/>
                <c:pt idx="0">
                  <c:v>0</c:v>
                </c:pt>
                <c:pt idx="1">
                  <c:v>78.94736842105263</c:v>
                </c:pt>
                <c:pt idx="2">
                  <c:v>157.89473684210526</c:v>
                </c:pt>
                <c:pt idx="3">
                  <c:v>236.84210526315789</c:v>
                </c:pt>
                <c:pt idx="4">
                  <c:v>315.78947368421052</c:v>
                </c:pt>
                <c:pt idx="5">
                  <c:v>394.73684210526312</c:v>
                </c:pt>
                <c:pt idx="6">
                  <c:v>473.68421052631578</c:v>
                </c:pt>
                <c:pt idx="7">
                  <c:v>552.63157894736844</c:v>
                </c:pt>
                <c:pt idx="8">
                  <c:v>631.57894736842104</c:v>
                </c:pt>
                <c:pt idx="9">
                  <c:v>710.52631578947364</c:v>
                </c:pt>
                <c:pt idx="10">
                  <c:v>789.47368421052624</c:v>
                </c:pt>
                <c:pt idx="11">
                  <c:v>868.42105263157896</c:v>
                </c:pt>
                <c:pt idx="12">
                  <c:v>947.36842105263156</c:v>
                </c:pt>
                <c:pt idx="13">
                  <c:v>1026.3157894736842</c:v>
                </c:pt>
                <c:pt idx="14">
                  <c:v>1105.2631578947369</c:v>
                </c:pt>
                <c:pt idx="15">
                  <c:v>1184.2105263157894</c:v>
                </c:pt>
                <c:pt idx="16">
                  <c:v>1263.1578947368421</c:v>
                </c:pt>
                <c:pt idx="17">
                  <c:v>1342.1052631578948</c:v>
                </c:pt>
                <c:pt idx="18">
                  <c:v>1421.0526315789473</c:v>
                </c:pt>
                <c:pt idx="19">
                  <c:v>1500</c:v>
                </c:pt>
              </c:numCache>
            </c:numRef>
          </c:xVal>
          <c:yVal>
            <c:numRef>
              <c:f>exercise_MF1!$H$44:$H$63</c:f>
              <c:numCache>
                <c:formatCode>General</c:formatCode>
                <c:ptCount val="2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15-44DB-8FD1-B950E61FF6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756256"/>
        <c:axId val="1586755424"/>
      </c:scatterChart>
      <c:valAx>
        <c:axId val="1612867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59168"/>
        <c:crosses val="autoZero"/>
        <c:crossBetween val="midCat"/>
      </c:valAx>
      <c:valAx>
        <c:axId val="1586759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2867680"/>
        <c:crosses val="autoZero"/>
        <c:crossBetween val="midCat"/>
      </c:valAx>
      <c:valAx>
        <c:axId val="158675542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56256"/>
        <c:crosses val="max"/>
        <c:crossBetween val="midCat"/>
      </c:valAx>
      <c:valAx>
        <c:axId val="1586756256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5867554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exercise_MF1!$M$40</c:f>
              <c:strCache>
                <c:ptCount val="1"/>
                <c:pt idx="0">
                  <c:v>11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exercise_MF1!$P$44:$P$63</c:f>
              <c:numCache>
                <c:formatCode>0</c:formatCode>
                <c:ptCount val="20"/>
                <c:pt idx="0">
                  <c:v>100</c:v>
                </c:pt>
                <c:pt idx="1">
                  <c:v>105.26595049855749</c:v>
                </c:pt>
                <c:pt idx="2">
                  <c:v>110.53820415727137</c:v>
                </c:pt>
                <c:pt idx="3">
                  <c:v>115.81671982994817</c:v>
                </c:pt>
                <c:pt idx="4">
                  <c:v>121.10145615555552</c:v>
                </c:pt>
                <c:pt idx="5">
                  <c:v>126.39292672385982</c:v>
                </c:pt>
                <c:pt idx="6">
                  <c:v>131.69216962613982</c:v>
                </c:pt>
                <c:pt idx="7">
                  <c:v>136.99745846722817</c:v>
                </c:pt>
                <c:pt idx="8">
                  <c:v>142.30875021291067</c:v>
                </c:pt>
                <c:pt idx="9">
                  <c:v>147.62600162825188</c:v>
                </c:pt>
                <c:pt idx="10">
                  <c:v>152.95023009054879</c:v>
                </c:pt>
                <c:pt idx="11">
                  <c:v>158.28135385006229</c:v>
                </c:pt>
                <c:pt idx="12">
                  <c:v>163.6182549328187</c:v>
                </c:pt>
                <c:pt idx="13">
                  <c:v>168.96088858076877</c:v>
                </c:pt>
                <c:pt idx="14">
                  <c:v>174.30920985796851</c:v>
                </c:pt>
                <c:pt idx="15">
                  <c:v>179.66468760725496</c:v>
                </c:pt>
                <c:pt idx="16">
                  <c:v>185.02622119958912</c:v>
                </c:pt>
                <c:pt idx="17">
                  <c:v>190.39325339293578</c:v>
                </c:pt>
                <c:pt idx="18">
                  <c:v>195.76573798782945</c:v>
                </c:pt>
                <c:pt idx="19">
                  <c:v>201.14362864637445</c:v>
                </c:pt>
              </c:numCache>
            </c:numRef>
          </c:xVal>
          <c:yVal>
            <c:numRef>
              <c:f>exercise_MF1!$N$44:$N$63</c:f>
              <c:numCache>
                <c:formatCode>0</c:formatCode>
                <c:ptCount val="20"/>
                <c:pt idx="0">
                  <c:v>0</c:v>
                </c:pt>
                <c:pt idx="1">
                  <c:v>78.94736842105263</c:v>
                </c:pt>
                <c:pt idx="2">
                  <c:v>157.89473684210526</c:v>
                </c:pt>
                <c:pt idx="3">
                  <c:v>236.84210526315789</c:v>
                </c:pt>
                <c:pt idx="4">
                  <c:v>315.78947368421052</c:v>
                </c:pt>
                <c:pt idx="5">
                  <c:v>394.73684210526312</c:v>
                </c:pt>
                <c:pt idx="6">
                  <c:v>473.68421052631578</c:v>
                </c:pt>
                <c:pt idx="7">
                  <c:v>552.63157894736844</c:v>
                </c:pt>
                <c:pt idx="8">
                  <c:v>631.57894736842104</c:v>
                </c:pt>
                <c:pt idx="9">
                  <c:v>710.52631578947364</c:v>
                </c:pt>
                <c:pt idx="10">
                  <c:v>789.47368421052624</c:v>
                </c:pt>
                <c:pt idx="11">
                  <c:v>868.42105263157896</c:v>
                </c:pt>
                <c:pt idx="12">
                  <c:v>947.36842105263156</c:v>
                </c:pt>
                <c:pt idx="13">
                  <c:v>1026.3157894736842</c:v>
                </c:pt>
                <c:pt idx="14">
                  <c:v>1105.2631578947369</c:v>
                </c:pt>
                <c:pt idx="15">
                  <c:v>1184.2105263157894</c:v>
                </c:pt>
                <c:pt idx="16">
                  <c:v>1263.1578947368421</c:v>
                </c:pt>
                <c:pt idx="17">
                  <c:v>1342.1052631578948</c:v>
                </c:pt>
                <c:pt idx="18">
                  <c:v>1421.0526315789473</c:v>
                </c:pt>
                <c:pt idx="19">
                  <c:v>1500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C87-455F-9EE5-EF0DCC5C6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802048"/>
        <c:axId val="1586749600"/>
      </c:scatterChart>
      <c:valAx>
        <c:axId val="1619802048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49600"/>
        <c:crosses val="autoZero"/>
        <c:crossBetween val="midCat"/>
      </c:valAx>
      <c:valAx>
        <c:axId val="15867496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Расстояние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9802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exercise_MF1!$M$40</c:f>
          <c:strCache>
            <c:ptCount val="1"/>
            <c:pt idx="0">
              <c:v>11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exercise_MF1!$P$43</c:f>
              <c:strCache>
                <c:ptCount val="1"/>
                <c:pt idx="0">
                  <c:v>p,atma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exercise_MF1!$N$44:$N$63</c:f>
              <c:numCache>
                <c:formatCode>0</c:formatCode>
                <c:ptCount val="20"/>
                <c:pt idx="0">
                  <c:v>0</c:v>
                </c:pt>
                <c:pt idx="1">
                  <c:v>78.94736842105263</c:v>
                </c:pt>
                <c:pt idx="2">
                  <c:v>157.89473684210526</c:v>
                </c:pt>
                <c:pt idx="3">
                  <c:v>236.84210526315789</c:v>
                </c:pt>
                <c:pt idx="4">
                  <c:v>315.78947368421052</c:v>
                </c:pt>
                <c:pt idx="5">
                  <c:v>394.73684210526312</c:v>
                </c:pt>
                <c:pt idx="6">
                  <c:v>473.68421052631578</c:v>
                </c:pt>
                <c:pt idx="7">
                  <c:v>552.63157894736844</c:v>
                </c:pt>
                <c:pt idx="8">
                  <c:v>631.57894736842104</c:v>
                </c:pt>
                <c:pt idx="9">
                  <c:v>710.52631578947364</c:v>
                </c:pt>
                <c:pt idx="10">
                  <c:v>789.47368421052624</c:v>
                </c:pt>
                <c:pt idx="11">
                  <c:v>868.42105263157896</c:v>
                </c:pt>
                <c:pt idx="12">
                  <c:v>947.36842105263156</c:v>
                </c:pt>
                <c:pt idx="13">
                  <c:v>1026.3157894736842</c:v>
                </c:pt>
                <c:pt idx="14">
                  <c:v>1105.2631578947369</c:v>
                </c:pt>
                <c:pt idx="15">
                  <c:v>1184.2105263157894</c:v>
                </c:pt>
                <c:pt idx="16">
                  <c:v>1263.1578947368421</c:v>
                </c:pt>
                <c:pt idx="17">
                  <c:v>1342.1052631578948</c:v>
                </c:pt>
                <c:pt idx="18">
                  <c:v>1421.0526315789473</c:v>
                </c:pt>
                <c:pt idx="19">
                  <c:v>1500</c:v>
                </c:pt>
              </c:numCache>
            </c:numRef>
          </c:xVal>
          <c:yVal>
            <c:numRef>
              <c:f>exercise_MF1!$P$44:$P$63</c:f>
              <c:numCache>
                <c:formatCode>0</c:formatCode>
                <c:ptCount val="20"/>
                <c:pt idx="0">
                  <c:v>100</c:v>
                </c:pt>
                <c:pt idx="1">
                  <c:v>105.26595049855749</c:v>
                </c:pt>
                <c:pt idx="2">
                  <c:v>110.53820415727137</c:v>
                </c:pt>
                <c:pt idx="3">
                  <c:v>115.81671982994817</c:v>
                </c:pt>
                <c:pt idx="4">
                  <c:v>121.10145615555552</c:v>
                </c:pt>
                <c:pt idx="5">
                  <c:v>126.39292672385982</c:v>
                </c:pt>
                <c:pt idx="6">
                  <c:v>131.69216962613982</c:v>
                </c:pt>
                <c:pt idx="7">
                  <c:v>136.99745846722817</c:v>
                </c:pt>
                <c:pt idx="8">
                  <c:v>142.30875021291067</c:v>
                </c:pt>
                <c:pt idx="9">
                  <c:v>147.62600162825188</c:v>
                </c:pt>
                <c:pt idx="10">
                  <c:v>152.95023009054879</c:v>
                </c:pt>
                <c:pt idx="11">
                  <c:v>158.28135385006229</c:v>
                </c:pt>
                <c:pt idx="12">
                  <c:v>163.6182549328187</c:v>
                </c:pt>
                <c:pt idx="13">
                  <c:v>168.96088858076877</c:v>
                </c:pt>
                <c:pt idx="14">
                  <c:v>174.30920985796851</c:v>
                </c:pt>
                <c:pt idx="15">
                  <c:v>179.66468760725496</c:v>
                </c:pt>
                <c:pt idx="16">
                  <c:v>185.02622119958912</c:v>
                </c:pt>
                <c:pt idx="17">
                  <c:v>190.39325339293578</c:v>
                </c:pt>
                <c:pt idx="18">
                  <c:v>195.76573798782945</c:v>
                </c:pt>
                <c:pt idx="19">
                  <c:v>201.14362864637445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28-46A2-BDE6-C80A5B9DB3D2}"/>
            </c:ext>
          </c:extLst>
        </c:ser>
        <c:ser>
          <c:idx val="4"/>
          <c:order val="2"/>
          <c:tx>
            <c:strRef>
              <c:f>exercise_MF1!$T$43</c:f>
              <c:strCache>
                <c:ptCount val="1"/>
                <c:pt idx="0">
                  <c:v>t_amb, C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exercise_MF1!$N$44:$N$63</c:f>
              <c:numCache>
                <c:formatCode>0</c:formatCode>
                <c:ptCount val="20"/>
                <c:pt idx="0">
                  <c:v>0</c:v>
                </c:pt>
                <c:pt idx="1">
                  <c:v>78.94736842105263</c:v>
                </c:pt>
                <c:pt idx="2">
                  <c:v>157.89473684210526</c:v>
                </c:pt>
                <c:pt idx="3">
                  <c:v>236.84210526315789</c:v>
                </c:pt>
                <c:pt idx="4">
                  <c:v>315.78947368421052</c:v>
                </c:pt>
                <c:pt idx="5">
                  <c:v>394.73684210526312</c:v>
                </c:pt>
                <c:pt idx="6">
                  <c:v>473.68421052631578</c:v>
                </c:pt>
                <c:pt idx="7">
                  <c:v>552.63157894736844</c:v>
                </c:pt>
                <c:pt idx="8">
                  <c:v>631.57894736842104</c:v>
                </c:pt>
                <c:pt idx="9">
                  <c:v>710.52631578947364</c:v>
                </c:pt>
                <c:pt idx="10">
                  <c:v>789.47368421052624</c:v>
                </c:pt>
                <c:pt idx="11">
                  <c:v>868.42105263157896</c:v>
                </c:pt>
                <c:pt idx="12">
                  <c:v>947.36842105263156</c:v>
                </c:pt>
                <c:pt idx="13">
                  <c:v>1026.3157894736842</c:v>
                </c:pt>
                <c:pt idx="14">
                  <c:v>1105.2631578947369</c:v>
                </c:pt>
                <c:pt idx="15">
                  <c:v>1184.2105263157894</c:v>
                </c:pt>
                <c:pt idx="16">
                  <c:v>1263.1578947368421</c:v>
                </c:pt>
                <c:pt idx="17">
                  <c:v>1342.1052631578948</c:v>
                </c:pt>
                <c:pt idx="18">
                  <c:v>1421.0526315789473</c:v>
                </c:pt>
                <c:pt idx="19">
                  <c:v>1500</c:v>
                </c:pt>
              </c:numCache>
            </c:numRef>
          </c:xVal>
          <c:yVal>
            <c:numRef>
              <c:f>exercise_MF1!$T$44:$T$63</c:f>
              <c:numCache>
                <c:formatCode>0</c:formatCode>
                <c:ptCount val="20"/>
                <c:pt idx="0">
                  <c:v>80</c:v>
                </c:pt>
                <c:pt idx="1">
                  <c:v>77.89473684210526</c:v>
                </c:pt>
                <c:pt idx="2">
                  <c:v>75.78947368421052</c:v>
                </c:pt>
                <c:pt idx="3">
                  <c:v>73.684210526315795</c:v>
                </c:pt>
                <c:pt idx="4">
                  <c:v>71.578947368421055</c:v>
                </c:pt>
                <c:pt idx="5">
                  <c:v>69.473684210526315</c:v>
                </c:pt>
                <c:pt idx="6">
                  <c:v>67.368421052631575</c:v>
                </c:pt>
                <c:pt idx="7">
                  <c:v>65.26315789473685</c:v>
                </c:pt>
                <c:pt idx="8">
                  <c:v>63.157894736842103</c:v>
                </c:pt>
                <c:pt idx="9">
                  <c:v>61.052631578947363</c:v>
                </c:pt>
                <c:pt idx="10">
                  <c:v>58.94736842105263</c:v>
                </c:pt>
                <c:pt idx="11">
                  <c:v>56.84210526315789</c:v>
                </c:pt>
                <c:pt idx="12">
                  <c:v>54.736842105263158</c:v>
                </c:pt>
                <c:pt idx="13">
                  <c:v>52.631578947368418</c:v>
                </c:pt>
                <c:pt idx="14">
                  <c:v>50.526315789473678</c:v>
                </c:pt>
                <c:pt idx="15">
                  <c:v>48.421052631578952</c:v>
                </c:pt>
                <c:pt idx="16">
                  <c:v>46.315789473684205</c:v>
                </c:pt>
                <c:pt idx="17">
                  <c:v>44.210526315789465</c:v>
                </c:pt>
                <c:pt idx="18">
                  <c:v>42.10526315789474</c:v>
                </c:pt>
                <c:pt idx="19">
                  <c:v>40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28-46A2-BDE6-C80A5B9DB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2867680"/>
        <c:axId val="1586759168"/>
      </c:scatterChart>
      <c:scatterChart>
        <c:scatterStyle val="smoothMarker"/>
        <c:varyColors val="0"/>
        <c:ser>
          <c:idx val="2"/>
          <c:order val="1"/>
          <c:tx>
            <c:strRef>
              <c:f>exercise_MF1!$R$43</c:f>
              <c:strCache>
                <c:ptCount val="1"/>
                <c:pt idx="0">
                  <c:v>Hl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exercise_MF1!$N$44:$N$63</c:f>
              <c:numCache>
                <c:formatCode>0</c:formatCode>
                <c:ptCount val="20"/>
                <c:pt idx="0">
                  <c:v>0</c:v>
                </c:pt>
                <c:pt idx="1">
                  <c:v>78.94736842105263</c:v>
                </c:pt>
                <c:pt idx="2">
                  <c:v>157.89473684210526</c:v>
                </c:pt>
                <c:pt idx="3">
                  <c:v>236.84210526315789</c:v>
                </c:pt>
                <c:pt idx="4">
                  <c:v>315.78947368421052</c:v>
                </c:pt>
                <c:pt idx="5">
                  <c:v>394.73684210526312</c:v>
                </c:pt>
                <c:pt idx="6">
                  <c:v>473.68421052631578</c:v>
                </c:pt>
                <c:pt idx="7">
                  <c:v>552.63157894736844</c:v>
                </c:pt>
                <c:pt idx="8">
                  <c:v>631.57894736842104</c:v>
                </c:pt>
                <c:pt idx="9">
                  <c:v>710.52631578947364</c:v>
                </c:pt>
                <c:pt idx="10">
                  <c:v>789.47368421052624</c:v>
                </c:pt>
                <c:pt idx="11">
                  <c:v>868.42105263157896</c:v>
                </c:pt>
                <c:pt idx="12">
                  <c:v>947.36842105263156</c:v>
                </c:pt>
                <c:pt idx="13">
                  <c:v>1026.3157894736842</c:v>
                </c:pt>
                <c:pt idx="14">
                  <c:v>1105.2631578947369</c:v>
                </c:pt>
                <c:pt idx="15">
                  <c:v>1184.2105263157894</c:v>
                </c:pt>
                <c:pt idx="16">
                  <c:v>1263.1578947368421</c:v>
                </c:pt>
                <c:pt idx="17">
                  <c:v>1342.1052631578948</c:v>
                </c:pt>
                <c:pt idx="18">
                  <c:v>1421.0526315789473</c:v>
                </c:pt>
                <c:pt idx="19">
                  <c:v>1500</c:v>
                </c:pt>
              </c:numCache>
            </c:numRef>
          </c:xVal>
          <c:yVal>
            <c:numRef>
              <c:f>exercise_MF1!$R$44:$R$63</c:f>
              <c:numCache>
                <c:formatCode>0</c:formatCode>
                <c:ptCount val="2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928-46A2-BDE6-C80A5B9DB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756256"/>
        <c:axId val="1586755424"/>
      </c:scatterChart>
      <c:valAx>
        <c:axId val="1612867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59168"/>
        <c:crosses val="autoZero"/>
        <c:crossBetween val="midCat"/>
      </c:valAx>
      <c:valAx>
        <c:axId val="1586759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2867680"/>
        <c:crosses val="autoZero"/>
        <c:crossBetween val="midCat"/>
      </c:valAx>
      <c:valAx>
        <c:axId val="1586755424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56256"/>
        <c:crosses val="max"/>
        <c:crossBetween val="midCat"/>
      </c:valAx>
      <c:valAx>
        <c:axId val="1586756256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5867554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exercise_MF1!$C$40</c:f>
              <c:strCache>
                <c:ptCount val="1"/>
                <c:pt idx="0">
                  <c:v>Расчет против потока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exercise_MF1!$F$44:$F$63</c:f>
              <c:numCache>
                <c:formatCode>0</c:formatCode>
                <c:ptCount val="20"/>
                <c:pt idx="0">
                  <c:v>10</c:v>
                </c:pt>
                <c:pt idx="1">
                  <c:v>15.344933576062061</c:v>
                </c:pt>
                <c:pt idx="2">
                  <c:v>20.685474834044587</c:v>
                </c:pt>
                <c:pt idx="3">
                  <c:v>26.021583099528669</c:v>
                </c:pt>
                <c:pt idx="4">
                  <c:v>31.35321795910648</c:v>
                </c:pt>
                <c:pt idx="5">
                  <c:v>36.679922787854935</c:v>
                </c:pt>
                <c:pt idx="6">
                  <c:v>42.000796959482663</c:v>
                </c:pt>
                <c:pt idx="7">
                  <c:v>47.317034320418621</c:v>
                </c:pt>
                <c:pt idx="8">
                  <c:v>52.628596442286103</c:v>
                </c:pt>
                <c:pt idx="9">
                  <c:v>57.935445132302597</c:v>
                </c:pt>
                <c:pt idx="10">
                  <c:v>63.236665962187416</c:v>
                </c:pt>
                <c:pt idx="11">
                  <c:v>68.53218972313374</c:v>
                </c:pt>
                <c:pt idx="12">
                  <c:v>73.822845653395945</c:v>
                </c:pt>
                <c:pt idx="13">
                  <c:v>79.108597388642124</c:v>
                </c:pt>
                <c:pt idx="14">
                  <c:v>84.389408787661353</c:v>
                </c:pt>
                <c:pt idx="15">
                  <c:v>89.663867580544164</c:v>
                </c:pt>
                <c:pt idx="16">
                  <c:v>94.932820964626472</c:v>
                </c:pt>
                <c:pt idx="17">
                  <c:v>100.19668809369665</c:v>
                </c:pt>
                <c:pt idx="18">
                  <c:v>105.45543458028648</c:v>
                </c:pt>
                <c:pt idx="19">
                  <c:v>110.70902625369689</c:v>
                </c:pt>
              </c:numCache>
            </c:numRef>
          </c:xVal>
          <c:yVal>
            <c:numRef>
              <c:f>exercise_MF1!$D$44:$D$63</c:f>
              <c:numCache>
                <c:formatCode>0</c:formatCode>
                <c:ptCount val="20"/>
                <c:pt idx="0">
                  <c:v>0</c:v>
                </c:pt>
                <c:pt idx="1">
                  <c:v>78.94736842105263</c:v>
                </c:pt>
                <c:pt idx="2">
                  <c:v>157.89473684210526</c:v>
                </c:pt>
                <c:pt idx="3">
                  <c:v>236.84210526315789</c:v>
                </c:pt>
                <c:pt idx="4">
                  <c:v>315.78947368421052</c:v>
                </c:pt>
                <c:pt idx="5">
                  <c:v>394.73684210526312</c:v>
                </c:pt>
                <c:pt idx="6">
                  <c:v>473.68421052631578</c:v>
                </c:pt>
                <c:pt idx="7">
                  <c:v>552.63157894736844</c:v>
                </c:pt>
                <c:pt idx="8">
                  <c:v>631.57894736842104</c:v>
                </c:pt>
                <c:pt idx="9">
                  <c:v>710.52631578947364</c:v>
                </c:pt>
                <c:pt idx="10">
                  <c:v>789.47368421052624</c:v>
                </c:pt>
                <c:pt idx="11">
                  <c:v>868.42105263157896</c:v>
                </c:pt>
                <c:pt idx="12">
                  <c:v>947.36842105263156</c:v>
                </c:pt>
                <c:pt idx="13">
                  <c:v>1026.3157894736842</c:v>
                </c:pt>
                <c:pt idx="14">
                  <c:v>1105.2631578947369</c:v>
                </c:pt>
                <c:pt idx="15">
                  <c:v>1184.2105263157894</c:v>
                </c:pt>
                <c:pt idx="16">
                  <c:v>1263.1578947368421</c:v>
                </c:pt>
                <c:pt idx="17">
                  <c:v>1342.1052631578948</c:v>
                </c:pt>
                <c:pt idx="18">
                  <c:v>1421.0526315789473</c:v>
                </c:pt>
                <c:pt idx="19">
                  <c:v>1500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F7-4381-8CB1-17BC6AEB25F3}"/>
            </c:ext>
          </c:extLst>
        </c:ser>
        <c:ser>
          <c:idx val="1"/>
          <c:order val="1"/>
          <c:tx>
            <c:strRef>
              <c:f>exercise_MF1!$M$40</c:f>
              <c:strCache>
                <c:ptCount val="1"/>
                <c:pt idx="0">
                  <c:v>11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exercise_MF1!$P$44:$P$63</c:f>
              <c:numCache>
                <c:formatCode>0</c:formatCode>
                <c:ptCount val="20"/>
                <c:pt idx="0">
                  <c:v>100</c:v>
                </c:pt>
                <c:pt idx="1">
                  <c:v>105.26595049855749</c:v>
                </c:pt>
                <c:pt idx="2">
                  <c:v>110.53820415727137</c:v>
                </c:pt>
                <c:pt idx="3">
                  <c:v>115.81671982994817</c:v>
                </c:pt>
                <c:pt idx="4">
                  <c:v>121.10145615555552</c:v>
                </c:pt>
                <c:pt idx="5">
                  <c:v>126.39292672385982</c:v>
                </c:pt>
                <c:pt idx="6">
                  <c:v>131.69216962613982</c:v>
                </c:pt>
                <c:pt idx="7">
                  <c:v>136.99745846722817</c:v>
                </c:pt>
                <c:pt idx="8">
                  <c:v>142.30875021291067</c:v>
                </c:pt>
                <c:pt idx="9">
                  <c:v>147.62600162825188</c:v>
                </c:pt>
                <c:pt idx="10">
                  <c:v>152.95023009054879</c:v>
                </c:pt>
                <c:pt idx="11">
                  <c:v>158.28135385006229</c:v>
                </c:pt>
                <c:pt idx="12">
                  <c:v>163.6182549328187</c:v>
                </c:pt>
                <c:pt idx="13">
                  <c:v>168.96088858076877</c:v>
                </c:pt>
                <c:pt idx="14">
                  <c:v>174.30920985796851</c:v>
                </c:pt>
                <c:pt idx="15">
                  <c:v>179.66468760725496</c:v>
                </c:pt>
                <c:pt idx="16">
                  <c:v>185.02622119958912</c:v>
                </c:pt>
                <c:pt idx="17">
                  <c:v>190.39325339293578</c:v>
                </c:pt>
                <c:pt idx="18">
                  <c:v>195.76573798782945</c:v>
                </c:pt>
                <c:pt idx="19">
                  <c:v>201.14362864637445</c:v>
                </c:pt>
              </c:numCache>
            </c:numRef>
          </c:xVal>
          <c:yVal>
            <c:numRef>
              <c:f>exercise_MF1!$N$44:$N$63</c:f>
              <c:numCache>
                <c:formatCode>0</c:formatCode>
                <c:ptCount val="20"/>
                <c:pt idx="0">
                  <c:v>0</c:v>
                </c:pt>
                <c:pt idx="1">
                  <c:v>78.94736842105263</c:v>
                </c:pt>
                <c:pt idx="2">
                  <c:v>157.89473684210526</c:v>
                </c:pt>
                <c:pt idx="3">
                  <c:v>236.84210526315789</c:v>
                </c:pt>
                <c:pt idx="4">
                  <c:v>315.78947368421052</c:v>
                </c:pt>
                <c:pt idx="5">
                  <c:v>394.73684210526312</c:v>
                </c:pt>
                <c:pt idx="6">
                  <c:v>473.68421052631578</c:v>
                </c:pt>
                <c:pt idx="7">
                  <c:v>552.63157894736844</c:v>
                </c:pt>
                <c:pt idx="8">
                  <c:v>631.57894736842104</c:v>
                </c:pt>
                <c:pt idx="9">
                  <c:v>710.52631578947364</c:v>
                </c:pt>
                <c:pt idx="10">
                  <c:v>789.47368421052624</c:v>
                </c:pt>
                <c:pt idx="11">
                  <c:v>868.42105263157896</c:v>
                </c:pt>
                <c:pt idx="12">
                  <c:v>947.36842105263156</c:v>
                </c:pt>
                <c:pt idx="13">
                  <c:v>1026.3157894736842</c:v>
                </c:pt>
                <c:pt idx="14">
                  <c:v>1105.2631578947369</c:v>
                </c:pt>
                <c:pt idx="15">
                  <c:v>1184.2105263157894</c:v>
                </c:pt>
                <c:pt idx="16">
                  <c:v>1263.1578947368421</c:v>
                </c:pt>
                <c:pt idx="17">
                  <c:v>1342.1052631578948</c:v>
                </c:pt>
                <c:pt idx="18">
                  <c:v>1421.0526315789473</c:v>
                </c:pt>
                <c:pt idx="19">
                  <c:v>1500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9F7-4381-8CB1-17BC6AEB25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802048"/>
        <c:axId val="1586749600"/>
      </c:scatterChart>
      <c:valAx>
        <c:axId val="1619802048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49600"/>
        <c:crosses val="autoZero"/>
        <c:crossBetween val="midCat"/>
      </c:valAx>
      <c:valAx>
        <c:axId val="15867496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Расстояние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9802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exercise_MF1!$C$40</c:f>
              <c:strCache>
                <c:ptCount val="1"/>
                <c:pt idx="0">
                  <c:v>Расчет против потока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exercise_MF1!$G$44:$G$63</c:f>
              <c:numCache>
                <c:formatCode>0</c:formatCode>
                <c:ptCount val="20"/>
                <c:pt idx="0">
                  <c:v>40</c:v>
                </c:pt>
                <c:pt idx="1">
                  <c:v>42.105263157894733</c:v>
                </c:pt>
                <c:pt idx="2">
                  <c:v>44.210526315789473</c:v>
                </c:pt>
                <c:pt idx="3">
                  <c:v>46.315789473684212</c:v>
                </c:pt>
                <c:pt idx="4">
                  <c:v>48.421052631578945</c:v>
                </c:pt>
                <c:pt idx="5">
                  <c:v>50.526315789473685</c:v>
                </c:pt>
                <c:pt idx="6">
                  <c:v>52.631578947368425</c:v>
                </c:pt>
                <c:pt idx="7">
                  <c:v>54.736842105263158</c:v>
                </c:pt>
                <c:pt idx="8">
                  <c:v>56.842105263157897</c:v>
                </c:pt>
                <c:pt idx="9">
                  <c:v>58.947368421052637</c:v>
                </c:pt>
                <c:pt idx="10">
                  <c:v>61.05263157894737</c:v>
                </c:pt>
                <c:pt idx="11">
                  <c:v>63.15789473684211</c:v>
                </c:pt>
                <c:pt idx="12">
                  <c:v>65.26315789473685</c:v>
                </c:pt>
                <c:pt idx="13">
                  <c:v>67.368421052631589</c:v>
                </c:pt>
                <c:pt idx="14">
                  <c:v>69.473684210526329</c:v>
                </c:pt>
                <c:pt idx="15">
                  <c:v>71.578947368421055</c:v>
                </c:pt>
                <c:pt idx="16">
                  <c:v>73.684210526315795</c:v>
                </c:pt>
                <c:pt idx="17">
                  <c:v>75.789473684210535</c:v>
                </c:pt>
                <c:pt idx="18">
                  <c:v>77.894736842105274</c:v>
                </c:pt>
                <c:pt idx="19">
                  <c:v>80</c:v>
                </c:pt>
              </c:numCache>
            </c:numRef>
          </c:xVal>
          <c:yVal>
            <c:numRef>
              <c:f>exercise_MF1!$D$44:$D$63</c:f>
              <c:numCache>
                <c:formatCode>0</c:formatCode>
                <c:ptCount val="20"/>
                <c:pt idx="0">
                  <c:v>0</c:v>
                </c:pt>
                <c:pt idx="1">
                  <c:v>78.94736842105263</c:v>
                </c:pt>
                <c:pt idx="2">
                  <c:v>157.89473684210526</c:v>
                </c:pt>
                <c:pt idx="3">
                  <c:v>236.84210526315789</c:v>
                </c:pt>
                <c:pt idx="4">
                  <c:v>315.78947368421052</c:v>
                </c:pt>
                <c:pt idx="5">
                  <c:v>394.73684210526312</c:v>
                </c:pt>
                <c:pt idx="6">
                  <c:v>473.68421052631578</c:v>
                </c:pt>
                <c:pt idx="7">
                  <c:v>552.63157894736844</c:v>
                </c:pt>
                <c:pt idx="8">
                  <c:v>631.57894736842104</c:v>
                </c:pt>
                <c:pt idx="9">
                  <c:v>710.52631578947364</c:v>
                </c:pt>
                <c:pt idx="10">
                  <c:v>789.47368421052624</c:v>
                </c:pt>
                <c:pt idx="11">
                  <c:v>868.42105263157896</c:v>
                </c:pt>
                <c:pt idx="12">
                  <c:v>947.36842105263156</c:v>
                </c:pt>
                <c:pt idx="13">
                  <c:v>1026.3157894736842</c:v>
                </c:pt>
                <c:pt idx="14">
                  <c:v>1105.2631578947369</c:v>
                </c:pt>
                <c:pt idx="15">
                  <c:v>1184.2105263157894</c:v>
                </c:pt>
                <c:pt idx="16">
                  <c:v>1263.1578947368421</c:v>
                </c:pt>
                <c:pt idx="17">
                  <c:v>1342.1052631578948</c:v>
                </c:pt>
                <c:pt idx="18">
                  <c:v>1421.0526315789473</c:v>
                </c:pt>
                <c:pt idx="19">
                  <c:v>1500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59-4524-99D1-6616B14B1B0D}"/>
            </c:ext>
          </c:extLst>
        </c:ser>
        <c:ser>
          <c:idx val="1"/>
          <c:order val="1"/>
          <c:tx>
            <c:strRef>
              <c:f>exercise_MF1!$M$40</c:f>
              <c:strCache>
                <c:ptCount val="1"/>
                <c:pt idx="0">
                  <c:v>11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exercise_MF1!$Q$44:$Q$63</c:f>
              <c:numCache>
                <c:formatCode>0</c:formatCode>
                <c:ptCount val="20"/>
                <c:pt idx="0">
                  <c:v>80</c:v>
                </c:pt>
                <c:pt idx="1">
                  <c:v>77.89473684210526</c:v>
                </c:pt>
                <c:pt idx="2">
                  <c:v>75.78947368421052</c:v>
                </c:pt>
                <c:pt idx="3">
                  <c:v>73.684210526315795</c:v>
                </c:pt>
                <c:pt idx="4">
                  <c:v>71.578947368421055</c:v>
                </c:pt>
                <c:pt idx="5">
                  <c:v>69.473684210526315</c:v>
                </c:pt>
                <c:pt idx="6">
                  <c:v>67.368421052631575</c:v>
                </c:pt>
                <c:pt idx="7">
                  <c:v>65.26315789473685</c:v>
                </c:pt>
                <c:pt idx="8">
                  <c:v>63.157894736842103</c:v>
                </c:pt>
                <c:pt idx="9">
                  <c:v>61.052631578947363</c:v>
                </c:pt>
                <c:pt idx="10">
                  <c:v>58.94736842105263</c:v>
                </c:pt>
                <c:pt idx="11">
                  <c:v>56.84210526315789</c:v>
                </c:pt>
                <c:pt idx="12">
                  <c:v>54.736842105263158</c:v>
                </c:pt>
                <c:pt idx="13">
                  <c:v>52.631578947368418</c:v>
                </c:pt>
                <c:pt idx="14">
                  <c:v>50.526315789473678</c:v>
                </c:pt>
                <c:pt idx="15">
                  <c:v>48.421052631578952</c:v>
                </c:pt>
                <c:pt idx="16">
                  <c:v>46.315789473684205</c:v>
                </c:pt>
                <c:pt idx="17">
                  <c:v>44.210526315789465</c:v>
                </c:pt>
                <c:pt idx="18">
                  <c:v>42.10526315789474</c:v>
                </c:pt>
                <c:pt idx="19">
                  <c:v>40</c:v>
                </c:pt>
              </c:numCache>
            </c:numRef>
          </c:xVal>
          <c:yVal>
            <c:numRef>
              <c:f>exercise_MF1!$N$44:$N$63</c:f>
              <c:numCache>
                <c:formatCode>0</c:formatCode>
                <c:ptCount val="20"/>
                <c:pt idx="0">
                  <c:v>0</c:v>
                </c:pt>
                <c:pt idx="1">
                  <c:v>78.94736842105263</c:v>
                </c:pt>
                <c:pt idx="2">
                  <c:v>157.89473684210526</c:v>
                </c:pt>
                <c:pt idx="3">
                  <c:v>236.84210526315789</c:v>
                </c:pt>
                <c:pt idx="4">
                  <c:v>315.78947368421052</c:v>
                </c:pt>
                <c:pt idx="5">
                  <c:v>394.73684210526312</c:v>
                </c:pt>
                <c:pt idx="6">
                  <c:v>473.68421052631578</c:v>
                </c:pt>
                <c:pt idx="7">
                  <c:v>552.63157894736844</c:v>
                </c:pt>
                <c:pt idx="8">
                  <c:v>631.57894736842104</c:v>
                </c:pt>
                <c:pt idx="9">
                  <c:v>710.52631578947364</c:v>
                </c:pt>
                <c:pt idx="10">
                  <c:v>789.47368421052624</c:v>
                </c:pt>
                <c:pt idx="11">
                  <c:v>868.42105263157896</c:v>
                </c:pt>
                <c:pt idx="12">
                  <c:v>947.36842105263156</c:v>
                </c:pt>
                <c:pt idx="13">
                  <c:v>1026.3157894736842</c:v>
                </c:pt>
                <c:pt idx="14">
                  <c:v>1105.2631578947369</c:v>
                </c:pt>
                <c:pt idx="15">
                  <c:v>1184.2105263157894</c:v>
                </c:pt>
                <c:pt idx="16">
                  <c:v>1263.1578947368421</c:v>
                </c:pt>
                <c:pt idx="17">
                  <c:v>1342.1052631578948</c:v>
                </c:pt>
                <c:pt idx="18">
                  <c:v>1421.0526315789473</c:v>
                </c:pt>
                <c:pt idx="19">
                  <c:v>1500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59-4524-99D1-6616B14B1B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802048"/>
        <c:axId val="1586749600"/>
      </c:scatterChart>
      <c:valAx>
        <c:axId val="1619802048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49600"/>
        <c:crosses val="autoZero"/>
        <c:crossBetween val="midCat"/>
      </c:valAx>
      <c:valAx>
        <c:axId val="15867496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Расстояние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9802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295883</xdr:colOff>
      <xdr:row>10</xdr:row>
      <xdr:rowOff>60798</xdr:rowOff>
    </xdr:from>
    <xdr:to>
      <xdr:col>29</xdr:col>
      <xdr:colOff>571500</xdr:colOff>
      <xdr:row>31</xdr:row>
      <xdr:rowOff>162127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DE8B2CD5-67CB-44FC-8949-2E9F1EE9E045}"/>
            </a:ext>
          </a:extLst>
        </xdr:cNvPr>
        <xdr:cNvSpPr/>
      </xdr:nvSpPr>
      <xdr:spPr>
        <a:xfrm>
          <a:off x="14631008" y="1784823"/>
          <a:ext cx="2771167" cy="4539979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487005</xdr:colOff>
      <xdr:row>0</xdr:row>
      <xdr:rowOff>19050</xdr:rowOff>
    </xdr:from>
    <xdr:to>
      <xdr:col>13</xdr:col>
      <xdr:colOff>504825</xdr:colOff>
      <xdr:row>14</xdr:row>
      <xdr:rowOff>228601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E15622B4-8781-4BA5-9916-2D4CBCE52E71}"/>
            </a:ext>
          </a:extLst>
        </xdr:cNvPr>
        <xdr:cNvSpPr txBox="1"/>
      </xdr:nvSpPr>
      <xdr:spPr>
        <a:xfrm>
          <a:off x="4401780" y="19050"/>
          <a:ext cx="4637445" cy="2886076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Упражнение показывает расчет потока через трубу. Расчет может проводится в нескольких вариантах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относительно потока.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задания.</a:t>
          </a:r>
          <a:endParaRPr lang="ru-RU">
            <a:effectLst/>
          </a:endParaRPr>
        </a:p>
        <a:p>
          <a:pPr marL="0" indent="0">
            <a:buFont typeface="Arial" panose="020B0604020202020204" pitchFamily="34" charset="0"/>
            <a:buNone/>
          </a:pP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распределение давления в трубе снизу вверх и сверху вниз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Попробуйте подобрать параметры расчета так, чтобы кривые расчета в разных направлениях совпали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Рассчитайте параметры для согласования расчетов с использованием функции калибровки расчета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ru-RU" sz="1100"/>
            <a:t>Используйте</a:t>
          </a:r>
          <a:r>
            <a:rPr lang="ru-RU" sz="1100" baseline="0"/>
            <a:t> функции</a:t>
          </a:r>
        </a:p>
        <a:p>
          <a:endParaRPr lang="en-US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MF_p_pipe_atma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MF_calibr_pipe</a:t>
          </a:r>
        </a:p>
        <a:p>
          <a:endParaRPr lang="ru-RU" sz="1100" baseline="0"/>
        </a:p>
        <a:p>
          <a:endParaRPr lang="ru-RU" sz="1100" baseline="0"/>
        </a:p>
        <a:p>
          <a:endParaRPr lang="ru-RU" sz="1100" baseline="0"/>
        </a:p>
      </xdr:txBody>
    </xdr:sp>
    <xdr:clientData/>
  </xdr:twoCellAnchor>
  <xdr:twoCellAnchor>
    <xdr:from>
      <xdr:col>26</xdr:col>
      <xdr:colOff>178055</xdr:colOff>
      <xdr:row>12</xdr:row>
      <xdr:rowOff>167360</xdr:rowOff>
    </xdr:from>
    <xdr:to>
      <xdr:col>27</xdr:col>
      <xdr:colOff>92169</xdr:colOff>
      <xdr:row>28</xdr:row>
      <xdr:rowOff>67005</xdr:rowOff>
    </xdr:to>
    <xdr:grpSp>
      <xdr:nvGrpSpPr>
        <xdr:cNvPr id="4" name="Группа 3">
          <a:extLst>
            <a:ext uri="{FF2B5EF4-FFF2-40B4-BE49-F238E27FC236}">
              <a16:creationId xmlns:a16="http://schemas.microsoft.com/office/drawing/2014/main" id="{74CFE080-1234-4759-B8D9-71363EBB041D}"/>
            </a:ext>
          </a:extLst>
        </xdr:cNvPr>
        <xdr:cNvGrpSpPr/>
      </xdr:nvGrpSpPr>
      <xdr:grpSpPr>
        <a:xfrm rot="384771">
          <a:off x="15570455" y="2367635"/>
          <a:ext cx="304639" cy="3366745"/>
          <a:chOff x="5095875" y="1104900"/>
          <a:chExt cx="276225" cy="2038350"/>
        </a:xfrm>
      </xdr:grpSpPr>
      <xdr:sp macro="" textlink="">
        <xdr:nvSpPr>
          <xdr:cNvPr id="5" name="Цилиндр 4">
            <a:extLst>
              <a:ext uri="{FF2B5EF4-FFF2-40B4-BE49-F238E27FC236}">
                <a16:creationId xmlns:a16="http://schemas.microsoft.com/office/drawing/2014/main" id="{98623897-73A9-4415-995A-6BE323287558}"/>
              </a:ext>
            </a:extLst>
          </xdr:cNvPr>
          <xdr:cNvSpPr/>
        </xdr:nvSpPr>
        <xdr:spPr>
          <a:xfrm>
            <a:off x="5095875" y="1104900"/>
            <a:ext cx="276225" cy="2038350"/>
          </a:xfrm>
          <a:prstGeom prst="can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6" name="Стрелка: вверх 5">
            <a:extLst>
              <a:ext uri="{FF2B5EF4-FFF2-40B4-BE49-F238E27FC236}">
                <a16:creationId xmlns:a16="http://schemas.microsoft.com/office/drawing/2014/main" id="{D3CA6C49-0F51-4ADE-A28C-12A987A28FAD}"/>
              </a:ext>
            </a:extLst>
          </xdr:cNvPr>
          <xdr:cNvSpPr/>
        </xdr:nvSpPr>
        <xdr:spPr>
          <a:xfrm>
            <a:off x="5172075" y="1819275"/>
            <a:ext cx="123825" cy="657225"/>
          </a:xfrm>
          <a:prstGeom prst="upArrow">
            <a:avLst/>
          </a:prstGeom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26</xdr:col>
      <xdr:colOff>385263</xdr:colOff>
      <xdr:row>26</xdr:row>
      <xdr:rowOff>131990</xdr:rowOff>
    </xdr:from>
    <xdr:to>
      <xdr:col>27</xdr:col>
      <xdr:colOff>340389</xdr:colOff>
      <xdr:row>28</xdr:row>
      <xdr:rowOff>100694</xdr:rowOff>
    </xdr:to>
    <xdr:sp macro="" textlink="">
      <xdr:nvSpPr>
        <xdr:cNvPr id="7" name="Дуга 6">
          <a:extLst>
            <a:ext uri="{FF2B5EF4-FFF2-40B4-BE49-F238E27FC236}">
              <a16:creationId xmlns:a16="http://schemas.microsoft.com/office/drawing/2014/main" id="{1341904F-5AC1-4175-B307-453EA9394497}"/>
            </a:ext>
          </a:extLst>
        </xdr:cNvPr>
        <xdr:cNvSpPr/>
      </xdr:nvSpPr>
      <xdr:spPr>
        <a:xfrm>
          <a:off x="15777663" y="5294540"/>
          <a:ext cx="345651" cy="359229"/>
        </a:xfrm>
        <a:prstGeom prst="arc">
          <a:avLst>
            <a:gd name="adj1" fmla="val 16589623"/>
            <a:gd name="adj2" fmla="val 0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27</xdr:col>
      <xdr:colOff>247245</xdr:colOff>
      <xdr:row>26</xdr:row>
      <xdr:rowOff>3850</xdr:rowOff>
    </xdr:from>
    <xdr:to>
      <xdr:col>28</xdr:col>
      <xdr:colOff>464146</xdr:colOff>
      <xdr:row>27</xdr:row>
      <xdr:rowOff>52474</xdr:rowOff>
    </xdr:to>
    <xdr:sp macro="" textlink="$AG$12">
      <xdr:nvSpPr>
        <xdr:cNvPr id="8" name="TextBox 7">
          <a:extLst>
            <a:ext uri="{FF2B5EF4-FFF2-40B4-BE49-F238E27FC236}">
              <a16:creationId xmlns:a16="http://schemas.microsoft.com/office/drawing/2014/main" id="{2E385384-BF42-4269-B60E-93AA9667E5E8}"/>
            </a:ext>
          </a:extLst>
        </xdr:cNvPr>
        <xdr:cNvSpPr txBox="1"/>
      </xdr:nvSpPr>
      <xdr:spPr>
        <a:xfrm>
          <a:off x="16030170" y="5166400"/>
          <a:ext cx="655051" cy="2486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A457EA44-9E79-4B57-AB26-E7E8EA34EC38}" type="TxLink">
            <a:rPr lang="en-US" sz="1000" b="0" i="0" u="none" strike="noStrike">
              <a:solidFill>
                <a:srgbClr val="000000"/>
              </a:solidFill>
              <a:latin typeface="Cambria Math" panose="02040503050406030204" pitchFamily="18" charset="0"/>
              <a:cs typeface="Arial Cyr"/>
            </a:rPr>
            <a:pPr/>
            <a:t>𝜃 = -45°</a:t>
          </a:fld>
          <a:endParaRPr lang="ru-RU" sz="1100"/>
        </a:p>
      </xdr:txBody>
    </xdr:sp>
    <xdr:clientData/>
  </xdr:twoCellAnchor>
  <xdr:oneCellAnchor>
    <xdr:from>
      <xdr:col>27</xdr:col>
      <xdr:colOff>211748</xdr:colOff>
      <xdr:row>18</xdr:row>
      <xdr:rowOff>21248</xdr:rowOff>
    </xdr:from>
    <xdr:ext cx="1157625" cy="248851"/>
    <xdr:sp macro="" textlink="$AG$14">
      <xdr:nvSpPr>
        <xdr:cNvPr id="9" name="TextBox 8">
          <a:extLst>
            <a:ext uri="{FF2B5EF4-FFF2-40B4-BE49-F238E27FC236}">
              <a16:creationId xmlns:a16="http://schemas.microsoft.com/office/drawing/2014/main" id="{D0DDBA90-FD41-4A14-9C72-A2DD86F2D269}"/>
            </a:ext>
          </a:extLst>
        </xdr:cNvPr>
        <xdr:cNvSpPr txBox="1"/>
      </xdr:nvSpPr>
      <xdr:spPr>
        <a:xfrm>
          <a:off x="15994673" y="3631223"/>
          <a:ext cx="1157625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7D0780F6-A4D5-4B6A-B878-A96EB5687134}" type="TxLink">
            <a:rPr lang="en-US" sz="1000" b="0" i="0" u="none" strike="noStrike">
              <a:solidFill>
                <a:srgbClr val="000000"/>
              </a:solidFill>
              <a:latin typeface="Arial Cyr"/>
              <a:cs typeface="Arial Cyr"/>
            </a:rPr>
            <a:pPr/>
            <a:t>Qliq = 50 m3/day</a:t>
          </a:fld>
          <a:endParaRPr lang="ru-RU" sz="1100"/>
        </a:p>
      </xdr:txBody>
    </xdr:sp>
    <xdr:clientData/>
  </xdr:oneCellAnchor>
  <xdr:oneCellAnchor>
    <xdr:from>
      <xdr:col>18</xdr:col>
      <xdr:colOff>352425</xdr:colOff>
      <xdr:row>11</xdr:row>
      <xdr:rowOff>219075</xdr:rowOff>
    </xdr:from>
    <xdr:ext cx="184731" cy="264560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B9E6B724-5F25-4C51-94BC-82ED07112FC1}"/>
            </a:ext>
          </a:extLst>
        </xdr:cNvPr>
        <xdr:cNvSpPr txBox="1"/>
      </xdr:nvSpPr>
      <xdr:spPr>
        <a:xfrm>
          <a:off x="12030075" y="21812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17</xdr:col>
      <xdr:colOff>57150</xdr:colOff>
      <xdr:row>15</xdr:row>
      <xdr:rowOff>133350</xdr:rowOff>
    </xdr:from>
    <xdr:ext cx="184731" cy="264560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530CE91A-8396-4C15-BB02-65A998EADEC0}"/>
            </a:ext>
          </a:extLst>
        </xdr:cNvPr>
        <xdr:cNvSpPr txBox="1"/>
      </xdr:nvSpPr>
      <xdr:spPr>
        <a:xfrm>
          <a:off x="11125200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twoCellAnchor>
    <xdr:from>
      <xdr:col>25</xdr:col>
      <xdr:colOff>416060</xdr:colOff>
      <xdr:row>12</xdr:row>
      <xdr:rowOff>160506</xdr:rowOff>
    </xdr:from>
    <xdr:to>
      <xdr:col>26</xdr:col>
      <xdr:colOff>120785</xdr:colOff>
      <xdr:row>28</xdr:row>
      <xdr:rowOff>8106</xdr:rowOff>
    </xdr:to>
    <xdr:cxnSp macro="">
      <xdr:nvCxnSpPr>
        <xdr:cNvPr id="12" name="Прямая со стрелкой 11">
          <a:extLst>
            <a:ext uri="{FF2B5EF4-FFF2-40B4-BE49-F238E27FC236}">
              <a16:creationId xmlns:a16="http://schemas.microsoft.com/office/drawing/2014/main" id="{1F451CBB-4CAA-4866-8967-938029ED0560}"/>
            </a:ext>
          </a:extLst>
        </xdr:cNvPr>
        <xdr:cNvCxnSpPr/>
      </xdr:nvCxnSpPr>
      <xdr:spPr>
        <a:xfrm flipH="1">
          <a:off x="15198860" y="2360781"/>
          <a:ext cx="314325" cy="320040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25</xdr:col>
      <xdr:colOff>309539</xdr:colOff>
      <xdr:row>16</xdr:row>
      <xdr:rowOff>145026</xdr:rowOff>
    </xdr:from>
    <xdr:ext cx="248851" cy="811184"/>
    <xdr:sp macro="" textlink="$AG$13">
      <xdr:nvSpPr>
        <xdr:cNvPr id="13" name="TextBox 12">
          <a:extLst>
            <a:ext uri="{FF2B5EF4-FFF2-40B4-BE49-F238E27FC236}">
              <a16:creationId xmlns:a16="http://schemas.microsoft.com/office/drawing/2014/main" id="{24E002DE-C7E2-455D-B1DD-E3AA1893F17E}"/>
            </a:ext>
          </a:extLst>
        </xdr:cNvPr>
        <xdr:cNvSpPr txBox="1"/>
      </xdr:nvSpPr>
      <xdr:spPr>
        <a:xfrm rot="16665650">
          <a:off x="14811173" y="3569442"/>
          <a:ext cx="811184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25BFE74C-02AA-4C19-8E99-D23EEC4E2F5B}" type="TxLink">
            <a:rPr lang="en-US" sz="1000" b="0" i="0" u="none" strike="noStrike">
              <a:solidFill>
                <a:srgbClr val="000000"/>
              </a:solidFill>
              <a:latin typeface="Arial Cyr"/>
              <a:cs typeface="Arial Cyr"/>
            </a:rPr>
            <a:pPr/>
            <a:t>L = 1500 м</a:t>
          </a:fld>
          <a:endParaRPr lang="ru-RU" sz="1100"/>
        </a:p>
      </xdr:txBody>
    </xdr:sp>
    <xdr:clientData/>
  </xdr:oneCellAnchor>
  <xdr:twoCellAnchor>
    <xdr:from>
      <xdr:col>27</xdr:col>
      <xdr:colOff>163141</xdr:colOff>
      <xdr:row>27</xdr:row>
      <xdr:rowOff>85725</xdr:rowOff>
    </xdr:from>
    <xdr:to>
      <xdr:col>29</xdr:col>
      <xdr:colOff>115516</xdr:colOff>
      <xdr:row>27</xdr:row>
      <xdr:rowOff>95250</xdr:rowOff>
    </xdr:to>
    <xdr:cxnSp macro="">
      <xdr:nvCxnSpPr>
        <xdr:cNvPr id="14" name="Прямая со стрелкой 13">
          <a:extLst>
            <a:ext uri="{FF2B5EF4-FFF2-40B4-BE49-F238E27FC236}">
              <a16:creationId xmlns:a16="http://schemas.microsoft.com/office/drawing/2014/main" id="{EA13F76C-CA1D-457E-BFAB-A87CBAD2C197}"/>
            </a:ext>
          </a:extLst>
        </xdr:cNvPr>
        <xdr:cNvCxnSpPr/>
      </xdr:nvCxnSpPr>
      <xdr:spPr>
        <a:xfrm flipV="1">
          <a:off x="15946066" y="5448300"/>
          <a:ext cx="1000125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161925</xdr:colOff>
      <xdr:row>23</xdr:row>
      <xdr:rowOff>76200</xdr:rowOff>
    </xdr:from>
    <xdr:to>
      <xdr:col>27</xdr:col>
      <xdr:colOff>285750</xdr:colOff>
      <xdr:row>27</xdr:row>
      <xdr:rowOff>95250</xdr:rowOff>
    </xdr:to>
    <xdr:cxnSp macro="">
      <xdr:nvCxnSpPr>
        <xdr:cNvPr id="15" name="Прямая со стрелкой 14">
          <a:extLst>
            <a:ext uri="{FF2B5EF4-FFF2-40B4-BE49-F238E27FC236}">
              <a16:creationId xmlns:a16="http://schemas.microsoft.com/office/drawing/2014/main" id="{60666D43-883C-4720-8DFE-0C9DCA25331B}"/>
            </a:ext>
          </a:extLst>
        </xdr:cNvPr>
        <xdr:cNvCxnSpPr/>
      </xdr:nvCxnSpPr>
      <xdr:spPr>
        <a:xfrm flipV="1">
          <a:off x="15944850" y="4648200"/>
          <a:ext cx="123825" cy="8096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26</xdr:col>
      <xdr:colOff>73939</xdr:colOff>
      <xdr:row>10</xdr:row>
      <xdr:rowOff>202659</xdr:rowOff>
    </xdr:from>
    <xdr:ext cx="1008096" cy="551329"/>
    <xdr:sp macro="" textlink="$AG$15">
      <xdr:nvSpPr>
        <xdr:cNvPr id="16" name="TextBox 15">
          <a:extLst>
            <a:ext uri="{FF2B5EF4-FFF2-40B4-BE49-F238E27FC236}">
              <a16:creationId xmlns:a16="http://schemas.microsoft.com/office/drawing/2014/main" id="{72536645-6210-4957-9DF8-9CF967FF85E7}"/>
            </a:ext>
          </a:extLst>
        </xdr:cNvPr>
        <xdr:cNvSpPr txBox="1"/>
      </xdr:nvSpPr>
      <xdr:spPr>
        <a:xfrm>
          <a:off x="15466339" y="1926684"/>
          <a:ext cx="1008096" cy="55132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l"/>
          <a:fld id="{663E1153-94D4-4648-9D61-99AAA94FE429}" type="TxLink">
            <a:rPr lang="en-US" sz="1000" b="0" i="0" u="none" strike="noStrike">
              <a:solidFill>
                <a:srgbClr val="000000"/>
              </a:solidFill>
              <a:latin typeface="Arial Cyr"/>
              <a:cs typeface="Arial Cyr"/>
            </a:rPr>
            <a:pPr algn="l"/>
            <a:t>p0 = 10 atm,
 t1= 40°C</a:t>
          </a:fld>
          <a:endParaRPr lang="ru-RU" sz="1100"/>
        </a:p>
      </xdr:txBody>
    </xdr:sp>
    <xdr:clientData/>
  </xdr:oneCellAnchor>
  <xdr:oneCellAnchor>
    <xdr:from>
      <xdr:col>25</xdr:col>
      <xdr:colOff>341450</xdr:colOff>
      <xdr:row>28</xdr:row>
      <xdr:rowOff>114470</xdr:rowOff>
    </xdr:from>
    <xdr:ext cx="972446" cy="412445"/>
    <xdr:sp macro="" textlink="$AG$16">
      <xdr:nvSpPr>
        <xdr:cNvPr id="17" name="TextBox 16">
          <a:extLst>
            <a:ext uri="{FF2B5EF4-FFF2-40B4-BE49-F238E27FC236}">
              <a16:creationId xmlns:a16="http://schemas.microsoft.com/office/drawing/2014/main" id="{ACC2C932-55CF-4CD9-B256-0A6B1C218B8A}"/>
            </a:ext>
          </a:extLst>
        </xdr:cNvPr>
        <xdr:cNvSpPr txBox="1"/>
      </xdr:nvSpPr>
      <xdr:spPr>
        <a:xfrm>
          <a:off x="15124250" y="5667545"/>
          <a:ext cx="972446" cy="41244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2B2AA7E9-6CE9-453C-B2FE-1A9170055B6F}" type="TxLink">
            <a:rPr lang="en-US" sz="1000" b="0" i="0" u="none" strike="noStrike">
              <a:solidFill>
                <a:srgbClr val="000000"/>
              </a:solidFill>
              <a:latin typeface="Arial Cyr"/>
              <a:cs typeface="Arial Cyr"/>
            </a:rPr>
            <a:pPr/>
            <a:t>p1 = 100 atm,
 t1 = 80°C</a:t>
          </a:fld>
          <a:endParaRPr lang="ru-RU" sz="1100"/>
        </a:p>
      </xdr:txBody>
    </xdr:sp>
    <xdr:clientData/>
  </xdr:oneCellAnchor>
  <xdr:twoCellAnchor>
    <xdr:from>
      <xdr:col>13</xdr:col>
      <xdr:colOff>533400</xdr:colOff>
      <xdr:row>0</xdr:row>
      <xdr:rowOff>19050</xdr:rowOff>
    </xdr:from>
    <xdr:to>
      <xdr:col>22</xdr:col>
      <xdr:colOff>38100</xdr:colOff>
      <xdr:row>15</xdr:row>
      <xdr:rowOff>2072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551859EC-8B89-4F74-8F94-698E654C1391}"/>
            </a:ext>
          </a:extLst>
        </xdr:cNvPr>
        <xdr:cNvSpPr txBox="1"/>
      </xdr:nvSpPr>
      <xdr:spPr>
        <a:xfrm>
          <a:off x="9067800" y="19050"/>
          <a:ext cx="5086350" cy="2897672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Какие параметры влияют на перепад давления в трубе?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Может ли в трубопроводе давление ниже по потоку (на выходе) быть больше чем выше по потоку (на входе)?</a:t>
          </a:r>
          <a:endParaRPr lang="ru-RU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Насколько сильно влияет на расчет выбор гидравлической корреляции?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Насколько сильно влияет на расчет температура?</a:t>
          </a: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r>
            <a:rPr lang="ru-RU" sz="1100" baseline="0"/>
            <a:t>1. Проведите расчет для горизонтальной трубы.</a:t>
          </a:r>
        </a:p>
        <a:p>
          <a:r>
            <a:rPr lang="ru-RU" sz="1100" baseline="0"/>
            <a:t>2. Оцените насколько сильно будет влиять на расчет выбор </a:t>
          </a:r>
          <a:r>
            <a:rPr lang="en-US" sz="1100" baseline="0"/>
            <a:t>PVT </a:t>
          </a:r>
          <a:r>
            <a:rPr lang="ru-RU" sz="1100" baseline="0"/>
            <a:t>корреляции</a:t>
          </a:r>
        </a:p>
        <a:p>
          <a:r>
            <a:rPr lang="ru-RU" sz="1100" baseline="0"/>
            <a:t>3. Проделайте расчеты для потока газа в трубе. Влияет ли трение на поток газа?</a:t>
          </a:r>
        </a:p>
        <a:p>
          <a:r>
            <a:rPr lang="ru-RU" sz="1100" baseline="0"/>
            <a:t>4. Проделвйте расчет для нагнетальной скважины. В чем разница для расчета добывающей скважины и нагнетательной?</a:t>
          </a:r>
        </a:p>
        <a:p>
          <a:r>
            <a:rPr lang="ru-RU" sz="1100" baseline="0"/>
            <a:t>5. Нарисуйте график перепада давления от трения в трубе. В какой части трубы потери на трение выше?</a:t>
          </a:r>
        </a:p>
      </xdr:txBody>
    </xdr:sp>
    <xdr:clientData/>
  </xdr:twoCellAnchor>
  <xdr:twoCellAnchor>
    <xdr:from>
      <xdr:col>1</xdr:col>
      <xdr:colOff>760757</xdr:colOff>
      <xdr:row>70</xdr:row>
      <xdr:rowOff>11178</xdr:rowOff>
    </xdr:from>
    <xdr:to>
      <xdr:col>5</xdr:col>
      <xdr:colOff>86139</xdr:colOff>
      <xdr:row>95</xdr:row>
      <xdr:rowOff>7868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EAB95DB8-F16B-4473-B4A1-E9BD2BC6E1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141219</xdr:colOff>
      <xdr:row>70</xdr:row>
      <xdr:rowOff>2898</xdr:rowOff>
    </xdr:from>
    <xdr:to>
      <xdr:col>9</xdr:col>
      <xdr:colOff>616641</xdr:colOff>
      <xdr:row>95</xdr:row>
      <xdr:rowOff>32716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id="{10EA7C0B-4986-40BC-9627-65E872228D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666751</xdr:colOff>
      <xdr:row>69</xdr:row>
      <xdr:rowOff>135421</xdr:rowOff>
    </xdr:from>
    <xdr:to>
      <xdr:col>15</xdr:col>
      <xdr:colOff>228601</xdr:colOff>
      <xdr:row>94</xdr:row>
      <xdr:rowOff>132111</xdr:rowOff>
    </xdr:to>
    <xdr:graphicFrame macro="">
      <xdr:nvGraphicFramePr>
        <xdr:cNvPr id="21" name="Диаграмма 20">
          <a:extLst>
            <a:ext uri="{FF2B5EF4-FFF2-40B4-BE49-F238E27FC236}">
              <a16:creationId xmlns:a16="http://schemas.microsoft.com/office/drawing/2014/main" id="{12D5E3B4-F003-4AAF-9FEB-2A555F2C2A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287407</xdr:colOff>
      <xdr:row>69</xdr:row>
      <xdr:rowOff>144945</xdr:rowOff>
    </xdr:from>
    <xdr:to>
      <xdr:col>20</xdr:col>
      <xdr:colOff>57151</xdr:colOff>
      <xdr:row>95</xdr:row>
      <xdr:rowOff>12838</xdr:rowOff>
    </xdr:to>
    <xdr:graphicFrame macro="">
      <xdr:nvGraphicFramePr>
        <xdr:cNvPr id="22" name="Диаграмма 21">
          <a:extLst>
            <a:ext uri="{FF2B5EF4-FFF2-40B4-BE49-F238E27FC236}">
              <a16:creationId xmlns:a16="http://schemas.microsoft.com/office/drawing/2014/main" id="{5502A5FF-4A6B-4723-BE96-AADAC07CF2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485775</xdr:colOff>
      <xdr:row>38</xdr:row>
      <xdr:rowOff>14680</xdr:rowOff>
    </xdr:from>
    <xdr:to>
      <xdr:col>31</xdr:col>
      <xdr:colOff>228600</xdr:colOff>
      <xdr:row>69</xdr:row>
      <xdr:rowOff>132484</xdr:rowOff>
    </xdr:to>
    <xdr:graphicFrame macro="">
      <xdr:nvGraphicFramePr>
        <xdr:cNvPr id="23" name="Диаграмма 22">
          <a:extLst>
            <a:ext uri="{FF2B5EF4-FFF2-40B4-BE49-F238E27FC236}">
              <a16:creationId xmlns:a16="http://schemas.microsoft.com/office/drawing/2014/main" id="{740208EE-7156-429E-8FA3-05E9B6161F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381000</xdr:colOff>
      <xdr:row>63</xdr:row>
      <xdr:rowOff>47625</xdr:rowOff>
    </xdr:from>
    <xdr:to>
      <xdr:col>7</xdr:col>
      <xdr:colOff>610532</xdr:colOff>
      <xdr:row>70</xdr:row>
      <xdr:rowOff>76200</xdr:rowOff>
    </xdr:to>
    <xdr:sp macro="" textlink="">
      <xdr:nvSpPr>
        <xdr:cNvPr id="24" name="Выноска: стрелка вверх 23">
          <a:extLst>
            <a:ext uri="{FF2B5EF4-FFF2-40B4-BE49-F238E27FC236}">
              <a16:creationId xmlns:a16="http://schemas.microsoft.com/office/drawing/2014/main" id="{BFEF310B-9E25-4F80-85F2-D777611A22A5}"/>
            </a:ext>
          </a:extLst>
        </xdr:cNvPr>
        <xdr:cNvSpPr/>
      </xdr:nvSpPr>
      <xdr:spPr>
        <a:xfrm>
          <a:off x="2409825" y="11553825"/>
          <a:ext cx="2744132" cy="1162050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1. Рассчитайте</a:t>
          </a:r>
          <a:r>
            <a:rPr lang="ru-RU" sz="1100" baseline="0"/>
            <a:t> распределение давления в трубе сверху вниз (от Р0 до Р1). Убедитесь что отображение кривых по результатам расчета активно (активно по умолчанию).</a:t>
          </a:r>
          <a:endParaRPr lang="ru-RU" sz="1100"/>
        </a:p>
      </xdr:txBody>
    </xdr:sp>
    <xdr:clientData/>
  </xdr:twoCellAnchor>
  <xdr:twoCellAnchor>
    <xdr:from>
      <xdr:col>13</xdr:col>
      <xdr:colOff>361950</xdr:colOff>
      <xdr:row>62</xdr:row>
      <xdr:rowOff>133350</xdr:rowOff>
    </xdr:from>
    <xdr:to>
      <xdr:col>18</xdr:col>
      <xdr:colOff>58082</xdr:colOff>
      <xdr:row>70</xdr:row>
      <xdr:rowOff>0</xdr:rowOff>
    </xdr:to>
    <xdr:sp macro="" textlink="">
      <xdr:nvSpPr>
        <xdr:cNvPr id="25" name="Выноска: стрелка вверх 24">
          <a:extLst>
            <a:ext uri="{FF2B5EF4-FFF2-40B4-BE49-F238E27FC236}">
              <a16:creationId xmlns:a16="http://schemas.microsoft.com/office/drawing/2014/main" id="{7EC0E741-A3E7-4CC4-99E1-24B8F0620EF0}"/>
            </a:ext>
          </a:extLst>
        </xdr:cNvPr>
        <xdr:cNvSpPr/>
      </xdr:nvSpPr>
      <xdr:spPr>
        <a:xfrm>
          <a:off x="8896350" y="11477625"/>
          <a:ext cx="2839382" cy="1162050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2. Рассчитайте</a:t>
          </a:r>
          <a:r>
            <a:rPr lang="ru-RU" sz="1100" baseline="0"/>
            <a:t> распределение давления в трубе снизу вверх (от Р1 до Р0). Убедитесь что отображение кривых по результатам расчета активно (активно по умолчанию).</a:t>
          </a:r>
          <a:endParaRPr lang="ru-RU" sz="1100"/>
        </a:p>
      </xdr:txBody>
    </xdr:sp>
    <xdr:clientData/>
  </xdr:twoCellAnchor>
  <xdr:twoCellAnchor>
    <xdr:from>
      <xdr:col>10</xdr:col>
      <xdr:colOff>257175</xdr:colOff>
      <xdr:row>30</xdr:row>
      <xdr:rowOff>28575</xdr:rowOff>
    </xdr:from>
    <xdr:to>
      <xdr:col>14</xdr:col>
      <xdr:colOff>286682</xdr:colOff>
      <xdr:row>35</xdr:row>
      <xdr:rowOff>38100</xdr:rowOff>
    </xdr:to>
    <xdr:sp macro="" textlink="">
      <xdr:nvSpPr>
        <xdr:cNvPr id="26" name="Выноска: стрелка вверх 25">
          <a:extLst>
            <a:ext uri="{FF2B5EF4-FFF2-40B4-BE49-F238E27FC236}">
              <a16:creationId xmlns:a16="http://schemas.microsoft.com/office/drawing/2014/main" id="{BFF91750-E630-453A-85AD-2AAA8F411062}"/>
            </a:ext>
          </a:extLst>
        </xdr:cNvPr>
        <xdr:cNvSpPr/>
      </xdr:nvSpPr>
      <xdr:spPr>
        <a:xfrm>
          <a:off x="6686550" y="6000750"/>
          <a:ext cx="2772707" cy="962025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3. Найдите подстроечные</a:t>
          </a:r>
          <a:r>
            <a:rPr lang="ru-RU" sz="1100" baseline="0"/>
            <a:t> параметры для согласования расчетов снизу вверх и сверху вниз</a:t>
          </a:r>
          <a:endParaRPr lang="ru-RU" sz="110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27" name="Стрелка: влево 26">
          <a:extLst>
            <a:ext uri="{FF2B5EF4-FFF2-40B4-BE49-F238E27FC236}">
              <a16:creationId xmlns:a16="http://schemas.microsoft.com/office/drawing/2014/main" id="{924303CE-34FE-4658-99E1-900258EE74E9}"/>
            </a:ext>
          </a:extLst>
        </xdr:cNvPr>
        <xdr:cNvSpPr/>
      </xdr:nvSpPr>
      <xdr:spPr>
        <a:xfrm>
          <a:off x="2881593" y="217955"/>
          <a:ext cx="15350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31</xdr:col>
      <xdr:colOff>447675</xdr:colOff>
      <xdr:row>37</xdr:row>
      <xdr:rowOff>142875</xdr:rowOff>
    </xdr:from>
    <xdr:to>
      <xdr:col>38</xdr:col>
      <xdr:colOff>466725</xdr:colOff>
      <xdr:row>69</xdr:row>
      <xdr:rowOff>98754</xdr:rowOff>
    </xdr:to>
    <xdr:graphicFrame macro="">
      <xdr:nvGraphicFramePr>
        <xdr:cNvPr id="28" name="Диаграмма 27">
          <a:extLst>
            <a:ext uri="{FF2B5EF4-FFF2-40B4-BE49-F238E27FC236}">
              <a16:creationId xmlns:a16="http://schemas.microsoft.com/office/drawing/2014/main" id="{67676410-7AFB-49D1-9A73-E2535D850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getUFVersion"/>
      <definedName name="MF_calibr_pipe"/>
      <definedName name="MF_p_pipe_atma"/>
      <definedName name="PVT_encode_string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1EAE7-A5A5-4530-A800-A897C555A02D}">
  <sheetPr codeName="Worksheet_MF2">
    <outlinePr summaryBelow="0"/>
  </sheetPr>
  <dimension ref="A1:AG66"/>
  <sheetViews>
    <sheetView tabSelected="1" topLeftCell="A22" zoomScaleNormal="100" workbookViewId="0">
      <selection activeCell="K25" sqref="K25"/>
    </sheetView>
  </sheetViews>
  <sheetFormatPr defaultRowHeight="12.75" x14ac:dyDescent="0.2"/>
  <cols>
    <col min="2" max="2" width="11.85546875" customWidth="1"/>
    <col min="3" max="10" width="9.42578125" customWidth="1"/>
    <col min="11" max="11" width="11.28515625" customWidth="1"/>
    <col min="12" max="13" width="10.140625" customWidth="1"/>
    <col min="14" max="14" width="9.5703125" customWidth="1"/>
    <col min="15" max="15" width="10.140625" customWidth="1"/>
    <col min="23" max="23" width="1.7109375" customWidth="1"/>
    <col min="24" max="24" width="1.5703125" customWidth="1"/>
    <col min="25" max="25" width="6.7109375" customWidth="1"/>
    <col min="26" max="26" width="9.140625" customWidth="1"/>
    <col min="27" max="27" width="5.85546875" customWidth="1"/>
    <col min="28" max="28" width="6.5703125" customWidth="1"/>
    <col min="29" max="33" width="9.140625" customWidth="1"/>
    <col min="45" max="45" width="13" customWidth="1"/>
  </cols>
  <sheetData>
    <row r="1" spans="1:33" x14ac:dyDescent="0.2">
      <c r="A1" s="1" t="s">
        <v>10</v>
      </c>
      <c r="F1" t="s">
        <v>11</v>
      </c>
      <c r="G1" t="str">
        <f>[1]!getUFVersion()</f>
        <v>7.21</v>
      </c>
      <c r="H1" t="s">
        <v>42</v>
      </c>
      <c r="I1" s="27">
        <v>43948</v>
      </c>
      <c r="J1" s="28"/>
      <c r="K1" s="28"/>
      <c r="L1" s="28"/>
    </row>
    <row r="2" spans="1:33" x14ac:dyDescent="0.2">
      <c r="A2" t="s">
        <v>56</v>
      </c>
      <c r="H2" t="s">
        <v>43</v>
      </c>
      <c r="I2" s="29">
        <v>7.21</v>
      </c>
      <c r="J2" s="28"/>
      <c r="K2" s="28"/>
      <c r="L2" s="28"/>
    </row>
    <row r="3" spans="1:33" ht="15" x14ac:dyDescent="0.25">
      <c r="A3" s="30" t="s">
        <v>44</v>
      </c>
      <c r="B3" s="55" t="s">
        <v>45</v>
      </c>
      <c r="C3" s="56"/>
      <c r="D3" s="56"/>
      <c r="E3" s="57"/>
      <c r="H3" t="s">
        <v>46</v>
      </c>
      <c r="I3" s="28" t="s">
        <v>45</v>
      </c>
      <c r="J3" s="28"/>
      <c r="K3" s="28"/>
      <c r="L3" s="28"/>
    </row>
    <row r="4" spans="1:33" ht="15" x14ac:dyDescent="0.25">
      <c r="A4" s="30" t="s">
        <v>47</v>
      </c>
      <c r="B4" s="55" t="s">
        <v>48</v>
      </c>
      <c r="C4" s="56"/>
      <c r="D4" s="56"/>
      <c r="E4" s="57"/>
      <c r="H4" t="s">
        <v>49</v>
      </c>
      <c r="I4" s="28" t="s">
        <v>48</v>
      </c>
      <c r="J4" s="28"/>
      <c r="K4" s="28"/>
      <c r="L4" s="28"/>
    </row>
    <row r="5" spans="1:33" ht="15" x14ac:dyDescent="0.25">
      <c r="A5" s="30" t="s">
        <v>50</v>
      </c>
      <c r="B5" s="55" t="s">
        <v>51</v>
      </c>
      <c r="C5" s="56"/>
      <c r="D5" s="56"/>
      <c r="E5" s="57"/>
      <c r="H5" t="s">
        <v>52</v>
      </c>
      <c r="I5" s="28" t="s">
        <v>51</v>
      </c>
      <c r="J5" s="28"/>
      <c r="K5" s="28"/>
      <c r="L5" s="28"/>
    </row>
    <row r="6" spans="1:33" x14ac:dyDescent="0.2">
      <c r="A6" s="31" t="s">
        <v>53</v>
      </c>
      <c r="B6" s="58" t="s">
        <v>54</v>
      </c>
      <c r="C6" s="59"/>
      <c r="D6" s="59"/>
      <c r="E6" s="60"/>
      <c r="H6" s="32" t="s">
        <v>55</v>
      </c>
      <c r="I6" s="33" t="s">
        <v>54</v>
      </c>
      <c r="J6" s="33"/>
      <c r="K6" s="33"/>
      <c r="L6" s="33"/>
    </row>
    <row r="7" spans="1:33" x14ac:dyDescent="0.2">
      <c r="A7" s="34"/>
      <c r="B7" s="61"/>
      <c r="C7" s="62"/>
      <c r="D7" s="62"/>
      <c r="E7" s="63"/>
      <c r="H7" s="32"/>
      <c r="I7" s="33"/>
      <c r="J7" s="33"/>
      <c r="K7" s="33"/>
      <c r="L7" s="33"/>
    </row>
    <row r="8" spans="1:33" x14ac:dyDescent="0.2">
      <c r="A8" s="35"/>
      <c r="B8" s="64"/>
      <c r="C8" s="65"/>
      <c r="D8" s="65"/>
      <c r="E8" s="66"/>
      <c r="H8" s="32"/>
      <c r="I8" s="33"/>
      <c r="J8" s="33"/>
      <c r="K8" s="33"/>
      <c r="L8" s="33"/>
    </row>
    <row r="9" spans="1:33" ht="14.25" customHeight="1" x14ac:dyDescent="0.2">
      <c r="AE9" s="17"/>
    </row>
    <row r="10" spans="1:33" x14ac:dyDescent="0.2">
      <c r="A10" s="1" t="s">
        <v>1</v>
      </c>
    </row>
    <row r="11" spans="1:33" ht="18.75" x14ac:dyDescent="0.35">
      <c r="B11" s="9" t="s">
        <v>13</v>
      </c>
      <c r="C11" s="2">
        <v>0.86</v>
      </c>
      <c r="D11" s="4"/>
      <c r="E11" s="5">
        <f>gamma_oil_*1000</f>
        <v>860</v>
      </c>
      <c r="F11" s="7" t="s">
        <v>24</v>
      </c>
      <c r="AG11" t="s">
        <v>40</v>
      </c>
    </row>
    <row r="12" spans="1:33" ht="18.75" x14ac:dyDescent="0.35">
      <c r="B12" s="7" t="s">
        <v>14</v>
      </c>
      <c r="C12" s="2">
        <v>1</v>
      </c>
      <c r="D12" s="4"/>
      <c r="E12" s="5">
        <f>gamma_wat_*1000</f>
        <v>1000</v>
      </c>
      <c r="F12" s="7" t="s">
        <v>24</v>
      </c>
      <c r="AG12" t="str">
        <f>"𝜃 = "&amp;theta_&amp; "°"</f>
        <v>𝜃 = -45°</v>
      </c>
    </row>
    <row r="13" spans="1:33" ht="18.75" x14ac:dyDescent="0.35">
      <c r="B13" s="7" t="s">
        <v>15</v>
      </c>
      <c r="C13" s="2">
        <v>0.8</v>
      </c>
      <c r="D13" s="4"/>
      <c r="E13" s="5">
        <f>gamma_gas_*1.22</f>
        <v>0.97599999999999998</v>
      </c>
      <c r="F13" s="7" t="s">
        <v>24</v>
      </c>
      <c r="AG13" t="str">
        <f>"L = " &amp;L_ &amp;" м"</f>
        <v>L = 1500 м</v>
      </c>
    </row>
    <row r="14" spans="1:33" ht="18.75" x14ac:dyDescent="0.35">
      <c r="B14" s="10" t="s">
        <v>16</v>
      </c>
      <c r="C14" s="2">
        <v>80</v>
      </c>
      <c r="D14" s="7" t="s">
        <v>12</v>
      </c>
      <c r="E14" s="6">
        <f>Rsb_/gamma_oil_</f>
        <v>93.023255813953483</v>
      </c>
      <c r="F14" s="7" t="s">
        <v>25</v>
      </c>
      <c r="AG14" t="str">
        <f>"Qliq = " &amp;Q_&amp; " m3/day"</f>
        <v>Qliq = 50 m3/day</v>
      </c>
    </row>
    <row r="15" spans="1:33" ht="18.75" x14ac:dyDescent="0.35">
      <c r="B15" s="10" t="s">
        <v>17</v>
      </c>
      <c r="C15" s="2">
        <v>200</v>
      </c>
      <c r="D15" s="7" t="s">
        <v>12</v>
      </c>
      <c r="E15" s="6">
        <f>Rsb_/gamma_oil_</f>
        <v>93.023255813953483</v>
      </c>
      <c r="F15" s="7" t="s">
        <v>25</v>
      </c>
      <c r="AG15" t="str">
        <f>"p0 = " &amp;p0_&amp;" atm,
 t1= " &amp;t0_&amp;"°C"</f>
        <v>p0 = 10 atm,
 t1= 40°C</v>
      </c>
    </row>
    <row r="16" spans="1:33" ht="18" x14ac:dyDescent="0.35">
      <c r="B16" s="7" t="s">
        <v>18</v>
      </c>
      <c r="C16" s="2">
        <v>120</v>
      </c>
      <c r="D16" s="4" t="s">
        <v>5</v>
      </c>
      <c r="E16" s="6">
        <f>Pb_*1.01325</f>
        <v>121.59</v>
      </c>
      <c r="F16" s="8" t="s">
        <v>6</v>
      </c>
      <c r="AG16" t="str">
        <f>"p1 = " &amp;p1_&amp;" atm,
 t1 = " &amp;t1_&amp;"°C"</f>
        <v>p1 = 100 atm,
 t1 = 80°C</v>
      </c>
    </row>
    <row r="17" spans="1:23" ht="18" x14ac:dyDescent="0.35">
      <c r="B17" s="7" t="s">
        <v>19</v>
      </c>
      <c r="C17" s="2">
        <v>100</v>
      </c>
      <c r="D17" s="4" t="s">
        <v>2</v>
      </c>
      <c r="E17" s="6">
        <f>Tres_*9/5+32</f>
        <v>212</v>
      </c>
      <c r="F17" s="8" t="s">
        <v>7</v>
      </c>
    </row>
    <row r="18" spans="1:23" ht="18.75" x14ac:dyDescent="0.35">
      <c r="B18" s="10" t="s">
        <v>20</v>
      </c>
      <c r="C18" s="2">
        <v>1.2</v>
      </c>
      <c r="D18" s="7" t="s">
        <v>12</v>
      </c>
    </row>
    <row r="19" spans="1:23" ht="18" x14ac:dyDescent="0.35">
      <c r="B19" s="11" t="s">
        <v>21</v>
      </c>
      <c r="C19" s="2">
        <v>1</v>
      </c>
      <c r="D19" s="4" t="s">
        <v>4</v>
      </c>
      <c r="W19" s="16"/>
    </row>
    <row r="20" spans="1:23" x14ac:dyDescent="0.2">
      <c r="A20" s="1" t="s">
        <v>62</v>
      </c>
      <c r="W20" s="16"/>
    </row>
    <row r="21" spans="1:23" ht="18" x14ac:dyDescent="0.35">
      <c r="B21" s="11" t="s">
        <v>64</v>
      </c>
      <c r="C21" s="2">
        <v>0</v>
      </c>
      <c r="D21" s="7"/>
      <c r="W21" s="16"/>
    </row>
    <row r="22" spans="1:23" ht="18" x14ac:dyDescent="0.35">
      <c r="B22" s="11" t="s">
        <v>65</v>
      </c>
      <c r="C22" s="2">
        <v>50</v>
      </c>
      <c r="D22" s="4" t="s">
        <v>5</v>
      </c>
      <c r="W22" s="16"/>
    </row>
    <row r="23" spans="1:23" ht="18" x14ac:dyDescent="0.35">
      <c r="B23" s="11" t="s">
        <v>66</v>
      </c>
      <c r="C23" s="2">
        <v>30</v>
      </c>
      <c r="D23" s="4" t="s">
        <v>2</v>
      </c>
      <c r="W23" s="16"/>
    </row>
    <row r="24" spans="1:23" x14ac:dyDescent="0.2">
      <c r="A24" s="1" t="s">
        <v>8</v>
      </c>
    </row>
    <row r="25" spans="1:23" ht="15.75" x14ac:dyDescent="0.3">
      <c r="B25" s="11" t="s">
        <v>22</v>
      </c>
      <c r="C25" s="2">
        <v>50</v>
      </c>
      <c r="D25" s="7" t="s">
        <v>23</v>
      </c>
    </row>
    <row r="26" spans="1:23" ht="18" x14ac:dyDescent="0.35">
      <c r="B26" s="11" t="s">
        <v>38</v>
      </c>
      <c r="C26" s="2">
        <v>0</v>
      </c>
      <c r="D26" s="7" t="s">
        <v>39</v>
      </c>
      <c r="F26" s="52" t="s">
        <v>61</v>
      </c>
      <c r="G26" s="53"/>
      <c r="H26" s="2">
        <v>0</v>
      </c>
    </row>
    <row r="27" spans="1:23" ht="15.75" x14ac:dyDescent="0.3">
      <c r="B27" s="11" t="s">
        <v>26</v>
      </c>
      <c r="C27" s="2">
        <v>100</v>
      </c>
      <c r="D27" s="4" t="s">
        <v>3</v>
      </c>
      <c r="F27" s="52" t="s">
        <v>57</v>
      </c>
      <c r="G27" s="53"/>
      <c r="H27" s="2">
        <v>0</v>
      </c>
    </row>
    <row r="28" spans="1:23" ht="15" customHeight="1" x14ac:dyDescent="0.25">
      <c r="A28" t="s">
        <v>27</v>
      </c>
      <c r="B28" s="3"/>
      <c r="F28" s="52" t="s">
        <v>60</v>
      </c>
      <c r="G28" s="53"/>
      <c r="H28" s="2">
        <v>0</v>
      </c>
    </row>
    <row r="29" spans="1:23" ht="18" customHeight="1" x14ac:dyDescent="0.25">
      <c r="B29" s="11" t="s">
        <v>28</v>
      </c>
      <c r="C29" s="2">
        <v>1500</v>
      </c>
      <c r="D29" s="7" t="s">
        <v>30</v>
      </c>
      <c r="F29" s="52" t="s">
        <v>63</v>
      </c>
      <c r="G29" s="53"/>
      <c r="H29" s="2">
        <v>0</v>
      </c>
      <c r="K29" s="18" cm="1">
        <f t="array" ref="K29:O30">[1]!MF_calibr_pipe(p0_,p1_,t0_,t1_,L_,theta_,id_,Q_,fw_,Q_gas_free_,PVRstr1_,C39,Hydr_corr_,H31:H32)</f>
        <v>0.8938751220703125</v>
      </c>
      <c r="L29" s="19" t="str">
        <v>calibr_grav</v>
      </c>
      <c r="M29" s="19">
        <v>-4.2796306142633966E-4</v>
      </c>
      <c r="N29" s="19">
        <v>16</v>
      </c>
      <c r="O29" s="20" t="str">
        <v>solve_equation_bisection: done by  16 iterations, tolerance 0.001</v>
      </c>
    </row>
    <row r="30" spans="1:23" ht="15" customHeight="1" x14ac:dyDescent="0.25">
      <c r="B30" s="11" t="s">
        <v>0</v>
      </c>
      <c r="C30" s="2">
        <v>62</v>
      </c>
      <c r="D30" s="7" t="s">
        <v>31</v>
      </c>
      <c r="F30" s="54" t="s">
        <v>41</v>
      </c>
      <c r="G30" s="54"/>
      <c r="K30" s="21" t="str">
        <v>solution</v>
      </c>
      <c r="L30" s="22" t="str">
        <v>cal_type</v>
      </c>
      <c r="M30" s="22" t="str">
        <v>y_solution</v>
      </c>
      <c r="N30" s="22" t="str">
        <v>iterations</v>
      </c>
      <c r="O30" s="23" t="str">
        <v>description</v>
      </c>
    </row>
    <row r="31" spans="1:23" ht="15" customHeight="1" x14ac:dyDescent="0.25">
      <c r="B31" s="11" t="s">
        <v>29</v>
      </c>
      <c r="C31" s="2">
        <v>-45</v>
      </c>
      <c r="D31" s="7" t="s">
        <v>32</v>
      </c>
      <c r="F31" s="52" t="s">
        <v>59</v>
      </c>
      <c r="G31" s="53"/>
      <c r="H31" s="2">
        <v>1</v>
      </c>
    </row>
    <row r="32" spans="1:23" ht="15" customHeight="1" x14ac:dyDescent="0.25">
      <c r="B32" s="11" t="s">
        <v>33</v>
      </c>
      <c r="C32" s="15">
        <v>10</v>
      </c>
      <c r="D32" s="7" t="s">
        <v>5</v>
      </c>
      <c r="F32" s="52" t="s">
        <v>58</v>
      </c>
      <c r="G32" s="53"/>
      <c r="H32" s="2">
        <v>1</v>
      </c>
    </row>
    <row r="33" spans="1:21" ht="15" x14ac:dyDescent="0.25">
      <c r="B33" s="11" t="s">
        <v>34</v>
      </c>
      <c r="C33" s="15">
        <v>100</v>
      </c>
      <c r="D33" s="7" t="s">
        <v>5</v>
      </c>
    </row>
    <row r="34" spans="1:21" ht="15" x14ac:dyDescent="0.25">
      <c r="B34" s="11" t="s">
        <v>35</v>
      </c>
      <c r="C34" s="2">
        <v>40</v>
      </c>
      <c r="D34" s="7" t="s">
        <v>37</v>
      </c>
    </row>
    <row r="35" spans="1:21" ht="15" x14ac:dyDescent="0.25">
      <c r="B35" s="11" t="s">
        <v>36</v>
      </c>
      <c r="C35" s="2">
        <v>80</v>
      </c>
      <c r="D35" s="7" t="s">
        <v>37</v>
      </c>
    </row>
    <row r="37" spans="1:21" x14ac:dyDescent="0.2">
      <c r="B37" s="12" t="s">
        <v>9</v>
      </c>
      <c r="C37" s="13" t="str">
        <f>[1]!PVT_encode_string(gamma_gas_,gamma_oil_,gamma_wat_,Rsb_,Rp_,Pb_,Tres_,Bob_,muob_,PVT_corr_,Ksep,Psep,Tsep,gas_only_)</f>
        <v>gamma_gas:0.800;gamma_oil:0.860;gamma_wat:1.000;rsb_m3m3:80.000;rp_m3m3:200.000;pb_atma:120.000;tres_C:100.000;bob_m3m3:1.200;muob_cP:1.000;PVTcorr:0;ksep_fr:0.000;p_ksep_atma:50.000;t_ksep_C:30.000;gas_only:False;</v>
      </c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</row>
    <row r="39" spans="1:21" x14ac:dyDescent="0.2">
      <c r="C39">
        <v>11</v>
      </c>
      <c r="M39">
        <v>10</v>
      </c>
    </row>
    <row r="40" spans="1:21" ht="16.5" customHeight="1" x14ac:dyDescent="0.2">
      <c r="C40" s="36" t="s">
        <v>67</v>
      </c>
      <c r="M40" s="36">
        <v>11</v>
      </c>
    </row>
    <row r="41" spans="1:21" x14ac:dyDescent="0.2">
      <c r="A41" s="14"/>
      <c r="C41" s="46" cm="1">
        <f t="array" ref="C41:K63">[1]!MF_p_pipe_atma(p0_,t0_,t1_,L_,theta_,id_,Q_,fw_,Q_gas_free_,PVRstr1_,C39,Hydr_corr_,H31:H32)</f>
        <v>110.70902625369689</v>
      </c>
      <c r="D41" s="47">
        <v>80</v>
      </c>
      <c r="E41" s="47">
        <v>10</v>
      </c>
      <c r="F41" s="47">
        <v>40</v>
      </c>
      <c r="G41" s="47">
        <v>110.70902625369689</v>
      </c>
      <c r="H41" s="47">
        <v>80</v>
      </c>
      <c r="I41" s="47">
        <v>1</v>
      </c>
      <c r="J41" s="47">
        <v>1</v>
      </c>
      <c r="K41" s="48">
        <v>0</v>
      </c>
      <c r="M41" s="37" cm="1">
        <f t="array" ref="M41:U63">[1]!MF_p_pipe_atma(p1_,t1_,t0_,L_,theta_,id_,Q_,fw_,Q_gas_free_,PVRstr1_,M39,Hydr_corr_,H31:H32)</f>
        <v>201.14362864637445</v>
      </c>
      <c r="N41" s="19">
        <v>40</v>
      </c>
      <c r="O41" s="19">
        <v>100</v>
      </c>
      <c r="P41" s="19">
        <v>80</v>
      </c>
      <c r="Q41" s="19">
        <v>201.14362864637445</v>
      </c>
      <c r="R41" s="19">
        <v>40</v>
      </c>
      <c r="S41" s="19">
        <v>1</v>
      </c>
      <c r="T41" s="19">
        <v>1</v>
      </c>
      <c r="U41" s="20">
        <v>0</v>
      </c>
    </row>
    <row r="42" spans="1:21" x14ac:dyDescent="0.2">
      <c r="A42" s="14"/>
      <c r="C42" s="49" t="str">
        <v>p_result_atma</v>
      </c>
      <c r="D42" s="50" t="str">
        <v>t_result_C</v>
      </c>
      <c r="E42" s="50" t="str">
        <v>p_1, atma</v>
      </c>
      <c r="F42" s="50" t="str">
        <v>t_1, C</v>
      </c>
      <c r="G42" s="50" t="str">
        <v>p_2, atma</v>
      </c>
      <c r="H42" s="50" t="str">
        <v>t_2, C</v>
      </c>
      <c r="I42" s="50" t="str">
        <v>c_calibr_grav</v>
      </c>
      <c r="J42" s="50" t="str">
        <v>c_calibr_fric</v>
      </c>
      <c r="K42" s="51" t="str">
        <v>q_gas_sm3day</v>
      </c>
      <c r="M42" s="24" t="str">
        <v>p_result_atma</v>
      </c>
      <c r="N42" s="25" t="str">
        <v>t_result_C</v>
      </c>
      <c r="O42" s="25" t="str">
        <v>p_1, atma</v>
      </c>
      <c r="P42" s="25" t="str">
        <v>t_1, C</v>
      </c>
      <c r="Q42" s="25" t="str">
        <v>p_2, atma</v>
      </c>
      <c r="R42" s="25" t="str">
        <v>t_2, C</v>
      </c>
      <c r="S42" s="25" t="str">
        <v>c_calibr_grav</v>
      </c>
      <c r="T42" s="25" t="str">
        <v>c_calibr_fric</v>
      </c>
      <c r="U42" s="26" t="str">
        <v>q_gas_sm3day</v>
      </c>
    </row>
    <row r="43" spans="1:21" x14ac:dyDescent="0.2">
      <c r="A43" s="14"/>
      <c r="C43" s="38" t="str">
        <v>num</v>
      </c>
      <c r="D43" s="39" t="str">
        <v>h,m</v>
      </c>
      <c r="E43" s="39" t="str">
        <v>hvert,m</v>
      </c>
      <c r="F43" s="39" t="str">
        <v>p,atma</v>
      </c>
      <c r="G43" s="39" t="str">
        <v>t,C</v>
      </c>
      <c r="H43" s="39" t="str">
        <v>Hl</v>
      </c>
      <c r="I43" s="39" t="str">
        <v>fpat</v>
      </c>
      <c r="J43" s="39" t="str">
        <v>t_amb, C</v>
      </c>
      <c r="K43" s="40" t="str">
        <v>diam, mm</v>
      </c>
      <c r="M43" s="38" t="str">
        <v>num</v>
      </c>
      <c r="N43" s="39" t="str">
        <v>h,m</v>
      </c>
      <c r="O43" s="39" t="str">
        <v>hvert,m</v>
      </c>
      <c r="P43" s="39" t="str">
        <v>p,atma</v>
      </c>
      <c r="Q43" s="39" t="str">
        <v>t,C</v>
      </c>
      <c r="R43" s="39" t="str">
        <v>Hl</v>
      </c>
      <c r="S43" s="39" t="str">
        <v>fpat</v>
      </c>
      <c r="T43" s="39" t="str">
        <v>t_amb, C</v>
      </c>
      <c r="U43" s="40" t="str">
        <v>diam, mm</v>
      </c>
    </row>
    <row r="44" spans="1:21" x14ac:dyDescent="0.2">
      <c r="A44" s="14"/>
      <c r="C44" s="38">
        <v>1</v>
      </c>
      <c r="D44" s="41">
        <v>0</v>
      </c>
      <c r="E44" s="39">
        <v>0</v>
      </c>
      <c r="F44" s="67">
        <v>10</v>
      </c>
      <c r="G44" s="67">
        <v>40</v>
      </c>
      <c r="H44" s="39">
        <v>1</v>
      </c>
      <c r="I44" s="39">
        <v>3</v>
      </c>
      <c r="J44" s="41">
        <v>40</v>
      </c>
      <c r="K44" s="40">
        <v>6.2E-2</v>
      </c>
      <c r="M44" s="38">
        <v>1</v>
      </c>
      <c r="N44" s="41">
        <v>0</v>
      </c>
      <c r="O44" s="41">
        <v>0</v>
      </c>
      <c r="P44" s="67">
        <v>100</v>
      </c>
      <c r="Q44" s="67">
        <v>80</v>
      </c>
      <c r="R44" s="41">
        <v>1</v>
      </c>
      <c r="S44" s="39">
        <v>3</v>
      </c>
      <c r="T44" s="41">
        <v>80</v>
      </c>
      <c r="U44" s="40">
        <v>6.2E-2</v>
      </c>
    </row>
    <row r="45" spans="1:21" x14ac:dyDescent="0.2">
      <c r="A45" s="14"/>
      <c r="C45" s="38">
        <v>2</v>
      </c>
      <c r="D45" s="41">
        <v>78.94736842105263</v>
      </c>
      <c r="E45" s="41">
        <v>55.824219567358945</v>
      </c>
      <c r="F45" s="41">
        <v>15.344933576062061</v>
      </c>
      <c r="G45" s="41">
        <v>42.105263157894733</v>
      </c>
      <c r="H45" s="39">
        <v>1</v>
      </c>
      <c r="I45" s="39">
        <v>3</v>
      </c>
      <c r="J45" s="41">
        <v>42.105263157894733</v>
      </c>
      <c r="K45" s="40">
        <v>6.2E-2</v>
      </c>
      <c r="M45" s="38">
        <v>2</v>
      </c>
      <c r="N45" s="41">
        <v>78.94736842105263</v>
      </c>
      <c r="O45" s="41">
        <v>55.824219567358945</v>
      </c>
      <c r="P45" s="41">
        <v>105.26595049855749</v>
      </c>
      <c r="Q45" s="41">
        <v>77.89473684210526</v>
      </c>
      <c r="R45" s="41">
        <v>1</v>
      </c>
      <c r="S45" s="39">
        <v>3</v>
      </c>
      <c r="T45" s="41">
        <v>77.89473684210526</v>
      </c>
      <c r="U45" s="40">
        <v>6.2E-2</v>
      </c>
    </row>
    <row r="46" spans="1:21" x14ac:dyDescent="0.2">
      <c r="A46" s="14"/>
      <c r="C46" s="38">
        <v>3</v>
      </c>
      <c r="D46" s="41">
        <v>157.89473684210526</v>
      </c>
      <c r="E46" s="41">
        <v>111.6484391347179</v>
      </c>
      <c r="F46" s="41">
        <v>20.685474834044587</v>
      </c>
      <c r="G46" s="41">
        <v>44.210526315789473</v>
      </c>
      <c r="H46" s="39">
        <v>1</v>
      </c>
      <c r="I46" s="39">
        <v>3</v>
      </c>
      <c r="J46" s="41">
        <v>44.210526315789473</v>
      </c>
      <c r="K46" s="40">
        <v>6.2E-2</v>
      </c>
      <c r="M46" s="38">
        <v>3</v>
      </c>
      <c r="N46" s="41">
        <v>157.89473684210526</v>
      </c>
      <c r="O46" s="41">
        <v>111.6484391347179</v>
      </c>
      <c r="P46" s="41">
        <v>110.53820415727137</v>
      </c>
      <c r="Q46" s="41">
        <v>75.78947368421052</v>
      </c>
      <c r="R46" s="41">
        <v>1</v>
      </c>
      <c r="S46" s="39">
        <v>3</v>
      </c>
      <c r="T46" s="41">
        <v>75.78947368421052</v>
      </c>
      <c r="U46" s="40">
        <v>6.2E-2</v>
      </c>
    </row>
    <row r="47" spans="1:21" x14ac:dyDescent="0.2">
      <c r="A47" s="14"/>
      <c r="C47" s="38">
        <v>4</v>
      </c>
      <c r="D47" s="41">
        <v>236.84210526315789</v>
      </c>
      <c r="E47" s="41">
        <v>167.47265870207684</v>
      </c>
      <c r="F47" s="41">
        <v>26.021583099528669</v>
      </c>
      <c r="G47" s="41">
        <v>46.315789473684212</v>
      </c>
      <c r="H47" s="39">
        <v>1</v>
      </c>
      <c r="I47" s="39">
        <v>3</v>
      </c>
      <c r="J47" s="41">
        <v>46.315789473684212</v>
      </c>
      <c r="K47" s="40">
        <v>6.2E-2</v>
      </c>
      <c r="M47" s="38">
        <v>4</v>
      </c>
      <c r="N47" s="41">
        <v>236.84210526315789</v>
      </c>
      <c r="O47" s="41">
        <v>167.47265870207684</v>
      </c>
      <c r="P47" s="41">
        <v>115.81671982994817</v>
      </c>
      <c r="Q47" s="41">
        <v>73.684210526315795</v>
      </c>
      <c r="R47" s="41">
        <v>1</v>
      </c>
      <c r="S47" s="39">
        <v>3</v>
      </c>
      <c r="T47" s="41">
        <v>73.684210526315795</v>
      </c>
      <c r="U47" s="40">
        <v>6.2E-2</v>
      </c>
    </row>
    <row r="48" spans="1:21" x14ac:dyDescent="0.2">
      <c r="A48" s="14"/>
      <c r="C48" s="38">
        <v>5</v>
      </c>
      <c r="D48" s="41">
        <v>315.78947368421052</v>
      </c>
      <c r="E48" s="41">
        <v>223.29687826943581</v>
      </c>
      <c r="F48" s="41">
        <v>31.35321795910648</v>
      </c>
      <c r="G48" s="41">
        <v>48.421052631578945</v>
      </c>
      <c r="H48" s="39">
        <v>1</v>
      </c>
      <c r="I48" s="39">
        <v>3</v>
      </c>
      <c r="J48" s="41">
        <v>48.421052631578945</v>
      </c>
      <c r="K48" s="40">
        <v>6.2E-2</v>
      </c>
      <c r="M48" s="38">
        <v>5</v>
      </c>
      <c r="N48" s="41">
        <v>315.78947368421052</v>
      </c>
      <c r="O48" s="41">
        <v>223.29687826943581</v>
      </c>
      <c r="P48" s="41">
        <v>121.10145615555552</v>
      </c>
      <c r="Q48" s="41">
        <v>71.578947368421055</v>
      </c>
      <c r="R48" s="41">
        <v>1</v>
      </c>
      <c r="S48" s="39">
        <v>3</v>
      </c>
      <c r="T48" s="41">
        <v>71.578947368421055</v>
      </c>
      <c r="U48" s="40">
        <v>6.2E-2</v>
      </c>
    </row>
    <row r="49" spans="1:21" x14ac:dyDescent="0.2">
      <c r="A49" s="14"/>
      <c r="C49" s="38">
        <v>6</v>
      </c>
      <c r="D49" s="41">
        <v>394.73684210526312</v>
      </c>
      <c r="E49" s="41">
        <v>279.12109783679472</v>
      </c>
      <c r="F49" s="41">
        <v>36.679922787854935</v>
      </c>
      <c r="G49" s="41">
        <v>50.526315789473685</v>
      </c>
      <c r="H49" s="39">
        <v>1</v>
      </c>
      <c r="I49" s="39">
        <v>3</v>
      </c>
      <c r="J49" s="41">
        <v>50.526315789473685</v>
      </c>
      <c r="K49" s="40">
        <v>6.2E-2</v>
      </c>
      <c r="M49" s="38">
        <v>6</v>
      </c>
      <c r="N49" s="41">
        <v>394.73684210526312</v>
      </c>
      <c r="O49" s="41">
        <v>279.12109783679472</v>
      </c>
      <c r="P49" s="41">
        <v>126.39292672385982</v>
      </c>
      <c r="Q49" s="41">
        <v>69.473684210526315</v>
      </c>
      <c r="R49" s="41">
        <v>1</v>
      </c>
      <c r="S49" s="39">
        <v>3</v>
      </c>
      <c r="T49" s="41">
        <v>69.473684210526315</v>
      </c>
      <c r="U49" s="40">
        <v>6.2E-2</v>
      </c>
    </row>
    <row r="50" spans="1:21" x14ac:dyDescent="0.2">
      <c r="A50" s="14"/>
      <c r="C50" s="38">
        <v>7</v>
      </c>
      <c r="D50" s="41">
        <v>473.68421052631578</v>
      </c>
      <c r="E50" s="41">
        <v>334.94531740415368</v>
      </c>
      <c r="F50" s="41">
        <v>42.000796959482663</v>
      </c>
      <c r="G50" s="41">
        <v>52.631578947368425</v>
      </c>
      <c r="H50" s="39">
        <v>1</v>
      </c>
      <c r="I50" s="39">
        <v>3</v>
      </c>
      <c r="J50" s="41">
        <v>52.631578947368425</v>
      </c>
      <c r="K50" s="40">
        <v>6.2E-2</v>
      </c>
      <c r="M50" s="38">
        <v>7</v>
      </c>
      <c r="N50" s="41">
        <v>473.68421052631578</v>
      </c>
      <c r="O50" s="41">
        <v>334.94531740415368</v>
      </c>
      <c r="P50" s="41">
        <v>131.69216962613982</v>
      </c>
      <c r="Q50" s="41">
        <v>67.368421052631575</v>
      </c>
      <c r="R50" s="41">
        <v>1</v>
      </c>
      <c r="S50" s="39">
        <v>3</v>
      </c>
      <c r="T50" s="41">
        <v>67.368421052631575</v>
      </c>
      <c r="U50" s="40">
        <v>6.2E-2</v>
      </c>
    </row>
    <row r="51" spans="1:21" x14ac:dyDescent="0.2">
      <c r="A51" s="14"/>
      <c r="C51" s="38">
        <v>8</v>
      </c>
      <c r="D51" s="41">
        <v>552.63157894736844</v>
      </c>
      <c r="E51" s="41">
        <v>390.76953697151265</v>
      </c>
      <c r="F51" s="41">
        <v>47.317034320418621</v>
      </c>
      <c r="G51" s="41">
        <v>54.736842105263158</v>
      </c>
      <c r="H51" s="39">
        <v>1</v>
      </c>
      <c r="I51" s="39">
        <v>3</v>
      </c>
      <c r="J51" s="41">
        <v>54.736842105263158</v>
      </c>
      <c r="K51" s="40">
        <v>6.2E-2</v>
      </c>
      <c r="M51" s="38">
        <v>8</v>
      </c>
      <c r="N51" s="41">
        <v>552.63157894736844</v>
      </c>
      <c r="O51" s="41">
        <v>390.76953697151265</v>
      </c>
      <c r="P51" s="41">
        <v>136.99745846722817</v>
      </c>
      <c r="Q51" s="41">
        <v>65.26315789473685</v>
      </c>
      <c r="R51" s="41">
        <v>1</v>
      </c>
      <c r="S51" s="39">
        <v>3</v>
      </c>
      <c r="T51" s="41">
        <v>65.26315789473685</v>
      </c>
      <c r="U51" s="40">
        <v>6.2E-2</v>
      </c>
    </row>
    <row r="52" spans="1:21" x14ac:dyDescent="0.2">
      <c r="A52" s="14"/>
      <c r="C52" s="38">
        <v>9</v>
      </c>
      <c r="D52" s="41">
        <v>631.57894736842104</v>
      </c>
      <c r="E52" s="41">
        <v>446.59375653887156</v>
      </c>
      <c r="F52" s="41">
        <v>52.628596442286103</v>
      </c>
      <c r="G52" s="41">
        <v>56.842105263157897</v>
      </c>
      <c r="H52" s="39">
        <v>1</v>
      </c>
      <c r="I52" s="39">
        <v>3</v>
      </c>
      <c r="J52" s="41">
        <v>56.842105263157897</v>
      </c>
      <c r="K52" s="40">
        <v>6.2E-2</v>
      </c>
      <c r="M52" s="38">
        <v>9</v>
      </c>
      <c r="N52" s="41">
        <v>631.57894736842104</v>
      </c>
      <c r="O52" s="41">
        <v>446.59375653887156</v>
      </c>
      <c r="P52" s="41">
        <v>142.30875021291067</v>
      </c>
      <c r="Q52" s="41">
        <v>63.157894736842103</v>
      </c>
      <c r="R52" s="41">
        <v>1</v>
      </c>
      <c r="S52" s="39">
        <v>3</v>
      </c>
      <c r="T52" s="41">
        <v>63.157894736842103</v>
      </c>
      <c r="U52" s="40">
        <v>6.2E-2</v>
      </c>
    </row>
    <row r="53" spans="1:21" x14ac:dyDescent="0.2">
      <c r="A53" s="14"/>
      <c r="C53" s="38">
        <v>10</v>
      </c>
      <c r="D53" s="41">
        <v>710.52631578947364</v>
      </c>
      <c r="E53" s="41">
        <v>502.41797610623047</v>
      </c>
      <c r="F53" s="41">
        <v>57.935445132302597</v>
      </c>
      <c r="G53" s="41">
        <v>58.947368421052637</v>
      </c>
      <c r="H53" s="39">
        <v>1</v>
      </c>
      <c r="I53" s="39">
        <v>3</v>
      </c>
      <c r="J53" s="41">
        <v>58.947368421052637</v>
      </c>
      <c r="K53" s="40">
        <v>6.2E-2</v>
      </c>
      <c r="M53" s="38">
        <v>10</v>
      </c>
      <c r="N53" s="41">
        <v>710.52631578947364</v>
      </c>
      <c r="O53" s="41">
        <v>502.41797610623047</v>
      </c>
      <c r="P53" s="41">
        <v>147.62600162825188</v>
      </c>
      <c r="Q53" s="41">
        <v>61.052631578947363</v>
      </c>
      <c r="R53" s="41">
        <v>1</v>
      </c>
      <c r="S53" s="39">
        <v>3</v>
      </c>
      <c r="T53" s="41">
        <v>61.052631578947363</v>
      </c>
      <c r="U53" s="40">
        <v>6.2E-2</v>
      </c>
    </row>
    <row r="54" spans="1:21" x14ac:dyDescent="0.2">
      <c r="A54" s="14"/>
      <c r="C54" s="38">
        <v>11</v>
      </c>
      <c r="D54" s="41">
        <v>789.47368421052624</v>
      </c>
      <c r="E54" s="41">
        <v>558.24219567358944</v>
      </c>
      <c r="F54" s="41">
        <v>63.236665962187416</v>
      </c>
      <c r="G54" s="41">
        <v>61.05263157894737</v>
      </c>
      <c r="H54" s="39">
        <v>1</v>
      </c>
      <c r="I54" s="39">
        <v>3</v>
      </c>
      <c r="J54" s="41">
        <v>61.05263157894737</v>
      </c>
      <c r="K54" s="40">
        <v>6.2E-2</v>
      </c>
      <c r="M54" s="38">
        <v>11</v>
      </c>
      <c r="N54" s="41">
        <v>789.47368421052624</v>
      </c>
      <c r="O54" s="41">
        <v>558.24219567358944</v>
      </c>
      <c r="P54" s="41">
        <v>152.95023009054879</v>
      </c>
      <c r="Q54" s="41">
        <v>58.94736842105263</v>
      </c>
      <c r="R54" s="41">
        <v>1</v>
      </c>
      <c r="S54" s="39">
        <v>3</v>
      </c>
      <c r="T54" s="41">
        <v>58.94736842105263</v>
      </c>
      <c r="U54" s="40">
        <v>6.2E-2</v>
      </c>
    </row>
    <row r="55" spans="1:21" x14ac:dyDescent="0.2">
      <c r="A55" s="14"/>
      <c r="C55" s="38">
        <v>12</v>
      </c>
      <c r="D55" s="41">
        <v>868.42105263157896</v>
      </c>
      <c r="E55" s="41">
        <v>614.06641524094846</v>
      </c>
      <c r="F55" s="41">
        <v>68.53218972313374</v>
      </c>
      <c r="G55" s="41">
        <v>63.15789473684211</v>
      </c>
      <c r="H55" s="39">
        <v>1</v>
      </c>
      <c r="I55" s="39">
        <v>3</v>
      </c>
      <c r="J55" s="41">
        <v>63.15789473684211</v>
      </c>
      <c r="K55" s="40">
        <v>6.2E-2</v>
      </c>
      <c r="M55" s="38">
        <v>12</v>
      </c>
      <c r="N55" s="41">
        <v>868.42105263157896</v>
      </c>
      <c r="O55" s="41">
        <v>614.06641524094846</v>
      </c>
      <c r="P55" s="41">
        <v>158.28135385006229</v>
      </c>
      <c r="Q55" s="41">
        <v>56.84210526315789</v>
      </c>
      <c r="R55" s="41">
        <v>1</v>
      </c>
      <c r="S55" s="39">
        <v>3</v>
      </c>
      <c r="T55" s="41">
        <v>56.84210526315789</v>
      </c>
      <c r="U55" s="40">
        <v>6.2E-2</v>
      </c>
    </row>
    <row r="56" spans="1:21" x14ac:dyDescent="0.2">
      <c r="A56" s="14"/>
      <c r="C56" s="38">
        <v>13</v>
      </c>
      <c r="D56" s="41">
        <v>947.36842105263156</v>
      </c>
      <c r="E56" s="41">
        <v>669.89063480830737</v>
      </c>
      <c r="F56" s="41">
        <v>73.822845653395945</v>
      </c>
      <c r="G56" s="41">
        <v>65.26315789473685</v>
      </c>
      <c r="H56" s="39">
        <v>1</v>
      </c>
      <c r="I56" s="39">
        <v>3</v>
      </c>
      <c r="J56" s="41">
        <v>65.26315789473685</v>
      </c>
      <c r="K56" s="40">
        <v>6.2E-2</v>
      </c>
      <c r="M56" s="38">
        <v>13</v>
      </c>
      <c r="N56" s="41">
        <v>947.36842105263156</v>
      </c>
      <c r="O56" s="41">
        <v>669.89063480830737</v>
      </c>
      <c r="P56" s="41">
        <v>163.6182549328187</v>
      </c>
      <c r="Q56" s="41">
        <v>54.736842105263158</v>
      </c>
      <c r="R56" s="41">
        <v>1</v>
      </c>
      <c r="S56" s="39">
        <v>3</v>
      </c>
      <c r="T56" s="41">
        <v>54.736842105263158</v>
      </c>
      <c r="U56" s="40">
        <v>6.2E-2</v>
      </c>
    </row>
    <row r="57" spans="1:21" x14ac:dyDescent="0.2">
      <c r="A57" s="14"/>
      <c r="C57" s="38">
        <v>14</v>
      </c>
      <c r="D57" s="41">
        <v>1026.3157894736842</v>
      </c>
      <c r="E57" s="41">
        <v>725.71485437566628</v>
      </c>
      <c r="F57" s="41">
        <v>79.108597388642124</v>
      </c>
      <c r="G57" s="41">
        <v>67.368421052631589</v>
      </c>
      <c r="H57" s="39">
        <v>1</v>
      </c>
      <c r="I57" s="39">
        <v>3</v>
      </c>
      <c r="J57" s="41">
        <v>67.368421052631589</v>
      </c>
      <c r="K57" s="40">
        <v>6.2E-2</v>
      </c>
      <c r="M57" s="38">
        <v>14</v>
      </c>
      <c r="N57" s="41">
        <v>1026.3157894736842</v>
      </c>
      <c r="O57" s="41">
        <v>725.71485437566628</v>
      </c>
      <c r="P57" s="41">
        <v>168.96088858076877</v>
      </c>
      <c r="Q57" s="41">
        <v>52.631578947368418</v>
      </c>
      <c r="R57" s="41">
        <v>1</v>
      </c>
      <c r="S57" s="39">
        <v>3</v>
      </c>
      <c r="T57" s="41">
        <v>52.631578947368418</v>
      </c>
      <c r="U57" s="40">
        <v>6.2E-2</v>
      </c>
    </row>
    <row r="58" spans="1:21" x14ac:dyDescent="0.2">
      <c r="A58" s="14"/>
      <c r="C58" s="38">
        <v>15</v>
      </c>
      <c r="D58" s="41">
        <v>1105.2631578947369</v>
      </c>
      <c r="E58" s="41">
        <v>781.5390739430253</v>
      </c>
      <c r="F58" s="41">
        <v>84.389408787661353</v>
      </c>
      <c r="G58" s="41">
        <v>69.473684210526329</v>
      </c>
      <c r="H58" s="39">
        <v>1</v>
      </c>
      <c r="I58" s="39">
        <v>3</v>
      </c>
      <c r="J58" s="41">
        <v>69.473684210526329</v>
      </c>
      <c r="K58" s="40">
        <v>6.2E-2</v>
      </c>
      <c r="M58" s="38">
        <v>15</v>
      </c>
      <c r="N58" s="41">
        <v>1105.2631578947369</v>
      </c>
      <c r="O58" s="41">
        <v>781.5390739430253</v>
      </c>
      <c r="P58" s="41">
        <v>174.30920985796851</v>
      </c>
      <c r="Q58" s="41">
        <v>50.526315789473678</v>
      </c>
      <c r="R58" s="41">
        <v>1</v>
      </c>
      <c r="S58" s="39">
        <v>3</v>
      </c>
      <c r="T58" s="41">
        <v>50.526315789473678</v>
      </c>
      <c r="U58" s="40">
        <v>6.2E-2</v>
      </c>
    </row>
    <row r="59" spans="1:21" x14ac:dyDescent="0.2">
      <c r="A59" s="14"/>
      <c r="C59" s="38">
        <v>16</v>
      </c>
      <c r="D59" s="41">
        <v>1184.2105263157894</v>
      </c>
      <c r="E59" s="41">
        <v>837.36329351038421</v>
      </c>
      <c r="F59" s="41">
        <v>89.663867580544164</v>
      </c>
      <c r="G59" s="41">
        <v>71.578947368421055</v>
      </c>
      <c r="H59" s="39">
        <v>1</v>
      </c>
      <c r="I59" s="39">
        <v>3</v>
      </c>
      <c r="J59" s="41">
        <v>71.578947368421055</v>
      </c>
      <c r="K59" s="40">
        <v>6.2E-2</v>
      </c>
      <c r="M59" s="38">
        <v>16</v>
      </c>
      <c r="N59" s="41">
        <v>1184.2105263157894</v>
      </c>
      <c r="O59" s="41">
        <v>837.36329351038421</v>
      </c>
      <c r="P59" s="41">
        <v>179.66468760725496</v>
      </c>
      <c r="Q59" s="41">
        <v>48.421052631578952</v>
      </c>
      <c r="R59" s="41">
        <v>1</v>
      </c>
      <c r="S59" s="39">
        <v>3</v>
      </c>
      <c r="T59" s="41">
        <v>48.421052631578952</v>
      </c>
      <c r="U59" s="40">
        <v>6.2E-2</v>
      </c>
    </row>
    <row r="60" spans="1:21" x14ac:dyDescent="0.2">
      <c r="A60" s="14"/>
      <c r="C60" s="38">
        <v>17</v>
      </c>
      <c r="D60" s="41">
        <v>1263.1578947368421</v>
      </c>
      <c r="E60" s="41">
        <v>893.18751307774312</v>
      </c>
      <c r="F60" s="41">
        <v>94.932820964626472</v>
      </c>
      <c r="G60" s="41">
        <v>73.684210526315795</v>
      </c>
      <c r="H60" s="39">
        <v>1</v>
      </c>
      <c r="I60" s="39">
        <v>3</v>
      </c>
      <c r="J60" s="41">
        <v>73.684210526315795</v>
      </c>
      <c r="K60" s="40">
        <v>6.2E-2</v>
      </c>
      <c r="M60" s="38">
        <v>17</v>
      </c>
      <c r="N60" s="41">
        <v>1263.1578947368421</v>
      </c>
      <c r="O60" s="41">
        <v>893.18751307774312</v>
      </c>
      <c r="P60" s="41">
        <v>185.02622119958912</v>
      </c>
      <c r="Q60" s="41">
        <v>46.315789473684205</v>
      </c>
      <c r="R60" s="41">
        <v>1</v>
      </c>
      <c r="S60" s="39">
        <v>3</v>
      </c>
      <c r="T60" s="41">
        <v>46.315789473684205</v>
      </c>
      <c r="U60" s="40">
        <v>6.2E-2</v>
      </c>
    </row>
    <row r="61" spans="1:21" x14ac:dyDescent="0.2">
      <c r="A61" s="14"/>
      <c r="C61" s="38">
        <v>18</v>
      </c>
      <c r="D61" s="41">
        <v>1342.1052631578948</v>
      </c>
      <c r="E61" s="41">
        <v>949.01173264510214</v>
      </c>
      <c r="F61" s="41">
        <v>100.19668809369665</v>
      </c>
      <c r="G61" s="41">
        <v>75.789473684210535</v>
      </c>
      <c r="H61" s="39">
        <v>1</v>
      </c>
      <c r="I61" s="39">
        <v>3</v>
      </c>
      <c r="J61" s="41">
        <v>75.789473684210535</v>
      </c>
      <c r="K61" s="40">
        <v>6.2E-2</v>
      </c>
      <c r="M61" s="38">
        <v>18</v>
      </c>
      <c r="N61" s="41">
        <v>1342.1052631578948</v>
      </c>
      <c r="O61" s="41">
        <v>949.01173264510214</v>
      </c>
      <c r="P61" s="41">
        <v>190.39325339293578</v>
      </c>
      <c r="Q61" s="41">
        <v>44.210526315789465</v>
      </c>
      <c r="R61" s="41">
        <v>1</v>
      </c>
      <c r="S61" s="39">
        <v>3</v>
      </c>
      <c r="T61" s="41">
        <v>44.210526315789465</v>
      </c>
      <c r="U61" s="40">
        <v>6.2E-2</v>
      </c>
    </row>
    <row r="62" spans="1:21" x14ac:dyDescent="0.2">
      <c r="A62" s="14"/>
      <c r="C62" s="38">
        <v>19</v>
      </c>
      <c r="D62" s="41">
        <v>1421.0526315789473</v>
      </c>
      <c r="E62" s="41">
        <v>1004.8359522124611</v>
      </c>
      <c r="F62" s="41">
        <v>105.45543458028648</v>
      </c>
      <c r="G62" s="41">
        <v>77.894736842105274</v>
      </c>
      <c r="H62" s="39">
        <v>1</v>
      </c>
      <c r="I62" s="39">
        <v>3</v>
      </c>
      <c r="J62" s="41">
        <v>77.894736842105274</v>
      </c>
      <c r="K62" s="40">
        <v>6.2E-2</v>
      </c>
      <c r="M62" s="38">
        <v>19</v>
      </c>
      <c r="N62" s="41">
        <v>1421.0526315789473</v>
      </c>
      <c r="O62" s="41">
        <v>1004.8359522124611</v>
      </c>
      <c r="P62" s="41">
        <v>195.76573798782945</v>
      </c>
      <c r="Q62" s="41">
        <v>42.10526315789474</v>
      </c>
      <c r="R62" s="41">
        <v>1</v>
      </c>
      <c r="S62" s="39">
        <v>3</v>
      </c>
      <c r="T62" s="41">
        <v>42.10526315789474</v>
      </c>
      <c r="U62" s="40">
        <v>6.2E-2</v>
      </c>
    </row>
    <row r="63" spans="1:21" x14ac:dyDescent="0.2">
      <c r="A63" s="14"/>
      <c r="C63" s="42">
        <v>20</v>
      </c>
      <c r="D63" s="43">
        <v>1500</v>
      </c>
      <c r="E63" s="43">
        <v>1060.6601717798201</v>
      </c>
      <c r="F63" s="43">
        <v>110.70902625369689</v>
      </c>
      <c r="G63" s="43">
        <v>80</v>
      </c>
      <c r="H63" s="44">
        <v>1</v>
      </c>
      <c r="I63" s="44">
        <v>3</v>
      </c>
      <c r="J63" s="43">
        <v>80</v>
      </c>
      <c r="K63" s="45">
        <v>6.2E-2</v>
      </c>
      <c r="M63" s="42">
        <v>20</v>
      </c>
      <c r="N63" s="43">
        <v>1500</v>
      </c>
      <c r="O63" s="43">
        <v>1060.6601717798201</v>
      </c>
      <c r="P63" s="43">
        <v>201.14362864637445</v>
      </c>
      <c r="Q63" s="43">
        <v>40</v>
      </c>
      <c r="R63" s="43">
        <v>1</v>
      </c>
      <c r="S63" s="44">
        <v>3</v>
      </c>
      <c r="T63" s="43">
        <v>40</v>
      </c>
      <c r="U63" s="45">
        <v>6.2E-2</v>
      </c>
    </row>
    <row r="64" spans="1:21" x14ac:dyDescent="0.2">
      <c r="A64" s="14"/>
    </row>
    <row r="65" spans="1:1" x14ac:dyDescent="0.2">
      <c r="A65" s="14"/>
    </row>
    <row r="66" spans="1:1" x14ac:dyDescent="0.2">
      <c r="A66" s="14"/>
    </row>
  </sheetData>
  <mergeCells count="11">
    <mergeCell ref="F27:G27"/>
    <mergeCell ref="B3:E3"/>
    <mergeCell ref="B4:E4"/>
    <mergeCell ref="B5:E5"/>
    <mergeCell ref="B6:E8"/>
    <mergeCell ref="F26:G26"/>
    <mergeCell ref="F28:G28"/>
    <mergeCell ref="F29:G29"/>
    <mergeCell ref="F30:G30"/>
    <mergeCell ref="F31:G31"/>
    <mergeCell ref="F32:G32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40</vt:i4>
      </vt:variant>
    </vt:vector>
  </HeadingPairs>
  <TitlesOfParts>
    <vt:vector size="41" baseType="lpstr">
      <vt:lpstr>exercise_MF1</vt:lpstr>
      <vt:lpstr>exercise_MF1!Bob_</vt:lpstr>
      <vt:lpstr>exercise_MF1!calibr_fric</vt:lpstr>
      <vt:lpstr>exercise_MF1!calibr_grav</vt:lpstr>
      <vt:lpstr>exercise_MF1!calibr_type</vt:lpstr>
      <vt:lpstr>exercise_MF1!fw_</vt:lpstr>
      <vt:lpstr>exercise_MF1!gamma_gas_</vt:lpstr>
      <vt:lpstr>exercise_MF1!gamma_oil_</vt:lpstr>
      <vt:lpstr>exercise_MF1!gamma_wat_</vt:lpstr>
      <vt:lpstr>exercise_MF1!gas_only_</vt:lpstr>
      <vt:lpstr>exercise_MF1!Hydr_corr_</vt:lpstr>
      <vt:lpstr>exercise_MF1!id_</vt:lpstr>
      <vt:lpstr>exercise_MF1!input_0</vt:lpstr>
      <vt:lpstr>exercise_MF1!input_1</vt:lpstr>
      <vt:lpstr>exercise_MF1!input_Course</vt:lpstr>
      <vt:lpstr>exercise_MF1!input_Date</vt:lpstr>
      <vt:lpstr>exercise_MF1!input_Group</vt:lpstr>
      <vt:lpstr>exercise_MF1!input_Notes</vt:lpstr>
      <vt:lpstr>exercise_MF1!input_Student_Name</vt:lpstr>
      <vt:lpstr>exercise_MF1!input_Version</vt:lpstr>
      <vt:lpstr>exercise_MF1!Ksep</vt:lpstr>
      <vt:lpstr>exercise_MF1!L_</vt:lpstr>
      <vt:lpstr>exercise_MF1!muob_</vt:lpstr>
      <vt:lpstr>exercise_MF1!n_</vt:lpstr>
      <vt:lpstr>exercise_MF1!output_0</vt:lpstr>
      <vt:lpstr>exercise_MF1!output_1</vt:lpstr>
      <vt:lpstr>exercise_MF1!p0_</vt:lpstr>
      <vt:lpstr>exercise_MF1!p1_</vt:lpstr>
      <vt:lpstr>exercise_MF1!Pb_</vt:lpstr>
      <vt:lpstr>exercise_MF1!Psep</vt:lpstr>
      <vt:lpstr>exercise_MF1!PVRstr1_</vt:lpstr>
      <vt:lpstr>exercise_MF1!PVT_corr_</vt:lpstr>
      <vt:lpstr>exercise_MF1!Q_</vt:lpstr>
      <vt:lpstr>exercise_MF1!Q_gas_free_</vt:lpstr>
      <vt:lpstr>exercise_MF1!Rp_</vt:lpstr>
      <vt:lpstr>exercise_MF1!Rsb_</vt:lpstr>
      <vt:lpstr>exercise_MF1!t0_</vt:lpstr>
      <vt:lpstr>exercise_MF1!t1_</vt:lpstr>
      <vt:lpstr>exercise_MF1!theta_</vt:lpstr>
      <vt:lpstr>exercise_MF1!Tres_</vt:lpstr>
      <vt:lpstr>exercise_MF1!Tsep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2020-04-26T21:01:41Z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