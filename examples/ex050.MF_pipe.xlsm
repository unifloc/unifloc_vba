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C26C4137-2B3E-4759-ACDE-99A680F569FE}" xr6:coauthVersionLast="45" xr6:coauthVersionMax="45" xr10:uidLastSave="{00000000-0000-0000-0000-000000000000}"/>
  <bookViews>
    <workbookView xWindow="-35595" yWindow="2805" windowWidth="28800" windowHeight="15435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G1" i="120"/>
  <c r="I33" i="120" l="1"/>
  <c r="H33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  <c r="C37" i="120"/>
  <c r="M41" i="120" a="1"/>
  <c r="K29" i="120" a="1"/>
  <c r="K29" i="120" l="1"/>
  <c r="O54" i="120"/>
  <c r="M42" i="120"/>
  <c r="P50" i="120"/>
  <c r="Q49" i="120"/>
  <c r="T52" i="120"/>
  <c r="Q54" i="120"/>
  <c r="M55" i="120"/>
  <c r="O41" i="120"/>
  <c r="O57" i="120"/>
  <c r="P48" i="120"/>
  <c r="P41" i="120"/>
  <c r="P57" i="120"/>
  <c r="U50" i="120"/>
  <c r="S56" i="120"/>
  <c r="R45" i="120"/>
  <c r="P43" i="120"/>
  <c r="O63" i="120"/>
  <c r="S41" i="120"/>
  <c r="O59" i="120"/>
  <c r="S52" i="120"/>
  <c r="Q53" i="120"/>
  <c r="M59" i="120"/>
  <c r="N56" i="120"/>
  <c r="M49" i="120"/>
  <c r="U55" i="120"/>
  <c r="R55" i="120"/>
  <c r="M50" i="120"/>
  <c r="S51" i="120"/>
  <c r="T54" i="120"/>
  <c r="Q63" i="120"/>
  <c r="T55" i="120"/>
  <c r="N43" i="120"/>
  <c r="R42" i="120"/>
  <c r="R58" i="120"/>
  <c r="S53" i="120"/>
  <c r="S42" i="120"/>
  <c r="S58" i="120"/>
  <c r="O56" i="120"/>
  <c r="N42" i="120"/>
  <c r="U46" i="120"/>
  <c r="P51" i="120"/>
  <c r="P47" i="120"/>
  <c r="T48" i="120"/>
  <c r="T41" i="120"/>
  <c r="N59" i="120"/>
  <c r="P55" i="120"/>
  <c r="R52" i="120"/>
  <c r="O44" i="120"/>
  <c r="U56" i="120"/>
  <c r="S60" i="120"/>
  <c r="M53" i="120"/>
  <c r="N60" i="120"/>
  <c r="N41" i="120"/>
  <c r="N57" i="120"/>
  <c r="T49" i="120"/>
  <c r="U43" i="120"/>
  <c r="U59" i="120"/>
  <c r="S61" i="120"/>
  <c r="M44" i="120"/>
  <c r="M60" i="120"/>
  <c r="O60" i="120"/>
  <c r="Q51" i="120"/>
  <c r="O48" i="120"/>
  <c r="P59" i="120"/>
  <c r="M54" i="120"/>
  <c r="U58" i="120"/>
  <c r="S50" i="120"/>
  <c r="M61" i="120"/>
  <c r="T60" i="120"/>
  <c r="Q48" i="120"/>
  <c r="P44" i="120"/>
  <c r="O42" i="120"/>
  <c r="O58" i="120"/>
  <c r="N50" i="120"/>
  <c r="P54" i="120"/>
  <c r="O52" i="120"/>
  <c r="Q42" i="120"/>
  <c r="Q58" i="120"/>
  <c r="T57" i="120"/>
  <c r="O45" i="120"/>
  <c r="O61" i="120"/>
  <c r="N47" i="120"/>
  <c r="P45" i="120"/>
  <c r="P61" i="120"/>
  <c r="M43" i="120"/>
  <c r="N62" i="120"/>
  <c r="R49" i="120"/>
  <c r="T44" i="120"/>
  <c r="M58" i="120"/>
  <c r="O51" i="120"/>
  <c r="M51" i="120"/>
  <c r="U51" i="120"/>
  <c r="M56" i="120"/>
  <c r="R43" i="120"/>
  <c r="R59" i="120"/>
  <c r="Q59" i="120"/>
  <c r="S55" i="120"/>
  <c r="R61" i="120"/>
  <c r="T43" i="120"/>
  <c r="T59" i="120"/>
  <c r="R44" i="120"/>
  <c r="R46" i="120"/>
  <c r="R62" i="120"/>
  <c r="Q56" i="120"/>
  <c r="S46" i="120"/>
  <c r="S62" i="120"/>
  <c r="S49" i="120"/>
  <c r="M63" i="120"/>
  <c r="R53" i="120"/>
  <c r="N58" i="120"/>
  <c r="Q43" i="120"/>
  <c r="Q41" i="120"/>
  <c r="T46" i="120"/>
  <c r="T50" i="120"/>
  <c r="R41" i="120"/>
  <c r="N53" i="120"/>
  <c r="U44" i="120"/>
  <c r="U60" i="120"/>
  <c r="M41" i="120"/>
  <c r="M57" i="120"/>
  <c r="M47" i="120"/>
  <c r="N45" i="120"/>
  <c r="N61" i="120"/>
  <c r="U53" i="120"/>
  <c r="U47" i="120"/>
  <c r="U63" i="120"/>
  <c r="N63" i="120"/>
  <c r="M48" i="120"/>
  <c r="P56" i="120"/>
  <c r="N54" i="120"/>
  <c r="T53" i="120"/>
  <c r="O55" i="120"/>
  <c r="O46" i="120"/>
  <c r="O62" i="120"/>
  <c r="P42" i="120"/>
  <c r="P58" i="120"/>
  <c r="P52" i="120"/>
  <c r="Q46" i="120"/>
  <c r="Q62" i="120"/>
  <c r="U61" i="120"/>
  <c r="O49" i="120"/>
  <c r="T42" i="120"/>
  <c r="R48" i="120"/>
  <c r="P49" i="120"/>
  <c r="Q45" i="120"/>
  <c r="Q44" i="120"/>
  <c r="P63" i="120"/>
  <c r="P60" i="120"/>
  <c r="S45" i="120"/>
  <c r="N51" i="120"/>
  <c r="U48" i="120"/>
  <c r="N49" i="120"/>
  <c r="M52" i="120"/>
  <c r="T61" i="120"/>
  <c r="U62" i="120"/>
  <c r="R56" i="120"/>
  <c r="R47" i="120"/>
  <c r="R63" i="120"/>
  <c r="S43" i="120"/>
  <c r="S59" i="120"/>
  <c r="S57" i="120"/>
  <c r="T47" i="120"/>
  <c r="T63" i="120"/>
  <c r="M46" i="120"/>
  <c r="R50" i="120"/>
  <c r="N48" i="120"/>
  <c r="T45" i="120"/>
  <c r="M45" i="120"/>
  <c r="S44" i="120"/>
  <c r="Q57" i="120"/>
  <c r="U57" i="120"/>
  <c r="T62" i="120"/>
  <c r="Q52" i="120"/>
  <c r="N52" i="120"/>
  <c r="T56" i="120"/>
  <c r="O50" i="120"/>
  <c r="Q60" i="120"/>
  <c r="P46" i="120"/>
  <c r="P62" i="120"/>
  <c r="N55" i="120"/>
  <c r="Q50" i="120"/>
  <c r="Q61" i="120"/>
  <c r="M62" i="120"/>
  <c r="O53" i="120"/>
  <c r="P53" i="120"/>
  <c r="O43" i="120"/>
  <c r="U52" i="120"/>
  <c r="Q55" i="120"/>
  <c r="R51" i="120"/>
  <c r="O47" i="120"/>
  <c r="S47" i="120"/>
  <c r="S63" i="120"/>
  <c r="U41" i="120"/>
  <c r="T51" i="120"/>
  <c r="R57" i="120"/>
  <c r="Q47" i="120"/>
  <c r="R54" i="120"/>
  <c r="U54" i="120"/>
  <c r="N46" i="120"/>
  <c r="S54" i="120"/>
  <c r="T58" i="120"/>
  <c r="R60" i="120"/>
  <c r="U42" i="120"/>
  <c r="U45" i="120"/>
  <c r="U49" i="120"/>
  <c r="N44" i="120"/>
  <c r="S48" i="120"/>
  <c r="C41" i="120" a="1"/>
  <c r="J51" i="120" l="1"/>
  <c r="J49" i="120"/>
  <c r="F45" i="120"/>
  <c r="H50" i="120"/>
  <c r="H53" i="120"/>
  <c r="H41" i="120"/>
  <c r="K49" i="120"/>
  <c r="C46" i="120"/>
  <c r="G57" i="120"/>
  <c r="E46" i="120"/>
  <c r="E49" i="120"/>
  <c r="E41" i="120"/>
  <c r="E50" i="120"/>
  <c r="G45" i="120"/>
  <c r="K63" i="120"/>
  <c r="C53" i="120"/>
  <c r="E55" i="120"/>
  <c r="D63" i="120"/>
  <c r="J45" i="120"/>
  <c r="F41" i="120"/>
  <c r="C50" i="120"/>
  <c r="F43" i="120"/>
  <c r="F61" i="120"/>
  <c r="C54" i="120"/>
  <c r="C47" i="120"/>
  <c r="G60" i="120"/>
  <c r="K53" i="120"/>
  <c r="J56" i="120"/>
  <c r="K50" i="120"/>
  <c r="H46" i="120"/>
  <c r="D44" i="120"/>
  <c r="F54" i="120"/>
  <c r="D59" i="120"/>
  <c r="G61" i="120"/>
  <c r="H59" i="120"/>
  <c r="H61" i="120"/>
  <c r="I58" i="120"/>
  <c r="K48" i="120"/>
  <c r="F57" i="120"/>
  <c r="E42" i="120"/>
  <c r="D54" i="120"/>
  <c r="J54" i="120"/>
  <c r="G54" i="120"/>
  <c r="G56" i="120"/>
  <c r="E63" i="120"/>
  <c r="H60" i="120"/>
  <c r="G58" i="120"/>
  <c r="F44" i="120"/>
  <c r="F63" i="120"/>
  <c r="C63" i="120"/>
  <c r="I42" i="120"/>
  <c r="F50" i="120"/>
  <c r="K54" i="120"/>
  <c r="K59" i="120"/>
  <c r="D57" i="120"/>
  <c r="G50" i="120"/>
  <c r="I48" i="120"/>
  <c r="J50" i="120"/>
  <c r="E59" i="120"/>
  <c r="D53" i="120"/>
  <c r="E48" i="120"/>
  <c r="I52" i="120"/>
  <c r="J60" i="120"/>
  <c r="G42" i="120"/>
  <c r="G48" i="120"/>
  <c r="H51" i="120"/>
  <c r="F60" i="120"/>
  <c r="F49" i="120"/>
  <c r="J44" i="120"/>
  <c r="K45" i="120"/>
  <c r="K60" i="120"/>
  <c r="F48" i="120"/>
  <c r="H55" i="120"/>
  <c r="C56" i="120"/>
  <c r="F58" i="120"/>
  <c r="J59" i="120"/>
  <c r="E44" i="120"/>
  <c r="C42" i="120"/>
  <c r="C62" i="120"/>
  <c r="I41" i="120"/>
  <c r="J42" i="120"/>
  <c r="F42" i="120"/>
  <c r="I47" i="120"/>
  <c r="D45" i="120"/>
  <c r="K51" i="120"/>
  <c r="J53" i="120"/>
  <c r="J58" i="120"/>
  <c r="F46" i="120"/>
  <c r="D43" i="120"/>
  <c r="H57" i="120"/>
  <c r="J41" i="120"/>
  <c r="F53" i="120"/>
  <c r="G49" i="120"/>
  <c r="J55" i="120"/>
  <c r="E60" i="120"/>
  <c r="H43" i="120"/>
  <c r="G62" i="120"/>
  <c r="I57" i="120"/>
  <c r="I61" i="120"/>
  <c r="E47" i="120"/>
  <c r="H45" i="120"/>
  <c r="I46" i="120"/>
  <c r="H47" i="120"/>
  <c r="D42" i="120"/>
  <c r="E52" i="120"/>
  <c r="H63" i="120"/>
  <c r="J48" i="120"/>
  <c r="F62" i="120"/>
  <c r="J57" i="120"/>
  <c r="E56" i="120"/>
  <c r="K42" i="120"/>
  <c r="E51" i="120"/>
  <c r="I53" i="120"/>
  <c r="C44" i="120"/>
  <c r="I60" i="120"/>
  <c r="D51" i="120"/>
  <c r="G59" i="120"/>
  <c r="E61" i="120"/>
  <c r="I56" i="120"/>
  <c r="I62" i="120"/>
  <c r="E53" i="120"/>
  <c r="D58" i="120"/>
  <c r="I45" i="120"/>
  <c r="H54" i="120"/>
  <c r="H48" i="120"/>
  <c r="C49" i="120"/>
  <c r="D46" i="120"/>
  <c r="G63" i="120"/>
  <c r="K58" i="120"/>
  <c r="J46" i="120"/>
  <c r="D47" i="120"/>
  <c r="C60" i="120"/>
  <c r="K47" i="120"/>
  <c r="I44" i="120"/>
  <c r="E58" i="120"/>
  <c r="E54" i="120"/>
  <c r="G55" i="120"/>
  <c r="D56" i="120"/>
  <c r="F59" i="120"/>
  <c r="D61" i="120"/>
  <c r="D55" i="120"/>
  <c r="I49" i="120"/>
  <c r="C41" i="120"/>
  <c r="C61" i="120"/>
  <c r="D62" i="120"/>
  <c r="E45" i="120"/>
  <c r="F52" i="120"/>
  <c r="J62" i="120"/>
  <c r="G53" i="120"/>
  <c r="H49" i="120"/>
  <c r="K56" i="120"/>
  <c r="J63" i="120"/>
  <c r="H56" i="120"/>
  <c r="I59" i="120"/>
  <c r="D52" i="120"/>
  <c r="I54" i="120"/>
  <c r="G51" i="120"/>
  <c r="K46" i="120"/>
  <c r="D49" i="120"/>
  <c r="H42" i="120"/>
  <c r="D41" i="120"/>
  <c r="G47" i="120"/>
  <c r="C57" i="120"/>
  <c r="C43" i="120"/>
  <c r="C58" i="120"/>
  <c r="E57" i="120"/>
  <c r="E62" i="120"/>
  <c r="E43" i="120"/>
  <c r="C55" i="120"/>
  <c r="J52" i="120"/>
  <c r="I51" i="120"/>
  <c r="G44" i="120"/>
  <c r="J61" i="120"/>
  <c r="J47" i="120"/>
  <c r="K62" i="120"/>
  <c r="F47" i="120"/>
  <c r="I43" i="120"/>
  <c r="I50" i="120"/>
  <c r="K57" i="120"/>
  <c r="D48" i="120"/>
  <c r="C59" i="120"/>
  <c r="C48" i="120"/>
  <c r="K52" i="120"/>
  <c r="H62" i="120"/>
  <c r="C51" i="120"/>
  <c r="F55" i="120"/>
  <c r="K43" i="120"/>
  <c r="H52" i="120"/>
  <c r="I55" i="120"/>
  <c r="D50" i="120"/>
  <c r="F51" i="120"/>
  <c r="F56" i="120"/>
  <c r="I63" i="120"/>
  <c r="H44" i="120"/>
  <c r="D60" i="120"/>
  <c r="J43" i="120"/>
  <c r="K41" i="120"/>
  <c r="G52" i="120"/>
  <c r="G41" i="120"/>
  <c r="K55" i="120"/>
  <c r="H58" i="120"/>
  <c r="K61" i="120"/>
  <c r="G43" i="120"/>
  <c r="C52" i="120"/>
  <c r="K44" i="120"/>
  <c r="G46" i="120"/>
  <c r="C45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<sst xmlns="http://schemas.openxmlformats.org/spreadsheetml/2006/main" count="87" uniqueCount="73">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</sst>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0.96600673069518317</c:v>
                </c:pt>
                <c:pt idx="1">
                  <c:v>0.97672466677120484</c:v>
                </c:pt>
                <c:pt idx="2">
                  <c:v>0.98345727179794518</c:v>
                </c:pt>
                <c:pt idx="3">
                  <c:v>0.98803059729985765</c:v>
                </c:pt>
                <c:pt idx="4">
                  <c:v>0.99138274531898718</c:v>
                </c:pt>
                <c:pt idx="5">
                  <c:v>0.99397400187896745</c:v>
                </c:pt>
                <c:pt idx="6">
                  <c:v>0.99609671265883637</c:v>
                </c:pt>
                <c:pt idx="7">
                  <c:v>0.99771757223743662</c:v>
                </c:pt>
                <c:pt idx="8">
                  <c:v>0.99830715942990655</c:v>
                </c:pt>
                <c:pt idx="9">
                  <c:v>0.99907293722237578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2.0055428164678699</c:v>
                </c:pt>
                <c:pt idx="8">
                  <c:v>8.5040483680321408</c:v>
                </c:pt>
                <c:pt idx="9">
                  <c:v>16.372588830348743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2.0055428164678699</c:v>
                </c:pt>
                <c:pt idx="8">
                  <c:v>8.5040483680321408</c:v>
                </c:pt>
                <c:pt idx="9">
                  <c:v>16.372588830348743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0</c:v>
                </c:pt>
                <c:pt idx="1">
                  <c:v>0.10722098931931662</c:v>
                </c:pt>
                <c:pt idx="2">
                  <c:v>0.21444197863863323</c:v>
                </c:pt>
                <c:pt idx="3">
                  <c:v>0.32166296795794985</c:v>
                </c:pt>
                <c:pt idx="4">
                  <c:v>0.42888395727726647</c:v>
                </c:pt>
                <c:pt idx="5">
                  <c:v>0.53610494659658303</c:v>
                </c:pt>
                <c:pt idx="6">
                  <c:v>0.6433259359158997</c:v>
                </c:pt>
                <c:pt idx="7">
                  <c:v>0.75054692523521627</c:v>
                </c:pt>
                <c:pt idx="8">
                  <c:v>0.85793700550019236</c:v>
                </c:pt>
                <c:pt idx="9">
                  <c:v>0.93278322247278511</c:v>
                </c:pt>
                <c:pt idx="10">
                  <c:v>0.9585605913347518</c:v>
                </c:pt>
                <c:pt idx="11">
                  <c:v>0.97155792803506202</c:v>
                </c:pt>
                <c:pt idx="12">
                  <c:v>0.9794258292966439</c:v>
                </c:pt>
                <c:pt idx="13">
                  <c:v>0.98472503770584208</c:v>
                </c:pt>
                <c:pt idx="14">
                  <c:v>0.9885260354176153</c:v>
                </c:pt>
                <c:pt idx="15">
                  <c:v>0.99141401257401951</c:v>
                </c:pt>
                <c:pt idx="16">
                  <c:v>0.99371457271682684</c:v>
                </c:pt>
                <c:pt idx="17">
                  <c:v>0.99562562254963405</c:v>
                </c:pt>
                <c:pt idx="18">
                  <c:v>0.99731468991883276</c:v>
                </c:pt>
                <c:pt idx="19">
                  <c:v>0.99834607436419376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2.0055428164678699</c:v>
                </c:pt>
                <c:pt idx="8">
                  <c:v>8.5040483680321408</c:v>
                </c:pt>
                <c:pt idx="9">
                  <c:v>16.372588830348743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487006</xdr:colOff>
      <xdr:row>0</xdr:row>
      <xdr:rowOff>0</xdr:rowOff>
    </xdr:from>
    <xdr:to>
      <xdr:col>13</xdr:col>
      <xdr:colOff>504826</xdr:colOff>
      <xdr:row>14</xdr:row>
      <xdr:rowOff>209551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935741" y="0"/>
          <a:ext cx="4892379" cy="28429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053719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1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2000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"/>
      <definedName name="MF_p_pipe_atma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zoomScale="85" zoomScaleNormal="85" workbookViewId="0">
      <selection activeCell="M20" sqref="M20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[1]!unf_Version()</f>
        <v>7.23</v>
      </c>
      <c r="H1" t="s">
        <v>42</v>
      </c>
      <c r="I1" s="24">
        <v>43956</v>
      </c>
      <c r="J1" s="25"/>
      <c r="K1" s="25"/>
      <c r="L1" s="25"/>
    </row>
    <row r="2" spans="1:33" x14ac:dyDescent="0.2">
      <c r="A2" t="s">
        <v>56</v>
      </c>
      <c r="H2" t="s">
        <v>43</v>
      </c>
      <c r="I2" s="26">
        <v>7.23</v>
      </c>
      <c r="J2" s="25"/>
      <c r="K2" s="25"/>
      <c r="L2" s="25"/>
    </row>
    <row r="3" spans="1:33" ht="15" x14ac:dyDescent="0.25">
      <c r="A3" s="27" t="s">
        <v>44</v>
      </c>
      <c r="B3" s="66" t="s">
        <v>45</v>
      </c>
      <c r="C3" s="67"/>
      <c r="D3" s="67"/>
      <c r="E3" s="68"/>
      <c r="H3" t="s">
        <v>46</v>
      </c>
      <c r="I3" s="25" t="s">
        <v>45</v>
      </c>
      <c r="J3" s="25"/>
      <c r="K3" s="25"/>
      <c r="L3" s="25"/>
    </row>
    <row r="4" spans="1:33" ht="15" x14ac:dyDescent="0.25">
      <c r="A4" s="27" t="s">
        <v>47</v>
      </c>
      <c r="B4" s="66" t="s">
        <v>48</v>
      </c>
      <c r="C4" s="67"/>
      <c r="D4" s="67"/>
      <c r="E4" s="68"/>
      <c r="H4" t="s">
        <v>49</v>
      </c>
      <c r="I4" s="25" t="s">
        <v>48</v>
      </c>
      <c r="J4" s="25"/>
      <c r="K4" s="25"/>
      <c r="L4" s="25"/>
    </row>
    <row r="5" spans="1:33" ht="15" x14ac:dyDescent="0.25">
      <c r="A5" s="27" t="s">
        <v>50</v>
      </c>
      <c r="B5" s="66" t="s">
        <v>51</v>
      </c>
      <c r="C5" s="67"/>
      <c r="D5" s="67"/>
      <c r="E5" s="68"/>
      <c r="H5" t="s">
        <v>52</v>
      </c>
      <c r="I5" s="25" t="s">
        <v>51</v>
      </c>
      <c r="J5" s="25"/>
      <c r="K5" s="25"/>
      <c r="L5" s="25"/>
    </row>
    <row r="6" spans="1:33" x14ac:dyDescent="0.2">
      <c r="A6" s="28" t="s">
        <v>53</v>
      </c>
      <c r="B6" s="69" t="s">
        <v>54</v>
      </c>
      <c r="C6" s="70"/>
      <c r="D6" s="70"/>
      <c r="E6" s="71"/>
      <c r="H6" s="29" t="s">
        <v>55</v>
      </c>
      <c r="I6" s="30" t="s">
        <v>54</v>
      </c>
      <c r="J6" s="30"/>
      <c r="K6" s="30"/>
      <c r="L6" s="30"/>
    </row>
    <row r="7" spans="1:33" x14ac:dyDescent="0.2">
      <c r="A7" s="31"/>
      <c r="B7" s="72"/>
      <c r="C7" s="73"/>
      <c r="D7" s="73"/>
      <c r="E7" s="74"/>
      <c r="H7" s="29"/>
      <c r="I7" s="30"/>
      <c r="J7" s="30"/>
      <c r="K7" s="30"/>
      <c r="L7" s="30"/>
    </row>
    <row r="8" spans="1:33" x14ac:dyDescent="0.2">
      <c r="A8" s="32"/>
      <c r="B8" s="75"/>
      <c r="C8" s="76"/>
      <c r="D8" s="76"/>
      <c r="E8" s="77"/>
      <c r="H8" s="29"/>
      <c r="I8" s="30"/>
      <c r="J8" s="30"/>
      <c r="K8" s="30"/>
      <c r="L8" s="30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2000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1 m3/day</v>
      </c>
    </row>
    <row r="15" spans="1:33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1"/>
    </row>
    <row r="18" spans="1:27" ht="18.75" x14ac:dyDescent="0.35">
      <c r="B18" s="10" t="s">
        <v>20</v>
      </c>
      <c r="C18" s="2">
        <v>1.2</v>
      </c>
      <c r="D18" s="7" t="s">
        <v>12</v>
      </c>
      <c r="H18" s="62"/>
    </row>
    <row r="19" spans="1:27" ht="18" x14ac:dyDescent="0.35">
      <c r="B19" s="11" t="s">
        <v>21</v>
      </c>
      <c r="C19" s="2">
        <v>1</v>
      </c>
      <c r="D19" s="4" t="s">
        <v>4</v>
      </c>
      <c r="W19" s="16"/>
    </row>
    <row r="20" spans="1:27" x14ac:dyDescent="0.2">
      <c r="A20" s="1" t="s">
        <v>62</v>
      </c>
      <c r="W20" s="16"/>
    </row>
    <row r="21" spans="1:27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</row>
    <row r="22" spans="1:27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</row>
    <row r="23" spans="1:27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</row>
    <row r="24" spans="1:27" ht="15" x14ac:dyDescent="0.25">
      <c r="A24" s="1" t="s">
        <v>8</v>
      </c>
      <c r="F24" s="63" t="s">
        <v>63</v>
      </c>
      <c r="G24" s="64"/>
      <c r="H24" s="2">
        <v>0</v>
      </c>
    </row>
    <row r="25" spans="1:27" ht="15.75" x14ac:dyDescent="0.3">
      <c r="B25" s="11" t="s">
        <v>22</v>
      </c>
      <c r="C25" s="2">
        <v>1</v>
      </c>
      <c r="D25" s="7" t="s">
        <v>23</v>
      </c>
    </row>
    <row r="26" spans="1:27" ht="18" x14ac:dyDescent="0.35">
      <c r="B26" s="11" t="s">
        <v>38</v>
      </c>
      <c r="C26" s="2">
        <v>0</v>
      </c>
      <c r="D26" s="7" t="s">
        <v>39</v>
      </c>
      <c r="F26" s="65" t="s">
        <v>41</v>
      </c>
      <c r="G26" s="65"/>
      <c r="AA26">
        <f>1/3.7</f>
        <v>0.27027027027027023</v>
      </c>
    </row>
    <row r="27" spans="1:27" ht="15.75" x14ac:dyDescent="0.3">
      <c r="B27" s="11" t="s">
        <v>26</v>
      </c>
      <c r="C27" s="2">
        <v>10</v>
      </c>
      <c r="D27" s="4" t="s">
        <v>3</v>
      </c>
      <c r="F27" s="63" t="s">
        <v>59</v>
      </c>
      <c r="G27" s="64"/>
      <c r="H27" s="2">
        <v>1</v>
      </c>
      <c r="I27" s="2">
        <v>1</v>
      </c>
    </row>
    <row r="28" spans="1:27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A28">
        <f>0.25/0.0625</f>
        <v>4</v>
      </c>
    </row>
    <row r="29" spans="1:27" ht="18" customHeight="1" x14ac:dyDescent="0.25">
      <c r="B29" s="11" t="s">
        <v>28</v>
      </c>
      <c r="C29" s="2">
        <v>2000</v>
      </c>
      <c r="D29" s="7" t="s">
        <v>30</v>
      </c>
      <c r="K29" s="18" t="str" cm="1">
        <f t="array" ref="K29:O30">[1]!MF_calibr_pipe(p0_,p1_,t0_,t1_,L_,theta_,id_,Q_,fw_,Q_gas_free_,PVRstr1_,calc_flow_direction_,Hydr_corr_,H27:H28,,calibr_type_)</f>
        <v>no solution</v>
      </c>
      <c r="L29" s="19" t="str">
        <v>calibr_grav</v>
      </c>
      <c r="M29" s="19" t="str">
        <v>0</v>
      </c>
      <c r="N29" s="19" t="str">
        <v>0</v>
      </c>
      <c r="O29" s="20" t="str">
        <v>solve_equation_bisection: values at segment's ends must have a different sign</v>
      </c>
    </row>
    <row r="30" spans="1:27" ht="15" customHeight="1" x14ac:dyDescent="0.25">
      <c r="B30" s="11" t="s">
        <v>0</v>
      </c>
      <c r="C30" s="2">
        <v>62</v>
      </c>
      <c r="D30" s="7" t="s">
        <v>31</v>
      </c>
      <c r="F30" t="s">
        <v>69</v>
      </c>
      <c r="K30" s="21">
        <v>0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7" ht="15" customHeight="1" x14ac:dyDescent="0.25">
      <c r="B31" s="11" t="s">
        <v>29</v>
      </c>
      <c r="C31" s="2">
        <v>90</v>
      </c>
      <c r="D31" s="7" t="s">
        <v>32</v>
      </c>
      <c r="F31" s="54"/>
      <c r="G31" s="53" t="s">
        <v>70</v>
      </c>
      <c r="H31" s="2">
        <v>1</v>
      </c>
      <c r="I31" s="2">
        <v>0</v>
      </c>
    </row>
    <row r="32" spans="1:27" ht="15" customHeight="1" x14ac:dyDescent="0.25">
      <c r="B32" s="11" t="s">
        <v>33</v>
      </c>
      <c r="C32" s="15">
        <v>26</v>
      </c>
      <c r="D32" s="7" t="s">
        <v>5</v>
      </c>
      <c r="F32" s="55"/>
      <c r="G32" s="53" t="s">
        <v>71</v>
      </c>
      <c r="H32" s="2">
        <v>0</v>
      </c>
      <c r="I32" s="2">
        <v>0</v>
      </c>
    </row>
    <row r="33" spans="1:40" ht="15" x14ac:dyDescent="0.25">
      <c r="B33" s="11" t="s">
        <v>34</v>
      </c>
      <c r="C33" s="15">
        <v>100</v>
      </c>
      <c r="D33" s="7" t="s">
        <v>5</v>
      </c>
      <c r="F33" s="50"/>
      <c r="G33" s="51" t="s">
        <v>72</v>
      </c>
      <c r="H33" s="52">
        <f>calc_along_coord_*10+flow_along_coord_</f>
        <v>10</v>
      </c>
      <c r="I33" s="52">
        <f>I31*10+I32</f>
        <v>0</v>
      </c>
    </row>
    <row r="34" spans="1:40" ht="15" x14ac:dyDescent="0.25">
      <c r="B34" s="11" t="s">
        <v>35</v>
      </c>
      <c r="C34" s="2">
        <v>40</v>
      </c>
      <c r="D34" s="7" t="s">
        <v>37</v>
      </c>
    </row>
    <row r="35" spans="1:40" ht="15" x14ac:dyDescent="0.25">
      <c r="B35" s="11" t="s">
        <v>36</v>
      </c>
      <c r="C35" s="2">
        <v>80</v>
      </c>
      <c r="D35" s="7" t="s">
        <v>37</v>
      </c>
    </row>
    <row r="37" spans="1:40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gamma_gas:0.800;gamma_oil:0.860;gamma_wat:1.000;rsb_m3m3:80.000;rp_m3m3:80.000;pb_atma:120.000;tres_C:100.000;bob_m3m3:1.200;muob_cP:1.000;PVTcorr:0;ksep_fr:0.000;p_ksep_atma:50.000;t_ksep_C:30.000;gas_only:False;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5" x14ac:dyDescent="0.25">
      <c r="B38" s="48"/>
    </row>
    <row r="40" spans="1:40" ht="16.5" customHeight="1" x14ac:dyDescent="0.2">
      <c r="C40" s="33" t="s">
        <v>67</v>
      </c>
      <c r="M40" s="33" t="s">
        <v>68</v>
      </c>
    </row>
    <row r="41" spans="1:40" x14ac:dyDescent="0.2">
      <c r="A41" s="14"/>
      <c r="C41" s="42">
        <f t="array" ref="C41:K63">[1]!MF_p_pipe_atma(p0_,t0_,t1_,L_,theta_,id_,Q_,fw_,Q_gas_free_,PVRstr1_,calc_flow_direction_,Hydr_corr_,H27:H28)</f>
        <v>186.21718834701403</v>
      </c>
      <c r="D41" s="43">
        <v>80</v>
      </c>
      <c r="E41" s="43">
        <v>26</v>
      </c>
      <c r="F41" s="43">
        <v>40</v>
      </c>
      <c r="G41" s="49">
        <v>186.21718834701403</v>
      </c>
      <c r="H41" s="43">
        <v>80</v>
      </c>
      <c r="I41" s="43">
        <v>1</v>
      </c>
      <c r="J41" s="43">
        <v>1</v>
      </c>
      <c r="K41" s="44">
        <v>72</v>
      </c>
      <c r="M41" s="42">
        <f t="array" ref="M41:U63">[1]!MF_p_pipe_atma(p1_,t1_,t0_,L_,theta_,id_,Q_,fw_,Q_gas_free_,PVRstr1_,calc_flow_direction2_,Hydr_corr_,H27:H28)</f>
        <v>0</v>
      </c>
      <c r="N41" s="43">
        <v>40</v>
      </c>
      <c r="O41" s="43">
        <v>0</v>
      </c>
      <c r="P41" s="43">
        <v>40</v>
      </c>
      <c r="Q41" s="43">
        <v>100</v>
      </c>
      <c r="R41" s="43">
        <v>80</v>
      </c>
      <c r="S41" s="43">
        <v>1</v>
      </c>
      <c r="T41" s="43">
        <v>1</v>
      </c>
      <c r="U41" s="44">
        <v>72</v>
      </c>
    </row>
    <row r="42" spans="1:40" x14ac:dyDescent="0.2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 t="str">
        <v>p_result_atma</v>
      </c>
      <c r="N42" s="46" t="str">
        <v>t_result_C</v>
      </c>
      <c r="O42" s="46" t="str">
        <v>p_1, atma</v>
      </c>
      <c r="P42" s="46" t="str">
        <v>t_1, C</v>
      </c>
      <c r="Q42" s="46" t="str">
        <v>p_2, atma</v>
      </c>
      <c r="R42" s="46" t="str">
        <v>t_2, C</v>
      </c>
      <c r="S42" s="46" t="str">
        <v>c_calibr_grav</v>
      </c>
      <c r="T42" s="46" t="str">
        <v>c_calibr_fric</v>
      </c>
      <c r="U42" s="47" t="str">
        <v>q_gas_sm3day</v>
      </c>
    </row>
    <row r="43" spans="1:40" x14ac:dyDescent="0.2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 t="str">
        <v>num</v>
      </c>
      <c r="N43" s="35" t="str">
        <v>h,m</v>
      </c>
      <c r="O43" s="35" t="str">
        <v>hvert,m</v>
      </c>
      <c r="P43" s="35" t="str">
        <v>p,atma</v>
      </c>
      <c r="Q43" s="35" t="str">
        <v>t,C</v>
      </c>
      <c r="R43" s="35" t="str">
        <v>Hl</v>
      </c>
      <c r="S43" s="35" t="str">
        <v>fpat</v>
      </c>
      <c r="T43" s="35" t="str">
        <v>t_amb, C</v>
      </c>
      <c r="U43" s="36" t="str">
        <v>diam, m</v>
      </c>
    </row>
    <row r="44" spans="1:40" x14ac:dyDescent="0.2">
      <c r="A44" s="14"/>
      <c r="C44" s="34">
        <v>1</v>
      </c>
      <c r="D44" s="37">
        <v>0</v>
      </c>
      <c r="E44" s="35">
        <v>0</v>
      </c>
      <c r="F44" s="59">
        <v>26</v>
      </c>
      <c r="G44" s="37">
        <v>40</v>
      </c>
      <c r="H44" s="56">
        <v>0.96600673069518317</v>
      </c>
      <c r="I44" s="35">
        <v>102</v>
      </c>
      <c r="J44" s="37">
        <v>40</v>
      </c>
      <c r="K44" s="36">
        <v>6.2E-2</v>
      </c>
      <c r="L44" s="58"/>
      <c r="M44" s="34">
        <v>1</v>
      </c>
      <c r="N44" s="37">
        <v>0</v>
      </c>
      <c r="O44" s="37">
        <v>0</v>
      </c>
      <c r="P44" s="37">
        <v>0</v>
      </c>
      <c r="Q44" s="37">
        <v>40</v>
      </c>
      <c r="R44" s="56">
        <v>0</v>
      </c>
      <c r="S44" s="35">
        <v>0</v>
      </c>
      <c r="T44" s="37">
        <v>40</v>
      </c>
      <c r="U44" s="36">
        <v>6.2E-2</v>
      </c>
    </row>
    <row r="45" spans="1:40" x14ac:dyDescent="0.2">
      <c r="A45" s="14"/>
      <c r="C45" s="34">
        <v>2</v>
      </c>
      <c r="D45" s="37">
        <v>105.26315789473684</v>
      </c>
      <c r="E45" s="37">
        <v>105.26315789473684</v>
      </c>
      <c r="F45" s="59">
        <v>34.504319957856971</v>
      </c>
      <c r="G45" s="37">
        <v>42.10526315789474</v>
      </c>
      <c r="H45" s="56">
        <v>0.97672466677120484</v>
      </c>
      <c r="I45" s="35">
        <v>102</v>
      </c>
      <c r="J45" s="37">
        <v>42.10526315789474</v>
      </c>
      <c r="K45" s="36">
        <v>6.2E-2</v>
      </c>
      <c r="L45" s="58"/>
      <c r="M45" s="34">
        <v>2</v>
      </c>
      <c r="N45" s="37">
        <v>105.26315789473684</v>
      </c>
      <c r="O45" s="37">
        <v>105.26315789473684</v>
      </c>
      <c r="P45" s="37">
        <v>0</v>
      </c>
      <c r="Q45" s="37">
        <v>42.10526315789474</v>
      </c>
      <c r="R45" s="56">
        <v>0.10722098931931662</v>
      </c>
      <c r="S45" s="35">
        <v>0</v>
      </c>
      <c r="T45" s="37">
        <v>42.10526315789474</v>
      </c>
      <c r="U45" s="36">
        <v>6.2E-2</v>
      </c>
    </row>
    <row r="46" spans="1:40" x14ac:dyDescent="0.2">
      <c r="A46" s="14"/>
      <c r="C46" s="34">
        <v>3</v>
      </c>
      <c r="D46" s="37">
        <v>210.52631578947367</v>
      </c>
      <c r="E46" s="37">
        <v>210.52631578947367</v>
      </c>
      <c r="F46" s="59">
        <v>43.045224397376856</v>
      </c>
      <c r="G46" s="37">
        <v>44.210526315789473</v>
      </c>
      <c r="H46" s="56">
        <v>0.98345727179794518</v>
      </c>
      <c r="I46" s="35">
        <v>102</v>
      </c>
      <c r="J46" s="37">
        <v>44.210526315789473</v>
      </c>
      <c r="K46" s="36">
        <v>6.2E-2</v>
      </c>
      <c r="L46" s="58"/>
      <c r="M46" s="34">
        <v>3</v>
      </c>
      <c r="N46" s="37">
        <v>210.52631578947367</v>
      </c>
      <c r="O46" s="37">
        <v>210.52631578947367</v>
      </c>
      <c r="P46" s="37">
        <v>0</v>
      </c>
      <c r="Q46" s="37">
        <v>44.210526315789473</v>
      </c>
      <c r="R46" s="56">
        <v>0.21444197863863323</v>
      </c>
      <c r="S46" s="35">
        <v>0</v>
      </c>
      <c r="T46" s="37">
        <v>44.210526315789473</v>
      </c>
      <c r="U46" s="36">
        <v>6.2E-2</v>
      </c>
    </row>
    <row r="47" spans="1:40" x14ac:dyDescent="0.2">
      <c r="A47" s="14"/>
      <c r="C47" s="34">
        <v>4</v>
      </c>
      <c r="D47" s="37">
        <v>315.78947368421052</v>
      </c>
      <c r="E47" s="37">
        <v>315.78947368421052</v>
      </c>
      <c r="F47" s="59">
        <v>51.594477324812374</v>
      </c>
      <c r="G47" s="37">
        <v>46.315789473684212</v>
      </c>
      <c r="H47" s="56">
        <v>0.98803059729985765</v>
      </c>
      <c r="I47" s="35">
        <v>102</v>
      </c>
      <c r="J47" s="37">
        <v>46.315789473684212</v>
      </c>
      <c r="K47" s="36">
        <v>6.2E-2</v>
      </c>
      <c r="L47" s="58"/>
      <c r="M47" s="34">
        <v>4</v>
      </c>
      <c r="N47" s="37">
        <v>315.78947368421052</v>
      </c>
      <c r="O47" s="37">
        <v>315.78947368421052</v>
      </c>
      <c r="P47" s="37">
        <v>0</v>
      </c>
      <c r="Q47" s="37">
        <v>46.315789473684212</v>
      </c>
      <c r="R47" s="56">
        <v>0.32166296795794985</v>
      </c>
      <c r="S47" s="35">
        <v>0</v>
      </c>
      <c r="T47" s="37">
        <v>46.315789473684212</v>
      </c>
      <c r="U47" s="36">
        <v>6.2E-2</v>
      </c>
    </row>
    <row r="48" spans="1:40" x14ac:dyDescent="0.2">
      <c r="A48" s="14"/>
      <c r="C48" s="34">
        <v>5</v>
      </c>
      <c r="D48" s="37">
        <v>421.05263157894734</v>
      </c>
      <c r="E48" s="37">
        <v>421.05263157894734</v>
      </c>
      <c r="F48" s="59">
        <v>60.1359480449646</v>
      </c>
      <c r="G48" s="37">
        <v>48.421052631578945</v>
      </c>
      <c r="H48" s="56">
        <v>0.99138274531898718</v>
      </c>
      <c r="I48" s="35">
        <v>102</v>
      </c>
      <c r="J48" s="37">
        <v>48.421052631578945</v>
      </c>
      <c r="K48" s="36">
        <v>6.2E-2</v>
      </c>
      <c r="L48" s="58"/>
      <c r="M48" s="34">
        <v>5</v>
      </c>
      <c r="N48" s="37">
        <v>421.05263157894734</v>
      </c>
      <c r="O48" s="37">
        <v>421.05263157894734</v>
      </c>
      <c r="P48" s="37">
        <v>0</v>
      </c>
      <c r="Q48" s="37">
        <v>48.421052631578945</v>
      </c>
      <c r="R48" s="56">
        <v>0.42888395727726647</v>
      </c>
      <c r="S48" s="35">
        <v>0</v>
      </c>
      <c r="T48" s="37">
        <v>48.421052631578945</v>
      </c>
      <c r="U48" s="36">
        <v>6.2E-2</v>
      </c>
    </row>
    <row r="49" spans="1:21" x14ac:dyDescent="0.2">
      <c r="A49" s="14"/>
      <c r="C49" s="34">
        <v>6</v>
      </c>
      <c r="D49" s="37">
        <v>526.31578947368416</v>
      </c>
      <c r="E49" s="37">
        <v>526.31578947368416</v>
      </c>
      <c r="F49" s="59">
        <v>68.659657275780532</v>
      </c>
      <c r="G49" s="37">
        <v>50.526315789473685</v>
      </c>
      <c r="H49" s="56">
        <v>0.99397400187896745</v>
      </c>
      <c r="I49" s="35">
        <v>102</v>
      </c>
      <c r="J49" s="37">
        <v>50.526315789473685</v>
      </c>
      <c r="K49" s="36">
        <v>6.2E-2</v>
      </c>
      <c r="L49" s="58"/>
      <c r="M49" s="34">
        <v>6</v>
      </c>
      <c r="N49" s="37">
        <v>526.31578947368416</v>
      </c>
      <c r="O49" s="37">
        <v>526.31578947368416</v>
      </c>
      <c r="P49" s="37">
        <v>0</v>
      </c>
      <c r="Q49" s="37">
        <v>50.526315789473685</v>
      </c>
      <c r="R49" s="56">
        <v>0.53610494659658303</v>
      </c>
      <c r="S49" s="35">
        <v>0</v>
      </c>
      <c r="T49" s="37">
        <v>50.526315789473685</v>
      </c>
      <c r="U49" s="36">
        <v>6.2E-2</v>
      </c>
    </row>
    <row r="50" spans="1:21" x14ac:dyDescent="0.2">
      <c r="A50" s="14"/>
      <c r="C50" s="34">
        <v>7</v>
      </c>
      <c r="D50" s="37">
        <v>631.57894736842104</v>
      </c>
      <c r="E50" s="37">
        <v>631.57894736842104</v>
      </c>
      <c r="F50" s="59">
        <v>77.159174308398505</v>
      </c>
      <c r="G50" s="37">
        <v>52.631578947368418</v>
      </c>
      <c r="H50" s="56">
        <v>0.99609671265883637</v>
      </c>
      <c r="I50" s="35">
        <v>102</v>
      </c>
      <c r="J50" s="37">
        <v>52.631578947368418</v>
      </c>
      <c r="K50" s="36">
        <v>6.2E-2</v>
      </c>
      <c r="L50" s="58"/>
      <c r="M50" s="34">
        <v>7</v>
      </c>
      <c r="N50" s="37">
        <v>631.57894736842104</v>
      </c>
      <c r="O50" s="37">
        <v>631.57894736842104</v>
      </c>
      <c r="P50" s="37">
        <v>0</v>
      </c>
      <c r="Q50" s="37">
        <v>52.631578947368418</v>
      </c>
      <c r="R50" s="56">
        <v>0.6433259359158997</v>
      </c>
      <c r="S50" s="35">
        <v>0</v>
      </c>
      <c r="T50" s="37">
        <v>52.631578947368418</v>
      </c>
      <c r="U50" s="36">
        <v>6.2E-2</v>
      </c>
    </row>
    <row r="51" spans="1:21" x14ac:dyDescent="0.2">
      <c r="A51" s="14"/>
      <c r="C51" s="34">
        <v>8</v>
      </c>
      <c r="D51" s="37">
        <v>736.8421052631578</v>
      </c>
      <c r="E51" s="37">
        <v>736.8421052631578</v>
      </c>
      <c r="F51" s="59">
        <v>85.630078771087057</v>
      </c>
      <c r="G51" s="37">
        <v>54.736842105263158</v>
      </c>
      <c r="H51" s="56">
        <v>0.99771757223743662</v>
      </c>
      <c r="I51" s="35">
        <v>102</v>
      </c>
      <c r="J51" s="37">
        <v>54.736842105263158</v>
      </c>
      <c r="K51" s="36">
        <v>6.2E-2</v>
      </c>
      <c r="L51" s="58"/>
      <c r="M51" s="34">
        <v>8</v>
      </c>
      <c r="N51" s="37">
        <v>736.8421052631578</v>
      </c>
      <c r="O51" s="37">
        <v>736.8421052631578</v>
      </c>
      <c r="P51" s="37">
        <v>2.0055428164678699</v>
      </c>
      <c r="Q51" s="37">
        <v>54.736842105263158</v>
      </c>
      <c r="R51" s="56">
        <v>0.75054692523521627</v>
      </c>
      <c r="S51" s="35">
        <v>0</v>
      </c>
      <c r="T51" s="37">
        <v>54.736842105263158</v>
      </c>
      <c r="U51" s="36">
        <v>6.2E-2</v>
      </c>
    </row>
    <row r="52" spans="1:21" x14ac:dyDescent="0.2">
      <c r="A52" s="14"/>
      <c r="C52" s="34">
        <v>9</v>
      </c>
      <c r="D52" s="37">
        <v>842.10526315789468</v>
      </c>
      <c r="E52" s="37">
        <v>842.10526315789468</v>
      </c>
      <c r="F52" s="59">
        <v>94.065326747838441</v>
      </c>
      <c r="G52" s="37">
        <v>56.84210526315789</v>
      </c>
      <c r="H52" s="56">
        <v>0.99830715942990655</v>
      </c>
      <c r="I52" s="35">
        <v>102</v>
      </c>
      <c r="J52" s="37">
        <v>56.84210526315789</v>
      </c>
      <c r="K52" s="36">
        <v>6.2E-2</v>
      </c>
      <c r="L52" s="58"/>
      <c r="M52" s="34">
        <v>9</v>
      </c>
      <c r="N52" s="37">
        <v>842.10526315789468</v>
      </c>
      <c r="O52" s="37">
        <v>842.10526315789468</v>
      </c>
      <c r="P52" s="37">
        <v>8.5040483680321408</v>
      </c>
      <c r="Q52" s="37">
        <v>56.84210526315789</v>
      </c>
      <c r="R52" s="56">
        <v>0.85793700550019236</v>
      </c>
      <c r="S52" s="35">
        <v>102</v>
      </c>
      <c r="T52" s="37">
        <v>56.84210526315789</v>
      </c>
      <c r="U52" s="36">
        <v>6.2E-2</v>
      </c>
    </row>
    <row r="53" spans="1:21" x14ac:dyDescent="0.2">
      <c r="A53" s="14"/>
      <c r="C53" s="34">
        <v>10</v>
      </c>
      <c r="D53" s="37">
        <v>947.36842105263156</v>
      </c>
      <c r="E53" s="37">
        <v>947.36842105263156</v>
      </c>
      <c r="F53" s="59">
        <v>102.46237417201509</v>
      </c>
      <c r="G53" s="37">
        <v>58.94736842105263</v>
      </c>
      <c r="H53" s="56">
        <v>0.99907293722237578</v>
      </c>
      <c r="I53" s="35">
        <v>102</v>
      </c>
      <c r="J53" s="37">
        <v>58.94736842105263</v>
      </c>
      <c r="K53" s="36">
        <v>6.2E-2</v>
      </c>
      <c r="L53" s="58"/>
      <c r="M53" s="34">
        <v>10</v>
      </c>
      <c r="N53" s="37">
        <v>947.36842105263156</v>
      </c>
      <c r="O53" s="37">
        <v>947.36842105263156</v>
      </c>
      <c r="P53" s="37">
        <v>16.372588830348743</v>
      </c>
      <c r="Q53" s="37">
        <v>58.94736842105263</v>
      </c>
      <c r="R53" s="56">
        <v>0.93278322247278511</v>
      </c>
      <c r="S53" s="35">
        <v>102</v>
      </c>
      <c r="T53" s="37">
        <v>58.94736842105263</v>
      </c>
      <c r="U53" s="36">
        <v>6.2E-2</v>
      </c>
    </row>
    <row r="54" spans="1:21" x14ac:dyDescent="0.2">
      <c r="A54" s="14"/>
      <c r="C54" s="34">
        <v>11</v>
      </c>
      <c r="D54" s="37">
        <v>1052.6315789473683</v>
      </c>
      <c r="E54" s="37">
        <v>1052.6315789473683</v>
      </c>
      <c r="F54" s="59">
        <v>110.8432256311057</v>
      </c>
      <c r="G54" s="37">
        <v>61.05263157894737</v>
      </c>
      <c r="H54" s="56">
        <v>1</v>
      </c>
      <c r="I54" s="35">
        <v>100</v>
      </c>
      <c r="J54" s="37">
        <v>61.05263157894737</v>
      </c>
      <c r="K54" s="36">
        <v>6.2E-2</v>
      </c>
      <c r="L54" s="58"/>
      <c r="M54" s="34">
        <v>11</v>
      </c>
      <c r="N54" s="37">
        <v>1052.6315789473683</v>
      </c>
      <c r="O54" s="37">
        <v>1052.6315789473683</v>
      </c>
      <c r="P54" s="37">
        <v>24.592377060057373</v>
      </c>
      <c r="Q54" s="37">
        <v>61.05263157894737</v>
      </c>
      <c r="R54" s="56">
        <v>0.9585605913347518</v>
      </c>
      <c r="S54" s="35">
        <v>102</v>
      </c>
      <c r="T54" s="37">
        <v>61.05263157894737</v>
      </c>
      <c r="U54" s="36">
        <v>6.2E-2</v>
      </c>
    </row>
    <row r="55" spans="1:21" x14ac:dyDescent="0.2">
      <c r="A55" s="14"/>
      <c r="C55" s="34">
        <v>12</v>
      </c>
      <c r="D55" s="37">
        <v>1157.8947368421052</v>
      </c>
      <c r="E55" s="37">
        <v>1157.8947368421052</v>
      </c>
      <c r="F55" s="59">
        <v>119.22488655187726</v>
      </c>
      <c r="G55" s="37">
        <v>63.157894736842103</v>
      </c>
      <c r="H55" s="56">
        <v>1</v>
      </c>
      <c r="I55" s="35">
        <v>100</v>
      </c>
      <c r="J55" s="37">
        <v>63.157894736842103</v>
      </c>
      <c r="K55" s="36">
        <v>6.2E-2</v>
      </c>
      <c r="L55" s="58"/>
      <c r="M55" s="34">
        <v>12</v>
      </c>
      <c r="N55" s="37">
        <v>1157.8947368421052</v>
      </c>
      <c r="O55" s="37">
        <v>1157.8947368421052</v>
      </c>
      <c r="P55" s="37">
        <v>32.938775391750106</v>
      </c>
      <c r="Q55" s="37">
        <v>63.157894736842103</v>
      </c>
      <c r="R55" s="56">
        <v>0.97155792803506202</v>
      </c>
      <c r="S55" s="35">
        <v>102</v>
      </c>
      <c r="T55" s="37">
        <v>63.157894736842103</v>
      </c>
      <c r="U55" s="36">
        <v>6.2E-2</v>
      </c>
    </row>
    <row r="56" spans="1:21" x14ac:dyDescent="0.2">
      <c r="A56" s="14"/>
      <c r="C56" s="34">
        <v>13</v>
      </c>
      <c r="D56" s="37">
        <v>1263.1578947368421</v>
      </c>
      <c r="E56" s="37">
        <v>1263.1578947368421</v>
      </c>
      <c r="F56" s="59">
        <v>127.60660761895332</v>
      </c>
      <c r="G56" s="37">
        <v>65.263157894736835</v>
      </c>
      <c r="H56" s="56">
        <v>1</v>
      </c>
      <c r="I56" s="35">
        <v>100</v>
      </c>
      <c r="J56" s="37">
        <v>65.263157894736835</v>
      </c>
      <c r="K56" s="36">
        <v>6.2E-2</v>
      </c>
      <c r="L56" s="58"/>
      <c r="M56" s="34">
        <v>13</v>
      </c>
      <c r="N56" s="37">
        <v>1263.1578947368421</v>
      </c>
      <c r="O56" s="37">
        <v>1263.1578947368421</v>
      </c>
      <c r="P56" s="37">
        <v>41.338306072163746</v>
      </c>
      <c r="Q56" s="37">
        <v>65.263157894736835</v>
      </c>
      <c r="R56" s="56">
        <v>0.9794258292966439</v>
      </c>
      <c r="S56" s="35">
        <v>102</v>
      </c>
      <c r="T56" s="37">
        <v>65.263157894736835</v>
      </c>
      <c r="U56" s="36">
        <v>6.2E-2</v>
      </c>
    </row>
    <row r="57" spans="1:21" x14ac:dyDescent="0.2">
      <c r="A57" s="14"/>
      <c r="C57" s="34">
        <v>14</v>
      </c>
      <c r="D57" s="37">
        <v>1368.421052631579</v>
      </c>
      <c r="E57" s="37">
        <v>1368.421052631579</v>
      </c>
      <c r="F57" s="59">
        <v>135.98742985980513</v>
      </c>
      <c r="G57" s="37">
        <v>67.368421052631575</v>
      </c>
      <c r="H57" s="56">
        <v>1</v>
      </c>
      <c r="I57" s="35">
        <v>100</v>
      </c>
      <c r="J57" s="37">
        <v>67.368421052631575</v>
      </c>
      <c r="K57" s="36">
        <v>6.2E-2</v>
      </c>
      <c r="L57" s="58"/>
      <c r="M57" s="34">
        <v>14</v>
      </c>
      <c r="N57" s="37">
        <v>1368.421052631579</v>
      </c>
      <c r="O57" s="37">
        <v>1368.421052631579</v>
      </c>
      <c r="P57" s="37">
        <v>49.757404581022854</v>
      </c>
      <c r="Q57" s="37">
        <v>67.368421052631575</v>
      </c>
      <c r="R57" s="56">
        <v>0.98472503770584208</v>
      </c>
      <c r="S57" s="35">
        <v>102</v>
      </c>
      <c r="T57" s="37">
        <v>67.368421052631575</v>
      </c>
      <c r="U57" s="36">
        <v>6.2E-2</v>
      </c>
    </row>
    <row r="58" spans="1:21" x14ac:dyDescent="0.2">
      <c r="A58" s="14"/>
      <c r="C58" s="34">
        <v>15</v>
      </c>
      <c r="D58" s="37">
        <v>1473.6842105263156</v>
      </c>
      <c r="E58" s="37">
        <v>1473.6842105263156</v>
      </c>
      <c r="F58" s="59">
        <v>144.36656442044372</v>
      </c>
      <c r="G58" s="37">
        <v>69.473684210526315</v>
      </c>
      <c r="H58" s="56">
        <v>1</v>
      </c>
      <c r="I58" s="35">
        <v>100</v>
      </c>
      <c r="J58" s="37">
        <v>69.473684210526315</v>
      </c>
      <c r="K58" s="36">
        <v>6.2E-2</v>
      </c>
      <c r="L58" s="58"/>
      <c r="M58" s="34">
        <v>15</v>
      </c>
      <c r="N58" s="37">
        <v>1473.6842105263156</v>
      </c>
      <c r="O58" s="37">
        <v>1473.6842105263156</v>
      </c>
      <c r="P58" s="37">
        <v>58.177094879643931</v>
      </c>
      <c r="Q58" s="37">
        <v>69.473684210526315</v>
      </c>
      <c r="R58" s="56">
        <v>0.9885260354176153</v>
      </c>
      <c r="S58" s="35">
        <v>102</v>
      </c>
      <c r="T58" s="37">
        <v>69.473684210526315</v>
      </c>
      <c r="U58" s="36">
        <v>6.2E-2</v>
      </c>
    </row>
    <row r="59" spans="1:21" x14ac:dyDescent="0.2">
      <c r="A59" s="14"/>
      <c r="C59" s="34">
        <v>16</v>
      </c>
      <c r="D59" s="37">
        <v>1578.9473684210525</v>
      </c>
      <c r="E59" s="37">
        <v>1578.9473684210525</v>
      </c>
      <c r="F59" s="59">
        <v>152.74335470445777</v>
      </c>
      <c r="G59" s="37">
        <v>71.578947368421055</v>
      </c>
      <c r="H59" s="56">
        <v>1</v>
      </c>
      <c r="I59" s="35">
        <v>100</v>
      </c>
      <c r="J59" s="37">
        <v>71.578947368421055</v>
      </c>
      <c r="K59" s="36">
        <v>6.2E-2</v>
      </c>
      <c r="L59" s="58"/>
      <c r="M59" s="34">
        <v>16</v>
      </c>
      <c r="N59" s="37">
        <v>1578.9473684210525</v>
      </c>
      <c r="O59" s="37">
        <v>1578.9473684210525</v>
      </c>
      <c r="P59" s="37">
        <v>66.585965518062423</v>
      </c>
      <c r="Q59" s="37">
        <v>71.578947368421055</v>
      </c>
      <c r="R59" s="56">
        <v>0.99141401257401951</v>
      </c>
      <c r="S59" s="35">
        <v>102</v>
      </c>
      <c r="T59" s="37">
        <v>71.578947368421055</v>
      </c>
      <c r="U59" s="36">
        <v>6.2E-2</v>
      </c>
    </row>
    <row r="60" spans="1:21" x14ac:dyDescent="0.2">
      <c r="A60" s="14"/>
      <c r="C60" s="34">
        <v>17</v>
      </c>
      <c r="D60" s="37">
        <v>1684.2105263157894</v>
      </c>
      <c r="E60" s="37">
        <v>1684.2105263157894</v>
      </c>
      <c r="F60" s="59">
        <v>161.11724848093283</v>
      </c>
      <c r="G60" s="37">
        <v>73.68421052631578</v>
      </c>
      <c r="H60" s="56">
        <v>1</v>
      </c>
      <c r="I60" s="35">
        <v>100</v>
      </c>
      <c r="J60" s="37">
        <v>73.68421052631578</v>
      </c>
      <c r="K60" s="36">
        <v>6.2E-2</v>
      </c>
      <c r="L60" s="58"/>
      <c r="M60" s="34">
        <v>17</v>
      </c>
      <c r="N60" s="37">
        <v>1684.2105263157894</v>
      </c>
      <c r="O60" s="37">
        <v>1684.2105263157894</v>
      </c>
      <c r="P60" s="37">
        <v>74.976825920475534</v>
      </c>
      <c r="Q60" s="37">
        <v>73.68421052631578</v>
      </c>
      <c r="R60" s="56">
        <v>0.99371457271682684</v>
      </c>
      <c r="S60" s="35">
        <v>102</v>
      </c>
      <c r="T60" s="37">
        <v>73.68421052631578</v>
      </c>
      <c r="U60" s="36">
        <v>6.2E-2</v>
      </c>
    </row>
    <row r="61" spans="1:21" x14ac:dyDescent="0.2">
      <c r="A61" s="14"/>
      <c r="C61" s="34">
        <v>18</v>
      </c>
      <c r="D61" s="37">
        <v>1789.4736842105262</v>
      </c>
      <c r="E61" s="37">
        <v>1789.4736842105262</v>
      </c>
      <c r="F61" s="59">
        <v>169.48777697312229</v>
      </c>
      <c r="G61" s="37">
        <v>75.78947368421052</v>
      </c>
      <c r="H61" s="56">
        <v>1</v>
      </c>
      <c r="I61" s="35">
        <v>100</v>
      </c>
      <c r="J61" s="37">
        <v>75.78947368421052</v>
      </c>
      <c r="K61" s="36">
        <v>6.2E-2</v>
      </c>
      <c r="L61" s="58"/>
      <c r="M61" s="34">
        <v>18</v>
      </c>
      <c r="N61" s="37">
        <v>1789.4736842105262</v>
      </c>
      <c r="O61" s="37">
        <v>1789.4736842105262</v>
      </c>
      <c r="P61" s="37">
        <v>83.344823663610867</v>
      </c>
      <c r="Q61" s="37">
        <v>75.78947368421052</v>
      </c>
      <c r="R61" s="56">
        <v>0.99562562254963405</v>
      </c>
      <c r="S61" s="35">
        <v>102</v>
      </c>
      <c r="T61" s="37">
        <v>75.78947368421052</v>
      </c>
      <c r="U61" s="36">
        <v>6.2E-2</v>
      </c>
    </row>
    <row r="62" spans="1:21" x14ac:dyDescent="0.2">
      <c r="A62" s="14"/>
      <c r="C62" s="34">
        <v>19</v>
      </c>
      <c r="D62" s="37">
        <v>1894.7368421052631</v>
      </c>
      <c r="E62" s="37">
        <v>1894.7368421052631</v>
      </c>
      <c r="F62" s="59">
        <v>177.85453893382009</v>
      </c>
      <c r="G62" s="37">
        <v>77.89473684210526</v>
      </c>
      <c r="H62" s="56">
        <v>1</v>
      </c>
      <c r="I62" s="35">
        <v>100</v>
      </c>
      <c r="J62" s="37">
        <v>77.89473684210526</v>
      </c>
      <c r="K62" s="36">
        <v>6.2E-2</v>
      </c>
      <c r="L62" s="58"/>
      <c r="M62" s="34">
        <v>19</v>
      </c>
      <c r="N62" s="37">
        <v>1894.7368421052631</v>
      </c>
      <c r="O62" s="37">
        <v>1894.7368421052631</v>
      </c>
      <c r="P62" s="37">
        <v>91.686796746335318</v>
      </c>
      <c r="Q62" s="37">
        <v>77.89473684210526</v>
      </c>
      <c r="R62" s="56">
        <v>0.99731468991883276</v>
      </c>
      <c r="S62" s="35">
        <v>102</v>
      </c>
      <c r="T62" s="37">
        <v>77.89473684210526</v>
      </c>
      <c r="U62" s="36">
        <v>6.2E-2</v>
      </c>
    </row>
    <row r="63" spans="1:21" x14ac:dyDescent="0.2">
      <c r="A63" s="14"/>
      <c r="C63" s="38">
        <v>20</v>
      </c>
      <c r="D63" s="39">
        <v>2000</v>
      </c>
      <c r="E63" s="39">
        <v>2000</v>
      </c>
      <c r="F63" s="60">
        <v>186.21718834701403</v>
      </c>
      <c r="G63" s="39">
        <v>80</v>
      </c>
      <c r="H63" s="57">
        <v>1</v>
      </c>
      <c r="I63" s="40">
        <v>100</v>
      </c>
      <c r="J63" s="39">
        <v>80</v>
      </c>
      <c r="K63" s="41">
        <v>6.2E-2</v>
      </c>
      <c r="L63" s="58"/>
      <c r="M63" s="38">
        <v>20</v>
      </c>
      <c r="N63" s="39">
        <v>2000</v>
      </c>
      <c r="O63" s="39">
        <v>2000</v>
      </c>
      <c r="P63" s="39">
        <v>100</v>
      </c>
      <c r="Q63" s="39">
        <v>80</v>
      </c>
      <c r="R63" s="57">
        <v>0.99834607436419376</v>
      </c>
      <c r="S63" s="40">
        <v>102</v>
      </c>
      <c r="T63" s="39">
        <v>80</v>
      </c>
      <c r="U63" s="41">
        <v>6.2E-2</v>
      </c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2020-05-05T11:33:26Z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