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E27D2574-BB0D-4193-9895-5B8CCBE2B985}" xr6:coauthVersionLast="46" xr6:coauthVersionMax="46" xr10:uidLastSave="{00000000-0000-0000-0000-000000000000}"/>
  <bookViews>
    <workbookView xWindow="53652" yWindow="-4632" windowWidth="30936" windowHeight="17496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8" i="120" l="1"/>
  <c r="AA26" i="120"/>
  <c r="AN37" i="120"/>
  <c r="O18" i="120" a="1"/>
  <c r="O27" i="120" a="1"/>
  <c r="K24" i="120" a="1"/>
  <c r="O25" i="120" a="1"/>
  <c r="O17" i="120" a="1"/>
  <c r="C37" i="120"/>
  <c r="G1" i="120"/>
  <c r="O18" i="120" l="1"/>
  <c r="O27" i="120"/>
  <c r="K24" i="120"/>
  <c r="O25" i="120"/>
  <c r="O17" i="120"/>
  <c r="I33" i="120"/>
  <c r="H33" i="120"/>
  <c r="Q29" i="120" a="1"/>
  <c r="C38" i="120" a="1"/>
  <c r="AL4" i="120" a="1"/>
  <c r="R20" i="120" a="1"/>
  <c r="Q29" i="120" l="1"/>
  <c r="C38" i="120"/>
  <c r="R20" i="120"/>
  <c r="AL4" i="120"/>
  <c r="E17" i="120"/>
  <c r="AG16" i="120"/>
  <c r="E16" i="120"/>
  <c r="AG15" i="120"/>
  <c r="E15" i="120"/>
  <c r="AG14" i="120"/>
  <c r="E14" i="120"/>
  <c r="AG13" i="120"/>
  <c r="E13" i="120"/>
  <c r="AG12" i="120"/>
  <c r="E12" i="120"/>
  <c r="E11" i="120"/>
  <c r="M41" i="120" a="1"/>
  <c r="R24" i="120" a="1"/>
  <c r="M41" i="120" l="1"/>
  <c r="R24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<sst xmlns="http://schemas.openxmlformats.org/spreadsheetml/2006/main" count="90" uniqueCount="76">
  <si>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</si>
  <si>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</si>
  <si>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</si>
  <si>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</si>
  <si>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</si>
  <si>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</si>
  <si>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</si>
  <si>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</si>
  <si>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</si>
  <si>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</si>
  <si>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</si>
  <si>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</si>
  <si>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</si>
  <si>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</si>
  <si>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</si>
  <si>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</si>
  <si>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</si>
  <si>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</si>
  <si>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</si>
  <si>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</si>
  <si>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</si>
  <si>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</si>
  <si>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</si>
  <si>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</si>
  <si>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</si>
  <si>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</si>
  <si>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</si>
  <si>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</si>
  <si>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</si>
  <si>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</si>
  <si>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</si>
  <si>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</si>
  <si>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</si>
  <si>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</si>
  <si>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</si>
  <si>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</si>
  <si>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</si>
  <si>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</si>
  <si>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</si>
  <si>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</si>
  <si>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</si>
  <si>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</si>
  <si>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</si>
  <si>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</si>
  <si>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</si>
  <si>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</si>
  <si>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</si>
  <si>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</si>
  <si>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</si>
  <si>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</si>
  <si>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</si>
  <si>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</si>
  <si>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</si>
  <si>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</si>
  <si>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</si>
  <si>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</si>
  <si>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</si>
  <si>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</si>
  <si>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</si>
  <si>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</si>
  <si>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</si>
  <si>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</si>
  <si>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</si>
  <si>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</si>
  <si>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</si>
  <si>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</si>
  <si>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</si>
  <si>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</si>
  <si>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Расчет 2</t>
  </si>
  <si>
    <t>Параметры расчета</t>
  </si>
  <si>
    <t>Расчет вдоль координат</t>
  </si>
  <si>
    <t>Поток вдоль координат</t>
  </si>
  <si>
    <t>Параметр расчета</t>
  </si>
  <si>
    <t>Поток</t>
  </si>
  <si>
    <t>construction</t>
  </si>
  <si>
    <t>temp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</si>
</sst>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"/>
    <numFmt numFmtId="167" formatCode="0.00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5" fontId="0" fillId="0" borderId="0" xfId="0" applyNumberFormat="1"/>
    <xf numFmtId="0" fontId="17" fillId="0" borderId="0" xfId="0" applyFont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6" fontId="0" fillId="6" borderId="8" xfId="0" applyNumberForma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100</c:v>
                </c:pt>
                <c:pt idx="1">
                  <c:v>95.522820455036722</c:v>
                </c:pt>
                <c:pt idx="2">
                  <c:v>91.007626315718852</c:v>
                </c:pt>
                <c:pt idx="3">
                  <c:v>86.167450622358743</c:v>
                </c:pt>
                <c:pt idx="4">
                  <c:v>86.139016974908728</c:v>
                </c:pt>
                <c:pt idx="5">
                  <c:v>86.110555081065101</c:v>
                </c:pt>
                <c:pt idx="6">
                  <c:v>86.082064885168506</c:v>
                </c:pt>
                <c:pt idx="7">
                  <c:v>86.053542776169294</c:v>
                </c:pt>
                <c:pt idx="8">
                  <c:v>86.024992234588282</c:v>
                </c:pt>
                <c:pt idx="9">
                  <c:v>85.996413204201346</c:v>
                </c:pt>
                <c:pt idx="10">
                  <c:v>85.967802049870059</c:v>
                </c:pt>
                <c:pt idx="11">
                  <c:v>85.939162274876963</c:v>
                </c:pt>
                <c:pt idx="12">
                  <c:v>85.917192462518841</c:v>
                </c:pt>
                <c:pt idx="13">
                  <c:v>85.926454064916726</c:v>
                </c:pt>
                <c:pt idx="14">
                  <c:v>85.942378701733418</c:v>
                </c:pt>
                <c:pt idx="15">
                  <c:v>85.950320882284245</c:v>
                </c:pt>
                <c:pt idx="16">
                  <c:v>85.958263062835087</c:v>
                </c:pt>
                <c:pt idx="17">
                  <c:v>85.974102011517445</c:v>
                </c:pt>
                <c:pt idx="18">
                  <c:v>85.989900502578067</c:v>
                </c:pt>
                <c:pt idx="19">
                  <c:v>86.005658457876351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83.333333333333329</c:v>
                </c:pt>
                <c:pt idx="2">
                  <c:v>166.66666666666666</c:v>
                </c:pt>
                <c:pt idx="3">
                  <c:v>250</c:v>
                </c:pt>
                <c:pt idx="4">
                  <c:v>333.33333333333331</c:v>
                </c:pt>
                <c:pt idx="5">
                  <c:v>416.66666666666663</c:v>
                </c:pt>
                <c:pt idx="6">
                  <c:v>500</c:v>
                </c:pt>
                <c:pt idx="7">
                  <c:v>583.33333333333326</c:v>
                </c:pt>
                <c:pt idx="8">
                  <c:v>666.66666666666663</c:v>
                </c:pt>
                <c:pt idx="9">
                  <c:v>750</c:v>
                </c:pt>
                <c:pt idx="10">
                  <c:v>833.33333333333326</c:v>
                </c:pt>
                <c:pt idx="11">
                  <c:v>916.66666666666663</c:v>
                </c:pt>
                <c:pt idx="12">
                  <c:v>1000</c:v>
                </c:pt>
                <c:pt idx="13">
                  <c:v>1083.3333333333333</c:v>
                </c:pt>
                <c:pt idx="14">
                  <c:v>1166.6666666666665</c:v>
                </c:pt>
                <c:pt idx="15">
                  <c:v>1208.3333333333333</c:v>
                </c:pt>
                <c:pt idx="16">
                  <c:v>1250</c:v>
                </c:pt>
                <c:pt idx="17">
                  <c:v>1333.3333333333333</c:v>
                </c:pt>
                <c:pt idx="18">
                  <c:v>1416.6666666666665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Расчет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83.333333333333329</c:v>
                </c:pt>
                <c:pt idx="2">
                  <c:v>166.66666666666666</c:v>
                </c:pt>
                <c:pt idx="3">
                  <c:v>250</c:v>
                </c:pt>
                <c:pt idx="4">
                  <c:v>333.33333333333331</c:v>
                </c:pt>
                <c:pt idx="5">
                  <c:v>416.66666666666663</c:v>
                </c:pt>
                <c:pt idx="6">
                  <c:v>500</c:v>
                </c:pt>
                <c:pt idx="7">
                  <c:v>583.33333333333326</c:v>
                </c:pt>
                <c:pt idx="8">
                  <c:v>666.66666666666663</c:v>
                </c:pt>
                <c:pt idx="9">
                  <c:v>750</c:v>
                </c:pt>
                <c:pt idx="10">
                  <c:v>833.33333333333326</c:v>
                </c:pt>
                <c:pt idx="11">
                  <c:v>916.66666666666663</c:v>
                </c:pt>
                <c:pt idx="12">
                  <c:v>1000</c:v>
                </c:pt>
                <c:pt idx="13">
                  <c:v>1083.3333333333333</c:v>
                </c:pt>
                <c:pt idx="14">
                  <c:v>1166.6666666666665</c:v>
                </c:pt>
                <c:pt idx="15">
                  <c:v>1208.3333333333333</c:v>
                </c:pt>
                <c:pt idx="16">
                  <c:v>1250</c:v>
                </c:pt>
                <c:pt idx="17">
                  <c:v>1333.3333333333333</c:v>
                </c:pt>
                <c:pt idx="18">
                  <c:v>1416.6666666666665</c:v>
                </c:pt>
                <c:pt idx="19">
                  <c:v>1500</c:v>
                </c:pt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  <c:pt idx="0">
                  <c:v>100</c:v>
                </c:pt>
                <c:pt idx="1">
                  <c:v>95.522820455036722</c:v>
                </c:pt>
                <c:pt idx="2">
                  <c:v>91.007626315718852</c:v>
                </c:pt>
                <c:pt idx="3">
                  <c:v>86.167450622358743</c:v>
                </c:pt>
                <c:pt idx="4">
                  <c:v>86.139016974908728</c:v>
                </c:pt>
                <c:pt idx="5">
                  <c:v>86.110555081065101</c:v>
                </c:pt>
                <c:pt idx="6">
                  <c:v>86.082064885168506</c:v>
                </c:pt>
                <c:pt idx="7">
                  <c:v>86.053542776169294</c:v>
                </c:pt>
                <c:pt idx="8">
                  <c:v>86.024992234588282</c:v>
                </c:pt>
                <c:pt idx="9">
                  <c:v>85.996413204201346</c:v>
                </c:pt>
                <c:pt idx="10">
                  <c:v>85.967802049870059</c:v>
                </c:pt>
                <c:pt idx="11">
                  <c:v>85.939162274876963</c:v>
                </c:pt>
                <c:pt idx="12">
                  <c:v>85.917192462518841</c:v>
                </c:pt>
                <c:pt idx="13">
                  <c:v>85.926454064916726</c:v>
                </c:pt>
                <c:pt idx="14">
                  <c:v>85.942378701733418</c:v>
                </c:pt>
                <c:pt idx="15">
                  <c:v>85.950320882284245</c:v>
                </c:pt>
                <c:pt idx="16">
                  <c:v>85.958263062835087</c:v>
                </c:pt>
                <c:pt idx="17">
                  <c:v>85.974102011517445</c:v>
                </c:pt>
                <c:pt idx="18">
                  <c:v>85.989900502578067</c:v>
                </c:pt>
                <c:pt idx="19">
                  <c:v>86.005658457876351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83.333333333333329</c:v>
                </c:pt>
                <c:pt idx="2">
                  <c:v>166.66666666666666</c:v>
                </c:pt>
                <c:pt idx="3">
                  <c:v>250</c:v>
                </c:pt>
                <c:pt idx="4">
                  <c:v>333.33333333333331</c:v>
                </c:pt>
                <c:pt idx="5">
                  <c:v>416.66666666666663</c:v>
                </c:pt>
                <c:pt idx="6">
                  <c:v>500</c:v>
                </c:pt>
                <c:pt idx="7">
                  <c:v>583.33333333333326</c:v>
                </c:pt>
                <c:pt idx="8">
                  <c:v>666.66666666666663</c:v>
                </c:pt>
                <c:pt idx="9">
                  <c:v>750</c:v>
                </c:pt>
                <c:pt idx="10">
                  <c:v>833.33333333333326</c:v>
                </c:pt>
                <c:pt idx="11">
                  <c:v>916.66666666666663</c:v>
                </c:pt>
                <c:pt idx="12">
                  <c:v>1000</c:v>
                </c:pt>
                <c:pt idx="13">
                  <c:v>1083.3333333333333</c:v>
                </c:pt>
                <c:pt idx="14">
                  <c:v>1166.6666666666665</c:v>
                </c:pt>
                <c:pt idx="15">
                  <c:v>1208.3333333333333</c:v>
                </c:pt>
                <c:pt idx="16">
                  <c:v>1250</c:v>
                </c:pt>
                <c:pt idx="17">
                  <c:v>1333.3333333333333</c:v>
                </c:pt>
                <c:pt idx="18">
                  <c:v>1416.6666666666665</c:v>
                </c:pt>
                <c:pt idx="19">
                  <c:v>1500</c:v>
                </c:pt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  <c:pt idx="0">
                  <c:v>30</c:v>
                </c:pt>
                <c:pt idx="1">
                  <c:v>30.016666666666666</c:v>
                </c:pt>
                <c:pt idx="2">
                  <c:v>30.033333333333335</c:v>
                </c:pt>
                <c:pt idx="3">
                  <c:v>30.05</c:v>
                </c:pt>
                <c:pt idx="4">
                  <c:v>30.066666666666666</c:v>
                </c:pt>
                <c:pt idx="5">
                  <c:v>30.083333333333332</c:v>
                </c:pt>
                <c:pt idx="6">
                  <c:v>30.1</c:v>
                </c:pt>
                <c:pt idx="7">
                  <c:v>30.116666666666667</c:v>
                </c:pt>
                <c:pt idx="8">
                  <c:v>30.133333333333333</c:v>
                </c:pt>
                <c:pt idx="9">
                  <c:v>30.15</c:v>
                </c:pt>
                <c:pt idx="10">
                  <c:v>30.166666666666668</c:v>
                </c:pt>
                <c:pt idx="11">
                  <c:v>30.183333333333334</c:v>
                </c:pt>
                <c:pt idx="12">
                  <c:v>30.234999999999999</c:v>
                </c:pt>
                <c:pt idx="13">
                  <c:v>30.333333333333332</c:v>
                </c:pt>
                <c:pt idx="14">
                  <c:v>30.466666666666669</c:v>
                </c:pt>
                <c:pt idx="15">
                  <c:v>30.533333333333331</c:v>
                </c:pt>
                <c:pt idx="16">
                  <c:v>30.6</c:v>
                </c:pt>
                <c:pt idx="17">
                  <c:v>30.733333333333334</c:v>
                </c:pt>
                <c:pt idx="18">
                  <c:v>30.866666666666667</c:v>
                </c:pt>
                <c:pt idx="19">
                  <c:v>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83.333333333333329</c:v>
                </c:pt>
                <c:pt idx="2">
                  <c:v>166.66666666666666</c:v>
                </c:pt>
                <c:pt idx="3">
                  <c:v>250</c:v>
                </c:pt>
                <c:pt idx="4">
                  <c:v>333.33333333333331</c:v>
                </c:pt>
                <c:pt idx="5">
                  <c:v>416.66666666666663</c:v>
                </c:pt>
                <c:pt idx="6">
                  <c:v>500</c:v>
                </c:pt>
                <c:pt idx="7">
                  <c:v>583.33333333333326</c:v>
                </c:pt>
                <c:pt idx="8">
                  <c:v>666.66666666666663</c:v>
                </c:pt>
                <c:pt idx="9">
                  <c:v>750</c:v>
                </c:pt>
                <c:pt idx="10">
                  <c:v>833.33333333333326</c:v>
                </c:pt>
                <c:pt idx="11">
                  <c:v>916.66666666666663</c:v>
                </c:pt>
                <c:pt idx="12">
                  <c:v>1000</c:v>
                </c:pt>
                <c:pt idx="13">
                  <c:v>1083.3333333333333</c:v>
                </c:pt>
                <c:pt idx="14">
                  <c:v>1166.6666666666665</c:v>
                </c:pt>
                <c:pt idx="15">
                  <c:v>1208.3333333333333</c:v>
                </c:pt>
                <c:pt idx="16">
                  <c:v>1250</c:v>
                </c:pt>
                <c:pt idx="17">
                  <c:v>1333.3333333333333</c:v>
                </c:pt>
                <c:pt idx="18">
                  <c:v>1416.6666666666665</c:v>
                </c:pt>
                <c:pt idx="19">
                  <c:v>1500</c:v>
                </c:pt>
              </c:numCache>
            </c:numRef>
          </c:xVal>
          <c:yVal>
            <c:numRef>
              <c:f>exercise_MF1!$R$44:$R$63</c:f>
              <c:numCache>
                <c:formatCode>0.00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0.98993479759560477</c:v>
                </c:pt>
                <c:pt idx="3">
                  <c:v>0.95504494155654751</c:v>
                </c:pt>
                <c:pt idx="4">
                  <c:v>0.95478818162345158</c:v>
                </c:pt>
                <c:pt idx="5">
                  <c:v>0.95453108408961418</c:v>
                </c:pt>
                <c:pt idx="6">
                  <c:v>0.9542736482770614</c:v>
                </c:pt>
                <c:pt idx="7">
                  <c:v>0.95401583100809895</c:v>
                </c:pt>
                <c:pt idx="8">
                  <c:v>0.9537576738702318</c:v>
                </c:pt>
                <c:pt idx="9">
                  <c:v>0.95349917617839297</c:v>
                </c:pt>
                <c:pt idx="10">
                  <c:v>0.95324029446112657</c:v>
                </c:pt>
                <c:pt idx="11">
                  <c:v>0.95298107058302994</c:v>
                </c:pt>
                <c:pt idx="12">
                  <c:v>0.95268051796549835</c:v>
                </c:pt>
                <c:pt idx="13">
                  <c:v>0.95249326357453623</c:v>
                </c:pt>
                <c:pt idx="14">
                  <c:v>0.95226462459642369</c:v>
                </c:pt>
                <c:pt idx="15">
                  <c:v>0.95215014262231457</c:v>
                </c:pt>
                <c:pt idx="16">
                  <c:v>0.95203555232884229</c:v>
                </c:pt>
                <c:pt idx="17">
                  <c:v>0.95180599264195109</c:v>
                </c:pt>
                <c:pt idx="18">
                  <c:v>0.95157599972091245</c:v>
                </c:pt>
                <c:pt idx="19">
                  <c:v>0.95134557358894245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100</c:v>
                </c:pt>
                <c:pt idx="1">
                  <c:v>95.522820455036722</c:v>
                </c:pt>
                <c:pt idx="2">
                  <c:v>91.007626315718852</c:v>
                </c:pt>
                <c:pt idx="3">
                  <c:v>86.167450622358743</c:v>
                </c:pt>
                <c:pt idx="4">
                  <c:v>86.139016974908728</c:v>
                </c:pt>
                <c:pt idx="5">
                  <c:v>86.110555081065101</c:v>
                </c:pt>
                <c:pt idx="6">
                  <c:v>86.082064885168506</c:v>
                </c:pt>
                <c:pt idx="7">
                  <c:v>86.053542776169294</c:v>
                </c:pt>
                <c:pt idx="8">
                  <c:v>86.024992234588282</c:v>
                </c:pt>
                <c:pt idx="9">
                  <c:v>85.996413204201346</c:v>
                </c:pt>
                <c:pt idx="10">
                  <c:v>85.967802049870059</c:v>
                </c:pt>
                <c:pt idx="11">
                  <c:v>85.939162274876963</c:v>
                </c:pt>
                <c:pt idx="12">
                  <c:v>85.917192462518841</c:v>
                </c:pt>
                <c:pt idx="13">
                  <c:v>85.926454064916726</c:v>
                </c:pt>
                <c:pt idx="14">
                  <c:v>85.942378701733418</c:v>
                </c:pt>
                <c:pt idx="15">
                  <c:v>85.950320882284245</c:v>
                </c:pt>
                <c:pt idx="16">
                  <c:v>85.958263062835087</c:v>
                </c:pt>
                <c:pt idx="17">
                  <c:v>85.974102011517445</c:v>
                </c:pt>
                <c:pt idx="18">
                  <c:v>85.989900502578067</c:v>
                </c:pt>
                <c:pt idx="19">
                  <c:v>86.005658457876351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83.333333333333329</c:v>
                </c:pt>
                <c:pt idx="2">
                  <c:v>166.66666666666666</c:v>
                </c:pt>
                <c:pt idx="3">
                  <c:v>250</c:v>
                </c:pt>
                <c:pt idx="4">
                  <c:v>333.33333333333331</c:v>
                </c:pt>
                <c:pt idx="5">
                  <c:v>416.66666666666663</c:v>
                </c:pt>
                <c:pt idx="6">
                  <c:v>500</c:v>
                </c:pt>
                <c:pt idx="7">
                  <c:v>583.33333333333326</c:v>
                </c:pt>
                <c:pt idx="8">
                  <c:v>666.66666666666663</c:v>
                </c:pt>
                <c:pt idx="9">
                  <c:v>750</c:v>
                </c:pt>
                <c:pt idx="10">
                  <c:v>833.33333333333326</c:v>
                </c:pt>
                <c:pt idx="11">
                  <c:v>916.66666666666663</c:v>
                </c:pt>
                <c:pt idx="12">
                  <c:v>1000</c:v>
                </c:pt>
                <c:pt idx="13">
                  <c:v>1083.3333333333333</c:v>
                </c:pt>
                <c:pt idx="14">
                  <c:v>1166.6666666666665</c:v>
                </c:pt>
                <c:pt idx="15">
                  <c:v>1208.3333333333333</c:v>
                </c:pt>
                <c:pt idx="16">
                  <c:v>1250</c:v>
                </c:pt>
                <c:pt idx="17">
                  <c:v>1333.3333333333333</c:v>
                </c:pt>
                <c:pt idx="18">
                  <c:v>1416.6666666666665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  <c:pt idx="0">
                  <c:v>30</c:v>
                </c:pt>
                <c:pt idx="1">
                  <c:v>30.016666666666666</c:v>
                </c:pt>
                <c:pt idx="2">
                  <c:v>30.033333333333335</c:v>
                </c:pt>
                <c:pt idx="3">
                  <c:v>30.05</c:v>
                </c:pt>
                <c:pt idx="4">
                  <c:v>30.066666666666666</c:v>
                </c:pt>
                <c:pt idx="5">
                  <c:v>30.083333333333332</c:v>
                </c:pt>
                <c:pt idx="6">
                  <c:v>30.1</c:v>
                </c:pt>
                <c:pt idx="7">
                  <c:v>30.116666666666667</c:v>
                </c:pt>
                <c:pt idx="8">
                  <c:v>30.133333333333333</c:v>
                </c:pt>
                <c:pt idx="9">
                  <c:v>30.15</c:v>
                </c:pt>
                <c:pt idx="10">
                  <c:v>30.166666666666668</c:v>
                </c:pt>
                <c:pt idx="11">
                  <c:v>30.183333333333334</c:v>
                </c:pt>
                <c:pt idx="12">
                  <c:v>30.234999999999999</c:v>
                </c:pt>
                <c:pt idx="13">
                  <c:v>30.333333333333332</c:v>
                </c:pt>
                <c:pt idx="14">
                  <c:v>30.466666666666669</c:v>
                </c:pt>
                <c:pt idx="15">
                  <c:v>30.533333333333331</c:v>
                </c:pt>
                <c:pt idx="16">
                  <c:v>30.6</c:v>
                </c:pt>
                <c:pt idx="17">
                  <c:v>30.733333333333334</c:v>
                </c:pt>
                <c:pt idx="18">
                  <c:v>30.866666666666667</c:v>
                </c:pt>
                <c:pt idx="19">
                  <c:v>31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83.333333333333329</c:v>
                </c:pt>
                <c:pt idx="2">
                  <c:v>166.66666666666666</c:v>
                </c:pt>
                <c:pt idx="3">
                  <c:v>250</c:v>
                </c:pt>
                <c:pt idx="4">
                  <c:v>333.33333333333331</c:v>
                </c:pt>
                <c:pt idx="5">
                  <c:v>416.66666666666663</c:v>
                </c:pt>
                <c:pt idx="6">
                  <c:v>500</c:v>
                </c:pt>
                <c:pt idx="7">
                  <c:v>583.33333333333326</c:v>
                </c:pt>
                <c:pt idx="8">
                  <c:v>666.66666666666663</c:v>
                </c:pt>
                <c:pt idx="9">
                  <c:v>750</c:v>
                </c:pt>
                <c:pt idx="10">
                  <c:v>833.33333333333326</c:v>
                </c:pt>
                <c:pt idx="11">
                  <c:v>916.66666666666663</c:v>
                </c:pt>
                <c:pt idx="12">
                  <c:v>1000</c:v>
                </c:pt>
                <c:pt idx="13">
                  <c:v>1083.3333333333333</c:v>
                </c:pt>
                <c:pt idx="14">
                  <c:v>1166.6666666666665</c:v>
                </c:pt>
                <c:pt idx="15">
                  <c:v>1208.3333333333333</c:v>
                </c:pt>
                <c:pt idx="16">
                  <c:v>1250</c:v>
                </c:pt>
                <c:pt idx="17">
                  <c:v>1333.3333333333333</c:v>
                </c:pt>
                <c:pt idx="18">
                  <c:v>1416.6666666666665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487006</xdr:colOff>
      <xdr:row>0</xdr:row>
      <xdr:rowOff>0</xdr:rowOff>
    </xdr:from>
    <xdr:to>
      <xdr:col>13</xdr:col>
      <xdr:colOff>504826</xdr:colOff>
      <xdr:row>14</xdr:row>
      <xdr:rowOff>209551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E616D-97AC-4AA3-BEFD-85B1B11C63A6}"/>
            </a:ext>
          </a:extLst>
        </xdr:cNvPr>
        <xdr:cNvSpPr txBox="1"/>
      </xdr:nvSpPr>
      <xdr:spPr>
        <a:xfrm>
          <a:off x="4935741" y="0"/>
          <a:ext cx="4892379" cy="284293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3BA9531-8276-4BA5-8337-4BF3AECB354C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159D0-0C84-41C5-8EC9-9EA6EB3AF5FB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F9F26007-5F8A-473E-B215-F12D03F40502}"/>
            </a:ext>
          </a:extLst>
        </xdr:cNvPr>
        <xdr:cNvGrpSpPr/>
      </xdr:nvGrpSpPr>
      <xdr:grpSpPr>
        <a:xfrm>
          <a:off x="17741713" y="1144407"/>
          <a:ext cx="3514164" cy="4381416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DA348F33-32FD-48F8-BC5C-785B9B763BAA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BB977D7F-9FB9-4AF4-AF80-0A503A6B809D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40FF698C-683C-4F21-9054-C3E4195AE15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D26F0761-6A31-4E04-A510-64FDA219B9C7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C65AD5A5-B07D-41C6-AECF-EC201A6130BD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3887B387-5216-476D-9F13-CB5333C98478}"/>
              </a:ext>
            </a:extLst>
          </xdr:cNvPr>
          <xdr:cNvSpPr txBox="1"/>
        </xdr:nvSpPr>
        <xdr:spPr>
          <a:xfrm>
            <a:off x="15870848" y="3631223"/>
            <a:ext cx="1152510" cy="2659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200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F899473C-DC61-422C-B4D7-B58D3F8E46E2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2E266EF6-7CCA-4105-A6C2-D95A7351F703}"/>
              </a:ext>
            </a:extLst>
          </xdr:cNvPr>
          <xdr:cNvSpPr txBox="1"/>
        </xdr:nvSpPr>
        <xdr:spPr>
          <a:xfrm rot="16665650">
            <a:off x="14659444" y="3577178"/>
            <a:ext cx="866993" cy="2333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1000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90798B6B-5C43-4EFC-883E-C460DB6FA162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5F1BF87-AE1E-467E-80BC-BE45273550CD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F8A8CDF7-5E2C-4E16-B1BE-252B4766B16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AD217E66-693D-4D45-904B-1C846A429136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E47D1B15-EEEB-4336-81A5-BCCA78D4435C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26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B01DC710-393B-4A0E-B5E1-DDC454154348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100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172DCA-E8CC-462A-8A17-606BB4B4967B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B2F2ECAD-4BA9-4D47-BED6-75A4CFA2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4C9D09EB-3422-468E-986A-1539636DB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3B37084C-5B77-4321-B77E-F8D8A0984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726D6CF3-4C0D-4DA7-9A2D-841D6961F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EAC59A3-3B20-4494-811E-99039C95A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C9BD03A4-789A-471F-85D0-0D6B09E8AEB1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C597297C-7BC3-45EB-9FF3-4CAB9E2A5FC4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AD29BC0A-E509-48CC-A92F-C080659E264C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ABD432B1-AE6D-459A-97A9-1DA53D97559A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22CBD36-52B5-4567-9CAB-E42A759CB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A4820A0-1B6E-464F-B021-8B425E563159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954A60D1-01F2-4CDB-8180-58BBF97BBF1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2858FE68-21AA-4385-A6F6-95BA9740D508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12A1F2A8-5054-4BA2-B3AB-30A5A4E9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array_from_range"/>
      <definedName name="array_transpose"/>
      <definedName name="decode_json"/>
      <definedName name="encode_feed"/>
      <definedName name="encode_json"/>
      <definedName name="encode_pipe"/>
      <definedName name="encode_PVT"/>
      <definedName name="encode_t_model"/>
      <definedName name="MF_pipe_p_atma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N66"/>
  <sheetViews>
    <sheetView tabSelected="1" topLeftCell="D19" zoomScale="85" zoomScaleNormal="85" workbookViewId="0">
      <selection activeCell="O24" sqref="O24"/>
    </sheetView>
  </sheetViews>
  <sheetFormatPr defaultRowHeight="13.2" x14ac:dyDescent="0.25"/>
  <cols>
    <col min="2" max="2" width="11.88671875" customWidth="1"/>
    <col min="3" max="3" width="14" customWidth="1"/>
    <col min="4" max="11" width="10.5546875" customWidth="1"/>
    <col min="12" max="13" width="10.109375" customWidth="1"/>
    <col min="14" max="14" width="9.5546875" customWidth="1"/>
    <col min="15" max="15" width="10.109375" customWidth="1"/>
    <col min="23" max="23" width="1.6640625" customWidth="1"/>
    <col min="24" max="24" width="1.5546875" customWidth="1"/>
    <col min="25" max="25" width="6.6640625" customWidth="1"/>
    <col min="26" max="26" width="9.109375" customWidth="1"/>
    <col min="27" max="27" width="5.88671875" customWidth="1"/>
    <col min="28" max="28" width="6.5546875" customWidth="1"/>
    <col min="29" max="33" width="9.109375" customWidth="1"/>
    <col min="44" max="44" width="14.6640625" customWidth="1"/>
    <col min="45" max="45" width="13" customWidth="1"/>
  </cols>
  <sheetData>
    <row r="1" spans="1:38" x14ac:dyDescent="0.25">
      <c r="A1" s="1" t="s">
        <v>10</v>
      </c>
      <c r="F1" t="s">
        <v>11</v>
      </c>
      <c r="G1" t="str">
        <f>[1]!unf_Version()</f>
        <v>7.26</v>
      </c>
      <c r="H1" t="s">
        <v>42</v>
      </c>
      <c r="I1" s="18">
        <v>44237</v>
      </c>
      <c r="J1" s="19"/>
      <c r="K1" s="19"/>
      <c r="L1" s="19"/>
    </row>
    <row r="2" spans="1:38" x14ac:dyDescent="0.25">
      <c r="A2" t="s">
        <v>56</v>
      </c>
      <c r="H2" t="s">
        <v>43</v>
      </c>
      <c r="I2" s="20">
        <v>7.26</v>
      </c>
      <c r="J2" s="19"/>
      <c r="K2" s="19"/>
      <c r="L2" s="19"/>
    </row>
    <row r="3" spans="1:38" ht="14.4" x14ac:dyDescent="0.3">
      <c r="A3" s="21" t="s">
        <v>44</v>
      </c>
      <c r="B3" s="60" t="s">
        <v>45</v>
      </c>
      <c r="C3" s="61"/>
      <c r="D3" s="61"/>
      <c r="E3" s="62"/>
      <c r="H3" t="s">
        <v>46</v>
      </c>
      <c r="I3" s="19" t="s">
        <v>45</v>
      </c>
      <c r="J3" s="19"/>
      <c r="K3" s="19"/>
      <c r="L3" s="19"/>
    </row>
    <row r="4" spans="1:38" ht="14.4" x14ac:dyDescent="0.3">
      <c r="A4" s="21" t="s">
        <v>47</v>
      </c>
      <c r="B4" s="60" t="s">
        <v>48</v>
      </c>
      <c r="C4" s="61"/>
      <c r="D4" s="61"/>
      <c r="E4" s="62"/>
      <c r="H4" t="s">
        <v>49</v>
      </c>
      <c r="I4" s="19" t="s">
        <v>48</v>
      </c>
      <c r="J4" s="19"/>
      <c r="K4" s="19"/>
      <c r="L4" s="19"/>
      <c r="AL4" t="e" cm="1">
        <f t="array" ref="AL4">[1]!MF_pipe_p_atma(p1_,t0_,t1_,K19:L20,id_,C38,calc_flow_direction_)</f>
        <v>#VALUE!</v>
      </c>
    </row>
    <row r="5" spans="1:38" ht="14.4" x14ac:dyDescent="0.3">
      <c r="A5" s="21" t="s">
        <v>50</v>
      </c>
      <c r="B5" s="60" t="s">
        <v>51</v>
      </c>
      <c r="C5" s="61"/>
      <c r="D5" s="61"/>
      <c r="E5" s="62"/>
      <c r="H5" t="s">
        <v>52</v>
      </c>
      <c r="I5" s="19" t="s">
        <v>51</v>
      </c>
      <c r="J5" s="19"/>
      <c r="K5" s="19"/>
      <c r="L5" s="19"/>
    </row>
    <row r="6" spans="1:38" x14ac:dyDescent="0.25">
      <c r="A6" s="22" t="s">
        <v>53</v>
      </c>
      <c r="B6" s="63" t="s">
        <v>54</v>
      </c>
      <c r="C6" s="64"/>
      <c r="D6" s="64"/>
      <c r="E6" s="65"/>
      <c r="H6" s="23" t="s">
        <v>55</v>
      </c>
      <c r="I6" s="24" t="s">
        <v>54</v>
      </c>
      <c r="J6" s="24"/>
      <c r="K6" s="24"/>
      <c r="L6" s="24"/>
    </row>
    <row r="7" spans="1:38" x14ac:dyDescent="0.25">
      <c r="A7" s="25"/>
      <c r="B7" s="66"/>
      <c r="C7" s="67"/>
      <c r="D7" s="67"/>
      <c r="E7" s="68"/>
      <c r="H7" s="23"/>
      <c r="I7" s="24"/>
      <c r="J7" s="24"/>
      <c r="K7" s="24"/>
      <c r="L7" s="24"/>
    </row>
    <row r="8" spans="1:38" x14ac:dyDescent="0.25">
      <c r="A8" s="26"/>
      <c r="B8" s="69"/>
      <c r="C8" s="70"/>
      <c r="D8" s="70"/>
      <c r="E8" s="71"/>
      <c r="H8" s="23"/>
      <c r="I8" s="24"/>
      <c r="J8" s="24"/>
      <c r="K8" s="24"/>
      <c r="L8" s="24"/>
    </row>
    <row r="9" spans="1:38" ht="14.25" customHeight="1" x14ac:dyDescent="0.3">
      <c r="AE9" s="17"/>
    </row>
    <row r="10" spans="1:38" x14ac:dyDescent="0.25">
      <c r="A10" s="1" t="s">
        <v>1</v>
      </c>
    </row>
    <row r="11" spans="1:38" ht="16.8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8" ht="16.8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8" ht="16.8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1000 м</v>
      </c>
    </row>
    <row r="14" spans="1:38" ht="16.8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200 m3/day</v>
      </c>
    </row>
    <row r="15" spans="1:38" ht="16.8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26 atm,
 t1= 40°C</v>
      </c>
    </row>
    <row r="16" spans="1:38" ht="15.6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100 atm,
 t1 = 80°C</v>
      </c>
    </row>
    <row r="17" spans="1:27" ht="15.6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55"/>
      <c r="N17" t="s">
        <v>75</v>
      </c>
      <c r="O17" t="str" cm="1">
        <f t="array" ref="O17">[1]!encode_t_model(1,M20:N22,t0_,t1_)</f>
        <v>{"t_model":1,"t_list_C":[[0,30],[250,80],[2000,80]]}</v>
      </c>
    </row>
    <row r="18" spans="1:27" ht="16.8" x14ac:dyDescent="0.35">
      <c r="B18" s="10" t="s">
        <v>20</v>
      </c>
      <c r="C18" s="2">
        <v>1.2</v>
      </c>
      <c r="D18" s="7" t="s">
        <v>12</v>
      </c>
      <c r="H18" s="56"/>
      <c r="N18" t="s">
        <v>74</v>
      </c>
      <c r="O18" t="str" cm="1">
        <f t="array" ref="O18">[1]!encode_pipe(K19:L21,M20:N21)</f>
        <v>{"h_list_m":[[0,1000,1500],[0,1,5]],"diam_list_mm":[[0,250,1500],[30,80,80]]}</v>
      </c>
    </row>
    <row r="19" spans="1:27" ht="15.6" x14ac:dyDescent="0.35">
      <c r="B19" s="11" t="s">
        <v>21</v>
      </c>
      <c r="C19" s="2">
        <v>1</v>
      </c>
      <c r="D19" s="4" t="s">
        <v>4</v>
      </c>
      <c r="K19">
        <v>0</v>
      </c>
      <c r="L19">
        <v>0</v>
      </c>
      <c r="W19" s="16"/>
    </row>
    <row r="20" spans="1:27" x14ac:dyDescent="0.25">
      <c r="A20" s="1" t="s">
        <v>62</v>
      </c>
      <c r="K20">
        <v>1000</v>
      </c>
      <c r="L20">
        <v>1</v>
      </c>
      <c r="M20">
        <v>0</v>
      </c>
      <c r="N20">
        <v>30</v>
      </c>
      <c r="R20" t="str" cm="1">
        <f t="array" ref="R20:S21">[1]!decode_json(O18)</f>
        <v>h_list_m</v>
      </c>
      <c r="S20" t="str">
        <v>[[0,1000,1500],[0,1,5]]</v>
      </c>
      <c r="W20" s="16"/>
    </row>
    <row r="21" spans="1:27" ht="15.6" x14ac:dyDescent="0.35">
      <c r="B21" s="11" t="s">
        <v>64</v>
      </c>
      <c r="C21" s="2">
        <v>0</v>
      </c>
      <c r="D21" s="7"/>
      <c r="F21" s="57" t="s">
        <v>61</v>
      </c>
      <c r="G21" s="58"/>
      <c r="H21" s="2">
        <v>0</v>
      </c>
      <c r="K21">
        <v>1500</v>
      </c>
      <c r="L21">
        <v>5</v>
      </c>
      <c r="M21">
        <v>250</v>
      </c>
      <c r="N21">
        <v>80</v>
      </c>
      <c r="R21" t="str">
        <v>diam_list_mm</v>
      </c>
      <c r="S21" t="str">
        <v>[[0,250,1500],[30,80,80]]</v>
      </c>
      <c r="W21" s="16"/>
    </row>
    <row r="22" spans="1:27" ht="15.6" x14ac:dyDescent="0.35">
      <c r="B22" s="11" t="s">
        <v>65</v>
      </c>
      <c r="C22" s="2">
        <v>50</v>
      </c>
      <c r="D22" s="4" t="s">
        <v>5</v>
      </c>
      <c r="F22" s="57" t="s">
        <v>57</v>
      </c>
      <c r="G22" s="58"/>
      <c r="H22" s="2">
        <v>0</v>
      </c>
      <c r="M22">
        <v>2000</v>
      </c>
      <c r="N22">
        <v>80</v>
      </c>
      <c r="W22" s="16"/>
    </row>
    <row r="23" spans="1:27" ht="15.6" x14ac:dyDescent="0.35">
      <c r="B23" s="11" t="s">
        <v>66</v>
      </c>
      <c r="C23" s="2">
        <v>30</v>
      </c>
      <c r="D23" s="4" t="s">
        <v>2</v>
      </c>
      <c r="F23" s="57" t="s">
        <v>60</v>
      </c>
      <c r="G23" s="58"/>
      <c r="H23" s="2">
        <v>0</v>
      </c>
      <c r="W23" s="16"/>
    </row>
    <row r="24" spans="1:27" ht="14.4" x14ac:dyDescent="0.3">
      <c r="A24" s="1" t="s">
        <v>8</v>
      </c>
      <c r="F24" s="57" t="s">
        <v>63</v>
      </c>
      <c r="G24" s="58"/>
      <c r="H24" s="2">
        <v>0</v>
      </c>
      <c r="K24" cm="1">
        <f t="array" ref="K24:M25">[1]!array_transpose(M20:N22)</f>
        <v>0</v>
      </c>
      <c r="L24">
        <v>250</v>
      </c>
      <c r="M24">
        <v>2000</v>
      </c>
      <c r="R24" cm="1">
        <f t="array" ref="R24:T25">[1]!array_from_range(O27)</f>
        <v>0</v>
      </c>
      <c r="S24">
        <v>250</v>
      </c>
      <c r="T24">
        <v>2000</v>
      </c>
    </row>
    <row r="25" spans="1:27" ht="16.8" x14ac:dyDescent="0.35">
      <c r="B25" s="11" t="s">
        <v>22</v>
      </c>
      <c r="C25" s="2">
        <v>200</v>
      </c>
      <c r="D25" s="7" t="s">
        <v>23</v>
      </c>
      <c r="K25">
        <v>30</v>
      </c>
      <c r="L25">
        <v>80</v>
      </c>
      <c r="M25">
        <v>80</v>
      </c>
      <c r="O25" t="str" cm="1">
        <f t="array" ref="O25">[1]!encode_json(K20:N20)</f>
        <v>{"1000":1}</v>
      </c>
      <c r="R25">
        <v>30</v>
      </c>
      <c r="S25">
        <v>80</v>
      </c>
      <c r="T25">
        <v>80</v>
      </c>
    </row>
    <row r="26" spans="1:27" ht="16.8" x14ac:dyDescent="0.35">
      <c r="B26" s="11" t="s">
        <v>38</v>
      </c>
      <c r="C26" s="2">
        <v>0</v>
      </c>
      <c r="D26" s="7" t="s">
        <v>39</v>
      </c>
      <c r="F26" s="59" t="s">
        <v>41</v>
      </c>
      <c r="G26" s="59"/>
      <c r="AA26">
        <f>1/3.7</f>
        <v>0.27027027027027023</v>
      </c>
    </row>
    <row r="27" spans="1:27" ht="15.6" x14ac:dyDescent="0.35">
      <c r="B27" s="11" t="s">
        <v>26</v>
      </c>
      <c r="C27" s="2">
        <v>0</v>
      </c>
      <c r="D27" s="4" t="s">
        <v>3</v>
      </c>
      <c r="F27" s="57" t="s">
        <v>59</v>
      </c>
      <c r="G27" s="58"/>
      <c r="H27" s="2">
        <v>1</v>
      </c>
      <c r="I27" s="2">
        <v>1</v>
      </c>
      <c r="O27" t="str" cm="1">
        <f t="array" ref="O27">[1]!encode_json(M20:N22,1)</f>
        <v>[[[0,250,2000],[30,80,80]]]</v>
      </c>
    </row>
    <row r="28" spans="1:27" ht="15" customHeight="1" x14ac:dyDescent="0.3">
      <c r="A28" t="s">
        <v>27</v>
      </c>
      <c r="B28" s="3"/>
      <c r="F28" s="57" t="s">
        <v>58</v>
      </c>
      <c r="G28" s="58"/>
      <c r="H28" s="2">
        <v>1</v>
      </c>
      <c r="I28" s="2">
        <v>1</v>
      </c>
      <c r="AA28">
        <f>0.25/0.0625</f>
        <v>4</v>
      </c>
    </row>
    <row r="29" spans="1:27" ht="18" customHeight="1" x14ac:dyDescent="0.3">
      <c r="B29" s="11" t="s">
        <v>28</v>
      </c>
      <c r="C29" s="2">
        <v>1000</v>
      </c>
      <c r="D29" s="7" t="s">
        <v>30</v>
      </c>
      <c r="Q29" cm="1">
        <f t="array" ref="Q29:R31">[1]!decode_json(O27)</f>
        <v>0</v>
      </c>
      <c r="R29">
        <v>30</v>
      </c>
    </row>
    <row r="30" spans="1:27" ht="15" customHeight="1" x14ac:dyDescent="0.3">
      <c r="B30" s="11" t="s">
        <v>0</v>
      </c>
      <c r="C30" s="2">
        <v>62</v>
      </c>
      <c r="D30" s="7" t="s">
        <v>31</v>
      </c>
      <c r="F30" t="s">
        <v>69</v>
      </c>
      <c r="Q30">
        <v>250</v>
      </c>
      <c r="R30">
        <v>80</v>
      </c>
    </row>
    <row r="31" spans="1:27" ht="15" customHeight="1" x14ac:dyDescent="0.3">
      <c r="B31" s="11" t="s">
        <v>29</v>
      </c>
      <c r="C31" s="2">
        <v>90</v>
      </c>
      <c r="D31" s="7" t="s">
        <v>32</v>
      </c>
      <c r="F31" s="48"/>
      <c r="G31" s="47" t="s">
        <v>70</v>
      </c>
      <c r="H31" s="2">
        <v>1</v>
      </c>
      <c r="I31" s="2">
        <v>0</v>
      </c>
      <c r="Q31">
        <v>2000</v>
      </c>
      <c r="R31">
        <v>80</v>
      </c>
    </row>
    <row r="32" spans="1:27" ht="15" customHeight="1" x14ac:dyDescent="0.3">
      <c r="B32" s="11" t="s">
        <v>33</v>
      </c>
      <c r="C32" s="15">
        <v>26</v>
      </c>
      <c r="D32" s="7" t="s">
        <v>5</v>
      </c>
      <c r="F32" s="49"/>
      <c r="G32" s="47" t="s">
        <v>71</v>
      </c>
      <c r="H32" s="2">
        <v>0</v>
      </c>
      <c r="I32" s="2">
        <v>0</v>
      </c>
    </row>
    <row r="33" spans="1:40" ht="14.4" x14ac:dyDescent="0.3">
      <c r="B33" s="11" t="s">
        <v>34</v>
      </c>
      <c r="C33" s="15">
        <v>100</v>
      </c>
      <c r="D33" s="7" t="s">
        <v>5</v>
      </c>
      <c r="F33" s="44"/>
      <c r="G33" s="45" t="s">
        <v>72</v>
      </c>
      <c r="H33" s="46">
        <f>calc_along_coord_*10+flow_along_coord_</f>
        <v>10</v>
      </c>
      <c r="I33" s="46">
        <f>I31*10+I32</f>
        <v>0</v>
      </c>
    </row>
    <row r="34" spans="1:40" ht="14.4" x14ac:dyDescent="0.3">
      <c r="B34" s="11" t="s">
        <v>35</v>
      </c>
      <c r="C34" s="2">
        <v>40</v>
      </c>
      <c r="D34" s="7" t="s">
        <v>37</v>
      </c>
    </row>
    <row r="35" spans="1:40" ht="14.4" x14ac:dyDescent="0.3">
      <c r="B35" s="11" t="s">
        <v>36</v>
      </c>
      <c r="C35" s="2">
        <v>80</v>
      </c>
      <c r="D35" s="7" t="s">
        <v>37</v>
      </c>
    </row>
    <row r="37" spans="1:40" x14ac:dyDescent="0.25">
      <c r="B37" s="12" t="s">
        <v>9</v>
      </c>
      <c r="C37" s="13" t="str">
        <f>[1]!encode_PVT(gamma_gas_,gamma_oil_,gamma_wat_,Rsb_,Pb_,Tres_,Bob_,muob_,PVT_corr_)</f>
        <v>{"gamma_gas":0.8,"gamma_oil":0.86,"gamma_wat":1,"rsb_m3m3":80,"pb_atma":120,"t_res_C":100,"bob_m3m3":1.2,"muob_cP":1,"PVT_corr_set":0}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>
        <f>1/57.295755</f>
        <v>1.7453299987058378E-2</v>
      </c>
    </row>
    <row r="38" spans="1:40" ht="14.4" x14ac:dyDescent="0.3">
      <c r="B38" s="42" t="s">
        <v>73</v>
      </c>
      <c r="C38" t="str" cm="1">
        <f t="array" ref="C38">[1]!encode_feed(Q_,fw_,Rp_,Q_gas_free_,PVRstr1_)</f>
        <v>{"gamma_gas":0.8,"gamma_oil":0.86,"gamma_wat":1,"rsb_m3m3":80,"pb_atma":120,"t_res_C":100,"bob_m3m3":1.2,"muob_cP":1,"PVT_corr_set":0,"q_liq_sm3day":200,"fw_perc":0,"rp_m3m3":80}</v>
      </c>
    </row>
    <row r="40" spans="1:40" ht="16.5" customHeight="1" x14ac:dyDescent="0.25">
      <c r="C40" s="27" t="s">
        <v>67</v>
      </c>
      <c r="M40" s="27" t="s">
        <v>68</v>
      </c>
    </row>
    <row r="41" spans="1:40" x14ac:dyDescent="0.25">
      <c r="A41" s="14"/>
      <c r="C41" s="36"/>
      <c r="D41" s="37"/>
      <c r="E41" s="37"/>
      <c r="F41" s="37"/>
      <c r="G41" s="43"/>
      <c r="H41" s="37"/>
      <c r="I41" s="37"/>
      <c r="J41" s="37"/>
      <c r="K41" s="38"/>
      <c r="M41" s="36" cm="1">
        <f t="array" ref="M41:U63">[1]!MF_pipe_p_atma(p1_,t0_,C38,O18,O17,)</f>
        <v>86.005658457876351</v>
      </c>
      <c r="N41" s="37">
        <v>31</v>
      </c>
      <c r="O41" s="37">
        <v>100</v>
      </c>
      <c r="P41" s="37">
        <v>30</v>
      </c>
      <c r="Q41" s="37">
        <v>86.005658457876351</v>
      </c>
      <c r="R41" s="37">
        <v>31</v>
      </c>
      <c r="S41" s="37">
        <v>1</v>
      </c>
      <c r="T41" s="37">
        <v>1</v>
      </c>
      <c r="U41" s="38">
        <v>16000</v>
      </c>
    </row>
    <row r="42" spans="1:40" x14ac:dyDescent="0.25">
      <c r="A42" s="14"/>
      <c r="C42" s="39"/>
      <c r="D42" s="40"/>
      <c r="E42" s="40"/>
      <c r="F42" s="40"/>
      <c r="G42" s="40"/>
      <c r="H42" s="40"/>
      <c r="I42" s="40"/>
      <c r="J42" s="40"/>
      <c r="K42" s="41"/>
      <c r="M42" s="39" t="str">
        <v>p_result_atma</v>
      </c>
      <c r="N42" s="40" t="str">
        <v>t_result_C</v>
      </c>
      <c r="O42" s="40" t="str">
        <v>p_1, atma</v>
      </c>
      <c r="P42" s="40" t="str">
        <v>t_1, C</v>
      </c>
      <c r="Q42" s="40" t="str">
        <v>p_2, atma</v>
      </c>
      <c r="R42" s="40" t="str">
        <v>t_2, C</v>
      </c>
      <c r="S42" s="40" t="str">
        <v>c_calibr_grav</v>
      </c>
      <c r="T42" s="40" t="str">
        <v>c_calibr_fric</v>
      </c>
      <c r="U42" s="41" t="str">
        <v>q_gas_sm3day</v>
      </c>
    </row>
    <row r="43" spans="1:40" x14ac:dyDescent="0.25">
      <c r="A43" s="14"/>
      <c r="C43" s="28"/>
      <c r="D43" s="29"/>
      <c r="E43" s="29"/>
      <c r="F43" s="29"/>
      <c r="G43" s="29"/>
      <c r="H43" s="29"/>
      <c r="I43" s="29"/>
      <c r="J43" s="29"/>
      <c r="K43" s="30"/>
      <c r="M43" s="28" t="str">
        <v>num</v>
      </c>
      <c r="N43" s="29" t="str">
        <v>h,m</v>
      </c>
      <c r="O43" s="29" t="str">
        <v>hvert,m</v>
      </c>
      <c r="P43" s="29" t="str">
        <v>p,atma</v>
      </c>
      <c r="Q43" s="29" t="str">
        <v>t,C</v>
      </c>
      <c r="R43" s="29" t="str">
        <v>Hl</v>
      </c>
      <c r="S43" s="29" t="str">
        <v>fpat</v>
      </c>
      <c r="T43" s="29" t="str">
        <v>t_amb, C</v>
      </c>
      <c r="U43" s="30" t="str">
        <v>diam, m</v>
      </c>
    </row>
    <row r="44" spans="1:40" x14ac:dyDescent="0.25">
      <c r="A44" s="14"/>
      <c r="C44" s="28"/>
      <c r="D44" s="31"/>
      <c r="E44" s="29"/>
      <c r="F44" s="53"/>
      <c r="G44" s="31"/>
      <c r="H44" s="50"/>
      <c r="I44" s="29"/>
      <c r="J44" s="31"/>
      <c r="K44" s="30"/>
      <c r="L44" s="52"/>
      <c r="M44" s="28">
        <v>1</v>
      </c>
      <c r="N44" s="31">
        <v>0</v>
      </c>
      <c r="O44" s="31">
        <v>0</v>
      </c>
      <c r="P44" s="31">
        <v>100</v>
      </c>
      <c r="Q44" s="31">
        <v>30</v>
      </c>
      <c r="R44" s="50">
        <v>1</v>
      </c>
      <c r="S44" s="29">
        <v>2</v>
      </c>
      <c r="T44" s="31">
        <v>30</v>
      </c>
      <c r="U44" s="30">
        <v>0.03</v>
      </c>
    </row>
    <row r="45" spans="1:40" x14ac:dyDescent="0.25">
      <c r="A45" s="14"/>
      <c r="C45" s="28"/>
      <c r="D45" s="31"/>
      <c r="E45" s="31"/>
      <c r="F45" s="53"/>
      <c r="G45" s="31"/>
      <c r="H45" s="50"/>
      <c r="I45" s="29"/>
      <c r="J45" s="31"/>
      <c r="K45" s="30"/>
      <c r="L45" s="52"/>
      <c r="M45" s="28">
        <v>2</v>
      </c>
      <c r="N45" s="31">
        <v>83.333333333333329</v>
      </c>
      <c r="O45" s="31">
        <v>8.3333333333333329E-2</v>
      </c>
      <c r="P45" s="31">
        <v>95.522820455036722</v>
      </c>
      <c r="Q45" s="31">
        <v>30.016666666666666</v>
      </c>
      <c r="R45" s="50">
        <v>1</v>
      </c>
      <c r="S45" s="29">
        <v>2</v>
      </c>
      <c r="T45" s="31">
        <v>30.016666666666666</v>
      </c>
      <c r="U45" s="30">
        <v>0.03</v>
      </c>
    </row>
    <row r="46" spans="1:40" x14ac:dyDescent="0.25">
      <c r="A46" s="14"/>
      <c r="C46" s="28"/>
      <c r="D46" s="31"/>
      <c r="E46" s="31"/>
      <c r="F46" s="53"/>
      <c r="G46" s="31"/>
      <c r="H46" s="50"/>
      <c r="I46" s="29"/>
      <c r="J46" s="31"/>
      <c r="K46" s="30"/>
      <c r="L46" s="52"/>
      <c r="M46" s="28">
        <v>3</v>
      </c>
      <c r="N46" s="31">
        <v>166.66666666666666</v>
      </c>
      <c r="O46" s="31">
        <v>0.16666666666666666</v>
      </c>
      <c r="P46" s="31">
        <v>91.007626315718852</v>
      </c>
      <c r="Q46" s="31">
        <v>30.033333333333335</v>
      </c>
      <c r="R46" s="50">
        <v>0.98993479759560477</v>
      </c>
      <c r="S46" s="29">
        <v>2</v>
      </c>
      <c r="T46" s="31">
        <v>30.033333333333335</v>
      </c>
      <c r="U46" s="30">
        <v>0.03</v>
      </c>
    </row>
    <row r="47" spans="1:40" x14ac:dyDescent="0.25">
      <c r="A47" s="14"/>
      <c r="C47" s="28"/>
      <c r="D47" s="31"/>
      <c r="E47" s="31"/>
      <c r="F47" s="53"/>
      <c r="G47" s="31"/>
      <c r="H47" s="50"/>
      <c r="I47" s="29"/>
      <c r="J47" s="31"/>
      <c r="K47" s="30"/>
      <c r="L47" s="52"/>
      <c r="M47" s="28">
        <v>4</v>
      </c>
      <c r="N47" s="31">
        <v>250</v>
      </c>
      <c r="O47" s="31">
        <v>0.25</v>
      </c>
      <c r="P47" s="31">
        <v>86.167450622358743</v>
      </c>
      <c r="Q47" s="31">
        <v>30.05</v>
      </c>
      <c r="R47" s="50">
        <v>0.95504494155654751</v>
      </c>
      <c r="S47" s="29">
        <v>1</v>
      </c>
      <c r="T47" s="31">
        <v>30.05</v>
      </c>
      <c r="U47" s="30">
        <v>0.08</v>
      </c>
    </row>
    <row r="48" spans="1:40" x14ac:dyDescent="0.25">
      <c r="A48" s="14"/>
      <c r="C48" s="28"/>
      <c r="D48" s="31"/>
      <c r="E48" s="31"/>
      <c r="F48" s="53"/>
      <c r="G48" s="31"/>
      <c r="H48" s="50"/>
      <c r="I48" s="29"/>
      <c r="J48" s="31"/>
      <c r="K48" s="30"/>
      <c r="L48" s="52"/>
      <c r="M48" s="28">
        <v>5</v>
      </c>
      <c r="N48" s="31">
        <v>333.33333333333331</v>
      </c>
      <c r="O48" s="31">
        <v>0.33333333333333331</v>
      </c>
      <c r="P48" s="31">
        <v>86.139016974908728</v>
      </c>
      <c r="Q48" s="31">
        <v>30.066666666666666</v>
      </c>
      <c r="R48" s="50">
        <v>0.95478818162345158</v>
      </c>
      <c r="S48" s="29">
        <v>1</v>
      </c>
      <c r="T48" s="31">
        <v>30.066666666666666</v>
      </c>
      <c r="U48" s="30">
        <v>0.08</v>
      </c>
    </row>
    <row r="49" spans="1:21" x14ac:dyDescent="0.25">
      <c r="A49" s="14"/>
      <c r="C49" s="28"/>
      <c r="D49" s="31"/>
      <c r="E49" s="31"/>
      <c r="F49" s="53"/>
      <c r="G49" s="31"/>
      <c r="H49" s="50"/>
      <c r="I49" s="29"/>
      <c r="J49" s="31"/>
      <c r="K49" s="30"/>
      <c r="L49" s="52"/>
      <c r="M49" s="28">
        <v>6</v>
      </c>
      <c r="N49" s="31">
        <v>416.66666666666663</v>
      </c>
      <c r="O49" s="31">
        <v>0.41666666666666663</v>
      </c>
      <c r="P49" s="31">
        <v>86.110555081065101</v>
      </c>
      <c r="Q49" s="31">
        <v>30.083333333333332</v>
      </c>
      <c r="R49" s="50">
        <v>0.95453108408961418</v>
      </c>
      <c r="S49" s="29">
        <v>1</v>
      </c>
      <c r="T49" s="31">
        <v>30.083333333333332</v>
      </c>
      <c r="U49" s="30">
        <v>0.08</v>
      </c>
    </row>
    <row r="50" spans="1:21" x14ac:dyDescent="0.25">
      <c r="A50" s="14"/>
      <c r="C50" s="28"/>
      <c r="D50" s="31"/>
      <c r="E50" s="31"/>
      <c r="F50" s="53"/>
      <c r="G50" s="31"/>
      <c r="H50" s="50"/>
      <c r="I50" s="29"/>
      <c r="J50" s="31"/>
      <c r="K50" s="30"/>
      <c r="L50" s="52"/>
      <c r="M50" s="28">
        <v>7</v>
      </c>
      <c r="N50" s="31">
        <v>500</v>
      </c>
      <c r="O50" s="31">
        <v>0.5</v>
      </c>
      <c r="P50" s="31">
        <v>86.082064885168506</v>
      </c>
      <c r="Q50" s="31">
        <v>30.1</v>
      </c>
      <c r="R50" s="50">
        <v>0.9542736482770614</v>
      </c>
      <c r="S50" s="29">
        <v>1</v>
      </c>
      <c r="T50" s="31">
        <v>30.1</v>
      </c>
      <c r="U50" s="30">
        <v>0.08</v>
      </c>
    </row>
    <row r="51" spans="1:21" x14ac:dyDescent="0.25">
      <c r="A51" s="14"/>
      <c r="C51" s="28"/>
      <c r="D51" s="31"/>
      <c r="E51" s="31"/>
      <c r="F51" s="53"/>
      <c r="G51" s="31"/>
      <c r="H51" s="50"/>
      <c r="I51" s="29"/>
      <c r="J51" s="31"/>
      <c r="K51" s="30"/>
      <c r="L51" s="52"/>
      <c r="M51" s="28">
        <v>8</v>
      </c>
      <c r="N51" s="31">
        <v>583.33333333333326</v>
      </c>
      <c r="O51" s="31">
        <v>0.58333333333333326</v>
      </c>
      <c r="P51" s="31">
        <v>86.053542776169294</v>
      </c>
      <c r="Q51" s="31">
        <v>30.116666666666667</v>
      </c>
      <c r="R51" s="50">
        <v>0.95401583100809895</v>
      </c>
      <c r="S51" s="29">
        <v>1</v>
      </c>
      <c r="T51" s="31">
        <v>30.116666666666667</v>
      </c>
      <c r="U51" s="30">
        <v>0.08</v>
      </c>
    </row>
    <row r="52" spans="1:21" x14ac:dyDescent="0.25">
      <c r="A52" s="14"/>
      <c r="C52" s="28"/>
      <c r="D52" s="31"/>
      <c r="E52" s="31"/>
      <c r="F52" s="53"/>
      <c r="G52" s="31"/>
      <c r="H52" s="50"/>
      <c r="I52" s="29"/>
      <c r="J52" s="31"/>
      <c r="K52" s="30"/>
      <c r="L52" s="52"/>
      <c r="M52" s="28">
        <v>9</v>
      </c>
      <c r="N52" s="31">
        <v>666.66666666666663</v>
      </c>
      <c r="O52" s="31">
        <v>0.66666666666666663</v>
      </c>
      <c r="P52" s="31">
        <v>86.024992234588282</v>
      </c>
      <c r="Q52" s="31">
        <v>30.133333333333333</v>
      </c>
      <c r="R52" s="50">
        <v>0.9537576738702318</v>
      </c>
      <c r="S52" s="29">
        <v>1</v>
      </c>
      <c r="T52" s="31">
        <v>30.133333333333333</v>
      </c>
      <c r="U52" s="30">
        <v>0.08</v>
      </c>
    </row>
    <row r="53" spans="1:21" x14ac:dyDescent="0.25">
      <c r="A53" s="14"/>
      <c r="C53" s="28"/>
      <c r="D53" s="31"/>
      <c r="E53" s="31"/>
      <c r="F53" s="53"/>
      <c r="G53" s="31"/>
      <c r="H53" s="50"/>
      <c r="I53" s="29"/>
      <c r="J53" s="31"/>
      <c r="K53" s="30"/>
      <c r="L53" s="52"/>
      <c r="M53" s="28">
        <v>10</v>
      </c>
      <c r="N53" s="31">
        <v>750</v>
      </c>
      <c r="O53" s="31">
        <v>0.75</v>
      </c>
      <c r="P53" s="31">
        <v>85.996413204201346</v>
      </c>
      <c r="Q53" s="31">
        <v>30.15</v>
      </c>
      <c r="R53" s="50">
        <v>0.95349917617839297</v>
      </c>
      <c r="S53" s="29">
        <v>1</v>
      </c>
      <c r="T53" s="31">
        <v>30.15</v>
      </c>
      <c r="U53" s="30">
        <v>0.08</v>
      </c>
    </row>
    <row r="54" spans="1:21" x14ac:dyDescent="0.25">
      <c r="A54" s="14"/>
      <c r="C54" s="28"/>
      <c r="D54" s="31"/>
      <c r="E54" s="31"/>
      <c r="F54" s="53"/>
      <c r="G54" s="31"/>
      <c r="H54" s="50"/>
      <c r="I54" s="29"/>
      <c r="J54" s="31"/>
      <c r="K54" s="30"/>
      <c r="L54" s="52"/>
      <c r="M54" s="28">
        <v>11</v>
      </c>
      <c r="N54" s="31">
        <v>833.33333333333326</v>
      </c>
      <c r="O54" s="31">
        <v>0.83333333333333326</v>
      </c>
      <c r="P54" s="31">
        <v>85.967802049870059</v>
      </c>
      <c r="Q54" s="31">
        <v>30.166666666666668</v>
      </c>
      <c r="R54" s="50">
        <v>0.95324029446112657</v>
      </c>
      <c r="S54" s="29">
        <v>1</v>
      </c>
      <c r="T54" s="31">
        <v>30.166666666666668</v>
      </c>
      <c r="U54" s="30">
        <v>0.08</v>
      </c>
    </row>
    <row r="55" spans="1:21" x14ac:dyDescent="0.25">
      <c r="A55" s="14"/>
      <c r="C55" s="28"/>
      <c r="D55" s="31"/>
      <c r="E55" s="31"/>
      <c r="F55" s="53"/>
      <c r="G55" s="31"/>
      <c r="H55" s="50"/>
      <c r="I55" s="29"/>
      <c r="J55" s="31"/>
      <c r="K55" s="30"/>
      <c r="L55" s="52"/>
      <c r="M55" s="28">
        <v>12</v>
      </c>
      <c r="N55" s="31">
        <v>916.66666666666663</v>
      </c>
      <c r="O55" s="31">
        <v>0.91666666666666663</v>
      </c>
      <c r="P55" s="31">
        <v>85.939162274876963</v>
      </c>
      <c r="Q55" s="31">
        <v>30.183333333333334</v>
      </c>
      <c r="R55" s="50">
        <v>0.95298107058302994</v>
      </c>
      <c r="S55" s="29">
        <v>1</v>
      </c>
      <c r="T55" s="31">
        <v>30.183333333333334</v>
      </c>
      <c r="U55" s="30">
        <v>0.08</v>
      </c>
    </row>
    <row r="56" spans="1:21" x14ac:dyDescent="0.25">
      <c r="A56" s="14"/>
      <c r="C56" s="28"/>
      <c r="D56" s="31"/>
      <c r="E56" s="31"/>
      <c r="F56" s="53"/>
      <c r="G56" s="31"/>
      <c r="H56" s="50"/>
      <c r="I56" s="29"/>
      <c r="J56" s="31"/>
      <c r="K56" s="30"/>
      <c r="L56" s="52"/>
      <c r="M56" s="28">
        <v>13</v>
      </c>
      <c r="N56" s="31">
        <v>1000</v>
      </c>
      <c r="O56" s="31">
        <v>1.175</v>
      </c>
      <c r="P56" s="31">
        <v>85.917192462518841</v>
      </c>
      <c r="Q56" s="31">
        <v>30.234999999999999</v>
      </c>
      <c r="R56" s="50">
        <v>0.95268051796549835</v>
      </c>
      <c r="S56" s="29">
        <v>1</v>
      </c>
      <c r="T56" s="31">
        <v>30.234999999999999</v>
      </c>
      <c r="U56" s="30">
        <v>0.08</v>
      </c>
    </row>
    <row r="57" spans="1:21" x14ac:dyDescent="0.25">
      <c r="A57" s="14"/>
      <c r="C57" s="28"/>
      <c r="D57" s="31"/>
      <c r="E57" s="31"/>
      <c r="F57" s="53"/>
      <c r="G57" s="31"/>
      <c r="H57" s="50"/>
      <c r="I57" s="29"/>
      <c r="J57" s="31"/>
      <c r="K57" s="30"/>
      <c r="L57" s="52"/>
      <c r="M57" s="28">
        <v>14</v>
      </c>
      <c r="N57" s="31">
        <v>1083.3333333333333</v>
      </c>
      <c r="O57" s="31">
        <v>1.6666666666666661</v>
      </c>
      <c r="P57" s="31">
        <v>85.926454064916726</v>
      </c>
      <c r="Q57" s="31">
        <v>30.333333333333332</v>
      </c>
      <c r="R57" s="50">
        <v>0.95249326357453623</v>
      </c>
      <c r="S57" s="29">
        <v>1</v>
      </c>
      <c r="T57" s="31">
        <v>30.333333333333332</v>
      </c>
      <c r="U57" s="30">
        <v>0.08</v>
      </c>
    </row>
    <row r="58" spans="1:21" x14ac:dyDescent="0.25">
      <c r="A58" s="14"/>
      <c r="C58" s="28"/>
      <c r="D58" s="31"/>
      <c r="E58" s="31"/>
      <c r="F58" s="53"/>
      <c r="G58" s="31"/>
      <c r="H58" s="50"/>
      <c r="I58" s="29"/>
      <c r="J58" s="31"/>
      <c r="K58" s="30"/>
      <c r="L58" s="52"/>
      <c r="M58" s="28">
        <v>15</v>
      </c>
      <c r="N58" s="31">
        <v>1166.6666666666665</v>
      </c>
      <c r="O58" s="31">
        <v>2.3333333333333321</v>
      </c>
      <c r="P58" s="31">
        <v>85.942378701733418</v>
      </c>
      <c r="Q58" s="31">
        <v>30.466666666666669</v>
      </c>
      <c r="R58" s="50">
        <v>0.95226462459642369</v>
      </c>
      <c r="S58" s="29">
        <v>1</v>
      </c>
      <c r="T58" s="31">
        <v>30.466666666666669</v>
      </c>
      <c r="U58" s="30">
        <v>0.08</v>
      </c>
    </row>
    <row r="59" spans="1:21" x14ac:dyDescent="0.25">
      <c r="A59" s="14"/>
      <c r="C59" s="28"/>
      <c r="D59" s="31"/>
      <c r="E59" s="31"/>
      <c r="F59" s="53"/>
      <c r="G59" s="31"/>
      <c r="H59" s="50"/>
      <c r="I59" s="29"/>
      <c r="J59" s="31"/>
      <c r="K59" s="30"/>
      <c r="L59" s="52"/>
      <c r="M59" s="28">
        <v>16</v>
      </c>
      <c r="N59" s="31">
        <v>1208.3333333333333</v>
      </c>
      <c r="O59" s="31">
        <v>2.6666666666666661</v>
      </c>
      <c r="P59" s="31">
        <v>85.950320882284245</v>
      </c>
      <c r="Q59" s="31">
        <v>30.533333333333331</v>
      </c>
      <c r="R59" s="50">
        <v>0.95215014262231457</v>
      </c>
      <c r="S59" s="29">
        <v>1</v>
      </c>
      <c r="T59" s="31">
        <v>30.533333333333331</v>
      </c>
      <c r="U59" s="30">
        <v>0.08</v>
      </c>
    </row>
    <row r="60" spans="1:21" x14ac:dyDescent="0.25">
      <c r="A60" s="14"/>
      <c r="C60" s="28"/>
      <c r="D60" s="31"/>
      <c r="E60" s="31"/>
      <c r="F60" s="53"/>
      <c r="G60" s="31"/>
      <c r="H60" s="50"/>
      <c r="I60" s="29"/>
      <c r="J60" s="31"/>
      <c r="K60" s="30"/>
      <c r="L60" s="52"/>
      <c r="M60" s="28">
        <v>17</v>
      </c>
      <c r="N60" s="31">
        <v>1250</v>
      </c>
      <c r="O60" s="31">
        <v>3</v>
      </c>
      <c r="P60" s="31">
        <v>85.958263062835087</v>
      </c>
      <c r="Q60" s="31">
        <v>30.6</v>
      </c>
      <c r="R60" s="50">
        <v>0.95203555232884229</v>
      </c>
      <c r="S60" s="29">
        <v>1</v>
      </c>
      <c r="T60" s="31">
        <v>30.6</v>
      </c>
      <c r="U60" s="30">
        <v>0.08</v>
      </c>
    </row>
    <row r="61" spans="1:21" x14ac:dyDescent="0.25">
      <c r="A61" s="14"/>
      <c r="C61" s="28"/>
      <c r="D61" s="31"/>
      <c r="E61" s="31"/>
      <c r="F61" s="53"/>
      <c r="G61" s="31"/>
      <c r="H61" s="50"/>
      <c r="I61" s="29"/>
      <c r="J61" s="31"/>
      <c r="K61" s="30"/>
      <c r="L61" s="52"/>
      <c r="M61" s="28">
        <v>18</v>
      </c>
      <c r="N61" s="31">
        <v>1333.3333333333333</v>
      </c>
      <c r="O61" s="31">
        <v>3.6666666666666661</v>
      </c>
      <c r="P61" s="31">
        <v>85.974102011517445</v>
      </c>
      <c r="Q61" s="31">
        <v>30.733333333333334</v>
      </c>
      <c r="R61" s="50">
        <v>0.95180599264195109</v>
      </c>
      <c r="S61" s="29">
        <v>1</v>
      </c>
      <c r="T61" s="31">
        <v>30.733333333333334</v>
      </c>
      <c r="U61" s="30">
        <v>0.08</v>
      </c>
    </row>
    <row r="62" spans="1:21" x14ac:dyDescent="0.25">
      <c r="A62" s="14"/>
      <c r="C62" s="28"/>
      <c r="D62" s="31"/>
      <c r="E62" s="31"/>
      <c r="F62" s="53"/>
      <c r="G62" s="31"/>
      <c r="H62" s="50"/>
      <c r="I62" s="29"/>
      <c r="J62" s="31"/>
      <c r="K62" s="30"/>
      <c r="L62" s="52"/>
      <c r="M62" s="28">
        <v>19</v>
      </c>
      <c r="N62" s="31">
        <v>1416.6666666666665</v>
      </c>
      <c r="O62" s="31">
        <v>4.3333333333333321</v>
      </c>
      <c r="P62" s="31">
        <v>85.989900502578067</v>
      </c>
      <c r="Q62" s="31">
        <v>30.866666666666667</v>
      </c>
      <c r="R62" s="50">
        <v>0.95157599972091245</v>
      </c>
      <c r="S62" s="29">
        <v>1</v>
      </c>
      <c r="T62" s="31">
        <v>30.866666666666667</v>
      </c>
      <c r="U62" s="30">
        <v>0.08</v>
      </c>
    </row>
    <row r="63" spans="1:21" x14ac:dyDescent="0.25">
      <c r="A63" s="14"/>
      <c r="C63" s="32"/>
      <c r="D63" s="33"/>
      <c r="E63" s="33"/>
      <c r="F63" s="54"/>
      <c r="G63" s="33"/>
      <c r="H63" s="51"/>
      <c r="I63" s="34"/>
      <c r="J63" s="33"/>
      <c r="K63" s="35"/>
      <c r="L63" s="52"/>
      <c r="M63" s="32">
        <v>20</v>
      </c>
      <c r="N63" s="33">
        <v>1500</v>
      </c>
      <c r="O63" s="33">
        <v>5</v>
      </c>
      <c r="P63" s="33">
        <v>86.005658457876351</v>
      </c>
      <c r="Q63" s="33">
        <v>31</v>
      </c>
      <c r="R63" s="51">
        <v>0.95134557358894245</v>
      </c>
      <c r="S63" s="34">
        <v>1</v>
      </c>
      <c r="T63" s="33">
        <v>31</v>
      </c>
      <c r="U63" s="35">
        <v>0.08</v>
      </c>
    </row>
    <row r="64" spans="1:21" x14ac:dyDescent="0.25">
      <c r="A64" s="14"/>
    </row>
    <row r="65" spans="1:1" x14ac:dyDescent="0.25">
      <c r="A65" s="14"/>
    </row>
    <row r="66" spans="1:1" x14ac:dyDescent="0.25">
      <c r="A66" s="14"/>
    </row>
  </sheetData>
  <mergeCells count="11">
    <mergeCell ref="F22:G22"/>
    <mergeCell ref="B3:E3"/>
    <mergeCell ref="B4:E4"/>
    <mergeCell ref="B5:E5"/>
    <mergeCell ref="B6:E8"/>
    <mergeCell ref="F21:G21"/>
    <mergeCell ref="F23:G23"/>
    <mergeCell ref="F24:G24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44</vt:i4>
      </vt:variant>
    </vt:vector>
  </HeadingPairs>
  <TitlesOfParts>
    <vt:vector size="45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2021-02-10T19:07:55Z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