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8_{D9C8B038-8ED1-4BB8-9AC0-661B8018BF53}" xr6:coauthVersionLast="45" xr6:coauthVersionMax="45" xr10:uidLastSave="{00000000-0000-0000-0000-000000000000}"/>
  <bookViews>
    <workbookView xWindow="-38520" yWindow="-120" windowWidth="38640" windowHeight="21840" tabRatio="591" xr2:uid="{00000000-000D-0000-FFFF-FFFF00000000}"/>
  </bookViews>
  <sheets>
    <sheet name="exercise_MF1 " sheetId="118" r:id="rId1"/>
  </sheets>
  <externalReferences>
    <externalReference r:id="rId2"/>
  </externalReferences>
  <definedNames>
    <definedName name="Bob_" localSheetId="0">'exercise_MF1 '!$C$18</definedName>
    <definedName name="calibr_fric">'exercise_MF1 '!$H$28</definedName>
    <definedName name="calibr_grav">'exercise_MF1 '!$H$27</definedName>
    <definedName name="calibr_type">'exercise_MF1 '!$H$29</definedName>
    <definedName name="fw_" localSheetId="0">'exercise_MF1 '!$C$23</definedName>
    <definedName name="gamma_gas_" localSheetId="0">'exercise_MF1 '!$C$13</definedName>
    <definedName name="gamma_oil_" localSheetId="0">'exercise_MF1 '!$C$11</definedName>
    <definedName name="gamma_wat_" localSheetId="0">'exercise_MF1 '!$C$12</definedName>
    <definedName name="Hydr_corr_">'exercise_MF1 '!$H$25</definedName>
    <definedName name="id_">'exercise_MF1 '!$C$26</definedName>
    <definedName name="input_0">'exercise_MF1 '!$C$11:$C$31</definedName>
    <definedName name="input_1">'exercise_MF1 '!$H$25:$H$28</definedName>
    <definedName name="input_Course">'exercise_MF1 '!$I$3</definedName>
    <definedName name="input_Date">'exercise_MF1 '!$I$1</definedName>
    <definedName name="input_Group">'exercise_MF1 '!$I$4</definedName>
    <definedName name="input_Notes">'exercise_MF1 '!$I$6</definedName>
    <definedName name="input_Student_Name">'exercise_MF1 '!$I$5</definedName>
    <definedName name="input_Version">'exercise_MF1 '!$I$2</definedName>
    <definedName name="L_">'exercise_MF1 '!$C$25</definedName>
    <definedName name="l_test_">'exercise_MF1 '!#REF!</definedName>
    <definedName name="l0_">'exercise_MF1 '!#REF!</definedName>
    <definedName name="muob_" localSheetId="0">'exercise_MF1 '!$C$19</definedName>
    <definedName name="n_">'exercise_MF1 '!$A$62</definedName>
    <definedName name="p_test_">'exercise_MF1 '!#REF!</definedName>
    <definedName name="p0_">'exercise_MF1 '!$C$28</definedName>
    <definedName name="p1_">'exercise_MF1 '!$C$29</definedName>
    <definedName name="Pb_" localSheetId="0">'exercise_MF1 '!$C$16</definedName>
    <definedName name="PVRstr1_">'exercise_MF1 '!$C$33</definedName>
    <definedName name="Q_" localSheetId="0">'exercise_MF1 '!$C$21</definedName>
    <definedName name="Q_gas_free_">'exercise_MF1 '!$C$22</definedName>
    <definedName name="Rp_" localSheetId="0">'exercise_MF1 '!$C$15</definedName>
    <definedName name="Rsb_" localSheetId="0">'exercise_MF1 '!$C$14</definedName>
    <definedName name="t0_">'exercise_MF1 '!$C$30</definedName>
    <definedName name="t1_">'exercise_MF1 '!$C$31</definedName>
    <definedName name="theta_">'exercise_MF1 '!$C$27</definedName>
    <definedName name="Tres_" localSheetId="0">'exercise_MF1 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118" l="1"/>
  <c r="AG16" i="118" l="1"/>
  <c r="AG15" i="118"/>
  <c r="AG12" i="118"/>
  <c r="AG14" i="118"/>
  <c r="AG13" i="118"/>
  <c r="C33" i="118"/>
  <c r="K25" i="118" s="1" a="1"/>
  <c r="M37" i="118" a="1"/>
  <c r="C37" i="118" a="1"/>
  <c r="K25" i="118" l="1"/>
  <c r="M37" i="118"/>
  <c r="C37" i="118"/>
  <c r="E17" i="118"/>
  <c r="E16" i="118"/>
  <c r="E15" i="118"/>
  <c r="E14" i="118"/>
  <c r="E13" i="118"/>
  <c r="E12" i="118"/>
  <c r="E11" i="1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<sst xmlns="http://schemas.openxmlformats.org/spreadsheetml/2006/main" count="75" uniqueCount="63">
  <si>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</si>
  <si>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</si>
  <si>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</si>
  <si>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</si>
  <si>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</si>
  <si>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</si>
  <si>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</si>
  <si>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</si>
  <si>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</si>
  <si>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</si>
  <si>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</si>
  <si>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</si>
  <si>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</si>
  <si>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</si>
  <si>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</si>
  <si>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</si>
  <si>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</si>
  <si>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</si>
  <si>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</si>
  <si>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</si>
  <si>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</si>
  <si>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</si>
  <si>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</si>
  <si>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</si>
  <si>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</si>
  <si>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</si>
  <si>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</si>
  <si>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</si>
  <si>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</si>
  <si>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</si>
  <si>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</si>
  <si>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</si>
  <si>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</si>
  <si>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</si>
  <si>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</si>
  <si>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</si>
  <si>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</si>
  <si>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</si>
  <si>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</si>
  <si>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</si>
  <si>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</si>
  <si>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Расчет сверху вниз</t>
  </si>
  <si>
    <t>Поправки</t>
  </si>
  <si>
    <t>Расчет снизу вверх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</si>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</sst>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8"/>
      <name val="Arial Cyr"/>
      <charset val="204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7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8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5" borderId="16" xfId="0" applyFill="1" applyBorder="1" applyAlignment="1">
      <alignment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6" borderId="14" xfId="0" applyFill="1" applyBorder="1"/>
    <xf numFmtId="0" fontId="19" fillId="0" borderId="0" xfId="0" applyFont="1"/>
    <xf numFmtId="0" fontId="10" fillId="5" borderId="0" xfId="0" applyFont="1" applyFill="1" applyBorder="1" applyAlignment="1">
      <alignment horizontal="center" wrapText="1"/>
    </xf>
    <xf numFmtId="0" fontId="10" fillId="5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'exercise_MF1 '!$C$36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'exercise_MF1 '!$F$40:$F$59</c:f>
              <c:numCache>
                <c:formatCode>General</c:formatCode>
                <c:ptCount val="20"/>
                <c:pt idx="0">
                  <c:v>25.6</c:v>
                </c:pt>
                <c:pt idx="1">
                  <c:v>27.749315325957902</c:v>
                </c:pt>
                <c:pt idx="2">
                  <c:v>30.016962688470336</c:v>
                </c:pt>
                <c:pt idx="3">
                  <c:v>32.409122747082179</c:v>
                </c:pt>
                <c:pt idx="4">
                  <c:v>34.931787708636442</c:v>
                </c:pt>
                <c:pt idx="5">
                  <c:v>37.590731259019243</c:v>
                </c:pt>
                <c:pt idx="6">
                  <c:v>40.391464708576876</c:v>
                </c:pt>
                <c:pt idx="7">
                  <c:v>43.339180962318295</c:v>
                </c:pt>
                <c:pt idx="8">
                  <c:v>46.438688074275284</c:v>
                </c:pt>
                <c:pt idx="9">
                  <c:v>49.754344063405881</c:v>
                </c:pt>
                <c:pt idx="10">
                  <c:v>53.474285704441456</c:v>
                </c:pt>
                <c:pt idx="11">
                  <c:v>57.537837047398014</c:v>
                </c:pt>
                <c:pt idx="12">
                  <c:v>61.783834106614776</c:v>
                </c:pt>
                <c:pt idx="13">
                  <c:v>66.211468364763775</c:v>
                </c:pt>
                <c:pt idx="14">
                  <c:v>70.818813516710421</c:v>
                </c:pt>
                <c:pt idx="15">
                  <c:v>75.602848082041234</c:v>
                </c:pt>
                <c:pt idx="16">
                  <c:v>80.559512858016063</c:v>
                </c:pt>
                <c:pt idx="17">
                  <c:v>85.683802190773335</c:v>
                </c:pt>
                <c:pt idx="18">
                  <c:v>90.969884772104152</c:v>
                </c:pt>
                <c:pt idx="19">
                  <c:v>96.411246905329776</c:v>
                </c:pt>
              </c:numCache>
            </c:numRef>
          </c:xVal>
          <c:yVal>
            <c:numRef>
              <c:f>'exercise_MF1 '!$D$40:$D$59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66-4A9A-B82A-1C260A35D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'exercise_MF1 '!$C$36</c:f>
          <c:strCache>
            <c:ptCount val="1"/>
            <c:pt idx="0">
              <c:v>Расчет сверху вниз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'exercise_MF1 '!$F$39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'exercise_MF1 '!$D$40:$D$59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'exercise_MF1 '!$F$40:$F$59</c:f>
              <c:numCache>
                <c:formatCode>General</c:formatCode>
                <c:ptCount val="20"/>
                <c:pt idx="0">
                  <c:v>25.6</c:v>
                </c:pt>
                <c:pt idx="1">
                  <c:v>27.749315325957902</c:v>
                </c:pt>
                <c:pt idx="2">
                  <c:v>30.016962688470336</c:v>
                </c:pt>
                <c:pt idx="3">
                  <c:v>32.409122747082179</c:v>
                </c:pt>
                <c:pt idx="4">
                  <c:v>34.931787708636442</c:v>
                </c:pt>
                <c:pt idx="5">
                  <c:v>37.590731259019243</c:v>
                </c:pt>
                <c:pt idx="6">
                  <c:v>40.391464708576876</c:v>
                </c:pt>
                <c:pt idx="7">
                  <c:v>43.339180962318295</c:v>
                </c:pt>
                <c:pt idx="8">
                  <c:v>46.438688074275284</c:v>
                </c:pt>
                <c:pt idx="9">
                  <c:v>49.754344063405881</c:v>
                </c:pt>
                <c:pt idx="10">
                  <c:v>53.474285704441456</c:v>
                </c:pt>
                <c:pt idx="11">
                  <c:v>57.537837047398014</c:v>
                </c:pt>
                <c:pt idx="12">
                  <c:v>61.783834106614776</c:v>
                </c:pt>
                <c:pt idx="13">
                  <c:v>66.211468364763775</c:v>
                </c:pt>
                <c:pt idx="14">
                  <c:v>70.818813516710421</c:v>
                </c:pt>
                <c:pt idx="15">
                  <c:v>75.602848082041234</c:v>
                </c:pt>
                <c:pt idx="16">
                  <c:v>80.559512858016063</c:v>
                </c:pt>
                <c:pt idx="17">
                  <c:v>85.683802190773335</c:v>
                </c:pt>
                <c:pt idx="18">
                  <c:v>90.969884772104152</c:v>
                </c:pt>
                <c:pt idx="19">
                  <c:v>96.411246905329776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D-4D56-8CB5-CFC5B5F770B0}"/>
            </c:ext>
          </c:extLst>
        </c:ser>
        <c:ser>
          <c:idx val="4"/>
          <c:order val="2"/>
          <c:tx>
            <c:strRef>
              <c:f>'exercise_MF1 '!$J$39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'exercise_MF1 '!$D$40:$D$59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'exercise_MF1 '!$J$40:$J$59</c:f>
              <c:numCache>
                <c:formatCode>General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56D-4D56-8CB5-CFC5B5F77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'exercise_MF1 '!$H$39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'exercise_MF1 '!$D$40:$D$59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'exercise_MF1 '!$H$40:$H$59</c:f>
              <c:numCache>
                <c:formatCode>General</c:formatCode>
                <c:ptCount val="20"/>
                <c:pt idx="0">
                  <c:v>0.26514743273327146</c:v>
                </c:pt>
                <c:pt idx="1">
                  <c:v>0.27740894557090512</c:v>
                </c:pt>
                <c:pt idx="2">
                  <c:v>0.29019890162534745</c:v>
                </c:pt>
                <c:pt idx="3">
                  <c:v>0.30353207332737192</c:v>
                </c:pt>
                <c:pt idx="4">
                  <c:v>0.3174183824307456</c:v>
                </c:pt>
                <c:pt idx="5">
                  <c:v>0.3318622327868947</c:v>
                </c:pt>
                <c:pt idx="6">
                  <c:v>0.34686175497135441</c:v>
                </c:pt>
                <c:pt idx="7">
                  <c:v>0.36240801462908606</c:v>
                </c:pt>
                <c:pt idx="8">
                  <c:v>0.37848424949656712</c:v>
                </c:pt>
                <c:pt idx="9">
                  <c:v>0.4230452502171963</c:v>
                </c:pt>
                <c:pt idx="10">
                  <c:v>0.47193029658752439</c:v>
                </c:pt>
                <c:pt idx="11">
                  <c:v>0.49083198616222307</c:v>
                </c:pt>
                <c:pt idx="12">
                  <c:v>0.50996549758842968</c:v>
                </c:pt>
                <c:pt idx="13">
                  <c:v>0.52924066181531859</c:v>
                </c:pt>
                <c:pt idx="14">
                  <c:v>0.5485627402913299</c:v>
                </c:pt>
                <c:pt idx="15">
                  <c:v>0.56783572776662183</c:v>
                </c:pt>
                <c:pt idx="16">
                  <c:v>0.58696587153796043</c:v>
                </c:pt>
                <c:pt idx="17">
                  <c:v>0.60586509955071888</c:v>
                </c:pt>
                <c:pt idx="18">
                  <c:v>0.62445404823295092</c:v>
                </c:pt>
                <c:pt idx="19">
                  <c:v>0.64266443027163422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6D-4D56-8CB5-CFC5B5F77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'exercise_MF1 '!$M$36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'exercise_MF1 '!$P$40:$P$59</c:f>
              <c:numCache>
                <c:formatCode>General</c:formatCode>
                <c:ptCount val="20"/>
                <c:pt idx="0">
                  <c:v>26.769231331027854</c:v>
                </c:pt>
                <c:pt idx="1">
                  <c:v>28.992183470378052</c:v>
                </c:pt>
                <c:pt idx="2">
                  <c:v>31.33813671222288</c:v>
                </c:pt>
                <c:pt idx="3">
                  <c:v>33.813279702835388</c:v>
                </c:pt>
                <c:pt idx="4">
                  <c:v>36.423593847851329</c:v>
                </c:pt>
                <c:pt idx="5">
                  <c:v>39.174813763556884</c:v>
                </c:pt>
                <c:pt idx="6">
                  <c:v>42.072374195513383</c:v>
                </c:pt>
                <c:pt idx="7">
                  <c:v>45.121345133603633</c:v>
                </c:pt>
                <c:pt idx="8">
                  <c:v>48.326357205338496</c:v>
                </c:pt>
                <c:pt idx="9">
                  <c:v>51.903596744558243</c:v>
                </c:pt>
                <c:pt idx="10">
                  <c:v>55.91248495600081</c:v>
                </c:pt>
                <c:pt idx="11">
                  <c:v>60.105395419679169</c:v>
                </c:pt>
                <c:pt idx="12">
                  <c:v>64.482129638750578</c:v>
                </c:pt>
                <c:pt idx="13">
                  <c:v>69.041123373649626</c:v>
                </c:pt>
                <c:pt idx="14">
                  <c:v>73.779671478454389</c:v>
                </c:pt>
                <c:pt idx="15">
                  <c:v>78.693974757138903</c:v>
                </c:pt>
                <c:pt idx="16">
                  <c:v>83.779223288149311</c:v>
                </c:pt>
                <c:pt idx="17">
                  <c:v>89.029712795432715</c:v>
                </c:pt>
                <c:pt idx="18">
                  <c:v>94.438987431040673</c:v>
                </c:pt>
                <c:pt idx="19">
                  <c:v>100</c:v>
                </c:pt>
              </c:numCache>
            </c:numRef>
          </c:xVal>
          <c:yVal>
            <c:numRef>
              <c:f>'exercise_MF1 '!$N$40:$N$59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9A-4303-858F-5947B4D7E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'exercise_MF1 '!$M$36</c:f>
          <c:strCache>
            <c:ptCount val="1"/>
            <c:pt idx="0">
              <c:v>Расчет снизу вверх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'exercise_MF1 '!$P$39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'exercise_MF1 '!$N$40:$N$59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'exercise_MF1 '!$P$40:$P$59</c:f>
              <c:numCache>
                <c:formatCode>General</c:formatCode>
                <c:ptCount val="20"/>
                <c:pt idx="0">
                  <c:v>26.769231331027854</c:v>
                </c:pt>
                <c:pt idx="1">
                  <c:v>28.992183470378052</c:v>
                </c:pt>
                <c:pt idx="2">
                  <c:v>31.33813671222288</c:v>
                </c:pt>
                <c:pt idx="3">
                  <c:v>33.813279702835388</c:v>
                </c:pt>
                <c:pt idx="4">
                  <c:v>36.423593847851329</c:v>
                </c:pt>
                <c:pt idx="5">
                  <c:v>39.174813763556884</c:v>
                </c:pt>
                <c:pt idx="6">
                  <c:v>42.072374195513383</c:v>
                </c:pt>
                <c:pt idx="7">
                  <c:v>45.121345133603633</c:v>
                </c:pt>
                <c:pt idx="8">
                  <c:v>48.326357205338496</c:v>
                </c:pt>
                <c:pt idx="9">
                  <c:v>51.903596744558243</c:v>
                </c:pt>
                <c:pt idx="10">
                  <c:v>55.91248495600081</c:v>
                </c:pt>
                <c:pt idx="11">
                  <c:v>60.105395419679169</c:v>
                </c:pt>
                <c:pt idx="12">
                  <c:v>64.482129638750578</c:v>
                </c:pt>
                <c:pt idx="13">
                  <c:v>69.041123373649626</c:v>
                </c:pt>
                <c:pt idx="14">
                  <c:v>73.779671478454389</c:v>
                </c:pt>
                <c:pt idx="15">
                  <c:v>78.693974757138903</c:v>
                </c:pt>
                <c:pt idx="16">
                  <c:v>83.779223288149311</c:v>
                </c:pt>
                <c:pt idx="17">
                  <c:v>89.029712795432715</c:v>
                </c:pt>
                <c:pt idx="18">
                  <c:v>94.438987431040673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A3-4619-A6ED-AC2EDC12F993}"/>
            </c:ext>
          </c:extLst>
        </c:ser>
        <c:ser>
          <c:idx val="4"/>
          <c:order val="2"/>
          <c:tx>
            <c:strRef>
              <c:f>'exercise_MF1 '!$T$39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'exercise_MF1 '!$N$40:$N$59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'exercise_MF1 '!$T$40:$T$59</c:f>
              <c:numCache>
                <c:formatCode>General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A3-4619-A6ED-AC2EDC12F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'exercise_MF1 '!$R$39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'exercise_MF1 '!$N$40:$N$59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'exercise_MF1 '!$R$40:$R$59</c:f>
              <c:numCache>
                <c:formatCode>General</c:formatCode>
                <c:ptCount val="20"/>
                <c:pt idx="0">
                  <c:v>0.27251522475187695</c:v>
                </c:pt>
                <c:pt idx="1">
                  <c:v>0.28517847791720885</c:v>
                </c:pt>
                <c:pt idx="2">
                  <c:v>0.29838857819411535</c:v>
                </c:pt>
                <c:pt idx="3">
                  <c:v>0.31215809096121466</c:v>
                </c:pt>
                <c:pt idx="4">
                  <c:v>0.32649419418975928</c:v>
                </c:pt>
                <c:pt idx="5">
                  <c:v>0.34139791453193646</c:v>
                </c:pt>
                <c:pt idx="6">
                  <c:v>0.3568632989147722</c:v>
                </c:pt>
                <c:pt idx="7">
                  <c:v>0.3728765847823266</c:v>
                </c:pt>
                <c:pt idx="8">
                  <c:v>0.38941544707979814</c:v>
                </c:pt>
                <c:pt idx="9">
                  <c:v>0.43493429087262303</c:v>
                </c:pt>
                <c:pt idx="10">
                  <c:v>0.48478281270668033</c:v>
                </c:pt>
                <c:pt idx="11">
                  <c:v>0.50401638286998129</c:v>
                </c:pt>
                <c:pt idx="12">
                  <c:v>0.52342744632343685</c:v>
                </c:pt>
                <c:pt idx="13">
                  <c:v>0.54291967069133495</c:v>
                </c:pt>
                <c:pt idx="14">
                  <c:v>0.56239414589601744</c:v>
                </c:pt>
                <c:pt idx="15">
                  <c:v>0.58175304775136027</c:v>
                </c:pt>
                <c:pt idx="16">
                  <c:v>0.60090332075475272</c:v>
                </c:pt>
                <c:pt idx="17">
                  <c:v>0.61976004190742284</c:v>
                </c:pt>
                <c:pt idx="18">
                  <c:v>0.63824916307541868</c:v>
                </c:pt>
                <c:pt idx="19">
                  <c:v>0.65630941466473369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A3-4619-A6ED-AC2EDC12F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'exercise_MF1 '!$C$36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'exercise_MF1 '!$F$40:$F$59</c:f>
              <c:numCache>
                <c:formatCode>General</c:formatCode>
                <c:ptCount val="20"/>
                <c:pt idx="0">
                  <c:v>25.6</c:v>
                </c:pt>
                <c:pt idx="1">
                  <c:v>27.749315325957902</c:v>
                </c:pt>
                <c:pt idx="2">
                  <c:v>30.016962688470336</c:v>
                </c:pt>
                <c:pt idx="3">
                  <c:v>32.409122747082179</c:v>
                </c:pt>
                <c:pt idx="4">
                  <c:v>34.931787708636442</c:v>
                </c:pt>
                <c:pt idx="5">
                  <c:v>37.590731259019243</c:v>
                </c:pt>
                <c:pt idx="6">
                  <c:v>40.391464708576876</c:v>
                </c:pt>
                <c:pt idx="7">
                  <c:v>43.339180962318295</c:v>
                </c:pt>
                <c:pt idx="8">
                  <c:v>46.438688074275284</c:v>
                </c:pt>
                <c:pt idx="9">
                  <c:v>49.754344063405881</c:v>
                </c:pt>
                <c:pt idx="10">
                  <c:v>53.474285704441456</c:v>
                </c:pt>
                <c:pt idx="11">
                  <c:v>57.537837047398014</c:v>
                </c:pt>
                <c:pt idx="12">
                  <c:v>61.783834106614776</c:v>
                </c:pt>
                <c:pt idx="13">
                  <c:v>66.211468364763775</c:v>
                </c:pt>
                <c:pt idx="14">
                  <c:v>70.818813516710421</c:v>
                </c:pt>
                <c:pt idx="15">
                  <c:v>75.602848082041234</c:v>
                </c:pt>
                <c:pt idx="16">
                  <c:v>80.559512858016063</c:v>
                </c:pt>
                <c:pt idx="17">
                  <c:v>85.683802190773335</c:v>
                </c:pt>
                <c:pt idx="18">
                  <c:v>90.969884772104152</c:v>
                </c:pt>
                <c:pt idx="19">
                  <c:v>96.411246905329776</c:v>
                </c:pt>
              </c:numCache>
            </c:numRef>
          </c:xVal>
          <c:yVal>
            <c:numRef>
              <c:f>'exercise_MF1 '!$D$40:$D$59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66-4A9A-B82A-1C260A35DB44}"/>
            </c:ext>
          </c:extLst>
        </c:ser>
        <c:ser>
          <c:idx val="1"/>
          <c:order val="1"/>
          <c:tx>
            <c:strRef>
              <c:f>'exercise_MF1 '!$M$36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'exercise_MF1 '!$P$40:$P$59</c:f>
              <c:numCache>
                <c:formatCode>General</c:formatCode>
                <c:ptCount val="20"/>
                <c:pt idx="0">
                  <c:v>26.769231331027854</c:v>
                </c:pt>
                <c:pt idx="1">
                  <c:v>28.992183470378052</c:v>
                </c:pt>
                <c:pt idx="2">
                  <c:v>31.33813671222288</c:v>
                </c:pt>
                <c:pt idx="3">
                  <c:v>33.813279702835388</c:v>
                </c:pt>
                <c:pt idx="4">
                  <c:v>36.423593847851329</c:v>
                </c:pt>
                <c:pt idx="5">
                  <c:v>39.174813763556884</c:v>
                </c:pt>
                <c:pt idx="6">
                  <c:v>42.072374195513383</c:v>
                </c:pt>
                <c:pt idx="7">
                  <c:v>45.121345133603633</c:v>
                </c:pt>
                <c:pt idx="8">
                  <c:v>48.326357205338496</c:v>
                </c:pt>
                <c:pt idx="9">
                  <c:v>51.903596744558243</c:v>
                </c:pt>
                <c:pt idx="10">
                  <c:v>55.91248495600081</c:v>
                </c:pt>
                <c:pt idx="11">
                  <c:v>60.105395419679169</c:v>
                </c:pt>
                <c:pt idx="12">
                  <c:v>64.482129638750578</c:v>
                </c:pt>
                <c:pt idx="13">
                  <c:v>69.041123373649626</c:v>
                </c:pt>
                <c:pt idx="14">
                  <c:v>73.779671478454389</c:v>
                </c:pt>
                <c:pt idx="15">
                  <c:v>78.693974757138903</c:v>
                </c:pt>
                <c:pt idx="16">
                  <c:v>83.779223288149311</c:v>
                </c:pt>
                <c:pt idx="17">
                  <c:v>89.029712795432715</c:v>
                </c:pt>
                <c:pt idx="18">
                  <c:v>94.438987431040673</c:v>
                </c:pt>
                <c:pt idx="19">
                  <c:v>100</c:v>
                </c:pt>
              </c:numCache>
            </c:numRef>
          </c:xVal>
          <c:yVal>
            <c:numRef>
              <c:f>'exercise_MF1 '!$N$40:$N$59</c:f>
              <c:numCache>
                <c:formatCode>General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FD-49D4-9C9D-EE8828C19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295883</xdr:colOff>
      <xdr:row>10</xdr:row>
      <xdr:rowOff>60798</xdr:rowOff>
    </xdr:from>
    <xdr:to>
      <xdr:col>29</xdr:col>
      <xdr:colOff>571500</xdr:colOff>
      <xdr:row>27</xdr:row>
      <xdr:rowOff>162127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83F62C25-163E-43CA-8FCB-AD4644C7B177}"/>
            </a:ext>
          </a:extLst>
        </xdr:cNvPr>
        <xdr:cNvSpPr/>
      </xdr:nvSpPr>
      <xdr:spPr>
        <a:xfrm>
          <a:off x="17534106" y="1033564"/>
          <a:ext cx="2926405" cy="3737042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467955</xdr:colOff>
      <xdr:row>0</xdr:row>
      <xdr:rowOff>28575</xdr:rowOff>
    </xdr:from>
    <xdr:to>
      <xdr:col>13</xdr:col>
      <xdr:colOff>485775</xdr:colOff>
      <xdr:row>15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382730" y="28575"/>
          <a:ext cx="4637445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26</xdr:col>
      <xdr:colOff>178055</xdr:colOff>
      <xdr:row>12</xdr:row>
      <xdr:rowOff>167360</xdr:rowOff>
    </xdr:from>
    <xdr:to>
      <xdr:col>27</xdr:col>
      <xdr:colOff>92169</xdr:colOff>
      <xdr:row>24</xdr:row>
      <xdr:rowOff>67005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237FE31A-1C98-4814-AED4-9E7CF3BD7E95}"/>
            </a:ext>
          </a:extLst>
        </xdr:cNvPr>
        <xdr:cNvGrpSpPr/>
      </xdr:nvGrpSpPr>
      <xdr:grpSpPr>
        <a:xfrm rot="384771">
          <a:off x="15475205" y="2367635"/>
          <a:ext cx="304639" cy="2490445"/>
          <a:chOff x="5095875" y="1104900"/>
          <a:chExt cx="276225" cy="2038350"/>
        </a:xfrm>
      </xdr:grpSpPr>
      <xdr:sp macro="" textlink="">
        <xdr:nvSpPr>
          <xdr:cNvPr id="6" name="Цилиндр 5">
            <a:extLst>
              <a:ext uri="{FF2B5EF4-FFF2-40B4-BE49-F238E27FC236}">
                <a16:creationId xmlns:a16="http://schemas.microsoft.com/office/drawing/2014/main" id="{D945AAEA-A7A5-4CA7-93FE-8BA4DA10F059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Стрелка: вверх 7">
            <a:extLst>
              <a:ext uri="{FF2B5EF4-FFF2-40B4-BE49-F238E27FC236}">
                <a16:creationId xmlns:a16="http://schemas.microsoft.com/office/drawing/2014/main" id="{7A4A53BB-393B-4F05-9EC1-2E6050CF2FD4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385263</xdr:colOff>
      <xdr:row>22</xdr:row>
      <xdr:rowOff>131990</xdr:rowOff>
    </xdr:from>
    <xdr:to>
      <xdr:col>27</xdr:col>
      <xdr:colOff>340389</xdr:colOff>
      <xdr:row>24</xdr:row>
      <xdr:rowOff>100694</xdr:rowOff>
    </xdr:to>
    <xdr:sp macro="" textlink="">
      <xdr:nvSpPr>
        <xdr:cNvPr id="11" name="Дуга 10">
          <a:extLst>
            <a:ext uri="{FF2B5EF4-FFF2-40B4-BE49-F238E27FC236}">
              <a16:creationId xmlns:a16="http://schemas.microsoft.com/office/drawing/2014/main" id="{BCC60C31-520B-4819-874A-1481407E4250}"/>
            </a:ext>
          </a:extLst>
        </xdr:cNvPr>
        <xdr:cNvSpPr/>
      </xdr:nvSpPr>
      <xdr:spPr>
        <a:xfrm>
          <a:off x="18839444" y="3808235"/>
          <a:ext cx="344232" cy="329438"/>
        </a:xfrm>
        <a:prstGeom prst="arc">
          <a:avLst>
            <a:gd name="adj1" fmla="val 16589623"/>
            <a:gd name="adj2" fmla="val 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247245</xdr:colOff>
      <xdr:row>22</xdr:row>
      <xdr:rowOff>3850</xdr:rowOff>
    </xdr:from>
    <xdr:to>
      <xdr:col>28</xdr:col>
      <xdr:colOff>464146</xdr:colOff>
      <xdr:row>23</xdr:row>
      <xdr:rowOff>52474</xdr:rowOff>
    </xdr:to>
    <mc:AlternateContent xmlns:mc="http://schemas.openxmlformats.org/markup-compatibility/2006" xmlns:a14="http://schemas.microsoft.com/office/drawing/2010/main">
      <mc:Choice Requires="a14">
        <xdr:sp macro="" textlink="$AG$12">
          <xdr:nvSpPr>
            <xdr:cNvPr id="12" name="TextBox 11">
              <a:extLst>
                <a:ext uri="{FF2B5EF4-FFF2-40B4-BE49-F238E27FC236}">
                  <a16:creationId xmlns:a16="http://schemas.microsoft.com/office/drawing/2014/main" id="{A07B541F-5CFC-4D90-A208-AFF7220E2A14}"/>
                </a:ext>
              </a:extLst>
            </xdr:cNvPr>
            <xdr:cNvSpPr txBox="1"/>
          </xdr:nvSpPr>
          <xdr:spPr>
            <a:xfrm>
              <a:off x="19090532" y="3680095"/>
              <a:ext cx="654646" cy="2472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fld id="{A457EA44-9E79-4B57-AB26-E7E8EA34EC38}" type="TxLink">
                <a:rPr lang="en-US" sz="1000" b="0" i="0" u="none" strike="noStrike">
                  <a:solidFill>
                    <a:srgbClr val="000000"/>
                  </a:solidFill>
                  <a:latin typeface="Cambria Math" panose="02040503050406030204" pitchFamily="18" charset="0"/>
                </a:rPr>
                <a:pPr/>
                <a:t>𝜃 = 90°</a:t>
              </a:fld>
              <a:endParaRPr lang="ru-RU" sz="1100"/>
            </a:p>
          </xdr:txBody>
        </xdr:sp>
      </mc:Choice>
      <mc:Fallback xmlns="">
        <xdr:sp macro="" textlink="$AG$6">
          <xdr:nvSpPr>
            <xdr:cNvPr id="12" name="TextBox 11">
              <a:extLst>
                <a:ext uri="{FF2B5EF4-FFF2-40B4-BE49-F238E27FC236}">
                  <a16:creationId xmlns:a16="http://schemas.microsoft.com/office/drawing/2014/main" id="{A07B541F-5CFC-4D90-A208-AFF7220E2A14}"/>
                </a:ext>
              </a:extLst>
            </xdr:cNvPr>
            <xdr:cNvSpPr txBox="1"/>
          </xdr:nvSpPr>
          <xdr:spPr>
            <a:xfrm>
              <a:off x="19090532" y="3680095"/>
              <a:ext cx="654646" cy="2472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fld id="{A457EA44-9E79-4B57-AB26-E7E8EA34EC38}" type="TxLink">
                <a:rPr lang="en-US" sz="1000" b="0" i="0" u="none" strike="noStrike">
                  <a:solidFill>
                    <a:srgbClr val="000000"/>
                  </a:solidFill>
                  <a:latin typeface="Cambria Math" panose="02040503050406030204" pitchFamily="18" charset="0"/>
                </a:rPr>
                <a:t>𝜃 = 90°</a:t>
              </a:fld>
              <a:endParaRPr lang="ru-RU" sz="1100"/>
            </a:p>
          </xdr:txBody>
        </xdr:sp>
      </mc:Fallback>
    </mc:AlternateContent>
    <xdr:clientData/>
  </xdr:twoCellAnchor>
  <xdr:oneCellAnchor>
    <xdr:from>
      <xdr:col>27</xdr:col>
      <xdr:colOff>211748</xdr:colOff>
      <xdr:row>18</xdr:row>
      <xdr:rowOff>21248</xdr:rowOff>
    </xdr:from>
    <xdr:ext cx="1228926" cy="248851"/>
    <xdr:sp macro="" textlink="$AG$14">
      <xdr:nvSpPr>
        <xdr:cNvPr id="17" name="TextBox 16">
          <a:extLst>
            <a:ext uri="{FF2B5EF4-FFF2-40B4-BE49-F238E27FC236}">
              <a16:creationId xmlns:a16="http://schemas.microsoft.com/office/drawing/2014/main" id="{048019C6-327A-42DD-A1FE-850DEB391DD5}"/>
            </a:ext>
          </a:extLst>
        </xdr:cNvPr>
        <xdr:cNvSpPr txBox="1"/>
      </xdr:nvSpPr>
      <xdr:spPr>
        <a:xfrm>
          <a:off x="15899423" y="3631223"/>
          <a:ext cx="122892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D0780F6-A4D5-4B6A-B878-A96EB5687134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/>
            <a:t>Qliq = 100 m3/day</a:t>
          </a:fld>
          <a:endParaRPr lang="ru-RU" sz="1100"/>
        </a:p>
      </xdr:txBody>
    </xdr:sp>
    <xdr:clientData/>
  </xdr:one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C6E225-2EB1-4BCD-AF29-3410E684F5D8}"/>
            </a:ext>
          </a:extLst>
        </xdr:cNvPr>
        <xdr:cNvSpPr txBox="1"/>
      </xdr:nvSpPr>
      <xdr:spPr>
        <a:xfrm>
          <a:off x="13954125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C13BAEE8-BFF6-409E-BF8E-E2330D975560}"/>
            </a:ext>
          </a:extLst>
        </xdr:cNvPr>
        <xdr:cNvSpPr txBox="1"/>
      </xdr:nvSpPr>
      <xdr:spPr>
        <a:xfrm>
          <a:off x="13049250" y="2295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25</xdr:col>
      <xdr:colOff>416060</xdr:colOff>
      <xdr:row>12</xdr:row>
      <xdr:rowOff>160506</xdr:rowOff>
    </xdr:from>
    <xdr:to>
      <xdr:col>26</xdr:col>
      <xdr:colOff>120785</xdr:colOff>
      <xdr:row>24</xdr:row>
      <xdr:rowOff>8106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2716333F-8AB1-4F14-B38C-49D4F1F8C72D}"/>
            </a:ext>
          </a:extLst>
        </xdr:cNvPr>
        <xdr:cNvCxnSpPr/>
      </xdr:nvCxnSpPr>
      <xdr:spPr>
        <a:xfrm flipH="1">
          <a:off x="18262262" y="1611549"/>
          <a:ext cx="312704" cy="24335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25</xdr:col>
      <xdr:colOff>309539</xdr:colOff>
      <xdr:row>16</xdr:row>
      <xdr:rowOff>145026</xdr:rowOff>
    </xdr:from>
    <xdr:ext cx="248851" cy="811184"/>
    <xdr:sp macro="" textlink="$AG$13">
      <xdr:nvSpPr>
        <xdr:cNvPr id="22" name="TextBox 21">
          <a:extLst>
            <a:ext uri="{FF2B5EF4-FFF2-40B4-BE49-F238E27FC236}">
              <a16:creationId xmlns:a16="http://schemas.microsoft.com/office/drawing/2014/main" id="{86FC1396-646A-4907-B8D5-D2AEF20CA4A6}"/>
            </a:ext>
          </a:extLst>
        </xdr:cNvPr>
        <xdr:cNvSpPr txBox="1"/>
      </xdr:nvSpPr>
      <xdr:spPr>
        <a:xfrm rot="16665650">
          <a:off x="17874575" y="2821628"/>
          <a:ext cx="81118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5BFE74C-02AA-4C19-8E99-D23EEC4E2F5B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/>
            <a:t>L = 2000 м</a:t>
          </a:fld>
          <a:endParaRPr lang="ru-RU" sz="1100"/>
        </a:p>
      </xdr:txBody>
    </xdr:sp>
    <xdr:clientData/>
  </xdr:oneCellAnchor>
  <xdr:twoCellAnchor>
    <xdr:from>
      <xdr:col>27</xdr:col>
      <xdr:colOff>163141</xdr:colOff>
      <xdr:row>23</xdr:row>
      <xdr:rowOff>85725</xdr:rowOff>
    </xdr:from>
    <xdr:to>
      <xdr:col>29</xdr:col>
      <xdr:colOff>115516</xdr:colOff>
      <xdr:row>23</xdr:row>
      <xdr:rowOff>95250</xdr:rowOff>
    </xdr:to>
    <xdr:cxnSp macro="">
      <xdr:nvCxnSpPr>
        <xdr:cNvPr id="26" name="Прямая со стрелкой 25">
          <a:extLst>
            <a:ext uri="{FF2B5EF4-FFF2-40B4-BE49-F238E27FC236}">
              <a16:creationId xmlns:a16="http://schemas.microsoft.com/office/drawing/2014/main" id="{ED6FE47B-44E4-43E9-87F2-6C3D326C9EAC}"/>
            </a:ext>
          </a:extLst>
        </xdr:cNvPr>
        <xdr:cNvCxnSpPr/>
      </xdr:nvCxnSpPr>
      <xdr:spPr>
        <a:xfrm flipV="1">
          <a:off x="19006428" y="3960576"/>
          <a:ext cx="998099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161925</xdr:colOff>
      <xdr:row>19</xdr:row>
      <xdr:rowOff>76200</xdr:rowOff>
    </xdr:from>
    <xdr:to>
      <xdr:col>27</xdr:col>
      <xdr:colOff>285750</xdr:colOff>
      <xdr:row>23</xdr:row>
      <xdr:rowOff>95250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ACD9E807-622D-4460-B348-FBEC73855030}"/>
            </a:ext>
          </a:extLst>
        </xdr:cNvPr>
        <xdr:cNvCxnSpPr/>
      </xdr:nvCxnSpPr>
      <xdr:spPr>
        <a:xfrm flipV="1">
          <a:off x="19030950" y="3162300"/>
          <a:ext cx="123825" cy="809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26</xdr:col>
      <xdr:colOff>73939</xdr:colOff>
      <xdr:row>10</xdr:row>
      <xdr:rowOff>202659</xdr:rowOff>
    </xdr:from>
    <xdr:ext cx="1008096" cy="551329"/>
    <xdr:sp macro="" textlink="$AG$15">
      <xdr:nvSpPr>
        <xdr:cNvPr id="29" name="TextBox 28">
          <a:extLst>
            <a:ext uri="{FF2B5EF4-FFF2-40B4-BE49-F238E27FC236}">
              <a16:creationId xmlns:a16="http://schemas.microsoft.com/office/drawing/2014/main" id="{9EC6A380-92AE-4D37-831B-9D2FB8D169FC}"/>
            </a:ext>
          </a:extLst>
        </xdr:cNvPr>
        <xdr:cNvSpPr txBox="1"/>
      </xdr:nvSpPr>
      <xdr:spPr>
        <a:xfrm>
          <a:off x="18528120" y="1175425"/>
          <a:ext cx="1008096" cy="5513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fld id="{663E1153-94D4-4648-9D61-99AAA94FE429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p0 = 25.6 atm,
 t1= 40°C</a:t>
          </a:fld>
          <a:endParaRPr lang="ru-RU" sz="1100"/>
        </a:p>
      </xdr:txBody>
    </xdr:sp>
    <xdr:clientData/>
  </xdr:oneCellAnchor>
  <xdr:oneCellAnchor>
    <xdr:from>
      <xdr:col>25</xdr:col>
      <xdr:colOff>341450</xdr:colOff>
      <xdr:row>24</xdr:row>
      <xdr:rowOff>114470</xdr:rowOff>
    </xdr:from>
    <xdr:ext cx="972446" cy="412445"/>
    <xdr:sp macro="" textlink="$AG$16">
      <xdr:nvSpPr>
        <xdr:cNvPr id="30" name="TextBox 29">
          <a:extLst>
            <a:ext uri="{FF2B5EF4-FFF2-40B4-BE49-F238E27FC236}">
              <a16:creationId xmlns:a16="http://schemas.microsoft.com/office/drawing/2014/main" id="{8C51A73A-58A8-40B5-8C17-E5E20925A5FB}"/>
            </a:ext>
          </a:extLst>
        </xdr:cNvPr>
        <xdr:cNvSpPr txBox="1"/>
      </xdr:nvSpPr>
      <xdr:spPr>
        <a:xfrm>
          <a:off x="18187652" y="4151449"/>
          <a:ext cx="972446" cy="4124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2B2AA7E9-6CE9-453C-B2FE-1A9170055B6F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/>
            <a:t>p1 = 100 atm,
 t1 = 80°C</a:t>
          </a:fld>
          <a:endParaRPr lang="ru-RU" sz="1100"/>
        </a:p>
      </xdr:txBody>
    </xdr:sp>
    <xdr:clientData/>
  </xdr:oneCellAnchor>
  <xdr:twoCellAnchor>
    <xdr:from>
      <xdr:col>13</xdr:col>
      <xdr:colOff>533400</xdr:colOff>
      <xdr:row>0</xdr:row>
      <xdr:rowOff>19050</xdr:rowOff>
    </xdr:from>
    <xdr:to>
      <xdr:col>22</xdr:col>
      <xdr:colOff>38100</xdr:colOff>
      <xdr:row>15</xdr:row>
      <xdr:rowOff>2072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C2376982-313D-4459-916A-5ADF2087C8D4}"/>
            </a:ext>
          </a:extLst>
        </xdr:cNvPr>
        <xdr:cNvSpPr txBox="1"/>
      </xdr:nvSpPr>
      <xdr:spPr>
        <a:xfrm>
          <a:off x="9067800" y="19050"/>
          <a:ext cx="499110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66</xdr:row>
      <xdr:rowOff>11178</xdr:rowOff>
    </xdr:from>
    <xdr:to>
      <xdr:col>5</xdr:col>
      <xdr:colOff>86139</xdr:colOff>
      <xdr:row>91</xdr:row>
      <xdr:rowOff>7868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75D5EDD2-E734-4190-8ADF-042F2C2CEC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141219</xdr:colOff>
      <xdr:row>66</xdr:row>
      <xdr:rowOff>2898</xdr:rowOff>
    </xdr:from>
    <xdr:to>
      <xdr:col>9</xdr:col>
      <xdr:colOff>616641</xdr:colOff>
      <xdr:row>91</xdr:row>
      <xdr:rowOff>32716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F8585E5F-F54F-4916-99D7-504F9D803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65</xdr:row>
      <xdr:rowOff>135421</xdr:rowOff>
    </xdr:from>
    <xdr:to>
      <xdr:col>15</xdr:col>
      <xdr:colOff>228601</xdr:colOff>
      <xdr:row>90</xdr:row>
      <xdr:rowOff>132111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8A2A805B-6E0A-4681-895E-49B40EDC02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65</xdr:row>
      <xdr:rowOff>144945</xdr:rowOff>
    </xdr:from>
    <xdr:to>
      <xdr:col>20</xdr:col>
      <xdr:colOff>57151</xdr:colOff>
      <xdr:row>91</xdr:row>
      <xdr:rowOff>12838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37EB045A-9244-4C33-BC2A-2F9CF5A62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66675</xdr:colOff>
      <xdr:row>28</xdr:row>
      <xdr:rowOff>81355</xdr:rowOff>
    </xdr:from>
    <xdr:to>
      <xdr:col>31</xdr:col>
      <xdr:colOff>419100</xdr:colOff>
      <xdr:row>59</xdr:row>
      <xdr:rowOff>113434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9FB227A9-8BBD-445E-8D22-4339A82676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59</xdr:row>
      <xdr:rowOff>47625</xdr:rowOff>
    </xdr:from>
    <xdr:to>
      <xdr:col>7</xdr:col>
      <xdr:colOff>610532</xdr:colOff>
      <xdr:row>66</xdr:row>
      <xdr:rowOff>76200</xdr:rowOff>
    </xdr:to>
    <xdr:sp macro="" textlink="">
      <xdr:nvSpPr>
        <xdr:cNvPr id="41" name="Выноска: стрелка вверх 40">
          <a:extLst>
            <a:ext uri="{FF2B5EF4-FFF2-40B4-BE49-F238E27FC236}">
              <a16:creationId xmlns:a16="http://schemas.microsoft.com/office/drawing/2014/main" id="{A6F8D7B2-B599-45DF-838A-AFC5A7869CBD}"/>
            </a:ext>
          </a:extLst>
        </xdr:cNvPr>
        <xdr:cNvSpPr/>
      </xdr:nvSpPr>
      <xdr:spPr>
        <a:xfrm>
          <a:off x="2409825" y="1000125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58</xdr:row>
      <xdr:rowOff>133350</xdr:rowOff>
    </xdr:from>
    <xdr:to>
      <xdr:col>18</xdr:col>
      <xdr:colOff>58082</xdr:colOff>
      <xdr:row>66</xdr:row>
      <xdr:rowOff>0</xdr:rowOff>
    </xdr:to>
    <xdr:sp macro="" textlink="">
      <xdr:nvSpPr>
        <xdr:cNvPr id="42" name="Выноска: стрелка вверх 41">
          <a:extLst>
            <a:ext uri="{FF2B5EF4-FFF2-40B4-BE49-F238E27FC236}">
              <a16:creationId xmlns:a16="http://schemas.microsoft.com/office/drawing/2014/main" id="{CFEDE5A0-717E-44F3-8D6F-55CFC5A2C950}"/>
            </a:ext>
          </a:extLst>
        </xdr:cNvPr>
        <xdr:cNvSpPr/>
      </xdr:nvSpPr>
      <xdr:spPr>
        <a:xfrm>
          <a:off x="8896350" y="992505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26</xdr:row>
      <xdr:rowOff>28575</xdr:rowOff>
    </xdr:from>
    <xdr:to>
      <xdr:col>14</xdr:col>
      <xdr:colOff>286682</xdr:colOff>
      <xdr:row>31</xdr:row>
      <xdr:rowOff>38100</xdr:rowOff>
    </xdr:to>
    <xdr:sp macro="" textlink="">
      <xdr:nvSpPr>
        <xdr:cNvPr id="43" name="Выноска: стрелка вверх 42">
          <a:extLst>
            <a:ext uri="{FF2B5EF4-FFF2-40B4-BE49-F238E27FC236}">
              <a16:creationId xmlns:a16="http://schemas.microsoft.com/office/drawing/2014/main" id="{66E8C030-14FB-4BE7-B77C-0279DAFEAFB3}"/>
            </a:ext>
          </a:extLst>
        </xdr:cNvPr>
        <xdr:cNvSpPr/>
      </xdr:nvSpPr>
      <xdr:spPr>
        <a:xfrm>
          <a:off x="6686550" y="4448175"/>
          <a:ext cx="274413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BAD12248-C180-488F-A26A-4365AD4F836C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"/>
      <definedName name="MF_p_pip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MF1">
    <outlinePr summaryBelow="0"/>
  </sheetPr>
  <dimension ref="A1:AG62"/>
  <sheetViews>
    <sheetView tabSelected="1" zoomScaleNormal="100" workbookViewId="0">
      <selection activeCell="F9" sqref="F9"/>
    </sheetView>
  </sheetViews>
  <sheetFormatPr defaultRowHeight="12.75" x14ac:dyDescent="0.2"/>
  <cols>
    <col min="2" max="2" width="11.85546875" customWidth="1"/>
    <col min="3" max="10" width="9.42578125" customWidth="1"/>
    <col min="11" max="11" width="11.28515625" customWidth="1"/>
    <col min="12" max="13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</cols>
  <sheetData>
    <row r="1" spans="1:33" x14ac:dyDescent="0.2">
      <c r="A1" s="1" t="s">
        <v>10</v>
      </c>
      <c r="F1" t="s">
        <v>11</v>
      </c>
      <c r="G1" t="str">
        <f>[1]!getUFVersion()</f>
        <v>7.19</v>
      </c>
      <c r="H1" t="s">
        <v>44</v>
      </c>
      <c r="I1" s="27">
        <v>43941</v>
      </c>
      <c r="J1" s="28"/>
      <c r="K1" s="28"/>
      <c r="L1" s="28"/>
    </row>
    <row r="2" spans="1:33" x14ac:dyDescent="0.2">
      <c r="A2" t="s">
        <v>58</v>
      </c>
      <c r="H2" t="s">
        <v>45</v>
      </c>
      <c r="I2" s="29">
        <v>7.19</v>
      </c>
      <c r="J2" s="28"/>
      <c r="K2" s="28"/>
      <c r="L2" s="28"/>
    </row>
    <row r="3" spans="1:33" ht="15" x14ac:dyDescent="0.25">
      <c r="A3" s="30" t="s">
        <v>46</v>
      </c>
      <c r="B3" s="31" t="s">
        <v>47</v>
      </c>
      <c r="C3" s="32"/>
      <c r="D3" s="32"/>
      <c r="E3" s="33"/>
      <c r="H3" t="s">
        <v>48</v>
      </c>
      <c r="I3" s="28" t="s">
        <v>47</v>
      </c>
      <c r="J3" s="28"/>
      <c r="K3" s="28"/>
      <c r="L3" s="28"/>
    </row>
    <row r="4" spans="1:33" ht="15" x14ac:dyDescent="0.25">
      <c r="A4" s="30" t="s">
        <v>49</v>
      </c>
      <c r="B4" s="31" t="s">
        <v>50</v>
      </c>
      <c r="C4" s="32"/>
      <c r="D4" s="32"/>
      <c r="E4" s="33"/>
      <c r="H4" t="s">
        <v>51</v>
      </c>
      <c r="I4" s="28" t="s">
        <v>50</v>
      </c>
      <c r="J4" s="28"/>
      <c r="K4" s="28"/>
      <c r="L4" s="28"/>
    </row>
    <row r="5" spans="1:33" ht="15" x14ac:dyDescent="0.25">
      <c r="A5" s="30" t="s">
        <v>52</v>
      </c>
      <c r="B5" s="31" t="s">
        <v>53</v>
      </c>
      <c r="C5" s="32"/>
      <c r="D5" s="32"/>
      <c r="E5" s="33"/>
      <c r="H5" t="s">
        <v>54</v>
      </c>
      <c r="I5" s="28" t="s">
        <v>53</v>
      </c>
      <c r="J5" s="28"/>
      <c r="K5" s="28"/>
      <c r="L5" s="28"/>
    </row>
    <row r="6" spans="1:33" x14ac:dyDescent="0.2">
      <c r="A6" s="34" t="s">
        <v>55</v>
      </c>
      <c r="B6" s="35" t="s">
        <v>56</v>
      </c>
      <c r="C6" s="36"/>
      <c r="D6" s="36"/>
      <c r="E6" s="37"/>
      <c r="H6" s="38" t="s">
        <v>57</v>
      </c>
      <c r="I6" s="39" t="s">
        <v>56</v>
      </c>
      <c r="J6" s="39"/>
      <c r="K6" s="39"/>
      <c r="L6" s="39"/>
    </row>
    <row r="7" spans="1:33" x14ac:dyDescent="0.2">
      <c r="A7" s="40"/>
      <c r="B7" s="41"/>
      <c r="C7" s="42"/>
      <c r="D7" s="42"/>
      <c r="E7" s="43"/>
      <c r="H7" s="38"/>
      <c r="I7" s="39"/>
      <c r="J7" s="39"/>
      <c r="K7" s="39"/>
      <c r="L7" s="39"/>
    </row>
    <row r="8" spans="1:33" x14ac:dyDescent="0.2">
      <c r="A8" s="44"/>
      <c r="B8" s="45"/>
      <c r="C8" s="46"/>
      <c r="D8" s="46"/>
      <c r="E8" s="47"/>
      <c r="H8" s="38"/>
      <c r="I8" s="39"/>
      <c r="J8" s="39"/>
      <c r="K8" s="39"/>
      <c r="L8" s="39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2000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100 m3/day</v>
      </c>
    </row>
    <row r="15" spans="1:33" ht="18.75" x14ac:dyDescent="0.35">
      <c r="B15" s="10" t="s">
        <v>17</v>
      </c>
      <c r="C15" s="2">
        <v>200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25.6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3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</row>
    <row r="18" spans="1:23" ht="18.75" x14ac:dyDescent="0.35">
      <c r="B18" s="10" t="s">
        <v>20</v>
      </c>
      <c r="C18" s="2">
        <v>1.2</v>
      </c>
      <c r="D18" s="7" t="s">
        <v>12</v>
      </c>
    </row>
    <row r="19" spans="1:23" ht="18" x14ac:dyDescent="0.35">
      <c r="B19" s="11" t="s">
        <v>21</v>
      </c>
      <c r="C19" s="2">
        <v>1</v>
      </c>
      <c r="D19" s="4" t="s">
        <v>4</v>
      </c>
      <c r="W19" s="16"/>
    </row>
    <row r="20" spans="1:23" x14ac:dyDescent="0.2">
      <c r="A20" s="1" t="s">
        <v>8</v>
      </c>
    </row>
    <row r="21" spans="1:23" ht="15.75" x14ac:dyDescent="0.3">
      <c r="B21" s="11" t="s">
        <v>22</v>
      </c>
      <c r="C21" s="2">
        <v>100</v>
      </c>
      <c r="D21" s="7" t="s">
        <v>23</v>
      </c>
    </row>
    <row r="22" spans="1:23" ht="18" x14ac:dyDescent="0.35">
      <c r="B22" s="11" t="s">
        <v>38</v>
      </c>
      <c r="C22" s="2">
        <v>0</v>
      </c>
      <c r="D22" s="7" t="s">
        <v>39</v>
      </c>
    </row>
    <row r="23" spans="1:23" ht="15.75" x14ac:dyDescent="0.3">
      <c r="B23" s="11" t="s">
        <v>26</v>
      </c>
      <c r="C23" s="2">
        <v>10</v>
      </c>
      <c r="D23" s="4" t="s">
        <v>3</v>
      </c>
    </row>
    <row r="24" spans="1:23" x14ac:dyDescent="0.2">
      <c r="A24" t="s">
        <v>27</v>
      </c>
      <c r="B24" s="3"/>
    </row>
    <row r="25" spans="1:23" ht="18" customHeight="1" x14ac:dyDescent="0.25">
      <c r="B25" s="11" t="s">
        <v>28</v>
      </c>
      <c r="C25" s="2">
        <v>2000</v>
      </c>
      <c r="D25" s="7" t="s">
        <v>30</v>
      </c>
      <c r="F25" s="50" t="s">
        <v>59</v>
      </c>
      <c r="G25" s="51"/>
      <c r="H25" s="2">
        <v>1</v>
      </c>
      <c r="K25" s="18" cm="1">
        <f t="array" ref="K25:O26">[1]!MF_calibr_pipe(Q_,fw_,L_,p0_,p1_,0,+PVRstr1_,theta_,id_,Hydr_corr_,t0_,t1_,calibr_grav,calibr_fric,,Q_gas_free_,calibr_type)</f>
        <v>1.0336456298828125</v>
      </c>
      <c r="L25" s="19" t="str">
        <v>calibr_grav</v>
      </c>
      <c r="M25" s="19">
        <v>-4.8401232790240556E-4</v>
      </c>
      <c r="N25" s="19">
        <v>16</v>
      </c>
      <c r="O25" s="20" t="str">
        <v>solve_equation_bisection: done by  16 iterations, tolerance 0.001</v>
      </c>
    </row>
    <row r="26" spans="1:23" ht="15" customHeight="1" x14ac:dyDescent="0.25">
      <c r="B26" s="11" t="s">
        <v>0</v>
      </c>
      <c r="C26" s="2">
        <v>62</v>
      </c>
      <c r="D26" s="7" t="s">
        <v>31</v>
      </c>
      <c r="F26" s="52" t="s">
        <v>42</v>
      </c>
      <c r="G26" s="52"/>
      <c r="K26" s="21" t="str">
        <v>solution</v>
      </c>
      <c r="L26" s="22" t="str">
        <v>cal_type</v>
      </c>
      <c r="M26" s="22" t="str">
        <v>y_solution</v>
      </c>
      <c r="N26" s="22" t="str">
        <v>iterations</v>
      </c>
      <c r="O26" s="23" t="str">
        <v>description</v>
      </c>
    </row>
    <row r="27" spans="1:23" ht="15" customHeight="1" x14ac:dyDescent="0.25">
      <c r="B27" s="11" t="s">
        <v>29</v>
      </c>
      <c r="C27" s="2">
        <v>90</v>
      </c>
      <c r="D27" s="7" t="s">
        <v>32</v>
      </c>
      <c r="F27" s="50" t="s">
        <v>61</v>
      </c>
      <c r="G27" s="51"/>
      <c r="H27" s="2">
        <v>1</v>
      </c>
    </row>
    <row r="28" spans="1:23" ht="15" x14ac:dyDescent="0.25">
      <c r="B28" s="11" t="s">
        <v>33</v>
      </c>
      <c r="C28" s="15">
        <v>25.6</v>
      </c>
      <c r="D28" s="7" t="s">
        <v>5</v>
      </c>
      <c r="F28" s="50" t="s">
        <v>60</v>
      </c>
      <c r="G28" s="51"/>
      <c r="H28" s="2">
        <v>1</v>
      </c>
    </row>
    <row r="29" spans="1:23" ht="15" x14ac:dyDescent="0.25">
      <c r="B29" s="11" t="s">
        <v>34</v>
      </c>
      <c r="C29" s="15">
        <v>100</v>
      </c>
      <c r="D29" s="7" t="s">
        <v>5</v>
      </c>
      <c r="F29" t="s">
        <v>62</v>
      </c>
      <c r="H29" s="53">
        <v>0</v>
      </c>
    </row>
    <row r="30" spans="1:23" ht="15" x14ac:dyDescent="0.25">
      <c r="B30" s="11" t="s">
        <v>35</v>
      </c>
      <c r="C30" s="2">
        <v>40</v>
      </c>
      <c r="D30" s="7" t="s">
        <v>37</v>
      </c>
    </row>
    <row r="31" spans="1:23" ht="15" x14ac:dyDescent="0.25">
      <c r="B31" s="11" t="s">
        <v>36</v>
      </c>
      <c r="C31" s="2">
        <v>80</v>
      </c>
      <c r="D31" s="7" t="s">
        <v>37</v>
      </c>
    </row>
    <row r="33" spans="1:21" x14ac:dyDescent="0.2">
      <c r="B33" s="12" t="s">
        <v>9</v>
      </c>
      <c r="C33" s="13" t="str">
        <f>[1]!PVT_encode_string(gamma_gas_,gamma_oil_,gamma_wat_,Rsb_,Rp_,Pb_,Tres_,Bob_,muob_,,,,,0)</f>
        <v>gamma_gas:0.800;gamma_oil:0.860;gamma_wat:1.000;rsb_m3m3:80.000;rp_m3m3:200.000;pb_atma:120.000;tres_C:100.000;bob_m3m3:1.200;muob_cP:1.000;PVTcorr:0;ksep_fr:0.000;p_ksep_atma:-1.000;t_ksep_C:-1.000;gas_only:False;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</row>
    <row r="36" spans="1:21" ht="16.5" customHeight="1" x14ac:dyDescent="0.2">
      <c r="C36" s="49" t="s">
        <v>41</v>
      </c>
      <c r="M36" s="49" t="s">
        <v>43</v>
      </c>
    </row>
    <row r="37" spans="1:21" x14ac:dyDescent="0.2">
      <c r="A37" s="14"/>
      <c r="C37" s="48" cm="1">
        <f t="array" ref="C37:K59">[1]!MF_p_pipe_atma(Q_,fw_,L_,p0_,0,PVRstr1_,theta_,id_,Hydr_corr_,t0_,t1_,calibr_grav,calibr_fric,,Q_gas_free_)</f>
        <v>96.411246905329776</v>
      </c>
      <c r="D37" s="19">
        <v>80</v>
      </c>
      <c r="E37" s="19">
        <v>25.6</v>
      </c>
      <c r="F37" s="19">
        <v>40</v>
      </c>
      <c r="G37" s="19">
        <v>96.411246905329776</v>
      </c>
      <c r="H37" s="19">
        <v>80</v>
      </c>
      <c r="I37" s="19">
        <v>1</v>
      </c>
      <c r="J37" s="19">
        <v>1</v>
      </c>
      <c r="K37" s="20">
        <v>18000</v>
      </c>
      <c r="M37" s="48" cm="1">
        <f t="array" ref="M37:U59">[1]!MF_p_pipe_atma(Q_,fw_,L_,p1_,1,PVRstr1_,theta_,id_,Hydr_corr_,t1_,t0_,calibr_grav,calibr_fric,,Q_gas_free_)</f>
        <v>26.769231331027854</v>
      </c>
      <c r="N37" s="19">
        <v>40</v>
      </c>
      <c r="O37" s="19">
        <v>26.769231331027854</v>
      </c>
      <c r="P37" s="19">
        <v>40</v>
      </c>
      <c r="Q37" s="19">
        <v>100</v>
      </c>
      <c r="R37" s="19">
        <v>80</v>
      </c>
      <c r="S37" s="19">
        <v>1</v>
      </c>
      <c r="T37" s="19">
        <v>1</v>
      </c>
      <c r="U37" s="20">
        <v>18000</v>
      </c>
    </row>
    <row r="38" spans="1:21" x14ac:dyDescent="0.2">
      <c r="A38" s="14"/>
      <c r="C38" s="24" t="str">
        <v>p_result_atma</v>
      </c>
      <c r="D38" s="25" t="str">
        <v>t_result_C</v>
      </c>
      <c r="E38" s="25" t="str">
        <v>p_1, atma</v>
      </c>
      <c r="F38" s="25" t="str">
        <v>t_1, C</v>
      </c>
      <c r="G38" s="25" t="str">
        <v>p_2, atma</v>
      </c>
      <c r="H38" s="25" t="str">
        <v>t_2, C</v>
      </c>
      <c r="I38" s="25" t="str">
        <v>c_calibr_grav</v>
      </c>
      <c r="J38" s="25" t="str">
        <v>c_calibr_fric</v>
      </c>
      <c r="K38" s="26" t="str">
        <v>q_gas_sm3day</v>
      </c>
      <c r="M38" s="24" t="str">
        <v>p_result_atma</v>
      </c>
      <c r="N38" s="25" t="str">
        <v>t_result_C</v>
      </c>
      <c r="O38" s="25" t="str">
        <v>p_1, atma</v>
      </c>
      <c r="P38" s="25" t="str">
        <v>t_1, C</v>
      </c>
      <c r="Q38" s="25" t="str">
        <v>p_2, atma</v>
      </c>
      <c r="R38" s="25" t="str">
        <v>t_2, C</v>
      </c>
      <c r="S38" s="25" t="str">
        <v>c_calibr_grav</v>
      </c>
      <c r="T38" s="25" t="str">
        <v>c_calibr_fric</v>
      </c>
      <c r="U38" s="26" t="str">
        <v>q_gas_sm3day</v>
      </c>
    </row>
    <row r="39" spans="1:21" x14ac:dyDescent="0.2">
      <c r="A39" s="14"/>
      <c r="C39" s="24" t="str">
        <v>num</v>
      </c>
      <c r="D39" s="25" t="str">
        <v>h,m</v>
      </c>
      <c r="E39" s="25" t="str">
        <v>hvert,m</v>
      </c>
      <c r="F39" s="25" t="str">
        <v>p,atma</v>
      </c>
      <c r="G39" s="25" t="str">
        <v>t,C</v>
      </c>
      <c r="H39" s="25" t="str">
        <v>Hl</v>
      </c>
      <c r="I39" s="25" t="str">
        <v>fpat</v>
      </c>
      <c r="J39" s="25" t="str">
        <v>t_amb, C</v>
      </c>
      <c r="K39" s="26" t="str">
        <v>diam, mm</v>
      </c>
      <c r="M39" s="24" t="str">
        <v>num</v>
      </c>
      <c r="N39" s="25" t="str">
        <v>h,m</v>
      </c>
      <c r="O39" s="25" t="str">
        <v>hvert,m</v>
      </c>
      <c r="P39" s="25" t="str">
        <v>p,atma</v>
      </c>
      <c r="Q39" s="25" t="str">
        <v>t,C</v>
      </c>
      <c r="R39" s="25" t="str">
        <v>Hl</v>
      </c>
      <c r="S39" s="25" t="str">
        <v>fpat</v>
      </c>
      <c r="T39" s="25" t="str">
        <v>t_amb, C</v>
      </c>
      <c r="U39" s="26" t="str">
        <v>diam, mm</v>
      </c>
    </row>
    <row r="40" spans="1:21" x14ac:dyDescent="0.2">
      <c r="A40" s="14"/>
      <c r="C40" s="24">
        <v>1</v>
      </c>
      <c r="D40" s="25">
        <v>0</v>
      </c>
      <c r="E40" s="25">
        <v>0</v>
      </c>
      <c r="F40" s="25">
        <v>25.6</v>
      </c>
      <c r="G40" s="25">
        <v>40</v>
      </c>
      <c r="H40" s="25">
        <v>0.26514743273327146</v>
      </c>
      <c r="I40" s="25">
        <v>103</v>
      </c>
      <c r="J40" s="25">
        <v>40</v>
      </c>
      <c r="K40" s="26">
        <v>6.2E-2</v>
      </c>
      <c r="M40" s="24">
        <v>1</v>
      </c>
      <c r="N40" s="25">
        <v>0</v>
      </c>
      <c r="O40" s="25">
        <v>0</v>
      </c>
      <c r="P40" s="25">
        <v>26.769231331027854</v>
      </c>
      <c r="Q40" s="25">
        <v>40</v>
      </c>
      <c r="R40" s="25">
        <v>0.27251522475187695</v>
      </c>
      <c r="S40" s="25">
        <v>103</v>
      </c>
      <c r="T40" s="25">
        <v>40</v>
      </c>
      <c r="U40" s="26">
        <v>6.2E-2</v>
      </c>
    </row>
    <row r="41" spans="1:21" x14ac:dyDescent="0.2">
      <c r="A41" s="14"/>
      <c r="C41" s="24">
        <v>2</v>
      </c>
      <c r="D41" s="25">
        <v>105.26315789473684</v>
      </c>
      <c r="E41" s="25">
        <v>105.26315789473684</v>
      </c>
      <c r="F41" s="25">
        <v>27.749315325957902</v>
      </c>
      <c r="G41" s="25">
        <v>42.10526315789474</v>
      </c>
      <c r="H41" s="25">
        <v>0.27740894557090512</v>
      </c>
      <c r="I41" s="25">
        <v>103</v>
      </c>
      <c r="J41" s="25">
        <v>42.10526315789474</v>
      </c>
      <c r="K41" s="26">
        <v>6.2E-2</v>
      </c>
      <c r="M41" s="24">
        <v>2</v>
      </c>
      <c r="N41" s="25">
        <v>105.26315789473684</v>
      </c>
      <c r="O41" s="25">
        <v>105.26315789473684</v>
      </c>
      <c r="P41" s="25">
        <v>28.992183470378052</v>
      </c>
      <c r="Q41" s="25">
        <v>42.10526315789474</v>
      </c>
      <c r="R41" s="25">
        <v>0.28517847791720885</v>
      </c>
      <c r="S41" s="25">
        <v>103</v>
      </c>
      <c r="T41" s="25">
        <v>42.10526315789474</v>
      </c>
      <c r="U41" s="26">
        <v>6.2E-2</v>
      </c>
    </row>
    <row r="42" spans="1:21" x14ac:dyDescent="0.2">
      <c r="A42" s="14"/>
      <c r="C42" s="24">
        <v>3</v>
      </c>
      <c r="D42" s="25">
        <v>210.52631578947367</v>
      </c>
      <c r="E42" s="25">
        <v>210.52631578947367</v>
      </c>
      <c r="F42" s="25">
        <v>30.016962688470336</v>
      </c>
      <c r="G42" s="25">
        <v>44.210526315789473</v>
      </c>
      <c r="H42" s="25">
        <v>0.29019890162534745</v>
      </c>
      <c r="I42" s="25">
        <v>103</v>
      </c>
      <c r="J42" s="25">
        <v>44.210526315789473</v>
      </c>
      <c r="K42" s="26">
        <v>6.2E-2</v>
      </c>
      <c r="M42" s="24">
        <v>3</v>
      </c>
      <c r="N42" s="25">
        <v>210.52631578947367</v>
      </c>
      <c r="O42" s="25">
        <v>210.52631578947367</v>
      </c>
      <c r="P42" s="25">
        <v>31.33813671222288</v>
      </c>
      <c r="Q42" s="25">
        <v>44.210526315789473</v>
      </c>
      <c r="R42" s="25">
        <v>0.29838857819411535</v>
      </c>
      <c r="S42" s="25">
        <v>103</v>
      </c>
      <c r="T42" s="25">
        <v>44.210526315789473</v>
      </c>
      <c r="U42" s="26">
        <v>6.2E-2</v>
      </c>
    </row>
    <row r="43" spans="1:21" x14ac:dyDescent="0.2">
      <c r="A43" s="14"/>
      <c r="C43" s="24">
        <v>4</v>
      </c>
      <c r="D43" s="25">
        <v>315.78947368421052</v>
      </c>
      <c r="E43" s="25">
        <v>315.78947368421052</v>
      </c>
      <c r="F43" s="25">
        <v>32.409122747082179</v>
      </c>
      <c r="G43" s="25">
        <v>46.315789473684212</v>
      </c>
      <c r="H43" s="25">
        <v>0.30353207332737192</v>
      </c>
      <c r="I43" s="25">
        <v>103</v>
      </c>
      <c r="J43" s="25">
        <v>46.315789473684212</v>
      </c>
      <c r="K43" s="26">
        <v>6.2E-2</v>
      </c>
      <c r="M43" s="24">
        <v>4</v>
      </c>
      <c r="N43" s="25">
        <v>315.78947368421052</v>
      </c>
      <c r="O43" s="25">
        <v>315.78947368421052</v>
      </c>
      <c r="P43" s="25">
        <v>33.813279702835388</v>
      </c>
      <c r="Q43" s="25">
        <v>46.315789473684212</v>
      </c>
      <c r="R43" s="25">
        <v>0.31215809096121466</v>
      </c>
      <c r="S43" s="25">
        <v>103</v>
      </c>
      <c r="T43" s="25">
        <v>46.315789473684212</v>
      </c>
      <c r="U43" s="26">
        <v>6.2E-2</v>
      </c>
    </row>
    <row r="44" spans="1:21" x14ac:dyDescent="0.2">
      <c r="A44" s="14"/>
      <c r="C44" s="24">
        <v>5</v>
      </c>
      <c r="D44" s="25">
        <v>421.05263157894734</v>
      </c>
      <c r="E44" s="25">
        <v>421.05263157894734</v>
      </c>
      <c r="F44" s="25">
        <v>34.931787708636442</v>
      </c>
      <c r="G44" s="25">
        <v>48.421052631578945</v>
      </c>
      <c r="H44" s="25">
        <v>0.3174183824307456</v>
      </c>
      <c r="I44" s="25">
        <v>103</v>
      </c>
      <c r="J44" s="25">
        <v>48.421052631578945</v>
      </c>
      <c r="K44" s="26">
        <v>6.2E-2</v>
      </c>
      <c r="M44" s="24">
        <v>5</v>
      </c>
      <c r="N44" s="25">
        <v>421.05263157894734</v>
      </c>
      <c r="O44" s="25">
        <v>421.05263157894734</v>
      </c>
      <c r="P44" s="25">
        <v>36.423593847851329</v>
      </c>
      <c r="Q44" s="25">
        <v>48.421052631578945</v>
      </c>
      <c r="R44" s="25">
        <v>0.32649419418975928</v>
      </c>
      <c r="S44" s="25">
        <v>103</v>
      </c>
      <c r="T44" s="25">
        <v>48.421052631578945</v>
      </c>
      <c r="U44" s="26">
        <v>6.2E-2</v>
      </c>
    </row>
    <row r="45" spans="1:21" x14ac:dyDescent="0.2">
      <c r="A45" s="14"/>
      <c r="C45" s="24">
        <v>6</v>
      </c>
      <c r="D45" s="25">
        <v>526.31578947368416</v>
      </c>
      <c r="E45" s="25">
        <v>526.31578947368416</v>
      </c>
      <c r="F45" s="25">
        <v>37.590731259019243</v>
      </c>
      <c r="G45" s="25">
        <v>50.526315789473685</v>
      </c>
      <c r="H45" s="25">
        <v>0.3318622327868947</v>
      </c>
      <c r="I45" s="25">
        <v>103</v>
      </c>
      <c r="J45" s="25">
        <v>50.526315789473685</v>
      </c>
      <c r="K45" s="26">
        <v>6.2E-2</v>
      </c>
      <c r="M45" s="24">
        <v>6</v>
      </c>
      <c r="N45" s="25">
        <v>526.31578947368416</v>
      </c>
      <c r="O45" s="25">
        <v>526.31578947368416</v>
      </c>
      <c r="P45" s="25">
        <v>39.174813763556884</v>
      </c>
      <c r="Q45" s="25">
        <v>50.526315789473685</v>
      </c>
      <c r="R45" s="25">
        <v>0.34139791453193646</v>
      </c>
      <c r="S45" s="25">
        <v>103</v>
      </c>
      <c r="T45" s="25">
        <v>50.526315789473685</v>
      </c>
      <c r="U45" s="26">
        <v>6.2E-2</v>
      </c>
    </row>
    <row r="46" spans="1:21" x14ac:dyDescent="0.2">
      <c r="A46" s="14"/>
      <c r="C46" s="24">
        <v>7</v>
      </c>
      <c r="D46" s="25">
        <v>631.57894736842104</v>
      </c>
      <c r="E46" s="25">
        <v>631.57894736842104</v>
      </c>
      <c r="F46" s="25">
        <v>40.391464708576876</v>
      </c>
      <c r="G46" s="25">
        <v>52.631578947368418</v>
      </c>
      <c r="H46" s="25">
        <v>0.34686175497135441</v>
      </c>
      <c r="I46" s="25">
        <v>103</v>
      </c>
      <c r="J46" s="25">
        <v>52.631578947368418</v>
      </c>
      <c r="K46" s="26">
        <v>6.2E-2</v>
      </c>
      <c r="M46" s="24">
        <v>7</v>
      </c>
      <c r="N46" s="25">
        <v>631.57894736842104</v>
      </c>
      <c r="O46" s="25">
        <v>631.57894736842104</v>
      </c>
      <c r="P46" s="25">
        <v>42.072374195513383</v>
      </c>
      <c r="Q46" s="25">
        <v>52.631578947368418</v>
      </c>
      <c r="R46" s="25">
        <v>0.3568632989147722</v>
      </c>
      <c r="S46" s="25">
        <v>103</v>
      </c>
      <c r="T46" s="25">
        <v>52.631578947368418</v>
      </c>
      <c r="U46" s="26">
        <v>6.2E-2</v>
      </c>
    </row>
    <row r="47" spans="1:21" x14ac:dyDescent="0.2">
      <c r="A47" s="14"/>
      <c r="C47" s="24">
        <v>8</v>
      </c>
      <c r="D47" s="25">
        <v>736.8421052631578</v>
      </c>
      <c r="E47" s="25">
        <v>736.8421052631578</v>
      </c>
      <c r="F47" s="25">
        <v>43.339180962318295</v>
      </c>
      <c r="G47" s="25">
        <v>54.736842105263158</v>
      </c>
      <c r="H47" s="25">
        <v>0.36240801462908606</v>
      </c>
      <c r="I47" s="25">
        <v>103</v>
      </c>
      <c r="J47" s="25">
        <v>54.736842105263158</v>
      </c>
      <c r="K47" s="26">
        <v>6.2E-2</v>
      </c>
      <c r="M47" s="24">
        <v>8</v>
      </c>
      <c r="N47" s="25">
        <v>736.8421052631578</v>
      </c>
      <c r="O47" s="25">
        <v>736.8421052631578</v>
      </c>
      <c r="P47" s="25">
        <v>45.121345133603633</v>
      </c>
      <c r="Q47" s="25">
        <v>54.736842105263158</v>
      </c>
      <c r="R47" s="25">
        <v>0.3728765847823266</v>
      </c>
      <c r="S47" s="25">
        <v>103</v>
      </c>
      <c r="T47" s="25">
        <v>54.736842105263158</v>
      </c>
      <c r="U47" s="26">
        <v>6.2E-2</v>
      </c>
    </row>
    <row r="48" spans="1:21" x14ac:dyDescent="0.2">
      <c r="A48" s="14"/>
      <c r="C48" s="24">
        <v>9</v>
      </c>
      <c r="D48" s="25">
        <v>842.10526315789468</v>
      </c>
      <c r="E48" s="25">
        <v>842.10526315789468</v>
      </c>
      <c r="F48" s="25">
        <v>46.438688074275284</v>
      </c>
      <c r="G48" s="25">
        <v>56.84210526315789</v>
      </c>
      <c r="H48" s="25">
        <v>0.37848424949656712</v>
      </c>
      <c r="I48" s="25">
        <v>103</v>
      </c>
      <c r="J48" s="25">
        <v>56.84210526315789</v>
      </c>
      <c r="K48" s="26">
        <v>6.2E-2</v>
      </c>
      <c r="M48" s="24">
        <v>9</v>
      </c>
      <c r="N48" s="25">
        <v>842.10526315789468</v>
      </c>
      <c r="O48" s="25">
        <v>842.10526315789468</v>
      </c>
      <c r="P48" s="25">
        <v>48.326357205338496</v>
      </c>
      <c r="Q48" s="25">
        <v>56.84210526315789</v>
      </c>
      <c r="R48" s="25">
        <v>0.38941544707979814</v>
      </c>
      <c r="S48" s="25">
        <v>103</v>
      </c>
      <c r="T48" s="25">
        <v>56.84210526315789</v>
      </c>
      <c r="U48" s="26">
        <v>6.2E-2</v>
      </c>
    </row>
    <row r="49" spans="1:21" x14ac:dyDescent="0.2">
      <c r="A49" s="14"/>
      <c r="C49" s="24">
        <v>10</v>
      </c>
      <c r="D49" s="25">
        <v>947.36842105263156</v>
      </c>
      <c r="E49" s="25">
        <v>947.36842105263156</v>
      </c>
      <c r="F49" s="25">
        <v>49.754344063405881</v>
      </c>
      <c r="G49" s="25">
        <v>58.94736842105263</v>
      </c>
      <c r="H49" s="25">
        <v>0.4230452502171963</v>
      </c>
      <c r="I49" s="25">
        <v>103</v>
      </c>
      <c r="J49" s="25">
        <v>58.94736842105263</v>
      </c>
      <c r="K49" s="26">
        <v>6.2E-2</v>
      </c>
      <c r="M49" s="24">
        <v>10</v>
      </c>
      <c r="N49" s="25">
        <v>947.36842105263156</v>
      </c>
      <c r="O49" s="25">
        <v>947.36842105263156</v>
      </c>
      <c r="P49" s="25">
        <v>51.903596744558243</v>
      </c>
      <c r="Q49" s="25">
        <v>58.94736842105263</v>
      </c>
      <c r="R49" s="25">
        <v>0.43493429087262303</v>
      </c>
      <c r="S49" s="25">
        <v>103</v>
      </c>
      <c r="T49" s="25">
        <v>58.94736842105263</v>
      </c>
      <c r="U49" s="26">
        <v>6.2E-2</v>
      </c>
    </row>
    <row r="50" spans="1:21" x14ac:dyDescent="0.2">
      <c r="A50" s="14"/>
      <c r="C50" s="24">
        <v>11</v>
      </c>
      <c r="D50" s="25">
        <v>1052.6315789473683</v>
      </c>
      <c r="E50" s="25">
        <v>1052.6315789473683</v>
      </c>
      <c r="F50" s="25">
        <v>53.474285704441456</v>
      </c>
      <c r="G50" s="25">
        <v>61.05263157894737</v>
      </c>
      <c r="H50" s="25">
        <v>0.47193029658752439</v>
      </c>
      <c r="I50" s="25">
        <v>103</v>
      </c>
      <c r="J50" s="25">
        <v>61.05263157894737</v>
      </c>
      <c r="K50" s="26">
        <v>6.2E-2</v>
      </c>
      <c r="M50" s="24">
        <v>11</v>
      </c>
      <c r="N50" s="25">
        <v>1052.6315789473683</v>
      </c>
      <c r="O50" s="25">
        <v>1052.6315789473683</v>
      </c>
      <c r="P50" s="25">
        <v>55.91248495600081</v>
      </c>
      <c r="Q50" s="25">
        <v>61.05263157894737</v>
      </c>
      <c r="R50" s="25">
        <v>0.48478281270668033</v>
      </c>
      <c r="S50" s="25">
        <v>103</v>
      </c>
      <c r="T50" s="25">
        <v>61.05263157894737</v>
      </c>
      <c r="U50" s="26">
        <v>6.2E-2</v>
      </c>
    </row>
    <row r="51" spans="1:21" x14ac:dyDescent="0.2">
      <c r="A51" s="14"/>
      <c r="C51" s="24">
        <v>12</v>
      </c>
      <c r="D51" s="25">
        <v>1157.8947368421052</v>
      </c>
      <c r="E51" s="25">
        <v>1157.8947368421052</v>
      </c>
      <c r="F51" s="25">
        <v>57.537837047398014</v>
      </c>
      <c r="G51" s="25">
        <v>63.157894736842103</v>
      </c>
      <c r="H51" s="25">
        <v>0.49083198616222307</v>
      </c>
      <c r="I51" s="25">
        <v>103</v>
      </c>
      <c r="J51" s="25">
        <v>63.157894736842103</v>
      </c>
      <c r="K51" s="26">
        <v>6.2E-2</v>
      </c>
      <c r="M51" s="24">
        <v>12</v>
      </c>
      <c r="N51" s="25">
        <v>1157.8947368421052</v>
      </c>
      <c r="O51" s="25">
        <v>1157.8947368421052</v>
      </c>
      <c r="P51" s="25">
        <v>60.105395419679169</v>
      </c>
      <c r="Q51" s="25">
        <v>63.157894736842103</v>
      </c>
      <c r="R51" s="25">
        <v>0.50401638286998129</v>
      </c>
      <c r="S51" s="25">
        <v>103</v>
      </c>
      <c r="T51" s="25">
        <v>63.157894736842103</v>
      </c>
      <c r="U51" s="26">
        <v>6.2E-2</v>
      </c>
    </row>
    <row r="52" spans="1:21" x14ac:dyDescent="0.2">
      <c r="A52" s="14"/>
      <c r="C52" s="24">
        <v>13</v>
      </c>
      <c r="D52" s="25">
        <v>1263.1578947368421</v>
      </c>
      <c r="E52" s="25">
        <v>1263.1578947368421</v>
      </c>
      <c r="F52" s="25">
        <v>61.783834106614776</v>
      </c>
      <c r="G52" s="25">
        <v>65.263157894736835</v>
      </c>
      <c r="H52" s="25">
        <v>0.50996549758842968</v>
      </c>
      <c r="I52" s="25">
        <v>103</v>
      </c>
      <c r="J52" s="25">
        <v>65.263157894736835</v>
      </c>
      <c r="K52" s="26">
        <v>6.2E-2</v>
      </c>
      <c r="M52" s="24">
        <v>13</v>
      </c>
      <c r="N52" s="25">
        <v>1263.1578947368421</v>
      </c>
      <c r="O52" s="25">
        <v>1263.1578947368421</v>
      </c>
      <c r="P52" s="25">
        <v>64.482129638750578</v>
      </c>
      <c r="Q52" s="25">
        <v>65.263157894736835</v>
      </c>
      <c r="R52" s="25">
        <v>0.52342744632343685</v>
      </c>
      <c r="S52" s="25">
        <v>103</v>
      </c>
      <c r="T52" s="25">
        <v>65.263157894736835</v>
      </c>
      <c r="U52" s="26">
        <v>6.2E-2</v>
      </c>
    </row>
    <row r="53" spans="1:21" x14ac:dyDescent="0.2">
      <c r="A53" s="14"/>
      <c r="C53" s="24">
        <v>14</v>
      </c>
      <c r="D53" s="25">
        <v>1368.421052631579</v>
      </c>
      <c r="E53" s="25">
        <v>1368.421052631579</v>
      </c>
      <c r="F53" s="25">
        <v>66.211468364763775</v>
      </c>
      <c r="G53" s="25">
        <v>67.368421052631575</v>
      </c>
      <c r="H53" s="25">
        <v>0.52924066181531859</v>
      </c>
      <c r="I53" s="25">
        <v>103</v>
      </c>
      <c r="J53" s="25">
        <v>67.368421052631575</v>
      </c>
      <c r="K53" s="26">
        <v>6.2E-2</v>
      </c>
      <c r="M53" s="24">
        <v>14</v>
      </c>
      <c r="N53" s="25">
        <v>1368.421052631579</v>
      </c>
      <c r="O53" s="25">
        <v>1368.421052631579</v>
      </c>
      <c r="P53" s="25">
        <v>69.041123373649626</v>
      </c>
      <c r="Q53" s="25">
        <v>67.368421052631575</v>
      </c>
      <c r="R53" s="25">
        <v>0.54291967069133495</v>
      </c>
      <c r="S53" s="25">
        <v>103</v>
      </c>
      <c r="T53" s="25">
        <v>67.368421052631575</v>
      </c>
      <c r="U53" s="26">
        <v>6.2E-2</v>
      </c>
    </row>
    <row r="54" spans="1:21" x14ac:dyDescent="0.2">
      <c r="A54" s="14"/>
      <c r="C54" s="24">
        <v>15</v>
      </c>
      <c r="D54" s="25">
        <v>1473.6842105263156</v>
      </c>
      <c r="E54" s="25">
        <v>1473.6842105263156</v>
      </c>
      <c r="F54" s="25">
        <v>70.818813516710421</v>
      </c>
      <c r="G54" s="25">
        <v>69.473684210526315</v>
      </c>
      <c r="H54" s="25">
        <v>0.5485627402913299</v>
      </c>
      <c r="I54" s="25">
        <v>103</v>
      </c>
      <c r="J54" s="25">
        <v>69.473684210526315</v>
      </c>
      <c r="K54" s="26">
        <v>6.2E-2</v>
      </c>
      <c r="M54" s="24">
        <v>15</v>
      </c>
      <c r="N54" s="25">
        <v>1473.6842105263156</v>
      </c>
      <c r="O54" s="25">
        <v>1473.6842105263156</v>
      </c>
      <c r="P54" s="25">
        <v>73.779671478454389</v>
      </c>
      <c r="Q54" s="25">
        <v>69.473684210526315</v>
      </c>
      <c r="R54" s="25">
        <v>0.56239414589601744</v>
      </c>
      <c r="S54" s="25">
        <v>103</v>
      </c>
      <c r="T54" s="25">
        <v>69.473684210526315</v>
      </c>
      <c r="U54" s="26">
        <v>6.2E-2</v>
      </c>
    </row>
    <row r="55" spans="1:21" x14ac:dyDescent="0.2">
      <c r="A55" s="14"/>
      <c r="C55" s="24">
        <v>16</v>
      </c>
      <c r="D55" s="25">
        <v>1578.9473684210525</v>
      </c>
      <c r="E55" s="25">
        <v>1578.9473684210525</v>
      </c>
      <c r="F55" s="25">
        <v>75.602848082041234</v>
      </c>
      <c r="G55" s="25">
        <v>71.578947368421055</v>
      </c>
      <c r="H55" s="25">
        <v>0.56783572776662183</v>
      </c>
      <c r="I55" s="25">
        <v>103</v>
      </c>
      <c r="J55" s="25">
        <v>71.578947368421055</v>
      </c>
      <c r="K55" s="26">
        <v>6.2E-2</v>
      </c>
      <c r="M55" s="24">
        <v>16</v>
      </c>
      <c r="N55" s="25">
        <v>1578.9473684210525</v>
      </c>
      <c r="O55" s="25">
        <v>1578.9473684210525</v>
      </c>
      <c r="P55" s="25">
        <v>78.693974757138903</v>
      </c>
      <c r="Q55" s="25">
        <v>71.578947368421055</v>
      </c>
      <c r="R55" s="25">
        <v>0.58175304775136027</v>
      </c>
      <c r="S55" s="25">
        <v>103</v>
      </c>
      <c r="T55" s="25">
        <v>71.578947368421055</v>
      </c>
      <c r="U55" s="26">
        <v>6.2E-2</v>
      </c>
    </row>
    <row r="56" spans="1:21" x14ac:dyDescent="0.2">
      <c r="A56" s="14"/>
      <c r="C56" s="24">
        <v>17</v>
      </c>
      <c r="D56" s="25">
        <v>1684.2105263157894</v>
      </c>
      <c r="E56" s="25">
        <v>1684.2105263157894</v>
      </c>
      <c r="F56" s="25">
        <v>80.559512858016063</v>
      </c>
      <c r="G56" s="25">
        <v>73.68421052631578</v>
      </c>
      <c r="H56" s="25">
        <v>0.58696587153796043</v>
      </c>
      <c r="I56" s="25">
        <v>103</v>
      </c>
      <c r="J56" s="25">
        <v>73.68421052631578</v>
      </c>
      <c r="K56" s="26">
        <v>6.2E-2</v>
      </c>
      <c r="M56" s="24">
        <v>17</v>
      </c>
      <c r="N56" s="25">
        <v>1684.2105263157894</v>
      </c>
      <c r="O56" s="25">
        <v>1684.2105263157894</v>
      </c>
      <c r="P56" s="25">
        <v>83.779223288149311</v>
      </c>
      <c r="Q56" s="25">
        <v>73.68421052631578</v>
      </c>
      <c r="R56" s="25">
        <v>0.60090332075475272</v>
      </c>
      <c r="S56" s="25">
        <v>103</v>
      </c>
      <c r="T56" s="25">
        <v>73.68421052631578</v>
      </c>
      <c r="U56" s="26">
        <v>6.2E-2</v>
      </c>
    </row>
    <row r="57" spans="1:21" x14ac:dyDescent="0.2">
      <c r="A57" s="14"/>
      <c r="C57" s="24">
        <v>18</v>
      </c>
      <c r="D57" s="25">
        <v>1789.4736842105262</v>
      </c>
      <c r="E57" s="25">
        <v>1789.4736842105262</v>
      </c>
      <c r="F57" s="25">
        <v>85.683802190773335</v>
      </c>
      <c r="G57" s="25">
        <v>75.78947368421052</v>
      </c>
      <c r="H57" s="25">
        <v>0.60586509955071888</v>
      </c>
      <c r="I57" s="25">
        <v>103</v>
      </c>
      <c r="J57" s="25">
        <v>75.78947368421052</v>
      </c>
      <c r="K57" s="26">
        <v>6.2E-2</v>
      </c>
      <c r="M57" s="24">
        <v>18</v>
      </c>
      <c r="N57" s="25">
        <v>1789.4736842105262</v>
      </c>
      <c r="O57" s="25">
        <v>1789.4736842105262</v>
      </c>
      <c r="P57" s="25">
        <v>89.029712795432715</v>
      </c>
      <c r="Q57" s="25">
        <v>75.78947368421052</v>
      </c>
      <c r="R57" s="25">
        <v>0.61976004190742284</v>
      </c>
      <c r="S57" s="25">
        <v>103</v>
      </c>
      <c r="T57" s="25">
        <v>75.78947368421052</v>
      </c>
      <c r="U57" s="26">
        <v>6.2E-2</v>
      </c>
    </row>
    <row r="58" spans="1:21" x14ac:dyDescent="0.2">
      <c r="A58" s="14"/>
      <c r="C58" s="24">
        <v>19</v>
      </c>
      <c r="D58" s="25">
        <v>1894.7368421052631</v>
      </c>
      <c r="E58" s="25">
        <v>1894.7368421052631</v>
      </c>
      <c r="F58" s="25">
        <v>90.969884772104152</v>
      </c>
      <c r="G58" s="25">
        <v>77.89473684210526</v>
      </c>
      <c r="H58" s="25">
        <v>0.62445404823295092</v>
      </c>
      <c r="I58" s="25">
        <v>103</v>
      </c>
      <c r="J58" s="25">
        <v>77.89473684210526</v>
      </c>
      <c r="K58" s="26">
        <v>6.2E-2</v>
      </c>
      <c r="M58" s="24">
        <v>19</v>
      </c>
      <c r="N58" s="25">
        <v>1894.7368421052631</v>
      </c>
      <c r="O58" s="25">
        <v>1894.7368421052631</v>
      </c>
      <c r="P58" s="25">
        <v>94.438987431040673</v>
      </c>
      <c r="Q58" s="25">
        <v>77.89473684210526</v>
      </c>
      <c r="R58" s="25">
        <v>0.63824916307541868</v>
      </c>
      <c r="S58" s="25">
        <v>103</v>
      </c>
      <c r="T58" s="25">
        <v>77.89473684210526</v>
      </c>
      <c r="U58" s="26">
        <v>6.2E-2</v>
      </c>
    </row>
    <row r="59" spans="1:21" x14ac:dyDescent="0.2">
      <c r="A59" s="14"/>
      <c r="C59" s="21">
        <v>20</v>
      </c>
      <c r="D59" s="22">
        <v>2000</v>
      </c>
      <c r="E59" s="22">
        <v>2000</v>
      </c>
      <c r="F59" s="22">
        <v>96.411246905329776</v>
      </c>
      <c r="G59" s="22">
        <v>80</v>
      </c>
      <c r="H59" s="22">
        <v>0.64266443027163422</v>
      </c>
      <c r="I59" s="22">
        <v>103</v>
      </c>
      <c r="J59" s="22">
        <v>80</v>
      </c>
      <c r="K59" s="23">
        <v>6.2E-2</v>
      </c>
      <c r="M59" s="21">
        <v>20</v>
      </c>
      <c r="N59" s="22">
        <v>2000</v>
      </c>
      <c r="O59" s="22">
        <v>2000</v>
      </c>
      <c r="P59" s="22">
        <v>100</v>
      </c>
      <c r="Q59" s="22">
        <v>80</v>
      </c>
      <c r="R59" s="22">
        <v>0.65630941466473369</v>
      </c>
      <c r="S59" s="22">
        <v>103</v>
      </c>
      <c r="T59" s="22">
        <v>80</v>
      </c>
      <c r="U59" s="23">
        <v>6.2E-2</v>
      </c>
    </row>
    <row r="60" spans="1:21" x14ac:dyDescent="0.2">
      <c r="A60" s="14"/>
    </row>
    <row r="61" spans="1:21" x14ac:dyDescent="0.2">
      <c r="A61" s="14"/>
    </row>
    <row r="62" spans="1:21" x14ac:dyDescent="0.2">
      <c r="A62" s="14"/>
    </row>
  </sheetData>
  <mergeCells count="8">
    <mergeCell ref="F27:G27"/>
    <mergeCell ref="F28:G28"/>
    <mergeCell ref="F26:G26"/>
    <mergeCell ref="B3:E3"/>
    <mergeCell ref="B4:E4"/>
    <mergeCell ref="B5:E5"/>
    <mergeCell ref="B6:E8"/>
    <mergeCell ref="F25:G25"/>
  </mergeCells>
  <phoneticPr fontId="1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exercise_MF1 </vt:lpstr>
      <vt:lpstr>'exercise_MF1 '!Bob_</vt:lpstr>
      <vt:lpstr>calibr_fric</vt:lpstr>
      <vt:lpstr>calibr_grav</vt:lpstr>
      <vt:lpstr>calibr_type</vt:lpstr>
      <vt:lpstr>'exercise_MF1 '!fw_</vt:lpstr>
      <vt:lpstr>'exercise_MF1 '!gamma_gas_</vt:lpstr>
      <vt:lpstr>'exercise_MF1 '!gamma_oil_</vt:lpstr>
      <vt:lpstr>'exercise_MF1 '!gamma_wat_</vt:lpstr>
      <vt:lpstr>Hydr_corr_</vt:lpstr>
      <vt:lpstr>id_</vt:lpstr>
      <vt:lpstr>input_0</vt:lpstr>
      <vt:lpstr>input_1</vt:lpstr>
      <vt:lpstr>input_Course</vt:lpstr>
      <vt:lpstr>input_Date</vt:lpstr>
      <vt:lpstr>input_Group</vt:lpstr>
      <vt:lpstr>input_Notes</vt:lpstr>
      <vt:lpstr>input_Student_Name</vt:lpstr>
      <vt:lpstr>input_Version</vt:lpstr>
      <vt:lpstr>L_</vt:lpstr>
      <vt:lpstr>'exercise_MF1 '!muob_</vt:lpstr>
      <vt:lpstr>n_</vt:lpstr>
      <vt:lpstr>p0_</vt:lpstr>
      <vt:lpstr>p1_</vt:lpstr>
      <vt:lpstr>'exercise_MF1 '!Pb_</vt:lpstr>
      <vt:lpstr>PVRstr1_</vt:lpstr>
      <vt:lpstr>'exercise_MF1 '!Q_</vt:lpstr>
      <vt:lpstr>Q_gas_free_</vt:lpstr>
      <vt:lpstr>'exercise_MF1 '!Rp_</vt:lpstr>
      <vt:lpstr>'exercise_MF1 '!Rsb_</vt:lpstr>
      <vt:lpstr>t0_</vt:lpstr>
      <vt:lpstr>t1_</vt:lpstr>
      <vt:lpstr>theta_</vt:lpstr>
      <vt:lpstr>'exercise_MF1 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2020-04-20T05:57:40Z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