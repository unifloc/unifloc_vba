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ink/ink1.xml" ContentType="application/inkml+xml"/>
  <Override PartName="/xl/ink/ink2.xml" ContentType="application/inkml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updateLinks="always" codeName="ЭтаКнига" hidePivotFieldList="1"/>
  <mc:AlternateContent xmlns:mc="http://schemas.openxmlformats.org/markup-compatibility/2006">
    <mc:Choice Requires="x15">
      <x15ac:absPath xmlns:x15ac="http://schemas.microsoft.com/office/spreadsheetml/2010/11/ac" url="D:\unifloc\unifloc_vba\examples\"/>
    </mc:Choice>
  </mc:AlternateContent>
  <xr:revisionPtr revIDLastSave="0" documentId="13_ncr:1_{40E20BCB-78BC-409B-829D-DB8F41113AC1}" xr6:coauthVersionLast="45" xr6:coauthVersionMax="45" xr10:uidLastSave="{00000000-0000-0000-0000-000000000000}"/>
  <bookViews>
    <workbookView xWindow="-120" yWindow="-120" windowWidth="38640" windowHeight="21240" tabRatio="586" xr2:uid="{00000000-000D-0000-FFFF-FFFF00000000}"/>
  </bookViews>
  <sheets>
    <sheet name="exercise_MF1" sheetId="120" r:id="rId1"/>
  </sheets>
  <externalReferences>
    <externalReference r:id="rId2"/>
  </externalReferences>
  <definedNames>
    <definedName name="Bob_" localSheetId="0">exercise_MF1!$C$18</definedName>
    <definedName name="calc_along_coord_" localSheetId="0">exercise_MF1!$H$31</definedName>
    <definedName name="calc_flow_direction_" localSheetId="0">exercise_MF1!$H$33</definedName>
    <definedName name="calc_flow_direction2_" localSheetId="0">exercise_MF1!$I$33</definedName>
    <definedName name="calibr_fric_" localSheetId="0">exercise_MF1!$H$28</definedName>
    <definedName name="calibr_grav_" localSheetId="0">exercise_MF1!$H$27</definedName>
    <definedName name="calibr_type_" localSheetId="0">exercise_MF1!$H$23</definedName>
    <definedName name="flow_along_coord_" localSheetId="0">exercise_MF1!$H$32</definedName>
    <definedName name="fw_" localSheetId="0">exercise_MF1!$C$27</definedName>
    <definedName name="gamma_gas_" localSheetId="0">exercise_MF1!$C$13</definedName>
    <definedName name="gamma_oil_" localSheetId="0">exercise_MF1!$C$11</definedName>
    <definedName name="gamma_wat_" localSheetId="0">exercise_MF1!$C$12</definedName>
    <definedName name="gas_only_" localSheetId="0">exercise_MF1!$H$24</definedName>
    <definedName name="Hydr_corr_" localSheetId="0">exercise_MF1!$H$22</definedName>
    <definedName name="id_" localSheetId="0">exercise_MF1!$C$30</definedName>
    <definedName name="input_0" localSheetId="0">exercise_MF1!$C$11:$C$35</definedName>
    <definedName name="input_1" localSheetId="0">exercise_MF1!$H$26:$H$29</definedName>
    <definedName name="input_Course" localSheetId="0">exercise_MF1!$I$3</definedName>
    <definedName name="input_Date" localSheetId="0">exercise_MF1!$I$1</definedName>
    <definedName name="input_Group" localSheetId="0">exercise_MF1!$I$4</definedName>
    <definedName name="input_Notes" localSheetId="0">exercise_MF1!$I$6</definedName>
    <definedName name="input_Student_Name" localSheetId="0">exercise_MF1!$I$5</definedName>
    <definedName name="input_Version" localSheetId="0">exercise_MF1!$I$2</definedName>
    <definedName name="Ksep_" localSheetId="0">exercise_MF1!$C$21</definedName>
    <definedName name="L_" localSheetId="0">exercise_MF1!$C$29</definedName>
    <definedName name="muob_" localSheetId="0">exercise_MF1!$C$19</definedName>
    <definedName name="n_" localSheetId="0">exercise_MF1!$A$66</definedName>
    <definedName name="output_0" localSheetId="0">exercise_MF1!$C$40:$K$63</definedName>
    <definedName name="output_1" localSheetId="0">exercise_MF1!$M$40:$U$63</definedName>
    <definedName name="p0_" localSheetId="0">exercise_MF1!$C$32</definedName>
    <definedName name="p1_" localSheetId="0">exercise_MF1!$C$33</definedName>
    <definedName name="Pb_" localSheetId="0">exercise_MF1!$C$16</definedName>
    <definedName name="Psep_" localSheetId="0">exercise_MF1!$C$22</definedName>
    <definedName name="PVRstr1_" localSheetId="0">exercise_MF1!$C$37</definedName>
    <definedName name="PVT_corr_" localSheetId="0">exercise_MF1!$H$21</definedName>
    <definedName name="Q_" localSheetId="0">exercise_MF1!$C$25</definedName>
    <definedName name="Q_gas_free_" localSheetId="0">exercise_MF1!$C$26</definedName>
    <definedName name="Rp_" localSheetId="0">exercise_MF1!$C$15</definedName>
    <definedName name="Rsb_" localSheetId="0">exercise_MF1!$C$14</definedName>
    <definedName name="t0_" localSheetId="0">exercise_MF1!$C$34</definedName>
    <definedName name="t1_" localSheetId="0">exercise_MF1!$C$35</definedName>
    <definedName name="theta_" localSheetId="0">exercise_MF1!$C$31</definedName>
    <definedName name="Tres_" localSheetId="0">exercise_MF1!$C$17</definedName>
    <definedName name="Tsep" localSheetId="0">exercise_MF1!$C$23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A28" i="120" l="1"/>
  <c r="AA26" i="120"/>
  <c r="AN37" i="120"/>
  <c r="G1" i="120"/>
  <c r="C37" i="120"/>
  <c r="C41" i="120" a="1"/>
  <c r="J41" i="120" l="1"/>
  <c r="D43" i="120"/>
  <c r="G44" i="120"/>
  <c r="J45" i="120"/>
  <c r="D47" i="120"/>
  <c r="G48" i="120"/>
  <c r="J49" i="120"/>
  <c r="D51" i="120"/>
  <c r="G52" i="120"/>
  <c r="J53" i="120"/>
  <c r="D55" i="120"/>
  <c r="G56" i="120"/>
  <c r="J57" i="120"/>
  <c r="D59" i="120"/>
  <c r="G60" i="120"/>
  <c r="J61" i="120"/>
  <c r="D63" i="120"/>
  <c r="G59" i="120"/>
  <c r="I43" i="120"/>
  <c r="I51" i="120"/>
  <c r="C57" i="120"/>
  <c r="C61" i="120"/>
  <c r="G42" i="120"/>
  <c r="G50" i="120"/>
  <c r="G58" i="120"/>
  <c r="H50" i="120"/>
  <c r="E61" i="120"/>
  <c r="C48" i="120"/>
  <c r="C60" i="120"/>
  <c r="J54" i="120"/>
  <c r="K50" i="120"/>
  <c r="K41" i="120"/>
  <c r="E43" i="120"/>
  <c r="H44" i="120"/>
  <c r="K45" i="120"/>
  <c r="E47" i="120"/>
  <c r="H48" i="120"/>
  <c r="K49" i="120"/>
  <c r="E51" i="120"/>
  <c r="H52" i="120"/>
  <c r="K53" i="120"/>
  <c r="E55" i="120"/>
  <c r="H56" i="120"/>
  <c r="K57" i="120"/>
  <c r="E59" i="120"/>
  <c r="H60" i="120"/>
  <c r="K61" i="120"/>
  <c r="E63" i="120"/>
  <c r="J56" i="120"/>
  <c r="J60" i="120"/>
  <c r="K44" i="120"/>
  <c r="H47" i="120"/>
  <c r="H51" i="120"/>
  <c r="K52" i="120"/>
  <c r="K56" i="120"/>
  <c r="H59" i="120"/>
  <c r="H63" i="120"/>
  <c r="F42" i="120"/>
  <c r="C49" i="120"/>
  <c r="F54" i="120"/>
  <c r="F58" i="120"/>
  <c r="D49" i="120"/>
  <c r="J55" i="120"/>
  <c r="E45" i="120"/>
  <c r="K55" i="120"/>
  <c r="I50" i="120"/>
  <c r="F57" i="120"/>
  <c r="G41" i="120"/>
  <c r="G53" i="120"/>
  <c r="K46" i="120"/>
  <c r="K58" i="120"/>
  <c r="C47" i="120"/>
  <c r="C55" i="120"/>
  <c r="C42" i="120"/>
  <c r="F43" i="120"/>
  <c r="I44" i="120"/>
  <c r="C46" i="120"/>
  <c r="F47" i="120"/>
  <c r="I48" i="120"/>
  <c r="C50" i="120"/>
  <c r="F51" i="120"/>
  <c r="I52" i="120"/>
  <c r="C54" i="120"/>
  <c r="F55" i="120"/>
  <c r="I56" i="120"/>
  <c r="C58" i="120"/>
  <c r="F59" i="120"/>
  <c r="I60" i="120"/>
  <c r="C62" i="120"/>
  <c r="F63" i="120"/>
  <c r="G55" i="120"/>
  <c r="G63" i="120"/>
  <c r="E42" i="120"/>
  <c r="K48" i="120"/>
  <c r="E54" i="120"/>
  <c r="E58" i="120"/>
  <c r="E62" i="120"/>
  <c r="F46" i="120"/>
  <c r="C53" i="120"/>
  <c r="I59" i="120"/>
  <c r="G46" i="120"/>
  <c r="G54" i="120"/>
  <c r="J63" i="120"/>
  <c r="E41" i="120"/>
  <c r="E49" i="120"/>
  <c r="H58" i="120"/>
  <c r="F41" i="120"/>
  <c r="F53" i="120"/>
  <c r="F61" i="120"/>
  <c r="J42" i="120"/>
  <c r="J50" i="120"/>
  <c r="D60" i="120"/>
  <c r="E44" i="120"/>
  <c r="E56" i="120"/>
  <c r="C43" i="120"/>
  <c r="I53" i="120"/>
  <c r="D42" i="120"/>
  <c r="G43" i="120"/>
  <c r="J44" i="120"/>
  <c r="D46" i="120"/>
  <c r="G47" i="120"/>
  <c r="J48" i="120"/>
  <c r="D50" i="120"/>
  <c r="G51" i="120"/>
  <c r="J52" i="120"/>
  <c r="D54" i="120"/>
  <c r="D58" i="120"/>
  <c r="D62" i="120"/>
  <c r="D57" i="120"/>
  <c r="K43" i="120"/>
  <c r="H54" i="120"/>
  <c r="F45" i="120"/>
  <c r="I58" i="120"/>
  <c r="D44" i="120"/>
  <c r="D56" i="120"/>
  <c r="H41" i="120"/>
  <c r="H57" i="120"/>
  <c r="I45" i="120"/>
  <c r="I57" i="120"/>
  <c r="H43" i="120"/>
  <c r="E46" i="120"/>
  <c r="E50" i="120"/>
  <c r="H55" i="120"/>
  <c r="K60" i="120"/>
  <c r="C41" i="120"/>
  <c r="C45" i="120"/>
  <c r="F50" i="120"/>
  <c r="I55" i="120"/>
  <c r="F62" i="120"/>
  <c r="D41" i="120"/>
  <c r="J47" i="120"/>
  <c r="J51" i="120"/>
  <c r="J59" i="120"/>
  <c r="H46" i="120"/>
  <c r="E57" i="120"/>
  <c r="K63" i="120"/>
  <c r="F49" i="120"/>
  <c r="C56" i="120"/>
  <c r="D48" i="120"/>
  <c r="G57" i="120"/>
  <c r="H45" i="120"/>
  <c r="H53" i="120"/>
  <c r="K62" i="120"/>
  <c r="I41" i="120"/>
  <c r="I49" i="120"/>
  <c r="F56" i="120"/>
  <c r="I47" i="120"/>
  <c r="I63" i="120"/>
  <c r="D45" i="120"/>
  <c r="D53" i="120"/>
  <c r="G62" i="120"/>
  <c r="K47" i="120"/>
  <c r="K59" i="120"/>
  <c r="I42" i="120"/>
  <c r="I54" i="120"/>
  <c r="D52" i="120"/>
  <c r="E52" i="120"/>
  <c r="F44" i="120"/>
  <c r="F60" i="120"/>
  <c r="J43" i="120"/>
  <c r="D61" i="120"/>
  <c r="E53" i="120"/>
  <c r="H62" i="120"/>
  <c r="I46" i="120"/>
  <c r="I62" i="120"/>
  <c r="G45" i="120"/>
  <c r="J58" i="120"/>
  <c r="H49" i="120"/>
  <c r="E60" i="120"/>
  <c r="F52" i="120"/>
  <c r="H42" i="120"/>
  <c r="K51" i="120"/>
  <c r="C44" i="120"/>
  <c r="C59" i="120"/>
  <c r="C52" i="120"/>
  <c r="G49" i="120"/>
  <c r="G61" i="120"/>
  <c r="E48" i="120"/>
  <c r="H61" i="120"/>
  <c r="C51" i="120"/>
  <c r="C63" i="120"/>
  <c r="J46" i="120"/>
  <c r="J62" i="120"/>
  <c r="K42" i="120"/>
  <c r="K54" i="120"/>
  <c r="F48" i="120"/>
  <c r="I61" i="120"/>
  <c r="I33" i="120"/>
  <c r="H33" i="120"/>
  <c r="K29" i="120" a="1"/>
  <c r="M41" i="120" a="1"/>
  <c r="K29" i="120" l="1"/>
  <c r="R51" i="120"/>
  <c r="R49" i="120"/>
  <c r="M49" i="120"/>
  <c r="P61" i="120"/>
  <c r="Q42" i="120"/>
  <c r="Q58" i="120"/>
  <c r="N54" i="120"/>
  <c r="U55" i="120"/>
  <c r="S42" i="120"/>
  <c r="S58" i="120"/>
  <c r="Q55" i="120"/>
  <c r="M63" i="120"/>
  <c r="S60" i="120"/>
  <c r="P52" i="120"/>
  <c r="N51" i="120"/>
  <c r="U53" i="120"/>
  <c r="O60" i="120"/>
  <c r="T59" i="120"/>
  <c r="M44" i="120"/>
  <c r="R60" i="120"/>
  <c r="Q52" i="120"/>
  <c r="U52" i="120"/>
  <c r="T50" i="120"/>
  <c r="T43" i="120"/>
  <c r="O41" i="120"/>
  <c r="S62" i="120"/>
  <c r="T44" i="120"/>
  <c r="N50" i="120"/>
  <c r="O54" i="120"/>
  <c r="S61" i="120"/>
  <c r="S51" i="120"/>
  <c r="T58" i="120"/>
  <c r="N45" i="120"/>
  <c r="N61" i="120"/>
  <c r="R42" i="120"/>
  <c r="R58" i="120"/>
  <c r="P45" i="120"/>
  <c r="T54" i="120"/>
  <c r="T42" i="120"/>
  <c r="M46" i="120"/>
  <c r="T52" i="120"/>
  <c r="M55" i="120"/>
  <c r="T53" i="120"/>
  <c r="T60" i="120"/>
  <c r="R56" i="120"/>
  <c r="N56" i="120"/>
  <c r="Q61" i="120"/>
  <c r="R55" i="120"/>
  <c r="O63" i="120"/>
  <c r="M53" i="120"/>
  <c r="R45" i="120"/>
  <c r="Q46" i="120"/>
  <c r="Q62" i="120"/>
  <c r="U43" i="120"/>
  <c r="U59" i="120"/>
  <c r="S46" i="120"/>
  <c r="N60" i="120"/>
  <c r="N44" i="120"/>
  <c r="M62" i="120"/>
  <c r="Q63" i="120"/>
  <c r="P60" i="120"/>
  <c r="N55" i="120"/>
  <c r="U41" i="120"/>
  <c r="U57" i="120"/>
  <c r="R62" i="120"/>
  <c r="U61" i="120"/>
  <c r="U56" i="120"/>
  <c r="M50" i="120"/>
  <c r="P54" i="120"/>
  <c r="R57" i="120"/>
  <c r="T47" i="120"/>
  <c r="T63" i="120"/>
  <c r="O45" i="120"/>
  <c r="O61" i="120"/>
  <c r="M48" i="120"/>
  <c r="U46" i="120"/>
  <c r="Q45" i="120"/>
  <c r="T48" i="120"/>
  <c r="S41" i="120"/>
  <c r="N62" i="120"/>
  <c r="Q56" i="120"/>
  <c r="O43" i="120"/>
  <c r="P51" i="120"/>
  <c r="O58" i="120"/>
  <c r="Q48" i="120"/>
  <c r="O42" i="120"/>
  <c r="P63" i="120"/>
  <c r="S55" i="120"/>
  <c r="U62" i="120"/>
  <c r="N49" i="120"/>
  <c r="N52" i="120"/>
  <c r="R46" i="120"/>
  <c r="P49" i="120"/>
  <c r="R53" i="120"/>
  <c r="T46" i="120"/>
  <c r="R41" i="120"/>
  <c r="M43" i="120"/>
  <c r="T41" i="120"/>
  <c r="T57" i="120"/>
  <c r="R44" i="120"/>
  <c r="S56" i="120"/>
  <c r="M42" i="120"/>
  <c r="S49" i="120"/>
  <c r="R43" i="120"/>
  <c r="R59" i="120"/>
  <c r="M41" i="120"/>
  <c r="M57" i="120"/>
  <c r="S57" i="120"/>
  <c r="Q50" i="120"/>
  <c r="T62" i="120"/>
  <c r="U47" i="120"/>
  <c r="U63" i="120"/>
  <c r="S50" i="120"/>
  <c r="R61" i="120"/>
  <c r="N48" i="120"/>
  <c r="U42" i="120"/>
  <c r="P44" i="120"/>
  <c r="N43" i="120"/>
  <c r="N59" i="120"/>
  <c r="U45" i="120"/>
  <c r="N42" i="120"/>
  <c r="O59" i="120"/>
  <c r="M47" i="120"/>
  <c r="R48" i="120"/>
  <c r="M45" i="120"/>
  <c r="S54" i="120"/>
  <c r="N63" i="120"/>
  <c r="M54" i="120"/>
  <c r="U44" i="120"/>
  <c r="U60" i="120"/>
  <c r="P42" i="120"/>
  <c r="P58" i="120"/>
  <c r="S48" i="120"/>
  <c r="T51" i="120"/>
  <c r="O48" i="120"/>
  <c r="O49" i="120"/>
  <c r="P56" i="120"/>
  <c r="M52" i="120"/>
  <c r="M59" i="120"/>
  <c r="Q49" i="120"/>
  <c r="O44" i="120"/>
  <c r="S45" i="120"/>
  <c r="Q44" i="120"/>
  <c r="Q60" i="120"/>
  <c r="O47" i="120"/>
  <c r="T56" i="120"/>
  <c r="Q53" i="120"/>
  <c r="T45" i="120"/>
  <c r="R47" i="120"/>
  <c r="S52" i="120"/>
  <c r="O52" i="120"/>
  <c r="U49" i="120"/>
  <c r="Q59" i="120"/>
  <c r="O46" i="120"/>
  <c r="O62" i="120"/>
  <c r="S43" i="120"/>
  <c r="S59" i="120"/>
  <c r="P59" i="120"/>
  <c r="N53" i="120"/>
  <c r="U58" i="120"/>
  <c r="R50" i="120"/>
  <c r="P43" i="120"/>
  <c r="P53" i="120"/>
  <c r="U50" i="120"/>
  <c r="T61" i="120"/>
  <c r="M61" i="120"/>
  <c r="Q54" i="120"/>
  <c r="Q51" i="120"/>
  <c r="N47" i="120"/>
  <c r="O53" i="120"/>
  <c r="R63" i="120"/>
  <c r="Q47" i="120"/>
  <c r="U51" i="120"/>
  <c r="P48" i="120"/>
  <c r="O56" i="120"/>
  <c r="U48" i="120"/>
  <c r="M60" i="120"/>
  <c r="P46" i="120"/>
  <c r="P62" i="120"/>
  <c r="N58" i="120"/>
  <c r="T55" i="120"/>
  <c r="P55" i="120"/>
  <c r="M56" i="120"/>
  <c r="O51" i="120"/>
  <c r="O50" i="120"/>
  <c r="Q57" i="120"/>
  <c r="S47" i="120"/>
  <c r="S63" i="120"/>
  <c r="N41" i="120"/>
  <c r="N57" i="120"/>
  <c r="Q43" i="120"/>
  <c r="R54" i="120"/>
  <c r="P41" i="120"/>
  <c r="P57" i="120"/>
  <c r="N46" i="120"/>
  <c r="U54" i="120"/>
  <c r="S44" i="120"/>
  <c r="M51" i="120"/>
  <c r="T49" i="120"/>
  <c r="P47" i="120"/>
  <c r="R52" i="120"/>
  <c r="M58" i="120"/>
  <c r="P50" i="120"/>
  <c r="O57" i="120"/>
  <c r="Q41" i="120"/>
  <c r="S53" i="120"/>
  <c r="O55" i="120"/>
  <c r="E17" i="120"/>
  <c r="AG16" i="120"/>
  <c r="E16" i="120"/>
  <c r="AG15" i="120"/>
  <c r="E15" i="120"/>
  <c r="AG14" i="120"/>
  <c r="E14" i="120"/>
  <c r="AG13" i="120"/>
  <c r="E13" i="120"/>
  <c r="AG12" i="120"/>
  <c r="E12" i="120"/>
  <c r="E11" i="120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<sst xmlns="http://schemas.openxmlformats.org/spreadsheetml/2006/main" count="87" uniqueCount="73">
  <si>
    <t>ID</t>
  </si>
  <si>
    <t>Физико - химические свойства флюида   PVT</t>
  </si>
  <si>
    <t>С</t>
  </si>
  <si>
    <t>%</t>
  </si>
  <si>
    <t>сП</t>
  </si>
  <si>
    <t>атмa</t>
  </si>
  <si>
    <t>МПа</t>
  </si>
  <si>
    <t>Ф</t>
  </si>
  <si>
    <t>Параметры потока флюида</t>
  </si>
  <si>
    <t>PVT строка</t>
  </si>
  <si>
    <t>Упражнения по работе с макросами Unifloc VBA</t>
  </si>
  <si>
    <t>версия</t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</si>
  <si>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</si>
  <si>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</si>
  <si>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</si>
  <si>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</si>
  <si>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</si>
  <si>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</si>
  <si>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</si>
  <si>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</si>
  <si>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</si>
  <si>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</si>
  <si>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r>
      <t>Q</t>
    </r>
    <r>
      <rPr>
        <vertAlign val="subscript"/>
        <sz val="10"/>
        <rFont val="Arial Cyr"/>
        <charset val="204"/>
      </rPr>
      <t>l</t>
    </r>
  </si>
  <si>
    <r>
      <t>м</t>
    </r>
    <r>
      <rPr>
        <vertAlign val="superscript"/>
        <sz val="10"/>
        <rFont val="Arial Cyr"/>
        <charset val="204"/>
      </rPr>
      <t>3</t>
    </r>
    <r>
      <rPr>
        <sz val="10"/>
        <rFont val="Arial Cyr"/>
        <charset val="204"/>
      </rPr>
      <t>/сут</t>
    </r>
  </si>
  <si>
    <r>
      <t>кг/м</t>
    </r>
    <r>
      <rPr>
        <vertAlign val="superscript"/>
        <sz val="11"/>
        <rFont val="Calibri"/>
        <family val="2"/>
        <charset val="204"/>
        <scheme val="minor"/>
      </rPr>
      <t>3</t>
    </r>
  </si>
  <si>
    <r>
      <t>м</t>
    </r>
    <r>
      <rPr>
        <vertAlign val="superscript"/>
        <sz val="1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/т</t>
    </r>
  </si>
  <si>
    <r>
      <t>f</t>
    </r>
    <r>
      <rPr>
        <vertAlign val="subscript"/>
        <sz val="10"/>
        <rFont val="Arial Cyr"/>
        <charset val="204"/>
      </rPr>
      <t>w</t>
    </r>
  </si>
  <si>
    <t>Параметры трубы</t>
  </si>
  <si>
    <t>L</t>
  </si>
  <si>
    <t>θ</t>
  </si>
  <si>
    <t>м</t>
  </si>
  <si>
    <t>мм</t>
  </si>
  <si>
    <t>°</t>
  </si>
  <si>
    <t>P0</t>
  </si>
  <si>
    <t>P1</t>
  </si>
  <si>
    <t>T0</t>
  </si>
  <si>
    <t>T1</t>
  </si>
  <si>
    <t>°C</t>
  </si>
  <si>
    <r>
      <t>Q</t>
    </r>
    <r>
      <rPr>
        <vertAlign val="subscript"/>
        <sz val="11"/>
        <color theme="1"/>
        <rFont val="Calibri"/>
        <family val="2"/>
        <charset val="204"/>
      </rPr>
      <t>gas free</t>
    </r>
  </si>
  <si>
    <r>
      <t>нм</t>
    </r>
    <r>
      <rPr>
        <vertAlign val="superscript"/>
        <sz val="10"/>
        <rFont val="Arial Cyr"/>
        <charset val="204"/>
      </rPr>
      <t>3</t>
    </r>
    <r>
      <rPr>
        <sz val="10"/>
        <rFont val="Arial Cyr"/>
        <charset val="204"/>
      </rPr>
      <t>/сут</t>
    </r>
  </si>
  <si>
    <t>Подписи</t>
  </si>
  <si>
    <t>Поправки</t>
  </si>
  <si>
    <t>input_Date</t>
  </si>
  <si>
    <t>input_Version</t>
  </si>
  <si>
    <t>Курс</t>
  </si>
  <si>
    <t>РГУ ИРДН 2020</t>
  </si>
  <si>
    <t>input_Course</t>
  </si>
  <si>
    <t>Группа</t>
  </si>
  <si>
    <t>РиЭНМ</t>
  </si>
  <si>
    <t>input_Group</t>
  </si>
  <si>
    <t>Имя</t>
  </si>
  <si>
    <t>Хабибуллин Ринат</t>
  </si>
  <si>
    <t>input_Student_Name</t>
  </si>
  <si>
    <t>Примечание</t>
  </si>
  <si>
    <t>Пример выполнения упражнения</t>
  </si>
  <si>
    <t>input_Notes</t>
  </si>
  <si>
    <t>Многофазный поток в трубе.</t>
  </si>
  <si>
    <t>Корреляция гидр</t>
  </si>
  <si>
    <t>Калибровка трение</t>
  </si>
  <si>
    <t>Калибровка грав</t>
  </si>
  <si>
    <t>калибровка тип</t>
  </si>
  <si>
    <t>Корреляция PVT</t>
  </si>
  <si>
    <t>Сепарация газа</t>
  </si>
  <si>
    <t>только газ</t>
  </si>
  <si>
    <r>
      <t>K</t>
    </r>
    <r>
      <rPr>
        <vertAlign val="subscript"/>
        <sz val="11"/>
        <color theme="1"/>
        <rFont val="Calibri"/>
        <family val="2"/>
        <charset val="204"/>
      </rPr>
      <t>sep</t>
    </r>
  </si>
  <si>
    <r>
      <t>P</t>
    </r>
    <r>
      <rPr>
        <vertAlign val="subscript"/>
        <sz val="11"/>
        <color theme="1"/>
        <rFont val="Calibri"/>
        <family val="2"/>
        <charset val="204"/>
      </rPr>
      <t>sep</t>
    </r>
  </si>
  <si>
    <r>
      <t>T</t>
    </r>
    <r>
      <rPr>
        <vertAlign val="subscript"/>
        <sz val="11"/>
        <color theme="1"/>
        <rFont val="Calibri"/>
        <family val="2"/>
        <charset val="204"/>
      </rPr>
      <t>sep</t>
    </r>
  </si>
  <si>
    <t>Расчет 1</t>
  </si>
  <si>
    <t>Расчет 2</t>
  </si>
  <si>
    <t>Параметры расчета</t>
  </si>
  <si>
    <t>Расчет вдоль координат</t>
  </si>
  <si>
    <t>Поток вдоль координат</t>
  </si>
  <si>
    <t>Параметр расчета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</si>
</sst>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* #,##0.00_);_(* \(#,##0.00\);_(* &quot;-&quot;??_);_(@_)"/>
    <numFmt numFmtId="165" formatCode="0.000"/>
    <numFmt numFmtId="166" formatCode="0.0"/>
    <numFmt numFmtId="167" formatCode="0.00000"/>
  </numFmts>
  <fonts count="20" x14ac:knownFonts="1"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Times New Roman Cyr"/>
      <charset val="204"/>
    </font>
    <font>
      <sz val="11"/>
      <color theme="1"/>
      <name val="Calibri"/>
      <family val="2"/>
      <scheme val="minor"/>
    </font>
    <font>
      <b/>
      <sz val="10"/>
      <name val="Arial Cyr"/>
      <charset val="204"/>
    </font>
    <font>
      <sz val="10"/>
      <name val="Arial Cyr"/>
      <charset val="204"/>
    </font>
    <font>
      <sz val="10"/>
      <color indexed="8"/>
      <name val="Arial"/>
      <family val="2"/>
      <charset val="204"/>
    </font>
    <font>
      <vertAlign val="superscript"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  <scheme val="minor"/>
    </font>
    <font>
      <vertAlign val="subscript"/>
      <sz val="10"/>
      <name val="Arial Cyr"/>
      <charset val="204"/>
    </font>
    <font>
      <vertAlign val="superscript"/>
      <sz val="10"/>
      <name val="Arial Cyr"/>
      <charset val="204"/>
    </font>
    <font>
      <vertAlign val="superscript"/>
      <sz val="11"/>
      <name val="Calibri"/>
      <family val="2"/>
      <charset val="204"/>
      <scheme val="minor"/>
    </font>
    <font>
      <sz val="10"/>
      <color theme="0" tint="-0.14999847407452621"/>
      <name val="Arial Cyr"/>
      <charset val="204"/>
    </font>
    <font>
      <sz val="10"/>
      <name val="Calibri"/>
      <family val="2"/>
      <charset val="204"/>
    </font>
    <font>
      <b/>
      <sz val="10"/>
      <name val="Arial Cyr"/>
    </font>
    <font>
      <b/>
      <i/>
      <sz val="10"/>
      <name val="Arial Cyr"/>
    </font>
  </fonts>
  <fills count="9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9">
    <xf numFmtId="0" fontId="0" fillId="0" borderId="0"/>
    <xf numFmtId="0" fontId="4" fillId="0" borderId="1"/>
    <xf numFmtId="0" fontId="5" fillId="0" borderId="0"/>
    <xf numFmtId="0" fontId="3" fillId="0" borderId="0"/>
    <xf numFmtId="0" fontId="2" fillId="0" borderId="0"/>
    <xf numFmtId="164" fontId="7" fillId="0" borderId="0" applyFont="0" applyFill="0" applyBorder="0" applyAlignment="0" applyProtection="0"/>
    <xf numFmtId="0" fontId="8" fillId="0" borderId="0"/>
    <xf numFmtId="0" fontId="1" fillId="0" borderId="0"/>
    <xf numFmtId="9" fontId="1" fillId="0" borderId="0" applyFont="0" applyFill="0" applyBorder="0" applyAlignment="0" applyProtection="0"/>
  </cellStyleXfs>
  <cellXfs count="78">
    <xf numFmtId="0" fontId="0" fillId="0" borderId="0" xfId="0"/>
    <xf numFmtId="0" fontId="6" fillId="0" borderId="0" xfId="0" applyFont="1"/>
    <xf numFmtId="0" fontId="0" fillId="2" borderId="2" xfId="0" applyFill="1" applyBorder="1" applyAlignment="1">
      <alignment horizontal="center"/>
    </xf>
    <xf numFmtId="0" fontId="0" fillId="0" borderId="0" xfId="0" applyAlignment="1">
      <alignment wrapText="1"/>
    </xf>
    <xf numFmtId="0" fontId="0" fillId="4" borderId="2" xfId="0" applyFill="1" applyBorder="1" applyAlignment="1">
      <alignment horizontal="center"/>
    </xf>
    <xf numFmtId="0" fontId="0" fillId="3" borderId="2" xfId="0" applyFont="1" applyFill="1" applyBorder="1" applyAlignment="1">
      <alignment horizontal="center"/>
    </xf>
    <xf numFmtId="1" fontId="0" fillId="3" borderId="2" xfId="0" applyNumberFormat="1" applyFont="1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4" borderId="2" xfId="0" applyFont="1" applyFill="1" applyBorder="1" applyAlignment="1">
      <alignment horizontal="center"/>
    </xf>
    <xf numFmtId="0" fontId="10" fillId="5" borderId="2" xfId="0" applyFont="1" applyFill="1" applyBorder="1" applyAlignment="1">
      <alignment horizontal="center"/>
    </xf>
    <xf numFmtId="0" fontId="0" fillId="5" borderId="2" xfId="0" applyFill="1" applyBorder="1" applyAlignment="1">
      <alignment horizontal="center" wrapText="1"/>
    </xf>
    <xf numFmtId="0" fontId="10" fillId="5" borderId="2" xfId="0" applyFont="1" applyFill="1" applyBorder="1" applyAlignment="1">
      <alignment horizontal="center" wrapText="1"/>
    </xf>
    <xf numFmtId="0" fontId="0" fillId="4" borderId="2" xfId="0" applyFill="1" applyBorder="1" applyAlignment="1">
      <alignment horizontal="center" wrapText="1"/>
    </xf>
    <xf numFmtId="0" fontId="0" fillId="3" borderId="2" xfId="0" applyFill="1" applyBorder="1"/>
    <xf numFmtId="0" fontId="16" fillId="0" borderId="0" xfId="0" applyFont="1"/>
    <xf numFmtId="1" fontId="0" fillId="2" borderId="2" xfId="0" applyNumberFormat="1" applyFill="1" applyBorder="1" applyAlignment="1">
      <alignment horizontal="center"/>
    </xf>
    <xf numFmtId="165" fontId="0" fillId="0" borderId="0" xfId="0" applyNumberFormat="1"/>
    <xf numFmtId="0" fontId="17" fillId="0" borderId="0" xfId="0" applyFont="1"/>
    <xf numFmtId="0" fontId="0" fillId="6" borderId="2" xfId="0" applyFill="1" applyBorder="1"/>
    <xf numFmtId="0" fontId="0" fillId="6" borderId="3" xfId="0" applyFill="1" applyBorder="1"/>
    <xf numFmtId="0" fontId="0" fillId="6" borderId="4" xfId="0" applyFill="1" applyBorder="1"/>
    <xf numFmtId="0" fontId="0" fillId="6" borderId="7" xfId="0" applyFill="1" applyBorder="1"/>
    <xf numFmtId="0" fontId="0" fillId="6" borderId="8" xfId="0" applyFill="1" applyBorder="1"/>
    <xf numFmtId="0" fontId="0" fillId="6" borderId="9" xfId="0" applyFill="1" applyBorder="1"/>
    <xf numFmtId="14" fontId="0" fillId="3" borderId="0" xfId="0" applyNumberFormat="1" applyFill="1" applyAlignment="1">
      <alignment horizontal="left" vertical="top"/>
    </xf>
    <xf numFmtId="0" fontId="0" fillId="3" borderId="0" xfId="0" applyFill="1"/>
    <xf numFmtId="0" fontId="0" fillId="3" borderId="0" xfId="0" applyFill="1" applyAlignment="1">
      <alignment horizontal="left" vertical="top"/>
    </xf>
    <xf numFmtId="0" fontId="10" fillId="5" borderId="2" xfId="0" applyFont="1" applyFill="1" applyBorder="1" applyAlignment="1">
      <alignment horizontal="left"/>
    </xf>
    <xf numFmtId="0" fontId="0" fillId="5" borderId="13" xfId="0" applyFill="1" applyBorder="1" applyAlignment="1">
      <alignment vertical="top"/>
    </xf>
    <xf numFmtId="0" fontId="0" fillId="5" borderId="0" xfId="0" applyFill="1" applyAlignment="1">
      <alignment vertical="top"/>
    </xf>
    <xf numFmtId="0" fontId="0" fillId="3" borderId="0" xfId="0" applyFill="1" applyAlignment="1">
      <alignment vertical="top"/>
    </xf>
    <xf numFmtId="0" fontId="0" fillId="5" borderId="15" xfId="0" applyFill="1" applyBorder="1" applyAlignment="1">
      <alignment vertical="top"/>
    </xf>
    <xf numFmtId="0" fontId="0" fillId="5" borderId="16" xfId="0" applyFill="1" applyBorder="1" applyAlignment="1">
      <alignment vertical="top"/>
    </xf>
    <xf numFmtId="0" fontId="18" fillId="0" borderId="0" xfId="0" applyFont="1"/>
    <xf numFmtId="0" fontId="0" fillId="6" borderId="5" xfId="0" applyFill="1" applyBorder="1" applyAlignment="1">
      <alignment horizontal="center"/>
    </xf>
    <xf numFmtId="0" fontId="0" fillId="6" borderId="0" xfId="0" applyFill="1" applyBorder="1" applyAlignment="1">
      <alignment horizontal="center"/>
    </xf>
    <xf numFmtId="0" fontId="0" fillId="6" borderId="6" xfId="0" applyFill="1" applyBorder="1" applyAlignment="1">
      <alignment horizontal="center"/>
    </xf>
    <xf numFmtId="1" fontId="0" fillId="6" borderId="0" xfId="0" applyNumberFormat="1" applyFill="1" applyBorder="1" applyAlignment="1">
      <alignment horizontal="center"/>
    </xf>
    <xf numFmtId="0" fontId="0" fillId="6" borderId="7" xfId="0" applyFill="1" applyBorder="1" applyAlignment="1">
      <alignment horizontal="center"/>
    </xf>
    <xf numFmtId="1" fontId="0" fillId="6" borderId="8" xfId="0" applyNumberFormat="1" applyFill="1" applyBorder="1" applyAlignment="1">
      <alignment horizontal="center"/>
    </xf>
    <xf numFmtId="0" fontId="0" fillId="6" borderId="8" xfId="0" applyFill="1" applyBorder="1" applyAlignment="1">
      <alignment horizontal="center"/>
    </xf>
    <xf numFmtId="0" fontId="0" fillId="6" borderId="9" xfId="0" applyFill="1" applyBorder="1" applyAlignment="1">
      <alignment horizontal="center"/>
    </xf>
    <xf numFmtId="1" fontId="19" fillId="6" borderId="14" xfId="0" applyNumberFormat="1" applyFont="1" applyFill="1" applyBorder="1" applyAlignment="1">
      <alignment horizontal="center"/>
    </xf>
    <xf numFmtId="0" fontId="19" fillId="6" borderId="3" xfId="0" applyFont="1" applyFill="1" applyBorder="1" applyAlignment="1">
      <alignment horizontal="center"/>
    </xf>
    <xf numFmtId="0" fontId="19" fillId="6" borderId="4" xfId="0" applyFont="1" applyFill="1" applyBorder="1" applyAlignment="1">
      <alignment horizontal="center"/>
    </xf>
    <xf numFmtId="0" fontId="19" fillId="6" borderId="7" xfId="0" applyFont="1" applyFill="1" applyBorder="1" applyAlignment="1">
      <alignment horizontal="left"/>
    </xf>
    <xf numFmtId="0" fontId="19" fillId="6" borderId="8" xfId="0" applyFont="1" applyFill="1" applyBorder="1" applyAlignment="1">
      <alignment horizontal="left"/>
    </xf>
    <xf numFmtId="0" fontId="19" fillId="6" borderId="9" xfId="0" applyFont="1" applyFill="1" applyBorder="1" applyAlignment="1">
      <alignment horizontal="left"/>
    </xf>
    <xf numFmtId="0" fontId="10" fillId="5" borderId="0" xfId="0" applyFont="1" applyFill="1" applyBorder="1" applyAlignment="1">
      <alignment horizontal="center" wrapText="1"/>
    </xf>
    <xf numFmtId="1" fontId="19" fillId="6" borderId="3" xfId="0" applyNumberFormat="1" applyFont="1" applyFill="1" applyBorder="1" applyAlignment="1">
      <alignment horizontal="center"/>
    </xf>
    <xf numFmtId="0" fontId="0" fillId="5" borderId="0" xfId="0" applyFill="1"/>
    <xf numFmtId="0" fontId="0" fillId="5" borderId="0" xfId="0" applyFill="1" applyAlignment="1">
      <alignment horizontal="right"/>
    </xf>
    <xf numFmtId="0" fontId="0" fillId="8" borderId="2" xfId="0" applyFill="1" applyBorder="1" applyAlignment="1">
      <alignment horizontal="center"/>
    </xf>
    <xf numFmtId="0" fontId="10" fillId="5" borderId="6" xfId="0" applyFont="1" applyFill="1" applyBorder="1" applyAlignment="1">
      <alignment horizontal="right"/>
    </xf>
    <xf numFmtId="0" fontId="10" fillId="5" borderId="0" xfId="0" applyFont="1" applyFill="1" applyBorder="1" applyAlignment="1"/>
    <xf numFmtId="0" fontId="10" fillId="5" borderId="0" xfId="0" applyFont="1" applyFill="1" applyBorder="1" applyAlignment="1">
      <alignment wrapText="1"/>
    </xf>
    <xf numFmtId="2" fontId="0" fillId="6" borderId="0" xfId="0" applyNumberFormat="1" applyFill="1" applyBorder="1" applyAlignment="1">
      <alignment horizontal="center"/>
    </xf>
    <xf numFmtId="2" fontId="0" fillId="6" borderId="8" xfId="0" applyNumberFormat="1" applyFill="1" applyBorder="1" applyAlignment="1">
      <alignment horizontal="center"/>
    </xf>
    <xf numFmtId="2" fontId="0" fillId="0" borderId="0" xfId="0" applyNumberFormat="1" applyAlignment="1">
      <alignment horizontal="center"/>
    </xf>
    <xf numFmtId="166" fontId="0" fillId="6" borderId="0" xfId="0" applyNumberFormat="1" applyFill="1" applyBorder="1" applyAlignment="1">
      <alignment horizontal="center"/>
    </xf>
    <xf numFmtId="166" fontId="0" fillId="6" borderId="8" xfId="0" applyNumberFormat="1" applyFill="1" applyBorder="1" applyAlignment="1">
      <alignment horizontal="center"/>
    </xf>
    <xf numFmtId="166" fontId="0" fillId="0" borderId="0" xfId="0" applyNumberFormat="1"/>
    <xf numFmtId="167" fontId="0" fillId="0" borderId="0" xfId="0" applyNumberFormat="1"/>
    <xf numFmtId="0" fontId="10" fillId="5" borderId="0" xfId="0" applyFont="1" applyFill="1" applyBorder="1" applyAlignment="1">
      <alignment horizontal="right" wrapText="1"/>
    </xf>
    <xf numFmtId="0" fontId="10" fillId="5" borderId="6" xfId="0" applyFont="1" applyFill="1" applyBorder="1" applyAlignment="1">
      <alignment horizontal="right" wrapText="1"/>
    </xf>
    <xf numFmtId="0" fontId="0" fillId="7" borderId="10" xfId="0" applyFill="1" applyBorder="1" applyAlignment="1">
      <alignment horizontal="left"/>
    </xf>
    <xf numFmtId="0" fontId="0" fillId="7" borderId="11" xfId="0" applyFill="1" applyBorder="1" applyAlignment="1">
      <alignment horizontal="left"/>
    </xf>
    <xf numFmtId="0" fontId="0" fillId="7" borderId="12" xfId="0" applyFill="1" applyBorder="1" applyAlignment="1">
      <alignment horizontal="left"/>
    </xf>
    <xf numFmtId="0" fontId="0" fillId="7" borderId="14" xfId="0" applyFill="1" applyBorder="1" applyAlignment="1">
      <alignment horizontal="left" vertical="top"/>
    </xf>
    <xf numFmtId="0" fontId="0" fillId="7" borderId="3" xfId="0" applyFill="1" applyBorder="1" applyAlignment="1">
      <alignment horizontal="left" vertical="top"/>
    </xf>
    <xf numFmtId="0" fontId="0" fillId="7" borderId="4" xfId="0" applyFill="1" applyBorder="1" applyAlignment="1">
      <alignment horizontal="left" vertical="top"/>
    </xf>
    <xf numFmtId="0" fontId="0" fillId="7" borderId="5" xfId="0" applyFill="1" applyBorder="1" applyAlignment="1">
      <alignment horizontal="left" vertical="top"/>
    </xf>
    <xf numFmtId="0" fontId="0" fillId="7" borderId="0" xfId="0" applyFill="1" applyAlignment="1">
      <alignment horizontal="left" vertical="top"/>
    </xf>
    <xf numFmtId="0" fontId="0" fillId="7" borderId="6" xfId="0" applyFill="1" applyBorder="1" applyAlignment="1">
      <alignment horizontal="left" vertical="top"/>
    </xf>
    <xf numFmtId="0" fontId="0" fillId="7" borderId="7" xfId="0" applyFill="1" applyBorder="1" applyAlignment="1">
      <alignment horizontal="left" vertical="top"/>
    </xf>
    <xf numFmtId="0" fontId="0" fillId="7" borderId="8" xfId="0" applyFill="1" applyBorder="1" applyAlignment="1">
      <alignment horizontal="left" vertical="top"/>
    </xf>
    <xf numFmtId="0" fontId="0" fillId="7" borderId="9" xfId="0" applyFill="1" applyBorder="1" applyAlignment="1">
      <alignment horizontal="left" vertical="top"/>
    </xf>
    <xf numFmtId="0" fontId="0" fillId="0" borderId="0" xfId="0" applyAlignment="1">
      <alignment horizontal="center"/>
    </xf>
  </cellXfs>
  <cellStyles count="9">
    <cellStyle name="Iau?iue_AA_1" xfId="1" xr:uid="{00000000-0005-0000-0000-000000000000}"/>
    <cellStyle name="Normal_Sheet2" xfId="6" xr:uid="{00000000-0005-0000-0000-000001000000}"/>
    <cellStyle name="Обычный" xfId="0" builtinId="0"/>
    <cellStyle name="Обычный 2" xfId="2" xr:uid="{00000000-0005-0000-0000-000003000000}"/>
    <cellStyle name="Обычный 3" xfId="3" xr:uid="{00000000-0005-0000-0000-000004000000}"/>
    <cellStyle name="Обычный 3 2" xfId="4" xr:uid="{00000000-0005-0000-0000-000005000000}"/>
    <cellStyle name="Обычный 4" xfId="7" xr:uid="{00000000-0005-0000-0000-000006000000}"/>
    <cellStyle name="Процентный 2" xfId="8" xr:uid="{00000000-0005-0000-0000-000007000000}"/>
    <cellStyle name="Финансовый 2" xfId="5" xr:uid="{00000000-0005-0000-0000-000008000000}"/>
  </cellStyles>
  <dxfs count="0"/>
  <tableStyles count="0" defaultTableStyle="TableStyleMedium2" defaultPivotStyle="PivotStyleLight16"/>
  <colors>
    <mruColors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давления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exercise_MF1!$C$40</c:f>
              <c:strCache>
                <c:ptCount val="1"/>
                <c:pt idx="0">
                  <c:v>Расчет 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exercise_MF1!$F$44:$F$63</c:f>
              <c:numCache>
                <c:formatCode>0.0</c:formatCode>
                <c:ptCount val="20"/>
                <c:pt idx="0">
                  <c:v>26</c:v>
                </c:pt>
                <c:pt idx="1">
                  <c:v>30.369278825764006</c:v>
                </c:pt>
                <c:pt idx="2">
                  <c:v>34.736265936896757</c:v>
                </c:pt>
                <c:pt idx="3">
                  <c:v>39.082627616348155</c:v>
                </c:pt>
                <c:pt idx="4">
                  <c:v>43.424248825827028</c:v>
                </c:pt>
                <c:pt idx="5">
                  <c:v>47.74690815541576</c:v>
                </c:pt>
                <c:pt idx="6">
                  <c:v>52.062309266978488</c:v>
                </c:pt>
                <c:pt idx="7">
                  <c:v>56.360774536480548</c:v>
                </c:pt>
                <c:pt idx="8">
                  <c:v>60.649458380000759</c:v>
                </c:pt>
                <c:pt idx="9">
                  <c:v>64.923470084548171</c:v>
                </c:pt>
                <c:pt idx="10">
                  <c:v>69.185217045924105</c:v>
                </c:pt>
                <c:pt idx="11">
                  <c:v>73.434699264128554</c:v>
                </c:pt>
                <c:pt idx="12">
                  <c:v>77.669505060698555</c:v>
                </c:pt>
                <c:pt idx="13">
                  <c:v>81.894526576178947</c:v>
                </c:pt>
                <c:pt idx="14">
                  <c:v>86.102553170684757</c:v>
                </c:pt>
                <c:pt idx="15">
                  <c:v>90.303296227630028</c:v>
                </c:pt>
                <c:pt idx="16">
                  <c:v>94.484832926171393</c:v>
                </c:pt>
                <c:pt idx="17">
                  <c:v>98.66156803511177</c:v>
                </c:pt>
                <c:pt idx="18">
                  <c:v>102.81700056604686</c:v>
                </c:pt>
                <c:pt idx="19">
                  <c:v>106.97006614387026</c:v>
                </c:pt>
              </c:numCache>
            </c:numRef>
          </c:xVal>
          <c:yVal>
            <c:numRef>
              <c:f>exercise_MF1!$D$44:$D$63</c:f>
              <c:numCache>
                <c:formatCode>0</c:formatCode>
                <c:ptCount val="20"/>
                <c:pt idx="0">
                  <c:v>0</c:v>
                </c:pt>
                <c:pt idx="1">
                  <c:v>52.631578947368418</c:v>
                </c:pt>
                <c:pt idx="2">
                  <c:v>105.26315789473684</c:v>
                </c:pt>
                <c:pt idx="3">
                  <c:v>157.89473684210526</c:v>
                </c:pt>
                <c:pt idx="4">
                  <c:v>210.52631578947367</c:v>
                </c:pt>
                <c:pt idx="5">
                  <c:v>263.15789473684208</c:v>
                </c:pt>
                <c:pt idx="6">
                  <c:v>315.78947368421052</c:v>
                </c:pt>
                <c:pt idx="7">
                  <c:v>368.4210526315789</c:v>
                </c:pt>
                <c:pt idx="8">
                  <c:v>421.05263157894734</c:v>
                </c:pt>
                <c:pt idx="9">
                  <c:v>473.68421052631578</c:v>
                </c:pt>
                <c:pt idx="10">
                  <c:v>526.31578947368416</c:v>
                </c:pt>
                <c:pt idx="11">
                  <c:v>578.9473684210526</c:v>
                </c:pt>
                <c:pt idx="12">
                  <c:v>631.57894736842104</c:v>
                </c:pt>
                <c:pt idx="13">
                  <c:v>684.21052631578948</c:v>
                </c:pt>
                <c:pt idx="14">
                  <c:v>736.8421052631578</c:v>
                </c:pt>
                <c:pt idx="15">
                  <c:v>789.47368421052624</c:v>
                </c:pt>
                <c:pt idx="16">
                  <c:v>842.10526315789468</c:v>
                </c:pt>
                <c:pt idx="17">
                  <c:v>894.73684210526312</c:v>
                </c:pt>
                <c:pt idx="18">
                  <c:v>947.36842105263156</c:v>
                </c:pt>
                <c:pt idx="19">
                  <c:v>1000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937-4FDA-B61D-7BF1E3F05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9802048"/>
        <c:axId val="1586749600"/>
      </c:scatterChart>
      <c:valAx>
        <c:axId val="1619802048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</a:t>
                </a:r>
                <a:r>
                  <a:rPr lang="ru-RU" baseline="0"/>
                  <a:t> атм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6749600"/>
        <c:crosses val="autoZero"/>
        <c:crossBetween val="midCat"/>
      </c:valAx>
      <c:valAx>
        <c:axId val="1586749600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Расстояние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198020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exercise_MF1!$C$40</c:f>
          <c:strCache>
            <c:ptCount val="1"/>
            <c:pt idx="0">
              <c:v>Расчет 1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exercise_MF1!$F$43</c:f>
              <c:strCache>
                <c:ptCount val="1"/>
                <c:pt idx="0">
                  <c:v>p,atma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exercise_MF1!$D$44:$D$63</c:f>
              <c:numCache>
                <c:formatCode>0</c:formatCode>
                <c:ptCount val="20"/>
                <c:pt idx="0">
                  <c:v>0</c:v>
                </c:pt>
                <c:pt idx="1">
                  <c:v>52.631578947368418</c:v>
                </c:pt>
                <c:pt idx="2">
                  <c:v>105.26315789473684</c:v>
                </c:pt>
                <c:pt idx="3">
                  <c:v>157.89473684210526</c:v>
                </c:pt>
                <c:pt idx="4">
                  <c:v>210.52631578947367</c:v>
                </c:pt>
                <c:pt idx="5">
                  <c:v>263.15789473684208</c:v>
                </c:pt>
                <c:pt idx="6">
                  <c:v>315.78947368421052</c:v>
                </c:pt>
                <c:pt idx="7">
                  <c:v>368.4210526315789</c:v>
                </c:pt>
                <c:pt idx="8">
                  <c:v>421.05263157894734</c:v>
                </c:pt>
                <c:pt idx="9">
                  <c:v>473.68421052631578</c:v>
                </c:pt>
                <c:pt idx="10">
                  <c:v>526.31578947368416</c:v>
                </c:pt>
                <c:pt idx="11">
                  <c:v>578.9473684210526</c:v>
                </c:pt>
                <c:pt idx="12">
                  <c:v>631.57894736842104</c:v>
                </c:pt>
                <c:pt idx="13">
                  <c:v>684.21052631578948</c:v>
                </c:pt>
                <c:pt idx="14">
                  <c:v>736.8421052631578</c:v>
                </c:pt>
                <c:pt idx="15">
                  <c:v>789.47368421052624</c:v>
                </c:pt>
                <c:pt idx="16">
                  <c:v>842.10526315789468</c:v>
                </c:pt>
                <c:pt idx="17">
                  <c:v>894.73684210526312</c:v>
                </c:pt>
                <c:pt idx="18">
                  <c:v>947.36842105263156</c:v>
                </c:pt>
                <c:pt idx="19">
                  <c:v>1000</c:v>
                </c:pt>
              </c:numCache>
            </c:numRef>
          </c:xVal>
          <c:yVal>
            <c:numRef>
              <c:f>exercise_MF1!$F$44:$F$63</c:f>
              <c:numCache>
                <c:formatCode>0.0</c:formatCode>
                <c:ptCount val="20"/>
                <c:pt idx="0">
                  <c:v>26</c:v>
                </c:pt>
                <c:pt idx="1">
                  <c:v>30.369278825764006</c:v>
                </c:pt>
                <c:pt idx="2">
                  <c:v>34.736265936896757</c:v>
                </c:pt>
                <c:pt idx="3">
                  <c:v>39.082627616348155</c:v>
                </c:pt>
                <c:pt idx="4">
                  <c:v>43.424248825827028</c:v>
                </c:pt>
                <c:pt idx="5">
                  <c:v>47.74690815541576</c:v>
                </c:pt>
                <c:pt idx="6">
                  <c:v>52.062309266978488</c:v>
                </c:pt>
                <c:pt idx="7">
                  <c:v>56.360774536480548</c:v>
                </c:pt>
                <c:pt idx="8">
                  <c:v>60.649458380000759</c:v>
                </c:pt>
                <c:pt idx="9">
                  <c:v>64.923470084548171</c:v>
                </c:pt>
                <c:pt idx="10">
                  <c:v>69.185217045924105</c:v>
                </c:pt>
                <c:pt idx="11">
                  <c:v>73.434699264128554</c:v>
                </c:pt>
                <c:pt idx="12">
                  <c:v>77.669505060698555</c:v>
                </c:pt>
                <c:pt idx="13">
                  <c:v>81.894526576178947</c:v>
                </c:pt>
                <c:pt idx="14">
                  <c:v>86.102553170684757</c:v>
                </c:pt>
                <c:pt idx="15">
                  <c:v>90.303296227630028</c:v>
                </c:pt>
                <c:pt idx="16">
                  <c:v>94.484832926171393</c:v>
                </c:pt>
                <c:pt idx="17">
                  <c:v>98.66156803511177</c:v>
                </c:pt>
                <c:pt idx="18">
                  <c:v>102.81700056604686</c:v>
                </c:pt>
                <c:pt idx="19">
                  <c:v>106.97006614387026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390-46AE-96AC-878D823295EC}"/>
            </c:ext>
          </c:extLst>
        </c:ser>
        <c:ser>
          <c:idx val="4"/>
          <c:order val="2"/>
          <c:tx>
            <c:strRef>
              <c:f>exercise_MF1!$J$43</c:f>
              <c:strCache>
                <c:ptCount val="1"/>
                <c:pt idx="0">
                  <c:v>t_amb, C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exercise_MF1!$D$44:$D$63</c:f>
              <c:numCache>
                <c:formatCode>0</c:formatCode>
                <c:ptCount val="20"/>
                <c:pt idx="0">
                  <c:v>0</c:v>
                </c:pt>
                <c:pt idx="1">
                  <c:v>52.631578947368418</c:v>
                </c:pt>
                <c:pt idx="2">
                  <c:v>105.26315789473684</c:v>
                </c:pt>
                <c:pt idx="3">
                  <c:v>157.89473684210526</c:v>
                </c:pt>
                <c:pt idx="4">
                  <c:v>210.52631578947367</c:v>
                </c:pt>
                <c:pt idx="5">
                  <c:v>263.15789473684208</c:v>
                </c:pt>
                <c:pt idx="6">
                  <c:v>315.78947368421052</c:v>
                </c:pt>
                <c:pt idx="7">
                  <c:v>368.4210526315789</c:v>
                </c:pt>
                <c:pt idx="8">
                  <c:v>421.05263157894734</c:v>
                </c:pt>
                <c:pt idx="9">
                  <c:v>473.68421052631578</c:v>
                </c:pt>
                <c:pt idx="10">
                  <c:v>526.31578947368416</c:v>
                </c:pt>
                <c:pt idx="11">
                  <c:v>578.9473684210526</c:v>
                </c:pt>
                <c:pt idx="12">
                  <c:v>631.57894736842104</c:v>
                </c:pt>
                <c:pt idx="13">
                  <c:v>684.21052631578948</c:v>
                </c:pt>
                <c:pt idx="14">
                  <c:v>736.8421052631578</c:v>
                </c:pt>
                <c:pt idx="15">
                  <c:v>789.47368421052624</c:v>
                </c:pt>
                <c:pt idx="16">
                  <c:v>842.10526315789468</c:v>
                </c:pt>
                <c:pt idx="17">
                  <c:v>894.73684210526312</c:v>
                </c:pt>
                <c:pt idx="18">
                  <c:v>947.36842105263156</c:v>
                </c:pt>
                <c:pt idx="19">
                  <c:v>1000</c:v>
                </c:pt>
              </c:numCache>
            </c:numRef>
          </c:xVal>
          <c:yVal>
            <c:numRef>
              <c:f>exercise_MF1!$J$44:$J$63</c:f>
              <c:numCache>
                <c:formatCode>0</c:formatCode>
                <c:ptCount val="20"/>
                <c:pt idx="0">
                  <c:v>40</c:v>
                </c:pt>
                <c:pt idx="1">
                  <c:v>42.10526315789474</c:v>
                </c:pt>
                <c:pt idx="2">
                  <c:v>44.210526315789473</c:v>
                </c:pt>
                <c:pt idx="3">
                  <c:v>46.315789473684212</c:v>
                </c:pt>
                <c:pt idx="4">
                  <c:v>48.421052631578945</c:v>
                </c:pt>
                <c:pt idx="5">
                  <c:v>50.526315789473685</c:v>
                </c:pt>
                <c:pt idx="6">
                  <c:v>52.631578947368418</c:v>
                </c:pt>
                <c:pt idx="7">
                  <c:v>54.736842105263158</c:v>
                </c:pt>
                <c:pt idx="8">
                  <c:v>56.84210526315789</c:v>
                </c:pt>
                <c:pt idx="9">
                  <c:v>58.94736842105263</c:v>
                </c:pt>
                <c:pt idx="10">
                  <c:v>61.05263157894737</c:v>
                </c:pt>
                <c:pt idx="11">
                  <c:v>63.157894736842103</c:v>
                </c:pt>
                <c:pt idx="12">
                  <c:v>65.263157894736835</c:v>
                </c:pt>
                <c:pt idx="13">
                  <c:v>67.368421052631575</c:v>
                </c:pt>
                <c:pt idx="14">
                  <c:v>69.473684210526315</c:v>
                </c:pt>
                <c:pt idx="15">
                  <c:v>71.578947368421055</c:v>
                </c:pt>
                <c:pt idx="16">
                  <c:v>73.68421052631578</c:v>
                </c:pt>
                <c:pt idx="17">
                  <c:v>75.78947368421052</c:v>
                </c:pt>
                <c:pt idx="18">
                  <c:v>77.89473684210526</c:v>
                </c:pt>
                <c:pt idx="19">
                  <c:v>80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390-46AE-96AC-878D823295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2867680"/>
        <c:axId val="1586759168"/>
      </c:scatterChart>
      <c:scatterChart>
        <c:scatterStyle val="smoothMarker"/>
        <c:varyColors val="0"/>
        <c:ser>
          <c:idx val="2"/>
          <c:order val="1"/>
          <c:tx>
            <c:strRef>
              <c:f>exercise_MF1!$H$43</c:f>
              <c:strCache>
                <c:ptCount val="1"/>
                <c:pt idx="0">
                  <c:v>Hl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exercise_MF1!$D$44:$D$63</c:f>
              <c:numCache>
                <c:formatCode>0</c:formatCode>
                <c:ptCount val="20"/>
                <c:pt idx="0">
                  <c:v>0</c:v>
                </c:pt>
                <c:pt idx="1">
                  <c:v>52.631578947368418</c:v>
                </c:pt>
                <c:pt idx="2">
                  <c:v>105.26315789473684</c:v>
                </c:pt>
                <c:pt idx="3">
                  <c:v>157.89473684210526</c:v>
                </c:pt>
                <c:pt idx="4">
                  <c:v>210.52631578947367</c:v>
                </c:pt>
                <c:pt idx="5">
                  <c:v>263.15789473684208</c:v>
                </c:pt>
                <c:pt idx="6">
                  <c:v>315.78947368421052</c:v>
                </c:pt>
                <c:pt idx="7">
                  <c:v>368.4210526315789</c:v>
                </c:pt>
                <c:pt idx="8">
                  <c:v>421.05263157894734</c:v>
                </c:pt>
                <c:pt idx="9">
                  <c:v>473.68421052631578</c:v>
                </c:pt>
                <c:pt idx="10">
                  <c:v>526.31578947368416</c:v>
                </c:pt>
                <c:pt idx="11">
                  <c:v>578.9473684210526</c:v>
                </c:pt>
                <c:pt idx="12">
                  <c:v>631.57894736842104</c:v>
                </c:pt>
                <c:pt idx="13">
                  <c:v>684.21052631578948</c:v>
                </c:pt>
                <c:pt idx="14">
                  <c:v>736.8421052631578</c:v>
                </c:pt>
                <c:pt idx="15">
                  <c:v>789.47368421052624</c:v>
                </c:pt>
                <c:pt idx="16">
                  <c:v>842.10526315789468</c:v>
                </c:pt>
                <c:pt idx="17">
                  <c:v>894.73684210526312</c:v>
                </c:pt>
                <c:pt idx="18">
                  <c:v>947.36842105263156</c:v>
                </c:pt>
                <c:pt idx="19">
                  <c:v>1000</c:v>
                </c:pt>
              </c:numCache>
            </c:numRef>
          </c:xVal>
          <c:yVal>
            <c:numRef>
              <c:f>exercise_MF1!$H$44:$H$63</c:f>
              <c:numCache>
                <c:formatCode>0.00</c:formatCode>
                <c:ptCount val="2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390-46AE-96AC-878D823295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6756256"/>
        <c:axId val="1586755424"/>
      </c:scatterChart>
      <c:valAx>
        <c:axId val="1612867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6759168"/>
        <c:crosses val="autoZero"/>
        <c:crossBetween val="midCat"/>
      </c:valAx>
      <c:valAx>
        <c:axId val="1586759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12867680"/>
        <c:crosses val="autoZero"/>
        <c:crossBetween val="midCat"/>
      </c:valAx>
      <c:valAx>
        <c:axId val="1586755424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6756256"/>
        <c:crosses val="max"/>
        <c:crossBetween val="midCat"/>
      </c:valAx>
      <c:valAx>
        <c:axId val="1586756256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5867554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давления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exercise_MF1!$M$40</c:f>
              <c:strCache>
                <c:ptCount val="1"/>
                <c:pt idx="0">
                  <c:v>Расчет 2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exercise_MF1!$P$44:$P$63</c:f>
              <c:numCache>
                <c:formatCode>0</c:formatCode>
                <c:ptCount val="20"/>
                <c:pt idx="0">
                  <c:v>18.873555042948787</c:v>
                </c:pt>
                <c:pt idx="1">
                  <c:v>23.211085651352406</c:v>
                </c:pt>
                <c:pt idx="2">
                  <c:v>27.550586672602424</c:v>
                </c:pt>
                <c:pt idx="3">
                  <c:v>31.907821409470056</c:v>
                </c:pt>
                <c:pt idx="4">
                  <c:v>36.26047841670529</c:v>
                </c:pt>
                <c:pt idx="5">
                  <c:v>40.594824505410919</c:v>
                </c:pt>
                <c:pt idx="6">
                  <c:v>44.922095802414368</c:v>
                </c:pt>
                <c:pt idx="7">
                  <c:v>49.232859252112718</c:v>
                </c:pt>
                <c:pt idx="8">
                  <c:v>53.534019781851079</c:v>
                </c:pt>
                <c:pt idx="9">
                  <c:v>57.820775931649436</c:v>
                </c:pt>
                <c:pt idx="10">
                  <c:v>62.095422854687783</c:v>
                </c:pt>
                <c:pt idx="11">
                  <c:v>66.357960550966126</c:v>
                </c:pt>
                <c:pt idx="12">
                  <c:v>70.605941937962371</c:v>
                </c:pt>
                <c:pt idx="13">
                  <c:v>74.844219118770553</c:v>
                </c:pt>
                <c:pt idx="14">
                  <c:v>79.065577921151259</c:v>
                </c:pt>
                <c:pt idx="15">
                  <c:v>83.279685989920196</c:v>
                </c:pt>
                <c:pt idx="16">
                  <c:v>87.474615691525159</c:v>
                </c:pt>
                <c:pt idx="17">
                  <c:v>91.664750801339125</c:v>
                </c:pt>
                <c:pt idx="18">
                  <c:v>95.833560164379222</c:v>
                </c:pt>
                <c:pt idx="19">
                  <c:v>100</c:v>
                </c:pt>
              </c:numCache>
            </c:numRef>
          </c:xVal>
          <c:yVal>
            <c:numRef>
              <c:f>exercise_MF1!$N$44:$N$63</c:f>
              <c:numCache>
                <c:formatCode>0</c:formatCode>
                <c:ptCount val="20"/>
                <c:pt idx="0">
                  <c:v>0</c:v>
                </c:pt>
                <c:pt idx="1">
                  <c:v>52.631578947368418</c:v>
                </c:pt>
                <c:pt idx="2">
                  <c:v>105.26315789473684</c:v>
                </c:pt>
                <c:pt idx="3">
                  <c:v>157.89473684210526</c:v>
                </c:pt>
                <c:pt idx="4">
                  <c:v>210.52631578947367</c:v>
                </c:pt>
                <c:pt idx="5">
                  <c:v>263.15789473684208</c:v>
                </c:pt>
                <c:pt idx="6">
                  <c:v>315.78947368421052</c:v>
                </c:pt>
                <c:pt idx="7">
                  <c:v>368.4210526315789</c:v>
                </c:pt>
                <c:pt idx="8">
                  <c:v>421.05263157894734</c:v>
                </c:pt>
                <c:pt idx="9">
                  <c:v>473.68421052631578</c:v>
                </c:pt>
                <c:pt idx="10">
                  <c:v>526.31578947368416</c:v>
                </c:pt>
                <c:pt idx="11">
                  <c:v>578.9473684210526</c:v>
                </c:pt>
                <c:pt idx="12">
                  <c:v>631.57894736842104</c:v>
                </c:pt>
                <c:pt idx="13">
                  <c:v>684.21052631578948</c:v>
                </c:pt>
                <c:pt idx="14">
                  <c:v>736.8421052631578</c:v>
                </c:pt>
                <c:pt idx="15">
                  <c:v>789.47368421052624</c:v>
                </c:pt>
                <c:pt idx="16">
                  <c:v>842.10526315789468</c:v>
                </c:pt>
                <c:pt idx="17">
                  <c:v>894.73684210526312</c:v>
                </c:pt>
                <c:pt idx="18">
                  <c:v>947.36842105263156</c:v>
                </c:pt>
                <c:pt idx="19">
                  <c:v>1000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C2D-44E2-BE8B-6E1E873648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9802048"/>
        <c:axId val="1586749600"/>
      </c:scatterChart>
      <c:valAx>
        <c:axId val="1619802048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</a:t>
                </a:r>
                <a:r>
                  <a:rPr lang="ru-RU" baseline="0"/>
                  <a:t> атм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6749600"/>
        <c:crosses val="autoZero"/>
        <c:crossBetween val="midCat"/>
      </c:valAx>
      <c:valAx>
        <c:axId val="1586749600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Расстояние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198020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exercise_MF1!$M$40</c:f>
          <c:strCache>
            <c:ptCount val="1"/>
            <c:pt idx="0">
              <c:v>Расчет 2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exercise_MF1!$P$43</c:f>
              <c:strCache>
                <c:ptCount val="1"/>
                <c:pt idx="0">
                  <c:v>p,atma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exercise_MF1!$N$44:$N$63</c:f>
              <c:numCache>
                <c:formatCode>0</c:formatCode>
                <c:ptCount val="20"/>
                <c:pt idx="0">
                  <c:v>0</c:v>
                </c:pt>
                <c:pt idx="1">
                  <c:v>52.631578947368418</c:v>
                </c:pt>
                <c:pt idx="2">
                  <c:v>105.26315789473684</c:v>
                </c:pt>
                <c:pt idx="3">
                  <c:v>157.89473684210526</c:v>
                </c:pt>
                <c:pt idx="4">
                  <c:v>210.52631578947367</c:v>
                </c:pt>
                <c:pt idx="5">
                  <c:v>263.15789473684208</c:v>
                </c:pt>
                <c:pt idx="6">
                  <c:v>315.78947368421052</c:v>
                </c:pt>
                <c:pt idx="7">
                  <c:v>368.4210526315789</c:v>
                </c:pt>
                <c:pt idx="8">
                  <c:v>421.05263157894734</c:v>
                </c:pt>
                <c:pt idx="9">
                  <c:v>473.68421052631578</c:v>
                </c:pt>
                <c:pt idx="10">
                  <c:v>526.31578947368416</c:v>
                </c:pt>
                <c:pt idx="11">
                  <c:v>578.9473684210526</c:v>
                </c:pt>
                <c:pt idx="12">
                  <c:v>631.57894736842104</c:v>
                </c:pt>
                <c:pt idx="13">
                  <c:v>684.21052631578948</c:v>
                </c:pt>
                <c:pt idx="14">
                  <c:v>736.8421052631578</c:v>
                </c:pt>
                <c:pt idx="15">
                  <c:v>789.47368421052624</c:v>
                </c:pt>
                <c:pt idx="16">
                  <c:v>842.10526315789468</c:v>
                </c:pt>
                <c:pt idx="17">
                  <c:v>894.73684210526312</c:v>
                </c:pt>
                <c:pt idx="18">
                  <c:v>947.36842105263156</c:v>
                </c:pt>
                <c:pt idx="19">
                  <c:v>1000</c:v>
                </c:pt>
              </c:numCache>
            </c:numRef>
          </c:xVal>
          <c:yVal>
            <c:numRef>
              <c:f>exercise_MF1!$P$44:$P$63</c:f>
              <c:numCache>
                <c:formatCode>0</c:formatCode>
                <c:ptCount val="20"/>
                <c:pt idx="0">
                  <c:v>18.873555042948787</c:v>
                </c:pt>
                <c:pt idx="1">
                  <c:v>23.211085651352406</c:v>
                </c:pt>
                <c:pt idx="2">
                  <c:v>27.550586672602424</c:v>
                </c:pt>
                <c:pt idx="3">
                  <c:v>31.907821409470056</c:v>
                </c:pt>
                <c:pt idx="4">
                  <c:v>36.26047841670529</c:v>
                </c:pt>
                <c:pt idx="5">
                  <c:v>40.594824505410919</c:v>
                </c:pt>
                <c:pt idx="6">
                  <c:v>44.922095802414368</c:v>
                </c:pt>
                <c:pt idx="7">
                  <c:v>49.232859252112718</c:v>
                </c:pt>
                <c:pt idx="8">
                  <c:v>53.534019781851079</c:v>
                </c:pt>
                <c:pt idx="9">
                  <c:v>57.820775931649436</c:v>
                </c:pt>
                <c:pt idx="10">
                  <c:v>62.095422854687783</c:v>
                </c:pt>
                <c:pt idx="11">
                  <c:v>66.357960550966126</c:v>
                </c:pt>
                <c:pt idx="12">
                  <c:v>70.605941937962371</c:v>
                </c:pt>
                <c:pt idx="13">
                  <c:v>74.844219118770553</c:v>
                </c:pt>
                <c:pt idx="14">
                  <c:v>79.065577921151259</c:v>
                </c:pt>
                <c:pt idx="15">
                  <c:v>83.279685989920196</c:v>
                </c:pt>
                <c:pt idx="16">
                  <c:v>87.474615691525159</c:v>
                </c:pt>
                <c:pt idx="17">
                  <c:v>91.664750801339125</c:v>
                </c:pt>
                <c:pt idx="18">
                  <c:v>95.833560164379222</c:v>
                </c:pt>
                <c:pt idx="19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062-49A5-9E52-A60AC3004C27}"/>
            </c:ext>
          </c:extLst>
        </c:ser>
        <c:ser>
          <c:idx val="4"/>
          <c:order val="2"/>
          <c:tx>
            <c:strRef>
              <c:f>exercise_MF1!$T$43</c:f>
              <c:strCache>
                <c:ptCount val="1"/>
                <c:pt idx="0">
                  <c:v>t_amb, C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exercise_MF1!$N$44:$N$63</c:f>
              <c:numCache>
                <c:formatCode>0</c:formatCode>
                <c:ptCount val="20"/>
                <c:pt idx="0">
                  <c:v>0</c:v>
                </c:pt>
                <c:pt idx="1">
                  <c:v>52.631578947368418</c:v>
                </c:pt>
                <c:pt idx="2">
                  <c:v>105.26315789473684</c:v>
                </c:pt>
                <c:pt idx="3">
                  <c:v>157.89473684210526</c:v>
                </c:pt>
                <c:pt idx="4">
                  <c:v>210.52631578947367</c:v>
                </c:pt>
                <c:pt idx="5">
                  <c:v>263.15789473684208</c:v>
                </c:pt>
                <c:pt idx="6">
                  <c:v>315.78947368421052</c:v>
                </c:pt>
                <c:pt idx="7">
                  <c:v>368.4210526315789</c:v>
                </c:pt>
                <c:pt idx="8">
                  <c:v>421.05263157894734</c:v>
                </c:pt>
                <c:pt idx="9">
                  <c:v>473.68421052631578</c:v>
                </c:pt>
                <c:pt idx="10">
                  <c:v>526.31578947368416</c:v>
                </c:pt>
                <c:pt idx="11">
                  <c:v>578.9473684210526</c:v>
                </c:pt>
                <c:pt idx="12">
                  <c:v>631.57894736842104</c:v>
                </c:pt>
                <c:pt idx="13">
                  <c:v>684.21052631578948</c:v>
                </c:pt>
                <c:pt idx="14">
                  <c:v>736.8421052631578</c:v>
                </c:pt>
                <c:pt idx="15">
                  <c:v>789.47368421052624</c:v>
                </c:pt>
                <c:pt idx="16">
                  <c:v>842.10526315789468</c:v>
                </c:pt>
                <c:pt idx="17">
                  <c:v>894.73684210526312</c:v>
                </c:pt>
                <c:pt idx="18">
                  <c:v>947.36842105263156</c:v>
                </c:pt>
                <c:pt idx="19">
                  <c:v>1000</c:v>
                </c:pt>
              </c:numCache>
            </c:numRef>
          </c:xVal>
          <c:yVal>
            <c:numRef>
              <c:f>exercise_MF1!$T$44:$T$63</c:f>
              <c:numCache>
                <c:formatCode>0</c:formatCode>
                <c:ptCount val="20"/>
                <c:pt idx="0">
                  <c:v>40</c:v>
                </c:pt>
                <c:pt idx="1">
                  <c:v>42.10526315789474</c:v>
                </c:pt>
                <c:pt idx="2">
                  <c:v>44.210526315789473</c:v>
                </c:pt>
                <c:pt idx="3">
                  <c:v>46.315789473684212</c:v>
                </c:pt>
                <c:pt idx="4">
                  <c:v>48.421052631578945</c:v>
                </c:pt>
                <c:pt idx="5">
                  <c:v>50.526315789473685</c:v>
                </c:pt>
                <c:pt idx="6">
                  <c:v>52.631578947368418</c:v>
                </c:pt>
                <c:pt idx="7">
                  <c:v>54.736842105263158</c:v>
                </c:pt>
                <c:pt idx="8">
                  <c:v>56.84210526315789</c:v>
                </c:pt>
                <c:pt idx="9">
                  <c:v>58.94736842105263</c:v>
                </c:pt>
                <c:pt idx="10">
                  <c:v>61.05263157894737</c:v>
                </c:pt>
                <c:pt idx="11">
                  <c:v>63.157894736842103</c:v>
                </c:pt>
                <c:pt idx="12">
                  <c:v>65.263157894736835</c:v>
                </c:pt>
                <c:pt idx="13">
                  <c:v>67.368421052631575</c:v>
                </c:pt>
                <c:pt idx="14">
                  <c:v>69.473684210526315</c:v>
                </c:pt>
                <c:pt idx="15">
                  <c:v>71.578947368421055</c:v>
                </c:pt>
                <c:pt idx="16">
                  <c:v>73.68421052631578</c:v>
                </c:pt>
                <c:pt idx="17">
                  <c:v>75.78947368421052</c:v>
                </c:pt>
                <c:pt idx="18">
                  <c:v>77.89473684210526</c:v>
                </c:pt>
                <c:pt idx="19">
                  <c:v>80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062-49A5-9E52-A60AC3004C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2867680"/>
        <c:axId val="1586759168"/>
      </c:scatterChart>
      <c:scatterChart>
        <c:scatterStyle val="smoothMarker"/>
        <c:varyColors val="0"/>
        <c:ser>
          <c:idx val="2"/>
          <c:order val="1"/>
          <c:tx>
            <c:strRef>
              <c:f>exercise_MF1!$R$43</c:f>
              <c:strCache>
                <c:ptCount val="1"/>
                <c:pt idx="0">
                  <c:v>Hl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exercise_MF1!$N$44:$N$63</c:f>
              <c:numCache>
                <c:formatCode>0</c:formatCode>
                <c:ptCount val="20"/>
                <c:pt idx="0">
                  <c:v>0</c:v>
                </c:pt>
                <c:pt idx="1">
                  <c:v>52.631578947368418</c:v>
                </c:pt>
                <c:pt idx="2">
                  <c:v>105.26315789473684</c:v>
                </c:pt>
                <c:pt idx="3">
                  <c:v>157.89473684210526</c:v>
                </c:pt>
                <c:pt idx="4">
                  <c:v>210.52631578947367</c:v>
                </c:pt>
                <c:pt idx="5">
                  <c:v>263.15789473684208</c:v>
                </c:pt>
                <c:pt idx="6">
                  <c:v>315.78947368421052</c:v>
                </c:pt>
                <c:pt idx="7">
                  <c:v>368.4210526315789</c:v>
                </c:pt>
                <c:pt idx="8">
                  <c:v>421.05263157894734</c:v>
                </c:pt>
                <c:pt idx="9">
                  <c:v>473.68421052631578</c:v>
                </c:pt>
                <c:pt idx="10">
                  <c:v>526.31578947368416</c:v>
                </c:pt>
                <c:pt idx="11">
                  <c:v>578.9473684210526</c:v>
                </c:pt>
                <c:pt idx="12">
                  <c:v>631.57894736842104</c:v>
                </c:pt>
                <c:pt idx="13">
                  <c:v>684.21052631578948</c:v>
                </c:pt>
                <c:pt idx="14">
                  <c:v>736.8421052631578</c:v>
                </c:pt>
                <c:pt idx="15">
                  <c:v>789.47368421052624</c:v>
                </c:pt>
                <c:pt idx="16">
                  <c:v>842.10526315789468</c:v>
                </c:pt>
                <c:pt idx="17">
                  <c:v>894.73684210526312</c:v>
                </c:pt>
                <c:pt idx="18">
                  <c:v>947.36842105263156</c:v>
                </c:pt>
                <c:pt idx="19">
                  <c:v>1000</c:v>
                </c:pt>
              </c:numCache>
            </c:numRef>
          </c:xVal>
          <c:yVal>
            <c:numRef>
              <c:f>exercise_MF1!$R$44:$R$63</c:f>
              <c:numCache>
                <c:formatCode>0.00</c:formatCode>
                <c:ptCount val="20"/>
                <c:pt idx="0">
                  <c:v>0.94080443825053661</c:v>
                </c:pt>
                <c:pt idx="1">
                  <c:v>0.97195999706604363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062-49A5-9E52-A60AC3004C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6756256"/>
        <c:axId val="1586755424"/>
      </c:scatterChart>
      <c:valAx>
        <c:axId val="1612867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6759168"/>
        <c:crosses val="autoZero"/>
        <c:crossBetween val="midCat"/>
      </c:valAx>
      <c:valAx>
        <c:axId val="1586759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12867680"/>
        <c:crosses val="autoZero"/>
        <c:crossBetween val="midCat"/>
      </c:valAx>
      <c:valAx>
        <c:axId val="1586755424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6756256"/>
        <c:crosses val="max"/>
        <c:crossBetween val="midCat"/>
      </c:valAx>
      <c:valAx>
        <c:axId val="1586756256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5867554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давления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exercise_MF1!$C$40</c:f>
              <c:strCache>
                <c:ptCount val="1"/>
                <c:pt idx="0">
                  <c:v>Расчет 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exercise_MF1!$F$44:$F$63</c:f>
              <c:numCache>
                <c:formatCode>0.0</c:formatCode>
                <c:ptCount val="20"/>
                <c:pt idx="0">
                  <c:v>26</c:v>
                </c:pt>
                <c:pt idx="1">
                  <c:v>30.369278825764006</c:v>
                </c:pt>
                <c:pt idx="2">
                  <c:v>34.736265936896757</c:v>
                </c:pt>
                <c:pt idx="3">
                  <c:v>39.082627616348155</c:v>
                </c:pt>
                <c:pt idx="4">
                  <c:v>43.424248825827028</c:v>
                </c:pt>
                <c:pt idx="5">
                  <c:v>47.74690815541576</c:v>
                </c:pt>
                <c:pt idx="6">
                  <c:v>52.062309266978488</c:v>
                </c:pt>
                <c:pt idx="7">
                  <c:v>56.360774536480548</c:v>
                </c:pt>
                <c:pt idx="8">
                  <c:v>60.649458380000759</c:v>
                </c:pt>
                <c:pt idx="9">
                  <c:v>64.923470084548171</c:v>
                </c:pt>
                <c:pt idx="10">
                  <c:v>69.185217045924105</c:v>
                </c:pt>
                <c:pt idx="11">
                  <c:v>73.434699264128554</c:v>
                </c:pt>
                <c:pt idx="12">
                  <c:v>77.669505060698555</c:v>
                </c:pt>
                <c:pt idx="13">
                  <c:v>81.894526576178947</c:v>
                </c:pt>
                <c:pt idx="14">
                  <c:v>86.102553170684757</c:v>
                </c:pt>
                <c:pt idx="15">
                  <c:v>90.303296227630028</c:v>
                </c:pt>
                <c:pt idx="16">
                  <c:v>94.484832926171393</c:v>
                </c:pt>
                <c:pt idx="17">
                  <c:v>98.66156803511177</c:v>
                </c:pt>
                <c:pt idx="18">
                  <c:v>102.81700056604686</c:v>
                </c:pt>
                <c:pt idx="19">
                  <c:v>106.97006614387026</c:v>
                </c:pt>
              </c:numCache>
            </c:numRef>
          </c:xVal>
          <c:yVal>
            <c:numRef>
              <c:f>exercise_MF1!$D$44:$D$63</c:f>
              <c:numCache>
                <c:formatCode>0</c:formatCode>
                <c:ptCount val="20"/>
                <c:pt idx="0">
                  <c:v>0</c:v>
                </c:pt>
                <c:pt idx="1">
                  <c:v>52.631578947368418</c:v>
                </c:pt>
                <c:pt idx="2">
                  <c:v>105.26315789473684</c:v>
                </c:pt>
                <c:pt idx="3">
                  <c:v>157.89473684210526</c:v>
                </c:pt>
                <c:pt idx="4">
                  <c:v>210.52631578947367</c:v>
                </c:pt>
                <c:pt idx="5">
                  <c:v>263.15789473684208</c:v>
                </c:pt>
                <c:pt idx="6">
                  <c:v>315.78947368421052</c:v>
                </c:pt>
                <c:pt idx="7">
                  <c:v>368.4210526315789</c:v>
                </c:pt>
                <c:pt idx="8">
                  <c:v>421.05263157894734</c:v>
                </c:pt>
                <c:pt idx="9">
                  <c:v>473.68421052631578</c:v>
                </c:pt>
                <c:pt idx="10">
                  <c:v>526.31578947368416</c:v>
                </c:pt>
                <c:pt idx="11">
                  <c:v>578.9473684210526</c:v>
                </c:pt>
                <c:pt idx="12">
                  <c:v>631.57894736842104</c:v>
                </c:pt>
                <c:pt idx="13">
                  <c:v>684.21052631578948</c:v>
                </c:pt>
                <c:pt idx="14">
                  <c:v>736.8421052631578</c:v>
                </c:pt>
                <c:pt idx="15">
                  <c:v>789.47368421052624</c:v>
                </c:pt>
                <c:pt idx="16">
                  <c:v>842.10526315789468</c:v>
                </c:pt>
                <c:pt idx="17">
                  <c:v>894.73684210526312</c:v>
                </c:pt>
                <c:pt idx="18">
                  <c:v>947.36842105263156</c:v>
                </c:pt>
                <c:pt idx="19">
                  <c:v>1000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0C8-4287-A5D4-174B30CEEB22}"/>
            </c:ext>
          </c:extLst>
        </c:ser>
        <c:ser>
          <c:idx val="1"/>
          <c:order val="1"/>
          <c:tx>
            <c:strRef>
              <c:f>exercise_MF1!$M$40</c:f>
              <c:strCache>
                <c:ptCount val="1"/>
                <c:pt idx="0">
                  <c:v>Расчет 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exercise_MF1!$P$44:$P$63</c:f>
              <c:numCache>
                <c:formatCode>0</c:formatCode>
                <c:ptCount val="20"/>
                <c:pt idx="0">
                  <c:v>18.873555042948787</c:v>
                </c:pt>
                <c:pt idx="1">
                  <c:v>23.211085651352406</c:v>
                </c:pt>
                <c:pt idx="2">
                  <c:v>27.550586672602424</c:v>
                </c:pt>
                <c:pt idx="3">
                  <c:v>31.907821409470056</c:v>
                </c:pt>
                <c:pt idx="4">
                  <c:v>36.26047841670529</c:v>
                </c:pt>
                <c:pt idx="5">
                  <c:v>40.594824505410919</c:v>
                </c:pt>
                <c:pt idx="6">
                  <c:v>44.922095802414368</c:v>
                </c:pt>
                <c:pt idx="7">
                  <c:v>49.232859252112718</c:v>
                </c:pt>
                <c:pt idx="8">
                  <c:v>53.534019781851079</c:v>
                </c:pt>
                <c:pt idx="9">
                  <c:v>57.820775931649436</c:v>
                </c:pt>
                <c:pt idx="10">
                  <c:v>62.095422854687783</c:v>
                </c:pt>
                <c:pt idx="11">
                  <c:v>66.357960550966126</c:v>
                </c:pt>
                <c:pt idx="12">
                  <c:v>70.605941937962371</c:v>
                </c:pt>
                <c:pt idx="13">
                  <c:v>74.844219118770553</c:v>
                </c:pt>
                <c:pt idx="14">
                  <c:v>79.065577921151259</c:v>
                </c:pt>
                <c:pt idx="15">
                  <c:v>83.279685989920196</c:v>
                </c:pt>
                <c:pt idx="16">
                  <c:v>87.474615691525159</c:v>
                </c:pt>
                <c:pt idx="17">
                  <c:v>91.664750801339125</c:v>
                </c:pt>
                <c:pt idx="18">
                  <c:v>95.833560164379222</c:v>
                </c:pt>
                <c:pt idx="19">
                  <c:v>100</c:v>
                </c:pt>
              </c:numCache>
            </c:numRef>
          </c:xVal>
          <c:yVal>
            <c:numRef>
              <c:f>exercise_MF1!$N$44:$N$63</c:f>
              <c:numCache>
                <c:formatCode>0</c:formatCode>
                <c:ptCount val="20"/>
                <c:pt idx="0">
                  <c:v>0</c:v>
                </c:pt>
                <c:pt idx="1">
                  <c:v>52.631578947368418</c:v>
                </c:pt>
                <c:pt idx="2">
                  <c:v>105.26315789473684</c:v>
                </c:pt>
                <c:pt idx="3">
                  <c:v>157.89473684210526</c:v>
                </c:pt>
                <c:pt idx="4">
                  <c:v>210.52631578947367</c:v>
                </c:pt>
                <c:pt idx="5">
                  <c:v>263.15789473684208</c:v>
                </c:pt>
                <c:pt idx="6">
                  <c:v>315.78947368421052</c:v>
                </c:pt>
                <c:pt idx="7">
                  <c:v>368.4210526315789</c:v>
                </c:pt>
                <c:pt idx="8">
                  <c:v>421.05263157894734</c:v>
                </c:pt>
                <c:pt idx="9">
                  <c:v>473.68421052631578</c:v>
                </c:pt>
                <c:pt idx="10">
                  <c:v>526.31578947368416</c:v>
                </c:pt>
                <c:pt idx="11">
                  <c:v>578.9473684210526</c:v>
                </c:pt>
                <c:pt idx="12">
                  <c:v>631.57894736842104</c:v>
                </c:pt>
                <c:pt idx="13">
                  <c:v>684.21052631578948</c:v>
                </c:pt>
                <c:pt idx="14">
                  <c:v>736.8421052631578</c:v>
                </c:pt>
                <c:pt idx="15">
                  <c:v>789.47368421052624</c:v>
                </c:pt>
                <c:pt idx="16">
                  <c:v>842.10526315789468</c:v>
                </c:pt>
                <c:pt idx="17">
                  <c:v>894.73684210526312</c:v>
                </c:pt>
                <c:pt idx="18">
                  <c:v>947.36842105263156</c:v>
                </c:pt>
                <c:pt idx="19">
                  <c:v>1000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0C8-4287-A5D4-174B30CEEB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9802048"/>
        <c:axId val="1586749600"/>
      </c:scatterChart>
      <c:valAx>
        <c:axId val="1619802048"/>
        <c:scaling>
          <c:orientation val="minMax"/>
          <c:max val="350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</a:t>
                </a:r>
                <a:r>
                  <a:rPr lang="ru-RU" baseline="0"/>
                  <a:t> атм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6749600"/>
        <c:crosses val="autoZero"/>
        <c:crossBetween val="midCat"/>
      </c:valAx>
      <c:valAx>
        <c:axId val="1586749600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Расстояние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198020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температуры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exercise_MF1!$C$40</c:f>
              <c:strCache>
                <c:ptCount val="1"/>
                <c:pt idx="0">
                  <c:v>Расчет 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exercise_MF1!$G$44:$G$63</c:f>
              <c:numCache>
                <c:formatCode>0</c:formatCode>
                <c:ptCount val="20"/>
                <c:pt idx="0">
                  <c:v>40</c:v>
                </c:pt>
                <c:pt idx="1">
                  <c:v>42.10526315789474</c:v>
                </c:pt>
                <c:pt idx="2">
                  <c:v>44.210526315789473</c:v>
                </c:pt>
                <c:pt idx="3">
                  <c:v>46.315789473684212</c:v>
                </c:pt>
                <c:pt idx="4">
                  <c:v>48.421052631578945</c:v>
                </c:pt>
                <c:pt idx="5">
                  <c:v>50.526315789473685</c:v>
                </c:pt>
                <c:pt idx="6">
                  <c:v>52.631578947368418</c:v>
                </c:pt>
                <c:pt idx="7">
                  <c:v>54.736842105263158</c:v>
                </c:pt>
                <c:pt idx="8">
                  <c:v>56.84210526315789</c:v>
                </c:pt>
                <c:pt idx="9">
                  <c:v>58.94736842105263</c:v>
                </c:pt>
                <c:pt idx="10">
                  <c:v>61.05263157894737</c:v>
                </c:pt>
                <c:pt idx="11">
                  <c:v>63.157894736842103</c:v>
                </c:pt>
                <c:pt idx="12">
                  <c:v>65.263157894736835</c:v>
                </c:pt>
                <c:pt idx="13">
                  <c:v>67.368421052631575</c:v>
                </c:pt>
                <c:pt idx="14">
                  <c:v>69.473684210526315</c:v>
                </c:pt>
                <c:pt idx="15">
                  <c:v>71.578947368421055</c:v>
                </c:pt>
                <c:pt idx="16">
                  <c:v>73.68421052631578</c:v>
                </c:pt>
                <c:pt idx="17">
                  <c:v>75.78947368421052</c:v>
                </c:pt>
                <c:pt idx="18">
                  <c:v>77.89473684210526</c:v>
                </c:pt>
                <c:pt idx="19">
                  <c:v>80</c:v>
                </c:pt>
              </c:numCache>
            </c:numRef>
          </c:xVal>
          <c:yVal>
            <c:numRef>
              <c:f>exercise_MF1!$D$44:$D$63</c:f>
              <c:numCache>
                <c:formatCode>0</c:formatCode>
                <c:ptCount val="20"/>
                <c:pt idx="0">
                  <c:v>0</c:v>
                </c:pt>
                <c:pt idx="1">
                  <c:v>52.631578947368418</c:v>
                </c:pt>
                <c:pt idx="2">
                  <c:v>105.26315789473684</c:v>
                </c:pt>
                <c:pt idx="3">
                  <c:v>157.89473684210526</c:v>
                </c:pt>
                <c:pt idx="4">
                  <c:v>210.52631578947367</c:v>
                </c:pt>
                <c:pt idx="5">
                  <c:v>263.15789473684208</c:v>
                </c:pt>
                <c:pt idx="6">
                  <c:v>315.78947368421052</c:v>
                </c:pt>
                <c:pt idx="7">
                  <c:v>368.4210526315789</c:v>
                </c:pt>
                <c:pt idx="8">
                  <c:v>421.05263157894734</c:v>
                </c:pt>
                <c:pt idx="9">
                  <c:v>473.68421052631578</c:v>
                </c:pt>
                <c:pt idx="10">
                  <c:v>526.31578947368416</c:v>
                </c:pt>
                <c:pt idx="11">
                  <c:v>578.9473684210526</c:v>
                </c:pt>
                <c:pt idx="12">
                  <c:v>631.57894736842104</c:v>
                </c:pt>
                <c:pt idx="13">
                  <c:v>684.21052631578948</c:v>
                </c:pt>
                <c:pt idx="14">
                  <c:v>736.8421052631578</c:v>
                </c:pt>
                <c:pt idx="15">
                  <c:v>789.47368421052624</c:v>
                </c:pt>
                <c:pt idx="16">
                  <c:v>842.10526315789468</c:v>
                </c:pt>
                <c:pt idx="17">
                  <c:v>894.73684210526312</c:v>
                </c:pt>
                <c:pt idx="18">
                  <c:v>947.36842105263156</c:v>
                </c:pt>
                <c:pt idx="19">
                  <c:v>1000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B0E-457F-8188-33A7B5D6323B}"/>
            </c:ext>
          </c:extLst>
        </c:ser>
        <c:ser>
          <c:idx val="1"/>
          <c:order val="1"/>
          <c:tx>
            <c:strRef>
              <c:f>exercise_MF1!$M$40</c:f>
              <c:strCache>
                <c:ptCount val="1"/>
                <c:pt idx="0">
                  <c:v>Расчет 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exercise_MF1!$Q$44:$Q$63</c:f>
              <c:numCache>
                <c:formatCode>0</c:formatCode>
                <c:ptCount val="20"/>
                <c:pt idx="0">
                  <c:v>40</c:v>
                </c:pt>
                <c:pt idx="1">
                  <c:v>42.10526315789474</c:v>
                </c:pt>
                <c:pt idx="2">
                  <c:v>44.210526315789473</c:v>
                </c:pt>
                <c:pt idx="3">
                  <c:v>46.315789473684212</c:v>
                </c:pt>
                <c:pt idx="4">
                  <c:v>48.421052631578945</c:v>
                </c:pt>
                <c:pt idx="5">
                  <c:v>50.526315789473685</c:v>
                </c:pt>
                <c:pt idx="6">
                  <c:v>52.631578947368418</c:v>
                </c:pt>
                <c:pt idx="7">
                  <c:v>54.736842105263158</c:v>
                </c:pt>
                <c:pt idx="8">
                  <c:v>56.84210526315789</c:v>
                </c:pt>
                <c:pt idx="9">
                  <c:v>58.94736842105263</c:v>
                </c:pt>
                <c:pt idx="10">
                  <c:v>61.05263157894737</c:v>
                </c:pt>
                <c:pt idx="11">
                  <c:v>63.157894736842103</c:v>
                </c:pt>
                <c:pt idx="12">
                  <c:v>65.263157894736835</c:v>
                </c:pt>
                <c:pt idx="13">
                  <c:v>67.368421052631575</c:v>
                </c:pt>
                <c:pt idx="14">
                  <c:v>69.473684210526315</c:v>
                </c:pt>
                <c:pt idx="15">
                  <c:v>71.578947368421055</c:v>
                </c:pt>
                <c:pt idx="16">
                  <c:v>73.68421052631578</c:v>
                </c:pt>
                <c:pt idx="17">
                  <c:v>75.78947368421052</c:v>
                </c:pt>
                <c:pt idx="18">
                  <c:v>77.89473684210526</c:v>
                </c:pt>
                <c:pt idx="19">
                  <c:v>80</c:v>
                </c:pt>
              </c:numCache>
            </c:numRef>
          </c:xVal>
          <c:yVal>
            <c:numRef>
              <c:f>exercise_MF1!$N$44:$N$63</c:f>
              <c:numCache>
                <c:formatCode>0</c:formatCode>
                <c:ptCount val="20"/>
                <c:pt idx="0">
                  <c:v>0</c:v>
                </c:pt>
                <c:pt idx="1">
                  <c:v>52.631578947368418</c:v>
                </c:pt>
                <c:pt idx="2">
                  <c:v>105.26315789473684</c:v>
                </c:pt>
                <c:pt idx="3">
                  <c:v>157.89473684210526</c:v>
                </c:pt>
                <c:pt idx="4">
                  <c:v>210.52631578947367</c:v>
                </c:pt>
                <c:pt idx="5">
                  <c:v>263.15789473684208</c:v>
                </c:pt>
                <c:pt idx="6">
                  <c:v>315.78947368421052</c:v>
                </c:pt>
                <c:pt idx="7">
                  <c:v>368.4210526315789</c:v>
                </c:pt>
                <c:pt idx="8">
                  <c:v>421.05263157894734</c:v>
                </c:pt>
                <c:pt idx="9">
                  <c:v>473.68421052631578</c:v>
                </c:pt>
                <c:pt idx="10">
                  <c:v>526.31578947368416</c:v>
                </c:pt>
                <c:pt idx="11">
                  <c:v>578.9473684210526</c:v>
                </c:pt>
                <c:pt idx="12">
                  <c:v>631.57894736842104</c:v>
                </c:pt>
                <c:pt idx="13">
                  <c:v>684.21052631578948</c:v>
                </c:pt>
                <c:pt idx="14">
                  <c:v>736.8421052631578</c:v>
                </c:pt>
                <c:pt idx="15">
                  <c:v>789.47368421052624</c:v>
                </c:pt>
                <c:pt idx="16">
                  <c:v>842.10526315789468</c:v>
                </c:pt>
                <c:pt idx="17">
                  <c:v>894.73684210526312</c:v>
                </c:pt>
                <c:pt idx="18">
                  <c:v>947.36842105263156</c:v>
                </c:pt>
                <c:pt idx="19">
                  <c:v>1000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B0E-457F-8188-33A7B5D632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9802048"/>
        <c:axId val="1586749600"/>
      </c:scatterChart>
      <c:valAx>
        <c:axId val="1619802048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</a:t>
                </a:r>
                <a:r>
                  <a:rPr lang="ru-RU" baseline="0"/>
                  <a:t> атм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6749600"/>
        <c:crosses val="autoZero"/>
        <c:crossBetween val="midCat"/>
      </c:valAx>
      <c:valAx>
        <c:axId val="1586749600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Расстояние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198020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png"/><Relationship Id="rId3" Type="http://schemas.openxmlformats.org/officeDocument/2006/relationships/chart" Target="../charts/chart3.xml"/><Relationship Id="rId7" Type="http://schemas.openxmlformats.org/officeDocument/2006/relationships/customXml" Target="../ink/ink1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image" Target="../media/image3.png"/><Relationship Id="rId5" Type="http://schemas.openxmlformats.org/officeDocument/2006/relationships/chart" Target="../charts/chart5.xml"/><Relationship Id="rId10" Type="http://schemas.openxmlformats.org/officeDocument/2006/relationships/image" Target="../media/image2.png"/><Relationship Id="rId4" Type="http://schemas.openxmlformats.org/officeDocument/2006/relationships/chart" Target="../charts/chart4.xml"/><Relationship Id="rId9" Type="http://schemas.openxmlformats.org/officeDocument/2006/relationships/customXml" Target="../ink/ink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487006</xdr:colOff>
      <xdr:row>0</xdr:row>
      <xdr:rowOff>0</xdr:rowOff>
    </xdr:from>
    <xdr:to>
      <xdr:col>13</xdr:col>
      <xdr:colOff>504826</xdr:colOff>
      <xdr:row>14</xdr:row>
      <xdr:rowOff>209551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720E616D-97AC-4AA3-BEFD-85B1B11C63A6}"/>
            </a:ext>
          </a:extLst>
        </xdr:cNvPr>
        <xdr:cNvSpPr txBox="1"/>
      </xdr:nvSpPr>
      <xdr:spPr>
        <a:xfrm>
          <a:off x="4935741" y="0"/>
          <a:ext cx="4892379" cy="2842933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Упражнение показывает расчет потока через трубу. Расчет может проводится в нескольких вариантах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относительно потока.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Выполните следующие задания.</a:t>
          </a:r>
          <a:endParaRPr lang="ru-RU">
            <a:effectLst/>
          </a:endParaRPr>
        </a:p>
        <a:p>
          <a:pPr marL="0" indent="0">
            <a:buFont typeface="Arial" panose="020B0604020202020204" pitchFamily="34" charset="0"/>
            <a:buNone/>
          </a:pPr>
          <a:endParaRPr lang="en-US" sz="1100" baseline="0"/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Постройте зависимость распределение давления в трубе снизу вверх и сверху вниз</a:t>
          </a:r>
          <a:endParaRPr lang="en-US" sz="1100" baseline="0"/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Попробуйте подобрать параметры расчета так, чтобы кривые расчета в разных направлениях совпали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Рассчитайте параметры для согласования расчетов с использованием функции калибровки расчета</a:t>
          </a:r>
        </a:p>
        <a:p>
          <a:pPr marL="171450" indent="-171450">
            <a:buFont typeface="Arial" panose="020B0604020202020204" pitchFamily="34" charset="0"/>
            <a:buChar char="•"/>
          </a:pPr>
          <a:endParaRPr lang="en-US" sz="1100"/>
        </a:p>
        <a:p>
          <a:r>
            <a:rPr lang="ru-RU" sz="1100"/>
            <a:t>Используйте</a:t>
          </a:r>
          <a:r>
            <a:rPr lang="ru-RU" sz="1100" baseline="0"/>
            <a:t> функции</a:t>
          </a:r>
        </a:p>
        <a:p>
          <a:endParaRPr lang="en-US" sz="110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MF_p_pipe_atma</a:t>
          </a: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MF_calibr_pipe</a:t>
          </a:r>
        </a:p>
        <a:p>
          <a:endParaRPr lang="ru-RU" sz="1100" baseline="0"/>
        </a:p>
        <a:p>
          <a:endParaRPr lang="ru-RU" sz="1100" baseline="0"/>
        </a:p>
        <a:p>
          <a:endParaRPr lang="ru-RU" sz="1100" baseline="0"/>
        </a:p>
      </xdr:txBody>
    </xdr:sp>
    <xdr:clientData/>
  </xdr:twoCellAnchor>
  <xdr:oneCellAnchor>
    <xdr:from>
      <xdr:col>18</xdr:col>
      <xdr:colOff>352425</xdr:colOff>
      <xdr:row>11</xdr:row>
      <xdr:rowOff>219075</xdr:rowOff>
    </xdr:from>
    <xdr:ext cx="184731" cy="264560"/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23BA9531-8276-4BA5-8337-4BF3AECB354C}"/>
            </a:ext>
          </a:extLst>
        </xdr:cNvPr>
        <xdr:cNvSpPr txBox="1"/>
      </xdr:nvSpPr>
      <xdr:spPr>
        <a:xfrm>
          <a:off x="11906250" y="21812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17</xdr:col>
      <xdr:colOff>57150</xdr:colOff>
      <xdr:row>15</xdr:row>
      <xdr:rowOff>133350</xdr:rowOff>
    </xdr:from>
    <xdr:ext cx="184731" cy="264560"/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993159D0-0C84-41C5-8EC9-9EA6EB3AF5FB}"/>
            </a:ext>
          </a:extLst>
        </xdr:cNvPr>
        <xdr:cNvSpPr txBox="1"/>
      </xdr:nvSpPr>
      <xdr:spPr>
        <a:xfrm>
          <a:off x="11001375" y="304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twoCellAnchor>
    <xdr:from>
      <xdr:col>28</xdr:col>
      <xdr:colOff>395007</xdr:colOff>
      <xdr:row>6</xdr:row>
      <xdr:rowOff>95536</xdr:rowOff>
    </xdr:from>
    <xdr:to>
      <xdr:col>34</xdr:col>
      <xdr:colOff>161924</xdr:colOff>
      <xdr:row>28</xdr:row>
      <xdr:rowOff>146999</xdr:rowOff>
    </xdr:to>
    <xdr:grpSp>
      <xdr:nvGrpSpPr>
        <xdr:cNvPr id="231" name="Группа 230">
          <a:extLst>
            <a:ext uri="{FF2B5EF4-FFF2-40B4-BE49-F238E27FC236}">
              <a16:creationId xmlns:a16="http://schemas.microsoft.com/office/drawing/2014/main" id="{F9F26007-5F8A-473E-B215-F12D03F40502}"/>
            </a:ext>
          </a:extLst>
        </xdr:cNvPr>
        <xdr:cNvGrpSpPr/>
      </xdr:nvGrpSpPr>
      <xdr:grpSpPr>
        <a:xfrm>
          <a:off x="17360713" y="1137683"/>
          <a:ext cx="3397623" cy="4623463"/>
          <a:chOff x="14011276" y="1699098"/>
          <a:chExt cx="3295650" cy="4682854"/>
        </a:xfrm>
      </xdr:grpSpPr>
      <xdr:sp macro="" textlink="">
        <xdr:nvSpPr>
          <xdr:cNvPr id="2" name="Прямоугольник 1">
            <a:extLst>
              <a:ext uri="{FF2B5EF4-FFF2-40B4-BE49-F238E27FC236}">
                <a16:creationId xmlns:a16="http://schemas.microsoft.com/office/drawing/2014/main" id="{DA348F33-32FD-48F8-BC5C-785B9B763BAA}"/>
              </a:ext>
            </a:extLst>
          </xdr:cNvPr>
          <xdr:cNvSpPr/>
        </xdr:nvSpPr>
        <xdr:spPr>
          <a:xfrm>
            <a:off x="14011276" y="1699098"/>
            <a:ext cx="3295650" cy="4682854"/>
          </a:xfrm>
          <a:prstGeom prst="rect">
            <a:avLst/>
          </a:prstGeom>
        </xdr:spPr>
        <xdr:style>
          <a:lnRef idx="2">
            <a:schemeClr val="accent4"/>
          </a:lnRef>
          <a:fillRef idx="1">
            <a:schemeClr val="lt1"/>
          </a:fillRef>
          <a:effectRef idx="0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grpSp>
        <xdr:nvGrpSpPr>
          <xdr:cNvPr id="4" name="Группа 3">
            <a:extLst>
              <a:ext uri="{FF2B5EF4-FFF2-40B4-BE49-F238E27FC236}">
                <a16:creationId xmlns:a16="http://schemas.microsoft.com/office/drawing/2014/main" id="{BB977D7F-9FB9-4AF4-AF80-0A503A6B809D}"/>
              </a:ext>
            </a:extLst>
          </xdr:cNvPr>
          <xdr:cNvGrpSpPr/>
        </xdr:nvGrpSpPr>
        <xdr:grpSpPr>
          <a:xfrm rot="456809">
            <a:off x="15379955" y="2386685"/>
            <a:ext cx="304639" cy="3395320"/>
            <a:chOff x="5095875" y="1104900"/>
            <a:chExt cx="276225" cy="2038350"/>
          </a:xfrm>
        </xdr:grpSpPr>
        <xdr:sp macro="" textlink="">
          <xdr:nvSpPr>
            <xdr:cNvPr id="5" name="Цилиндр 4">
              <a:extLst>
                <a:ext uri="{FF2B5EF4-FFF2-40B4-BE49-F238E27FC236}">
                  <a16:creationId xmlns:a16="http://schemas.microsoft.com/office/drawing/2014/main" id="{40FF698C-683C-4F21-9054-C3E4195AE15C}"/>
                </a:ext>
              </a:extLst>
            </xdr:cNvPr>
            <xdr:cNvSpPr/>
          </xdr:nvSpPr>
          <xdr:spPr>
            <a:xfrm>
              <a:off x="5095875" y="1104900"/>
              <a:ext cx="276225" cy="2038350"/>
            </a:xfrm>
            <a:prstGeom prst="can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6" name="Стрелка: вверх 5">
              <a:extLst>
                <a:ext uri="{FF2B5EF4-FFF2-40B4-BE49-F238E27FC236}">
                  <a16:creationId xmlns:a16="http://schemas.microsoft.com/office/drawing/2014/main" id="{D26F0761-6A31-4E04-A510-64FDA219B9C7}"/>
                </a:ext>
              </a:extLst>
            </xdr:cNvPr>
            <xdr:cNvSpPr/>
          </xdr:nvSpPr>
          <xdr:spPr>
            <a:xfrm>
              <a:off x="5172075" y="1819275"/>
              <a:ext cx="123825" cy="657225"/>
            </a:xfrm>
            <a:prstGeom prst="upArrow">
              <a:avLst/>
            </a:prstGeom>
          </xdr:spPr>
          <xdr:style>
            <a:lnRef idx="2">
              <a:schemeClr val="accent2">
                <a:shade val="50000"/>
              </a:schemeClr>
            </a:lnRef>
            <a:fillRef idx="1">
              <a:schemeClr val="accent2"/>
            </a:fillRef>
            <a:effectRef idx="0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  <xdr:sp macro="" textlink="$AG$12">
        <xdr:nvSpPr>
          <xdr:cNvPr id="8" name="TextBox 7">
            <a:extLst>
              <a:ext uri="{FF2B5EF4-FFF2-40B4-BE49-F238E27FC236}">
                <a16:creationId xmlns:a16="http://schemas.microsoft.com/office/drawing/2014/main" id="{C65AD5A5-B07D-41C6-AECF-EC201A6130BD}"/>
              </a:ext>
            </a:extLst>
          </xdr:cNvPr>
          <xdr:cNvSpPr txBox="1"/>
        </xdr:nvSpPr>
        <xdr:spPr>
          <a:xfrm>
            <a:off x="14506196" y="2480098"/>
            <a:ext cx="654242" cy="24437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fld id="{A457EA44-9E79-4B57-AB26-E7E8EA34EC38}" type="TxLink">
              <a:rPr lang="en-US" sz="1000" b="0" i="0" u="none" strike="noStrike">
                <a:solidFill>
                  <a:srgbClr val="000000"/>
                </a:solidFill>
                <a:latin typeface="Cambria Math" panose="02040503050406030204" pitchFamily="18" charset="0"/>
                <a:cs typeface="Arial Cyr"/>
              </a:rPr>
              <a:pPr/>
              <a:t>𝜃 = 90°</a:t>
            </a:fld>
            <a:endParaRPr lang="ru-RU" sz="1100"/>
          </a:p>
        </xdr:txBody>
      </xdr:sp>
      <xdr:sp macro="" textlink="$AG$14">
        <xdr:nvSpPr>
          <xdr:cNvPr id="9" name="TextBox 8">
            <a:extLst>
              <a:ext uri="{FF2B5EF4-FFF2-40B4-BE49-F238E27FC236}">
                <a16:creationId xmlns:a16="http://schemas.microsoft.com/office/drawing/2014/main" id="{3887B387-5216-476D-9F13-CB5333C98478}"/>
              </a:ext>
            </a:extLst>
          </xdr:cNvPr>
          <xdr:cNvSpPr txBox="1"/>
        </xdr:nvSpPr>
        <xdr:spPr>
          <a:xfrm>
            <a:off x="15870848" y="3631223"/>
            <a:ext cx="1053719" cy="25204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7D0780F6-A4D5-4B6A-B878-A96EB5687134}" type="TxLink">
              <a:rPr lang="en-US" sz="1000" b="0" i="0" u="none" strike="noStrike">
                <a:solidFill>
                  <a:srgbClr val="000000"/>
                </a:solidFill>
                <a:latin typeface="Arial Cyr"/>
                <a:cs typeface="Arial Cyr"/>
              </a:rPr>
              <a:pPr/>
              <a:t>Qliq = 2 m3/day</a:t>
            </a:fld>
            <a:endParaRPr lang="ru-RU" sz="1100"/>
          </a:p>
        </xdr:txBody>
      </xdr:sp>
      <xdr:cxnSp macro="">
        <xdr:nvCxnSpPr>
          <xdr:cNvPr id="12" name="Прямая со стрелкой 11">
            <a:extLst>
              <a:ext uri="{FF2B5EF4-FFF2-40B4-BE49-F238E27FC236}">
                <a16:creationId xmlns:a16="http://schemas.microsoft.com/office/drawing/2014/main" id="{F899473C-DC61-422C-B4D7-B58D3F8E46E2}"/>
              </a:ext>
            </a:extLst>
          </xdr:cNvPr>
          <xdr:cNvCxnSpPr/>
        </xdr:nvCxnSpPr>
        <xdr:spPr>
          <a:xfrm flipH="1">
            <a:off x="14934871" y="2360781"/>
            <a:ext cx="454490" cy="3400859"/>
          </a:xfrm>
          <a:prstGeom prst="straightConnector1">
            <a:avLst/>
          </a:prstGeom>
          <a:ln>
            <a:headEnd type="triangle"/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$AG$13">
        <xdr:nvSpPr>
          <xdr:cNvPr id="13" name="TextBox 12">
            <a:extLst>
              <a:ext uri="{FF2B5EF4-FFF2-40B4-BE49-F238E27FC236}">
                <a16:creationId xmlns:a16="http://schemas.microsoft.com/office/drawing/2014/main" id="{2E266EF6-7CCA-4105-A6C2-D95A7351F703}"/>
              </a:ext>
            </a:extLst>
          </xdr:cNvPr>
          <xdr:cNvSpPr txBox="1"/>
        </xdr:nvSpPr>
        <xdr:spPr>
          <a:xfrm rot="16665650">
            <a:off x="14682138" y="3573176"/>
            <a:ext cx="821604" cy="24138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25BFE74C-02AA-4C19-8E99-D23EEC4E2F5B}" type="TxLink">
              <a:rPr lang="en-US" sz="1000" b="0" i="0" u="none" strike="noStrike">
                <a:solidFill>
                  <a:srgbClr val="000000"/>
                </a:solidFill>
                <a:latin typeface="Arial Cyr"/>
                <a:cs typeface="Arial Cyr"/>
              </a:rPr>
              <a:pPr/>
              <a:t>L = 1000 м</a:t>
            </a:fld>
            <a:endParaRPr lang="ru-RU" sz="1100"/>
          </a:p>
        </xdr:txBody>
      </xdr:sp>
      <xdr:grpSp>
        <xdr:nvGrpSpPr>
          <xdr:cNvPr id="229" name="Группа 228">
            <a:extLst>
              <a:ext uri="{FF2B5EF4-FFF2-40B4-BE49-F238E27FC236}">
                <a16:creationId xmlns:a16="http://schemas.microsoft.com/office/drawing/2014/main" id="{90798B6B-5C43-4EFC-883E-C460DB6FA162}"/>
              </a:ext>
            </a:extLst>
          </xdr:cNvPr>
          <xdr:cNvGrpSpPr/>
        </xdr:nvGrpSpPr>
        <xdr:grpSpPr>
          <a:xfrm rot="10800000">
            <a:off x="14143634" y="2232690"/>
            <a:ext cx="1170725" cy="1010496"/>
            <a:chOff x="15677815" y="4782535"/>
            <a:chExt cx="1168856" cy="1006883"/>
          </a:xfrm>
        </xdr:grpSpPr>
        <xdr:sp macro="" textlink="">
          <xdr:nvSpPr>
            <xdr:cNvPr id="7" name="Дуга 6">
              <a:extLst>
                <a:ext uri="{FF2B5EF4-FFF2-40B4-BE49-F238E27FC236}">
                  <a16:creationId xmlns:a16="http://schemas.microsoft.com/office/drawing/2014/main" id="{05F1BF87-AE1E-467E-80BC-BE45273550CD}"/>
                </a:ext>
              </a:extLst>
            </xdr:cNvPr>
            <xdr:cNvSpPr/>
          </xdr:nvSpPr>
          <xdr:spPr>
            <a:xfrm>
              <a:off x="15677815" y="5433145"/>
              <a:ext cx="342695" cy="356273"/>
            </a:xfrm>
            <a:prstGeom prst="arc">
              <a:avLst>
                <a:gd name="adj1" fmla="val 16589623"/>
                <a:gd name="adj2" fmla="val 0"/>
              </a:avLst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cxnSp macro="">
          <xdr:nvCxnSpPr>
            <xdr:cNvPr id="14" name="Прямая со стрелкой 13">
              <a:extLst>
                <a:ext uri="{FF2B5EF4-FFF2-40B4-BE49-F238E27FC236}">
                  <a16:creationId xmlns:a16="http://schemas.microsoft.com/office/drawing/2014/main" id="{F8A8CDF7-5E2C-4E16-B1BE-252B4766B160}"/>
                </a:ext>
              </a:extLst>
            </xdr:cNvPr>
            <xdr:cNvCxnSpPr/>
          </xdr:nvCxnSpPr>
          <xdr:spPr>
            <a:xfrm flipV="1">
              <a:off x="15843262" y="5603656"/>
              <a:ext cx="1003409" cy="9525"/>
            </a:xfrm>
            <a:prstGeom prst="straightConnector1">
              <a:avLst/>
            </a:prstGeom>
            <a:ln>
              <a:headEnd type="none" w="med" len="med"/>
              <a:tailEnd type="none" w="med" len="med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5" name="Прямая со стрелкой 14">
              <a:extLst>
                <a:ext uri="{FF2B5EF4-FFF2-40B4-BE49-F238E27FC236}">
                  <a16:creationId xmlns:a16="http://schemas.microsoft.com/office/drawing/2014/main" id="{AD217E66-693D-4D45-904B-1C846A429136}"/>
                </a:ext>
              </a:extLst>
            </xdr:cNvPr>
            <xdr:cNvCxnSpPr/>
          </xdr:nvCxnSpPr>
          <xdr:spPr>
            <a:xfrm flipV="1">
              <a:off x="15839090" y="4782535"/>
              <a:ext cx="123825" cy="833602"/>
            </a:xfrm>
            <a:prstGeom prst="straightConnector1">
              <a:avLst/>
            </a:prstGeom>
            <a:ln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$AG$15">
        <xdr:nvSpPr>
          <xdr:cNvPr id="16" name="TextBox 15">
            <a:extLst>
              <a:ext uri="{FF2B5EF4-FFF2-40B4-BE49-F238E27FC236}">
                <a16:creationId xmlns:a16="http://schemas.microsoft.com/office/drawing/2014/main" id="{E47D1B15-EEEB-4336-81A5-BCCA78D4435C}"/>
              </a:ext>
            </a:extLst>
          </xdr:cNvPr>
          <xdr:cNvSpPr txBox="1"/>
        </xdr:nvSpPr>
        <xdr:spPr>
          <a:xfrm>
            <a:off x="15342514" y="1926684"/>
            <a:ext cx="1008096" cy="55132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l"/>
            <a:fld id="{663E1153-94D4-4648-9D61-99AAA94FE429}" type="TxLink">
              <a:rPr lang="en-US" sz="1000" b="0" i="0" u="none" strike="noStrike">
                <a:solidFill>
                  <a:srgbClr val="000000"/>
                </a:solidFill>
                <a:latin typeface="Arial Cyr"/>
                <a:cs typeface="Arial Cyr"/>
              </a:rPr>
              <a:pPr algn="l"/>
              <a:t>p0 = 26 atm,
 t1= 40°C</a:t>
            </a:fld>
            <a:endParaRPr lang="ru-RU" sz="1100"/>
          </a:p>
        </xdr:txBody>
      </xdr:sp>
      <xdr:sp macro="" textlink="$AG$16">
        <xdr:nvSpPr>
          <xdr:cNvPr id="17" name="TextBox 16">
            <a:extLst>
              <a:ext uri="{FF2B5EF4-FFF2-40B4-BE49-F238E27FC236}">
                <a16:creationId xmlns:a16="http://schemas.microsoft.com/office/drawing/2014/main" id="{B01DC710-393B-4A0E-B5E1-DDC454154348}"/>
              </a:ext>
            </a:extLst>
          </xdr:cNvPr>
          <xdr:cNvSpPr txBox="1"/>
        </xdr:nvSpPr>
        <xdr:spPr>
          <a:xfrm>
            <a:off x="15000425" y="5810420"/>
            <a:ext cx="972446" cy="41244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fld id="{2B2AA7E9-6CE9-453C-B2FE-1A9170055B6F}" type="TxLink">
              <a:rPr lang="en-US" sz="1000" b="0" i="0" u="none" strike="noStrike">
                <a:solidFill>
                  <a:srgbClr val="000000"/>
                </a:solidFill>
                <a:latin typeface="Arial Cyr"/>
                <a:cs typeface="Arial Cyr"/>
              </a:rPr>
              <a:pPr/>
              <a:t>p1 = 100 atm,
 t1 = 80°C</a:t>
            </a:fld>
            <a:endParaRPr lang="ru-RU" sz="1100"/>
          </a:p>
        </xdr:txBody>
      </xdr:sp>
    </xdr:grpSp>
    <xdr:clientData/>
  </xdr:twoCellAnchor>
  <xdr:twoCellAnchor>
    <xdr:from>
      <xdr:col>13</xdr:col>
      <xdr:colOff>552450</xdr:colOff>
      <xdr:row>0</xdr:row>
      <xdr:rowOff>0</xdr:rowOff>
    </xdr:from>
    <xdr:to>
      <xdr:col>22</xdr:col>
      <xdr:colOff>57150</xdr:colOff>
      <xdr:row>14</xdr:row>
      <xdr:rowOff>221147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84172DCA-E8CC-462A-8A17-606BB4B4967B}"/>
            </a:ext>
          </a:extLst>
        </xdr:cNvPr>
        <xdr:cNvSpPr txBox="1"/>
      </xdr:nvSpPr>
      <xdr:spPr>
        <a:xfrm>
          <a:off x="8963025" y="0"/>
          <a:ext cx="5086350" cy="2897672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Вопросы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по упражению 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 Какие параметры влияют на перепад давления в трубе?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 Может ли в трубопроводе давление ниже по потоку (на выходе) быть больше чем выше по потоку (на входе)?</a:t>
          </a:r>
          <a:endParaRPr lang="ru-RU">
            <a:effectLst/>
          </a:endParaRPr>
        </a:p>
        <a:p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3. 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Насколько сильно влияет на расчет выбор гидравлической корреляции?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4. Насколько сильно влияет на расчет температура?</a:t>
          </a:r>
        </a:p>
        <a:p>
          <a:endParaRPr lang="ru-RU" sz="1100" baseline="0"/>
        </a:p>
        <a:p>
          <a:r>
            <a:rPr lang="ru-RU" sz="1100" baseline="0"/>
            <a:t>Дополнительное задание</a:t>
          </a:r>
        </a:p>
        <a:p>
          <a:r>
            <a:rPr lang="ru-RU" sz="1100" baseline="0"/>
            <a:t>1. Проведите расчет для горизонтальной трубы.</a:t>
          </a:r>
        </a:p>
        <a:p>
          <a:r>
            <a:rPr lang="ru-RU" sz="1100" baseline="0"/>
            <a:t>2. Оцените насколько сильно будет влиять на расчет выбор </a:t>
          </a:r>
          <a:r>
            <a:rPr lang="en-US" sz="1100" baseline="0"/>
            <a:t>PVT </a:t>
          </a:r>
          <a:r>
            <a:rPr lang="ru-RU" sz="1100" baseline="0"/>
            <a:t>корреляции</a:t>
          </a:r>
        </a:p>
        <a:p>
          <a:r>
            <a:rPr lang="ru-RU" sz="1100" baseline="0"/>
            <a:t>3. Проделайте расчеты для потока газа в трубе. Влияет ли трение на поток газа?</a:t>
          </a:r>
        </a:p>
        <a:p>
          <a:r>
            <a:rPr lang="ru-RU" sz="1100" baseline="0"/>
            <a:t>4. Проделвйте расчет для нагнетальной скважины. В чем разница для расчета добывающей скважины и нагнетательной?</a:t>
          </a:r>
        </a:p>
        <a:p>
          <a:r>
            <a:rPr lang="ru-RU" sz="1100" baseline="0"/>
            <a:t>5. Нарисуйте график перепада давления от трения в трубе. В какой части трубы потери на трение выше?</a:t>
          </a:r>
        </a:p>
      </xdr:txBody>
    </xdr:sp>
    <xdr:clientData/>
  </xdr:twoCellAnchor>
  <xdr:twoCellAnchor>
    <xdr:from>
      <xdr:col>1</xdr:col>
      <xdr:colOff>760757</xdr:colOff>
      <xdr:row>70</xdr:row>
      <xdr:rowOff>11178</xdr:rowOff>
    </xdr:from>
    <xdr:to>
      <xdr:col>5</xdr:col>
      <xdr:colOff>86139</xdr:colOff>
      <xdr:row>95</xdr:row>
      <xdr:rowOff>7868</xdr:rowOff>
    </xdr:to>
    <xdr:graphicFrame macro="">
      <xdr:nvGraphicFramePr>
        <xdr:cNvPr id="19" name="Диаграмма 18">
          <a:extLst>
            <a:ext uri="{FF2B5EF4-FFF2-40B4-BE49-F238E27FC236}">
              <a16:creationId xmlns:a16="http://schemas.microsoft.com/office/drawing/2014/main" id="{B2F2ECAD-4BA9-4D47-BED6-75A4CFA27F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141218</xdr:colOff>
      <xdr:row>70</xdr:row>
      <xdr:rowOff>2898</xdr:rowOff>
    </xdr:from>
    <xdr:to>
      <xdr:col>10</xdr:col>
      <xdr:colOff>704849</xdr:colOff>
      <xdr:row>95</xdr:row>
      <xdr:rowOff>32716</xdr:rowOff>
    </xdr:to>
    <xdr:graphicFrame macro="">
      <xdr:nvGraphicFramePr>
        <xdr:cNvPr id="20" name="Диаграмма 19">
          <a:extLst>
            <a:ext uri="{FF2B5EF4-FFF2-40B4-BE49-F238E27FC236}">
              <a16:creationId xmlns:a16="http://schemas.microsoft.com/office/drawing/2014/main" id="{4C9D09EB-3422-468E-986A-1539636DBDC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666751</xdr:colOff>
      <xdr:row>69</xdr:row>
      <xdr:rowOff>135421</xdr:rowOff>
    </xdr:from>
    <xdr:to>
      <xdr:col>15</xdr:col>
      <xdr:colOff>228601</xdr:colOff>
      <xdr:row>94</xdr:row>
      <xdr:rowOff>132111</xdr:rowOff>
    </xdr:to>
    <xdr:graphicFrame macro="">
      <xdr:nvGraphicFramePr>
        <xdr:cNvPr id="21" name="Диаграмма 20">
          <a:extLst>
            <a:ext uri="{FF2B5EF4-FFF2-40B4-BE49-F238E27FC236}">
              <a16:creationId xmlns:a16="http://schemas.microsoft.com/office/drawing/2014/main" id="{3B37084C-5B77-4321-B77E-F8D8A098404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287407</xdr:colOff>
      <xdr:row>69</xdr:row>
      <xdr:rowOff>144945</xdr:rowOff>
    </xdr:from>
    <xdr:to>
      <xdr:col>20</xdr:col>
      <xdr:colOff>600075</xdr:colOff>
      <xdr:row>95</xdr:row>
      <xdr:rowOff>12838</xdr:rowOff>
    </xdr:to>
    <xdr:graphicFrame macro="">
      <xdr:nvGraphicFramePr>
        <xdr:cNvPr id="22" name="Диаграмма 21">
          <a:extLst>
            <a:ext uri="{FF2B5EF4-FFF2-40B4-BE49-F238E27FC236}">
              <a16:creationId xmlns:a16="http://schemas.microsoft.com/office/drawing/2014/main" id="{726D6CF3-4C0D-4DA7-9A2D-841D6961F6A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21</xdr:col>
      <xdr:colOff>190500</xdr:colOff>
      <xdr:row>32</xdr:row>
      <xdr:rowOff>162036</xdr:rowOff>
    </xdr:from>
    <xdr:to>
      <xdr:col>30</xdr:col>
      <xdr:colOff>506509</xdr:colOff>
      <xdr:row>63</xdr:row>
      <xdr:rowOff>145369</xdr:rowOff>
    </xdr:to>
    <xdr:graphicFrame macro="">
      <xdr:nvGraphicFramePr>
        <xdr:cNvPr id="23" name="Диаграмма 22">
          <a:extLst>
            <a:ext uri="{FF2B5EF4-FFF2-40B4-BE49-F238E27FC236}">
              <a16:creationId xmlns:a16="http://schemas.microsoft.com/office/drawing/2014/main" id="{2EAC59A3-3B20-4494-811E-99039C95A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</xdr:col>
      <xdr:colOff>381000</xdr:colOff>
      <xdr:row>63</xdr:row>
      <xdr:rowOff>47625</xdr:rowOff>
    </xdr:from>
    <xdr:to>
      <xdr:col>7</xdr:col>
      <xdr:colOff>610532</xdr:colOff>
      <xdr:row>70</xdr:row>
      <xdr:rowOff>76200</xdr:rowOff>
    </xdr:to>
    <xdr:sp macro="" textlink="">
      <xdr:nvSpPr>
        <xdr:cNvPr id="24" name="Выноска: стрелка вверх 23">
          <a:extLst>
            <a:ext uri="{FF2B5EF4-FFF2-40B4-BE49-F238E27FC236}">
              <a16:creationId xmlns:a16="http://schemas.microsoft.com/office/drawing/2014/main" id="{C9BD03A4-789A-471F-85D0-0D6B09E8AEB1}"/>
            </a:ext>
          </a:extLst>
        </xdr:cNvPr>
        <xdr:cNvSpPr/>
      </xdr:nvSpPr>
      <xdr:spPr>
        <a:xfrm>
          <a:off x="2409825" y="11696700"/>
          <a:ext cx="2744132" cy="1162050"/>
        </a:xfrm>
        <a:prstGeom prst="upArrowCallou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1. Рассчитайте</a:t>
          </a:r>
          <a:r>
            <a:rPr lang="ru-RU" sz="1100" baseline="0"/>
            <a:t> распределение давления в трубе сверху вниз (от Р0 до Р1). Убедитесь что отображение кривых по результатам расчета активно (активно по умолчанию).</a:t>
          </a:r>
          <a:endParaRPr lang="ru-RU" sz="1100"/>
        </a:p>
      </xdr:txBody>
    </xdr:sp>
    <xdr:clientData/>
  </xdr:twoCellAnchor>
  <xdr:twoCellAnchor>
    <xdr:from>
      <xdr:col>13</xdr:col>
      <xdr:colOff>361950</xdr:colOff>
      <xdr:row>62</xdr:row>
      <xdr:rowOff>133350</xdr:rowOff>
    </xdr:from>
    <xdr:to>
      <xdr:col>18</xdr:col>
      <xdr:colOff>58082</xdr:colOff>
      <xdr:row>70</xdr:row>
      <xdr:rowOff>0</xdr:rowOff>
    </xdr:to>
    <xdr:sp macro="" textlink="">
      <xdr:nvSpPr>
        <xdr:cNvPr id="25" name="Выноска: стрелка вверх 24">
          <a:extLst>
            <a:ext uri="{FF2B5EF4-FFF2-40B4-BE49-F238E27FC236}">
              <a16:creationId xmlns:a16="http://schemas.microsoft.com/office/drawing/2014/main" id="{C597297C-7BC3-45EB-9FF3-4CAB9E2A5FC4}"/>
            </a:ext>
          </a:extLst>
        </xdr:cNvPr>
        <xdr:cNvSpPr/>
      </xdr:nvSpPr>
      <xdr:spPr>
        <a:xfrm>
          <a:off x="8772525" y="11620500"/>
          <a:ext cx="2839382" cy="1162050"/>
        </a:xfrm>
        <a:prstGeom prst="upArrowCallou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2. Рассчитайте</a:t>
          </a:r>
          <a:r>
            <a:rPr lang="ru-RU" sz="1100" baseline="0"/>
            <a:t> распределение давления в трубе снизу вверх (от Р1 до Р0). Убедитесь что отображение кривых по результатам расчета активно (активно по умолчанию).</a:t>
          </a:r>
          <a:endParaRPr lang="ru-RU" sz="1100"/>
        </a:p>
      </xdr:txBody>
    </xdr:sp>
    <xdr:clientData/>
  </xdr:twoCellAnchor>
  <xdr:twoCellAnchor>
    <xdr:from>
      <xdr:col>10</xdr:col>
      <xdr:colOff>257175</xdr:colOff>
      <xdr:row>30</xdr:row>
      <xdr:rowOff>28575</xdr:rowOff>
    </xdr:from>
    <xdr:to>
      <xdr:col>14</xdr:col>
      <xdr:colOff>286682</xdr:colOff>
      <xdr:row>35</xdr:row>
      <xdr:rowOff>38100</xdr:rowOff>
    </xdr:to>
    <xdr:sp macro="" textlink="">
      <xdr:nvSpPr>
        <xdr:cNvPr id="26" name="Выноска: стрелка вверх 25">
          <a:extLst>
            <a:ext uri="{FF2B5EF4-FFF2-40B4-BE49-F238E27FC236}">
              <a16:creationId xmlns:a16="http://schemas.microsoft.com/office/drawing/2014/main" id="{AD29BC0A-E509-48CC-A92F-C080659E264C}"/>
            </a:ext>
          </a:extLst>
        </xdr:cNvPr>
        <xdr:cNvSpPr/>
      </xdr:nvSpPr>
      <xdr:spPr>
        <a:xfrm>
          <a:off x="6686550" y="6143625"/>
          <a:ext cx="2648882" cy="962025"/>
        </a:xfrm>
        <a:prstGeom prst="upArrowCallou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3. Найдите подстроечные</a:t>
          </a:r>
          <a:r>
            <a:rPr lang="ru-RU" sz="1100" baseline="0"/>
            <a:t> параметры для согласования расчетов снизу вверх и сверху вниз</a:t>
          </a:r>
          <a:endParaRPr lang="ru-RU" sz="1100"/>
        </a:p>
      </xdr:txBody>
    </xdr:sp>
    <xdr:clientData/>
  </xdr:twoCellAnchor>
  <xdr:twoCellAnchor>
    <xdr:from>
      <xdr:col>4</xdr:col>
      <xdr:colOff>224118</xdr:colOff>
      <xdr:row>1</xdr:row>
      <xdr:rowOff>56030</xdr:rowOff>
    </xdr:from>
    <xdr:to>
      <xdr:col>6</xdr:col>
      <xdr:colOff>501829</xdr:colOff>
      <xdr:row>7</xdr:row>
      <xdr:rowOff>152741</xdr:rowOff>
    </xdr:to>
    <xdr:sp macro="" textlink="">
      <xdr:nvSpPr>
        <xdr:cNvPr id="27" name="Стрелка: влево 26">
          <a:extLst>
            <a:ext uri="{FF2B5EF4-FFF2-40B4-BE49-F238E27FC236}">
              <a16:creationId xmlns:a16="http://schemas.microsoft.com/office/drawing/2014/main" id="{ABD432B1-AE6D-459A-97A9-1DA53D97559A}"/>
            </a:ext>
          </a:extLst>
        </xdr:cNvPr>
        <xdr:cNvSpPr/>
      </xdr:nvSpPr>
      <xdr:spPr>
        <a:xfrm>
          <a:off x="2881593" y="217955"/>
          <a:ext cx="1535011" cy="1153986"/>
        </a:xfrm>
        <a:prstGeom prst="leftArrow">
          <a:avLst>
            <a:gd name="adj1" fmla="val 57273"/>
            <a:gd name="adj2" fmla="val 50000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0. </a:t>
          </a:r>
          <a:r>
            <a:rPr lang="ru-RU" sz="1100"/>
            <a:t>Заполните,</a:t>
          </a:r>
          <a:r>
            <a:rPr lang="ru-RU" sz="1100" baseline="0"/>
            <a:t> если планируете отослать задание</a:t>
          </a:r>
          <a:endParaRPr lang="ru-RU" sz="1100"/>
        </a:p>
      </xdr:txBody>
    </xdr:sp>
    <xdr:clientData/>
  </xdr:twoCellAnchor>
  <xdr:twoCellAnchor>
    <xdr:from>
      <xdr:col>31</xdr:col>
      <xdr:colOff>77880</xdr:colOff>
      <xdr:row>32</xdr:row>
      <xdr:rowOff>165287</xdr:rowOff>
    </xdr:from>
    <xdr:to>
      <xdr:col>38</xdr:col>
      <xdr:colOff>96930</xdr:colOff>
      <xdr:row>63</xdr:row>
      <xdr:rowOff>143578</xdr:rowOff>
    </xdr:to>
    <xdr:graphicFrame macro="">
      <xdr:nvGraphicFramePr>
        <xdr:cNvPr id="28" name="Диаграмма 27">
          <a:extLst>
            <a:ext uri="{FF2B5EF4-FFF2-40B4-BE49-F238E27FC236}">
              <a16:creationId xmlns:a16="http://schemas.microsoft.com/office/drawing/2014/main" id="{122CBD36-52B5-4567-9CAB-E42A759CB4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15</xdr:col>
      <xdr:colOff>219095</xdr:colOff>
      <xdr:row>21</xdr:row>
      <xdr:rowOff>128658</xdr:rowOff>
    </xdr:from>
    <xdr:to>
      <xdr:col>15</xdr:col>
      <xdr:colOff>219095</xdr:colOff>
      <xdr:row>21</xdr:row>
      <xdr:rowOff>128658</xdr:rowOff>
    </xdr:to>
    <xdr:sp macro="" textlink="">
      <xdr:nvSpPr>
        <xdr:cNvPr id="29" name="Стрелка: вверх 28">
          <a:extLst>
            <a:ext uri="{FF2B5EF4-FFF2-40B4-BE49-F238E27FC236}">
              <a16:creationId xmlns:a16="http://schemas.microsoft.com/office/drawing/2014/main" id="{0A4820A0-1B6E-464F-B021-8B425E563159}"/>
            </a:ext>
          </a:extLst>
        </xdr:cNvPr>
        <xdr:cNvSpPr/>
      </xdr:nvSpPr>
      <xdr:spPr>
        <a:xfrm rot="-2601600">
          <a:off x="9944120" y="4357758"/>
          <a:ext cx="0" cy="0"/>
        </a:xfrm>
        <a:prstGeom prst="upArrow">
          <a:avLst/>
        </a:prstGeom>
        <a:solidFill>
          <a:srgbClr val="FF0066">
            <a:alpha val="75000"/>
          </a:srgbClr>
        </a:solidFill>
        <a:ln w="18000">
          <a:solidFill>
            <a:srgbClr val="FF00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>
            <a:solidFill>
              <a:srgbClr val="FF0066"/>
            </a:solidFill>
          </a:endParaRPr>
        </a:p>
      </xdr:txBody>
    </xdr:sp>
    <xdr:clientData/>
  </xdr:twoCellAnchor>
  <xdr:twoCellAnchor editAs="oneCell">
    <xdr:from>
      <xdr:col>17</xdr:col>
      <xdr:colOff>576870</xdr:colOff>
      <xdr:row>61</xdr:row>
      <xdr:rowOff>107565</xdr:rowOff>
    </xdr:from>
    <xdr:to>
      <xdr:col>17</xdr:col>
      <xdr:colOff>585510</xdr:colOff>
      <xdr:row>61</xdr:row>
      <xdr:rowOff>111165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30" name="Рукописный ввод 29">
              <a:extLst>
                <a:ext uri="{FF2B5EF4-FFF2-40B4-BE49-F238E27FC236}">
                  <a16:creationId xmlns:a16="http://schemas.microsoft.com/office/drawing/2014/main" id="{954A60D1-01F2-4CDB-8180-58BBF97BBF10}"/>
                </a:ext>
              </a:extLst>
            </xdr14:cNvPr>
            <xdr14:cNvContentPartPr/>
          </xdr14:nvContentPartPr>
          <xdr14:nvPr macro=""/>
          <xdr14:xfrm>
            <a:off x="11644920" y="11404215"/>
            <a:ext cx="8640" cy="3600"/>
          </xdr14:xfrm>
        </xdr:contentPart>
      </mc:Choice>
      <mc:Fallback xmlns="">
        <xdr:pic>
          <xdr:nvPicPr>
            <xdr:cNvPr id="341" name="Рукописный ввод 340">
              <a:extLst>
                <a:ext uri="{FF2B5EF4-FFF2-40B4-BE49-F238E27FC236}">
                  <a16:creationId xmlns:a16="http://schemas.microsoft.com/office/drawing/2014/main" id="{3F861857-15B6-46B5-9BE2-A35F82322773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11636280" y="11395215"/>
              <a:ext cx="26280" cy="21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353655</xdr:colOff>
      <xdr:row>61</xdr:row>
      <xdr:rowOff>2805</xdr:rowOff>
    </xdr:from>
    <xdr:to>
      <xdr:col>3</xdr:col>
      <xdr:colOff>356175</xdr:colOff>
      <xdr:row>61</xdr:row>
      <xdr:rowOff>6405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">
          <xdr14:nvContentPartPr>
            <xdr14:cNvPr id="31" name="Рукописный ввод 30">
              <a:extLst>
                <a:ext uri="{FF2B5EF4-FFF2-40B4-BE49-F238E27FC236}">
                  <a16:creationId xmlns:a16="http://schemas.microsoft.com/office/drawing/2014/main" id="{2858FE68-21AA-4385-A6F6-95BA9740D508}"/>
                </a:ext>
              </a:extLst>
            </xdr14:cNvPr>
            <xdr14:cNvContentPartPr/>
          </xdr14:nvContentPartPr>
          <xdr14:nvPr macro=""/>
          <xdr14:xfrm>
            <a:off x="2382480" y="11299455"/>
            <a:ext cx="2520" cy="3600"/>
          </xdr14:xfrm>
        </xdr:contentPart>
      </mc:Choice>
      <mc:Fallback xmlns="">
        <xdr:pic>
          <xdr:nvPicPr>
            <xdr:cNvPr id="392" name="Рукописный ввод 391">
              <a:extLst>
                <a:ext uri="{FF2B5EF4-FFF2-40B4-BE49-F238E27FC236}">
                  <a16:creationId xmlns:a16="http://schemas.microsoft.com/office/drawing/2014/main" id="{00084105-8EF4-4579-87A8-5C91F66DA79C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2373480" y="11290455"/>
              <a:ext cx="20160" cy="21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0</xdr:colOff>
      <xdr:row>100</xdr:row>
      <xdr:rowOff>0</xdr:rowOff>
    </xdr:from>
    <xdr:to>
      <xdr:col>29</xdr:col>
      <xdr:colOff>161925</xdr:colOff>
      <xdr:row>142</xdr:row>
      <xdr:rowOff>152400</xdr:rowOff>
    </xdr:to>
    <xdr:pic>
      <xdr:nvPicPr>
        <xdr:cNvPr id="73" name="Рисунок 72">
          <a:extLst>
            <a:ext uri="{FF2B5EF4-FFF2-40B4-BE49-F238E27FC236}">
              <a16:creationId xmlns:a16="http://schemas.microsoft.com/office/drawing/2014/main" id="{12A1F2A8-5054-4BA2-B3AB-30A5A4E9E3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410575" y="17640300"/>
          <a:ext cx="8458200" cy="695325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MF_calibr_pipe"/>
      <definedName name="MF_p_pipe_atma"/>
      <definedName name="PVT_encode_string"/>
      <definedName name="unf_Version"/>
    </definedNames>
    <sheetDataSet>
      <sheetData sheetId="0"/>
    </sheetDataSet>
  </externalBook>
</externalLink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0-04-29T08:51:40.276"/>
    </inkml:context>
    <inkml:brush xml:id="br0">
      <inkml:brushProperty name="width" value="0.05" units="cm"/>
      <inkml:brushProperty name="height" value="0.05" units="cm"/>
      <inkml:brushProperty name="color" value="#FF0066"/>
    </inkml:brush>
  </inkml:definitions>
  <inkml:trace contextRef="#ctx0" brushRef="#br0">24 3 96 0 0,'0'3'808'0'0,"0"-3"40"0"0,0 0-180 0 0,0 3-220 0 0,0-3-168 0 0,-6 0-136 0 0,6 0-136 0 0,-6 0-136 0 0,6 0-136 0 0,-5-3-124 0 0,-1 0-152 0 0,6 0-152 0 0,0 3-20 0 0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0-04-29T08:51:40.277"/>
    </inkml:context>
    <inkml:brush xml:id="br0">
      <inkml:brushProperty name="width" value="0.05" units="cm"/>
      <inkml:brushProperty name="height" value="0.05" units="cm"/>
      <inkml:brushProperty name="color" value="#FF0066"/>
    </inkml:brush>
  </inkml:definitions>
  <inkml:trace contextRef="#ctx0" brushRef="#br0">6 9 464 0 0,'0'-3'720'0'0,"0"3"-140"0"0,0-3-148 0 0,0 3-108 0 0,-6 0-104 0 0,6 0-88 0 0,0-3-60 0 0,0 3-56 0 0,0 0-68 0 0,0 0-72 0 0,0 0-104 0 0,0 0-112 0 0,0 0-136 0 0,0 0-124 0 0,0 0-60 0 0</inkml:trace>
</inkml: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DBE585-0E74-4F7E-9334-B963B46E4257}">
  <sheetPr codeName="Worksheet_MF3">
    <outlinePr summaryBelow="0"/>
  </sheetPr>
  <dimension ref="A1:AN66"/>
  <sheetViews>
    <sheetView tabSelected="1" zoomScale="85" zoomScaleNormal="85" workbookViewId="0">
      <selection activeCell="O22" sqref="O22"/>
    </sheetView>
  </sheetViews>
  <sheetFormatPr defaultRowHeight="12.75" x14ac:dyDescent="0.2"/>
  <cols>
    <col min="2" max="2" width="11.85546875" customWidth="1"/>
    <col min="3" max="3" width="14" customWidth="1"/>
    <col min="4" max="11" width="10.5703125" customWidth="1"/>
    <col min="12" max="13" width="10.140625" customWidth="1"/>
    <col min="14" max="14" width="9.5703125" customWidth="1"/>
    <col min="15" max="15" width="10.140625" customWidth="1"/>
    <col min="23" max="23" width="1.7109375" customWidth="1"/>
    <col min="24" max="24" width="1.5703125" customWidth="1"/>
    <col min="25" max="25" width="6.7109375" customWidth="1"/>
    <col min="26" max="26" width="9.140625" customWidth="1"/>
    <col min="27" max="27" width="5.85546875" customWidth="1"/>
    <col min="28" max="28" width="6.5703125" customWidth="1"/>
    <col min="29" max="33" width="9.140625" customWidth="1"/>
    <col min="45" max="45" width="13" customWidth="1"/>
  </cols>
  <sheetData>
    <row r="1" spans="1:33" x14ac:dyDescent="0.2">
      <c r="A1" s="1" t="s">
        <v>10</v>
      </c>
      <c r="F1" t="s">
        <v>11</v>
      </c>
      <c r="G1" t="str">
        <f>[1]!unf_Version()</f>
        <v>7.25</v>
      </c>
      <c r="H1" t="s">
        <v>42</v>
      </c>
      <c r="I1" s="24">
        <v>44027</v>
      </c>
      <c r="J1" s="25"/>
      <c r="K1" s="25"/>
      <c r="L1" s="25"/>
    </row>
    <row r="2" spans="1:33" x14ac:dyDescent="0.2">
      <c r="A2" t="s">
        <v>56</v>
      </c>
      <c r="H2" t="s">
        <v>43</v>
      </c>
      <c r="I2" s="26">
        <v>7.25</v>
      </c>
      <c r="J2" s="25"/>
      <c r="K2" s="25"/>
      <c r="L2" s="25"/>
    </row>
    <row r="3" spans="1:33" ht="15" x14ac:dyDescent="0.25">
      <c r="A3" s="27" t="s">
        <v>44</v>
      </c>
      <c r="B3" s="65" t="s">
        <v>45</v>
      </c>
      <c r="C3" s="66"/>
      <c r="D3" s="66"/>
      <c r="E3" s="67"/>
      <c r="H3" t="s">
        <v>46</v>
      </c>
      <c r="I3" s="25" t="s">
        <v>45</v>
      </c>
      <c r="J3" s="25"/>
      <c r="K3" s="25"/>
      <c r="L3" s="25"/>
    </row>
    <row r="4" spans="1:33" ht="15" x14ac:dyDescent="0.25">
      <c r="A4" s="27" t="s">
        <v>47</v>
      </c>
      <c r="B4" s="65" t="s">
        <v>48</v>
      </c>
      <c r="C4" s="66"/>
      <c r="D4" s="66"/>
      <c r="E4" s="67"/>
      <c r="H4" t="s">
        <v>49</v>
      </c>
      <c r="I4" s="25" t="s">
        <v>48</v>
      </c>
      <c r="J4" s="25"/>
      <c r="K4" s="25"/>
      <c r="L4" s="25"/>
    </row>
    <row r="5" spans="1:33" ht="15" x14ac:dyDescent="0.25">
      <c r="A5" s="27" t="s">
        <v>50</v>
      </c>
      <c r="B5" s="65" t="s">
        <v>51</v>
      </c>
      <c r="C5" s="66"/>
      <c r="D5" s="66"/>
      <c r="E5" s="67"/>
      <c r="H5" t="s">
        <v>52</v>
      </c>
      <c r="I5" s="25" t="s">
        <v>51</v>
      </c>
      <c r="J5" s="25"/>
      <c r="K5" s="25"/>
      <c r="L5" s="25"/>
    </row>
    <row r="6" spans="1:33" x14ac:dyDescent="0.2">
      <c r="A6" s="28" t="s">
        <v>53</v>
      </c>
      <c r="B6" s="68" t="s">
        <v>54</v>
      </c>
      <c r="C6" s="69"/>
      <c r="D6" s="69"/>
      <c r="E6" s="70"/>
      <c r="H6" s="29" t="s">
        <v>55</v>
      </c>
      <c r="I6" s="30" t="s">
        <v>54</v>
      </c>
      <c r="J6" s="30"/>
      <c r="K6" s="30"/>
      <c r="L6" s="30"/>
    </row>
    <row r="7" spans="1:33" x14ac:dyDescent="0.2">
      <c r="A7" s="31"/>
      <c r="B7" s="71"/>
      <c r="C7" s="72"/>
      <c r="D7" s="72"/>
      <c r="E7" s="73"/>
      <c r="H7" s="29"/>
      <c r="I7" s="30"/>
      <c r="J7" s="30"/>
      <c r="K7" s="30"/>
      <c r="L7" s="30"/>
    </row>
    <row r="8" spans="1:33" x14ac:dyDescent="0.2">
      <c r="A8" s="32"/>
      <c r="B8" s="74"/>
      <c r="C8" s="75"/>
      <c r="D8" s="75"/>
      <c r="E8" s="76"/>
      <c r="H8" s="29"/>
      <c r="I8" s="30"/>
      <c r="J8" s="30"/>
      <c r="K8" s="30"/>
      <c r="L8" s="30"/>
    </row>
    <row r="9" spans="1:33" ht="14.25" customHeight="1" x14ac:dyDescent="0.2">
      <c r="AE9" s="17"/>
    </row>
    <row r="10" spans="1:33" x14ac:dyDescent="0.2">
      <c r="A10" s="1" t="s">
        <v>1</v>
      </c>
    </row>
    <row r="11" spans="1:33" ht="18.75" x14ac:dyDescent="0.35">
      <c r="B11" s="9" t="s">
        <v>13</v>
      </c>
      <c r="C11" s="2">
        <v>0.86</v>
      </c>
      <c r="D11" s="4"/>
      <c r="E11" s="5">
        <f>gamma_oil_*1000</f>
        <v>860</v>
      </c>
      <c r="F11" s="7" t="s">
        <v>24</v>
      </c>
      <c r="AG11" t="s">
        <v>40</v>
      </c>
    </row>
    <row r="12" spans="1:33" ht="18.75" x14ac:dyDescent="0.35">
      <c r="B12" s="7" t="s">
        <v>14</v>
      </c>
      <c r="C12" s="2">
        <v>1</v>
      </c>
      <c r="D12" s="4"/>
      <c r="E12" s="5">
        <f>gamma_wat_*1000</f>
        <v>1000</v>
      </c>
      <c r="F12" s="7" t="s">
        <v>24</v>
      </c>
      <c r="AG12" t="str">
        <f>"𝜃 = "&amp;theta_&amp; "°"</f>
        <v>𝜃 = 90°</v>
      </c>
    </row>
    <row r="13" spans="1:33" ht="18.75" x14ac:dyDescent="0.35">
      <c r="B13" s="7" t="s">
        <v>15</v>
      </c>
      <c r="C13" s="2">
        <v>0.8</v>
      </c>
      <c r="D13" s="4"/>
      <c r="E13" s="5">
        <f>gamma_gas_*1.22</f>
        <v>0.97599999999999998</v>
      </c>
      <c r="F13" s="7" t="s">
        <v>24</v>
      </c>
      <c r="AG13" t="str">
        <f>"L = " &amp;L_ &amp;" м"</f>
        <v>L = 1000 м</v>
      </c>
    </row>
    <row r="14" spans="1:33" ht="18.75" x14ac:dyDescent="0.35">
      <c r="B14" s="10" t="s">
        <v>16</v>
      </c>
      <c r="C14" s="2">
        <v>80</v>
      </c>
      <c r="D14" s="7" t="s">
        <v>12</v>
      </c>
      <c r="E14" s="6">
        <f>Rsb_/gamma_oil_</f>
        <v>93.023255813953483</v>
      </c>
      <c r="F14" s="7" t="s">
        <v>25</v>
      </c>
      <c r="AG14" t="str">
        <f>"Qliq = " &amp;Q_&amp; " m3/day"</f>
        <v>Qliq = 2 m3/day</v>
      </c>
    </row>
    <row r="15" spans="1:33" ht="18.75" x14ac:dyDescent="0.35">
      <c r="B15" s="10" t="s">
        <v>17</v>
      </c>
      <c r="C15" s="2">
        <v>80</v>
      </c>
      <c r="D15" s="7" t="s">
        <v>12</v>
      </c>
      <c r="E15" s="6">
        <f>Rsb_/gamma_oil_</f>
        <v>93.023255813953483</v>
      </c>
      <c r="F15" s="7" t="s">
        <v>25</v>
      </c>
      <c r="AG15" t="str">
        <f>"p0 = " &amp;p0_&amp;" atm,
 t1= " &amp;t0_&amp;"°C"</f>
        <v>p0 = 26 atm,
 t1= 40°C</v>
      </c>
    </row>
    <row r="16" spans="1:33" ht="18" x14ac:dyDescent="0.35">
      <c r="B16" s="7" t="s">
        <v>18</v>
      </c>
      <c r="C16" s="2">
        <v>120</v>
      </c>
      <c r="D16" s="4" t="s">
        <v>5</v>
      </c>
      <c r="E16" s="6">
        <f>Pb_*1.01325</f>
        <v>121.59</v>
      </c>
      <c r="F16" s="8" t="s">
        <v>6</v>
      </c>
      <c r="AG16" t="str">
        <f>"p1 = " &amp;p1_&amp;" atm,
 t1 = " &amp;t1_&amp;"°C"</f>
        <v>p1 = 100 atm,
 t1 = 80°C</v>
      </c>
    </row>
    <row r="17" spans="1:27" ht="18" x14ac:dyDescent="0.35">
      <c r="B17" s="7" t="s">
        <v>19</v>
      </c>
      <c r="C17" s="2">
        <v>100</v>
      </c>
      <c r="D17" s="4" t="s">
        <v>2</v>
      </c>
      <c r="E17" s="6">
        <f>Tres_*9/5+32</f>
        <v>212</v>
      </c>
      <c r="F17" s="8" t="s">
        <v>7</v>
      </c>
      <c r="H17" s="61"/>
    </row>
    <row r="18" spans="1:27" ht="18.75" x14ac:dyDescent="0.35">
      <c r="B18" s="10" t="s">
        <v>20</v>
      </c>
      <c r="C18" s="2">
        <v>1.2</v>
      </c>
      <c r="D18" s="7" t="s">
        <v>12</v>
      </c>
      <c r="H18" s="62"/>
    </row>
    <row r="19" spans="1:27" ht="18" x14ac:dyDescent="0.35">
      <c r="B19" s="11" t="s">
        <v>21</v>
      </c>
      <c r="C19" s="2">
        <v>1</v>
      </c>
      <c r="D19" s="4" t="s">
        <v>4</v>
      </c>
      <c r="W19" s="16"/>
    </row>
    <row r="20" spans="1:27" x14ac:dyDescent="0.2">
      <c r="A20" s="1" t="s">
        <v>62</v>
      </c>
      <c r="W20" s="16"/>
    </row>
    <row r="21" spans="1:27" ht="18" x14ac:dyDescent="0.35">
      <c r="B21" s="11" t="s">
        <v>64</v>
      </c>
      <c r="C21" s="2">
        <v>0</v>
      </c>
      <c r="D21" s="7"/>
      <c r="F21" s="63" t="s">
        <v>61</v>
      </c>
      <c r="G21" s="64"/>
      <c r="H21" s="2">
        <v>0</v>
      </c>
      <c r="W21" s="16"/>
    </row>
    <row r="22" spans="1:27" ht="18" x14ac:dyDescent="0.35">
      <c r="B22" s="11" t="s">
        <v>65</v>
      </c>
      <c r="C22" s="2">
        <v>50</v>
      </c>
      <c r="D22" s="4" t="s">
        <v>5</v>
      </c>
      <c r="F22" s="63" t="s">
        <v>57</v>
      </c>
      <c r="G22" s="64"/>
      <c r="H22" s="2">
        <v>0</v>
      </c>
      <c r="W22" s="16"/>
    </row>
    <row r="23" spans="1:27" ht="18" x14ac:dyDescent="0.35">
      <c r="B23" s="11" t="s">
        <v>66</v>
      </c>
      <c r="C23" s="2">
        <v>30</v>
      </c>
      <c r="D23" s="4" t="s">
        <v>2</v>
      </c>
      <c r="F23" s="63" t="s">
        <v>60</v>
      </c>
      <c r="G23" s="64"/>
      <c r="H23" s="2">
        <v>0</v>
      </c>
      <c r="W23" s="16"/>
    </row>
    <row r="24" spans="1:27" ht="15" x14ac:dyDescent="0.25">
      <c r="A24" s="1" t="s">
        <v>8</v>
      </c>
      <c r="F24" s="63" t="s">
        <v>63</v>
      </c>
      <c r="G24" s="64"/>
      <c r="H24" s="2">
        <v>0</v>
      </c>
    </row>
    <row r="25" spans="1:27" ht="15.75" x14ac:dyDescent="0.3">
      <c r="B25" s="11" t="s">
        <v>22</v>
      </c>
      <c r="C25" s="2">
        <v>2</v>
      </c>
      <c r="D25" s="7" t="s">
        <v>23</v>
      </c>
    </row>
    <row r="26" spans="1:27" ht="18" x14ac:dyDescent="0.35">
      <c r="B26" s="11" t="s">
        <v>38</v>
      </c>
      <c r="C26" s="2">
        <v>0</v>
      </c>
      <c r="D26" s="7" t="s">
        <v>39</v>
      </c>
      <c r="F26" s="77" t="s">
        <v>41</v>
      </c>
      <c r="G26" s="77"/>
      <c r="AA26">
        <f>1/3.7</f>
        <v>0.27027027027027023</v>
      </c>
    </row>
    <row r="27" spans="1:27" ht="15.75" x14ac:dyDescent="0.3">
      <c r="B27" s="11" t="s">
        <v>26</v>
      </c>
      <c r="C27" s="2">
        <v>10</v>
      </c>
      <c r="D27" s="4" t="s">
        <v>3</v>
      </c>
      <c r="F27" s="63" t="s">
        <v>59</v>
      </c>
      <c r="G27" s="64"/>
      <c r="H27" s="2">
        <v>1</v>
      </c>
      <c r="I27" s="2">
        <v>1</v>
      </c>
    </row>
    <row r="28" spans="1:27" ht="15" customHeight="1" x14ac:dyDescent="0.25">
      <c r="A28" t="s">
        <v>27</v>
      </c>
      <c r="B28" s="3"/>
      <c r="F28" s="63" t="s">
        <v>58</v>
      </c>
      <c r="G28" s="64"/>
      <c r="H28" s="2">
        <v>1</v>
      </c>
      <c r="I28" s="2">
        <v>1</v>
      </c>
      <c r="AA28">
        <f>0.25/0.0625</f>
        <v>4</v>
      </c>
    </row>
    <row r="29" spans="1:27" ht="18" customHeight="1" x14ac:dyDescent="0.25">
      <c r="B29" s="11" t="s">
        <v>28</v>
      </c>
      <c r="C29" s="2">
        <v>1000</v>
      </c>
      <c r="D29" s="7" t="s">
        <v>30</v>
      </c>
      <c r="K29" s="18" cm="1">
        <f t="array" ref="K29:O30">[1]!MF_calibr_pipe(p0_,p1_,t0_,t1_,L_,theta_,id_,Q_,fw_,Q_gas_free_,PVRstr1_,calc_flow_direction_,Hydr_corr_,H27:H28,,calibr_type_)</f>
        <v>0.912506103515625</v>
      </c>
      <c r="L29" s="19" t="str">
        <v>calibr_grav</v>
      </c>
      <c r="M29" s="19">
        <v>-2.7806850570755159E-4</v>
      </c>
      <c r="N29" s="19">
        <v>15</v>
      </c>
      <c r="O29" s="20" t="str">
        <v>solve_equation_bisection: done by  15 iterations, tolerance 0,001</v>
      </c>
    </row>
    <row r="30" spans="1:27" ht="15" customHeight="1" x14ac:dyDescent="0.25">
      <c r="B30" s="11" t="s">
        <v>0</v>
      </c>
      <c r="C30" s="2">
        <v>62</v>
      </c>
      <c r="D30" s="7" t="s">
        <v>31</v>
      </c>
      <c r="F30" t="s">
        <v>69</v>
      </c>
      <c r="K30" s="21" t="str">
        <v>solution</v>
      </c>
      <c r="L30" s="22" t="str">
        <v>cal_type</v>
      </c>
      <c r="M30" s="22" t="str">
        <v>y_solution</v>
      </c>
      <c r="N30" s="22" t="str">
        <v>iterations</v>
      </c>
      <c r="O30" s="23" t="str">
        <v>description</v>
      </c>
    </row>
    <row r="31" spans="1:27" ht="15" customHeight="1" x14ac:dyDescent="0.25">
      <c r="B31" s="11" t="s">
        <v>29</v>
      </c>
      <c r="C31" s="2">
        <v>90</v>
      </c>
      <c r="D31" s="7" t="s">
        <v>32</v>
      </c>
      <c r="F31" s="54"/>
      <c r="G31" s="53" t="s">
        <v>70</v>
      </c>
      <c r="H31" s="2">
        <v>1</v>
      </c>
      <c r="I31" s="2">
        <v>0</v>
      </c>
    </row>
    <row r="32" spans="1:27" ht="15" customHeight="1" x14ac:dyDescent="0.25">
      <c r="B32" s="11" t="s">
        <v>33</v>
      </c>
      <c r="C32" s="15">
        <v>26</v>
      </c>
      <c r="D32" s="7" t="s">
        <v>5</v>
      </c>
      <c r="F32" s="55"/>
      <c r="G32" s="53" t="s">
        <v>71</v>
      </c>
      <c r="H32" s="2">
        <v>0</v>
      </c>
      <c r="I32" s="2">
        <v>0</v>
      </c>
    </row>
    <row r="33" spans="1:40" ht="15" x14ac:dyDescent="0.25">
      <c r="B33" s="11" t="s">
        <v>34</v>
      </c>
      <c r="C33" s="15">
        <v>100</v>
      </c>
      <c r="D33" s="7" t="s">
        <v>5</v>
      </c>
      <c r="F33" s="50"/>
      <c r="G33" s="51" t="s">
        <v>72</v>
      </c>
      <c r="H33" s="52">
        <f>calc_along_coord_*10+flow_along_coord_</f>
        <v>10</v>
      </c>
      <c r="I33" s="52">
        <f>I31*10+I32</f>
        <v>0</v>
      </c>
    </row>
    <row r="34" spans="1:40" ht="15" x14ac:dyDescent="0.25">
      <c r="B34" s="11" t="s">
        <v>35</v>
      </c>
      <c r="C34" s="2">
        <v>40</v>
      </c>
      <c r="D34" s="7" t="s">
        <v>37</v>
      </c>
    </row>
    <row r="35" spans="1:40" ht="15" x14ac:dyDescent="0.25">
      <c r="B35" s="11" t="s">
        <v>36</v>
      </c>
      <c r="C35" s="2">
        <v>80</v>
      </c>
      <c r="D35" s="7" t="s">
        <v>37</v>
      </c>
    </row>
    <row r="37" spans="1:40" x14ac:dyDescent="0.2">
      <c r="B37" s="12" t="s">
        <v>9</v>
      </c>
      <c r="C37" s="13" t="str">
        <f>[1]!PVT_encode_string(gamma_gas_,gamma_oil_,gamma_wat_,Rsb_,Rp_,Pb_,Tres_,Bob_,muob_,PVT_corr_,Ksep_,Psep_,Tsep,gas_only_)</f>
        <v>{"gamma_gas":0.8,"gamma_oil":0.86,"gamma_wat":1,"rsb_m3m3":80,"rp_m3m3":80,"pb_atma":120,"t_res_C":100,"bob_m3m3":1.2,"muob_cP":1,"PVTcorr":0,"ksep_fr":0,"p_ksep_atma":50,"t_ksep_C":30}</v>
      </c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AN37">
        <f>1/57.295755</f>
        <v>1.7453299987058378E-2</v>
      </c>
    </row>
    <row r="38" spans="1:40" ht="15" x14ac:dyDescent="0.25">
      <c r="B38" s="48"/>
    </row>
    <row r="40" spans="1:40" ht="16.5" customHeight="1" x14ac:dyDescent="0.2">
      <c r="C40" s="33" t="s">
        <v>67</v>
      </c>
      <c r="M40" s="33" t="s">
        <v>68</v>
      </c>
    </row>
    <row r="41" spans="1:40" x14ac:dyDescent="0.2">
      <c r="A41" s="14"/>
      <c r="C41" s="42">
        <f t="array" ref="C41:K63">[1]!MF_p_pipe_atma(p0_,t0_,t1_,L_,theta_,id_,Q_,fw_,Q_gas_free_,PVRstr1_,calc_flow_direction_,Hydr_corr_,H27:H28)</f>
        <v>106.97006614387026</v>
      </c>
      <c r="D41" s="43">
        <v>80</v>
      </c>
      <c r="E41" s="43">
        <v>26</v>
      </c>
      <c r="F41" s="43">
        <v>40</v>
      </c>
      <c r="G41" s="49">
        <v>106.97006614387026</v>
      </c>
      <c r="H41" s="43">
        <v>80</v>
      </c>
      <c r="I41" s="43">
        <v>1</v>
      </c>
      <c r="J41" s="43">
        <v>1</v>
      </c>
      <c r="K41" s="44">
        <v>144</v>
      </c>
      <c r="M41" s="42">
        <f t="array" ref="M41:U63">[1]!MF_p_pipe_atma(p1_,t1_,t0_,L_,theta_,id_,Q_,fw_,Q_gas_free_,PVRstr1_,calc_flow_direction2_,Hydr_corr_,H27:H28)</f>
        <v>18.873555042948787</v>
      </c>
      <c r="N41" s="43">
        <v>40</v>
      </c>
      <c r="O41" s="43">
        <v>18.873555042948787</v>
      </c>
      <c r="P41" s="43">
        <v>40</v>
      </c>
      <c r="Q41" s="43">
        <v>100</v>
      </c>
      <c r="R41" s="43">
        <v>80</v>
      </c>
      <c r="S41" s="43">
        <v>1</v>
      </c>
      <c r="T41" s="43">
        <v>1</v>
      </c>
      <c r="U41" s="44">
        <v>144</v>
      </c>
    </row>
    <row r="42" spans="1:40" x14ac:dyDescent="0.2">
      <c r="A42" s="14"/>
      <c r="C42" s="45" t="str">
        <v>p_result_atma</v>
      </c>
      <c r="D42" s="46" t="str">
        <v>t_result_C</v>
      </c>
      <c r="E42" s="46" t="str">
        <v>p_1, atma</v>
      </c>
      <c r="F42" s="46" t="str">
        <v>t_1, C</v>
      </c>
      <c r="G42" s="46" t="str">
        <v>p_2, atma</v>
      </c>
      <c r="H42" s="46" t="str">
        <v>t_2, C</v>
      </c>
      <c r="I42" s="46" t="str">
        <v>c_calibr_grav</v>
      </c>
      <c r="J42" s="46" t="str">
        <v>c_calibr_fric</v>
      </c>
      <c r="K42" s="47" t="str">
        <v>q_gas_sm3day</v>
      </c>
      <c r="M42" s="45" t="str">
        <v>p_result_atma</v>
      </c>
      <c r="N42" s="46" t="str">
        <v>t_result_C</v>
      </c>
      <c r="O42" s="46" t="str">
        <v>p_1, atma</v>
      </c>
      <c r="P42" s="46" t="str">
        <v>t_1, C</v>
      </c>
      <c r="Q42" s="46" t="str">
        <v>p_2, atma</v>
      </c>
      <c r="R42" s="46" t="str">
        <v>t_2, C</v>
      </c>
      <c r="S42" s="46" t="str">
        <v>c_calibr_grav</v>
      </c>
      <c r="T42" s="46" t="str">
        <v>c_calibr_fric</v>
      </c>
      <c r="U42" s="47" t="str">
        <v>q_gas_sm3day</v>
      </c>
    </row>
    <row r="43" spans="1:40" x14ac:dyDescent="0.2">
      <c r="A43" s="14"/>
      <c r="C43" s="34" t="str">
        <v>num</v>
      </c>
      <c r="D43" s="35" t="str">
        <v>h,m</v>
      </c>
      <c r="E43" s="35" t="str">
        <v>hvert,m</v>
      </c>
      <c r="F43" s="35" t="str">
        <v>p,atma</v>
      </c>
      <c r="G43" s="35" t="str">
        <v>t,C</v>
      </c>
      <c r="H43" s="35" t="str">
        <v>Hl</v>
      </c>
      <c r="I43" s="35" t="str">
        <v>fpat</v>
      </c>
      <c r="J43" s="35" t="str">
        <v>t_amb, C</v>
      </c>
      <c r="K43" s="36" t="str">
        <v>diam, m</v>
      </c>
      <c r="M43" s="34" t="str">
        <v>num</v>
      </c>
      <c r="N43" s="35" t="str">
        <v>h,m</v>
      </c>
      <c r="O43" s="35" t="str">
        <v>hvert,m</v>
      </c>
      <c r="P43" s="35" t="str">
        <v>p,atma</v>
      </c>
      <c r="Q43" s="35" t="str">
        <v>t,C</v>
      </c>
      <c r="R43" s="35" t="str">
        <v>Hl</v>
      </c>
      <c r="S43" s="35" t="str">
        <v>fpat</v>
      </c>
      <c r="T43" s="35" t="str">
        <v>t_amb, C</v>
      </c>
      <c r="U43" s="36" t="str">
        <v>diam, m</v>
      </c>
    </row>
    <row r="44" spans="1:40" x14ac:dyDescent="0.2">
      <c r="A44" s="14"/>
      <c r="C44" s="34">
        <v>1</v>
      </c>
      <c r="D44" s="37">
        <v>0</v>
      </c>
      <c r="E44" s="35">
        <v>0</v>
      </c>
      <c r="F44" s="59">
        <v>26</v>
      </c>
      <c r="G44" s="37">
        <v>40</v>
      </c>
      <c r="H44" s="56">
        <v>1</v>
      </c>
      <c r="I44" s="35">
        <v>0</v>
      </c>
      <c r="J44" s="37">
        <v>40</v>
      </c>
      <c r="K44" s="36">
        <v>6.2E-2</v>
      </c>
      <c r="L44" s="58"/>
      <c r="M44" s="34">
        <v>1</v>
      </c>
      <c r="N44" s="37">
        <v>0</v>
      </c>
      <c r="O44" s="37">
        <v>0</v>
      </c>
      <c r="P44" s="37">
        <v>18.873555042948787</v>
      </c>
      <c r="Q44" s="37">
        <v>40</v>
      </c>
      <c r="R44" s="56">
        <v>0.94080443825053661</v>
      </c>
      <c r="S44" s="35">
        <v>0</v>
      </c>
      <c r="T44" s="37">
        <v>40</v>
      </c>
      <c r="U44" s="36">
        <v>6.2E-2</v>
      </c>
    </row>
    <row r="45" spans="1:40" x14ac:dyDescent="0.2">
      <c r="A45" s="14"/>
      <c r="C45" s="34">
        <v>2</v>
      </c>
      <c r="D45" s="37">
        <v>52.631578947368418</v>
      </c>
      <c r="E45" s="37">
        <v>52.631578947368418</v>
      </c>
      <c r="F45" s="59">
        <v>30.369278825764006</v>
      </c>
      <c r="G45" s="37">
        <v>42.10526315789474</v>
      </c>
      <c r="H45" s="56">
        <v>1</v>
      </c>
      <c r="I45" s="35">
        <v>0</v>
      </c>
      <c r="J45" s="37">
        <v>42.10526315789474</v>
      </c>
      <c r="K45" s="36">
        <v>6.2E-2</v>
      </c>
      <c r="L45" s="58"/>
      <c r="M45" s="34">
        <v>2</v>
      </c>
      <c r="N45" s="37">
        <v>52.631578947368418</v>
      </c>
      <c r="O45" s="37">
        <v>52.631578947368418</v>
      </c>
      <c r="P45" s="37">
        <v>23.211085651352406</v>
      </c>
      <c r="Q45" s="37">
        <v>42.10526315789474</v>
      </c>
      <c r="R45" s="56">
        <v>0.97195999706604363</v>
      </c>
      <c r="S45" s="35">
        <v>0</v>
      </c>
      <c r="T45" s="37">
        <v>42.10526315789474</v>
      </c>
      <c r="U45" s="36">
        <v>6.2E-2</v>
      </c>
    </row>
    <row r="46" spans="1:40" x14ac:dyDescent="0.2">
      <c r="A46" s="14"/>
      <c r="C46" s="34">
        <v>3</v>
      </c>
      <c r="D46" s="37">
        <v>105.26315789473684</v>
      </c>
      <c r="E46" s="37">
        <v>105.26315789473684</v>
      </c>
      <c r="F46" s="59">
        <v>34.736265936896757</v>
      </c>
      <c r="G46" s="37">
        <v>44.210526315789473</v>
      </c>
      <c r="H46" s="56">
        <v>1</v>
      </c>
      <c r="I46" s="35">
        <v>0</v>
      </c>
      <c r="J46" s="37">
        <v>44.210526315789473</v>
      </c>
      <c r="K46" s="36">
        <v>6.2E-2</v>
      </c>
      <c r="L46" s="58"/>
      <c r="M46" s="34">
        <v>3</v>
      </c>
      <c r="N46" s="37">
        <v>105.26315789473684</v>
      </c>
      <c r="O46" s="37">
        <v>105.26315789473684</v>
      </c>
      <c r="P46" s="37">
        <v>27.550586672602424</v>
      </c>
      <c r="Q46" s="37">
        <v>44.210526315789473</v>
      </c>
      <c r="R46" s="56">
        <v>1</v>
      </c>
      <c r="S46" s="35">
        <v>0</v>
      </c>
      <c r="T46" s="37">
        <v>44.210526315789473</v>
      </c>
      <c r="U46" s="36">
        <v>6.2E-2</v>
      </c>
    </row>
    <row r="47" spans="1:40" x14ac:dyDescent="0.2">
      <c r="A47" s="14"/>
      <c r="C47" s="34">
        <v>4</v>
      </c>
      <c r="D47" s="37">
        <v>157.89473684210526</v>
      </c>
      <c r="E47" s="37">
        <v>157.89473684210526</v>
      </c>
      <c r="F47" s="59">
        <v>39.082627616348155</v>
      </c>
      <c r="G47" s="37">
        <v>46.315789473684212</v>
      </c>
      <c r="H47" s="56">
        <v>1</v>
      </c>
      <c r="I47" s="35">
        <v>0</v>
      </c>
      <c r="J47" s="37">
        <v>46.315789473684212</v>
      </c>
      <c r="K47" s="36">
        <v>6.2E-2</v>
      </c>
      <c r="L47" s="58"/>
      <c r="M47" s="34">
        <v>4</v>
      </c>
      <c r="N47" s="37">
        <v>157.89473684210526</v>
      </c>
      <c r="O47" s="37">
        <v>157.89473684210526</v>
      </c>
      <c r="P47" s="37">
        <v>31.907821409470056</v>
      </c>
      <c r="Q47" s="37">
        <v>46.315789473684212</v>
      </c>
      <c r="R47" s="56">
        <v>1</v>
      </c>
      <c r="S47" s="35">
        <v>0</v>
      </c>
      <c r="T47" s="37">
        <v>46.315789473684212</v>
      </c>
      <c r="U47" s="36">
        <v>6.2E-2</v>
      </c>
    </row>
    <row r="48" spans="1:40" x14ac:dyDescent="0.2">
      <c r="A48" s="14"/>
      <c r="C48" s="34">
        <v>5</v>
      </c>
      <c r="D48" s="37">
        <v>210.52631578947367</v>
      </c>
      <c r="E48" s="37">
        <v>210.52631578947367</v>
      </c>
      <c r="F48" s="59">
        <v>43.424248825827028</v>
      </c>
      <c r="G48" s="37">
        <v>48.421052631578945</v>
      </c>
      <c r="H48" s="56">
        <v>1</v>
      </c>
      <c r="I48" s="35">
        <v>0</v>
      </c>
      <c r="J48" s="37">
        <v>48.421052631578945</v>
      </c>
      <c r="K48" s="36">
        <v>6.2E-2</v>
      </c>
      <c r="L48" s="58"/>
      <c r="M48" s="34">
        <v>5</v>
      </c>
      <c r="N48" s="37">
        <v>210.52631578947367</v>
      </c>
      <c r="O48" s="37">
        <v>210.52631578947367</v>
      </c>
      <c r="P48" s="37">
        <v>36.26047841670529</v>
      </c>
      <c r="Q48" s="37">
        <v>48.421052631578945</v>
      </c>
      <c r="R48" s="56">
        <v>1</v>
      </c>
      <c r="S48" s="35">
        <v>0</v>
      </c>
      <c r="T48" s="37">
        <v>48.421052631578945</v>
      </c>
      <c r="U48" s="36">
        <v>6.2E-2</v>
      </c>
    </row>
    <row r="49" spans="1:21" x14ac:dyDescent="0.2">
      <c r="A49" s="14"/>
      <c r="C49" s="34">
        <v>6</v>
      </c>
      <c r="D49" s="37">
        <v>263.15789473684208</v>
      </c>
      <c r="E49" s="37">
        <v>263.15789473684208</v>
      </c>
      <c r="F49" s="59">
        <v>47.74690815541576</v>
      </c>
      <c r="G49" s="37">
        <v>50.526315789473685</v>
      </c>
      <c r="H49" s="56">
        <v>1</v>
      </c>
      <c r="I49" s="35">
        <v>0</v>
      </c>
      <c r="J49" s="37">
        <v>50.526315789473685</v>
      </c>
      <c r="K49" s="36">
        <v>6.2E-2</v>
      </c>
      <c r="L49" s="58"/>
      <c r="M49" s="34">
        <v>6</v>
      </c>
      <c r="N49" s="37">
        <v>263.15789473684208</v>
      </c>
      <c r="O49" s="37">
        <v>263.15789473684208</v>
      </c>
      <c r="P49" s="37">
        <v>40.594824505410919</v>
      </c>
      <c r="Q49" s="37">
        <v>50.526315789473685</v>
      </c>
      <c r="R49" s="56">
        <v>1</v>
      </c>
      <c r="S49" s="35">
        <v>0</v>
      </c>
      <c r="T49" s="37">
        <v>50.526315789473685</v>
      </c>
      <c r="U49" s="36">
        <v>6.2E-2</v>
      </c>
    </row>
    <row r="50" spans="1:21" x14ac:dyDescent="0.2">
      <c r="A50" s="14"/>
      <c r="C50" s="34">
        <v>7</v>
      </c>
      <c r="D50" s="37">
        <v>315.78947368421052</v>
      </c>
      <c r="E50" s="37">
        <v>315.78947368421052</v>
      </c>
      <c r="F50" s="59">
        <v>52.062309266978488</v>
      </c>
      <c r="G50" s="37">
        <v>52.631578947368418</v>
      </c>
      <c r="H50" s="56">
        <v>1</v>
      </c>
      <c r="I50" s="35">
        <v>0</v>
      </c>
      <c r="J50" s="37">
        <v>52.631578947368418</v>
      </c>
      <c r="K50" s="36">
        <v>6.2E-2</v>
      </c>
      <c r="L50" s="58"/>
      <c r="M50" s="34">
        <v>7</v>
      </c>
      <c r="N50" s="37">
        <v>315.78947368421052</v>
      </c>
      <c r="O50" s="37">
        <v>315.78947368421052</v>
      </c>
      <c r="P50" s="37">
        <v>44.922095802414368</v>
      </c>
      <c r="Q50" s="37">
        <v>52.631578947368418</v>
      </c>
      <c r="R50" s="56">
        <v>1</v>
      </c>
      <c r="S50" s="35">
        <v>0</v>
      </c>
      <c r="T50" s="37">
        <v>52.631578947368418</v>
      </c>
      <c r="U50" s="36">
        <v>6.2E-2</v>
      </c>
    </row>
    <row r="51" spans="1:21" x14ac:dyDescent="0.2">
      <c r="A51" s="14"/>
      <c r="C51" s="34">
        <v>8</v>
      </c>
      <c r="D51" s="37">
        <v>368.4210526315789</v>
      </c>
      <c r="E51" s="37">
        <v>368.4210526315789</v>
      </c>
      <c r="F51" s="59">
        <v>56.360774536480548</v>
      </c>
      <c r="G51" s="37">
        <v>54.736842105263158</v>
      </c>
      <c r="H51" s="56">
        <v>1</v>
      </c>
      <c r="I51" s="35">
        <v>0</v>
      </c>
      <c r="J51" s="37">
        <v>54.736842105263158</v>
      </c>
      <c r="K51" s="36">
        <v>6.2E-2</v>
      </c>
      <c r="L51" s="58"/>
      <c r="M51" s="34">
        <v>8</v>
      </c>
      <c r="N51" s="37">
        <v>368.4210526315789</v>
      </c>
      <c r="O51" s="37">
        <v>368.4210526315789</v>
      </c>
      <c r="P51" s="37">
        <v>49.232859252112718</v>
      </c>
      <c r="Q51" s="37">
        <v>54.736842105263158</v>
      </c>
      <c r="R51" s="56">
        <v>1</v>
      </c>
      <c r="S51" s="35">
        <v>0</v>
      </c>
      <c r="T51" s="37">
        <v>54.736842105263158</v>
      </c>
      <c r="U51" s="36">
        <v>6.2E-2</v>
      </c>
    </row>
    <row r="52" spans="1:21" x14ac:dyDescent="0.2">
      <c r="A52" s="14"/>
      <c r="C52" s="34">
        <v>9</v>
      </c>
      <c r="D52" s="37">
        <v>421.05263157894734</v>
      </c>
      <c r="E52" s="37">
        <v>421.05263157894734</v>
      </c>
      <c r="F52" s="59">
        <v>60.649458380000759</v>
      </c>
      <c r="G52" s="37">
        <v>56.84210526315789</v>
      </c>
      <c r="H52" s="56">
        <v>1</v>
      </c>
      <c r="I52" s="35">
        <v>0</v>
      </c>
      <c r="J52" s="37">
        <v>56.84210526315789</v>
      </c>
      <c r="K52" s="36">
        <v>6.2E-2</v>
      </c>
      <c r="L52" s="58"/>
      <c r="M52" s="34">
        <v>9</v>
      </c>
      <c r="N52" s="37">
        <v>421.05263157894734</v>
      </c>
      <c r="O52" s="37">
        <v>421.05263157894734</v>
      </c>
      <c r="P52" s="37">
        <v>53.534019781851079</v>
      </c>
      <c r="Q52" s="37">
        <v>56.84210526315789</v>
      </c>
      <c r="R52" s="56">
        <v>1</v>
      </c>
      <c r="S52" s="35">
        <v>0</v>
      </c>
      <c r="T52" s="37">
        <v>56.84210526315789</v>
      </c>
      <c r="U52" s="36">
        <v>6.2E-2</v>
      </c>
    </row>
    <row r="53" spans="1:21" x14ac:dyDescent="0.2">
      <c r="A53" s="14"/>
      <c r="C53" s="34">
        <v>10</v>
      </c>
      <c r="D53" s="37">
        <v>473.68421052631578</v>
      </c>
      <c r="E53" s="37">
        <v>473.68421052631578</v>
      </c>
      <c r="F53" s="59">
        <v>64.923470084548171</v>
      </c>
      <c r="G53" s="37">
        <v>58.94736842105263</v>
      </c>
      <c r="H53" s="56">
        <v>1</v>
      </c>
      <c r="I53" s="35">
        <v>0</v>
      </c>
      <c r="J53" s="37">
        <v>58.94736842105263</v>
      </c>
      <c r="K53" s="36">
        <v>6.2E-2</v>
      </c>
      <c r="L53" s="58"/>
      <c r="M53" s="34">
        <v>10</v>
      </c>
      <c r="N53" s="37">
        <v>473.68421052631578</v>
      </c>
      <c r="O53" s="37">
        <v>473.68421052631578</v>
      </c>
      <c r="P53" s="37">
        <v>57.820775931649436</v>
      </c>
      <c r="Q53" s="37">
        <v>58.94736842105263</v>
      </c>
      <c r="R53" s="56">
        <v>1</v>
      </c>
      <c r="S53" s="35">
        <v>0</v>
      </c>
      <c r="T53" s="37">
        <v>58.94736842105263</v>
      </c>
      <c r="U53" s="36">
        <v>6.2E-2</v>
      </c>
    </row>
    <row r="54" spans="1:21" x14ac:dyDescent="0.2">
      <c r="A54" s="14"/>
      <c r="C54" s="34">
        <v>11</v>
      </c>
      <c r="D54" s="37">
        <v>526.31578947368416</v>
      </c>
      <c r="E54" s="37">
        <v>526.31578947368416</v>
      </c>
      <c r="F54" s="59">
        <v>69.185217045924105</v>
      </c>
      <c r="G54" s="37">
        <v>61.05263157894737</v>
      </c>
      <c r="H54" s="56">
        <v>1</v>
      </c>
      <c r="I54" s="35">
        <v>0</v>
      </c>
      <c r="J54" s="37">
        <v>61.05263157894737</v>
      </c>
      <c r="K54" s="36">
        <v>6.2E-2</v>
      </c>
      <c r="L54" s="58"/>
      <c r="M54" s="34">
        <v>11</v>
      </c>
      <c r="N54" s="37">
        <v>526.31578947368416</v>
      </c>
      <c r="O54" s="37">
        <v>526.31578947368416</v>
      </c>
      <c r="P54" s="37">
        <v>62.095422854687783</v>
      </c>
      <c r="Q54" s="37">
        <v>61.05263157894737</v>
      </c>
      <c r="R54" s="56">
        <v>1</v>
      </c>
      <c r="S54" s="35">
        <v>0</v>
      </c>
      <c r="T54" s="37">
        <v>61.05263157894737</v>
      </c>
      <c r="U54" s="36">
        <v>6.2E-2</v>
      </c>
    </row>
    <row r="55" spans="1:21" x14ac:dyDescent="0.2">
      <c r="A55" s="14"/>
      <c r="C55" s="34">
        <v>12</v>
      </c>
      <c r="D55" s="37">
        <v>578.9473684210526</v>
      </c>
      <c r="E55" s="37">
        <v>578.9473684210526</v>
      </c>
      <c r="F55" s="59">
        <v>73.434699264128554</v>
      </c>
      <c r="G55" s="37">
        <v>63.157894736842103</v>
      </c>
      <c r="H55" s="56">
        <v>1</v>
      </c>
      <c r="I55" s="35">
        <v>0</v>
      </c>
      <c r="J55" s="37">
        <v>63.157894736842103</v>
      </c>
      <c r="K55" s="36">
        <v>6.2E-2</v>
      </c>
      <c r="L55" s="58"/>
      <c r="M55" s="34">
        <v>12</v>
      </c>
      <c r="N55" s="37">
        <v>578.9473684210526</v>
      </c>
      <c r="O55" s="37">
        <v>578.9473684210526</v>
      </c>
      <c r="P55" s="37">
        <v>66.357960550966126</v>
      </c>
      <c r="Q55" s="37">
        <v>63.157894736842103</v>
      </c>
      <c r="R55" s="56">
        <v>1</v>
      </c>
      <c r="S55" s="35">
        <v>0</v>
      </c>
      <c r="T55" s="37">
        <v>63.157894736842103</v>
      </c>
      <c r="U55" s="36">
        <v>6.2E-2</v>
      </c>
    </row>
    <row r="56" spans="1:21" x14ac:dyDescent="0.2">
      <c r="A56" s="14"/>
      <c r="C56" s="34">
        <v>13</v>
      </c>
      <c r="D56" s="37">
        <v>631.57894736842104</v>
      </c>
      <c r="E56" s="37">
        <v>631.57894736842104</v>
      </c>
      <c r="F56" s="59">
        <v>77.669505060698555</v>
      </c>
      <c r="G56" s="37">
        <v>65.263157894736835</v>
      </c>
      <c r="H56" s="56">
        <v>1</v>
      </c>
      <c r="I56" s="35">
        <v>0</v>
      </c>
      <c r="J56" s="37">
        <v>65.263157894736835</v>
      </c>
      <c r="K56" s="36">
        <v>6.2E-2</v>
      </c>
      <c r="L56" s="58"/>
      <c r="M56" s="34">
        <v>13</v>
      </c>
      <c r="N56" s="37">
        <v>631.57894736842104</v>
      </c>
      <c r="O56" s="37">
        <v>631.57894736842104</v>
      </c>
      <c r="P56" s="37">
        <v>70.605941937962371</v>
      </c>
      <c r="Q56" s="37">
        <v>65.263157894736835</v>
      </c>
      <c r="R56" s="56">
        <v>1</v>
      </c>
      <c r="S56" s="35">
        <v>0</v>
      </c>
      <c r="T56" s="37">
        <v>65.263157894736835</v>
      </c>
      <c r="U56" s="36">
        <v>6.2E-2</v>
      </c>
    </row>
    <row r="57" spans="1:21" x14ac:dyDescent="0.2">
      <c r="A57" s="14"/>
      <c r="C57" s="34">
        <v>14</v>
      </c>
      <c r="D57" s="37">
        <v>684.21052631578948</v>
      </c>
      <c r="E57" s="37">
        <v>684.21052631578948</v>
      </c>
      <c r="F57" s="59">
        <v>81.894526576178947</v>
      </c>
      <c r="G57" s="37">
        <v>67.368421052631575</v>
      </c>
      <c r="H57" s="56">
        <v>1</v>
      </c>
      <c r="I57" s="35">
        <v>0</v>
      </c>
      <c r="J57" s="37">
        <v>67.368421052631575</v>
      </c>
      <c r="K57" s="36">
        <v>6.2E-2</v>
      </c>
      <c r="L57" s="58"/>
      <c r="M57" s="34">
        <v>14</v>
      </c>
      <c r="N57" s="37">
        <v>684.21052631578948</v>
      </c>
      <c r="O57" s="37">
        <v>684.21052631578948</v>
      </c>
      <c r="P57" s="37">
        <v>74.844219118770553</v>
      </c>
      <c r="Q57" s="37">
        <v>67.368421052631575</v>
      </c>
      <c r="R57" s="56">
        <v>1</v>
      </c>
      <c r="S57" s="35">
        <v>0</v>
      </c>
      <c r="T57" s="37">
        <v>67.368421052631575</v>
      </c>
      <c r="U57" s="36">
        <v>6.2E-2</v>
      </c>
    </row>
    <row r="58" spans="1:21" x14ac:dyDescent="0.2">
      <c r="A58" s="14"/>
      <c r="C58" s="34">
        <v>15</v>
      </c>
      <c r="D58" s="37">
        <v>736.8421052631578</v>
      </c>
      <c r="E58" s="37">
        <v>736.8421052631578</v>
      </c>
      <c r="F58" s="59">
        <v>86.102553170684757</v>
      </c>
      <c r="G58" s="37">
        <v>69.473684210526315</v>
      </c>
      <c r="H58" s="56">
        <v>1</v>
      </c>
      <c r="I58" s="35">
        <v>0</v>
      </c>
      <c r="J58" s="37">
        <v>69.473684210526315</v>
      </c>
      <c r="K58" s="36">
        <v>6.2E-2</v>
      </c>
      <c r="L58" s="58"/>
      <c r="M58" s="34">
        <v>15</v>
      </c>
      <c r="N58" s="37">
        <v>736.8421052631578</v>
      </c>
      <c r="O58" s="37">
        <v>736.8421052631578</v>
      </c>
      <c r="P58" s="37">
        <v>79.065577921151259</v>
      </c>
      <c r="Q58" s="37">
        <v>69.473684210526315</v>
      </c>
      <c r="R58" s="56">
        <v>1</v>
      </c>
      <c r="S58" s="35">
        <v>0</v>
      </c>
      <c r="T58" s="37">
        <v>69.473684210526315</v>
      </c>
      <c r="U58" s="36">
        <v>6.2E-2</v>
      </c>
    </row>
    <row r="59" spans="1:21" x14ac:dyDescent="0.2">
      <c r="A59" s="14"/>
      <c r="C59" s="34">
        <v>16</v>
      </c>
      <c r="D59" s="37">
        <v>789.47368421052624</v>
      </c>
      <c r="E59" s="37">
        <v>789.47368421052624</v>
      </c>
      <c r="F59" s="59">
        <v>90.303296227630028</v>
      </c>
      <c r="G59" s="37">
        <v>71.578947368421055</v>
      </c>
      <c r="H59" s="56">
        <v>1</v>
      </c>
      <c r="I59" s="35">
        <v>0</v>
      </c>
      <c r="J59" s="37">
        <v>71.578947368421055</v>
      </c>
      <c r="K59" s="36">
        <v>6.2E-2</v>
      </c>
      <c r="L59" s="58"/>
      <c r="M59" s="34">
        <v>16</v>
      </c>
      <c r="N59" s="37">
        <v>789.47368421052624</v>
      </c>
      <c r="O59" s="37">
        <v>789.47368421052624</v>
      </c>
      <c r="P59" s="37">
        <v>83.279685989920196</v>
      </c>
      <c r="Q59" s="37">
        <v>71.578947368421055</v>
      </c>
      <c r="R59" s="56">
        <v>1</v>
      </c>
      <c r="S59" s="35">
        <v>0</v>
      </c>
      <c r="T59" s="37">
        <v>71.578947368421055</v>
      </c>
      <c r="U59" s="36">
        <v>6.2E-2</v>
      </c>
    </row>
    <row r="60" spans="1:21" x14ac:dyDescent="0.2">
      <c r="A60" s="14"/>
      <c r="C60" s="34">
        <v>17</v>
      </c>
      <c r="D60" s="37">
        <v>842.10526315789468</v>
      </c>
      <c r="E60" s="37">
        <v>842.10526315789468</v>
      </c>
      <c r="F60" s="59">
        <v>94.484832926171393</v>
      </c>
      <c r="G60" s="37">
        <v>73.68421052631578</v>
      </c>
      <c r="H60" s="56">
        <v>1</v>
      </c>
      <c r="I60" s="35">
        <v>0</v>
      </c>
      <c r="J60" s="37">
        <v>73.68421052631578</v>
      </c>
      <c r="K60" s="36">
        <v>6.2E-2</v>
      </c>
      <c r="L60" s="58"/>
      <c r="M60" s="34">
        <v>17</v>
      </c>
      <c r="N60" s="37">
        <v>842.10526315789468</v>
      </c>
      <c r="O60" s="37">
        <v>842.10526315789468</v>
      </c>
      <c r="P60" s="37">
        <v>87.474615691525159</v>
      </c>
      <c r="Q60" s="37">
        <v>73.68421052631578</v>
      </c>
      <c r="R60" s="56">
        <v>1</v>
      </c>
      <c r="S60" s="35">
        <v>0</v>
      </c>
      <c r="T60" s="37">
        <v>73.68421052631578</v>
      </c>
      <c r="U60" s="36">
        <v>6.2E-2</v>
      </c>
    </row>
    <row r="61" spans="1:21" x14ac:dyDescent="0.2">
      <c r="A61" s="14"/>
      <c r="C61" s="34">
        <v>18</v>
      </c>
      <c r="D61" s="37">
        <v>894.73684210526312</v>
      </c>
      <c r="E61" s="37">
        <v>894.73684210526312</v>
      </c>
      <c r="F61" s="59">
        <v>98.66156803511177</v>
      </c>
      <c r="G61" s="37">
        <v>75.78947368421052</v>
      </c>
      <c r="H61" s="56">
        <v>1</v>
      </c>
      <c r="I61" s="35">
        <v>0</v>
      </c>
      <c r="J61" s="37">
        <v>75.78947368421052</v>
      </c>
      <c r="K61" s="36">
        <v>6.2E-2</v>
      </c>
      <c r="L61" s="58"/>
      <c r="M61" s="34">
        <v>18</v>
      </c>
      <c r="N61" s="37">
        <v>894.73684210526312</v>
      </c>
      <c r="O61" s="37">
        <v>894.73684210526312</v>
      </c>
      <c r="P61" s="37">
        <v>91.664750801339125</v>
      </c>
      <c r="Q61" s="37">
        <v>75.78947368421052</v>
      </c>
      <c r="R61" s="56">
        <v>1</v>
      </c>
      <c r="S61" s="35">
        <v>0</v>
      </c>
      <c r="T61" s="37">
        <v>75.78947368421052</v>
      </c>
      <c r="U61" s="36">
        <v>6.2E-2</v>
      </c>
    </row>
    <row r="62" spans="1:21" x14ac:dyDescent="0.2">
      <c r="A62" s="14"/>
      <c r="C62" s="34">
        <v>19</v>
      </c>
      <c r="D62" s="37">
        <v>947.36842105263156</v>
      </c>
      <c r="E62" s="37">
        <v>947.36842105263156</v>
      </c>
      <c r="F62" s="59">
        <v>102.81700056604686</v>
      </c>
      <c r="G62" s="37">
        <v>77.89473684210526</v>
      </c>
      <c r="H62" s="56">
        <v>1</v>
      </c>
      <c r="I62" s="35">
        <v>0</v>
      </c>
      <c r="J62" s="37">
        <v>77.89473684210526</v>
      </c>
      <c r="K62" s="36">
        <v>6.2E-2</v>
      </c>
      <c r="L62" s="58"/>
      <c r="M62" s="34">
        <v>19</v>
      </c>
      <c r="N62" s="37">
        <v>947.36842105263156</v>
      </c>
      <c r="O62" s="37">
        <v>947.36842105263156</v>
      </c>
      <c r="P62" s="37">
        <v>95.833560164379222</v>
      </c>
      <c r="Q62" s="37">
        <v>77.89473684210526</v>
      </c>
      <c r="R62" s="56">
        <v>1</v>
      </c>
      <c r="S62" s="35">
        <v>0</v>
      </c>
      <c r="T62" s="37">
        <v>77.89473684210526</v>
      </c>
      <c r="U62" s="36">
        <v>6.2E-2</v>
      </c>
    </row>
    <row r="63" spans="1:21" x14ac:dyDescent="0.2">
      <c r="A63" s="14"/>
      <c r="C63" s="38">
        <v>20</v>
      </c>
      <c r="D63" s="39">
        <v>1000</v>
      </c>
      <c r="E63" s="39">
        <v>1000</v>
      </c>
      <c r="F63" s="60">
        <v>106.97006614387026</v>
      </c>
      <c r="G63" s="39">
        <v>80</v>
      </c>
      <c r="H63" s="57">
        <v>1</v>
      </c>
      <c r="I63" s="40">
        <v>0</v>
      </c>
      <c r="J63" s="39">
        <v>80</v>
      </c>
      <c r="K63" s="41">
        <v>6.2E-2</v>
      </c>
      <c r="L63" s="58"/>
      <c r="M63" s="38">
        <v>20</v>
      </c>
      <c r="N63" s="39">
        <v>1000</v>
      </c>
      <c r="O63" s="39">
        <v>1000</v>
      </c>
      <c r="P63" s="39">
        <v>100</v>
      </c>
      <c r="Q63" s="39">
        <v>80</v>
      </c>
      <c r="R63" s="57">
        <v>1</v>
      </c>
      <c r="S63" s="40">
        <v>0</v>
      </c>
      <c r="T63" s="39">
        <v>80</v>
      </c>
      <c r="U63" s="41">
        <v>6.2E-2</v>
      </c>
    </row>
    <row r="64" spans="1:21" x14ac:dyDescent="0.2">
      <c r="A64" s="14"/>
    </row>
    <row r="65" spans="1:1" x14ac:dyDescent="0.2">
      <c r="A65" s="14"/>
    </row>
    <row r="66" spans="1:1" x14ac:dyDescent="0.2">
      <c r="A66" s="14"/>
    </row>
  </sheetData>
  <mergeCells count="11">
    <mergeCell ref="F23:G23"/>
    <mergeCell ref="F24:G24"/>
    <mergeCell ref="F26:G26"/>
    <mergeCell ref="F27:G27"/>
    <mergeCell ref="F28:G28"/>
    <mergeCell ref="F22:G22"/>
    <mergeCell ref="B3:E3"/>
    <mergeCell ref="B4:E4"/>
    <mergeCell ref="B5:E5"/>
    <mergeCell ref="B6:E8"/>
    <mergeCell ref="F21:G21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44</vt:i4>
      </vt:variant>
    </vt:vector>
  </HeadingPairs>
  <TitlesOfParts>
    <vt:vector size="45" baseType="lpstr">
      <vt:lpstr>exercise_MF1</vt:lpstr>
      <vt:lpstr>exercise_MF1!Bob_</vt:lpstr>
      <vt:lpstr>exercise_MF1!calc_along_coord_</vt:lpstr>
      <vt:lpstr>exercise_MF1!calc_flow_direction_</vt:lpstr>
      <vt:lpstr>exercise_MF1!calc_flow_direction2_</vt:lpstr>
      <vt:lpstr>exercise_MF1!calibr_fric_</vt:lpstr>
      <vt:lpstr>exercise_MF1!calibr_grav_</vt:lpstr>
      <vt:lpstr>exercise_MF1!calibr_type_</vt:lpstr>
      <vt:lpstr>exercise_MF1!flow_along_coord_</vt:lpstr>
      <vt:lpstr>exercise_MF1!fw_</vt:lpstr>
      <vt:lpstr>exercise_MF1!gamma_gas_</vt:lpstr>
      <vt:lpstr>exercise_MF1!gamma_oil_</vt:lpstr>
      <vt:lpstr>exercise_MF1!gamma_wat_</vt:lpstr>
      <vt:lpstr>exercise_MF1!gas_only_</vt:lpstr>
      <vt:lpstr>exercise_MF1!Hydr_corr_</vt:lpstr>
      <vt:lpstr>exercise_MF1!id_</vt:lpstr>
      <vt:lpstr>exercise_MF1!input_0</vt:lpstr>
      <vt:lpstr>exercise_MF1!input_1</vt:lpstr>
      <vt:lpstr>exercise_MF1!input_Course</vt:lpstr>
      <vt:lpstr>exercise_MF1!input_Date</vt:lpstr>
      <vt:lpstr>exercise_MF1!input_Group</vt:lpstr>
      <vt:lpstr>exercise_MF1!input_Notes</vt:lpstr>
      <vt:lpstr>exercise_MF1!input_Student_Name</vt:lpstr>
      <vt:lpstr>exercise_MF1!input_Version</vt:lpstr>
      <vt:lpstr>exercise_MF1!Ksep_</vt:lpstr>
      <vt:lpstr>exercise_MF1!L_</vt:lpstr>
      <vt:lpstr>exercise_MF1!muob_</vt:lpstr>
      <vt:lpstr>exercise_MF1!n_</vt:lpstr>
      <vt:lpstr>exercise_MF1!output_0</vt:lpstr>
      <vt:lpstr>exercise_MF1!output_1</vt:lpstr>
      <vt:lpstr>exercise_MF1!p0_</vt:lpstr>
      <vt:lpstr>exercise_MF1!p1_</vt:lpstr>
      <vt:lpstr>exercise_MF1!Pb_</vt:lpstr>
      <vt:lpstr>exercise_MF1!Psep_</vt:lpstr>
      <vt:lpstr>exercise_MF1!PVRstr1_</vt:lpstr>
      <vt:lpstr>exercise_MF1!PVT_corr_</vt:lpstr>
      <vt:lpstr>exercise_MF1!Q_</vt:lpstr>
      <vt:lpstr>exercise_MF1!Q_gas_free_</vt:lpstr>
      <vt:lpstr>exercise_MF1!Rp_</vt:lpstr>
      <vt:lpstr>exercise_MF1!Rsb_</vt:lpstr>
      <vt:lpstr>exercise_MF1!t0_</vt:lpstr>
      <vt:lpstr>exercise_MF1!t1_</vt:lpstr>
      <vt:lpstr>exercise_MF1!theta_</vt:lpstr>
      <vt:lpstr>exercise_MF1!Tres_</vt:lpstr>
      <vt:lpstr>exercise_MF1!Tsep</vt:lpstr>
    </vt:vector>
  </TitlesOfParts>
  <Company>CAF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Rinat</dc:creator>
  <cp:lastModifiedBy>Ринат Хабибуллин</cp:lastModifiedBy>
  <cp:lastPrinted>2007-08-27T05:31:44Z</cp:lastPrinted>
  <dcterms:created xsi:type="dcterms:W3CDTF">2005-04-11T05:46:28Z</dcterms:created>
  <dcterms:modified xsi:type="dcterms:W3CDTF">2020-07-15T07:19:28Z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