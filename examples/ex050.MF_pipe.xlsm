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69EE6EE3-FF95-48BB-B62A-FBE09CDBC3FB}" xr6:coauthVersionLast="45" xr6:coauthVersionMax="45" xr10:uidLastSave="{00000000-0000-0000-0000-000000000000}"/>
  <bookViews>
    <workbookView xWindow="-38520" yWindow="-120" windowWidth="38640" windowHeight="21840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n_" localSheetId="0">exercise_MF1!$A$66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8" i="120" l="1"/>
  <c r="AA26" i="120"/>
  <c r="AN37" i="120"/>
  <c r="C37" i="120"/>
  <c r="C41" i="120" a="1"/>
  <c r="G1" i="120"/>
  <c r="J41" i="120" l="1"/>
  <c r="D43" i="120"/>
  <c r="G44" i="120"/>
  <c r="J45" i="120"/>
  <c r="D47" i="120"/>
  <c r="G48" i="120"/>
  <c r="J49" i="120"/>
  <c r="D51" i="120"/>
  <c r="G52" i="120"/>
  <c r="J53" i="120"/>
  <c r="D55" i="120"/>
  <c r="G56" i="120"/>
  <c r="J57" i="120"/>
  <c r="D59" i="120"/>
  <c r="G60" i="120"/>
  <c r="J61" i="120"/>
  <c r="D63" i="120"/>
  <c r="G59" i="120"/>
  <c r="I43" i="120"/>
  <c r="I51" i="120"/>
  <c r="C57" i="120"/>
  <c r="C61" i="120"/>
  <c r="G42" i="120"/>
  <c r="G50" i="120"/>
  <c r="G58" i="120"/>
  <c r="H50" i="120"/>
  <c r="E61" i="120"/>
  <c r="C48" i="120"/>
  <c r="C60" i="120"/>
  <c r="J54" i="120"/>
  <c r="K50" i="120"/>
  <c r="K41" i="120"/>
  <c r="E43" i="120"/>
  <c r="H44" i="120"/>
  <c r="K45" i="120"/>
  <c r="E47" i="120"/>
  <c r="H48" i="120"/>
  <c r="K49" i="120"/>
  <c r="E51" i="120"/>
  <c r="H52" i="120"/>
  <c r="K53" i="120"/>
  <c r="E55" i="120"/>
  <c r="H56" i="120"/>
  <c r="K57" i="120"/>
  <c r="E59" i="120"/>
  <c r="H60" i="120"/>
  <c r="K61" i="120"/>
  <c r="E63" i="120"/>
  <c r="J56" i="120"/>
  <c r="J60" i="120"/>
  <c r="K44" i="120"/>
  <c r="H47" i="120"/>
  <c r="H51" i="120"/>
  <c r="K52" i="120"/>
  <c r="K56" i="120"/>
  <c r="H59" i="120"/>
  <c r="H63" i="120"/>
  <c r="F42" i="120"/>
  <c r="C49" i="120"/>
  <c r="F54" i="120"/>
  <c r="F58" i="120"/>
  <c r="D49" i="120"/>
  <c r="J55" i="120"/>
  <c r="E45" i="120"/>
  <c r="K55" i="120"/>
  <c r="I50" i="120"/>
  <c r="F57" i="120"/>
  <c r="G41" i="120"/>
  <c r="G53" i="120"/>
  <c r="K46" i="120"/>
  <c r="K58" i="120"/>
  <c r="C47" i="120"/>
  <c r="C55" i="120"/>
  <c r="C42" i="120"/>
  <c r="F43" i="120"/>
  <c r="I44" i="120"/>
  <c r="C46" i="120"/>
  <c r="F47" i="120"/>
  <c r="I48" i="120"/>
  <c r="C50" i="120"/>
  <c r="F51" i="120"/>
  <c r="I52" i="120"/>
  <c r="C54" i="120"/>
  <c r="F55" i="120"/>
  <c r="I56" i="120"/>
  <c r="C58" i="120"/>
  <c r="F59" i="120"/>
  <c r="I60" i="120"/>
  <c r="C62" i="120"/>
  <c r="F63" i="120"/>
  <c r="G55" i="120"/>
  <c r="G63" i="120"/>
  <c r="E42" i="120"/>
  <c r="K48" i="120"/>
  <c r="E54" i="120"/>
  <c r="E58" i="120"/>
  <c r="E62" i="120"/>
  <c r="F46" i="120"/>
  <c r="C53" i="120"/>
  <c r="I59" i="120"/>
  <c r="G46" i="120"/>
  <c r="G54" i="120"/>
  <c r="J63" i="120"/>
  <c r="E41" i="120"/>
  <c r="E49" i="120"/>
  <c r="H58" i="120"/>
  <c r="F41" i="120"/>
  <c r="F53" i="120"/>
  <c r="F61" i="120"/>
  <c r="J42" i="120"/>
  <c r="J50" i="120"/>
  <c r="D60" i="120"/>
  <c r="E44" i="120"/>
  <c r="E56" i="120"/>
  <c r="C43" i="120"/>
  <c r="I53" i="120"/>
  <c r="D42" i="120"/>
  <c r="G43" i="120"/>
  <c r="J44" i="120"/>
  <c r="D46" i="120"/>
  <c r="G47" i="120"/>
  <c r="J48" i="120"/>
  <c r="D50" i="120"/>
  <c r="G51" i="120"/>
  <c r="J52" i="120"/>
  <c r="D54" i="120"/>
  <c r="D58" i="120"/>
  <c r="D62" i="120"/>
  <c r="D57" i="120"/>
  <c r="K43" i="120"/>
  <c r="H54" i="120"/>
  <c r="F45" i="120"/>
  <c r="I58" i="120"/>
  <c r="D44" i="120"/>
  <c r="D56" i="120"/>
  <c r="H41" i="120"/>
  <c r="H57" i="120"/>
  <c r="I45" i="120"/>
  <c r="I57" i="120"/>
  <c r="H43" i="120"/>
  <c r="E46" i="120"/>
  <c r="E50" i="120"/>
  <c r="H55" i="120"/>
  <c r="K60" i="120"/>
  <c r="C41" i="120"/>
  <c r="C45" i="120"/>
  <c r="F50" i="120"/>
  <c r="I55" i="120"/>
  <c r="F62" i="120"/>
  <c r="D41" i="120"/>
  <c r="J47" i="120"/>
  <c r="J51" i="120"/>
  <c r="J59" i="120"/>
  <c r="H46" i="120"/>
  <c r="E57" i="120"/>
  <c r="K63" i="120"/>
  <c r="F49" i="120"/>
  <c r="C56" i="120"/>
  <c r="D48" i="120"/>
  <c r="G57" i="120"/>
  <c r="H45" i="120"/>
  <c r="H53" i="120"/>
  <c r="K62" i="120"/>
  <c r="I41" i="120"/>
  <c r="I49" i="120"/>
  <c r="F56" i="120"/>
  <c r="I47" i="120"/>
  <c r="I63" i="120"/>
  <c r="D45" i="120"/>
  <c r="D53" i="120"/>
  <c r="G62" i="120"/>
  <c r="K47" i="120"/>
  <c r="K59" i="120"/>
  <c r="I42" i="120"/>
  <c r="I54" i="120"/>
  <c r="D52" i="120"/>
  <c r="E52" i="120"/>
  <c r="F44" i="120"/>
  <c r="F60" i="120"/>
  <c r="J43" i="120"/>
  <c r="D61" i="120"/>
  <c r="E53" i="120"/>
  <c r="H62" i="120"/>
  <c r="I46" i="120"/>
  <c r="I62" i="120"/>
  <c r="G45" i="120"/>
  <c r="J58" i="120"/>
  <c r="H49" i="120"/>
  <c r="E60" i="120"/>
  <c r="F52" i="120"/>
  <c r="H42" i="120"/>
  <c r="K51" i="120"/>
  <c r="C44" i="120"/>
  <c r="C59" i="120"/>
  <c r="C52" i="120"/>
  <c r="G49" i="120"/>
  <c r="G61" i="120"/>
  <c r="E48" i="120"/>
  <c r="H61" i="120"/>
  <c r="C51" i="120"/>
  <c r="C63" i="120"/>
  <c r="J46" i="120"/>
  <c r="J62" i="120"/>
  <c r="K42" i="120"/>
  <c r="K54" i="120"/>
  <c r="F48" i="120"/>
  <c r="I61" i="120"/>
  <c r="I33" i="120"/>
  <c r="H33" i="120"/>
  <c r="K29" i="120" a="1"/>
  <c r="M41" i="120" a="1"/>
  <c r="K29" i="120" l="1"/>
  <c r="R51" i="120"/>
  <c r="R49" i="120"/>
  <c r="M49" i="120"/>
  <c r="P61" i="120"/>
  <c r="Q42" i="120"/>
  <c r="Q58" i="120"/>
  <c r="N54" i="120"/>
  <c r="U55" i="120"/>
  <c r="S42" i="120"/>
  <c r="S58" i="120"/>
  <c r="Q55" i="120"/>
  <c r="M63" i="120"/>
  <c r="S60" i="120"/>
  <c r="P52" i="120"/>
  <c r="N51" i="120"/>
  <c r="U53" i="120"/>
  <c r="O60" i="120"/>
  <c r="T59" i="120"/>
  <c r="M44" i="120"/>
  <c r="R60" i="120"/>
  <c r="Q52" i="120"/>
  <c r="U52" i="120"/>
  <c r="T50" i="120"/>
  <c r="T43" i="120"/>
  <c r="O41" i="120"/>
  <c r="S62" i="120"/>
  <c r="T44" i="120"/>
  <c r="N50" i="120"/>
  <c r="O54" i="120"/>
  <c r="S61" i="120"/>
  <c r="S51" i="120"/>
  <c r="T58" i="120"/>
  <c r="N45" i="120"/>
  <c r="N61" i="120"/>
  <c r="R42" i="120"/>
  <c r="R58" i="120"/>
  <c r="P45" i="120"/>
  <c r="T54" i="120"/>
  <c r="T42" i="120"/>
  <c r="M46" i="120"/>
  <c r="T52" i="120"/>
  <c r="M55" i="120"/>
  <c r="T53" i="120"/>
  <c r="T60" i="120"/>
  <c r="R56" i="120"/>
  <c r="N56" i="120"/>
  <c r="Q61" i="120"/>
  <c r="R55" i="120"/>
  <c r="O63" i="120"/>
  <c r="M53" i="120"/>
  <c r="R45" i="120"/>
  <c r="Q46" i="120"/>
  <c r="Q62" i="120"/>
  <c r="U43" i="120"/>
  <c r="U59" i="120"/>
  <c r="S46" i="120"/>
  <c r="N60" i="120"/>
  <c r="N44" i="120"/>
  <c r="M62" i="120"/>
  <c r="Q63" i="120"/>
  <c r="P60" i="120"/>
  <c r="N55" i="120"/>
  <c r="U41" i="120"/>
  <c r="U57" i="120"/>
  <c r="R62" i="120"/>
  <c r="U61" i="120"/>
  <c r="U56" i="120"/>
  <c r="M50" i="120"/>
  <c r="P54" i="120"/>
  <c r="R57" i="120"/>
  <c r="T47" i="120"/>
  <c r="T63" i="120"/>
  <c r="O45" i="120"/>
  <c r="O61" i="120"/>
  <c r="M48" i="120"/>
  <c r="U46" i="120"/>
  <c r="Q45" i="120"/>
  <c r="T48" i="120"/>
  <c r="S41" i="120"/>
  <c r="N62" i="120"/>
  <c r="Q56" i="120"/>
  <c r="O43" i="120"/>
  <c r="P51" i="120"/>
  <c r="O58" i="120"/>
  <c r="Q48" i="120"/>
  <c r="O42" i="120"/>
  <c r="P63" i="120"/>
  <c r="S55" i="120"/>
  <c r="U62" i="120"/>
  <c r="N49" i="120"/>
  <c r="N52" i="120"/>
  <c r="R46" i="120"/>
  <c r="P49" i="120"/>
  <c r="R53" i="120"/>
  <c r="T46" i="120"/>
  <c r="R41" i="120"/>
  <c r="M43" i="120"/>
  <c r="T41" i="120"/>
  <c r="T57" i="120"/>
  <c r="R44" i="120"/>
  <c r="S56" i="120"/>
  <c r="M42" i="120"/>
  <c r="S49" i="120"/>
  <c r="R43" i="120"/>
  <c r="R59" i="120"/>
  <c r="M41" i="120"/>
  <c r="M57" i="120"/>
  <c r="S57" i="120"/>
  <c r="Q50" i="120"/>
  <c r="T62" i="120"/>
  <c r="U47" i="120"/>
  <c r="U63" i="120"/>
  <c r="S50" i="120"/>
  <c r="R61" i="120"/>
  <c r="N48" i="120"/>
  <c r="U42" i="120"/>
  <c r="P44" i="120"/>
  <c r="N43" i="120"/>
  <c r="N59" i="120"/>
  <c r="U45" i="120"/>
  <c r="N42" i="120"/>
  <c r="O59" i="120"/>
  <c r="M47" i="120"/>
  <c r="R48" i="120"/>
  <c r="M45" i="120"/>
  <c r="S54" i="120"/>
  <c r="N63" i="120"/>
  <c r="M54" i="120"/>
  <c r="U44" i="120"/>
  <c r="U60" i="120"/>
  <c r="P42" i="120"/>
  <c r="P58" i="120"/>
  <c r="S48" i="120"/>
  <c r="T51" i="120"/>
  <c r="O48" i="120"/>
  <c r="O49" i="120"/>
  <c r="P56" i="120"/>
  <c r="M52" i="120"/>
  <c r="M59" i="120"/>
  <c r="Q49" i="120"/>
  <c r="O44" i="120"/>
  <c r="S45" i="120"/>
  <c r="Q44" i="120"/>
  <c r="Q60" i="120"/>
  <c r="O47" i="120"/>
  <c r="T56" i="120"/>
  <c r="Q53" i="120"/>
  <c r="T45" i="120"/>
  <c r="R47" i="120"/>
  <c r="S52" i="120"/>
  <c r="O52" i="120"/>
  <c r="U49" i="120"/>
  <c r="Q59" i="120"/>
  <c r="O46" i="120"/>
  <c r="O62" i="120"/>
  <c r="S43" i="120"/>
  <c r="S59" i="120"/>
  <c r="P59" i="120"/>
  <c r="N53" i="120"/>
  <c r="U58" i="120"/>
  <c r="R50" i="120"/>
  <c r="P43" i="120"/>
  <c r="P53" i="120"/>
  <c r="U50" i="120"/>
  <c r="T61" i="120"/>
  <c r="M61" i="120"/>
  <c r="Q54" i="120"/>
  <c r="Q51" i="120"/>
  <c r="N47" i="120"/>
  <c r="O53" i="120"/>
  <c r="R63" i="120"/>
  <c r="Q47" i="120"/>
  <c r="U51" i="120"/>
  <c r="P48" i="120"/>
  <c r="O56" i="120"/>
  <c r="U48" i="120"/>
  <c r="M60" i="120"/>
  <c r="P46" i="120"/>
  <c r="P62" i="120"/>
  <c r="N58" i="120"/>
  <c r="T55" i="120"/>
  <c r="P55" i="120"/>
  <c r="M56" i="120"/>
  <c r="O51" i="120"/>
  <c r="O50" i="120"/>
  <c r="Q57" i="120"/>
  <c r="S47" i="120"/>
  <c r="S63" i="120"/>
  <c r="N41" i="120"/>
  <c r="N57" i="120"/>
  <c r="Q43" i="120"/>
  <c r="R54" i="120"/>
  <c r="P41" i="120"/>
  <c r="P57" i="120"/>
  <c r="N46" i="120"/>
  <c r="U54" i="120"/>
  <c r="S44" i="120"/>
  <c r="M51" i="120"/>
  <c r="T49" i="120"/>
  <c r="P47" i="120"/>
  <c r="R52" i="120"/>
  <c r="M58" i="120"/>
  <c r="P50" i="120"/>
  <c r="O57" i="120"/>
  <c r="Q41" i="120"/>
  <c r="S53" i="120"/>
  <c r="O55" i="120"/>
  <c r="E17" i="120"/>
  <c r="AG16" i="120"/>
  <c r="E16" i="120"/>
  <c r="AG15" i="120"/>
  <c r="E15" i="120"/>
  <c r="AG14" i="120"/>
  <c r="E14" i="120"/>
  <c r="AG13" i="120"/>
  <c r="E13" i="120"/>
  <c r="AG12" i="120"/>
  <c r="E12" i="120"/>
  <c r="E11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<sst xmlns="http://schemas.openxmlformats.org/spreadsheetml/2006/main" count="87" uniqueCount="73">
  <si>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</si>
  <si>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</si>
  <si>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</si>
  <si>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</si>
  <si>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</si>
  <si>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</si>
  <si>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</si>
  <si>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</si>
  <si>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</si>
  <si>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</si>
  <si>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</si>
  <si>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</si>
  <si>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</si>
  <si>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</si>
  <si>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</si>
  <si>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</si>
  <si>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</si>
  <si>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</si>
  <si>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</si>
  <si>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</si>
  <si>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</si>
  <si>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</si>
  <si>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</si>
  <si>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</si>
  <si>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</si>
  <si>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</si>
  <si>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</si>
  <si>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</si>
  <si>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</si>
  <si>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</si>
  <si>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</si>
  <si>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</si>
  <si>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</si>
  <si>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</si>
  <si>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</si>
  <si>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</si>
  <si>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</si>
  <si>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</si>
  <si>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</si>
  <si>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</si>
  <si>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</si>
  <si>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</si>
  <si>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</si>
  <si>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</si>
  <si>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</si>
  <si>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</si>
  <si>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</si>
  <si>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</si>
  <si>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</si>
  <si>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</si>
  <si>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</si>
  <si>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</si>
  <si>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</si>
  <si>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</si>
  <si>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</si>
  <si>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</si>
  <si>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</si>
  <si>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</si>
  <si>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</si>
  <si>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</si>
  <si>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</si>
  <si>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</si>
  <si>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</si>
  <si>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</si>
  <si>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</si>
  <si>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</si>
  <si>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</si>
  <si>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</si>
  <si>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Расчет 2</t>
  </si>
  <si>
    <t>Параметры расчета</t>
  </si>
  <si>
    <t>Расчет вдоль координат</t>
  </si>
  <si>
    <t>Поток вдоль координат</t>
  </si>
  <si>
    <t>Параметр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</si>
</sst>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"/>
    <numFmt numFmtId="167" formatCode="0.00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5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" fontId="19" fillId="6" borderId="14" xfId="0" applyNumberFormat="1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166" fontId="0" fillId="6" borderId="8" xfId="0" applyNumberForma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30.369278825764006</c:v>
                </c:pt>
                <c:pt idx="2">
                  <c:v>34.736265936896757</c:v>
                </c:pt>
                <c:pt idx="3">
                  <c:v>39.082627616348155</c:v>
                </c:pt>
                <c:pt idx="4">
                  <c:v>43.424248825827028</c:v>
                </c:pt>
                <c:pt idx="5">
                  <c:v>47.74690815541576</c:v>
                </c:pt>
                <c:pt idx="6">
                  <c:v>52.062309266978488</c:v>
                </c:pt>
                <c:pt idx="7">
                  <c:v>56.360774536480548</c:v>
                </c:pt>
                <c:pt idx="8">
                  <c:v>60.649458380000759</c:v>
                </c:pt>
                <c:pt idx="9">
                  <c:v>64.923470084548171</c:v>
                </c:pt>
                <c:pt idx="10">
                  <c:v>69.185217045924105</c:v>
                </c:pt>
                <c:pt idx="11">
                  <c:v>73.434699264128554</c:v>
                </c:pt>
                <c:pt idx="12">
                  <c:v>77.669505060698555</c:v>
                </c:pt>
                <c:pt idx="13">
                  <c:v>81.894526576178947</c:v>
                </c:pt>
                <c:pt idx="14">
                  <c:v>86.102553170684757</c:v>
                </c:pt>
                <c:pt idx="15">
                  <c:v>90.303296227630028</c:v>
                </c:pt>
                <c:pt idx="16">
                  <c:v>94.484832926171393</c:v>
                </c:pt>
                <c:pt idx="17">
                  <c:v>98.66156803511177</c:v>
                </c:pt>
                <c:pt idx="18">
                  <c:v>102.81700056604686</c:v>
                </c:pt>
                <c:pt idx="19">
                  <c:v>106.97006614387026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30.369278825764006</c:v>
                </c:pt>
                <c:pt idx="2">
                  <c:v>34.736265936896757</c:v>
                </c:pt>
                <c:pt idx="3">
                  <c:v>39.082627616348155</c:v>
                </c:pt>
                <c:pt idx="4">
                  <c:v>43.424248825827028</c:v>
                </c:pt>
                <c:pt idx="5">
                  <c:v>47.74690815541576</c:v>
                </c:pt>
                <c:pt idx="6">
                  <c:v>52.062309266978488</c:v>
                </c:pt>
                <c:pt idx="7">
                  <c:v>56.360774536480548</c:v>
                </c:pt>
                <c:pt idx="8">
                  <c:v>60.649458380000759</c:v>
                </c:pt>
                <c:pt idx="9">
                  <c:v>64.923470084548171</c:v>
                </c:pt>
                <c:pt idx="10">
                  <c:v>69.185217045924105</c:v>
                </c:pt>
                <c:pt idx="11">
                  <c:v>73.434699264128554</c:v>
                </c:pt>
                <c:pt idx="12">
                  <c:v>77.669505060698555</c:v>
                </c:pt>
                <c:pt idx="13">
                  <c:v>81.894526576178947</c:v>
                </c:pt>
                <c:pt idx="14">
                  <c:v>86.102553170684757</c:v>
                </c:pt>
                <c:pt idx="15">
                  <c:v>90.303296227630028</c:v>
                </c:pt>
                <c:pt idx="16">
                  <c:v>94.484832926171393</c:v>
                </c:pt>
                <c:pt idx="17">
                  <c:v>98.66156803511177</c:v>
                </c:pt>
                <c:pt idx="18">
                  <c:v>102.81700056604686</c:v>
                </c:pt>
                <c:pt idx="19">
                  <c:v>106.97006614387026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18.873555042948787</c:v>
                </c:pt>
                <c:pt idx="1">
                  <c:v>23.211085651352406</c:v>
                </c:pt>
                <c:pt idx="2">
                  <c:v>27.550586672602424</c:v>
                </c:pt>
                <c:pt idx="3">
                  <c:v>31.907821409470056</c:v>
                </c:pt>
                <c:pt idx="4">
                  <c:v>36.26047841670529</c:v>
                </c:pt>
                <c:pt idx="5">
                  <c:v>40.594824505410919</c:v>
                </c:pt>
                <c:pt idx="6">
                  <c:v>44.922095802414368</c:v>
                </c:pt>
                <c:pt idx="7">
                  <c:v>49.232859252112718</c:v>
                </c:pt>
                <c:pt idx="8">
                  <c:v>53.534019781851079</c:v>
                </c:pt>
                <c:pt idx="9">
                  <c:v>57.820775931649436</c:v>
                </c:pt>
                <c:pt idx="10">
                  <c:v>62.095422854687783</c:v>
                </c:pt>
                <c:pt idx="11">
                  <c:v>66.357960550966126</c:v>
                </c:pt>
                <c:pt idx="12">
                  <c:v>70.605941937962371</c:v>
                </c:pt>
                <c:pt idx="13">
                  <c:v>74.844219118770553</c:v>
                </c:pt>
                <c:pt idx="14">
                  <c:v>79.065577921151259</c:v>
                </c:pt>
                <c:pt idx="15">
                  <c:v>83.279685989920196</c:v>
                </c:pt>
                <c:pt idx="16">
                  <c:v>87.474615691525159</c:v>
                </c:pt>
                <c:pt idx="17">
                  <c:v>91.664750801339125</c:v>
                </c:pt>
                <c:pt idx="18">
                  <c:v>95.833560164379222</c:v>
                </c:pt>
                <c:pt idx="19">
                  <c:v>100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  <c:pt idx="0">
              <c:v>Расчет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exercise_MF1!$P$44:$P$63</c:f>
              <c:numCache>
                <c:formatCode>0</c:formatCode>
                <c:ptCount val="20"/>
                <c:pt idx="0">
                  <c:v>18.873555042948787</c:v>
                </c:pt>
                <c:pt idx="1">
                  <c:v>23.211085651352406</c:v>
                </c:pt>
                <c:pt idx="2">
                  <c:v>27.550586672602424</c:v>
                </c:pt>
                <c:pt idx="3">
                  <c:v>31.907821409470056</c:v>
                </c:pt>
                <c:pt idx="4">
                  <c:v>36.26047841670529</c:v>
                </c:pt>
                <c:pt idx="5">
                  <c:v>40.594824505410919</c:v>
                </c:pt>
                <c:pt idx="6">
                  <c:v>44.922095802414368</c:v>
                </c:pt>
                <c:pt idx="7">
                  <c:v>49.232859252112718</c:v>
                </c:pt>
                <c:pt idx="8">
                  <c:v>53.534019781851079</c:v>
                </c:pt>
                <c:pt idx="9">
                  <c:v>57.820775931649436</c:v>
                </c:pt>
                <c:pt idx="10">
                  <c:v>62.095422854687783</c:v>
                </c:pt>
                <c:pt idx="11">
                  <c:v>66.357960550966126</c:v>
                </c:pt>
                <c:pt idx="12">
                  <c:v>70.605941937962371</c:v>
                </c:pt>
                <c:pt idx="13">
                  <c:v>74.844219118770553</c:v>
                </c:pt>
                <c:pt idx="14">
                  <c:v>79.065577921151259</c:v>
                </c:pt>
                <c:pt idx="15">
                  <c:v>83.279685989920196</c:v>
                </c:pt>
                <c:pt idx="16">
                  <c:v>87.474615691525159</c:v>
                </c:pt>
                <c:pt idx="17">
                  <c:v>91.664750801339125</c:v>
                </c:pt>
                <c:pt idx="18">
                  <c:v>95.833560164379222</c:v>
                </c:pt>
                <c:pt idx="1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exercise_MF1!$T$44:$T$63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exercise_MF1!$R$44:$R$63</c:f>
              <c:numCache>
                <c:formatCode>0.00</c:formatCode>
                <c:ptCount val="20"/>
                <c:pt idx="0">
                  <c:v>0.94080443825053661</c:v>
                </c:pt>
                <c:pt idx="1">
                  <c:v>0.97195999706604363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30.369278825764006</c:v>
                </c:pt>
                <c:pt idx="2">
                  <c:v>34.736265936896757</c:v>
                </c:pt>
                <c:pt idx="3">
                  <c:v>39.082627616348155</c:v>
                </c:pt>
                <c:pt idx="4">
                  <c:v>43.424248825827028</c:v>
                </c:pt>
                <c:pt idx="5">
                  <c:v>47.74690815541576</c:v>
                </c:pt>
                <c:pt idx="6">
                  <c:v>52.062309266978488</c:v>
                </c:pt>
                <c:pt idx="7">
                  <c:v>56.360774536480548</c:v>
                </c:pt>
                <c:pt idx="8">
                  <c:v>60.649458380000759</c:v>
                </c:pt>
                <c:pt idx="9">
                  <c:v>64.923470084548171</c:v>
                </c:pt>
                <c:pt idx="10">
                  <c:v>69.185217045924105</c:v>
                </c:pt>
                <c:pt idx="11">
                  <c:v>73.434699264128554</c:v>
                </c:pt>
                <c:pt idx="12">
                  <c:v>77.669505060698555</c:v>
                </c:pt>
                <c:pt idx="13">
                  <c:v>81.894526576178947</c:v>
                </c:pt>
                <c:pt idx="14">
                  <c:v>86.102553170684757</c:v>
                </c:pt>
                <c:pt idx="15">
                  <c:v>90.303296227630028</c:v>
                </c:pt>
                <c:pt idx="16">
                  <c:v>94.484832926171393</c:v>
                </c:pt>
                <c:pt idx="17">
                  <c:v>98.66156803511177</c:v>
                </c:pt>
                <c:pt idx="18">
                  <c:v>102.81700056604686</c:v>
                </c:pt>
                <c:pt idx="19">
                  <c:v>106.97006614387026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18.873555042948787</c:v>
                </c:pt>
                <c:pt idx="1">
                  <c:v>23.211085651352406</c:v>
                </c:pt>
                <c:pt idx="2">
                  <c:v>27.550586672602424</c:v>
                </c:pt>
                <c:pt idx="3">
                  <c:v>31.907821409470056</c:v>
                </c:pt>
                <c:pt idx="4">
                  <c:v>36.26047841670529</c:v>
                </c:pt>
                <c:pt idx="5">
                  <c:v>40.594824505410919</c:v>
                </c:pt>
                <c:pt idx="6">
                  <c:v>44.922095802414368</c:v>
                </c:pt>
                <c:pt idx="7">
                  <c:v>49.232859252112718</c:v>
                </c:pt>
                <c:pt idx="8">
                  <c:v>53.534019781851079</c:v>
                </c:pt>
                <c:pt idx="9">
                  <c:v>57.820775931649436</c:v>
                </c:pt>
                <c:pt idx="10">
                  <c:v>62.095422854687783</c:v>
                </c:pt>
                <c:pt idx="11">
                  <c:v>66.357960550966126</c:v>
                </c:pt>
                <c:pt idx="12">
                  <c:v>70.605941937962371</c:v>
                </c:pt>
                <c:pt idx="13">
                  <c:v>74.844219118770553</c:v>
                </c:pt>
                <c:pt idx="14">
                  <c:v>79.065577921151259</c:v>
                </c:pt>
                <c:pt idx="15">
                  <c:v>83.279685989920196</c:v>
                </c:pt>
                <c:pt idx="16">
                  <c:v>87.474615691525159</c:v>
                </c:pt>
                <c:pt idx="17">
                  <c:v>91.664750801339125</c:v>
                </c:pt>
                <c:pt idx="18">
                  <c:v>95.833560164379222</c:v>
                </c:pt>
                <c:pt idx="19">
                  <c:v>100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487006</xdr:colOff>
      <xdr:row>0</xdr:row>
      <xdr:rowOff>0</xdr:rowOff>
    </xdr:from>
    <xdr:to>
      <xdr:col>13</xdr:col>
      <xdr:colOff>504826</xdr:colOff>
      <xdr:row>14</xdr:row>
      <xdr:rowOff>209551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0E616D-97AC-4AA3-BEFD-85B1B11C63A6}"/>
            </a:ext>
          </a:extLst>
        </xdr:cNvPr>
        <xdr:cNvSpPr txBox="1"/>
      </xdr:nvSpPr>
      <xdr:spPr>
        <a:xfrm>
          <a:off x="4935741" y="0"/>
          <a:ext cx="4892379" cy="284293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3BA9531-8276-4BA5-8337-4BF3AECB354C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159D0-0C84-41C5-8EC9-9EA6EB3AF5FB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F9F26007-5F8A-473E-B215-F12D03F40502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DA348F33-32FD-48F8-BC5C-785B9B763BAA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BB977D7F-9FB9-4AF4-AF80-0A503A6B809D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40FF698C-683C-4F21-9054-C3E4195AE15C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D26F0761-6A31-4E04-A510-64FDA219B9C7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C65AD5A5-B07D-41C6-AECF-EC201A6130BD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3887B387-5216-476D-9F13-CB5333C98478}"/>
              </a:ext>
            </a:extLst>
          </xdr:cNvPr>
          <xdr:cNvSpPr txBox="1"/>
        </xdr:nvSpPr>
        <xdr:spPr>
          <a:xfrm>
            <a:off x="15870848" y="3631223"/>
            <a:ext cx="1053719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2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F899473C-DC61-422C-B4D7-B58D3F8E46E2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2E266EF6-7CCA-4105-A6C2-D95A7351F703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1000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90798B6B-5C43-4EFC-883E-C460DB6FA162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5F1BF87-AE1E-467E-80BC-BE45273550CD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F8A8CDF7-5E2C-4E16-B1BE-252B4766B16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AD217E66-693D-4D45-904B-1C846A429136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E47D1B15-EEEB-4336-81A5-BCCA78D4435C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26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B01DC710-393B-4A0E-B5E1-DDC454154348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100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4172DCA-E8CC-462A-8A17-606BB4B4967B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B2F2ECAD-4BA9-4D47-BED6-75A4CFA27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4C9D09EB-3422-468E-986A-1539636DB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3B37084C-5B77-4321-B77E-F8D8A0984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726D6CF3-4C0D-4DA7-9A2D-841D6961F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EAC59A3-3B20-4494-811E-99039C95A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C9BD03A4-789A-471F-85D0-0D6B09E8AEB1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C597297C-7BC3-45EB-9FF3-4CAB9E2A5FC4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AD29BC0A-E509-48CC-A92F-C080659E264C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ABD432B1-AE6D-459A-97A9-1DA53D97559A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22CBD36-52B5-4567-9CAB-E42A759CB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A4820A0-1B6E-464F-B021-8B425E563159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954A60D1-01F2-4CDB-8180-58BBF97BBF1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2858FE68-21AA-4385-A6F6-95BA9740D508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12A1F2A8-5054-4BA2-B3AB-30A5A4E9E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pipe"/>
      <definedName name="MF_p_pipe_atma"/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N66"/>
  <sheetViews>
    <sheetView tabSelected="1" topLeftCell="A7" zoomScale="85" zoomScaleNormal="85" workbookViewId="0">
      <selection activeCell="P22" sqref="P22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33" x14ac:dyDescent="0.2">
      <c r="A1" s="1" t="s">
        <v>10</v>
      </c>
      <c r="F1" t="s">
        <v>11</v>
      </c>
      <c r="G1" t="str">
        <f>[1]!unf_Version()</f>
        <v>7.25</v>
      </c>
      <c r="H1" t="s">
        <v>42</v>
      </c>
      <c r="I1" s="24">
        <v>44009</v>
      </c>
      <c r="J1" s="25"/>
      <c r="K1" s="25"/>
      <c r="L1" s="25"/>
    </row>
    <row r="2" spans="1:33" x14ac:dyDescent="0.2">
      <c r="A2" t="s">
        <v>56</v>
      </c>
      <c r="H2" t="s">
        <v>43</v>
      </c>
      <c r="I2" s="26">
        <v>7.25</v>
      </c>
      <c r="J2" s="25"/>
      <c r="K2" s="25"/>
      <c r="L2" s="25"/>
    </row>
    <row r="3" spans="1:33" ht="15" x14ac:dyDescent="0.25">
      <c r="A3" s="27" t="s">
        <v>44</v>
      </c>
      <c r="B3" s="66" t="s">
        <v>45</v>
      </c>
      <c r="C3" s="67"/>
      <c r="D3" s="67"/>
      <c r="E3" s="68"/>
      <c r="H3" t="s">
        <v>46</v>
      </c>
      <c r="I3" s="25" t="s">
        <v>45</v>
      </c>
      <c r="J3" s="25"/>
      <c r="K3" s="25"/>
      <c r="L3" s="25"/>
    </row>
    <row r="4" spans="1:33" ht="15" x14ac:dyDescent="0.25">
      <c r="A4" s="27" t="s">
        <v>47</v>
      </c>
      <c r="B4" s="66" t="s">
        <v>48</v>
      </c>
      <c r="C4" s="67"/>
      <c r="D4" s="67"/>
      <c r="E4" s="68"/>
      <c r="H4" t="s">
        <v>49</v>
      </c>
      <c r="I4" s="25" t="s">
        <v>48</v>
      </c>
      <c r="J4" s="25"/>
      <c r="K4" s="25"/>
      <c r="L4" s="25"/>
    </row>
    <row r="5" spans="1:33" ht="15" x14ac:dyDescent="0.25">
      <c r="A5" s="27" t="s">
        <v>50</v>
      </c>
      <c r="B5" s="66" t="s">
        <v>51</v>
      </c>
      <c r="C5" s="67"/>
      <c r="D5" s="67"/>
      <c r="E5" s="68"/>
      <c r="H5" t="s">
        <v>52</v>
      </c>
      <c r="I5" s="25" t="s">
        <v>51</v>
      </c>
      <c r="J5" s="25"/>
      <c r="K5" s="25"/>
      <c r="L5" s="25"/>
    </row>
    <row r="6" spans="1:33" x14ac:dyDescent="0.2">
      <c r="A6" s="28" t="s">
        <v>53</v>
      </c>
      <c r="B6" s="69" t="s">
        <v>54</v>
      </c>
      <c r="C6" s="70"/>
      <c r="D6" s="70"/>
      <c r="E6" s="71"/>
      <c r="H6" s="29" t="s">
        <v>55</v>
      </c>
      <c r="I6" s="30" t="s">
        <v>54</v>
      </c>
      <c r="J6" s="30"/>
      <c r="K6" s="30"/>
      <c r="L6" s="30"/>
    </row>
    <row r="7" spans="1:33" x14ac:dyDescent="0.2">
      <c r="A7" s="31"/>
      <c r="B7" s="72"/>
      <c r="C7" s="73"/>
      <c r="D7" s="73"/>
      <c r="E7" s="74"/>
      <c r="H7" s="29"/>
      <c r="I7" s="30"/>
      <c r="J7" s="30"/>
      <c r="K7" s="30"/>
      <c r="L7" s="30"/>
    </row>
    <row r="8" spans="1:33" x14ac:dyDescent="0.2">
      <c r="A8" s="32"/>
      <c r="B8" s="75"/>
      <c r="C8" s="76"/>
      <c r="D8" s="76"/>
      <c r="E8" s="77"/>
      <c r="H8" s="29"/>
      <c r="I8" s="30"/>
      <c r="J8" s="30"/>
      <c r="K8" s="30"/>
      <c r="L8" s="30"/>
    </row>
    <row r="9" spans="1:33" ht="14.25" customHeight="1" x14ac:dyDescent="0.2">
      <c r="AE9" s="17"/>
    </row>
    <row r="10" spans="1:33" x14ac:dyDescent="0.2">
      <c r="A10" s="1" t="s">
        <v>1</v>
      </c>
    </row>
    <row r="11" spans="1:33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3" ht="18.75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90°</v>
      </c>
    </row>
    <row r="13" spans="1:33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1000 м</v>
      </c>
    </row>
    <row r="14" spans="1:33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2 m3/day</v>
      </c>
    </row>
    <row r="15" spans="1:33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26 atm,
 t1= 40°C</v>
      </c>
    </row>
    <row r="16" spans="1:33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100 atm,
 t1 = 80°C</v>
      </c>
    </row>
    <row r="17" spans="1:27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1"/>
    </row>
    <row r="18" spans="1:27" ht="18.75" x14ac:dyDescent="0.35">
      <c r="B18" s="10" t="s">
        <v>20</v>
      </c>
      <c r="C18" s="2">
        <v>1.2</v>
      </c>
      <c r="D18" s="7" t="s">
        <v>12</v>
      </c>
      <c r="H18" s="62"/>
    </row>
    <row r="19" spans="1:27" ht="18" x14ac:dyDescent="0.35">
      <c r="B19" s="11" t="s">
        <v>21</v>
      </c>
      <c r="C19" s="2">
        <v>1</v>
      </c>
      <c r="D19" s="4" t="s">
        <v>4</v>
      </c>
      <c r="W19" s="16"/>
    </row>
    <row r="20" spans="1:27" x14ac:dyDescent="0.2">
      <c r="A20" s="1" t="s">
        <v>62</v>
      </c>
      <c r="W20" s="16"/>
    </row>
    <row r="21" spans="1:27" ht="18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W21" s="16"/>
    </row>
    <row r="22" spans="1:27" ht="18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0</v>
      </c>
      <c r="W22" s="16"/>
    </row>
    <row r="23" spans="1:27" ht="18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W23" s="16"/>
    </row>
    <row r="24" spans="1:27" ht="15" x14ac:dyDescent="0.25">
      <c r="A24" s="1" t="s">
        <v>8</v>
      </c>
      <c r="F24" s="63" t="s">
        <v>63</v>
      </c>
      <c r="G24" s="64"/>
      <c r="H24" s="2">
        <v>0</v>
      </c>
    </row>
    <row r="25" spans="1:27" ht="15.75" x14ac:dyDescent="0.3">
      <c r="B25" s="11" t="s">
        <v>22</v>
      </c>
      <c r="C25" s="2">
        <v>2</v>
      </c>
      <c r="D25" s="7" t="s">
        <v>23</v>
      </c>
    </row>
    <row r="26" spans="1:27" ht="18" x14ac:dyDescent="0.35">
      <c r="B26" s="11" t="s">
        <v>38</v>
      </c>
      <c r="C26" s="2">
        <v>0</v>
      </c>
      <c r="D26" s="7" t="s">
        <v>39</v>
      </c>
      <c r="F26" s="65" t="s">
        <v>41</v>
      </c>
      <c r="G26" s="65"/>
      <c r="AA26">
        <f>1/3.7</f>
        <v>0.27027027027027023</v>
      </c>
    </row>
    <row r="27" spans="1:27" ht="15.75" x14ac:dyDescent="0.3">
      <c r="B27" s="11" t="s">
        <v>26</v>
      </c>
      <c r="C27" s="2">
        <v>10</v>
      </c>
      <c r="D27" s="4" t="s">
        <v>3</v>
      </c>
      <c r="F27" s="63" t="s">
        <v>59</v>
      </c>
      <c r="G27" s="64"/>
      <c r="H27" s="2">
        <v>1</v>
      </c>
      <c r="I27" s="2">
        <v>1</v>
      </c>
    </row>
    <row r="28" spans="1:27" ht="15" customHeight="1" x14ac:dyDescent="0.25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A28">
        <f>0.25/0.0625</f>
        <v>4</v>
      </c>
    </row>
    <row r="29" spans="1:27" ht="18" customHeight="1" x14ac:dyDescent="0.25">
      <c r="B29" s="11" t="s">
        <v>28</v>
      </c>
      <c r="C29" s="2">
        <v>1000</v>
      </c>
      <c r="D29" s="7" t="s">
        <v>30</v>
      </c>
      <c r="K29" s="18" cm="1">
        <f t="array" ref="K29:O30">[1]!MF_calibr_pipe(p0_,p1_,t0_,t1_,L_,theta_,id_,Q_,fw_,Q_gas_free_,PVRstr1_,calc_flow_direction_,Hydr_corr_,H27:H28,,calibr_type_)</f>
        <v>0.912506103515625</v>
      </c>
      <c r="L29" s="19" t="str">
        <v>calibr_grav</v>
      </c>
      <c r="M29" s="19">
        <v>-2.7806850570755159E-4</v>
      </c>
      <c r="N29" s="19">
        <v>15</v>
      </c>
      <c r="O29" s="20" t="str">
        <v>solve_equation_bisection: done by  15 iterations, tolerance 0,001</v>
      </c>
    </row>
    <row r="30" spans="1:27" ht="15" customHeight="1" x14ac:dyDescent="0.25">
      <c r="B30" s="11" t="s">
        <v>0</v>
      </c>
      <c r="C30" s="2">
        <v>62</v>
      </c>
      <c r="D30" s="7" t="s">
        <v>31</v>
      </c>
      <c r="F30" t="s">
        <v>69</v>
      </c>
      <c r="K30" s="21" t="str">
        <v>solution</v>
      </c>
      <c r="L30" s="22" t="str">
        <v>cal_type</v>
      </c>
      <c r="M30" s="22" t="str">
        <v>y_solution</v>
      </c>
      <c r="N30" s="22" t="str">
        <v>iterations</v>
      </c>
      <c r="O30" s="23" t="str">
        <v>description</v>
      </c>
    </row>
    <row r="31" spans="1:27" ht="15" customHeight="1" x14ac:dyDescent="0.25">
      <c r="B31" s="11" t="s">
        <v>29</v>
      </c>
      <c r="C31" s="2">
        <v>90</v>
      </c>
      <c r="D31" s="7" t="s">
        <v>32</v>
      </c>
      <c r="F31" s="54"/>
      <c r="G31" s="53" t="s">
        <v>70</v>
      </c>
      <c r="H31" s="2">
        <v>1</v>
      </c>
      <c r="I31" s="2">
        <v>0</v>
      </c>
    </row>
    <row r="32" spans="1:27" ht="15" customHeight="1" x14ac:dyDescent="0.25">
      <c r="B32" s="11" t="s">
        <v>33</v>
      </c>
      <c r="C32" s="15">
        <v>26</v>
      </c>
      <c r="D32" s="7" t="s">
        <v>5</v>
      </c>
      <c r="F32" s="55"/>
      <c r="G32" s="53" t="s">
        <v>71</v>
      </c>
      <c r="H32" s="2">
        <v>0</v>
      </c>
      <c r="I32" s="2">
        <v>0</v>
      </c>
    </row>
    <row r="33" spans="1:40" ht="15" x14ac:dyDescent="0.25">
      <c r="B33" s="11" t="s">
        <v>34</v>
      </c>
      <c r="C33" s="15">
        <v>100</v>
      </c>
      <c r="D33" s="7" t="s">
        <v>5</v>
      </c>
      <c r="F33" s="50"/>
      <c r="G33" s="51" t="s">
        <v>72</v>
      </c>
      <c r="H33" s="52">
        <f>calc_along_coord_*10+flow_along_coord_</f>
        <v>10</v>
      </c>
      <c r="I33" s="52">
        <f>I31*10+I32</f>
        <v>0</v>
      </c>
    </row>
    <row r="34" spans="1:40" ht="15" x14ac:dyDescent="0.25">
      <c r="B34" s="11" t="s">
        <v>35</v>
      </c>
      <c r="C34" s="2">
        <v>40</v>
      </c>
      <c r="D34" s="7" t="s">
        <v>37</v>
      </c>
    </row>
    <row r="35" spans="1:40" ht="15" x14ac:dyDescent="0.25">
      <c r="B35" s="11" t="s">
        <v>36</v>
      </c>
      <c r="C35" s="2">
        <v>80</v>
      </c>
      <c r="D35" s="7" t="s">
        <v>37</v>
      </c>
    </row>
    <row r="37" spans="1:40" x14ac:dyDescent="0.2">
      <c r="B37" s="12" t="s">
        <v>9</v>
      </c>
      <c r="C37" s="13" t="str">
        <f>[1]!PVT_encode_string(gamma_gas_,gamma_oil_,gamma_wat_,Rsb_,Rp_,Pb_,Tres_,Bob_,muob_,PVT_corr_,Ksep_,Psep_,Tsep,gas_only_)</f>
        <v>{"gamma_gas":0.8,"gamma_oil":0.86,"gamma_wat":1,"rsb_m3m3":80,"rp_m3m3":80,"pb_atma":120,"t_res_C":100,"bob_m3m3":1.2,"muob_cP":1,"PVTcorr":0,"ksep_fr":0,"p_ksep_atma":50,"t_ksep_C":30}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>
        <f>1/57.295755</f>
        <v>1.7453299987058378E-2</v>
      </c>
    </row>
    <row r="38" spans="1:40" ht="15" x14ac:dyDescent="0.25">
      <c r="B38" s="48"/>
    </row>
    <row r="40" spans="1:40" ht="16.5" customHeight="1" x14ac:dyDescent="0.2">
      <c r="C40" s="33" t="s">
        <v>67</v>
      </c>
      <c r="M40" s="33" t="s">
        <v>68</v>
      </c>
    </row>
    <row r="41" spans="1:40" x14ac:dyDescent="0.2">
      <c r="A41" s="14"/>
      <c r="C41" s="42">
        <f t="array" ref="C41:K63">[1]!MF_p_pipe_atma(p0_,t0_,t1_,L_,theta_,id_,Q_,fw_,Q_gas_free_,PVRstr1_,calc_flow_direction_,Hydr_corr_,H27:H28)</f>
        <v>106.97006614387026</v>
      </c>
      <c r="D41" s="43">
        <v>80</v>
      </c>
      <c r="E41" s="43">
        <v>26</v>
      </c>
      <c r="F41" s="43">
        <v>40</v>
      </c>
      <c r="G41" s="49">
        <v>106.97006614387026</v>
      </c>
      <c r="H41" s="43">
        <v>80</v>
      </c>
      <c r="I41" s="43">
        <v>1</v>
      </c>
      <c r="J41" s="43">
        <v>1</v>
      </c>
      <c r="K41" s="44">
        <v>144</v>
      </c>
      <c r="M41" s="42">
        <f t="array" ref="M41:U63">[1]!MF_p_pipe_atma(p1_,t1_,t0_,L_,theta_,id_,Q_,fw_,Q_gas_free_,PVRstr1_,calc_flow_direction2_,Hydr_corr_,H27:H28)</f>
        <v>18.873555042948787</v>
      </c>
      <c r="N41" s="43">
        <v>40</v>
      </c>
      <c r="O41" s="43">
        <v>18.873555042948787</v>
      </c>
      <c r="P41" s="43">
        <v>40</v>
      </c>
      <c r="Q41" s="43">
        <v>100</v>
      </c>
      <c r="R41" s="43">
        <v>80</v>
      </c>
      <c r="S41" s="43">
        <v>1</v>
      </c>
      <c r="T41" s="43">
        <v>1</v>
      </c>
      <c r="U41" s="44">
        <v>144</v>
      </c>
    </row>
    <row r="42" spans="1:40" x14ac:dyDescent="0.2">
      <c r="A42" s="14"/>
      <c r="C42" s="45" t="str">
        <v>p_result_atma</v>
      </c>
      <c r="D42" s="46" t="str">
        <v>t_result_C</v>
      </c>
      <c r="E42" s="46" t="str">
        <v>p_1, atma</v>
      </c>
      <c r="F42" s="46" t="str">
        <v>t_1, C</v>
      </c>
      <c r="G42" s="46" t="str">
        <v>p_2, atma</v>
      </c>
      <c r="H42" s="46" t="str">
        <v>t_2, C</v>
      </c>
      <c r="I42" s="46" t="str">
        <v>c_calibr_grav</v>
      </c>
      <c r="J42" s="46" t="str">
        <v>c_calibr_fric</v>
      </c>
      <c r="K42" s="47" t="str">
        <v>q_gas_sm3day</v>
      </c>
      <c r="M42" s="45" t="str">
        <v>p_result_atma</v>
      </c>
      <c r="N42" s="46" t="str">
        <v>t_result_C</v>
      </c>
      <c r="O42" s="46" t="str">
        <v>p_1, atma</v>
      </c>
      <c r="P42" s="46" t="str">
        <v>t_1, C</v>
      </c>
      <c r="Q42" s="46" t="str">
        <v>p_2, atma</v>
      </c>
      <c r="R42" s="46" t="str">
        <v>t_2, C</v>
      </c>
      <c r="S42" s="46" t="str">
        <v>c_calibr_grav</v>
      </c>
      <c r="T42" s="46" t="str">
        <v>c_calibr_fric</v>
      </c>
      <c r="U42" s="47" t="str">
        <v>q_gas_sm3day</v>
      </c>
    </row>
    <row r="43" spans="1:40" x14ac:dyDescent="0.2">
      <c r="A43" s="14"/>
      <c r="C43" s="34" t="str">
        <v>num</v>
      </c>
      <c r="D43" s="35" t="str">
        <v>h,m</v>
      </c>
      <c r="E43" s="35" t="str">
        <v>hvert,m</v>
      </c>
      <c r="F43" s="35" t="str">
        <v>p,atma</v>
      </c>
      <c r="G43" s="35" t="str">
        <v>t,C</v>
      </c>
      <c r="H43" s="35" t="str">
        <v>Hl</v>
      </c>
      <c r="I43" s="35" t="str">
        <v>fpat</v>
      </c>
      <c r="J43" s="35" t="str">
        <v>t_amb, C</v>
      </c>
      <c r="K43" s="36" t="str">
        <v>diam, m</v>
      </c>
      <c r="M43" s="34" t="str">
        <v>num</v>
      </c>
      <c r="N43" s="35" t="str">
        <v>h,m</v>
      </c>
      <c r="O43" s="35" t="str">
        <v>hvert,m</v>
      </c>
      <c r="P43" s="35" t="str">
        <v>p,atma</v>
      </c>
      <c r="Q43" s="35" t="str">
        <v>t,C</v>
      </c>
      <c r="R43" s="35" t="str">
        <v>Hl</v>
      </c>
      <c r="S43" s="35" t="str">
        <v>fpat</v>
      </c>
      <c r="T43" s="35" t="str">
        <v>t_amb, C</v>
      </c>
      <c r="U43" s="36" t="str">
        <v>diam, m</v>
      </c>
    </row>
    <row r="44" spans="1:40" x14ac:dyDescent="0.2">
      <c r="A44" s="14"/>
      <c r="C44" s="34">
        <v>1</v>
      </c>
      <c r="D44" s="37">
        <v>0</v>
      </c>
      <c r="E44" s="35">
        <v>0</v>
      </c>
      <c r="F44" s="59">
        <v>26</v>
      </c>
      <c r="G44" s="37">
        <v>40</v>
      </c>
      <c r="H44" s="56">
        <v>1</v>
      </c>
      <c r="I44" s="35">
        <v>0</v>
      </c>
      <c r="J44" s="37">
        <v>40</v>
      </c>
      <c r="K44" s="36">
        <v>6.2E-2</v>
      </c>
      <c r="L44" s="58"/>
      <c r="M44" s="34">
        <v>1</v>
      </c>
      <c r="N44" s="37">
        <v>0</v>
      </c>
      <c r="O44" s="37">
        <v>0</v>
      </c>
      <c r="P44" s="37">
        <v>18.873555042948787</v>
      </c>
      <c r="Q44" s="37">
        <v>40</v>
      </c>
      <c r="R44" s="56">
        <v>0.94080443825053661</v>
      </c>
      <c r="S44" s="35">
        <v>0</v>
      </c>
      <c r="T44" s="37">
        <v>40</v>
      </c>
      <c r="U44" s="36">
        <v>6.2E-2</v>
      </c>
    </row>
    <row r="45" spans="1:40" x14ac:dyDescent="0.2">
      <c r="A45" s="14"/>
      <c r="C45" s="34">
        <v>2</v>
      </c>
      <c r="D45" s="37">
        <v>52.631578947368418</v>
      </c>
      <c r="E45" s="37">
        <v>52.631578947368418</v>
      </c>
      <c r="F45" s="59">
        <v>30.369278825764006</v>
      </c>
      <c r="G45" s="37">
        <v>42.10526315789474</v>
      </c>
      <c r="H45" s="56">
        <v>1</v>
      </c>
      <c r="I45" s="35">
        <v>0</v>
      </c>
      <c r="J45" s="37">
        <v>42.10526315789474</v>
      </c>
      <c r="K45" s="36">
        <v>6.2E-2</v>
      </c>
      <c r="L45" s="58"/>
      <c r="M45" s="34">
        <v>2</v>
      </c>
      <c r="N45" s="37">
        <v>52.631578947368418</v>
      </c>
      <c r="O45" s="37">
        <v>52.631578947368418</v>
      </c>
      <c r="P45" s="37">
        <v>23.211085651352406</v>
      </c>
      <c r="Q45" s="37">
        <v>42.10526315789474</v>
      </c>
      <c r="R45" s="56">
        <v>0.97195999706604363</v>
      </c>
      <c r="S45" s="35">
        <v>0</v>
      </c>
      <c r="T45" s="37">
        <v>42.10526315789474</v>
      </c>
      <c r="U45" s="36">
        <v>6.2E-2</v>
      </c>
    </row>
    <row r="46" spans="1:40" x14ac:dyDescent="0.2">
      <c r="A46" s="14"/>
      <c r="C46" s="34">
        <v>3</v>
      </c>
      <c r="D46" s="37">
        <v>105.26315789473684</v>
      </c>
      <c r="E46" s="37">
        <v>105.26315789473684</v>
      </c>
      <c r="F46" s="59">
        <v>34.736265936896757</v>
      </c>
      <c r="G46" s="37">
        <v>44.210526315789473</v>
      </c>
      <c r="H46" s="56">
        <v>1</v>
      </c>
      <c r="I46" s="35">
        <v>0</v>
      </c>
      <c r="J46" s="37">
        <v>44.210526315789473</v>
      </c>
      <c r="K46" s="36">
        <v>6.2E-2</v>
      </c>
      <c r="L46" s="58"/>
      <c r="M46" s="34">
        <v>3</v>
      </c>
      <c r="N46" s="37">
        <v>105.26315789473684</v>
      </c>
      <c r="O46" s="37">
        <v>105.26315789473684</v>
      </c>
      <c r="P46" s="37">
        <v>27.550586672602424</v>
      </c>
      <c r="Q46" s="37">
        <v>44.210526315789473</v>
      </c>
      <c r="R46" s="56">
        <v>1</v>
      </c>
      <c r="S46" s="35">
        <v>0</v>
      </c>
      <c r="T46" s="37">
        <v>44.210526315789473</v>
      </c>
      <c r="U46" s="36">
        <v>6.2E-2</v>
      </c>
    </row>
    <row r="47" spans="1:40" x14ac:dyDescent="0.2">
      <c r="A47" s="14"/>
      <c r="C47" s="34">
        <v>4</v>
      </c>
      <c r="D47" s="37">
        <v>157.89473684210526</v>
      </c>
      <c r="E47" s="37">
        <v>157.89473684210526</v>
      </c>
      <c r="F47" s="59">
        <v>39.082627616348155</v>
      </c>
      <c r="G47" s="37">
        <v>46.315789473684212</v>
      </c>
      <c r="H47" s="56">
        <v>1</v>
      </c>
      <c r="I47" s="35">
        <v>0</v>
      </c>
      <c r="J47" s="37">
        <v>46.315789473684212</v>
      </c>
      <c r="K47" s="36">
        <v>6.2E-2</v>
      </c>
      <c r="L47" s="58"/>
      <c r="M47" s="34">
        <v>4</v>
      </c>
      <c r="N47" s="37">
        <v>157.89473684210526</v>
      </c>
      <c r="O47" s="37">
        <v>157.89473684210526</v>
      </c>
      <c r="P47" s="37">
        <v>31.907821409470056</v>
      </c>
      <c r="Q47" s="37">
        <v>46.315789473684212</v>
      </c>
      <c r="R47" s="56">
        <v>1</v>
      </c>
      <c r="S47" s="35">
        <v>0</v>
      </c>
      <c r="T47" s="37">
        <v>46.315789473684212</v>
      </c>
      <c r="U47" s="36">
        <v>6.2E-2</v>
      </c>
    </row>
    <row r="48" spans="1:40" x14ac:dyDescent="0.2">
      <c r="A48" s="14"/>
      <c r="C48" s="34">
        <v>5</v>
      </c>
      <c r="D48" s="37">
        <v>210.52631578947367</v>
      </c>
      <c r="E48" s="37">
        <v>210.52631578947367</v>
      </c>
      <c r="F48" s="59">
        <v>43.424248825827028</v>
      </c>
      <c r="G48" s="37">
        <v>48.421052631578945</v>
      </c>
      <c r="H48" s="56">
        <v>1</v>
      </c>
      <c r="I48" s="35">
        <v>0</v>
      </c>
      <c r="J48" s="37">
        <v>48.421052631578945</v>
      </c>
      <c r="K48" s="36">
        <v>6.2E-2</v>
      </c>
      <c r="L48" s="58"/>
      <c r="M48" s="34">
        <v>5</v>
      </c>
      <c r="N48" s="37">
        <v>210.52631578947367</v>
      </c>
      <c r="O48" s="37">
        <v>210.52631578947367</v>
      </c>
      <c r="P48" s="37">
        <v>36.26047841670529</v>
      </c>
      <c r="Q48" s="37">
        <v>48.421052631578945</v>
      </c>
      <c r="R48" s="56">
        <v>1</v>
      </c>
      <c r="S48" s="35">
        <v>0</v>
      </c>
      <c r="T48" s="37">
        <v>48.421052631578945</v>
      </c>
      <c r="U48" s="36">
        <v>6.2E-2</v>
      </c>
    </row>
    <row r="49" spans="1:21" x14ac:dyDescent="0.2">
      <c r="A49" s="14"/>
      <c r="C49" s="34">
        <v>6</v>
      </c>
      <c r="D49" s="37">
        <v>263.15789473684208</v>
      </c>
      <c r="E49" s="37">
        <v>263.15789473684208</v>
      </c>
      <c r="F49" s="59">
        <v>47.74690815541576</v>
      </c>
      <c r="G49" s="37">
        <v>50.526315789473685</v>
      </c>
      <c r="H49" s="56">
        <v>1</v>
      </c>
      <c r="I49" s="35">
        <v>0</v>
      </c>
      <c r="J49" s="37">
        <v>50.526315789473685</v>
      </c>
      <c r="K49" s="36">
        <v>6.2E-2</v>
      </c>
      <c r="L49" s="58"/>
      <c r="M49" s="34">
        <v>6</v>
      </c>
      <c r="N49" s="37">
        <v>263.15789473684208</v>
      </c>
      <c r="O49" s="37">
        <v>263.15789473684208</v>
      </c>
      <c r="P49" s="37">
        <v>40.594824505410919</v>
      </c>
      <c r="Q49" s="37">
        <v>50.526315789473685</v>
      </c>
      <c r="R49" s="56">
        <v>1</v>
      </c>
      <c r="S49" s="35">
        <v>0</v>
      </c>
      <c r="T49" s="37">
        <v>50.526315789473685</v>
      </c>
      <c r="U49" s="36">
        <v>6.2E-2</v>
      </c>
    </row>
    <row r="50" spans="1:21" x14ac:dyDescent="0.2">
      <c r="A50" s="14"/>
      <c r="C50" s="34">
        <v>7</v>
      </c>
      <c r="D50" s="37">
        <v>315.78947368421052</v>
      </c>
      <c r="E50" s="37">
        <v>315.78947368421052</v>
      </c>
      <c r="F50" s="59">
        <v>52.062309266978488</v>
      </c>
      <c r="G50" s="37">
        <v>52.631578947368418</v>
      </c>
      <c r="H50" s="56">
        <v>1</v>
      </c>
      <c r="I50" s="35">
        <v>0</v>
      </c>
      <c r="J50" s="37">
        <v>52.631578947368418</v>
      </c>
      <c r="K50" s="36">
        <v>6.2E-2</v>
      </c>
      <c r="L50" s="58"/>
      <c r="M50" s="34">
        <v>7</v>
      </c>
      <c r="N50" s="37">
        <v>315.78947368421052</v>
      </c>
      <c r="O50" s="37">
        <v>315.78947368421052</v>
      </c>
      <c r="P50" s="37">
        <v>44.922095802414368</v>
      </c>
      <c r="Q50" s="37">
        <v>52.631578947368418</v>
      </c>
      <c r="R50" s="56">
        <v>1</v>
      </c>
      <c r="S50" s="35">
        <v>0</v>
      </c>
      <c r="T50" s="37">
        <v>52.631578947368418</v>
      </c>
      <c r="U50" s="36">
        <v>6.2E-2</v>
      </c>
    </row>
    <row r="51" spans="1:21" x14ac:dyDescent="0.2">
      <c r="A51" s="14"/>
      <c r="C51" s="34">
        <v>8</v>
      </c>
      <c r="D51" s="37">
        <v>368.4210526315789</v>
      </c>
      <c r="E51" s="37">
        <v>368.4210526315789</v>
      </c>
      <c r="F51" s="59">
        <v>56.360774536480548</v>
      </c>
      <c r="G51" s="37">
        <v>54.736842105263158</v>
      </c>
      <c r="H51" s="56">
        <v>1</v>
      </c>
      <c r="I51" s="35">
        <v>0</v>
      </c>
      <c r="J51" s="37">
        <v>54.736842105263158</v>
      </c>
      <c r="K51" s="36">
        <v>6.2E-2</v>
      </c>
      <c r="L51" s="58"/>
      <c r="M51" s="34">
        <v>8</v>
      </c>
      <c r="N51" s="37">
        <v>368.4210526315789</v>
      </c>
      <c r="O51" s="37">
        <v>368.4210526315789</v>
      </c>
      <c r="P51" s="37">
        <v>49.232859252112718</v>
      </c>
      <c r="Q51" s="37">
        <v>54.736842105263158</v>
      </c>
      <c r="R51" s="56">
        <v>1</v>
      </c>
      <c r="S51" s="35">
        <v>0</v>
      </c>
      <c r="T51" s="37">
        <v>54.736842105263158</v>
      </c>
      <c r="U51" s="36">
        <v>6.2E-2</v>
      </c>
    </row>
    <row r="52" spans="1:21" x14ac:dyDescent="0.2">
      <c r="A52" s="14"/>
      <c r="C52" s="34">
        <v>9</v>
      </c>
      <c r="D52" s="37">
        <v>421.05263157894734</v>
      </c>
      <c r="E52" s="37">
        <v>421.05263157894734</v>
      </c>
      <c r="F52" s="59">
        <v>60.649458380000759</v>
      </c>
      <c r="G52" s="37">
        <v>56.84210526315789</v>
      </c>
      <c r="H52" s="56">
        <v>1</v>
      </c>
      <c r="I52" s="35">
        <v>0</v>
      </c>
      <c r="J52" s="37">
        <v>56.84210526315789</v>
      </c>
      <c r="K52" s="36">
        <v>6.2E-2</v>
      </c>
      <c r="L52" s="58"/>
      <c r="M52" s="34">
        <v>9</v>
      </c>
      <c r="N52" s="37">
        <v>421.05263157894734</v>
      </c>
      <c r="O52" s="37">
        <v>421.05263157894734</v>
      </c>
      <c r="P52" s="37">
        <v>53.534019781851079</v>
      </c>
      <c r="Q52" s="37">
        <v>56.84210526315789</v>
      </c>
      <c r="R52" s="56">
        <v>1</v>
      </c>
      <c r="S52" s="35">
        <v>0</v>
      </c>
      <c r="T52" s="37">
        <v>56.84210526315789</v>
      </c>
      <c r="U52" s="36">
        <v>6.2E-2</v>
      </c>
    </row>
    <row r="53" spans="1:21" x14ac:dyDescent="0.2">
      <c r="A53" s="14"/>
      <c r="C53" s="34">
        <v>10</v>
      </c>
      <c r="D53" s="37">
        <v>473.68421052631578</v>
      </c>
      <c r="E53" s="37">
        <v>473.68421052631578</v>
      </c>
      <c r="F53" s="59">
        <v>64.923470084548171</v>
      </c>
      <c r="G53" s="37">
        <v>58.94736842105263</v>
      </c>
      <c r="H53" s="56">
        <v>1</v>
      </c>
      <c r="I53" s="35">
        <v>0</v>
      </c>
      <c r="J53" s="37">
        <v>58.94736842105263</v>
      </c>
      <c r="K53" s="36">
        <v>6.2E-2</v>
      </c>
      <c r="L53" s="58"/>
      <c r="M53" s="34">
        <v>10</v>
      </c>
      <c r="N53" s="37">
        <v>473.68421052631578</v>
      </c>
      <c r="O53" s="37">
        <v>473.68421052631578</v>
      </c>
      <c r="P53" s="37">
        <v>57.820775931649436</v>
      </c>
      <c r="Q53" s="37">
        <v>58.94736842105263</v>
      </c>
      <c r="R53" s="56">
        <v>1</v>
      </c>
      <c r="S53" s="35">
        <v>0</v>
      </c>
      <c r="T53" s="37">
        <v>58.94736842105263</v>
      </c>
      <c r="U53" s="36">
        <v>6.2E-2</v>
      </c>
    </row>
    <row r="54" spans="1:21" x14ac:dyDescent="0.2">
      <c r="A54" s="14"/>
      <c r="C54" s="34">
        <v>11</v>
      </c>
      <c r="D54" s="37">
        <v>526.31578947368416</v>
      </c>
      <c r="E54" s="37">
        <v>526.31578947368416</v>
      </c>
      <c r="F54" s="59">
        <v>69.185217045924105</v>
      </c>
      <c r="G54" s="37">
        <v>61.05263157894737</v>
      </c>
      <c r="H54" s="56">
        <v>1</v>
      </c>
      <c r="I54" s="35">
        <v>0</v>
      </c>
      <c r="J54" s="37">
        <v>61.05263157894737</v>
      </c>
      <c r="K54" s="36">
        <v>6.2E-2</v>
      </c>
      <c r="L54" s="58"/>
      <c r="M54" s="34">
        <v>11</v>
      </c>
      <c r="N54" s="37">
        <v>526.31578947368416</v>
      </c>
      <c r="O54" s="37">
        <v>526.31578947368416</v>
      </c>
      <c r="P54" s="37">
        <v>62.095422854687783</v>
      </c>
      <c r="Q54" s="37">
        <v>61.05263157894737</v>
      </c>
      <c r="R54" s="56">
        <v>1</v>
      </c>
      <c r="S54" s="35">
        <v>0</v>
      </c>
      <c r="T54" s="37">
        <v>61.05263157894737</v>
      </c>
      <c r="U54" s="36">
        <v>6.2E-2</v>
      </c>
    </row>
    <row r="55" spans="1:21" x14ac:dyDescent="0.2">
      <c r="A55" s="14"/>
      <c r="C55" s="34">
        <v>12</v>
      </c>
      <c r="D55" s="37">
        <v>578.9473684210526</v>
      </c>
      <c r="E55" s="37">
        <v>578.9473684210526</v>
      </c>
      <c r="F55" s="59">
        <v>73.434699264128554</v>
      </c>
      <c r="G55" s="37">
        <v>63.157894736842103</v>
      </c>
      <c r="H55" s="56">
        <v>1</v>
      </c>
      <c r="I55" s="35">
        <v>0</v>
      </c>
      <c r="J55" s="37">
        <v>63.157894736842103</v>
      </c>
      <c r="K55" s="36">
        <v>6.2E-2</v>
      </c>
      <c r="L55" s="58"/>
      <c r="M55" s="34">
        <v>12</v>
      </c>
      <c r="N55" s="37">
        <v>578.9473684210526</v>
      </c>
      <c r="O55" s="37">
        <v>578.9473684210526</v>
      </c>
      <c r="P55" s="37">
        <v>66.357960550966126</v>
      </c>
      <c r="Q55" s="37">
        <v>63.157894736842103</v>
      </c>
      <c r="R55" s="56">
        <v>1</v>
      </c>
      <c r="S55" s="35">
        <v>0</v>
      </c>
      <c r="T55" s="37">
        <v>63.157894736842103</v>
      </c>
      <c r="U55" s="36">
        <v>6.2E-2</v>
      </c>
    </row>
    <row r="56" spans="1:21" x14ac:dyDescent="0.2">
      <c r="A56" s="14"/>
      <c r="C56" s="34">
        <v>13</v>
      </c>
      <c r="D56" s="37">
        <v>631.57894736842104</v>
      </c>
      <c r="E56" s="37">
        <v>631.57894736842104</v>
      </c>
      <c r="F56" s="59">
        <v>77.669505060698555</v>
      </c>
      <c r="G56" s="37">
        <v>65.263157894736835</v>
      </c>
      <c r="H56" s="56">
        <v>1</v>
      </c>
      <c r="I56" s="35">
        <v>0</v>
      </c>
      <c r="J56" s="37">
        <v>65.263157894736835</v>
      </c>
      <c r="K56" s="36">
        <v>6.2E-2</v>
      </c>
      <c r="L56" s="58"/>
      <c r="M56" s="34">
        <v>13</v>
      </c>
      <c r="N56" s="37">
        <v>631.57894736842104</v>
      </c>
      <c r="O56" s="37">
        <v>631.57894736842104</v>
      </c>
      <c r="P56" s="37">
        <v>70.605941937962371</v>
      </c>
      <c r="Q56" s="37">
        <v>65.263157894736835</v>
      </c>
      <c r="R56" s="56">
        <v>1</v>
      </c>
      <c r="S56" s="35">
        <v>0</v>
      </c>
      <c r="T56" s="37">
        <v>65.263157894736835</v>
      </c>
      <c r="U56" s="36">
        <v>6.2E-2</v>
      </c>
    </row>
    <row r="57" spans="1:21" x14ac:dyDescent="0.2">
      <c r="A57" s="14"/>
      <c r="C57" s="34">
        <v>14</v>
      </c>
      <c r="D57" s="37">
        <v>684.21052631578948</v>
      </c>
      <c r="E57" s="37">
        <v>684.21052631578948</v>
      </c>
      <c r="F57" s="59">
        <v>81.894526576178947</v>
      </c>
      <c r="G57" s="37">
        <v>67.368421052631575</v>
      </c>
      <c r="H57" s="56">
        <v>1</v>
      </c>
      <c r="I57" s="35">
        <v>0</v>
      </c>
      <c r="J57" s="37">
        <v>67.368421052631575</v>
      </c>
      <c r="K57" s="36">
        <v>6.2E-2</v>
      </c>
      <c r="L57" s="58"/>
      <c r="M57" s="34">
        <v>14</v>
      </c>
      <c r="N57" s="37">
        <v>684.21052631578948</v>
      </c>
      <c r="O57" s="37">
        <v>684.21052631578948</v>
      </c>
      <c r="P57" s="37">
        <v>74.844219118770553</v>
      </c>
      <c r="Q57" s="37">
        <v>67.368421052631575</v>
      </c>
      <c r="R57" s="56">
        <v>1</v>
      </c>
      <c r="S57" s="35">
        <v>0</v>
      </c>
      <c r="T57" s="37">
        <v>67.368421052631575</v>
      </c>
      <c r="U57" s="36">
        <v>6.2E-2</v>
      </c>
    </row>
    <row r="58" spans="1:21" x14ac:dyDescent="0.2">
      <c r="A58" s="14"/>
      <c r="C58" s="34">
        <v>15</v>
      </c>
      <c r="D58" s="37">
        <v>736.8421052631578</v>
      </c>
      <c r="E58" s="37">
        <v>736.8421052631578</v>
      </c>
      <c r="F58" s="59">
        <v>86.102553170684757</v>
      </c>
      <c r="G58" s="37">
        <v>69.473684210526315</v>
      </c>
      <c r="H58" s="56">
        <v>1</v>
      </c>
      <c r="I58" s="35">
        <v>0</v>
      </c>
      <c r="J58" s="37">
        <v>69.473684210526315</v>
      </c>
      <c r="K58" s="36">
        <v>6.2E-2</v>
      </c>
      <c r="L58" s="58"/>
      <c r="M58" s="34">
        <v>15</v>
      </c>
      <c r="N58" s="37">
        <v>736.8421052631578</v>
      </c>
      <c r="O58" s="37">
        <v>736.8421052631578</v>
      </c>
      <c r="P58" s="37">
        <v>79.065577921151259</v>
      </c>
      <c r="Q58" s="37">
        <v>69.473684210526315</v>
      </c>
      <c r="R58" s="56">
        <v>1</v>
      </c>
      <c r="S58" s="35">
        <v>0</v>
      </c>
      <c r="T58" s="37">
        <v>69.473684210526315</v>
      </c>
      <c r="U58" s="36">
        <v>6.2E-2</v>
      </c>
    </row>
    <row r="59" spans="1:21" x14ac:dyDescent="0.2">
      <c r="A59" s="14"/>
      <c r="C59" s="34">
        <v>16</v>
      </c>
      <c r="D59" s="37">
        <v>789.47368421052624</v>
      </c>
      <c r="E59" s="37">
        <v>789.47368421052624</v>
      </c>
      <c r="F59" s="59">
        <v>90.303296227630028</v>
      </c>
      <c r="G59" s="37">
        <v>71.578947368421055</v>
      </c>
      <c r="H59" s="56">
        <v>1</v>
      </c>
      <c r="I59" s="35">
        <v>0</v>
      </c>
      <c r="J59" s="37">
        <v>71.578947368421055</v>
      </c>
      <c r="K59" s="36">
        <v>6.2E-2</v>
      </c>
      <c r="L59" s="58"/>
      <c r="M59" s="34">
        <v>16</v>
      </c>
      <c r="N59" s="37">
        <v>789.47368421052624</v>
      </c>
      <c r="O59" s="37">
        <v>789.47368421052624</v>
      </c>
      <c r="P59" s="37">
        <v>83.279685989920196</v>
      </c>
      <c r="Q59" s="37">
        <v>71.578947368421055</v>
      </c>
      <c r="R59" s="56">
        <v>1</v>
      </c>
      <c r="S59" s="35">
        <v>0</v>
      </c>
      <c r="T59" s="37">
        <v>71.578947368421055</v>
      </c>
      <c r="U59" s="36">
        <v>6.2E-2</v>
      </c>
    </row>
    <row r="60" spans="1:21" x14ac:dyDescent="0.2">
      <c r="A60" s="14"/>
      <c r="C60" s="34">
        <v>17</v>
      </c>
      <c r="D60" s="37">
        <v>842.10526315789468</v>
      </c>
      <c r="E60" s="37">
        <v>842.10526315789468</v>
      </c>
      <c r="F60" s="59">
        <v>94.484832926171393</v>
      </c>
      <c r="G60" s="37">
        <v>73.68421052631578</v>
      </c>
      <c r="H60" s="56">
        <v>1</v>
      </c>
      <c r="I60" s="35">
        <v>0</v>
      </c>
      <c r="J60" s="37">
        <v>73.68421052631578</v>
      </c>
      <c r="K60" s="36">
        <v>6.2E-2</v>
      </c>
      <c r="L60" s="58"/>
      <c r="M60" s="34">
        <v>17</v>
      </c>
      <c r="N60" s="37">
        <v>842.10526315789468</v>
      </c>
      <c r="O60" s="37">
        <v>842.10526315789468</v>
      </c>
      <c r="P60" s="37">
        <v>87.474615691525159</v>
      </c>
      <c r="Q60" s="37">
        <v>73.68421052631578</v>
      </c>
      <c r="R60" s="56">
        <v>1</v>
      </c>
      <c r="S60" s="35">
        <v>0</v>
      </c>
      <c r="T60" s="37">
        <v>73.68421052631578</v>
      </c>
      <c r="U60" s="36">
        <v>6.2E-2</v>
      </c>
    </row>
    <row r="61" spans="1:21" x14ac:dyDescent="0.2">
      <c r="A61" s="14"/>
      <c r="C61" s="34">
        <v>18</v>
      </c>
      <c r="D61" s="37">
        <v>894.73684210526312</v>
      </c>
      <c r="E61" s="37">
        <v>894.73684210526312</v>
      </c>
      <c r="F61" s="59">
        <v>98.66156803511177</v>
      </c>
      <c r="G61" s="37">
        <v>75.78947368421052</v>
      </c>
      <c r="H61" s="56">
        <v>1</v>
      </c>
      <c r="I61" s="35">
        <v>0</v>
      </c>
      <c r="J61" s="37">
        <v>75.78947368421052</v>
      </c>
      <c r="K61" s="36">
        <v>6.2E-2</v>
      </c>
      <c r="L61" s="58"/>
      <c r="M61" s="34">
        <v>18</v>
      </c>
      <c r="N61" s="37">
        <v>894.73684210526312</v>
      </c>
      <c r="O61" s="37">
        <v>894.73684210526312</v>
      </c>
      <c r="P61" s="37">
        <v>91.664750801339125</v>
      </c>
      <c r="Q61" s="37">
        <v>75.78947368421052</v>
      </c>
      <c r="R61" s="56">
        <v>1</v>
      </c>
      <c r="S61" s="35">
        <v>0</v>
      </c>
      <c r="T61" s="37">
        <v>75.78947368421052</v>
      </c>
      <c r="U61" s="36">
        <v>6.2E-2</v>
      </c>
    </row>
    <row r="62" spans="1:21" x14ac:dyDescent="0.2">
      <c r="A62" s="14"/>
      <c r="C62" s="34">
        <v>19</v>
      </c>
      <c r="D62" s="37">
        <v>947.36842105263156</v>
      </c>
      <c r="E62" s="37">
        <v>947.36842105263156</v>
      </c>
      <c r="F62" s="59">
        <v>102.81700056604686</v>
      </c>
      <c r="G62" s="37">
        <v>77.89473684210526</v>
      </c>
      <c r="H62" s="56">
        <v>1</v>
      </c>
      <c r="I62" s="35">
        <v>0</v>
      </c>
      <c r="J62" s="37">
        <v>77.89473684210526</v>
      </c>
      <c r="K62" s="36">
        <v>6.2E-2</v>
      </c>
      <c r="L62" s="58"/>
      <c r="M62" s="34">
        <v>19</v>
      </c>
      <c r="N62" s="37">
        <v>947.36842105263156</v>
      </c>
      <c r="O62" s="37">
        <v>947.36842105263156</v>
      </c>
      <c r="P62" s="37">
        <v>95.833560164379222</v>
      </c>
      <c r="Q62" s="37">
        <v>77.89473684210526</v>
      </c>
      <c r="R62" s="56">
        <v>1</v>
      </c>
      <c r="S62" s="35">
        <v>0</v>
      </c>
      <c r="T62" s="37">
        <v>77.89473684210526</v>
      </c>
      <c r="U62" s="36">
        <v>6.2E-2</v>
      </c>
    </row>
    <row r="63" spans="1:21" x14ac:dyDescent="0.2">
      <c r="A63" s="14"/>
      <c r="C63" s="38">
        <v>20</v>
      </c>
      <c r="D63" s="39">
        <v>1000</v>
      </c>
      <c r="E63" s="39">
        <v>1000</v>
      </c>
      <c r="F63" s="60">
        <v>106.97006614387026</v>
      </c>
      <c r="G63" s="39">
        <v>80</v>
      </c>
      <c r="H63" s="57">
        <v>1</v>
      </c>
      <c r="I63" s="40">
        <v>0</v>
      </c>
      <c r="J63" s="39">
        <v>80</v>
      </c>
      <c r="K63" s="41">
        <v>6.2E-2</v>
      </c>
      <c r="L63" s="58"/>
      <c r="M63" s="38">
        <v>20</v>
      </c>
      <c r="N63" s="39">
        <v>1000</v>
      </c>
      <c r="O63" s="39">
        <v>1000</v>
      </c>
      <c r="P63" s="39">
        <v>100</v>
      </c>
      <c r="Q63" s="39">
        <v>80</v>
      </c>
      <c r="R63" s="57">
        <v>1</v>
      </c>
      <c r="S63" s="40">
        <v>0</v>
      </c>
      <c r="T63" s="39">
        <v>80</v>
      </c>
      <c r="U63" s="41">
        <v>6.2E-2</v>
      </c>
    </row>
    <row r="64" spans="1:2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2:G22"/>
    <mergeCell ref="B3:E3"/>
    <mergeCell ref="B4:E4"/>
    <mergeCell ref="B5:E5"/>
    <mergeCell ref="B6:E8"/>
    <mergeCell ref="F21:G21"/>
    <mergeCell ref="F23:G23"/>
    <mergeCell ref="F24:G24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44</vt:i4>
      </vt:variant>
    </vt:vector>
  </HeadingPairs>
  <TitlesOfParts>
    <vt:vector size="45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exercise_MF1!n_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2020-06-27T06:51:47Z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