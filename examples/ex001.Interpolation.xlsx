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ЭтаКнига"/>
  <mc:AlternateContent xmlns:mc="http://schemas.openxmlformats.org/markup-compatibility/2006">
    <mc:Choice Requires="x15">
      <x15ac:absPath xmlns:x15ac="http://schemas.microsoft.com/office/spreadsheetml/2010/11/ac" url="E:\unifloc\unifloc_vba\examples\"/>
    </mc:Choice>
  </mc:AlternateContent>
  <xr:revisionPtr revIDLastSave="0" documentId="13_ncr:1_{E339434E-4F1E-4C9D-B27C-834B0C601E2D}" xr6:coauthVersionLast="47" xr6:coauthVersionMax="47" xr10:uidLastSave="{00000000-0000-0000-0000-000000000000}"/>
  <bookViews>
    <workbookView xWindow="1095" yWindow="5250" windowWidth="27795" windowHeight="16815" tabRatio="488" xr2:uid="{00000000-000D-0000-FFFF-FFFF00000000}"/>
  </bookViews>
  <sheets>
    <sheet name="interpolation" sheetId="1" r:id="rId1"/>
  </sheets>
  <externalReferences>
    <externalReference r:id="rId2"/>
  </externalReferences>
  <definedNames>
    <definedName name="f_to_solve_">interpolation!$R$27</definedName>
    <definedName name="fx_">interpolation!$C$7:$C$15</definedName>
    <definedName name="gx2_">interpolation!$F$7:$F$15</definedName>
    <definedName name="input1">interpolation!$C$21:$D$221</definedName>
    <definedName name="input2">interpolation!$R$30:$V$31</definedName>
    <definedName name="input3">interpolation!$AC$30:$AH$31</definedName>
    <definedName name="x_">interpolation!$B$7:$B$15</definedName>
    <definedName name="x2_">interpolation!$E$7:$E$15</definedName>
    <definedName name="тип_интерполяции_">interpolation!$H$20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18" i="1" l="1"/>
  <c r="G1" i="1" a="1"/>
  <c r="R30" i="1" a="1"/>
  <c r="AC30" i="1" a="1"/>
  <c r="AF30" i="1" l="1"/>
  <c r="AC30" i="1"/>
  <c r="AD30" i="1"/>
  <c r="AE30" i="1"/>
  <c r="AG30" i="1"/>
  <c r="AH30" i="1"/>
  <c r="R30" i="1"/>
  <c r="S30" i="1"/>
  <c r="T30" i="1"/>
  <c r="U30" i="1"/>
  <c r="V30" i="1"/>
  <c r="G1" i="1"/>
  <c r="B22" i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H20" i="1"/>
  <c r="C65" i="1"/>
  <c r="D149" i="1"/>
  <c r="C54" i="1"/>
  <c r="C126" i="1"/>
  <c r="C198" i="1"/>
  <c r="C23" i="1"/>
  <c r="C31" i="1"/>
  <c r="C127" i="1"/>
  <c r="C199" i="1"/>
  <c r="C77" i="1"/>
  <c r="C49" i="1"/>
  <c r="D115" i="1"/>
  <c r="D187" i="1"/>
  <c r="D220" i="1"/>
  <c r="C37" i="1"/>
  <c r="C62" i="1"/>
  <c r="C134" i="1"/>
  <c r="C101" i="1"/>
  <c r="D161" i="1"/>
  <c r="C60" i="1"/>
  <c r="C132" i="1"/>
  <c r="C204" i="1"/>
  <c r="C71" i="1"/>
  <c r="C55" i="1"/>
  <c r="C133" i="1"/>
  <c r="C205" i="1"/>
  <c r="C113" i="1"/>
  <c r="D25" i="1"/>
  <c r="D121" i="1"/>
  <c r="D193" i="1"/>
  <c r="C53" i="1"/>
  <c r="C61" i="1"/>
  <c r="C68" i="1"/>
  <c r="C140" i="1"/>
  <c r="C212" i="1"/>
  <c r="D54" i="1"/>
  <c r="D50" i="1"/>
  <c r="D122" i="1"/>
  <c r="D194" i="1"/>
  <c r="C159" i="1"/>
  <c r="C93" i="1"/>
  <c r="D117" i="1"/>
  <c r="D189" i="1"/>
  <c r="C58" i="1"/>
  <c r="C130" i="1"/>
  <c r="C202" i="1"/>
  <c r="C47" i="1"/>
  <c r="C185" i="1"/>
  <c r="D142" i="1"/>
  <c r="D143" i="1"/>
  <c r="V31" i="1"/>
  <c r="C125" i="1"/>
  <c r="C41" i="1"/>
  <c r="D164" i="1"/>
  <c r="C33" i="1"/>
  <c r="D35" i="1"/>
  <c r="D173" i="1"/>
  <c r="C66" i="1"/>
  <c r="C138" i="1"/>
  <c r="C210" i="1"/>
  <c r="C119" i="1"/>
  <c r="C67" i="1"/>
  <c r="C139" i="1"/>
  <c r="C211" i="1"/>
  <c r="D41" i="1"/>
  <c r="D37" i="1"/>
  <c r="D127" i="1"/>
  <c r="D199" i="1"/>
  <c r="C89" i="1"/>
  <c r="D31" i="1"/>
  <c r="C74" i="1"/>
  <c r="C146" i="1"/>
  <c r="C218" i="1"/>
  <c r="D84" i="1"/>
  <c r="D56" i="1"/>
  <c r="D128" i="1"/>
  <c r="D200" i="1"/>
  <c r="C165" i="1"/>
  <c r="D51" i="1"/>
  <c r="D123" i="1"/>
  <c r="D195" i="1"/>
  <c r="C64" i="1"/>
  <c r="C136" i="1"/>
  <c r="C208" i="1"/>
  <c r="C95" i="1"/>
  <c r="C191" i="1"/>
  <c r="D208" i="1"/>
  <c r="D155" i="1"/>
  <c r="T31" i="1"/>
  <c r="D49" i="1"/>
  <c r="D133" i="1"/>
  <c r="D205" i="1"/>
  <c r="D23" i="1"/>
  <c r="D43" i="1"/>
  <c r="C80" i="1"/>
  <c r="C152" i="1"/>
  <c r="C69" i="1"/>
  <c r="D108" i="1"/>
  <c r="D62" i="1"/>
  <c r="D134" i="1"/>
  <c r="D206" i="1"/>
  <c r="C171" i="1"/>
  <c r="D57" i="1"/>
  <c r="D129" i="1"/>
  <c r="D201" i="1"/>
  <c r="C70" i="1"/>
  <c r="C142" i="1"/>
  <c r="C214" i="1"/>
  <c r="C197" i="1"/>
  <c r="D167" i="1"/>
  <c r="AF31" i="1"/>
  <c r="D92" i="1"/>
  <c r="D159" i="1"/>
  <c r="C75" i="1"/>
  <c r="D53" i="1"/>
  <c r="D179" i="1"/>
  <c r="C72" i="1"/>
  <c r="C144" i="1"/>
  <c r="C216" i="1"/>
  <c r="D24" i="1"/>
  <c r="C73" i="1"/>
  <c r="C145" i="1"/>
  <c r="C217" i="1"/>
  <c r="D42" i="1"/>
  <c r="D21" i="1"/>
  <c r="D65" i="1"/>
  <c r="D191" i="1"/>
  <c r="C78" i="1"/>
  <c r="C150" i="1"/>
  <c r="C21" i="1"/>
  <c r="D48" i="1"/>
  <c r="C79" i="1"/>
  <c r="C151" i="1"/>
  <c r="C87" i="1"/>
  <c r="D66" i="1"/>
  <c r="D61" i="1"/>
  <c r="D139" i="1"/>
  <c r="D211" i="1"/>
  <c r="D36" i="1"/>
  <c r="D55" i="1"/>
  <c r="C86" i="1"/>
  <c r="C158" i="1"/>
  <c r="D27" i="1"/>
  <c r="D132" i="1"/>
  <c r="D68" i="1"/>
  <c r="D140" i="1"/>
  <c r="D212" i="1"/>
  <c r="C177" i="1"/>
  <c r="D63" i="1"/>
  <c r="D135" i="1"/>
  <c r="D207" i="1"/>
  <c r="C76" i="1"/>
  <c r="C148" i="1"/>
  <c r="C220" i="1"/>
  <c r="C131" i="1"/>
  <c r="C203" i="1"/>
  <c r="C83" i="1"/>
  <c r="D185" i="1"/>
  <c r="AC31" i="1"/>
  <c r="D221" i="1"/>
  <c r="C30" i="1"/>
  <c r="D88" i="1"/>
  <c r="C103" i="1"/>
  <c r="D112" i="1"/>
  <c r="D22" i="1"/>
  <c r="C100" i="1"/>
  <c r="C155" i="1"/>
  <c r="AG31" i="1"/>
  <c r="C34" i="1"/>
  <c r="D71" i="1"/>
  <c r="D203" i="1"/>
  <c r="C84" i="1"/>
  <c r="C156" i="1"/>
  <c r="C81" i="1"/>
  <c r="D72" i="1"/>
  <c r="C85" i="1"/>
  <c r="C157" i="1"/>
  <c r="D45" i="1"/>
  <c r="D90" i="1"/>
  <c r="D67" i="1"/>
  <c r="D145" i="1"/>
  <c r="D217" i="1"/>
  <c r="D60" i="1"/>
  <c r="D73" i="1"/>
  <c r="C92" i="1"/>
  <c r="C164" i="1"/>
  <c r="D28" i="1"/>
  <c r="D156" i="1"/>
  <c r="D74" i="1"/>
  <c r="D146" i="1"/>
  <c r="D218" i="1"/>
  <c r="C183" i="1"/>
  <c r="D69" i="1"/>
  <c r="D141" i="1"/>
  <c r="D213" i="1"/>
  <c r="C82" i="1"/>
  <c r="C154" i="1"/>
  <c r="C45" i="1"/>
  <c r="C137" i="1"/>
  <c r="C209" i="1"/>
  <c r="D29" i="1"/>
  <c r="D197" i="1"/>
  <c r="AD31" i="1"/>
  <c r="D81" i="1"/>
  <c r="C22" i="1"/>
  <c r="C221" i="1"/>
  <c r="C102" i="1"/>
  <c r="C175" i="1"/>
  <c r="D168" i="1"/>
  <c r="D91" i="1"/>
  <c r="D163" i="1"/>
  <c r="D126" i="1"/>
  <c r="D178" i="1"/>
  <c r="C43" i="1"/>
  <c r="C117" i="1"/>
  <c r="C51" i="1"/>
  <c r="D52" i="1"/>
  <c r="D83" i="1"/>
  <c r="D215" i="1"/>
  <c r="C90" i="1"/>
  <c r="C162" i="1"/>
  <c r="D39" i="1"/>
  <c r="D96" i="1"/>
  <c r="C91" i="1"/>
  <c r="C163" i="1"/>
  <c r="D40" i="1"/>
  <c r="D114" i="1"/>
  <c r="D79" i="1"/>
  <c r="D151" i="1"/>
  <c r="C57" i="1"/>
  <c r="D78" i="1"/>
  <c r="C26" i="1"/>
  <c r="C98" i="1"/>
  <c r="C170" i="1"/>
  <c r="D70" i="1"/>
  <c r="D180" i="1"/>
  <c r="D80" i="1"/>
  <c r="D152" i="1"/>
  <c r="C63" i="1"/>
  <c r="C189" i="1"/>
  <c r="D75" i="1"/>
  <c r="D147" i="1"/>
  <c r="D219" i="1"/>
  <c r="C88" i="1"/>
  <c r="C160" i="1"/>
  <c r="C105" i="1"/>
  <c r="C143" i="1"/>
  <c r="C215" i="1"/>
  <c r="D47" i="1"/>
  <c r="D209" i="1"/>
  <c r="AE31" i="1"/>
  <c r="D46" i="1"/>
  <c r="D120" i="1"/>
  <c r="C97" i="1"/>
  <c r="C169" i="1"/>
  <c r="D82" i="1"/>
  <c r="D144" i="1"/>
  <c r="D85" i="1"/>
  <c r="D157" i="1"/>
  <c r="C123" i="1"/>
  <c r="D102" i="1"/>
  <c r="C32" i="1"/>
  <c r="C104" i="1"/>
  <c r="C176" i="1"/>
  <c r="D124" i="1"/>
  <c r="D204" i="1"/>
  <c r="D86" i="1"/>
  <c r="D158" i="1"/>
  <c r="C111" i="1"/>
  <c r="C195" i="1"/>
  <c r="D153" i="1"/>
  <c r="C39" i="1"/>
  <c r="C94" i="1"/>
  <c r="C166" i="1"/>
  <c r="C149" i="1"/>
  <c r="D59" i="1"/>
  <c r="C174" i="1"/>
  <c r="D138" i="1"/>
  <c r="D94" i="1"/>
  <c r="D95" i="1"/>
  <c r="C24" i="1"/>
  <c r="C96" i="1"/>
  <c r="C168" i="1"/>
  <c r="D136" i="1"/>
  <c r="D107" i="1"/>
  <c r="C38" i="1"/>
  <c r="C110" i="1"/>
  <c r="C182" i="1"/>
  <c r="C129" i="1"/>
  <c r="C172" i="1"/>
  <c r="D172" i="1"/>
  <c r="D119" i="1"/>
  <c r="C36" i="1"/>
  <c r="C108" i="1"/>
  <c r="C180" i="1"/>
  <c r="D130" i="1"/>
  <c r="D162" i="1"/>
  <c r="C109" i="1"/>
  <c r="C181" i="1"/>
  <c r="D148" i="1"/>
  <c r="D186" i="1"/>
  <c r="D97" i="1"/>
  <c r="D169" i="1"/>
  <c r="D64" i="1"/>
  <c r="D150" i="1"/>
  <c r="C44" i="1"/>
  <c r="C116" i="1"/>
  <c r="C188" i="1"/>
  <c r="D214" i="1"/>
  <c r="D26" i="1"/>
  <c r="D98" i="1"/>
  <c r="D170" i="1"/>
  <c r="C135" i="1"/>
  <c r="C207" i="1"/>
  <c r="D93" i="1"/>
  <c r="D165" i="1"/>
  <c r="C28" i="1"/>
  <c r="C106" i="1"/>
  <c r="C178" i="1"/>
  <c r="D76" i="1"/>
  <c r="C161" i="1"/>
  <c r="C99" i="1"/>
  <c r="D89" i="1"/>
  <c r="AH31" i="1"/>
  <c r="D118" i="1"/>
  <c r="C167" i="1"/>
  <c r="D33" i="1"/>
  <c r="D101" i="1"/>
  <c r="R31" i="1"/>
  <c r="C121" i="1"/>
  <c r="D181" i="1"/>
  <c r="D198" i="1"/>
  <c r="C128" i="1"/>
  <c r="C107" i="1"/>
  <c r="D110" i="1"/>
  <c r="D182" i="1"/>
  <c r="C147" i="1"/>
  <c r="D105" i="1"/>
  <c r="C46" i="1"/>
  <c r="C118" i="1"/>
  <c r="C190" i="1"/>
  <c r="D160" i="1"/>
  <c r="D58" i="1"/>
  <c r="S31" i="1"/>
  <c r="C206" i="1"/>
  <c r="D30" i="1"/>
  <c r="D116" i="1"/>
  <c r="D188" i="1"/>
  <c r="D111" i="1"/>
  <c r="C52" i="1"/>
  <c r="C196" i="1"/>
  <c r="D184" i="1"/>
  <c r="D131" i="1"/>
  <c r="C201" i="1"/>
  <c r="D202" i="1"/>
  <c r="D125" i="1"/>
  <c r="C42" i="1"/>
  <c r="C114" i="1"/>
  <c r="C186" i="1"/>
  <c r="D166" i="1"/>
  <c r="D192" i="1"/>
  <c r="C115" i="1"/>
  <c r="C187" i="1"/>
  <c r="D196" i="1"/>
  <c r="D216" i="1"/>
  <c r="D103" i="1"/>
  <c r="D175" i="1"/>
  <c r="D106" i="1"/>
  <c r="D174" i="1"/>
  <c r="C50" i="1"/>
  <c r="C122" i="1"/>
  <c r="C194" i="1"/>
  <c r="C59" i="1"/>
  <c r="D32" i="1"/>
  <c r="D104" i="1"/>
  <c r="D176" i="1"/>
  <c r="C141" i="1"/>
  <c r="C213" i="1"/>
  <c r="D99" i="1"/>
  <c r="D171" i="1"/>
  <c r="C40" i="1"/>
  <c r="C112" i="1"/>
  <c r="C184" i="1"/>
  <c r="C193" i="1"/>
  <c r="C35" i="1"/>
  <c r="C25" i="1"/>
  <c r="D109" i="1"/>
  <c r="D154" i="1"/>
  <c r="C56" i="1"/>
  <c r="C200" i="1"/>
  <c r="D38" i="1"/>
  <c r="D44" i="1"/>
  <c r="C153" i="1"/>
  <c r="D183" i="1"/>
  <c r="C29" i="1"/>
  <c r="D137" i="1"/>
  <c r="C48" i="1"/>
  <c r="C120" i="1"/>
  <c r="C192" i="1"/>
  <c r="D190" i="1"/>
  <c r="D210" i="1"/>
  <c r="C219" i="1"/>
  <c r="D177" i="1"/>
  <c r="C173" i="1"/>
  <c r="D113" i="1"/>
  <c r="C27" i="1"/>
  <c r="C124" i="1"/>
  <c r="C179" i="1"/>
  <c r="D100" i="1"/>
  <c r="U31" i="1"/>
  <c r="D87" i="1"/>
  <c r="D34" i="1"/>
  <c r="D7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<sst xmlns="http://schemas.openxmlformats.org/spreadsheetml/2006/main" count="23" uniqueCount="18">
  <si>
    <t>версия</t>
  </si>
  <si>
    <t>Работа с таблично заданными кривыми</t>
  </si>
  <si>
    <t>x</t>
  </si>
  <si>
    <t>f(x)</t>
  </si>
  <si>
    <t>Исходная функция</t>
  </si>
  <si>
    <t>0 - линейная интерполяция</t>
  </si>
  <si>
    <t>1 - кубическая интерполяция</t>
  </si>
  <si>
    <t>2 - интерполяция Акима (выбросы)</t>
  </si>
  <si>
    <t>3 - кубический сплай Катмулла Рома</t>
  </si>
  <si>
    <t>Решения</t>
  </si>
  <si>
    <t>Вторая функция</t>
  </si>
  <si>
    <t>g(x)</t>
  </si>
  <si>
    <t>номер</t>
  </si>
  <si>
    <t>Пример работы с макросами Unifloc VBA</t>
  </si>
  <si>
    <t>тип интерполяции</t>
  </si>
  <si>
    <t>искомое значение</t>
  </si>
  <si>
    <t>Часть 1. Интерполяция</t>
  </si>
  <si>
    <t>Часть 3. Поиск пересечений двух кривых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</si>
</sst>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 Cyr"/>
      <charset val="204"/>
    </font>
    <font>
      <b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0" xfId="0" applyFill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2" fontId="0" fillId="6" borderId="0" xfId="0" applyNumberFormat="1" applyFill="1" applyAlignment="1">
      <alignment horizontal="center"/>
    </xf>
    <xf numFmtId="0" fontId="0" fillId="0" borderId="0" xfId="0" applyAlignment="1">
      <alignment horizontal="right"/>
    </xf>
    <xf numFmtId="0" fontId="0" fillId="6" borderId="0" xfId="0" applyFill="1"/>
    <xf numFmtId="0" fontId="2" fillId="0" borderId="1" xfId="0" applyFont="1" applyBorder="1"/>
    <xf numFmtId="0" fontId="0" fillId="3" borderId="4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Пример</a:t>
            </a:r>
            <a:r>
              <a:rPr lang="ru-RU" baseline="0"/>
              <a:t> интерполяции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interpolation!$C$6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interpolation!$B$7:$B$15</c:f>
              <c:numCache>
                <c:formatCode>General</c:formatCode>
                <c:ptCount val="9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25</c:v>
                </c:pt>
                <c:pt idx="7">
                  <c:v>28</c:v>
                </c:pt>
                <c:pt idx="8">
                  <c:v>30</c:v>
                </c:pt>
              </c:numCache>
            </c:numRef>
          </c:xVal>
          <c:yVal>
            <c:numRef>
              <c:f>interpolation!$C$7:$C$15</c:f>
              <c:numCache>
                <c:formatCode>General</c:formatCode>
                <c:ptCount val="9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10</c:v>
                </c:pt>
                <c:pt idx="4">
                  <c:v>-1</c:v>
                </c:pt>
                <c:pt idx="5">
                  <c:v>0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F1-47A4-94DA-BCA47C7D08EE}"/>
            </c:ext>
          </c:extLst>
        </c:ser>
        <c:ser>
          <c:idx val="1"/>
          <c:order val="1"/>
          <c:tx>
            <c:v>интерполяция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interpolation!$B$21:$B$221</c:f>
              <c:numCache>
                <c:formatCode>General</c:formatCode>
                <c:ptCount val="201"/>
                <c:pt idx="0">
                  <c:v>1</c:v>
                </c:pt>
                <c:pt idx="1">
                  <c:v>1.145</c:v>
                </c:pt>
                <c:pt idx="2">
                  <c:v>1.29</c:v>
                </c:pt>
                <c:pt idx="3">
                  <c:v>1.4350000000000001</c:v>
                </c:pt>
                <c:pt idx="4">
                  <c:v>1.58</c:v>
                </c:pt>
                <c:pt idx="5">
                  <c:v>1.7250000000000001</c:v>
                </c:pt>
                <c:pt idx="6">
                  <c:v>1.87</c:v>
                </c:pt>
                <c:pt idx="7">
                  <c:v>2.0150000000000001</c:v>
                </c:pt>
                <c:pt idx="8">
                  <c:v>2.16</c:v>
                </c:pt>
                <c:pt idx="9">
                  <c:v>2.3050000000000002</c:v>
                </c:pt>
                <c:pt idx="10">
                  <c:v>2.4500000000000002</c:v>
                </c:pt>
                <c:pt idx="11">
                  <c:v>2.5950000000000002</c:v>
                </c:pt>
                <c:pt idx="12">
                  <c:v>2.74</c:v>
                </c:pt>
                <c:pt idx="13">
                  <c:v>2.8850000000000002</c:v>
                </c:pt>
                <c:pt idx="14">
                  <c:v>3.0300000000000002</c:v>
                </c:pt>
                <c:pt idx="15">
                  <c:v>3.1750000000000003</c:v>
                </c:pt>
                <c:pt idx="16">
                  <c:v>3.3200000000000003</c:v>
                </c:pt>
                <c:pt idx="17">
                  <c:v>3.4650000000000003</c:v>
                </c:pt>
                <c:pt idx="18">
                  <c:v>3.6100000000000003</c:v>
                </c:pt>
                <c:pt idx="19">
                  <c:v>3.7550000000000003</c:v>
                </c:pt>
                <c:pt idx="20">
                  <c:v>3.9000000000000004</c:v>
                </c:pt>
                <c:pt idx="21">
                  <c:v>4.0449999999999999</c:v>
                </c:pt>
                <c:pt idx="22">
                  <c:v>4.1899999999999995</c:v>
                </c:pt>
                <c:pt idx="23">
                  <c:v>4.3349999999999991</c:v>
                </c:pt>
                <c:pt idx="24">
                  <c:v>4.4799999999999986</c:v>
                </c:pt>
                <c:pt idx="25">
                  <c:v>4.6249999999999982</c:v>
                </c:pt>
                <c:pt idx="26">
                  <c:v>4.7699999999999978</c:v>
                </c:pt>
                <c:pt idx="27">
                  <c:v>4.9149999999999974</c:v>
                </c:pt>
                <c:pt idx="28">
                  <c:v>5.0599999999999969</c:v>
                </c:pt>
                <c:pt idx="29">
                  <c:v>5.2049999999999965</c:v>
                </c:pt>
                <c:pt idx="30">
                  <c:v>5.3499999999999961</c:v>
                </c:pt>
                <c:pt idx="31">
                  <c:v>5.4949999999999957</c:v>
                </c:pt>
                <c:pt idx="32">
                  <c:v>5.6399999999999952</c:v>
                </c:pt>
                <c:pt idx="33">
                  <c:v>5.7849999999999948</c:v>
                </c:pt>
                <c:pt idx="34">
                  <c:v>5.9299999999999944</c:v>
                </c:pt>
                <c:pt idx="35">
                  <c:v>6.074999999999994</c:v>
                </c:pt>
                <c:pt idx="36">
                  <c:v>6.2199999999999935</c:v>
                </c:pt>
                <c:pt idx="37">
                  <c:v>6.3649999999999931</c:v>
                </c:pt>
                <c:pt idx="38">
                  <c:v>6.5099999999999927</c:v>
                </c:pt>
                <c:pt idx="39">
                  <c:v>6.6549999999999923</c:v>
                </c:pt>
                <c:pt idx="40">
                  <c:v>6.7999999999999918</c:v>
                </c:pt>
                <c:pt idx="41">
                  <c:v>6.9449999999999914</c:v>
                </c:pt>
                <c:pt idx="42">
                  <c:v>7.089999999999991</c:v>
                </c:pt>
                <c:pt idx="43">
                  <c:v>7.2349999999999905</c:v>
                </c:pt>
                <c:pt idx="44">
                  <c:v>7.3799999999999901</c:v>
                </c:pt>
                <c:pt idx="45">
                  <c:v>7.5249999999999897</c:v>
                </c:pt>
                <c:pt idx="46">
                  <c:v>7.6699999999999893</c:v>
                </c:pt>
                <c:pt idx="47">
                  <c:v>7.8149999999999888</c:v>
                </c:pt>
                <c:pt idx="48">
                  <c:v>7.9599999999999884</c:v>
                </c:pt>
                <c:pt idx="49">
                  <c:v>8.104999999999988</c:v>
                </c:pt>
                <c:pt idx="50">
                  <c:v>8.2499999999999876</c:v>
                </c:pt>
                <c:pt idx="51">
                  <c:v>8.3949999999999871</c:v>
                </c:pt>
                <c:pt idx="52">
                  <c:v>8.5399999999999867</c:v>
                </c:pt>
                <c:pt idx="53">
                  <c:v>8.6849999999999863</c:v>
                </c:pt>
                <c:pt idx="54">
                  <c:v>8.8299999999999859</c:v>
                </c:pt>
                <c:pt idx="55">
                  <c:v>8.9749999999999854</c:v>
                </c:pt>
                <c:pt idx="56">
                  <c:v>9.119999999999985</c:v>
                </c:pt>
                <c:pt idx="57">
                  <c:v>9.2649999999999846</c:v>
                </c:pt>
                <c:pt idx="58">
                  <c:v>9.4099999999999842</c:v>
                </c:pt>
                <c:pt idx="59">
                  <c:v>9.5549999999999837</c:v>
                </c:pt>
                <c:pt idx="60">
                  <c:v>9.6999999999999833</c:v>
                </c:pt>
                <c:pt idx="61">
                  <c:v>9.8449999999999829</c:v>
                </c:pt>
                <c:pt idx="62">
                  <c:v>9.9899999999999824</c:v>
                </c:pt>
                <c:pt idx="63">
                  <c:v>10.134999999999982</c:v>
                </c:pt>
                <c:pt idx="64">
                  <c:v>10.279999999999982</c:v>
                </c:pt>
                <c:pt idx="65">
                  <c:v>10.424999999999981</c:v>
                </c:pt>
                <c:pt idx="66">
                  <c:v>10.569999999999981</c:v>
                </c:pt>
                <c:pt idx="67">
                  <c:v>10.71499999999998</c:v>
                </c:pt>
                <c:pt idx="68">
                  <c:v>10.85999999999998</c:v>
                </c:pt>
                <c:pt idx="69">
                  <c:v>11.004999999999979</c:v>
                </c:pt>
                <c:pt idx="70">
                  <c:v>11.149999999999979</c:v>
                </c:pt>
                <c:pt idx="71">
                  <c:v>11.294999999999979</c:v>
                </c:pt>
                <c:pt idx="72">
                  <c:v>11.439999999999978</c:v>
                </c:pt>
                <c:pt idx="73">
                  <c:v>11.584999999999978</c:v>
                </c:pt>
                <c:pt idx="74">
                  <c:v>11.729999999999977</c:v>
                </c:pt>
                <c:pt idx="75">
                  <c:v>11.874999999999977</c:v>
                </c:pt>
                <c:pt idx="76">
                  <c:v>12.019999999999976</c:v>
                </c:pt>
                <c:pt idx="77">
                  <c:v>12.164999999999976</c:v>
                </c:pt>
                <c:pt idx="78">
                  <c:v>12.309999999999976</c:v>
                </c:pt>
                <c:pt idx="79">
                  <c:v>12.454999999999975</c:v>
                </c:pt>
                <c:pt idx="80">
                  <c:v>12.599999999999975</c:v>
                </c:pt>
                <c:pt idx="81">
                  <c:v>12.744999999999974</c:v>
                </c:pt>
                <c:pt idx="82">
                  <c:v>12.889999999999974</c:v>
                </c:pt>
                <c:pt idx="83">
                  <c:v>13.034999999999973</c:v>
                </c:pt>
                <c:pt idx="84">
                  <c:v>13.179999999999973</c:v>
                </c:pt>
                <c:pt idx="85">
                  <c:v>13.324999999999973</c:v>
                </c:pt>
                <c:pt idx="86">
                  <c:v>13.469999999999972</c:v>
                </c:pt>
                <c:pt idx="87">
                  <c:v>13.614999999999972</c:v>
                </c:pt>
                <c:pt idx="88">
                  <c:v>13.759999999999971</c:v>
                </c:pt>
                <c:pt idx="89">
                  <c:v>13.904999999999971</c:v>
                </c:pt>
                <c:pt idx="90">
                  <c:v>14.049999999999971</c:v>
                </c:pt>
                <c:pt idx="91">
                  <c:v>14.19499999999997</c:v>
                </c:pt>
                <c:pt idx="92">
                  <c:v>14.33999999999997</c:v>
                </c:pt>
                <c:pt idx="93">
                  <c:v>14.484999999999969</c:v>
                </c:pt>
                <c:pt idx="94">
                  <c:v>14.629999999999969</c:v>
                </c:pt>
                <c:pt idx="95">
                  <c:v>14.774999999999968</c:v>
                </c:pt>
                <c:pt idx="96">
                  <c:v>14.919999999999968</c:v>
                </c:pt>
                <c:pt idx="97">
                  <c:v>15.064999999999968</c:v>
                </c:pt>
                <c:pt idx="98">
                  <c:v>15.209999999999967</c:v>
                </c:pt>
                <c:pt idx="99">
                  <c:v>15.354999999999967</c:v>
                </c:pt>
                <c:pt idx="100">
                  <c:v>15.499999999999966</c:v>
                </c:pt>
                <c:pt idx="101">
                  <c:v>15.644999999999966</c:v>
                </c:pt>
                <c:pt idx="102">
                  <c:v>15.789999999999965</c:v>
                </c:pt>
                <c:pt idx="103">
                  <c:v>15.934999999999965</c:v>
                </c:pt>
                <c:pt idx="104">
                  <c:v>16.079999999999966</c:v>
                </c:pt>
                <c:pt idx="105">
                  <c:v>16.224999999999966</c:v>
                </c:pt>
                <c:pt idx="106">
                  <c:v>16.369999999999965</c:v>
                </c:pt>
                <c:pt idx="107">
                  <c:v>16.514999999999965</c:v>
                </c:pt>
                <c:pt idx="108">
                  <c:v>16.659999999999965</c:v>
                </c:pt>
                <c:pt idx="109">
                  <c:v>16.804999999999964</c:v>
                </c:pt>
                <c:pt idx="110">
                  <c:v>16.949999999999964</c:v>
                </c:pt>
                <c:pt idx="111">
                  <c:v>17.094999999999963</c:v>
                </c:pt>
                <c:pt idx="112">
                  <c:v>17.239999999999963</c:v>
                </c:pt>
                <c:pt idx="113">
                  <c:v>17.384999999999962</c:v>
                </c:pt>
                <c:pt idx="114">
                  <c:v>17.529999999999962</c:v>
                </c:pt>
                <c:pt idx="115">
                  <c:v>17.674999999999962</c:v>
                </c:pt>
                <c:pt idx="116">
                  <c:v>17.819999999999961</c:v>
                </c:pt>
                <c:pt idx="117">
                  <c:v>17.964999999999961</c:v>
                </c:pt>
                <c:pt idx="118">
                  <c:v>18.10999999999996</c:v>
                </c:pt>
                <c:pt idx="119">
                  <c:v>18.25499999999996</c:v>
                </c:pt>
                <c:pt idx="120">
                  <c:v>18.399999999999959</c:v>
                </c:pt>
                <c:pt idx="121">
                  <c:v>18.544999999999959</c:v>
                </c:pt>
                <c:pt idx="122">
                  <c:v>18.689999999999959</c:v>
                </c:pt>
                <c:pt idx="123">
                  <c:v>18.834999999999958</c:v>
                </c:pt>
                <c:pt idx="124">
                  <c:v>18.979999999999958</c:v>
                </c:pt>
                <c:pt idx="125">
                  <c:v>19.124999999999957</c:v>
                </c:pt>
                <c:pt idx="126">
                  <c:v>19.269999999999957</c:v>
                </c:pt>
                <c:pt idx="127">
                  <c:v>19.414999999999957</c:v>
                </c:pt>
                <c:pt idx="128">
                  <c:v>19.559999999999956</c:v>
                </c:pt>
                <c:pt idx="129">
                  <c:v>19.704999999999956</c:v>
                </c:pt>
                <c:pt idx="130">
                  <c:v>19.849999999999955</c:v>
                </c:pt>
                <c:pt idx="131">
                  <c:v>19.994999999999955</c:v>
                </c:pt>
                <c:pt idx="132">
                  <c:v>20.139999999999954</c:v>
                </c:pt>
                <c:pt idx="133">
                  <c:v>20.284999999999954</c:v>
                </c:pt>
                <c:pt idx="134">
                  <c:v>20.429999999999954</c:v>
                </c:pt>
                <c:pt idx="135">
                  <c:v>20.574999999999953</c:v>
                </c:pt>
                <c:pt idx="136">
                  <c:v>20.719999999999953</c:v>
                </c:pt>
                <c:pt idx="137">
                  <c:v>20.864999999999952</c:v>
                </c:pt>
                <c:pt idx="138">
                  <c:v>21.009999999999952</c:v>
                </c:pt>
                <c:pt idx="139">
                  <c:v>21.154999999999951</c:v>
                </c:pt>
                <c:pt idx="140">
                  <c:v>21.299999999999951</c:v>
                </c:pt>
                <c:pt idx="141">
                  <c:v>21.444999999999951</c:v>
                </c:pt>
                <c:pt idx="142">
                  <c:v>21.58999999999995</c:v>
                </c:pt>
                <c:pt idx="143">
                  <c:v>21.73499999999995</c:v>
                </c:pt>
                <c:pt idx="144">
                  <c:v>21.879999999999949</c:v>
                </c:pt>
                <c:pt idx="145">
                  <c:v>22.024999999999949</c:v>
                </c:pt>
                <c:pt idx="146">
                  <c:v>22.169999999999948</c:v>
                </c:pt>
                <c:pt idx="147">
                  <c:v>22.314999999999948</c:v>
                </c:pt>
                <c:pt idx="148">
                  <c:v>22.459999999999948</c:v>
                </c:pt>
                <c:pt idx="149">
                  <c:v>22.604999999999947</c:v>
                </c:pt>
                <c:pt idx="150">
                  <c:v>22.749999999999947</c:v>
                </c:pt>
                <c:pt idx="151">
                  <c:v>22.894999999999946</c:v>
                </c:pt>
                <c:pt idx="152">
                  <c:v>23.039999999999946</c:v>
                </c:pt>
                <c:pt idx="153">
                  <c:v>23.184999999999945</c:v>
                </c:pt>
                <c:pt idx="154">
                  <c:v>23.329999999999945</c:v>
                </c:pt>
                <c:pt idx="155">
                  <c:v>23.474999999999945</c:v>
                </c:pt>
                <c:pt idx="156">
                  <c:v>23.619999999999944</c:v>
                </c:pt>
                <c:pt idx="157">
                  <c:v>23.764999999999944</c:v>
                </c:pt>
                <c:pt idx="158">
                  <c:v>23.909999999999943</c:v>
                </c:pt>
                <c:pt idx="159">
                  <c:v>24.054999999999943</c:v>
                </c:pt>
                <c:pt idx="160">
                  <c:v>24.199999999999942</c:v>
                </c:pt>
                <c:pt idx="161">
                  <c:v>24.344999999999942</c:v>
                </c:pt>
                <c:pt idx="162">
                  <c:v>24.489999999999942</c:v>
                </c:pt>
                <c:pt idx="163">
                  <c:v>24.634999999999941</c:v>
                </c:pt>
                <c:pt idx="164">
                  <c:v>24.779999999999941</c:v>
                </c:pt>
                <c:pt idx="165">
                  <c:v>24.92499999999994</c:v>
                </c:pt>
                <c:pt idx="166">
                  <c:v>25.06999999999994</c:v>
                </c:pt>
                <c:pt idx="167">
                  <c:v>25.214999999999939</c:v>
                </c:pt>
                <c:pt idx="168">
                  <c:v>25.359999999999939</c:v>
                </c:pt>
                <c:pt idx="169">
                  <c:v>25.504999999999939</c:v>
                </c:pt>
                <c:pt idx="170">
                  <c:v>25.649999999999938</c:v>
                </c:pt>
                <c:pt idx="171">
                  <c:v>25.794999999999938</c:v>
                </c:pt>
                <c:pt idx="172">
                  <c:v>25.939999999999937</c:v>
                </c:pt>
                <c:pt idx="173">
                  <c:v>26.084999999999937</c:v>
                </c:pt>
                <c:pt idx="174">
                  <c:v>26.229999999999936</c:v>
                </c:pt>
                <c:pt idx="175">
                  <c:v>26.374999999999936</c:v>
                </c:pt>
                <c:pt idx="176">
                  <c:v>26.519999999999936</c:v>
                </c:pt>
                <c:pt idx="177">
                  <c:v>26.664999999999935</c:v>
                </c:pt>
                <c:pt idx="178">
                  <c:v>26.809999999999935</c:v>
                </c:pt>
                <c:pt idx="179">
                  <c:v>26.954999999999934</c:v>
                </c:pt>
                <c:pt idx="180">
                  <c:v>27.099999999999934</c:v>
                </c:pt>
                <c:pt idx="181">
                  <c:v>27.244999999999933</c:v>
                </c:pt>
                <c:pt idx="182">
                  <c:v>27.389999999999933</c:v>
                </c:pt>
                <c:pt idx="183">
                  <c:v>27.534999999999933</c:v>
                </c:pt>
                <c:pt idx="184">
                  <c:v>27.679999999999932</c:v>
                </c:pt>
                <c:pt idx="185">
                  <c:v>27.824999999999932</c:v>
                </c:pt>
                <c:pt idx="186">
                  <c:v>27.969999999999931</c:v>
                </c:pt>
                <c:pt idx="187">
                  <c:v>28.114999999999931</c:v>
                </c:pt>
                <c:pt idx="188">
                  <c:v>28.259999999999931</c:v>
                </c:pt>
                <c:pt idx="189">
                  <c:v>28.40499999999993</c:v>
                </c:pt>
                <c:pt idx="190">
                  <c:v>28.54999999999993</c:v>
                </c:pt>
                <c:pt idx="191">
                  <c:v>28.694999999999929</c:v>
                </c:pt>
                <c:pt idx="192">
                  <c:v>28.839999999999929</c:v>
                </c:pt>
                <c:pt idx="193">
                  <c:v>28.984999999999928</c:v>
                </c:pt>
                <c:pt idx="194">
                  <c:v>29.129999999999928</c:v>
                </c:pt>
                <c:pt idx="195">
                  <c:v>29.274999999999928</c:v>
                </c:pt>
                <c:pt idx="196">
                  <c:v>29.419999999999927</c:v>
                </c:pt>
                <c:pt idx="197">
                  <c:v>29.564999999999927</c:v>
                </c:pt>
                <c:pt idx="198">
                  <c:v>29.709999999999926</c:v>
                </c:pt>
                <c:pt idx="199">
                  <c:v>29.854999999999926</c:v>
                </c:pt>
                <c:pt idx="200">
                  <c:v>29.999999999999925</c:v>
                </c:pt>
              </c:numCache>
            </c:numRef>
          </c:xVal>
          <c:yVal>
            <c:numRef>
              <c:f>interpolation!$C$21:$C$221</c:f>
              <c:numCache>
                <c:formatCode>0.00</c:formatCode>
                <c:ptCount val="201"/>
                <c:pt idx="0">
                  <c:v>1</c:v>
                </c:pt>
                <c:pt idx="1">
                  <c:v>0.9455290939362081</c:v>
                </c:pt>
                <c:pt idx="2">
                  <c:v>0.90641016548776931</c:v>
                </c:pt>
                <c:pt idx="3">
                  <c:v>0.88264321465468354</c:v>
                </c:pt>
                <c:pt idx="4">
                  <c:v>0.87422824143695088</c:v>
                </c:pt>
                <c:pt idx="5">
                  <c:v>0.88116524583457123</c:v>
                </c:pt>
                <c:pt idx="6">
                  <c:v>0.90345422784754459</c:v>
                </c:pt>
                <c:pt idx="7">
                  <c:v>0.94109518747587106</c:v>
                </c:pt>
                <c:pt idx="8">
                  <c:v>0.99408812471955066</c:v>
                </c:pt>
                <c:pt idx="9">
                  <c:v>1.0624330395785833</c:v>
                </c:pt>
                <c:pt idx="10">
                  <c:v>1.146129932052969</c:v>
                </c:pt>
                <c:pt idx="11">
                  <c:v>1.2451788021427077</c:v>
                </c:pt>
                <c:pt idx="12">
                  <c:v>1.3595796498477994</c:v>
                </c:pt>
                <c:pt idx="13">
                  <c:v>1.4893324751682444</c:v>
                </c:pt>
                <c:pt idx="14">
                  <c:v>1.6344372781040422</c:v>
                </c:pt>
                <c:pt idx="15">
                  <c:v>1.7948940586551931</c:v>
                </c:pt>
                <c:pt idx="16">
                  <c:v>1.9707028168216973</c:v>
                </c:pt>
                <c:pt idx="17">
                  <c:v>2.1618635526035543</c:v>
                </c:pt>
                <c:pt idx="18">
                  <c:v>2.3683762660007646</c:v>
                </c:pt>
                <c:pt idx="19">
                  <c:v>2.5902409570133278</c:v>
                </c:pt>
                <c:pt idx="20">
                  <c:v>2.827457625641244</c:v>
                </c:pt>
                <c:pt idx="21">
                  <c:v>3.080014697072603</c:v>
                </c:pt>
                <c:pt idx="22">
                  <c:v>3.347075656951501</c:v>
                </c:pt>
                <c:pt idx="23">
                  <c:v>3.6264440854827473</c:v>
                </c:pt>
                <c:pt idx="24">
                  <c:v>3.9157965416156273</c:v>
                </c:pt>
                <c:pt idx="25">
                  <c:v>4.2128095842994266</c:v>
                </c:pt>
                <c:pt idx="26">
                  <c:v>4.5151597724834316</c:v>
                </c:pt>
                <c:pt idx="27">
                  <c:v>4.8205236651169265</c:v>
                </c:pt>
                <c:pt idx="28">
                  <c:v>5.1266021229433152</c:v>
                </c:pt>
                <c:pt idx="29">
                  <c:v>5.4319680726500961</c:v>
                </c:pt>
                <c:pt idx="30">
                  <c:v>5.7362869528311204</c:v>
                </c:pt>
                <c:pt idx="31">
                  <c:v>6.0392932962437218</c:v>
                </c:pt>
                <c:pt idx="32">
                  <c:v>6.3407216356452354</c:v>
                </c:pt>
                <c:pt idx="33">
                  <c:v>6.6403065037929947</c:v>
                </c:pt>
                <c:pt idx="34">
                  <c:v>6.9377824334443332</c:v>
                </c:pt>
                <c:pt idx="35">
                  <c:v>7.2328839573565844</c:v>
                </c:pt>
                <c:pt idx="36">
                  <c:v>7.5253456082870835</c:v>
                </c:pt>
                <c:pt idx="37">
                  <c:v>7.8149019189931641</c:v>
                </c:pt>
                <c:pt idx="38">
                  <c:v>8.1012874222321596</c:v>
                </c:pt>
                <c:pt idx="39">
                  <c:v>8.3842366507614052</c:v>
                </c:pt>
                <c:pt idx="40">
                  <c:v>8.6634841373382336</c:v>
                </c:pt>
                <c:pt idx="41">
                  <c:v>8.9387644147199783</c:v>
                </c:pt>
                <c:pt idx="42">
                  <c:v>9.2098120156639744</c:v>
                </c:pt>
                <c:pt idx="43">
                  <c:v>9.4763614729275556</c:v>
                </c:pt>
                <c:pt idx="44">
                  <c:v>9.7381473192680552</c:v>
                </c:pt>
                <c:pt idx="45">
                  <c:v>9.9949040874428068</c:v>
                </c:pt>
                <c:pt idx="46">
                  <c:v>10.246366310209147</c:v>
                </c:pt>
                <c:pt idx="47">
                  <c:v>10.492268520324407</c:v>
                </c:pt>
                <c:pt idx="48">
                  <c:v>10.732345250545922</c:v>
                </c:pt>
                <c:pt idx="49">
                  <c:v>10.966331033631025</c:v>
                </c:pt>
                <c:pt idx="50">
                  <c:v>11.193960402337051</c:v>
                </c:pt>
                <c:pt idx="51">
                  <c:v>11.414967889421332</c:v>
                </c:pt>
                <c:pt idx="52">
                  <c:v>11.629088027641204</c:v>
                </c:pt>
                <c:pt idx="53">
                  <c:v>11.836055349754002</c:v>
                </c:pt>
                <c:pt idx="54">
                  <c:v>12.035604388517058</c:v>
                </c:pt>
                <c:pt idx="55">
                  <c:v>12.227469676687704</c:v>
                </c:pt>
                <c:pt idx="56">
                  <c:v>12.411385747023278</c:v>
                </c:pt>
                <c:pt idx="57">
                  <c:v>12.587087132281111</c:v>
                </c:pt>
                <c:pt idx="58">
                  <c:v>12.754308365218538</c:v>
                </c:pt>
                <c:pt idx="59">
                  <c:v>12.912783978592895</c:v>
                </c:pt>
                <c:pt idx="60">
                  <c:v>13.062248505161511</c:v>
                </c:pt>
                <c:pt idx="61">
                  <c:v>13.202436477681724</c:v>
                </c:pt>
                <c:pt idx="62">
                  <c:v>13.333082428910867</c:v>
                </c:pt>
                <c:pt idx="63">
                  <c:v>13.453920891606273</c:v>
                </c:pt>
                <c:pt idx="64">
                  <c:v>13.564686398525279</c:v>
                </c:pt>
                <c:pt idx="65">
                  <c:v>13.665113482425214</c:v>
                </c:pt>
                <c:pt idx="66">
                  <c:v>13.754936676063414</c:v>
                </c:pt>
                <c:pt idx="67">
                  <c:v>13.833890512197215</c:v>
                </c:pt>
                <c:pt idx="68">
                  <c:v>13.90170952358395</c:v>
                </c:pt>
                <c:pt idx="69">
                  <c:v>13.958128242980951</c:v>
                </c:pt>
                <c:pt idx="70">
                  <c:v>14.002881203145554</c:v>
                </c:pt>
                <c:pt idx="71">
                  <c:v>14.035702936835092</c:v>
                </c:pt>
                <c:pt idx="72">
                  <c:v>14.056327976806898</c:v>
                </c:pt>
                <c:pt idx="73">
                  <c:v>14.064490855818308</c:v>
                </c:pt>
                <c:pt idx="74">
                  <c:v>14.059926106626655</c:v>
                </c:pt>
                <c:pt idx="75">
                  <c:v>14.042368261989274</c:v>
                </c:pt>
                <c:pt idx="76">
                  <c:v>14.011551854663496</c:v>
                </c:pt>
                <c:pt idx="77">
                  <c:v>13.967211417406659</c:v>
                </c:pt>
                <c:pt idx="78">
                  <c:v>13.909081482976093</c:v>
                </c:pt>
                <c:pt idx="79">
                  <c:v>13.836896584129134</c:v>
                </c:pt>
                <c:pt idx="80">
                  <c:v>13.750391253623116</c:v>
                </c:pt>
                <c:pt idx="81">
                  <c:v>13.649300024215373</c:v>
                </c:pt>
                <c:pt idx="82">
                  <c:v>13.533357428663237</c:v>
                </c:pt>
                <c:pt idx="83">
                  <c:v>13.402297999724045</c:v>
                </c:pt>
                <c:pt idx="84">
                  <c:v>13.255856270155128</c:v>
                </c:pt>
                <c:pt idx="85">
                  <c:v>13.093766772713824</c:v>
                </c:pt>
                <c:pt idx="86">
                  <c:v>12.915764040157462</c:v>
                </c:pt>
                <c:pt idx="87">
                  <c:v>12.721582605243379</c:v>
                </c:pt>
                <c:pt idx="88">
                  <c:v>12.510957000728908</c:v>
                </c:pt>
                <c:pt idx="89">
                  <c:v>12.283621759371382</c:v>
                </c:pt>
                <c:pt idx="90">
                  <c:v>12.039311413928138</c:v>
                </c:pt>
                <c:pt idx="91">
                  <c:v>11.777760497156507</c:v>
                </c:pt>
                <c:pt idx="92">
                  <c:v>11.498703541813823</c:v>
                </c:pt>
                <c:pt idx="93">
                  <c:v>11.201875080657421</c:v>
                </c:pt>
                <c:pt idx="94">
                  <c:v>10.887009646444636</c:v>
                </c:pt>
                <c:pt idx="95">
                  <c:v>10.553841771932801</c:v>
                </c:pt>
                <c:pt idx="96">
                  <c:v>10.202105989879248</c:v>
                </c:pt>
                <c:pt idx="97">
                  <c:v>9.8315685866029074</c:v>
                </c:pt>
                <c:pt idx="98">
                  <c:v>9.4429396388514864</c:v>
                </c:pt>
                <c:pt idx="99">
                  <c:v>9.0380094659521344</c:v>
                </c:pt>
                <c:pt idx="100">
                  <c:v>8.6186275873177056</c:v>
                </c:pt>
                <c:pt idx="101">
                  <c:v>8.1866435223610541</c:v>
                </c:pt>
                <c:pt idx="102">
                  <c:v>7.7439067904950294</c:v>
                </c:pt>
                <c:pt idx="103">
                  <c:v>7.2922669111324865</c:v>
                </c:pt>
                <c:pt idx="104">
                  <c:v>6.8335734036862714</c:v>
                </c:pt>
                <c:pt idx="105">
                  <c:v>6.3696757875692471</c:v>
                </c:pt>
                <c:pt idx="106">
                  <c:v>5.9024235821942623</c:v>
                </c:pt>
                <c:pt idx="107">
                  <c:v>5.4336663069741684</c:v>
                </c:pt>
                <c:pt idx="108">
                  <c:v>4.9652534813218185</c:v>
                </c:pt>
                <c:pt idx="109">
                  <c:v>4.499034624650065</c:v>
                </c:pt>
                <c:pt idx="110">
                  <c:v>4.03685925637176</c:v>
                </c:pt>
                <c:pt idx="111">
                  <c:v>3.5805768958997568</c:v>
                </c:pt>
                <c:pt idx="112">
                  <c:v>3.1320370626469076</c:v>
                </c:pt>
                <c:pt idx="113">
                  <c:v>2.6930892760260647</c:v>
                </c:pt>
                <c:pt idx="114">
                  <c:v>2.2655830554500818</c:v>
                </c:pt>
                <c:pt idx="115">
                  <c:v>1.8513679203318101</c:v>
                </c:pt>
                <c:pt idx="116">
                  <c:v>1.4522933900841031</c:v>
                </c:pt>
                <c:pt idx="117">
                  <c:v>1.070208984119813</c:v>
                </c:pt>
                <c:pt idx="118">
                  <c:v>0.70696422185179231</c:v>
                </c:pt>
                <c:pt idx="119">
                  <c:v>0.3644086226928937</c:v>
                </c:pt>
                <c:pt idx="120">
                  <c:v>4.4391706055969843E-2</c:v>
                </c:pt>
                <c:pt idx="121">
                  <c:v>-0.2512370086461268</c:v>
                </c:pt>
                <c:pt idx="122">
                  <c:v>-0.5206280020005436</c:v>
                </c:pt>
                <c:pt idx="123">
                  <c:v>-0.76193175459442808</c:v>
                </c:pt>
                <c:pt idx="124">
                  <c:v>-0.97329874701492758</c:v>
                </c:pt>
                <c:pt idx="125">
                  <c:v>-1.1532142606813363</c:v>
                </c:pt>
                <c:pt idx="126">
                  <c:v>-1.3021983946912843</c:v>
                </c:pt>
                <c:pt idx="127">
                  <c:v>-1.4215357939658801</c:v>
                </c:pt>
                <c:pt idx="128">
                  <c:v>-1.5125124747704406</c:v>
                </c:pt>
                <c:pt idx="129">
                  <c:v>-1.5764144533702829</c:v>
                </c:pt>
                <c:pt idx="130">
                  <c:v>-1.6145277460307235</c:v>
                </c:pt>
                <c:pt idx="131">
                  <c:v>-1.6281383690170796</c:v>
                </c:pt>
                <c:pt idx="132">
                  <c:v>-1.6185323385946679</c:v>
                </c:pt>
                <c:pt idx="133">
                  <c:v>-1.5869956710288056</c:v>
                </c:pt>
                <c:pt idx="134">
                  <c:v>-1.5348143825848093</c:v>
                </c:pt>
                <c:pt idx="135">
                  <c:v>-1.4632744895279961</c:v>
                </c:pt>
                <c:pt idx="136">
                  <c:v>-1.3736620081236826</c:v>
                </c:pt>
                <c:pt idx="137">
                  <c:v>-1.2672629546371859</c:v>
                </c:pt>
                <c:pt idx="138">
                  <c:v>-1.1453633453338228</c:v>
                </c:pt>
                <c:pt idx="139">
                  <c:v>-1.0092491964789105</c:v>
                </c:pt>
                <c:pt idx="140">
                  <c:v>-0.86020652433776545</c:v>
                </c:pt>
                <c:pt idx="141">
                  <c:v>-0.69952134517570486</c:v>
                </c:pt>
                <c:pt idx="142">
                  <c:v>-0.52847967525804551</c:v>
                </c:pt>
                <c:pt idx="143">
                  <c:v>-0.34836753085010425</c:v>
                </c:pt>
                <c:pt idx="144">
                  <c:v>-0.16047092821719808</c:v>
                </c:pt>
                <c:pt idx="145">
                  <c:v>3.3924506332920497E-2</c:v>
                </c:pt>
                <c:pt idx="146">
                  <c:v>0.233654201799188</c:v>
                </c:pt>
                <c:pt idx="147">
                  <c:v>0.43784552813134986</c:v>
                </c:pt>
                <c:pt idx="148">
                  <c:v>0.64566898146613405</c:v>
                </c:pt>
                <c:pt idx="149">
                  <c:v>0.85629505794026861</c:v>
                </c:pt>
                <c:pt idx="150">
                  <c:v>1.0688942536904815</c:v>
                </c:pt>
                <c:pt idx="151">
                  <c:v>1.2826370648535008</c:v>
                </c:pt>
                <c:pt idx="152">
                  <c:v>1.4966939875660545</c:v>
                </c:pt>
                <c:pt idx="153">
                  <c:v>1.7102355179648705</c:v>
                </c:pt>
                <c:pt idx="154">
                  <c:v>1.922432152186677</c:v>
                </c:pt>
                <c:pt idx="155">
                  <c:v>2.1324543863682015</c:v>
                </c:pt>
                <c:pt idx="156">
                  <c:v>2.3394727166461728</c:v>
                </c:pt>
                <c:pt idx="157">
                  <c:v>2.5426576391573183</c:v>
                </c:pt>
                <c:pt idx="158">
                  <c:v>2.7411796500383665</c:v>
                </c:pt>
                <c:pt idx="159">
                  <c:v>2.9342092454260449</c:v>
                </c:pt>
                <c:pt idx="160">
                  <c:v>3.1209169214570815</c:v>
                </c:pt>
                <c:pt idx="161">
                  <c:v>3.300473174268205</c:v>
                </c:pt>
                <c:pt idx="162">
                  <c:v>3.4720484999961427</c:v>
                </c:pt>
                <c:pt idx="163">
                  <c:v>3.6348133947776229</c:v>
                </c:pt>
                <c:pt idx="164">
                  <c:v>3.7879383547493735</c:v>
                </c:pt>
                <c:pt idx="165">
                  <c:v>3.9305938760481225</c:v>
                </c:pt>
                <c:pt idx="166">
                  <c:v>4.0619761201991569</c:v>
                </c:pt>
                <c:pt idx="167">
                  <c:v>4.1819222380657264</c:v>
                </c:pt>
                <c:pt idx="168">
                  <c:v>4.2909398607273657</c:v>
                </c:pt>
                <c:pt idx="169">
                  <c:v>4.3895681865691474</c:v>
                </c:pt>
                <c:pt idx="170">
                  <c:v>4.4783464139761433</c:v>
                </c:pt>
                <c:pt idx="171">
                  <c:v>4.5578137413334243</c:v>
                </c:pt>
                <c:pt idx="172">
                  <c:v>4.6285093670260622</c:v>
                </c:pt>
                <c:pt idx="173">
                  <c:v>4.6909724894391287</c:v>
                </c:pt>
                <c:pt idx="174">
                  <c:v>4.7457423069576947</c:v>
                </c:pt>
                <c:pt idx="175">
                  <c:v>4.7933580179668329</c:v>
                </c:pt>
                <c:pt idx="176">
                  <c:v>4.8343588208516142</c:v>
                </c:pt>
                <c:pt idx="177">
                  <c:v>4.8692839139971111</c:v>
                </c:pt>
                <c:pt idx="178">
                  <c:v>4.8986724957883929</c:v>
                </c:pt>
                <c:pt idx="179">
                  <c:v>4.923063764610534</c:v>
                </c:pt>
                <c:pt idx="180">
                  <c:v>4.9429969188486043</c:v>
                </c:pt>
                <c:pt idx="181">
                  <c:v>4.9590111568876756</c:v>
                </c:pt>
                <c:pt idx="182">
                  <c:v>4.9716456771128188</c:v>
                </c:pt>
                <c:pt idx="183">
                  <c:v>4.9814396779091075</c:v>
                </c:pt>
                <c:pt idx="184">
                  <c:v>4.9889323576616107</c:v>
                </c:pt>
                <c:pt idx="185">
                  <c:v>4.994662914755402</c:v>
                </c:pt>
                <c:pt idx="186">
                  <c:v>4.9991705475755523</c:v>
                </c:pt>
                <c:pt idx="187">
                  <c:v>5.0029496226379084</c:v>
                </c:pt>
                <c:pt idx="188">
                  <c:v>5.0061557342008545</c:v>
                </c:pt>
                <c:pt idx="189">
                  <c:v>5.008789678161798</c:v>
                </c:pt>
                <c:pt idx="190">
                  <c:v>5.010851454520739</c:v>
                </c:pt>
                <c:pt idx="191">
                  <c:v>5.0123410632776775</c:v>
                </c:pt>
                <c:pt idx="192">
                  <c:v>5.0132585044326134</c:v>
                </c:pt>
                <c:pt idx="193">
                  <c:v>5.013603777985546</c:v>
                </c:pt>
                <c:pt idx="194">
                  <c:v>5.0133768839364761</c:v>
                </c:pt>
                <c:pt idx="195">
                  <c:v>5.0125778222854036</c:v>
                </c:pt>
                <c:pt idx="196">
                  <c:v>5.0112065930323286</c:v>
                </c:pt>
                <c:pt idx="197">
                  <c:v>5.0092631961772511</c:v>
                </c:pt>
                <c:pt idx="198">
                  <c:v>5.0067476317201711</c:v>
                </c:pt>
                <c:pt idx="199">
                  <c:v>5.0036598996610877</c:v>
                </c:pt>
                <c:pt idx="200">
                  <c:v>5.0000000000000018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F1-47A4-94DA-BCA47C7D0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0193456"/>
        <c:axId val="1617324208"/>
      </c:scatterChart>
      <c:valAx>
        <c:axId val="161019345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17324208"/>
        <c:crosses val="autoZero"/>
        <c:crossBetween val="midCat"/>
      </c:valAx>
      <c:valAx>
        <c:axId val="161732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10193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Поиск решения для табличной функции</a:t>
            </a:r>
            <a:endParaRPr lang="ru-RU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interpolation!$C$6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interpolation!$B$7:$B$15</c:f>
              <c:numCache>
                <c:formatCode>General</c:formatCode>
                <c:ptCount val="9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25</c:v>
                </c:pt>
                <c:pt idx="7">
                  <c:v>28</c:v>
                </c:pt>
                <c:pt idx="8">
                  <c:v>30</c:v>
                </c:pt>
              </c:numCache>
            </c:numRef>
          </c:xVal>
          <c:yVal>
            <c:numRef>
              <c:f>interpolation!$C$7:$C$15</c:f>
              <c:numCache>
                <c:formatCode>General</c:formatCode>
                <c:ptCount val="9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10</c:v>
                </c:pt>
                <c:pt idx="4">
                  <c:v>-1</c:v>
                </c:pt>
                <c:pt idx="5">
                  <c:v>0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4B-4BE4-BB36-6503566A9248}"/>
            </c:ext>
          </c:extLst>
        </c:ser>
        <c:ser>
          <c:idx val="1"/>
          <c:order val="1"/>
          <c:tx>
            <c:v>интерполяция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interpolation!$B$21:$B$221</c:f>
              <c:numCache>
                <c:formatCode>General</c:formatCode>
                <c:ptCount val="201"/>
                <c:pt idx="0">
                  <c:v>1</c:v>
                </c:pt>
                <c:pt idx="1">
                  <c:v>1.145</c:v>
                </c:pt>
                <c:pt idx="2">
                  <c:v>1.29</c:v>
                </c:pt>
                <c:pt idx="3">
                  <c:v>1.4350000000000001</c:v>
                </c:pt>
                <c:pt idx="4">
                  <c:v>1.58</c:v>
                </c:pt>
                <c:pt idx="5">
                  <c:v>1.7250000000000001</c:v>
                </c:pt>
                <c:pt idx="6">
                  <c:v>1.87</c:v>
                </c:pt>
                <c:pt idx="7">
                  <c:v>2.0150000000000001</c:v>
                </c:pt>
                <c:pt idx="8">
                  <c:v>2.16</c:v>
                </c:pt>
                <c:pt idx="9">
                  <c:v>2.3050000000000002</c:v>
                </c:pt>
                <c:pt idx="10">
                  <c:v>2.4500000000000002</c:v>
                </c:pt>
                <c:pt idx="11">
                  <c:v>2.5950000000000002</c:v>
                </c:pt>
                <c:pt idx="12">
                  <c:v>2.74</c:v>
                </c:pt>
                <c:pt idx="13">
                  <c:v>2.8850000000000002</c:v>
                </c:pt>
                <c:pt idx="14">
                  <c:v>3.0300000000000002</c:v>
                </c:pt>
                <c:pt idx="15">
                  <c:v>3.1750000000000003</c:v>
                </c:pt>
                <c:pt idx="16">
                  <c:v>3.3200000000000003</c:v>
                </c:pt>
                <c:pt idx="17">
                  <c:v>3.4650000000000003</c:v>
                </c:pt>
                <c:pt idx="18">
                  <c:v>3.6100000000000003</c:v>
                </c:pt>
                <c:pt idx="19">
                  <c:v>3.7550000000000003</c:v>
                </c:pt>
                <c:pt idx="20">
                  <c:v>3.9000000000000004</c:v>
                </c:pt>
                <c:pt idx="21">
                  <c:v>4.0449999999999999</c:v>
                </c:pt>
                <c:pt idx="22">
                  <c:v>4.1899999999999995</c:v>
                </c:pt>
                <c:pt idx="23">
                  <c:v>4.3349999999999991</c:v>
                </c:pt>
                <c:pt idx="24">
                  <c:v>4.4799999999999986</c:v>
                </c:pt>
                <c:pt idx="25">
                  <c:v>4.6249999999999982</c:v>
                </c:pt>
                <c:pt idx="26">
                  <c:v>4.7699999999999978</c:v>
                </c:pt>
                <c:pt idx="27">
                  <c:v>4.9149999999999974</c:v>
                </c:pt>
                <c:pt idx="28">
                  <c:v>5.0599999999999969</c:v>
                </c:pt>
                <c:pt idx="29">
                  <c:v>5.2049999999999965</c:v>
                </c:pt>
                <c:pt idx="30">
                  <c:v>5.3499999999999961</c:v>
                </c:pt>
                <c:pt idx="31">
                  <c:v>5.4949999999999957</c:v>
                </c:pt>
                <c:pt idx="32">
                  <c:v>5.6399999999999952</c:v>
                </c:pt>
                <c:pt idx="33">
                  <c:v>5.7849999999999948</c:v>
                </c:pt>
                <c:pt idx="34">
                  <c:v>5.9299999999999944</c:v>
                </c:pt>
                <c:pt idx="35">
                  <c:v>6.074999999999994</c:v>
                </c:pt>
                <c:pt idx="36">
                  <c:v>6.2199999999999935</c:v>
                </c:pt>
                <c:pt idx="37">
                  <c:v>6.3649999999999931</c:v>
                </c:pt>
                <c:pt idx="38">
                  <c:v>6.5099999999999927</c:v>
                </c:pt>
                <c:pt idx="39">
                  <c:v>6.6549999999999923</c:v>
                </c:pt>
                <c:pt idx="40">
                  <c:v>6.7999999999999918</c:v>
                </c:pt>
                <c:pt idx="41">
                  <c:v>6.9449999999999914</c:v>
                </c:pt>
                <c:pt idx="42">
                  <c:v>7.089999999999991</c:v>
                </c:pt>
                <c:pt idx="43">
                  <c:v>7.2349999999999905</c:v>
                </c:pt>
                <c:pt idx="44">
                  <c:v>7.3799999999999901</c:v>
                </c:pt>
                <c:pt idx="45">
                  <c:v>7.5249999999999897</c:v>
                </c:pt>
                <c:pt idx="46">
                  <c:v>7.6699999999999893</c:v>
                </c:pt>
                <c:pt idx="47">
                  <c:v>7.8149999999999888</c:v>
                </c:pt>
                <c:pt idx="48">
                  <c:v>7.9599999999999884</c:v>
                </c:pt>
                <c:pt idx="49">
                  <c:v>8.104999999999988</c:v>
                </c:pt>
                <c:pt idx="50">
                  <c:v>8.2499999999999876</c:v>
                </c:pt>
                <c:pt idx="51">
                  <c:v>8.3949999999999871</c:v>
                </c:pt>
                <c:pt idx="52">
                  <c:v>8.5399999999999867</c:v>
                </c:pt>
                <c:pt idx="53">
                  <c:v>8.6849999999999863</c:v>
                </c:pt>
                <c:pt idx="54">
                  <c:v>8.8299999999999859</c:v>
                </c:pt>
                <c:pt idx="55">
                  <c:v>8.9749999999999854</c:v>
                </c:pt>
                <c:pt idx="56">
                  <c:v>9.119999999999985</c:v>
                </c:pt>
                <c:pt idx="57">
                  <c:v>9.2649999999999846</c:v>
                </c:pt>
                <c:pt idx="58">
                  <c:v>9.4099999999999842</c:v>
                </c:pt>
                <c:pt idx="59">
                  <c:v>9.5549999999999837</c:v>
                </c:pt>
                <c:pt idx="60">
                  <c:v>9.6999999999999833</c:v>
                </c:pt>
                <c:pt idx="61">
                  <c:v>9.8449999999999829</c:v>
                </c:pt>
                <c:pt idx="62">
                  <c:v>9.9899999999999824</c:v>
                </c:pt>
                <c:pt idx="63">
                  <c:v>10.134999999999982</c:v>
                </c:pt>
                <c:pt idx="64">
                  <c:v>10.279999999999982</c:v>
                </c:pt>
                <c:pt idx="65">
                  <c:v>10.424999999999981</c:v>
                </c:pt>
                <c:pt idx="66">
                  <c:v>10.569999999999981</c:v>
                </c:pt>
                <c:pt idx="67">
                  <c:v>10.71499999999998</c:v>
                </c:pt>
                <c:pt idx="68">
                  <c:v>10.85999999999998</c:v>
                </c:pt>
                <c:pt idx="69">
                  <c:v>11.004999999999979</c:v>
                </c:pt>
                <c:pt idx="70">
                  <c:v>11.149999999999979</c:v>
                </c:pt>
                <c:pt idx="71">
                  <c:v>11.294999999999979</c:v>
                </c:pt>
                <c:pt idx="72">
                  <c:v>11.439999999999978</c:v>
                </c:pt>
                <c:pt idx="73">
                  <c:v>11.584999999999978</c:v>
                </c:pt>
                <c:pt idx="74">
                  <c:v>11.729999999999977</c:v>
                </c:pt>
                <c:pt idx="75">
                  <c:v>11.874999999999977</c:v>
                </c:pt>
                <c:pt idx="76">
                  <c:v>12.019999999999976</c:v>
                </c:pt>
                <c:pt idx="77">
                  <c:v>12.164999999999976</c:v>
                </c:pt>
                <c:pt idx="78">
                  <c:v>12.309999999999976</c:v>
                </c:pt>
                <c:pt idx="79">
                  <c:v>12.454999999999975</c:v>
                </c:pt>
                <c:pt idx="80">
                  <c:v>12.599999999999975</c:v>
                </c:pt>
                <c:pt idx="81">
                  <c:v>12.744999999999974</c:v>
                </c:pt>
                <c:pt idx="82">
                  <c:v>12.889999999999974</c:v>
                </c:pt>
                <c:pt idx="83">
                  <c:v>13.034999999999973</c:v>
                </c:pt>
                <c:pt idx="84">
                  <c:v>13.179999999999973</c:v>
                </c:pt>
                <c:pt idx="85">
                  <c:v>13.324999999999973</c:v>
                </c:pt>
                <c:pt idx="86">
                  <c:v>13.469999999999972</c:v>
                </c:pt>
                <c:pt idx="87">
                  <c:v>13.614999999999972</c:v>
                </c:pt>
                <c:pt idx="88">
                  <c:v>13.759999999999971</c:v>
                </c:pt>
                <c:pt idx="89">
                  <c:v>13.904999999999971</c:v>
                </c:pt>
                <c:pt idx="90">
                  <c:v>14.049999999999971</c:v>
                </c:pt>
                <c:pt idx="91">
                  <c:v>14.19499999999997</c:v>
                </c:pt>
                <c:pt idx="92">
                  <c:v>14.33999999999997</c:v>
                </c:pt>
                <c:pt idx="93">
                  <c:v>14.484999999999969</c:v>
                </c:pt>
                <c:pt idx="94">
                  <c:v>14.629999999999969</c:v>
                </c:pt>
                <c:pt idx="95">
                  <c:v>14.774999999999968</c:v>
                </c:pt>
                <c:pt idx="96">
                  <c:v>14.919999999999968</c:v>
                </c:pt>
                <c:pt idx="97">
                  <c:v>15.064999999999968</c:v>
                </c:pt>
                <c:pt idx="98">
                  <c:v>15.209999999999967</c:v>
                </c:pt>
                <c:pt idx="99">
                  <c:v>15.354999999999967</c:v>
                </c:pt>
                <c:pt idx="100">
                  <c:v>15.499999999999966</c:v>
                </c:pt>
                <c:pt idx="101">
                  <c:v>15.644999999999966</c:v>
                </c:pt>
                <c:pt idx="102">
                  <c:v>15.789999999999965</c:v>
                </c:pt>
                <c:pt idx="103">
                  <c:v>15.934999999999965</c:v>
                </c:pt>
                <c:pt idx="104">
                  <c:v>16.079999999999966</c:v>
                </c:pt>
                <c:pt idx="105">
                  <c:v>16.224999999999966</c:v>
                </c:pt>
                <c:pt idx="106">
                  <c:v>16.369999999999965</c:v>
                </c:pt>
                <c:pt idx="107">
                  <c:v>16.514999999999965</c:v>
                </c:pt>
                <c:pt idx="108">
                  <c:v>16.659999999999965</c:v>
                </c:pt>
                <c:pt idx="109">
                  <c:v>16.804999999999964</c:v>
                </c:pt>
                <c:pt idx="110">
                  <c:v>16.949999999999964</c:v>
                </c:pt>
                <c:pt idx="111">
                  <c:v>17.094999999999963</c:v>
                </c:pt>
                <c:pt idx="112">
                  <c:v>17.239999999999963</c:v>
                </c:pt>
                <c:pt idx="113">
                  <c:v>17.384999999999962</c:v>
                </c:pt>
                <c:pt idx="114">
                  <c:v>17.529999999999962</c:v>
                </c:pt>
                <c:pt idx="115">
                  <c:v>17.674999999999962</c:v>
                </c:pt>
                <c:pt idx="116">
                  <c:v>17.819999999999961</c:v>
                </c:pt>
                <c:pt idx="117">
                  <c:v>17.964999999999961</c:v>
                </c:pt>
                <c:pt idx="118">
                  <c:v>18.10999999999996</c:v>
                </c:pt>
                <c:pt idx="119">
                  <c:v>18.25499999999996</c:v>
                </c:pt>
                <c:pt idx="120">
                  <c:v>18.399999999999959</c:v>
                </c:pt>
                <c:pt idx="121">
                  <c:v>18.544999999999959</c:v>
                </c:pt>
                <c:pt idx="122">
                  <c:v>18.689999999999959</c:v>
                </c:pt>
                <c:pt idx="123">
                  <c:v>18.834999999999958</c:v>
                </c:pt>
                <c:pt idx="124">
                  <c:v>18.979999999999958</c:v>
                </c:pt>
                <c:pt idx="125">
                  <c:v>19.124999999999957</c:v>
                </c:pt>
                <c:pt idx="126">
                  <c:v>19.269999999999957</c:v>
                </c:pt>
                <c:pt idx="127">
                  <c:v>19.414999999999957</c:v>
                </c:pt>
                <c:pt idx="128">
                  <c:v>19.559999999999956</c:v>
                </c:pt>
                <c:pt idx="129">
                  <c:v>19.704999999999956</c:v>
                </c:pt>
                <c:pt idx="130">
                  <c:v>19.849999999999955</c:v>
                </c:pt>
                <c:pt idx="131">
                  <c:v>19.994999999999955</c:v>
                </c:pt>
                <c:pt idx="132">
                  <c:v>20.139999999999954</c:v>
                </c:pt>
                <c:pt idx="133">
                  <c:v>20.284999999999954</c:v>
                </c:pt>
                <c:pt idx="134">
                  <c:v>20.429999999999954</c:v>
                </c:pt>
                <c:pt idx="135">
                  <c:v>20.574999999999953</c:v>
                </c:pt>
                <c:pt idx="136">
                  <c:v>20.719999999999953</c:v>
                </c:pt>
                <c:pt idx="137">
                  <c:v>20.864999999999952</c:v>
                </c:pt>
                <c:pt idx="138">
                  <c:v>21.009999999999952</c:v>
                </c:pt>
                <c:pt idx="139">
                  <c:v>21.154999999999951</c:v>
                </c:pt>
                <c:pt idx="140">
                  <c:v>21.299999999999951</c:v>
                </c:pt>
                <c:pt idx="141">
                  <c:v>21.444999999999951</c:v>
                </c:pt>
                <c:pt idx="142">
                  <c:v>21.58999999999995</c:v>
                </c:pt>
                <c:pt idx="143">
                  <c:v>21.73499999999995</c:v>
                </c:pt>
                <c:pt idx="144">
                  <c:v>21.879999999999949</c:v>
                </c:pt>
                <c:pt idx="145">
                  <c:v>22.024999999999949</c:v>
                </c:pt>
                <c:pt idx="146">
                  <c:v>22.169999999999948</c:v>
                </c:pt>
                <c:pt idx="147">
                  <c:v>22.314999999999948</c:v>
                </c:pt>
                <c:pt idx="148">
                  <c:v>22.459999999999948</c:v>
                </c:pt>
                <c:pt idx="149">
                  <c:v>22.604999999999947</c:v>
                </c:pt>
                <c:pt idx="150">
                  <c:v>22.749999999999947</c:v>
                </c:pt>
                <c:pt idx="151">
                  <c:v>22.894999999999946</c:v>
                </c:pt>
                <c:pt idx="152">
                  <c:v>23.039999999999946</c:v>
                </c:pt>
                <c:pt idx="153">
                  <c:v>23.184999999999945</c:v>
                </c:pt>
                <c:pt idx="154">
                  <c:v>23.329999999999945</c:v>
                </c:pt>
                <c:pt idx="155">
                  <c:v>23.474999999999945</c:v>
                </c:pt>
                <c:pt idx="156">
                  <c:v>23.619999999999944</c:v>
                </c:pt>
                <c:pt idx="157">
                  <c:v>23.764999999999944</c:v>
                </c:pt>
                <c:pt idx="158">
                  <c:v>23.909999999999943</c:v>
                </c:pt>
                <c:pt idx="159">
                  <c:v>24.054999999999943</c:v>
                </c:pt>
                <c:pt idx="160">
                  <c:v>24.199999999999942</c:v>
                </c:pt>
                <c:pt idx="161">
                  <c:v>24.344999999999942</c:v>
                </c:pt>
                <c:pt idx="162">
                  <c:v>24.489999999999942</c:v>
                </c:pt>
                <c:pt idx="163">
                  <c:v>24.634999999999941</c:v>
                </c:pt>
                <c:pt idx="164">
                  <c:v>24.779999999999941</c:v>
                </c:pt>
                <c:pt idx="165">
                  <c:v>24.92499999999994</c:v>
                </c:pt>
                <c:pt idx="166">
                  <c:v>25.06999999999994</c:v>
                </c:pt>
                <c:pt idx="167">
                  <c:v>25.214999999999939</c:v>
                </c:pt>
                <c:pt idx="168">
                  <c:v>25.359999999999939</c:v>
                </c:pt>
                <c:pt idx="169">
                  <c:v>25.504999999999939</c:v>
                </c:pt>
                <c:pt idx="170">
                  <c:v>25.649999999999938</c:v>
                </c:pt>
                <c:pt idx="171">
                  <c:v>25.794999999999938</c:v>
                </c:pt>
                <c:pt idx="172">
                  <c:v>25.939999999999937</c:v>
                </c:pt>
                <c:pt idx="173">
                  <c:v>26.084999999999937</c:v>
                </c:pt>
                <c:pt idx="174">
                  <c:v>26.229999999999936</c:v>
                </c:pt>
                <c:pt idx="175">
                  <c:v>26.374999999999936</c:v>
                </c:pt>
                <c:pt idx="176">
                  <c:v>26.519999999999936</c:v>
                </c:pt>
                <c:pt idx="177">
                  <c:v>26.664999999999935</c:v>
                </c:pt>
                <c:pt idx="178">
                  <c:v>26.809999999999935</c:v>
                </c:pt>
                <c:pt idx="179">
                  <c:v>26.954999999999934</c:v>
                </c:pt>
                <c:pt idx="180">
                  <c:v>27.099999999999934</c:v>
                </c:pt>
                <c:pt idx="181">
                  <c:v>27.244999999999933</c:v>
                </c:pt>
                <c:pt idx="182">
                  <c:v>27.389999999999933</c:v>
                </c:pt>
                <c:pt idx="183">
                  <c:v>27.534999999999933</c:v>
                </c:pt>
                <c:pt idx="184">
                  <c:v>27.679999999999932</c:v>
                </c:pt>
                <c:pt idx="185">
                  <c:v>27.824999999999932</c:v>
                </c:pt>
                <c:pt idx="186">
                  <c:v>27.969999999999931</c:v>
                </c:pt>
                <c:pt idx="187">
                  <c:v>28.114999999999931</c:v>
                </c:pt>
                <c:pt idx="188">
                  <c:v>28.259999999999931</c:v>
                </c:pt>
                <c:pt idx="189">
                  <c:v>28.40499999999993</c:v>
                </c:pt>
                <c:pt idx="190">
                  <c:v>28.54999999999993</c:v>
                </c:pt>
                <c:pt idx="191">
                  <c:v>28.694999999999929</c:v>
                </c:pt>
                <c:pt idx="192">
                  <c:v>28.839999999999929</c:v>
                </c:pt>
                <c:pt idx="193">
                  <c:v>28.984999999999928</c:v>
                </c:pt>
                <c:pt idx="194">
                  <c:v>29.129999999999928</c:v>
                </c:pt>
                <c:pt idx="195">
                  <c:v>29.274999999999928</c:v>
                </c:pt>
                <c:pt idx="196">
                  <c:v>29.419999999999927</c:v>
                </c:pt>
                <c:pt idx="197">
                  <c:v>29.564999999999927</c:v>
                </c:pt>
                <c:pt idx="198">
                  <c:v>29.709999999999926</c:v>
                </c:pt>
                <c:pt idx="199">
                  <c:v>29.854999999999926</c:v>
                </c:pt>
                <c:pt idx="200">
                  <c:v>29.999999999999925</c:v>
                </c:pt>
              </c:numCache>
            </c:numRef>
          </c:xVal>
          <c:yVal>
            <c:numRef>
              <c:f>interpolation!$C$21:$C$221</c:f>
              <c:numCache>
                <c:formatCode>0.00</c:formatCode>
                <c:ptCount val="201"/>
                <c:pt idx="0">
                  <c:v>1</c:v>
                </c:pt>
                <c:pt idx="1">
                  <c:v>0.9455290939362081</c:v>
                </c:pt>
                <c:pt idx="2">
                  <c:v>0.90641016548776931</c:v>
                </c:pt>
                <c:pt idx="3">
                  <c:v>0.88264321465468354</c:v>
                </c:pt>
                <c:pt idx="4">
                  <c:v>0.87422824143695088</c:v>
                </c:pt>
                <c:pt idx="5">
                  <c:v>0.88116524583457123</c:v>
                </c:pt>
                <c:pt idx="6">
                  <c:v>0.90345422784754459</c:v>
                </c:pt>
                <c:pt idx="7">
                  <c:v>0.94109518747587106</c:v>
                </c:pt>
                <c:pt idx="8">
                  <c:v>0.99408812471955066</c:v>
                </c:pt>
                <c:pt idx="9">
                  <c:v>1.0624330395785833</c:v>
                </c:pt>
                <c:pt idx="10">
                  <c:v>1.146129932052969</c:v>
                </c:pt>
                <c:pt idx="11">
                  <c:v>1.2451788021427077</c:v>
                </c:pt>
                <c:pt idx="12">
                  <c:v>1.3595796498477994</c:v>
                </c:pt>
                <c:pt idx="13">
                  <c:v>1.4893324751682444</c:v>
                </c:pt>
                <c:pt idx="14">
                  <c:v>1.6344372781040422</c:v>
                </c:pt>
                <c:pt idx="15">
                  <c:v>1.7948940586551931</c:v>
                </c:pt>
                <c:pt idx="16">
                  <c:v>1.9707028168216973</c:v>
                </c:pt>
                <c:pt idx="17">
                  <c:v>2.1618635526035543</c:v>
                </c:pt>
                <c:pt idx="18">
                  <c:v>2.3683762660007646</c:v>
                </c:pt>
                <c:pt idx="19">
                  <c:v>2.5902409570133278</c:v>
                </c:pt>
                <c:pt idx="20">
                  <c:v>2.827457625641244</c:v>
                </c:pt>
                <c:pt idx="21">
                  <c:v>3.080014697072603</c:v>
                </c:pt>
                <c:pt idx="22">
                  <c:v>3.347075656951501</c:v>
                </c:pt>
                <c:pt idx="23">
                  <c:v>3.6264440854827473</c:v>
                </c:pt>
                <c:pt idx="24">
                  <c:v>3.9157965416156273</c:v>
                </c:pt>
                <c:pt idx="25">
                  <c:v>4.2128095842994266</c:v>
                </c:pt>
                <c:pt idx="26">
                  <c:v>4.5151597724834316</c:v>
                </c:pt>
                <c:pt idx="27">
                  <c:v>4.8205236651169265</c:v>
                </c:pt>
                <c:pt idx="28">
                  <c:v>5.1266021229433152</c:v>
                </c:pt>
                <c:pt idx="29">
                  <c:v>5.4319680726500961</c:v>
                </c:pt>
                <c:pt idx="30">
                  <c:v>5.7362869528311204</c:v>
                </c:pt>
                <c:pt idx="31">
                  <c:v>6.0392932962437218</c:v>
                </c:pt>
                <c:pt idx="32">
                  <c:v>6.3407216356452354</c:v>
                </c:pt>
                <c:pt idx="33">
                  <c:v>6.6403065037929947</c:v>
                </c:pt>
                <c:pt idx="34">
                  <c:v>6.9377824334443332</c:v>
                </c:pt>
                <c:pt idx="35">
                  <c:v>7.2328839573565844</c:v>
                </c:pt>
                <c:pt idx="36">
                  <c:v>7.5253456082870835</c:v>
                </c:pt>
                <c:pt idx="37">
                  <c:v>7.8149019189931641</c:v>
                </c:pt>
                <c:pt idx="38">
                  <c:v>8.1012874222321596</c:v>
                </c:pt>
                <c:pt idx="39">
                  <c:v>8.3842366507614052</c:v>
                </c:pt>
                <c:pt idx="40">
                  <c:v>8.6634841373382336</c:v>
                </c:pt>
                <c:pt idx="41">
                  <c:v>8.9387644147199783</c:v>
                </c:pt>
                <c:pt idx="42">
                  <c:v>9.2098120156639744</c:v>
                </c:pt>
                <c:pt idx="43">
                  <c:v>9.4763614729275556</c:v>
                </c:pt>
                <c:pt idx="44">
                  <c:v>9.7381473192680552</c:v>
                </c:pt>
                <c:pt idx="45">
                  <c:v>9.9949040874428068</c:v>
                </c:pt>
                <c:pt idx="46">
                  <c:v>10.246366310209147</c:v>
                </c:pt>
                <c:pt idx="47">
                  <c:v>10.492268520324407</c:v>
                </c:pt>
                <c:pt idx="48">
                  <c:v>10.732345250545922</c:v>
                </c:pt>
                <c:pt idx="49">
                  <c:v>10.966331033631025</c:v>
                </c:pt>
                <c:pt idx="50">
                  <c:v>11.193960402337051</c:v>
                </c:pt>
                <c:pt idx="51">
                  <c:v>11.414967889421332</c:v>
                </c:pt>
                <c:pt idx="52">
                  <c:v>11.629088027641204</c:v>
                </c:pt>
                <c:pt idx="53">
                  <c:v>11.836055349754002</c:v>
                </c:pt>
                <c:pt idx="54">
                  <c:v>12.035604388517058</c:v>
                </c:pt>
                <c:pt idx="55">
                  <c:v>12.227469676687704</c:v>
                </c:pt>
                <c:pt idx="56">
                  <c:v>12.411385747023278</c:v>
                </c:pt>
                <c:pt idx="57">
                  <c:v>12.587087132281111</c:v>
                </c:pt>
                <c:pt idx="58">
                  <c:v>12.754308365218538</c:v>
                </c:pt>
                <c:pt idx="59">
                  <c:v>12.912783978592895</c:v>
                </c:pt>
                <c:pt idx="60">
                  <c:v>13.062248505161511</c:v>
                </c:pt>
                <c:pt idx="61">
                  <c:v>13.202436477681724</c:v>
                </c:pt>
                <c:pt idx="62">
                  <c:v>13.333082428910867</c:v>
                </c:pt>
                <c:pt idx="63">
                  <c:v>13.453920891606273</c:v>
                </c:pt>
                <c:pt idx="64">
                  <c:v>13.564686398525279</c:v>
                </c:pt>
                <c:pt idx="65">
                  <c:v>13.665113482425214</c:v>
                </c:pt>
                <c:pt idx="66">
                  <c:v>13.754936676063414</c:v>
                </c:pt>
                <c:pt idx="67">
                  <c:v>13.833890512197215</c:v>
                </c:pt>
                <c:pt idx="68">
                  <c:v>13.90170952358395</c:v>
                </c:pt>
                <c:pt idx="69">
                  <c:v>13.958128242980951</c:v>
                </c:pt>
                <c:pt idx="70">
                  <c:v>14.002881203145554</c:v>
                </c:pt>
                <c:pt idx="71">
                  <c:v>14.035702936835092</c:v>
                </c:pt>
                <c:pt idx="72">
                  <c:v>14.056327976806898</c:v>
                </c:pt>
                <c:pt idx="73">
                  <c:v>14.064490855818308</c:v>
                </c:pt>
                <c:pt idx="74">
                  <c:v>14.059926106626655</c:v>
                </c:pt>
                <c:pt idx="75">
                  <c:v>14.042368261989274</c:v>
                </c:pt>
                <c:pt idx="76">
                  <c:v>14.011551854663496</c:v>
                </c:pt>
                <c:pt idx="77">
                  <c:v>13.967211417406659</c:v>
                </c:pt>
                <c:pt idx="78">
                  <c:v>13.909081482976093</c:v>
                </c:pt>
                <c:pt idx="79">
                  <c:v>13.836896584129134</c:v>
                </c:pt>
                <c:pt idx="80">
                  <c:v>13.750391253623116</c:v>
                </c:pt>
                <c:pt idx="81">
                  <c:v>13.649300024215373</c:v>
                </c:pt>
                <c:pt idx="82">
                  <c:v>13.533357428663237</c:v>
                </c:pt>
                <c:pt idx="83">
                  <c:v>13.402297999724045</c:v>
                </c:pt>
                <c:pt idx="84">
                  <c:v>13.255856270155128</c:v>
                </c:pt>
                <c:pt idx="85">
                  <c:v>13.093766772713824</c:v>
                </c:pt>
                <c:pt idx="86">
                  <c:v>12.915764040157462</c:v>
                </c:pt>
                <c:pt idx="87">
                  <c:v>12.721582605243379</c:v>
                </c:pt>
                <c:pt idx="88">
                  <c:v>12.510957000728908</c:v>
                </c:pt>
                <c:pt idx="89">
                  <c:v>12.283621759371382</c:v>
                </c:pt>
                <c:pt idx="90">
                  <c:v>12.039311413928138</c:v>
                </c:pt>
                <c:pt idx="91">
                  <c:v>11.777760497156507</c:v>
                </c:pt>
                <c:pt idx="92">
                  <c:v>11.498703541813823</c:v>
                </c:pt>
                <c:pt idx="93">
                  <c:v>11.201875080657421</c:v>
                </c:pt>
                <c:pt idx="94">
                  <c:v>10.887009646444636</c:v>
                </c:pt>
                <c:pt idx="95">
                  <c:v>10.553841771932801</c:v>
                </c:pt>
                <c:pt idx="96">
                  <c:v>10.202105989879248</c:v>
                </c:pt>
                <c:pt idx="97">
                  <c:v>9.8315685866029074</c:v>
                </c:pt>
                <c:pt idx="98">
                  <c:v>9.4429396388514864</c:v>
                </c:pt>
                <c:pt idx="99">
                  <c:v>9.0380094659521344</c:v>
                </c:pt>
                <c:pt idx="100">
                  <c:v>8.6186275873177056</c:v>
                </c:pt>
                <c:pt idx="101">
                  <c:v>8.1866435223610541</c:v>
                </c:pt>
                <c:pt idx="102">
                  <c:v>7.7439067904950294</c:v>
                </c:pt>
                <c:pt idx="103">
                  <c:v>7.2922669111324865</c:v>
                </c:pt>
                <c:pt idx="104">
                  <c:v>6.8335734036862714</c:v>
                </c:pt>
                <c:pt idx="105">
                  <c:v>6.3696757875692471</c:v>
                </c:pt>
                <c:pt idx="106">
                  <c:v>5.9024235821942623</c:v>
                </c:pt>
                <c:pt idx="107">
                  <c:v>5.4336663069741684</c:v>
                </c:pt>
                <c:pt idx="108">
                  <c:v>4.9652534813218185</c:v>
                </c:pt>
                <c:pt idx="109">
                  <c:v>4.499034624650065</c:v>
                </c:pt>
                <c:pt idx="110">
                  <c:v>4.03685925637176</c:v>
                </c:pt>
                <c:pt idx="111">
                  <c:v>3.5805768958997568</c:v>
                </c:pt>
                <c:pt idx="112">
                  <c:v>3.1320370626469076</c:v>
                </c:pt>
                <c:pt idx="113">
                  <c:v>2.6930892760260647</c:v>
                </c:pt>
                <c:pt idx="114">
                  <c:v>2.2655830554500818</c:v>
                </c:pt>
                <c:pt idx="115">
                  <c:v>1.8513679203318101</c:v>
                </c:pt>
                <c:pt idx="116">
                  <c:v>1.4522933900841031</c:v>
                </c:pt>
                <c:pt idx="117">
                  <c:v>1.070208984119813</c:v>
                </c:pt>
                <c:pt idx="118">
                  <c:v>0.70696422185179231</c:v>
                </c:pt>
                <c:pt idx="119">
                  <c:v>0.3644086226928937</c:v>
                </c:pt>
                <c:pt idx="120">
                  <c:v>4.4391706055969843E-2</c:v>
                </c:pt>
                <c:pt idx="121">
                  <c:v>-0.2512370086461268</c:v>
                </c:pt>
                <c:pt idx="122">
                  <c:v>-0.5206280020005436</c:v>
                </c:pt>
                <c:pt idx="123">
                  <c:v>-0.76193175459442808</c:v>
                </c:pt>
                <c:pt idx="124">
                  <c:v>-0.97329874701492758</c:v>
                </c:pt>
                <c:pt idx="125">
                  <c:v>-1.1532142606813363</c:v>
                </c:pt>
                <c:pt idx="126">
                  <c:v>-1.3021983946912843</c:v>
                </c:pt>
                <c:pt idx="127">
                  <c:v>-1.4215357939658801</c:v>
                </c:pt>
                <c:pt idx="128">
                  <c:v>-1.5125124747704406</c:v>
                </c:pt>
                <c:pt idx="129">
                  <c:v>-1.5764144533702829</c:v>
                </c:pt>
                <c:pt idx="130">
                  <c:v>-1.6145277460307235</c:v>
                </c:pt>
                <c:pt idx="131">
                  <c:v>-1.6281383690170796</c:v>
                </c:pt>
                <c:pt idx="132">
                  <c:v>-1.6185323385946679</c:v>
                </c:pt>
                <c:pt idx="133">
                  <c:v>-1.5869956710288056</c:v>
                </c:pt>
                <c:pt idx="134">
                  <c:v>-1.5348143825848093</c:v>
                </c:pt>
                <c:pt idx="135">
                  <c:v>-1.4632744895279961</c:v>
                </c:pt>
                <c:pt idx="136">
                  <c:v>-1.3736620081236826</c:v>
                </c:pt>
                <c:pt idx="137">
                  <c:v>-1.2672629546371859</c:v>
                </c:pt>
                <c:pt idx="138">
                  <c:v>-1.1453633453338228</c:v>
                </c:pt>
                <c:pt idx="139">
                  <c:v>-1.0092491964789105</c:v>
                </c:pt>
                <c:pt idx="140">
                  <c:v>-0.86020652433776545</c:v>
                </c:pt>
                <c:pt idx="141">
                  <c:v>-0.69952134517570486</c:v>
                </c:pt>
                <c:pt idx="142">
                  <c:v>-0.52847967525804551</c:v>
                </c:pt>
                <c:pt idx="143">
                  <c:v>-0.34836753085010425</c:v>
                </c:pt>
                <c:pt idx="144">
                  <c:v>-0.16047092821719808</c:v>
                </c:pt>
                <c:pt idx="145">
                  <c:v>3.3924506332920497E-2</c:v>
                </c:pt>
                <c:pt idx="146">
                  <c:v>0.233654201799188</c:v>
                </c:pt>
                <c:pt idx="147">
                  <c:v>0.43784552813134986</c:v>
                </c:pt>
                <c:pt idx="148">
                  <c:v>0.64566898146613405</c:v>
                </c:pt>
                <c:pt idx="149">
                  <c:v>0.85629505794026861</c:v>
                </c:pt>
                <c:pt idx="150">
                  <c:v>1.0688942536904815</c:v>
                </c:pt>
                <c:pt idx="151">
                  <c:v>1.2826370648535008</c:v>
                </c:pt>
                <c:pt idx="152">
                  <c:v>1.4966939875660545</c:v>
                </c:pt>
                <c:pt idx="153">
                  <c:v>1.7102355179648705</c:v>
                </c:pt>
                <c:pt idx="154">
                  <c:v>1.922432152186677</c:v>
                </c:pt>
                <c:pt idx="155">
                  <c:v>2.1324543863682015</c:v>
                </c:pt>
                <c:pt idx="156">
                  <c:v>2.3394727166461728</c:v>
                </c:pt>
                <c:pt idx="157">
                  <c:v>2.5426576391573183</c:v>
                </c:pt>
                <c:pt idx="158">
                  <c:v>2.7411796500383665</c:v>
                </c:pt>
                <c:pt idx="159">
                  <c:v>2.9342092454260449</c:v>
                </c:pt>
                <c:pt idx="160">
                  <c:v>3.1209169214570815</c:v>
                </c:pt>
                <c:pt idx="161">
                  <c:v>3.300473174268205</c:v>
                </c:pt>
                <c:pt idx="162">
                  <c:v>3.4720484999961427</c:v>
                </c:pt>
                <c:pt idx="163">
                  <c:v>3.6348133947776229</c:v>
                </c:pt>
                <c:pt idx="164">
                  <c:v>3.7879383547493735</c:v>
                </c:pt>
                <c:pt idx="165">
                  <c:v>3.9305938760481225</c:v>
                </c:pt>
                <c:pt idx="166">
                  <c:v>4.0619761201991569</c:v>
                </c:pt>
                <c:pt idx="167">
                  <c:v>4.1819222380657264</c:v>
                </c:pt>
                <c:pt idx="168">
                  <c:v>4.2909398607273657</c:v>
                </c:pt>
                <c:pt idx="169">
                  <c:v>4.3895681865691474</c:v>
                </c:pt>
                <c:pt idx="170">
                  <c:v>4.4783464139761433</c:v>
                </c:pt>
                <c:pt idx="171">
                  <c:v>4.5578137413334243</c:v>
                </c:pt>
                <c:pt idx="172">
                  <c:v>4.6285093670260622</c:v>
                </c:pt>
                <c:pt idx="173">
                  <c:v>4.6909724894391287</c:v>
                </c:pt>
                <c:pt idx="174">
                  <c:v>4.7457423069576947</c:v>
                </c:pt>
                <c:pt idx="175">
                  <c:v>4.7933580179668329</c:v>
                </c:pt>
                <c:pt idx="176">
                  <c:v>4.8343588208516142</c:v>
                </c:pt>
                <c:pt idx="177">
                  <c:v>4.8692839139971111</c:v>
                </c:pt>
                <c:pt idx="178">
                  <c:v>4.8986724957883929</c:v>
                </c:pt>
                <c:pt idx="179">
                  <c:v>4.923063764610534</c:v>
                </c:pt>
                <c:pt idx="180">
                  <c:v>4.9429969188486043</c:v>
                </c:pt>
                <c:pt idx="181">
                  <c:v>4.9590111568876756</c:v>
                </c:pt>
                <c:pt idx="182">
                  <c:v>4.9716456771128188</c:v>
                </c:pt>
                <c:pt idx="183">
                  <c:v>4.9814396779091075</c:v>
                </c:pt>
                <c:pt idx="184">
                  <c:v>4.9889323576616107</c:v>
                </c:pt>
                <c:pt idx="185">
                  <c:v>4.994662914755402</c:v>
                </c:pt>
                <c:pt idx="186">
                  <c:v>4.9991705475755523</c:v>
                </c:pt>
                <c:pt idx="187">
                  <c:v>5.0029496226379084</c:v>
                </c:pt>
                <c:pt idx="188">
                  <c:v>5.0061557342008545</c:v>
                </c:pt>
                <c:pt idx="189">
                  <c:v>5.008789678161798</c:v>
                </c:pt>
                <c:pt idx="190">
                  <c:v>5.010851454520739</c:v>
                </c:pt>
                <c:pt idx="191">
                  <c:v>5.0123410632776775</c:v>
                </c:pt>
                <c:pt idx="192">
                  <c:v>5.0132585044326134</c:v>
                </c:pt>
                <c:pt idx="193">
                  <c:v>5.013603777985546</c:v>
                </c:pt>
                <c:pt idx="194">
                  <c:v>5.0133768839364761</c:v>
                </c:pt>
                <c:pt idx="195">
                  <c:v>5.0125778222854036</c:v>
                </c:pt>
                <c:pt idx="196">
                  <c:v>5.0112065930323286</c:v>
                </c:pt>
                <c:pt idx="197">
                  <c:v>5.0092631961772511</c:v>
                </c:pt>
                <c:pt idx="198">
                  <c:v>5.0067476317201711</c:v>
                </c:pt>
                <c:pt idx="199">
                  <c:v>5.0036598996610877</c:v>
                </c:pt>
                <c:pt idx="200">
                  <c:v>5.0000000000000018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4B-4BE4-BB36-6503566A9248}"/>
            </c:ext>
          </c:extLst>
        </c:ser>
        <c:ser>
          <c:idx val="2"/>
          <c:order val="2"/>
          <c:tx>
            <c:v>Решения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interpolation!$R$30:$V$30</c:f>
              <c:numCache>
                <c:formatCode>General</c:formatCode>
                <c:ptCount val="5"/>
                <c:pt idx="0">
                  <c:v>4.5</c:v>
                </c:pt>
                <c:pt idx="1">
                  <c:v>17.18181818181818</c:v>
                </c:pt>
                <c:pt idx="2">
                  <c:v>25</c:v>
                </c:pt>
                <c:pt idx="3">
                  <c:v>#N/A</c:v>
                </c:pt>
                <c:pt idx="4">
                  <c:v>#N/A</c:v>
                </c:pt>
              </c:numCache>
            </c:numRef>
          </c:xVal>
          <c:yVal>
            <c:numRef>
              <c:f>interpolation!$R$31:$V$31</c:f>
              <c:numCache>
                <c:formatCode>General</c:formatCode>
                <c:ptCount val="5"/>
                <c:pt idx="0">
                  <c:v>3.9563608090176294</c:v>
                </c:pt>
                <c:pt idx="1">
                  <c:v>3.3109669610188801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54B-4BE4-BB36-6503566A9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0193456"/>
        <c:axId val="1617324208"/>
      </c:scatterChart>
      <c:valAx>
        <c:axId val="1610193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х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17324208"/>
        <c:crosses val="autoZero"/>
        <c:crossBetween val="midCat"/>
      </c:valAx>
      <c:valAx>
        <c:axId val="161732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f(x)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10193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Пример</a:t>
            </a:r>
            <a:r>
              <a:rPr lang="ru-RU" baseline="0"/>
              <a:t> интерполяции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interpolation!$C$6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interpolation!$B$7:$B$15</c:f>
              <c:numCache>
                <c:formatCode>General</c:formatCode>
                <c:ptCount val="9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25</c:v>
                </c:pt>
                <c:pt idx="7">
                  <c:v>28</c:v>
                </c:pt>
                <c:pt idx="8">
                  <c:v>30</c:v>
                </c:pt>
              </c:numCache>
            </c:numRef>
          </c:xVal>
          <c:yVal>
            <c:numRef>
              <c:f>interpolation!$C$7:$C$15</c:f>
              <c:numCache>
                <c:formatCode>General</c:formatCode>
                <c:ptCount val="9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10</c:v>
                </c:pt>
                <c:pt idx="4">
                  <c:v>-1</c:v>
                </c:pt>
                <c:pt idx="5">
                  <c:v>0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E2-4D07-A38B-6923FF83FC0B}"/>
            </c:ext>
          </c:extLst>
        </c:ser>
        <c:ser>
          <c:idx val="1"/>
          <c:order val="1"/>
          <c:tx>
            <c:v>интерполяция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interpolation!$B$21:$B$221</c:f>
              <c:numCache>
                <c:formatCode>General</c:formatCode>
                <c:ptCount val="201"/>
                <c:pt idx="0">
                  <c:v>1</c:v>
                </c:pt>
                <c:pt idx="1">
                  <c:v>1.145</c:v>
                </c:pt>
                <c:pt idx="2">
                  <c:v>1.29</c:v>
                </c:pt>
                <c:pt idx="3">
                  <c:v>1.4350000000000001</c:v>
                </c:pt>
                <c:pt idx="4">
                  <c:v>1.58</c:v>
                </c:pt>
                <c:pt idx="5">
                  <c:v>1.7250000000000001</c:v>
                </c:pt>
                <c:pt idx="6">
                  <c:v>1.87</c:v>
                </c:pt>
                <c:pt idx="7">
                  <c:v>2.0150000000000001</c:v>
                </c:pt>
                <c:pt idx="8">
                  <c:v>2.16</c:v>
                </c:pt>
                <c:pt idx="9">
                  <c:v>2.3050000000000002</c:v>
                </c:pt>
                <c:pt idx="10">
                  <c:v>2.4500000000000002</c:v>
                </c:pt>
                <c:pt idx="11">
                  <c:v>2.5950000000000002</c:v>
                </c:pt>
                <c:pt idx="12">
                  <c:v>2.74</c:v>
                </c:pt>
                <c:pt idx="13">
                  <c:v>2.8850000000000002</c:v>
                </c:pt>
                <c:pt idx="14">
                  <c:v>3.0300000000000002</c:v>
                </c:pt>
                <c:pt idx="15">
                  <c:v>3.1750000000000003</c:v>
                </c:pt>
                <c:pt idx="16">
                  <c:v>3.3200000000000003</c:v>
                </c:pt>
                <c:pt idx="17">
                  <c:v>3.4650000000000003</c:v>
                </c:pt>
                <c:pt idx="18">
                  <c:v>3.6100000000000003</c:v>
                </c:pt>
                <c:pt idx="19">
                  <c:v>3.7550000000000003</c:v>
                </c:pt>
                <c:pt idx="20">
                  <c:v>3.9000000000000004</c:v>
                </c:pt>
                <c:pt idx="21">
                  <c:v>4.0449999999999999</c:v>
                </c:pt>
                <c:pt idx="22">
                  <c:v>4.1899999999999995</c:v>
                </c:pt>
                <c:pt idx="23">
                  <c:v>4.3349999999999991</c:v>
                </c:pt>
                <c:pt idx="24">
                  <c:v>4.4799999999999986</c:v>
                </c:pt>
                <c:pt idx="25">
                  <c:v>4.6249999999999982</c:v>
                </c:pt>
                <c:pt idx="26">
                  <c:v>4.7699999999999978</c:v>
                </c:pt>
                <c:pt idx="27">
                  <c:v>4.9149999999999974</c:v>
                </c:pt>
                <c:pt idx="28">
                  <c:v>5.0599999999999969</c:v>
                </c:pt>
                <c:pt idx="29">
                  <c:v>5.2049999999999965</c:v>
                </c:pt>
                <c:pt idx="30">
                  <c:v>5.3499999999999961</c:v>
                </c:pt>
                <c:pt idx="31">
                  <c:v>5.4949999999999957</c:v>
                </c:pt>
                <c:pt idx="32">
                  <c:v>5.6399999999999952</c:v>
                </c:pt>
                <c:pt idx="33">
                  <c:v>5.7849999999999948</c:v>
                </c:pt>
                <c:pt idx="34">
                  <c:v>5.9299999999999944</c:v>
                </c:pt>
                <c:pt idx="35">
                  <c:v>6.074999999999994</c:v>
                </c:pt>
                <c:pt idx="36">
                  <c:v>6.2199999999999935</c:v>
                </c:pt>
                <c:pt idx="37">
                  <c:v>6.3649999999999931</c:v>
                </c:pt>
                <c:pt idx="38">
                  <c:v>6.5099999999999927</c:v>
                </c:pt>
                <c:pt idx="39">
                  <c:v>6.6549999999999923</c:v>
                </c:pt>
                <c:pt idx="40">
                  <c:v>6.7999999999999918</c:v>
                </c:pt>
                <c:pt idx="41">
                  <c:v>6.9449999999999914</c:v>
                </c:pt>
                <c:pt idx="42">
                  <c:v>7.089999999999991</c:v>
                </c:pt>
                <c:pt idx="43">
                  <c:v>7.2349999999999905</c:v>
                </c:pt>
                <c:pt idx="44">
                  <c:v>7.3799999999999901</c:v>
                </c:pt>
                <c:pt idx="45">
                  <c:v>7.5249999999999897</c:v>
                </c:pt>
                <c:pt idx="46">
                  <c:v>7.6699999999999893</c:v>
                </c:pt>
                <c:pt idx="47">
                  <c:v>7.8149999999999888</c:v>
                </c:pt>
                <c:pt idx="48">
                  <c:v>7.9599999999999884</c:v>
                </c:pt>
                <c:pt idx="49">
                  <c:v>8.104999999999988</c:v>
                </c:pt>
                <c:pt idx="50">
                  <c:v>8.2499999999999876</c:v>
                </c:pt>
                <c:pt idx="51">
                  <c:v>8.3949999999999871</c:v>
                </c:pt>
                <c:pt idx="52">
                  <c:v>8.5399999999999867</c:v>
                </c:pt>
                <c:pt idx="53">
                  <c:v>8.6849999999999863</c:v>
                </c:pt>
                <c:pt idx="54">
                  <c:v>8.8299999999999859</c:v>
                </c:pt>
                <c:pt idx="55">
                  <c:v>8.9749999999999854</c:v>
                </c:pt>
                <c:pt idx="56">
                  <c:v>9.119999999999985</c:v>
                </c:pt>
                <c:pt idx="57">
                  <c:v>9.2649999999999846</c:v>
                </c:pt>
                <c:pt idx="58">
                  <c:v>9.4099999999999842</c:v>
                </c:pt>
                <c:pt idx="59">
                  <c:v>9.5549999999999837</c:v>
                </c:pt>
                <c:pt idx="60">
                  <c:v>9.6999999999999833</c:v>
                </c:pt>
                <c:pt idx="61">
                  <c:v>9.8449999999999829</c:v>
                </c:pt>
                <c:pt idx="62">
                  <c:v>9.9899999999999824</c:v>
                </c:pt>
                <c:pt idx="63">
                  <c:v>10.134999999999982</c:v>
                </c:pt>
                <c:pt idx="64">
                  <c:v>10.279999999999982</c:v>
                </c:pt>
                <c:pt idx="65">
                  <c:v>10.424999999999981</c:v>
                </c:pt>
                <c:pt idx="66">
                  <c:v>10.569999999999981</c:v>
                </c:pt>
                <c:pt idx="67">
                  <c:v>10.71499999999998</c:v>
                </c:pt>
                <c:pt idx="68">
                  <c:v>10.85999999999998</c:v>
                </c:pt>
                <c:pt idx="69">
                  <c:v>11.004999999999979</c:v>
                </c:pt>
                <c:pt idx="70">
                  <c:v>11.149999999999979</c:v>
                </c:pt>
                <c:pt idx="71">
                  <c:v>11.294999999999979</c:v>
                </c:pt>
                <c:pt idx="72">
                  <c:v>11.439999999999978</c:v>
                </c:pt>
                <c:pt idx="73">
                  <c:v>11.584999999999978</c:v>
                </c:pt>
                <c:pt idx="74">
                  <c:v>11.729999999999977</c:v>
                </c:pt>
                <c:pt idx="75">
                  <c:v>11.874999999999977</c:v>
                </c:pt>
                <c:pt idx="76">
                  <c:v>12.019999999999976</c:v>
                </c:pt>
                <c:pt idx="77">
                  <c:v>12.164999999999976</c:v>
                </c:pt>
                <c:pt idx="78">
                  <c:v>12.309999999999976</c:v>
                </c:pt>
                <c:pt idx="79">
                  <c:v>12.454999999999975</c:v>
                </c:pt>
                <c:pt idx="80">
                  <c:v>12.599999999999975</c:v>
                </c:pt>
                <c:pt idx="81">
                  <c:v>12.744999999999974</c:v>
                </c:pt>
                <c:pt idx="82">
                  <c:v>12.889999999999974</c:v>
                </c:pt>
                <c:pt idx="83">
                  <c:v>13.034999999999973</c:v>
                </c:pt>
                <c:pt idx="84">
                  <c:v>13.179999999999973</c:v>
                </c:pt>
                <c:pt idx="85">
                  <c:v>13.324999999999973</c:v>
                </c:pt>
                <c:pt idx="86">
                  <c:v>13.469999999999972</c:v>
                </c:pt>
                <c:pt idx="87">
                  <c:v>13.614999999999972</c:v>
                </c:pt>
                <c:pt idx="88">
                  <c:v>13.759999999999971</c:v>
                </c:pt>
                <c:pt idx="89">
                  <c:v>13.904999999999971</c:v>
                </c:pt>
                <c:pt idx="90">
                  <c:v>14.049999999999971</c:v>
                </c:pt>
                <c:pt idx="91">
                  <c:v>14.19499999999997</c:v>
                </c:pt>
                <c:pt idx="92">
                  <c:v>14.33999999999997</c:v>
                </c:pt>
                <c:pt idx="93">
                  <c:v>14.484999999999969</c:v>
                </c:pt>
                <c:pt idx="94">
                  <c:v>14.629999999999969</c:v>
                </c:pt>
                <c:pt idx="95">
                  <c:v>14.774999999999968</c:v>
                </c:pt>
                <c:pt idx="96">
                  <c:v>14.919999999999968</c:v>
                </c:pt>
                <c:pt idx="97">
                  <c:v>15.064999999999968</c:v>
                </c:pt>
                <c:pt idx="98">
                  <c:v>15.209999999999967</c:v>
                </c:pt>
                <c:pt idx="99">
                  <c:v>15.354999999999967</c:v>
                </c:pt>
                <c:pt idx="100">
                  <c:v>15.499999999999966</c:v>
                </c:pt>
                <c:pt idx="101">
                  <c:v>15.644999999999966</c:v>
                </c:pt>
                <c:pt idx="102">
                  <c:v>15.789999999999965</c:v>
                </c:pt>
                <c:pt idx="103">
                  <c:v>15.934999999999965</c:v>
                </c:pt>
                <c:pt idx="104">
                  <c:v>16.079999999999966</c:v>
                </c:pt>
                <c:pt idx="105">
                  <c:v>16.224999999999966</c:v>
                </c:pt>
                <c:pt idx="106">
                  <c:v>16.369999999999965</c:v>
                </c:pt>
                <c:pt idx="107">
                  <c:v>16.514999999999965</c:v>
                </c:pt>
                <c:pt idx="108">
                  <c:v>16.659999999999965</c:v>
                </c:pt>
                <c:pt idx="109">
                  <c:v>16.804999999999964</c:v>
                </c:pt>
                <c:pt idx="110">
                  <c:v>16.949999999999964</c:v>
                </c:pt>
                <c:pt idx="111">
                  <c:v>17.094999999999963</c:v>
                </c:pt>
                <c:pt idx="112">
                  <c:v>17.239999999999963</c:v>
                </c:pt>
                <c:pt idx="113">
                  <c:v>17.384999999999962</c:v>
                </c:pt>
                <c:pt idx="114">
                  <c:v>17.529999999999962</c:v>
                </c:pt>
                <c:pt idx="115">
                  <c:v>17.674999999999962</c:v>
                </c:pt>
                <c:pt idx="116">
                  <c:v>17.819999999999961</c:v>
                </c:pt>
                <c:pt idx="117">
                  <c:v>17.964999999999961</c:v>
                </c:pt>
                <c:pt idx="118">
                  <c:v>18.10999999999996</c:v>
                </c:pt>
                <c:pt idx="119">
                  <c:v>18.25499999999996</c:v>
                </c:pt>
                <c:pt idx="120">
                  <c:v>18.399999999999959</c:v>
                </c:pt>
                <c:pt idx="121">
                  <c:v>18.544999999999959</c:v>
                </c:pt>
                <c:pt idx="122">
                  <c:v>18.689999999999959</c:v>
                </c:pt>
                <c:pt idx="123">
                  <c:v>18.834999999999958</c:v>
                </c:pt>
                <c:pt idx="124">
                  <c:v>18.979999999999958</c:v>
                </c:pt>
                <c:pt idx="125">
                  <c:v>19.124999999999957</c:v>
                </c:pt>
                <c:pt idx="126">
                  <c:v>19.269999999999957</c:v>
                </c:pt>
                <c:pt idx="127">
                  <c:v>19.414999999999957</c:v>
                </c:pt>
                <c:pt idx="128">
                  <c:v>19.559999999999956</c:v>
                </c:pt>
                <c:pt idx="129">
                  <c:v>19.704999999999956</c:v>
                </c:pt>
                <c:pt idx="130">
                  <c:v>19.849999999999955</c:v>
                </c:pt>
                <c:pt idx="131">
                  <c:v>19.994999999999955</c:v>
                </c:pt>
                <c:pt idx="132">
                  <c:v>20.139999999999954</c:v>
                </c:pt>
                <c:pt idx="133">
                  <c:v>20.284999999999954</c:v>
                </c:pt>
                <c:pt idx="134">
                  <c:v>20.429999999999954</c:v>
                </c:pt>
                <c:pt idx="135">
                  <c:v>20.574999999999953</c:v>
                </c:pt>
                <c:pt idx="136">
                  <c:v>20.719999999999953</c:v>
                </c:pt>
                <c:pt idx="137">
                  <c:v>20.864999999999952</c:v>
                </c:pt>
                <c:pt idx="138">
                  <c:v>21.009999999999952</c:v>
                </c:pt>
                <c:pt idx="139">
                  <c:v>21.154999999999951</c:v>
                </c:pt>
                <c:pt idx="140">
                  <c:v>21.299999999999951</c:v>
                </c:pt>
                <c:pt idx="141">
                  <c:v>21.444999999999951</c:v>
                </c:pt>
                <c:pt idx="142">
                  <c:v>21.58999999999995</c:v>
                </c:pt>
                <c:pt idx="143">
                  <c:v>21.73499999999995</c:v>
                </c:pt>
                <c:pt idx="144">
                  <c:v>21.879999999999949</c:v>
                </c:pt>
                <c:pt idx="145">
                  <c:v>22.024999999999949</c:v>
                </c:pt>
                <c:pt idx="146">
                  <c:v>22.169999999999948</c:v>
                </c:pt>
                <c:pt idx="147">
                  <c:v>22.314999999999948</c:v>
                </c:pt>
                <c:pt idx="148">
                  <c:v>22.459999999999948</c:v>
                </c:pt>
                <c:pt idx="149">
                  <c:v>22.604999999999947</c:v>
                </c:pt>
                <c:pt idx="150">
                  <c:v>22.749999999999947</c:v>
                </c:pt>
                <c:pt idx="151">
                  <c:v>22.894999999999946</c:v>
                </c:pt>
                <c:pt idx="152">
                  <c:v>23.039999999999946</c:v>
                </c:pt>
                <c:pt idx="153">
                  <c:v>23.184999999999945</c:v>
                </c:pt>
                <c:pt idx="154">
                  <c:v>23.329999999999945</c:v>
                </c:pt>
                <c:pt idx="155">
                  <c:v>23.474999999999945</c:v>
                </c:pt>
                <c:pt idx="156">
                  <c:v>23.619999999999944</c:v>
                </c:pt>
                <c:pt idx="157">
                  <c:v>23.764999999999944</c:v>
                </c:pt>
                <c:pt idx="158">
                  <c:v>23.909999999999943</c:v>
                </c:pt>
                <c:pt idx="159">
                  <c:v>24.054999999999943</c:v>
                </c:pt>
                <c:pt idx="160">
                  <c:v>24.199999999999942</c:v>
                </c:pt>
                <c:pt idx="161">
                  <c:v>24.344999999999942</c:v>
                </c:pt>
                <c:pt idx="162">
                  <c:v>24.489999999999942</c:v>
                </c:pt>
                <c:pt idx="163">
                  <c:v>24.634999999999941</c:v>
                </c:pt>
                <c:pt idx="164">
                  <c:v>24.779999999999941</c:v>
                </c:pt>
                <c:pt idx="165">
                  <c:v>24.92499999999994</c:v>
                </c:pt>
                <c:pt idx="166">
                  <c:v>25.06999999999994</c:v>
                </c:pt>
                <c:pt idx="167">
                  <c:v>25.214999999999939</c:v>
                </c:pt>
                <c:pt idx="168">
                  <c:v>25.359999999999939</c:v>
                </c:pt>
                <c:pt idx="169">
                  <c:v>25.504999999999939</c:v>
                </c:pt>
                <c:pt idx="170">
                  <c:v>25.649999999999938</c:v>
                </c:pt>
                <c:pt idx="171">
                  <c:v>25.794999999999938</c:v>
                </c:pt>
                <c:pt idx="172">
                  <c:v>25.939999999999937</c:v>
                </c:pt>
                <c:pt idx="173">
                  <c:v>26.084999999999937</c:v>
                </c:pt>
                <c:pt idx="174">
                  <c:v>26.229999999999936</c:v>
                </c:pt>
                <c:pt idx="175">
                  <c:v>26.374999999999936</c:v>
                </c:pt>
                <c:pt idx="176">
                  <c:v>26.519999999999936</c:v>
                </c:pt>
                <c:pt idx="177">
                  <c:v>26.664999999999935</c:v>
                </c:pt>
                <c:pt idx="178">
                  <c:v>26.809999999999935</c:v>
                </c:pt>
                <c:pt idx="179">
                  <c:v>26.954999999999934</c:v>
                </c:pt>
                <c:pt idx="180">
                  <c:v>27.099999999999934</c:v>
                </c:pt>
                <c:pt idx="181">
                  <c:v>27.244999999999933</c:v>
                </c:pt>
                <c:pt idx="182">
                  <c:v>27.389999999999933</c:v>
                </c:pt>
                <c:pt idx="183">
                  <c:v>27.534999999999933</c:v>
                </c:pt>
                <c:pt idx="184">
                  <c:v>27.679999999999932</c:v>
                </c:pt>
                <c:pt idx="185">
                  <c:v>27.824999999999932</c:v>
                </c:pt>
                <c:pt idx="186">
                  <c:v>27.969999999999931</c:v>
                </c:pt>
                <c:pt idx="187">
                  <c:v>28.114999999999931</c:v>
                </c:pt>
                <c:pt idx="188">
                  <c:v>28.259999999999931</c:v>
                </c:pt>
                <c:pt idx="189">
                  <c:v>28.40499999999993</c:v>
                </c:pt>
                <c:pt idx="190">
                  <c:v>28.54999999999993</c:v>
                </c:pt>
                <c:pt idx="191">
                  <c:v>28.694999999999929</c:v>
                </c:pt>
                <c:pt idx="192">
                  <c:v>28.839999999999929</c:v>
                </c:pt>
                <c:pt idx="193">
                  <c:v>28.984999999999928</c:v>
                </c:pt>
                <c:pt idx="194">
                  <c:v>29.129999999999928</c:v>
                </c:pt>
                <c:pt idx="195">
                  <c:v>29.274999999999928</c:v>
                </c:pt>
                <c:pt idx="196">
                  <c:v>29.419999999999927</c:v>
                </c:pt>
                <c:pt idx="197">
                  <c:v>29.564999999999927</c:v>
                </c:pt>
                <c:pt idx="198">
                  <c:v>29.709999999999926</c:v>
                </c:pt>
                <c:pt idx="199">
                  <c:v>29.854999999999926</c:v>
                </c:pt>
                <c:pt idx="200">
                  <c:v>29.999999999999925</c:v>
                </c:pt>
              </c:numCache>
            </c:numRef>
          </c:xVal>
          <c:yVal>
            <c:numRef>
              <c:f>interpolation!$C$21:$C$221</c:f>
              <c:numCache>
                <c:formatCode>0.00</c:formatCode>
                <c:ptCount val="201"/>
                <c:pt idx="0">
                  <c:v>1</c:v>
                </c:pt>
                <c:pt idx="1">
                  <c:v>0.9455290939362081</c:v>
                </c:pt>
                <c:pt idx="2">
                  <c:v>0.90641016548776931</c:v>
                </c:pt>
                <c:pt idx="3">
                  <c:v>0.88264321465468354</c:v>
                </c:pt>
                <c:pt idx="4">
                  <c:v>0.87422824143695088</c:v>
                </c:pt>
                <c:pt idx="5">
                  <c:v>0.88116524583457123</c:v>
                </c:pt>
                <c:pt idx="6">
                  <c:v>0.90345422784754459</c:v>
                </c:pt>
                <c:pt idx="7">
                  <c:v>0.94109518747587106</c:v>
                </c:pt>
                <c:pt idx="8">
                  <c:v>0.99408812471955066</c:v>
                </c:pt>
                <c:pt idx="9">
                  <c:v>1.0624330395785833</c:v>
                </c:pt>
                <c:pt idx="10">
                  <c:v>1.146129932052969</c:v>
                </c:pt>
                <c:pt idx="11">
                  <c:v>1.2451788021427077</c:v>
                </c:pt>
                <c:pt idx="12">
                  <c:v>1.3595796498477994</c:v>
                </c:pt>
                <c:pt idx="13">
                  <c:v>1.4893324751682444</c:v>
                </c:pt>
                <c:pt idx="14">
                  <c:v>1.6344372781040422</c:v>
                </c:pt>
                <c:pt idx="15">
                  <c:v>1.7948940586551931</c:v>
                </c:pt>
                <c:pt idx="16">
                  <c:v>1.9707028168216973</c:v>
                </c:pt>
                <c:pt idx="17">
                  <c:v>2.1618635526035543</c:v>
                </c:pt>
                <c:pt idx="18">
                  <c:v>2.3683762660007646</c:v>
                </c:pt>
                <c:pt idx="19">
                  <c:v>2.5902409570133278</c:v>
                </c:pt>
                <c:pt idx="20">
                  <c:v>2.827457625641244</c:v>
                </c:pt>
                <c:pt idx="21">
                  <c:v>3.080014697072603</c:v>
                </c:pt>
                <c:pt idx="22">
                  <c:v>3.347075656951501</c:v>
                </c:pt>
                <c:pt idx="23">
                  <c:v>3.6264440854827473</c:v>
                </c:pt>
                <c:pt idx="24">
                  <c:v>3.9157965416156273</c:v>
                </c:pt>
                <c:pt idx="25">
                  <c:v>4.2128095842994266</c:v>
                </c:pt>
                <c:pt idx="26">
                  <c:v>4.5151597724834316</c:v>
                </c:pt>
                <c:pt idx="27">
                  <c:v>4.8205236651169265</c:v>
                </c:pt>
                <c:pt idx="28">
                  <c:v>5.1266021229433152</c:v>
                </c:pt>
                <c:pt idx="29">
                  <c:v>5.4319680726500961</c:v>
                </c:pt>
                <c:pt idx="30">
                  <c:v>5.7362869528311204</c:v>
                </c:pt>
                <c:pt idx="31">
                  <c:v>6.0392932962437218</c:v>
                </c:pt>
                <c:pt idx="32">
                  <c:v>6.3407216356452354</c:v>
                </c:pt>
                <c:pt idx="33">
                  <c:v>6.6403065037929947</c:v>
                </c:pt>
                <c:pt idx="34">
                  <c:v>6.9377824334443332</c:v>
                </c:pt>
                <c:pt idx="35">
                  <c:v>7.2328839573565844</c:v>
                </c:pt>
                <c:pt idx="36">
                  <c:v>7.5253456082870835</c:v>
                </c:pt>
                <c:pt idx="37">
                  <c:v>7.8149019189931641</c:v>
                </c:pt>
                <c:pt idx="38">
                  <c:v>8.1012874222321596</c:v>
                </c:pt>
                <c:pt idx="39">
                  <c:v>8.3842366507614052</c:v>
                </c:pt>
                <c:pt idx="40">
                  <c:v>8.6634841373382336</c:v>
                </c:pt>
                <c:pt idx="41">
                  <c:v>8.9387644147199783</c:v>
                </c:pt>
                <c:pt idx="42">
                  <c:v>9.2098120156639744</c:v>
                </c:pt>
                <c:pt idx="43">
                  <c:v>9.4763614729275556</c:v>
                </c:pt>
                <c:pt idx="44">
                  <c:v>9.7381473192680552</c:v>
                </c:pt>
                <c:pt idx="45">
                  <c:v>9.9949040874428068</c:v>
                </c:pt>
                <c:pt idx="46">
                  <c:v>10.246366310209147</c:v>
                </c:pt>
                <c:pt idx="47">
                  <c:v>10.492268520324407</c:v>
                </c:pt>
                <c:pt idx="48">
                  <c:v>10.732345250545922</c:v>
                </c:pt>
                <c:pt idx="49">
                  <c:v>10.966331033631025</c:v>
                </c:pt>
                <c:pt idx="50">
                  <c:v>11.193960402337051</c:v>
                </c:pt>
                <c:pt idx="51">
                  <c:v>11.414967889421332</c:v>
                </c:pt>
                <c:pt idx="52">
                  <c:v>11.629088027641204</c:v>
                </c:pt>
                <c:pt idx="53">
                  <c:v>11.836055349754002</c:v>
                </c:pt>
                <c:pt idx="54">
                  <c:v>12.035604388517058</c:v>
                </c:pt>
                <c:pt idx="55">
                  <c:v>12.227469676687704</c:v>
                </c:pt>
                <c:pt idx="56">
                  <c:v>12.411385747023278</c:v>
                </c:pt>
                <c:pt idx="57">
                  <c:v>12.587087132281111</c:v>
                </c:pt>
                <c:pt idx="58">
                  <c:v>12.754308365218538</c:v>
                </c:pt>
                <c:pt idx="59">
                  <c:v>12.912783978592895</c:v>
                </c:pt>
                <c:pt idx="60">
                  <c:v>13.062248505161511</c:v>
                </c:pt>
                <c:pt idx="61">
                  <c:v>13.202436477681724</c:v>
                </c:pt>
                <c:pt idx="62">
                  <c:v>13.333082428910867</c:v>
                </c:pt>
                <c:pt idx="63">
                  <c:v>13.453920891606273</c:v>
                </c:pt>
                <c:pt idx="64">
                  <c:v>13.564686398525279</c:v>
                </c:pt>
                <c:pt idx="65">
                  <c:v>13.665113482425214</c:v>
                </c:pt>
                <c:pt idx="66">
                  <c:v>13.754936676063414</c:v>
                </c:pt>
                <c:pt idx="67">
                  <c:v>13.833890512197215</c:v>
                </c:pt>
                <c:pt idx="68">
                  <c:v>13.90170952358395</c:v>
                </c:pt>
                <c:pt idx="69">
                  <c:v>13.958128242980951</c:v>
                </c:pt>
                <c:pt idx="70">
                  <c:v>14.002881203145554</c:v>
                </c:pt>
                <c:pt idx="71">
                  <c:v>14.035702936835092</c:v>
                </c:pt>
                <c:pt idx="72">
                  <c:v>14.056327976806898</c:v>
                </c:pt>
                <c:pt idx="73">
                  <c:v>14.064490855818308</c:v>
                </c:pt>
                <c:pt idx="74">
                  <c:v>14.059926106626655</c:v>
                </c:pt>
                <c:pt idx="75">
                  <c:v>14.042368261989274</c:v>
                </c:pt>
                <c:pt idx="76">
                  <c:v>14.011551854663496</c:v>
                </c:pt>
                <c:pt idx="77">
                  <c:v>13.967211417406659</c:v>
                </c:pt>
                <c:pt idx="78">
                  <c:v>13.909081482976093</c:v>
                </c:pt>
                <c:pt idx="79">
                  <c:v>13.836896584129134</c:v>
                </c:pt>
                <c:pt idx="80">
                  <c:v>13.750391253623116</c:v>
                </c:pt>
                <c:pt idx="81">
                  <c:v>13.649300024215373</c:v>
                </c:pt>
                <c:pt idx="82">
                  <c:v>13.533357428663237</c:v>
                </c:pt>
                <c:pt idx="83">
                  <c:v>13.402297999724045</c:v>
                </c:pt>
                <c:pt idx="84">
                  <c:v>13.255856270155128</c:v>
                </c:pt>
                <c:pt idx="85">
                  <c:v>13.093766772713824</c:v>
                </c:pt>
                <c:pt idx="86">
                  <c:v>12.915764040157462</c:v>
                </c:pt>
                <c:pt idx="87">
                  <c:v>12.721582605243379</c:v>
                </c:pt>
                <c:pt idx="88">
                  <c:v>12.510957000728908</c:v>
                </c:pt>
                <c:pt idx="89">
                  <c:v>12.283621759371382</c:v>
                </c:pt>
                <c:pt idx="90">
                  <c:v>12.039311413928138</c:v>
                </c:pt>
                <c:pt idx="91">
                  <c:v>11.777760497156507</c:v>
                </c:pt>
                <c:pt idx="92">
                  <c:v>11.498703541813823</c:v>
                </c:pt>
                <c:pt idx="93">
                  <c:v>11.201875080657421</c:v>
                </c:pt>
                <c:pt idx="94">
                  <c:v>10.887009646444636</c:v>
                </c:pt>
                <c:pt idx="95">
                  <c:v>10.553841771932801</c:v>
                </c:pt>
                <c:pt idx="96">
                  <c:v>10.202105989879248</c:v>
                </c:pt>
                <c:pt idx="97">
                  <c:v>9.8315685866029074</c:v>
                </c:pt>
                <c:pt idx="98">
                  <c:v>9.4429396388514864</c:v>
                </c:pt>
                <c:pt idx="99">
                  <c:v>9.0380094659521344</c:v>
                </c:pt>
                <c:pt idx="100">
                  <c:v>8.6186275873177056</c:v>
                </c:pt>
                <c:pt idx="101">
                  <c:v>8.1866435223610541</c:v>
                </c:pt>
                <c:pt idx="102">
                  <c:v>7.7439067904950294</c:v>
                </c:pt>
                <c:pt idx="103">
                  <c:v>7.2922669111324865</c:v>
                </c:pt>
                <c:pt idx="104">
                  <c:v>6.8335734036862714</c:v>
                </c:pt>
                <c:pt idx="105">
                  <c:v>6.3696757875692471</c:v>
                </c:pt>
                <c:pt idx="106">
                  <c:v>5.9024235821942623</c:v>
                </c:pt>
                <c:pt idx="107">
                  <c:v>5.4336663069741684</c:v>
                </c:pt>
                <c:pt idx="108">
                  <c:v>4.9652534813218185</c:v>
                </c:pt>
                <c:pt idx="109">
                  <c:v>4.499034624650065</c:v>
                </c:pt>
                <c:pt idx="110">
                  <c:v>4.03685925637176</c:v>
                </c:pt>
                <c:pt idx="111">
                  <c:v>3.5805768958997568</c:v>
                </c:pt>
                <c:pt idx="112">
                  <c:v>3.1320370626469076</c:v>
                </c:pt>
                <c:pt idx="113">
                  <c:v>2.6930892760260647</c:v>
                </c:pt>
                <c:pt idx="114">
                  <c:v>2.2655830554500818</c:v>
                </c:pt>
                <c:pt idx="115">
                  <c:v>1.8513679203318101</c:v>
                </c:pt>
                <c:pt idx="116">
                  <c:v>1.4522933900841031</c:v>
                </c:pt>
                <c:pt idx="117">
                  <c:v>1.070208984119813</c:v>
                </c:pt>
                <c:pt idx="118">
                  <c:v>0.70696422185179231</c:v>
                </c:pt>
                <c:pt idx="119">
                  <c:v>0.3644086226928937</c:v>
                </c:pt>
                <c:pt idx="120">
                  <c:v>4.4391706055969843E-2</c:v>
                </c:pt>
                <c:pt idx="121">
                  <c:v>-0.2512370086461268</c:v>
                </c:pt>
                <c:pt idx="122">
                  <c:v>-0.5206280020005436</c:v>
                </c:pt>
                <c:pt idx="123">
                  <c:v>-0.76193175459442808</c:v>
                </c:pt>
                <c:pt idx="124">
                  <c:v>-0.97329874701492758</c:v>
                </c:pt>
                <c:pt idx="125">
                  <c:v>-1.1532142606813363</c:v>
                </c:pt>
                <c:pt idx="126">
                  <c:v>-1.3021983946912843</c:v>
                </c:pt>
                <c:pt idx="127">
                  <c:v>-1.4215357939658801</c:v>
                </c:pt>
                <c:pt idx="128">
                  <c:v>-1.5125124747704406</c:v>
                </c:pt>
                <c:pt idx="129">
                  <c:v>-1.5764144533702829</c:v>
                </c:pt>
                <c:pt idx="130">
                  <c:v>-1.6145277460307235</c:v>
                </c:pt>
                <c:pt idx="131">
                  <c:v>-1.6281383690170796</c:v>
                </c:pt>
                <c:pt idx="132">
                  <c:v>-1.6185323385946679</c:v>
                </c:pt>
                <c:pt idx="133">
                  <c:v>-1.5869956710288056</c:v>
                </c:pt>
                <c:pt idx="134">
                  <c:v>-1.5348143825848093</c:v>
                </c:pt>
                <c:pt idx="135">
                  <c:v>-1.4632744895279961</c:v>
                </c:pt>
                <c:pt idx="136">
                  <c:v>-1.3736620081236826</c:v>
                </c:pt>
                <c:pt idx="137">
                  <c:v>-1.2672629546371859</c:v>
                </c:pt>
                <c:pt idx="138">
                  <c:v>-1.1453633453338228</c:v>
                </c:pt>
                <c:pt idx="139">
                  <c:v>-1.0092491964789105</c:v>
                </c:pt>
                <c:pt idx="140">
                  <c:v>-0.86020652433776545</c:v>
                </c:pt>
                <c:pt idx="141">
                  <c:v>-0.69952134517570486</c:v>
                </c:pt>
                <c:pt idx="142">
                  <c:v>-0.52847967525804551</c:v>
                </c:pt>
                <c:pt idx="143">
                  <c:v>-0.34836753085010425</c:v>
                </c:pt>
                <c:pt idx="144">
                  <c:v>-0.16047092821719808</c:v>
                </c:pt>
                <c:pt idx="145">
                  <c:v>3.3924506332920497E-2</c:v>
                </c:pt>
                <c:pt idx="146">
                  <c:v>0.233654201799188</c:v>
                </c:pt>
                <c:pt idx="147">
                  <c:v>0.43784552813134986</c:v>
                </c:pt>
                <c:pt idx="148">
                  <c:v>0.64566898146613405</c:v>
                </c:pt>
                <c:pt idx="149">
                  <c:v>0.85629505794026861</c:v>
                </c:pt>
                <c:pt idx="150">
                  <c:v>1.0688942536904815</c:v>
                </c:pt>
                <c:pt idx="151">
                  <c:v>1.2826370648535008</c:v>
                </c:pt>
                <c:pt idx="152">
                  <c:v>1.4966939875660545</c:v>
                </c:pt>
                <c:pt idx="153">
                  <c:v>1.7102355179648705</c:v>
                </c:pt>
                <c:pt idx="154">
                  <c:v>1.922432152186677</c:v>
                </c:pt>
                <c:pt idx="155">
                  <c:v>2.1324543863682015</c:v>
                </c:pt>
                <c:pt idx="156">
                  <c:v>2.3394727166461728</c:v>
                </c:pt>
                <c:pt idx="157">
                  <c:v>2.5426576391573183</c:v>
                </c:pt>
                <c:pt idx="158">
                  <c:v>2.7411796500383665</c:v>
                </c:pt>
                <c:pt idx="159">
                  <c:v>2.9342092454260449</c:v>
                </c:pt>
                <c:pt idx="160">
                  <c:v>3.1209169214570815</c:v>
                </c:pt>
                <c:pt idx="161">
                  <c:v>3.300473174268205</c:v>
                </c:pt>
                <c:pt idx="162">
                  <c:v>3.4720484999961427</c:v>
                </c:pt>
                <c:pt idx="163">
                  <c:v>3.6348133947776229</c:v>
                </c:pt>
                <c:pt idx="164">
                  <c:v>3.7879383547493735</c:v>
                </c:pt>
                <c:pt idx="165">
                  <c:v>3.9305938760481225</c:v>
                </c:pt>
                <c:pt idx="166">
                  <c:v>4.0619761201991569</c:v>
                </c:pt>
                <c:pt idx="167">
                  <c:v>4.1819222380657264</c:v>
                </c:pt>
                <c:pt idx="168">
                  <c:v>4.2909398607273657</c:v>
                </c:pt>
                <c:pt idx="169">
                  <c:v>4.3895681865691474</c:v>
                </c:pt>
                <c:pt idx="170">
                  <c:v>4.4783464139761433</c:v>
                </c:pt>
                <c:pt idx="171">
                  <c:v>4.5578137413334243</c:v>
                </c:pt>
                <c:pt idx="172">
                  <c:v>4.6285093670260622</c:v>
                </c:pt>
                <c:pt idx="173">
                  <c:v>4.6909724894391287</c:v>
                </c:pt>
                <c:pt idx="174">
                  <c:v>4.7457423069576947</c:v>
                </c:pt>
                <c:pt idx="175">
                  <c:v>4.7933580179668329</c:v>
                </c:pt>
                <c:pt idx="176">
                  <c:v>4.8343588208516142</c:v>
                </c:pt>
                <c:pt idx="177">
                  <c:v>4.8692839139971111</c:v>
                </c:pt>
                <c:pt idx="178">
                  <c:v>4.8986724957883929</c:v>
                </c:pt>
                <c:pt idx="179">
                  <c:v>4.923063764610534</c:v>
                </c:pt>
                <c:pt idx="180">
                  <c:v>4.9429969188486043</c:v>
                </c:pt>
                <c:pt idx="181">
                  <c:v>4.9590111568876756</c:v>
                </c:pt>
                <c:pt idx="182">
                  <c:v>4.9716456771128188</c:v>
                </c:pt>
                <c:pt idx="183">
                  <c:v>4.9814396779091075</c:v>
                </c:pt>
                <c:pt idx="184">
                  <c:v>4.9889323576616107</c:v>
                </c:pt>
                <c:pt idx="185">
                  <c:v>4.994662914755402</c:v>
                </c:pt>
                <c:pt idx="186">
                  <c:v>4.9991705475755523</c:v>
                </c:pt>
                <c:pt idx="187">
                  <c:v>5.0029496226379084</c:v>
                </c:pt>
                <c:pt idx="188">
                  <c:v>5.0061557342008545</c:v>
                </c:pt>
                <c:pt idx="189">
                  <c:v>5.008789678161798</c:v>
                </c:pt>
                <c:pt idx="190">
                  <c:v>5.010851454520739</c:v>
                </c:pt>
                <c:pt idx="191">
                  <c:v>5.0123410632776775</c:v>
                </c:pt>
                <c:pt idx="192">
                  <c:v>5.0132585044326134</c:v>
                </c:pt>
                <c:pt idx="193">
                  <c:v>5.013603777985546</c:v>
                </c:pt>
                <c:pt idx="194">
                  <c:v>5.0133768839364761</c:v>
                </c:pt>
                <c:pt idx="195">
                  <c:v>5.0125778222854036</c:v>
                </c:pt>
                <c:pt idx="196">
                  <c:v>5.0112065930323286</c:v>
                </c:pt>
                <c:pt idx="197">
                  <c:v>5.0092631961772511</c:v>
                </c:pt>
                <c:pt idx="198">
                  <c:v>5.0067476317201711</c:v>
                </c:pt>
                <c:pt idx="199">
                  <c:v>5.0036598996610877</c:v>
                </c:pt>
                <c:pt idx="200">
                  <c:v>5.0000000000000018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E2-4D07-A38B-6923FF83FC0B}"/>
            </c:ext>
          </c:extLst>
        </c:ser>
        <c:ser>
          <c:idx val="2"/>
          <c:order val="2"/>
          <c:tx>
            <c:v>Вторая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interpolation!$E$7:$E$15</c:f>
              <c:numCache>
                <c:formatCode>General</c:formatCode>
                <c:ptCount val="9"/>
                <c:pt idx="0">
                  <c:v>1</c:v>
                </c:pt>
                <c:pt idx="1">
                  <c:v>3</c:v>
                </c:pt>
                <c:pt idx="2">
                  <c:v>8</c:v>
                </c:pt>
                <c:pt idx="3">
                  <c:v>11</c:v>
                </c:pt>
                <c:pt idx="4">
                  <c:v>15</c:v>
                </c:pt>
                <c:pt idx="5">
                  <c:v>18</c:v>
                </c:pt>
                <c:pt idx="6">
                  <c:v>25</c:v>
                </c:pt>
                <c:pt idx="7">
                  <c:v>28</c:v>
                </c:pt>
                <c:pt idx="8">
                  <c:v>30</c:v>
                </c:pt>
              </c:numCache>
            </c:numRef>
          </c:xVal>
          <c:yVal>
            <c:numRef>
              <c:f>interpolation!$F$7:$F$15</c:f>
              <c:numCache>
                <c:formatCode>General</c:formatCode>
                <c:ptCount val="9"/>
                <c:pt idx="0">
                  <c:v>1</c:v>
                </c:pt>
                <c:pt idx="1">
                  <c:v>3</c:v>
                </c:pt>
                <c:pt idx="2">
                  <c:v>4.5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0</c:v>
                </c:pt>
                <c:pt idx="7">
                  <c:v>5</c:v>
                </c:pt>
                <c:pt idx="8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E2-4D07-A38B-6923FF83FC0B}"/>
            </c:ext>
          </c:extLst>
        </c:ser>
        <c:ser>
          <c:idx val="3"/>
          <c:order val="3"/>
          <c:tx>
            <c:v>Вторая интерполяция</c:v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interpolation!$B$21:$B$221</c:f>
              <c:numCache>
                <c:formatCode>General</c:formatCode>
                <c:ptCount val="201"/>
                <c:pt idx="0">
                  <c:v>1</c:v>
                </c:pt>
                <c:pt idx="1">
                  <c:v>1.145</c:v>
                </c:pt>
                <c:pt idx="2">
                  <c:v>1.29</c:v>
                </c:pt>
                <c:pt idx="3">
                  <c:v>1.4350000000000001</c:v>
                </c:pt>
                <c:pt idx="4">
                  <c:v>1.58</c:v>
                </c:pt>
                <c:pt idx="5">
                  <c:v>1.7250000000000001</c:v>
                </c:pt>
                <c:pt idx="6">
                  <c:v>1.87</c:v>
                </c:pt>
                <c:pt idx="7">
                  <c:v>2.0150000000000001</c:v>
                </c:pt>
                <c:pt idx="8">
                  <c:v>2.16</c:v>
                </c:pt>
                <c:pt idx="9">
                  <c:v>2.3050000000000002</c:v>
                </c:pt>
                <c:pt idx="10">
                  <c:v>2.4500000000000002</c:v>
                </c:pt>
                <c:pt idx="11">
                  <c:v>2.5950000000000002</c:v>
                </c:pt>
                <c:pt idx="12">
                  <c:v>2.74</c:v>
                </c:pt>
                <c:pt idx="13">
                  <c:v>2.8850000000000002</c:v>
                </c:pt>
                <c:pt idx="14">
                  <c:v>3.0300000000000002</c:v>
                </c:pt>
                <c:pt idx="15">
                  <c:v>3.1750000000000003</c:v>
                </c:pt>
                <c:pt idx="16">
                  <c:v>3.3200000000000003</c:v>
                </c:pt>
                <c:pt idx="17">
                  <c:v>3.4650000000000003</c:v>
                </c:pt>
                <c:pt idx="18">
                  <c:v>3.6100000000000003</c:v>
                </c:pt>
                <c:pt idx="19">
                  <c:v>3.7550000000000003</c:v>
                </c:pt>
                <c:pt idx="20">
                  <c:v>3.9000000000000004</c:v>
                </c:pt>
                <c:pt idx="21">
                  <c:v>4.0449999999999999</c:v>
                </c:pt>
                <c:pt idx="22">
                  <c:v>4.1899999999999995</c:v>
                </c:pt>
                <c:pt idx="23">
                  <c:v>4.3349999999999991</c:v>
                </c:pt>
                <c:pt idx="24">
                  <c:v>4.4799999999999986</c:v>
                </c:pt>
                <c:pt idx="25">
                  <c:v>4.6249999999999982</c:v>
                </c:pt>
                <c:pt idx="26">
                  <c:v>4.7699999999999978</c:v>
                </c:pt>
                <c:pt idx="27">
                  <c:v>4.9149999999999974</c:v>
                </c:pt>
                <c:pt idx="28">
                  <c:v>5.0599999999999969</c:v>
                </c:pt>
                <c:pt idx="29">
                  <c:v>5.2049999999999965</c:v>
                </c:pt>
                <c:pt idx="30">
                  <c:v>5.3499999999999961</c:v>
                </c:pt>
                <c:pt idx="31">
                  <c:v>5.4949999999999957</c:v>
                </c:pt>
                <c:pt idx="32">
                  <c:v>5.6399999999999952</c:v>
                </c:pt>
                <c:pt idx="33">
                  <c:v>5.7849999999999948</c:v>
                </c:pt>
                <c:pt idx="34">
                  <c:v>5.9299999999999944</c:v>
                </c:pt>
                <c:pt idx="35">
                  <c:v>6.074999999999994</c:v>
                </c:pt>
                <c:pt idx="36">
                  <c:v>6.2199999999999935</c:v>
                </c:pt>
                <c:pt idx="37">
                  <c:v>6.3649999999999931</c:v>
                </c:pt>
                <c:pt idx="38">
                  <c:v>6.5099999999999927</c:v>
                </c:pt>
                <c:pt idx="39">
                  <c:v>6.6549999999999923</c:v>
                </c:pt>
                <c:pt idx="40">
                  <c:v>6.7999999999999918</c:v>
                </c:pt>
                <c:pt idx="41">
                  <c:v>6.9449999999999914</c:v>
                </c:pt>
                <c:pt idx="42">
                  <c:v>7.089999999999991</c:v>
                </c:pt>
                <c:pt idx="43">
                  <c:v>7.2349999999999905</c:v>
                </c:pt>
                <c:pt idx="44">
                  <c:v>7.3799999999999901</c:v>
                </c:pt>
                <c:pt idx="45">
                  <c:v>7.5249999999999897</c:v>
                </c:pt>
                <c:pt idx="46">
                  <c:v>7.6699999999999893</c:v>
                </c:pt>
                <c:pt idx="47">
                  <c:v>7.8149999999999888</c:v>
                </c:pt>
                <c:pt idx="48">
                  <c:v>7.9599999999999884</c:v>
                </c:pt>
                <c:pt idx="49">
                  <c:v>8.104999999999988</c:v>
                </c:pt>
                <c:pt idx="50">
                  <c:v>8.2499999999999876</c:v>
                </c:pt>
                <c:pt idx="51">
                  <c:v>8.3949999999999871</c:v>
                </c:pt>
                <c:pt idx="52">
                  <c:v>8.5399999999999867</c:v>
                </c:pt>
                <c:pt idx="53">
                  <c:v>8.6849999999999863</c:v>
                </c:pt>
                <c:pt idx="54">
                  <c:v>8.8299999999999859</c:v>
                </c:pt>
                <c:pt idx="55">
                  <c:v>8.9749999999999854</c:v>
                </c:pt>
                <c:pt idx="56">
                  <c:v>9.119999999999985</c:v>
                </c:pt>
                <c:pt idx="57">
                  <c:v>9.2649999999999846</c:v>
                </c:pt>
                <c:pt idx="58">
                  <c:v>9.4099999999999842</c:v>
                </c:pt>
                <c:pt idx="59">
                  <c:v>9.5549999999999837</c:v>
                </c:pt>
                <c:pt idx="60">
                  <c:v>9.6999999999999833</c:v>
                </c:pt>
                <c:pt idx="61">
                  <c:v>9.8449999999999829</c:v>
                </c:pt>
                <c:pt idx="62">
                  <c:v>9.9899999999999824</c:v>
                </c:pt>
                <c:pt idx="63">
                  <c:v>10.134999999999982</c:v>
                </c:pt>
                <c:pt idx="64">
                  <c:v>10.279999999999982</c:v>
                </c:pt>
                <c:pt idx="65">
                  <c:v>10.424999999999981</c:v>
                </c:pt>
                <c:pt idx="66">
                  <c:v>10.569999999999981</c:v>
                </c:pt>
                <c:pt idx="67">
                  <c:v>10.71499999999998</c:v>
                </c:pt>
                <c:pt idx="68">
                  <c:v>10.85999999999998</c:v>
                </c:pt>
                <c:pt idx="69">
                  <c:v>11.004999999999979</c:v>
                </c:pt>
                <c:pt idx="70">
                  <c:v>11.149999999999979</c:v>
                </c:pt>
                <c:pt idx="71">
                  <c:v>11.294999999999979</c:v>
                </c:pt>
                <c:pt idx="72">
                  <c:v>11.439999999999978</c:v>
                </c:pt>
                <c:pt idx="73">
                  <c:v>11.584999999999978</c:v>
                </c:pt>
                <c:pt idx="74">
                  <c:v>11.729999999999977</c:v>
                </c:pt>
                <c:pt idx="75">
                  <c:v>11.874999999999977</c:v>
                </c:pt>
                <c:pt idx="76">
                  <c:v>12.019999999999976</c:v>
                </c:pt>
                <c:pt idx="77">
                  <c:v>12.164999999999976</c:v>
                </c:pt>
                <c:pt idx="78">
                  <c:v>12.309999999999976</c:v>
                </c:pt>
                <c:pt idx="79">
                  <c:v>12.454999999999975</c:v>
                </c:pt>
                <c:pt idx="80">
                  <c:v>12.599999999999975</c:v>
                </c:pt>
                <c:pt idx="81">
                  <c:v>12.744999999999974</c:v>
                </c:pt>
                <c:pt idx="82">
                  <c:v>12.889999999999974</c:v>
                </c:pt>
                <c:pt idx="83">
                  <c:v>13.034999999999973</c:v>
                </c:pt>
                <c:pt idx="84">
                  <c:v>13.179999999999973</c:v>
                </c:pt>
                <c:pt idx="85">
                  <c:v>13.324999999999973</c:v>
                </c:pt>
                <c:pt idx="86">
                  <c:v>13.469999999999972</c:v>
                </c:pt>
                <c:pt idx="87">
                  <c:v>13.614999999999972</c:v>
                </c:pt>
                <c:pt idx="88">
                  <c:v>13.759999999999971</c:v>
                </c:pt>
                <c:pt idx="89">
                  <c:v>13.904999999999971</c:v>
                </c:pt>
                <c:pt idx="90">
                  <c:v>14.049999999999971</c:v>
                </c:pt>
                <c:pt idx="91">
                  <c:v>14.19499999999997</c:v>
                </c:pt>
                <c:pt idx="92">
                  <c:v>14.33999999999997</c:v>
                </c:pt>
                <c:pt idx="93">
                  <c:v>14.484999999999969</c:v>
                </c:pt>
                <c:pt idx="94">
                  <c:v>14.629999999999969</c:v>
                </c:pt>
                <c:pt idx="95">
                  <c:v>14.774999999999968</c:v>
                </c:pt>
                <c:pt idx="96">
                  <c:v>14.919999999999968</c:v>
                </c:pt>
                <c:pt idx="97">
                  <c:v>15.064999999999968</c:v>
                </c:pt>
                <c:pt idx="98">
                  <c:v>15.209999999999967</c:v>
                </c:pt>
                <c:pt idx="99">
                  <c:v>15.354999999999967</c:v>
                </c:pt>
                <c:pt idx="100">
                  <c:v>15.499999999999966</c:v>
                </c:pt>
                <c:pt idx="101">
                  <c:v>15.644999999999966</c:v>
                </c:pt>
                <c:pt idx="102">
                  <c:v>15.789999999999965</c:v>
                </c:pt>
                <c:pt idx="103">
                  <c:v>15.934999999999965</c:v>
                </c:pt>
                <c:pt idx="104">
                  <c:v>16.079999999999966</c:v>
                </c:pt>
                <c:pt idx="105">
                  <c:v>16.224999999999966</c:v>
                </c:pt>
                <c:pt idx="106">
                  <c:v>16.369999999999965</c:v>
                </c:pt>
                <c:pt idx="107">
                  <c:v>16.514999999999965</c:v>
                </c:pt>
                <c:pt idx="108">
                  <c:v>16.659999999999965</c:v>
                </c:pt>
                <c:pt idx="109">
                  <c:v>16.804999999999964</c:v>
                </c:pt>
                <c:pt idx="110">
                  <c:v>16.949999999999964</c:v>
                </c:pt>
                <c:pt idx="111">
                  <c:v>17.094999999999963</c:v>
                </c:pt>
                <c:pt idx="112">
                  <c:v>17.239999999999963</c:v>
                </c:pt>
                <c:pt idx="113">
                  <c:v>17.384999999999962</c:v>
                </c:pt>
                <c:pt idx="114">
                  <c:v>17.529999999999962</c:v>
                </c:pt>
                <c:pt idx="115">
                  <c:v>17.674999999999962</c:v>
                </c:pt>
                <c:pt idx="116">
                  <c:v>17.819999999999961</c:v>
                </c:pt>
                <c:pt idx="117">
                  <c:v>17.964999999999961</c:v>
                </c:pt>
                <c:pt idx="118">
                  <c:v>18.10999999999996</c:v>
                </c:pt>
                <c:pt idx="119">
                  <c:v>18.25499999999996</c:v>
                </c:pt>
                <c:pt idx="120">
                  <c:v>18.399999999999959</c:v>
                </c:pt>
                <c:pt idx="121">
                  <c:v>18.544999999999959</c:v>
                </c:pt>
                <c:pt idx="122">
                  <c:v>18.689999999999959</c:v>
                </c:pt>
                <c:pt idx="123">
                  <c:v>18.834999999999958</c:v>
                </c:pt>
                <c:pt idx="124">
                  <c:v>18.979999999999958</c:v>
                </c:pt>
                <c:pt idx="125">
                  <c:v>19.124999999999957</c:v>
                </c:pt>
                <c:pt idx="126">
                  <c:v>19.269999999999957</c:v>
                </c:pt>
                <c:pt idx="127">
                  <c:v>19.414999999999957</c:v>
                </c:pt>
                <c:pt idx="128">
                  <c:v>19.559999999999956</c:v>
                </c:pt>
                <c:pt idx="129">
                  <c:v>19.704999999999956</c:v>
                </c:pt>
                <c:pt idx="130">
                  <c:v>19.849999999999955</c:v>
                </c:pt>
                <c:pt idx="131">
                  <c:v>19.994999999999955</c:v>
                </c:pt>
                <c:pt idx="132">
                  <c:v>20.139999999999954</c:v>
                </c:pt>
                <c:pt idx="133">
                  <c:v>20.284999999999954</c:v>
                </c:pt>
                <c:pt idx="134">
                  <c:v>20.429999999999954</c:v>
                </c:pt>
                <c:pt idx="135">
                  <c:v>20.574999999999953</c:v>
                </c:pt>
                <c:pt idx="136">
                  <c:v>20.719999999999953</c:v>
                </c:pt>
                <c:pt idx="137">
                  <c:v>20.864999999999952</c:v>
                </c:pt>
                <c:pt idx="138">
                  <c:v>21.009999999999952</c:v>
                </c:pt>
                <c:pt idx="139">
                  <c:v>21.154999999999951</c:v>
                </c:pt>
                <c:pt idx="140">
                  <c:v>21.299999999999951</c:v>
                </c:pt>
                <c:pt idx="141">
                  <c:v>21.444999999999951</c:v>
                </c:pt>
                <c:pt idx="142">
                  <c:v>21.58999999999995</c:v>
                </c:pt>
                <c:pt idx="143">
                  <c:v>21.73499999999995</c:v>
                </c:pt>
                <c:pt idx="144">
                  <c:v>21.879999999999949</c:v>
                </c:pt>
                <c:pt idx="145">
                  <c:v>22.024999999999949</c:v>
                </c:pt>
                <c:pt idx="146">
                  <c:v>22.169999999999948</c:v>
                </c:pt>
                <c:pt idx="147">
                  <c:v>22.314999999999948</c:v>
                </c:pt>
                <c:pt idx="148">
                  <c:v>22.459999999999948</c:v>
                </c:pt>
                <c:pt idx="149">
                  <c:v>22.604999999999947</c:v>
                </c:pt>
                <c:pt idx="150">
                  <c:v>22.749999999999947</c:v>
                </c:pt>
                <c:pt idx="151">
                  <c:v>22.894999999999946</c:v>
                </c:pt>
                <c:pt idx="152">
                  <c:v>23.039999999999946</c:v>
                </c:pt>
                <c:pt idx="153">
                  <c:v>23.184999999999945</c:v>
                </c:pt>
                <c:pt idx="154">
                  <c:v>23.329999999999945</c:v>
                </c:pt>
                <c:pt idx="155">
                  <c:v>23.474999999999945</c:v>
                </c:pt>
                <c:pt idx="156">
                  <c:v>23.619999999999944</c:v>
                </c:pt>
                <c:pt idx="157">
                  <c:v>23.764999999999944</c:v>
                </c:pt>
                <c:pt idx="158">
                  <c:v>23.909999999999943</c:v>
                </c:pt>
                <c:pt idx="159">
                  <c:v>24.054999999999943</c:v>
                </c:pt>
                <c:pt idx="160">
                  <c:v>24.199999999999942</c:v>
                </c:pt>
                <c:pt idx="161">
                  <c:v>24.344999999999942</c:v>
                </c:pt>
                <c:pt idx="162">
                  <c:v>24.489999999999942</c:v>
                </c:pt>
                <c:pt idx="163">
                  <c:v>24.634999999999941</c:v>
                </c:pt>
                <c:pt idx="164">
                  <c:v>24.779999999999941</c:v>
                </c:pt>
                <c:pt idx="165">
                  <c:v>24.92499999999994</c:v>
                </c:pt>
                <c:pt idx="166">
                  <c:v>25.06999999999994</c:v>
                </c:pt>
                <c:pt idx="167">
                  <c:v>25.214999999999939</c:v>
                </c:pt>
                <c:pt idx="168">
                  <c:v>25.359999999999939</c:v>
                </c:pt>
                <c:pt idx="169">
                  <c:v>25.504999999999939</c:v>
                </c:pt>
                <c:pt idx="170">
                  <c:v>25.649999999999938</c:v>
                </c:pt>
                <c:pt idx="171">
                  <c:v>25.794999999999938</c:v>
                </c:pt>
                <c:pt idx="172">
                  <c:v>25.939999999999937</c:v>
                </c:pt>
                <c:pt idx="173">
                  <c:v>26.084999999999937</c:v>
                </c:pt>
                <c:pt idx="174">
                  <c:v>26.229999999999936</c:v>
                </c:pt>
                <c:pt idx="175">
                  <c:v>26.374999999999936</c:v>
                </c:pt>
                <c:pt idx="176">
                  <c:v>26.519999999999936</c:v>
                </c:pt>
                <c:pt idx="177">
                  <c:v>26.664999999999935</c:v>
                </c:pt>
                <c:pt idx="178">
                  <c:v>26.809999999999935</c:v>
                </c:pt>
                <c:pt idx="179">
                  <c:v>26.954999999999934</c:v>
                </c:pt>
                <c:pt idx="180">
                  <c:v>27.099999999999934</c:v>
                </c:pt>
                <c:pt idx="181">
                  <c:v>27.244999999999933</c:v>
                </c:pt>
                <c:pt idx="182">
                  <c:v>27.389999999999933</c:v>
                </c:pt>
                <c:pt idx="183">
                  <c:v>27.534999999999933</c:v>
                </c:pt>
                <c:pt idx="184">
                  <c:v>27.679999999999932</c:v>
                </c:pt>
                <c:pt idx="185">
                  <c:v>27.824999999999932</c:v>
                </c:pt>
                <c:pt idx="186">
                  <c:v>27.969999999999931</c:v>
                </c:pt>
                <c:pt idx="187">
                  <c:v>28.114999999999931</c:v>
                </c:pt>
                <c:pt idx="188">
                  <c:v>28.259999999999931</c:v>
                </c:pt>
                <c:pt idx="189">
                  <c:v>28.40499999999993</c:v>
                </c:pt>
                <c:pt idx="190">
                  <c:v>28.54999999999993</c:v>
                </c:pt>
                <c:pt idx="191">
                  <c:v>28.694999999999929</c:v>
                </c:pt>
                <c:pt idx="192">
                  <c:v>28.839999999999929</c:v>
                </c:pt>
                <c:pt idx="193">
                  <c:v>28.984999999999928</c:v>
                </c:pt>
                <c:pt idx="194">
                  <c:v>29.129999999999928</c:v>
                </c:pt>
                <c:pt idx="195">
                  <c:v>29.274999999999928</c:v>
                </c:pt>
                <c:pt idx="196">
                  <c:v>29.419999999999927</c:v>
                </c:pt>
                <c:pt idx="197">
                  <c:v>29.564999999999927</c:v>
                </c:pt>
                <c:pt idx="198">
                  <c:v>29.709999999999926</c:v>
                </c:pt>
                <c:pt idx="199">
                  <c:v>29.854999999999926</c:v>
                </c:pt>
                <c:pt idx="200">
                  <c:v>29.999999999999925</c:v>
                </c:pt>
              </c:numCache>
            </c:numRef>
          </c:xVal>
          <c:yVal>
            <c:numRef>
              <c:f>interpolation!$D$21:$D$221</c:f>
              <c:numCache>
                <c:formatCode>0.00</c:formatCode>
                <c:ptCount val="201"/>
                <c:pt idx="0">
                  <c:v>1</c:v>
                </c:pt>
                <c:pt idx="1">
                  <c:v>1.2168934154046951</c:v>
                </c:pt>
                <c:pt idx="2">
                  <c:v>1.4225474289401925</c:v>
                </c:pt>
                <c:pt idx="3">
                  <c:v>1.6169620406064924</c:v>
                </c:pt>
                <c:pt idx="4">
                  <c:v>1.8001372504035946</c:v>
                </c:pt>
                <c:pt idx="5">
                  <c:v>1.9720730583314994</c:v>
                </c:pt>
                <c:pt idx="6">
                  <c:v>2.1327694643902064</c:v>
                </c:pt>
                <c:pt idx="7">
                  <c:v>2.2822264685797156</c:v>
                </c:pt>
                <c:pt idx="8">
                  <c:v>2.4204440709000274</c:v>
                </c:pt>
                <c:pt idx="9">
                  <c:v>2.5474222713511416</c:v>
                </c:pt>
                <c:pt idx="10">
                  <c:v>2.6631610699330581</c:v>
                </c:pt>
                <c:pt idx="11">
                  <c:v>2.7676604666457774</c:v>
                </c:pt>
                <c:pt idx="12">
                  <c:v>2.8609204614892985</c:v>
                </c:pt>
                <c:pt idx="13">
                  <c:v>2.9429410544636223</c:v>
                </c:pt>
                <c:pt idx="14">
                  <c:v>3.0137235102555056</c:v>
                </c:pt>
                <c:pt idx="15">
                  <c:v>3.0735150692709068</c:v>
                </c:pt>
                <c:pt idx="16">
                  <c:v>3.1231012834918825</c:v>
                </c:pt>
                <c:pt idx="17">
                  <c:v>3.1633389430661012</c:v>
                </c:pt>
                <c:pt idx="18">
                  <c:v>3.1950848381412307</c:v>
                </c:pt>
                <c:pt idx="19">
                  <c:v>3.2191957588649394</c:v>
                </c:pt>
                <c:pt idx="20">
                  <c:v>3.2365284953848956</c:v>
                </c:pt>
                <c:pt idx="21">
                  <c:v>3.2479398378487674</c:v>
                </c:pt>
                <c:pt idx="22">
                  <c:v>3.2542865764042235</c:v>
                </c:pt>
                <c:pt idx="23">
                  <c:v>3.2564255011989318</c:v>
                </c:pt>
                <c:pt idx="24">
                  <c:v>3.2552134023805612</c:v>
                </c:pt>
                <c:pt idx="25">
                  <c:v>3.2515070700967788</c:v>
                </c:pt>
                <c:pt idx="26">
                  <c:v>3.2461632944952541</c:v>
                </c:pt>
                <c:pt idx="27">
                  <c:v>3.2400388657236543</c:v>
                </c:pt>
                <c:pt idx="28">
                  <c:v>3.2339905739296486</c:v>
                </c:pt>
                <c:pt idx="29">
                  <c:v>3.2288752092609045</c:v>
                </c:pt>
                <c:pt idx="30">
                  <c:v>3.2255495618650905</c:v>
                </c:pt>
                <c:pt idx="31">
                  <c:v>3.2248704218898752</c:v>
                </c:pt>
                <c:pt idx="32">
                  <c:v>3.2276945794829266</c:v>
                </c:pt>
                <c:pt idx="33">
                  <c:v>3.2348788247919127</c:v>
                </c:pt>
                <c:pt idx="34">
                  <c:v>3.2472799479645023</c:v>
                </c:pt>
                <c:pt idx="35">
                  <c:v>3.2657547391483632</c:v>
                </c:pt>
                <c:pt idx="36">
                  <c:v>3.291159988491164</c:v>
                </c:pt>
                <c:pt idx="37">
                  <c:v>3.3243524861405724</c:v>
                </c:pt>
                <c:pt idx="38">
                  <c:v>3.3661890222442574</c:v>
                </c:pt>
                <c:pt idx="39">
                  <c:v>3.4175263869498869</c:v>
                </c:pt>
                <c:pt idx="40">
                  <c:v>3.4792213704051291</c:v>
                </c:pt>
                <c:pt idx="41">
                  <c:v>3.5521307627576526</c:v>
                </c:pt>
                <c:pt idx="42">
                  <c:v>3.6371113541551252</c:v>
                </c:pt>
                <c:pt idx="43">
                  <c:v>3.7350199347452153</c:v>
                </c:pt>
                <c:pt idx="44">
                  <c:v>3.8467132946755913</c:v>
                </c:pt>
                <c:pt idx="45">
                  <c:v>3.9730482240939216</c:v>
                </c:pt>
                <c:pt idx="46">
                  <c:v>4.114881513147874</c:v>
                </c:pt>
                <c:pt idx="47">
                  <c:v>4.273069951985117</c:v>
                </c:pt>
                <c:pt idx="48">
                  <c:v>4.4484703307533193</c:v>
                </c:pt>
                <c:pt idx="49">
                  <c:v>4.6417851204921385</c:v>
                </c:pt>
                <c:pt idx="50">
                  <c:v>4.8522511523034257</c:v>
                </c:pt>
                <c:pt idx="51">
                  <c:v>5.0782953360877778</c:v>
                </c:pt>
                <c:pt idx="52">
                  <c:v>5.3183360501203412</c:v>
                </c:pt>
                <c:pt idx="53">
                  <c:v>5.5707916726762647</c:v>
                </c:pt>
                <c:pt idx="54">
                  <c:v>5.8340805820306931</c:v>
                </c:pt>
                <c:pt idx="55">
                  <c:v>6.1066211564587745</c:v>
                </c:pt>
                <c:pt idx="56">
                  <c:v>6.3868317742356551</c:v>
                </c:pt>
                <c:pt idx="57">
                  <c:v>6.6731308136364822</c:v>
                </c:pt>
                <c:pt idx="58">
                  <c:v>6.9639366529364031</c:v>
                </c:pt>
                <c:pt idx="59">
                  <c:v>7.257667670410564</c:v>
                </c:pt>
                <c:pt idx="60">
                  <c:v>7.5527422443341123</c:v>
                </c:pt>
                <c:pt idx="61">
                  <c:v>7.8475787529821952</c:v>
                </c:pt>
                <c:pt idx="62">
                  <c:v>8.140595574629959</c:v>
                </c:pt>
                <c:pt idx="63">
                  <c:v>8.43021108755255</c:v>
                </c:pt>
                <c:pt idx="64">
                  <c:v>8.7148436700251164</c:v>
                </c:pt>
                <c:pt idx="65">
                  <c:v>8.9929117003228054</c:v>
                </c:pt>
                <c:pt idx="66">
                  <c:v>9.2628335567207625</c:v>
                </c:pt>
                <c:pt idx="67">
                  <c:v>9.5230276174941348</c:v>
                </c:pt>
                <c:pt idx="68">
                  <c:v>9.7719122609180697</c:v>
                </c:pt>
                <c:pt idx="69">
                  <c:v>10.007905884190327</c:v>
                </c:pt>
                <c:pt idx="70">
                  <c:v>10.229937719369381</c:v>
                </c:pt>
                <c:pt idx="71">
                  <c:v>10.438779777181308</c:v>
                </c:pt>
                <c:pt idx="72">
                  <c:v>10.635619457552895</c:v>
                </c:pt>
                <c:pt idx="73">
                  <c:v>10.821644160410932</c:v>
                </c:pt>
                <c:pt idx="74">
                  <c:v>10.998041285682204</c:v>
                </c:pt>
                <c:pt idx="75">
                  <c:v>11.1659982332935</c:v>
                </c:pt>
                <c:pt idx="76">
                  <c:v>11.326702403171609</c:v>
                </c:pt>
                <c:pt idx="77">
                  <c:v>11.481341195243317</c:v>
                </c:pt>
                <c:pt idx="78">
                  <c:v>11.631102009435415</c:v>
                </c:pt>
                <c:pt idx="79">
                  <c:v>11.777172245674686</c:v>
                </c:pt>
                <c:pt idx="80">
                  <c:v>11.920739303887922</c:v>
                </c:pt>
                <c:pt idx="81">
                  <c:v>12.062990584001909</c:v>
                </c:pt>
                <c:pt idx="82">
                  <c:v>12.205113485943434</c:v>
                </c:pt>
                <c:pt idx="83">
                  <c:v>12.348295409639288</c:v>
                </c:pt>
                <c:pt idx="84">
                  <c:v>12.493723755016255</c:v>
                </c:pt>
                <c:pt idx="85">
                  <c:v>12.642585922001127</c:v>
                </c:pt>
                <c:pt idx="86">
                  <c:v>12.796069310520688</c:v>
                </c:pt>
                <c:pt idx="87">
                  <c:v>12.955361320501728</c:v>
                </c:pt>
                <c:pt idx="88">
                  <c:v>13.121649351871033</c:v>
                </c:pt>
                <c:pt idx="89">
                  <c:v>13.296120804555393</c:v>
                </c:pt>
                <c:pt idx="90">
                  <c:v>13.479963078481596</c:v>
                </c:pt>
                <c:pt idx="91">
                  <c:v>13.674363573576427</c:v>
                </c:pt>
                <c:pt idx="92">
                  <c:v>13.880509689766676</c:v>
                </c:pt>
                <c:pt idx="93">
                  <c:v>14.099588826979131</c:v>
                </c:pt>
                <c:pt idx="94">
                  <c:v>14.33278838514058</c:v>
                </c:pt>
                <c:pt idx="95">
                  <c:v>14.58129576417781</c:v>
                </c:pt>
                <c:pt idx="96">
                  <c:v>14.846298364017608</c:v>
                </c:pt>
                <c:pt idx="97">
                  <c:v>15.12891701587343</c:v>
                </c:pt>
                <c:pt idx="98">
                  <c:v>15.428293972451359</c:v>
                </c:pt>
                <c:pt idx="99">
                  <c:v>15.741306847311701</c:v>
                </c:pt>
                <c:pt idx="100">
                  <c:v>16.064709145935645</c:v>
                </c:pt>
                <c:pt idx="101">
                  <c:v>16.395254373804381</c:v>
                </c:pt>
                <c:pt idx="102">
                  <c:v>16.729696036399101</c:v>
                </c:pt>
                <c:pt idx="103">
                  <c:v>17.064787639200993</c:v>
                </c:pt>
                <c:pt idx="104">
                  <c:v>17.397282687691249</c:v>
                </c:pt>
                <c:pt idx="105">
                  <c:v>17.723934687351054</c:v>
                </c:pt>
                <c:pt idx="106">
                  <c:v>18.041497143661601</c:v>
                </c:pt>
                <c:pt idx="107">
                  <c:v>18.346723562104081</c:v>
                </c:pt>
                <c:pt idx="108">
                  <c:v>18.636367448159685</c:v>
                </c:pt>
                <c:pt idx="109">
                  <c:v>18.907182307309597</c:v>
                </c:pt>
                <c:pt idx="110">
                  <c:v>19.155921645035011</c:v>
                </c:pt>
                <c:pt idx="111">
                  <c:v>19.379338966817119</c:v>
                </c:pt>
                <c:pt idx="112">
                  <c:v>19.574187778137109</c:v>
                </c:pt>
                <c:pt idx="113">
                  <c:v>19.73722158447617</c:v>
                </c:pt>
                <c:pt idx="114">
                  <c:v>19.865193891315492</c:v>
                </c:pt>
                <c:pt idx="115">
                  <c:v>19.954858204136269</c:v>
                </c:pt>
                <c:pt idx="116">
                  <c:v>20.002968028419684</c:v>
                </c:pt>
                <c:pt idx="117">
                  <c:v>20.006276869646932</c:v>
                </c:pt>
                <c:pt idx="118">
                  <c:v>19.961923630734969</c:v>
                </c:pt>
                <c:pt idx="119">
                  <c:v>19.870306841541773</c:v>
                </c:pt>
                <c:pt idx="120">
                  <c:v>19.733464056857823</c:v>
                </c:pt>
                <c:pt idx="121">
                  <c:v>19.553445246135567</c:v>
                </c:pt>
                <c:pt idx="122">
                  <c:v>19.332300378827433</c:v>
                </c:pt>
                <c:pt idx="123">
                  <c:v>19.072079424385869</c:v>
                </c:pt>
                <c:pt idx="124">
                  <c:v>18.774832352263306</c:v>
                </c:pt>
                <c:pt idx="125">
                  <c:v>18.442609131912189</c:v>
                </c:pt>
                <c:pt idx="126">
                  <c:v>18.077459732784948</c:v>
                </c:pt>
                <c:pt idx="127">
                  <c:v>17.681434124334029</c:v>
                </c:pt>
                <c:pt idx="128">
                  <c:v>17.256582276011866</c:v>
                </c:pt>
                <c:pt idx="129">
                  <c:v>16.804954157270899</c:v>
                </c:pt>
                <c:pt idx="130">
                  <c:v>16.328599737563565</c:v>
                </c:pt>
                <c:pt idx="131">
                  <c:v>15.829568986342302</c:v>
                </c:pt>
                <c:pt idx="132">
                  <c:v>15.309911873059551</c:v>
                </c:pt>
                <c:pt idx="133">
                  <c:v>14.771678367167748</c:v>
                </c:pt>
                <c:pt idx="134">
                  <c:v>14.216918438119333</c:v>
                </c:pt>
                <c:pt idx="135">
                  <c:v>13.647682055366742</c:v>
                </c:pt>
                <c:pt idx="136">
                  <c:v>13.066019188362414</c:v>
                </c:pt>
                <c:pt idx="137">
                  <c:v>12.473979806558789</c:v>
                </c:pt>
                <c:pt idx="138">
                  <c:v>11.873613879408305</c:v>
                </c:pt>
                <c:pt idx="139">
                  <c:v>11.266971376363399</c:v>
                </c:pt>
                <c:pt idx="140">
                  <c:v>10.656102266876511</c:v>
                </c:pt>
                <c:pt idx="141">
                  <c:v>10.043056520400077</c:v>
                </c:pt>
                <c:pt idx="142">
                  <c:v>9.4298841063865364</c:v>
                </c:pt>
                <c:pt idx="143">
                  <c:v>8.8186349942883275</c:v>
                </c:pt>
                <c:pt idx="144">
                  <c:v>8.2113591535578898</c:v>
                </c:pt>
                <c:pt idx="145">
                  <c:v>7.6101065536476602</c:v>
                </c:pt>
                <c:pt idx="146">
                  <c:v>7.0169271640100774</c:v>
                </c:pt>
                <c:pt idx="147">
                  <c:v>6.4338709540975794</c:v>
                </c:pt>
                <c:pt idx="148">
                  <c:v>5.8629878933626056</c:v>
                </c:pt>
                <c:pt idx="149">
                  <c:v>5.3063279512575932</c:v>
                </c:pt>
                <c:pt idx="150">
                  <c:v>4.7659410972349807</c:v>
                </c:pt>
                <c:pt idx="151">
                  <c:v>4.243877300747207</c:v>
                </c:pt>
                <c:pt idx="152">
                  <c:v>3.7421865312467104</c:v>
                </c:pt>
                <c:pt idx="153">
                  <c:v>3.2629187581859282</c:v>
                </c:pt>
                <c:pt idx="154">
                  <c:v>2.8081239510172997</c:v>
                </c:pt>
                <c:pt idx="155">
                  <c:v>2.3798520791932631</c:v>
                </c:pt>
                <c:pt idx="156">
                  <c:v>1.9801531121662563</c:v>
                </c:pt>
                <c:pt idx="157">
                  <c:v>1.6110770193887178</c:v>
                </c:pt>
                <c:pt idx="158">
                  <c:v>1.2746737703130862</c:v>
                </c:pt>
                <c:pt idx="159">
                  <c:v>0.97299333439179936</c:v>
                </c:pt>
                <c:pt idx="160">
                  <c:v>0.70808568107729597</c:v>
                </c:pt>
                <c:pt idx="161">
                  <c:v>0.48200077982201417</c:v>
                </c:pt>
                <c:pt idx="162">
                  <c:v>0.29678860007839225</c:v>
                </c:pt>
                <c:pt idx="163">
                  <c:v>0.15449911129886867</c:v>
                </c:pt>
                <c:pt idx="164">
                  <c:v>5.7182282935881651E-2</c:v>
                </c:pt>
                <c:pt idx="165">
                  <c:v>6.8880844418695367E-3</c:v>
                </c:pt>
                <c:pt idx="166">
                  <c:v>5.5553692615704642E-3</c:v>
                </c:pt>
                <c:pt idx="167">
                  <c:v>5.2347884745025143E-2</c:v>
                </c:pt>
                <c:pt idx="168">
                  <c:v>0.14352659402357343</c:v>
                </c:pt>
                <c:pt idx="169">
                  <c:v>0.27521579239838007</c:v>
                </c:pt>
                <c:pt idx="170">
                  <c:v>0.44353977517060988</c:v>
                </c:pt>
                <c:pt idx="171">
                  <c:v>0.64462283764142769</c:v>
                </c:pt>
                <c:pt idx="172">
                  <c:v>0.87458927511199813</c:v>
                </c:pt>
                <c:pt idx="173">
                  <c:v>1.1295633828834861</c:v>
                </c:pt>
                <c:pt idx="174">
                  <c:v>1.4056694562570562</c:v>
                </c:pt>
                <c:pt idx="175">
                  <c:v>1.6990317905338734</c:v>
                </c:pt>
                <c:pt idx="176">
                  <c:v>2.0057746810151027</c:v>
                </c:pt>
                <c:pt idx="177">
                  <c:v>2.3220224230019082</c:v>
                </c:pt>
                <c:pt idx="178">
                  <c:v>2.643899311795455</c:v>
                </c:pt>
                <c:pt idx="179">
                  <c:v>2.967529642696908</c:v>
                </c:pt>
                <c:pt idx="180">
                  <c:v>3.289037711007432</c:v>
                </c:pt>
                <c:pt idx="181">
                  <c:v>3.6045478120281915</c:v>
                </c:pt>
                <c:pt idx="182">
                  <c:v>3.9101842410603518</c:v>
                </c:pt>
                <c:pt idx="183">
                  <c:v>4.2020712934050772</c:v>
                </c:pt>
                <c:pt idx="184">
                  <c:v>4.4763332643635323</c:v>
                </c:pt>
                <c:pt idx="185">
                  <c:v>4.7290944492368823</c:v>
                </c:pt>
                <c:pt idx="186">
                  <c:v>4.956479143326292</c:v>
                </c:pt>
                <c:pt idx="187">
                  <c:v>5.1549338889778413</c:v>
                </c:pt>
                <c:pt idx="188">
                  <c:v>5.3233402900408207</c:v>
                </c:pt>
                <c:pt idx="189">
                  <c:v>5.4616926256833329</c:v>
                </c:pt>
                <c:pt idx="190">
                  <c:v>5.5699908959053772</c:v>
                </c:pt>
                <c:pt idx="191">
                  <c:v>5.6482351007069544</c:v>
                </c:pt>
                <c:pt idx="192">
                  <c:v>5.6964252400880637</c:v>
                </c:pt>
                <c:pt idx="193">
                  <c:v>5.7145613140487059</c:v>
                </c:pt>
                <c:pt idx="194">
                  <c:v>5.7026433225888802</c:v>
                </c:pt>
                <c:pt idx="195">
                  <c:v>5.6606712657085865</c:v>
                </c:pt>
                <c:pt idx="196">
                  <c:v>5.5886451434078257</c:v>
                </c:pt>
                <c:pt idx="197">
                  <c:v>5.486564955686597</c:v>
                </c:pt>
                <c:pt idx="198">
                  <c:v>5.3544307025449012</c:v>
                </c:pt>
                <c:pt idx="199">
                  <c:v>5.1922423839827374</c:v>
                </c:pt>
                <c:pt idx="200">
                  <c:v>5.0000000000001066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E2-4D07-A38B-6923FF83FC0B}"/>
            </c:ext>
          </c:extLst>
        </c:ser>
        <c:ser>
          <c:idx val="4"/>
          <c:order val="4"/>
          <c:tx>
            <c:v> пересечения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interpolation!$AC$30:$AH$30</c:f>
              <c:numCache>
                <c:formatCode>General</c:formatCode>
                <c:ptCount val="6"/>
                <c:pt idx="0">
                  <c:v>1</c:v>
                </c:pt>
                <c:pt idx="1">
                  <c:v>4.1764705882352944</c:v>
                </c:pt>
                <c:pt idx="2">
                  <c:v>9.5</c:v>
                </c:pt>
                <c:pt idx="3">
                  <c:v>24.045454545454547</c:v>
                </c:pt>
                <c:pt idx="4">
                  <c:v>28</c:v>
                </c:pt>
                <c:pt idx="5">
                  <c:v>30</c:v>
                </c:pt>
              </c:numCache>
            </c:numRef>
          </c:xVal>
          <c:yVal>
            <c:numRef>
              <c:f>interpolation!$AC$31:$AH$31</c:f>
              <c:numCache>
                <c:formatCode>General</c:formatCode>
                <c:ptCount val="6"/>
                <c:pt idx="0">
                  <c:v>1</c:v>
                </c:pt>
                <c:pt idx="1">
                  <c:v>3.2538855847684771</c:v>
                </c:pt>
                <c:pt idx="2">
                  <c:v>7.1460086957131326</c:v>
                </c:pt>
                <c:pt idx="3">
                  <c:v>0.99174486076679491</c:v>
                </c:pt>
                <c:pt idx="4">
                  <c:v>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0E2-4D07-A38B-6923FF83F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0193456"/>
        <c:axId val="1617324208"/>
      </c:scatterChart>
      <c:valAx>
        <c:axId val="1610193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х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17324208"/>
        <c:crosses val="autoZero"/>
        <c:crossBetween val="midCat"/>
      </c:valAx>
      <c:valAx>
        <c:axId val="161732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fx)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10193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22" fmlaLink="$AD$1" fmlaRange="$AD$2:$AD$5" noThreeD="1" sel="2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76199</xdr:colOff>
      <xdr:row>33</xdr:row>
      <xdr:rowOff>38099</xdr:rowOff>
    </xdr:from>
    <xdr:to>
      <xdr:col>13</xdr:col>
      <xdr:colOff>161925</xdr:colOff>
      <xdr:row>55</xdr:row>
      <xdr:rowOff>38100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20</xdr:row>
          <xdr:rowOff>57150</xdr:rowOff>
        </xdr:from>
        <xdr:to>
          <xdr:col>8</xdr:col>
          <xdr:colOff>209550</xdr:colOff>
          <xdr:row>21</xdr:row>
          <xdr:rowOff>123825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15</xdr:col>
      <xdr:colOff>95250</xdr:colOff>
      <xdr:row>33</xdr:row>
      <xdr:rowOff>47625</xdr:rowOff>
    </xdr:from>
    <xdr:to>
      <xdr:col>24</xdr:col>
      <xdr:colOff>504825</xdr:colOff>
      <xdr:row>55</xdr:row>
      <xdr:rowOff>28575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66675</xdr:colOff>
      <xdr:row>33</xdr:row>
      <xdr:rowOff>38100</xdr:rowOff>
    </xdr:from>
    <xdr:to>
      <xdr:col>34</xdr:col>
      <xdr:colOff>514350</xdr:colOff>
      <xdr:row>55</xdr:row>
      <xdr:rowOff>19050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151208</xdr:colOff>
      <xdr:row>3</xdr:row>
      <xdr:rowOff>17393</xdr:rowOff>
    </xdr:from>
    <xdr:to>
      <xdr:col>14</xdr:col>
      <xdr:colOff>28576</xdr:colOff>
      <xdr:row>15</xdr:row>
      <xdr:rowOff>180976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808808" y="588893"/>
          <a:ext cx="4754168" cy="244958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Пример показывает возможности работы с таблично заданными функциями.</a:t>
          </a:r>
          <a:endParaRPr lang="en-US" sz="1100"/>
        </a:p>
        <a:p>
          <a:r>
            <a:rPr lang="ru-RU" sz="1100"/>
            <a:t>Показаны примеры</a:t>
          </a:r>
          <a:r>
            <a:rPr lang="en-US" sz="1100"/>
            <a:t>:</a:t>
          </a:r>
          <a:endParaRPr lang="ru-RU" sz="1100"/>
        </a:p>
        <a:p>
          <a:r>
            <a:rPr lang="ru-RU" sz="1100"/>
            <a:t>- интерполяции</a:t>
          </a:r>
          <a:r>
            <a:rPr lang="ru-RU" sz="1100" baseline="0"/>
            <a:t> различными методами (работает и экстраполяция)</a:t>
          </a:r>
        </a:p>
        <a:p>
          <a:r>
            <a:rPr lang="ru-RU" sz="1100" baseline="0"/>
            <a:t>- поиска решения уравнения вида </a:t>
          </a:r>
          <a:r>
            <a:rPr lang="en-US" sz="1100" baseline="0"/>
            <a:t>f(x) =</a:t>
          </a:r>
          <a:r>
            <a:rPr lang="ru-RU" sz="1100" baseline="0"/>
            <a:t> с где функция </a:t>
          </a:r>
          <a:r>
            <a:rPr lang="en-US" sz="1100" baseline="0"/>
            <a:t>f(x) </a:t>
          </a:r>
          <a:r>
            <a:rPr lang="ru-RU" sz="1100" baseline="0"/>
            <a:t>задана таблицей (ищется решение для линейной апроксимации)</a:t>
          </a:r>
        </a:p>
        <a:p>
          <a:r>
            <a:rPr lang="ru-RU" sz="1100" baseline="0"/>
            <a:t>- поиска пересечений двух кривых заданных таблицами (ищется решение для линейно аппроксимации)</a:t>
          </a:r>
          <a:endParaRPr lang="ru-RU" sz="1100"/>
        </a:p>
        <a:p>
          <a:r>
            <a:rPr lang="ru-RU" sz="1100"/>
            <a:t>Используемые функции</a:t>
          </a:r>
          <a:r>
            <a:rPr lang="en-US" sz="1100"/>
            <a:t>:</a:t>
          </a:r>
          <a:endParaRPr lang="ru-RU" sz="1100"/>
        </a:p>
        <a:p>
          <a:r>
            <a:rPr lang="en-US" sz="1100">
              <a:latin typeface="Courier New" panose="02070309020205020404" pitchFamily="49" charset="0"/>
              <a:cs typeface="Courier New" panose="02070309020205020404" pitchFamily="49" charset="0"/>
            </a:rPr>
            <a:t>crv_interpolation</a:t>
          </a:r>
          <a:endParaRPr lang="ru-RU" sz="1100">
            <a:latin typeface="Courier New" panose="02070309020205020404" pitchFamily="49" charset="0"/>
            <a:cs typeface="Courier New" panose="02070309020205020404" pitchFamily="49" charset="0"/>
          </a:endParaRPr>
        </a:p>
        <a:p>
          <a:r>
            <a:rPr lang="en-US" sz="1100">
              <a:latin typeface="Courier New" panose="02070309020205020404" pitchFamily="49" charset="0"/>
              <a:cs typeface="Courier New" panose="02070309020205020404" pitchFamily="49" charset="0"/>
            </a:rPr>
            <a:t>crv_solve</a:t>
          </a:r>
          <a:endParaRPr lang="ru-RU" sz="1100">
            <a:latin typeface="Courier New" panose="02070309020205020404" pitchFamily="49" charset="0"/>
            <a:cs typeface="Courier New" panose="02070309020205020404" pitchFamily="49" charset="0"/>
          </a:endParaRPr>
        </a:p>
        <a:p>
          <a:r>
            <a:rPr lang="en-US" sz="1100">
              <a:latin typeface="Courier New" panose="02070309020205020404" pitchFamily="49" charset="0"/>
              <a:cs typeface="Courier New" panose="02070309020205020404" pitchFamily="49" charset="0"/>
            </a:rPr>
            <a:t>crv_intersection</a:t>
          </a:r>
          <a:endParaRPr lang="ru-RU" sz="1100">
            <a:latin typeface="Courier New" panose="02070309020205020404" pitchFamily="49" charset="0"/>
            <a:cs typeface="Courier New" panose="02070309020205020404" pitchFamily="49" charset="0"/>
          </a:endParaRPr>
        </a:p>
        <a:p>
          <a:pPr marL="0" indent="0"/>
          <a:endParaRPr lang="ru-RU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indent="0"/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Выполните задания указанные в стрелках</a:t>
          </a:r>
          <a:r>
            <a:rPr lang="ru-RU" sz="1100">
              <a:latin typeface="Courier New" panose="02070309020205020404" pitchFamily="49" charset="0"/>
              <a:cs typeface="Courier New" panose="02070309020205020404" pitchFamily="49" charset="0"/>
            </a:rPr>
            <a:t>.</a:t>
          </a:r>
        </a:p>
      </xdr:txBody>
    </xdr:sp>
    <xdr:clientData/>
  </xdr:twoCellAnchor>
  <xdr:twoCellAnchor>
    <xdr:from>
      <xdr:col>4</xdr:col>
      <xdr:colOff>76200</xdr:colOff>
      <xdr:row>22</xdr:row>
      <xdr:rowOff>85724</xdr:rowOff>
    </xdr:from>
    <xdr:to>
      <xdr:col>8</xdr:col>
      <xdr:colOff>495300</xdr:colOff>
      <xdr:row>28</xdr:row>
      <xdr:rowOff>152399</xdr:rowOff>
    </xdr:to>
    <xdr:sp macro="" textlink="">
      <xdr:nvSpPr>
        <xdr:cNvPr id="6" name="Стрелка: влево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514600" y="4295774"/>
          <a:ext cx="2857500" cy="1209675"/>
        </a:xfrm>
        <a:prstGeom prst="leftArrow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1. </a:t>
          </a:r>
          <a:r>
            <a:rPr lang="ru-RU" sz="1100"/>
            <a:t>Постройте</a:t>
          </a:r>
          <a:r>
            <a:rPr lang="ru-RU" sz="1100" baseline="0"/>
            <a:t> здесь таблицу интерполизованнх значений исходных функций </a:t>
          </a:r>
          <a:r>
            <a:rPr lang="en-US" sz="1100" baseline="0"/>
            <a:t>f(x) </a:t>
          </a:r>
          <a:r>
            <a:rPr lang="ru-RU" sz="1100" baseline="0"/>
            <a:t>и </a:t>
          </a:r>
          <a:r>
            <a:rPr lang="en-US" sz="1100" baseline="0"/>
            <a:t>g(x)</a:t>
          </a:r>
          <a:endParaRPr lang="ru-RU" sz="1100"/>
        </a:p>
      </xdr:txBody>
    </xdr:sp>
    <xdr:clientData/>
  </xdr:twoCellAnchor>
  <xdr:twoCellAnchor>
    <xdr:from>
      <xdr:col>8</xdr:col>
      <xdr:colOff>133350</xdr:colOff>
      <xdr:row>17</xdr:row>
      <xdr:rowOff>142875</xdr:rowOff>
    </xdr:from>
    <xdr:to>
      <xdr:col>12</xdr:col>
      <xdr:colOff>552450</xdr:colOff>
      <xdr:row>21</xdr:row>
      <xdr:rowOff>104775</xdr:rowOff>
    </xdr:to>
    <xdr:sp macro="" textlink="">
      <xdr:nvSpPr>
        <xdr:cNvPr id="9" name="Стрелка: влево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010150" y="3400425"/>
          <a:ext cx="2857500" cy="723900"/>
        </a:xfrm>
        <a:prstGeom prst="leftArrow">
          <a:avLst>
            <a:gd name="adj1" fmla="val 66143"/>
            <a:gd name="adj2" fmla="val 70895"/>
          </a:avLst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2</a:t>
          </a:r>
          <a:r>
            <a:rPr lang="en-US" sz="1100"/>
            <a:t>. </a:t>
          </a:r>
          <a:r>
            <a:rPr lang="ru-RU" sz="1100"/>
            <a:t>Используйте</a:t>
          </a:r>
          <a:r>
            <a:rPr lang="ru-RU" sz="1100" baseline="0"/>
            <a:t> ячейку тип интерполяции по назначению</a:t>
          </a:r>
          <a:endParaRPr lang="ru-RU" sz="1100"/>
        </a:p>
      </xdr:txBody>
    </xdr:sp>
    <xdr:clientData/>
  </xdr:twoCellAnchor>
  <xdr:twoCellAnchor>
    <xdr:from>
      <xdr:col>17</xdr:col>
      <xdr:colOff>228599</xdr:colOff>
      <xdr:row>18</xdr:row>
      <xdr:rowOff>95250</xdr:rowOff>
    </xdr:from>
    <xdr:to>
      <xdr:col>23</xdr:col>
      <xdr:colOff>352424</xdr:colOff>
      <xdr:row>28</xdr:row>
      <xdr:rowOff>142874</xdr:rowOff>
    </xdr:to>
    <xdr:sp macro="" textlink="">
      <xdr:nvSpPr>
        <xdr:cNvPr id="7" name="Выноска: стрелка вниз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9725024" y="3533775"/>
          <a:ext cx="3781425" cy="1952624"/>
        </a:xfrm>
        <a:prstGeom prst="downArrowCallout">
          <a:avLst>
            <a:gd name="adj1" fmla="val 21116"/>
            <a:gd name="adj2" fmla="val 20146"/>
            <a:gd name="adj3" fmla="val 16748"/>
            <a:gd name="adj4" fmla="val 59169"/>
          </a:avLst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3. Найдите значения</a:t>
          </a:r>
          <a:r>
            <a:rPr lang="ru-RU" sz="1100" baseline="0"/>
            <a:t> х при которых функция </a:t>
          </a:r>
          <a:r>
            <a:rPr lang="en-US" sz="1100" baseline="0"/>
            <a:t>f(x) </a:t>
          </a:r>
          <a:r>
            <a:rPr lang="ru-RU" sz="1100" baseline="0"/>
            <a:t>принимает искомое значение указанное в ячейке "искомое значение". </a:t>
          </a:r>
        </a:p>
        <a:p>
          <a:pPr algn="l"/>
          <a:r>
            <a:rPr lang="ru-RU" sz="1100" baseline="0"/>
            <a:t>Возможно несколько решений, которые будут выведены как массив.</a:t>
          </a:r>
        </a:p>
        <a:p>
          <a:pPr algn="l"/>
          <a:r>
            <a:rPr lang="ru-RU" sz="1100" baseline="0"/>
            <a:t>Для каждого решения найдите значение функции </a:t>
          </a:r>
          <a:r>
            <a:rPr lang="en-US" sz="1100" baseline="0"/>
            <a:t>f(x) </a:t>
          </a:r>
          <a:r>
            <a:rPr lang="ru-RU" sz="1100" baseline="0"/>
            <a:t>во второй строке (чтобы получить красивый график)</a:t>
          </a:r>
          <a:endParaRPr lang="ru-RU" sz="1100"/>
        </a:p>
      </xdr:txBody>
    </xdr:sp>
    <xdr:clientData/>
  </xdr:twoCellAnchor>
  <xdr:twoCellAnchor>
    <xdr:from>
      <xdr:col>28</xdr:col>
      <xdr:colOff>266700</xdr:colOff>
      <xdr:row>18</xdr:row>
      <xdr:rowOff>123825</xdr:rowOff>
    </xdr:from>
    <xdr:to>
      <xdr:col>34</xdr:col>
      <xdr:colOff>238125</xdr:colOff>
      <xdr:row>28</xdr:row>
      <xdr:rowOff>171449</xdr:rowOff>
    </xdr:to>
    <xdr:sp macro="" textlink="">
      <xdr:nvSpPr>
        <xdr:cNvPr id="11" name="Выноска: стрелка вниз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5973425" y="3562350"/>
          <a:ext cx="3629025" cy="1952624"/>
        </a:xfrm>
        <a:prstGeom prst="downArrowCallout">
          <a:avLst>
            <a:gd name="adj1" fmla="val 21116"/>
            <a:gd name="adj2" fmla="val 20146"/>
            <a:gd name="adj3" fmla="val 16748"/>
            <a:gd name="adj4" fmla="val 60078"/>
          </a:avLst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4. Найдите значения</a:t>
          </a:r>
          <a:r>
            <a:rPr lang="ru-RU" sz="1100" baseline="0"/>
            <a:t> х при которых функция </a:t>
          </a:r>
          <a:r>
            <a:rPr lang="en-US" sz="1100" baseline="0"/>
            <a:t>f(x)</a:t>
          </a:r>
          <a:r>
            <a:rPr lang="ru-RU" sz="1100" baseline="0"/>
            <a:t> и </a:t>
          </a:r>
          <a:r>
            <a:rPr lang="en-US" sz="1100" baseline="0"/>
            <a:t>g(x) </a:t>
          </a:r>
          <a:r>
            <a:rPr lang="ru-RU" sz="1100" baseline="0"/>
            <a:t>пересекаются.</a:t>
          </a:r>
        </a:p>
        <a:p>
          <a:pPr algn="l"/>
          <a:r>
            <a:rPr lang="ru-RU" sz="1100" baseline="0"/>
            <a:t>Возможно несколько решений, которые будут выведены как массив.</a:t>
          </a:r>
        </a:p>
        <a:p>
          <a:pPr algn="l"/>
          <a:r>
            <a:rPr lang="ru-RU" sz="1100" baseline="0"/>
            <a:t>Для каждого решения найдите значение функции </a:t>
          </a:r>
          <a:r>
            <a:rPr lang="en-US" sz="1100" baseline="0"/>
            <a:t>f(x) </a:t>
          </a:r>
          <a:r>
            <a:rPr lang="ru-RU" sz="1100" baseline="0"/>
            <a:t>во второй строке (чтобы получить красивый график)</a:t>
          </a:r>
          <a:endParaRPr lang="ru-RU" sz="1100"/>
        </a:p>
      </xdr:txBody>
    </xdr:sp>
    <xdr:clientData/>
  </xdr:twoCellAnchor>
  <xdr:twoCellAnchor>
    <xdr:from>
      <xdr:col>15</xdr:col>
      <xdr:colOff>228600</xdr:colOff>
      <xdr:row>2</xdr:row>
      <xdr:rowOff>179318</xdr:rowOff>
    </xdr:from>
    <xdr:to>
      <xdr:col>24</xdr:col>
      <xdr:colOff>552450</xdr:colOff>
      <xdr:row>15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505825" y="560318"/>
          <a:ext cx="5810250" cy="2449583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Вопросы для изучения</a:t>
          </a:r>
        </a:p>
        <a:p>
          <a:pPr marL="0" indent="0" algn="l"/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1. Попробуйте при интерполяции задать значения вне исходного диапазона табличных параметров. </a:t>
          </a:r>
        </a:p>
        <a:p>
          <a:pPr marL="0" indent="0" algn="l"/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2. Задайте в части 2 и части 3 интерполяцию найденных значений с использованием сплайнов. Посмотрите совпадут ли найденные решения и визуальное положение пересечений и решений.</a:t>
          </a:r>
        </a:p>
        <a:p>
          <a:pPr marL="0" indent="0" algn="l"/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3. Задайте произвольные значения исходной функции и попробуйте "сломать" расчет.</a:t>
          </a:r>
        </a:p>
        <a:p>
          <a:pPr marL="0" indent="0" algn="l"/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4. Попробуйте задать в</a:t>
          </a:r>
          <a:r>
            <a:rPr lang="ru-RU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таблице значения для кривой не являющейся функцией (когда одному аргументу соответствует два значения). Такой вариант не считается за "сломать". Поведение алгоритмов может быть не предсказуемым. Если можете исправьте код.</a:t>
          </a:r>
          <a:endParaRPr lang="ru-RU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ru-RU" sz="1100">
              <a:solidFill>
                <a:schemeClr val="dk1"/>
              </a:solidFill>
              <a:latin typeface="+mn-lt"/>
              <a:ea typeface="+mn-ea"/>
              <a:cs typeface="+mn-cs"/>
            </a:rPr>
            <a:t>5. Если получилось "сломать" - оставьте сообщение на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  <a:hlinkClick xmlns:r="http://schemas.openxmlformats.org/officeDocument/2006/relationships" r:id="">
                <a:extLst>
                  <a:ext uri="{A12FA001-AC4F-418D-AE19-62706E023703}">
                    <ahyp:hlinkClr xmlns:ahyp="http://schemas.microsoft.com/office/drawing/2018/hyperlinkcolor" val="tx"/>
                  </a:ext>
                </a:extLst>
              </a:hlinkClick>
            </a:rPr>
            <a:t>https://github.com/unifloc/unifloc_vba/issues</a:t>
          </a:r>
          <a:endParaRPr lang="ru-RU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unifloc\unifloc_vba\UniflocVBA_7.xlam" TargetMode="External"/><Relationship Id="rId1" Type="http://schemas.openxmlformats.org/officeDocument/2006/relationships/externalLinkPath" Target="/unifloc/unifloc_vba/UniflocVBA_7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"/>
    </sheetNames>
    <definedNames>
      <definedName name="crv_interpolation"/>
      <definedName name="crv_intersection"/>
      <definedName name="crv_solve"/>
      <definedName name="unf_Version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AI230"/>
  <sheetViews>
    <sheetView tabSelected="1" zoomScaleNormal="100" workbookViewId="0">
      <selection activeCell="AL4" sqref="AL4"/>
    </sheetView>
  </sheetViews>
  <sheetFormatPr defaultRowHeight="15" x14ac:dyDescent="0.25"/>
  <cols>
    <col min="14" max="14" width="3.7109375" customWidth="1"/>
    <col min="15" max="15" width="1.5703125" customWidth="1"/>
    <col min="26" max="26" width="1.7109375" customWidth="1"/>
  </cols>
  <sheetData>
    <row r="1" spans="1:34" x14ac:dyDescent="0.25">
      <c r="A1" s="1" t="s">
        <v>13</v>
      </c>
      <c r="F1" t="s">
        <v>0</v>
      </c>
      <c r="G1" t="str" cm="1">
        <f t="array" ref="G1">[1]!unf_Version()</f>
        <v>7.57</v>
      </c>
      <c r="AC1" s="13" t="s">
        <v>12</v>
      </c>
      <c r="AD1" s="13">
        <v>2</v>
      </c>
      <c r="AE1" s="13"/>
      <c r="AF1" s="13"/>
      <c r="AG1" s="13"/>
      <c r="AH1" s="13"/>
    </row>
    <row r="2" spans="1:34" x14ac:dyDescent="0.25">
      <c r="A2" t="s">
        <v>1</v>
      </c>
      <c r="AC2" s="13">
        <v>0</v>
      </c>
      <c r="AD2" s="13" t="s">
        <v>5</v>
      </c>
      <c r="AE2" s="13"/>
      <c r="AF2" s="13"/>
      <c r="AG2" s="13"/>
      <c r="AH2" s="13"/>
    </row>
    <row r="3" spans="1:34" x14ac:dyDescent="0.25">
      <c r="AC3" s="13">
        <v>1</v>
      </c>
      <c r="AD3" s="13" t="s">
        <v>6</v>
      </c>
      <c r="AE3" s="13"/>
      <c r="AF3" s="13"/>
      <c r="AG3" s="13"/>
      <c r="AH3" s="13"/>
    </row>
    <row r="4" spans="1:34" x14ac:dyDescent="0.25">
      <c r="AC4" s="13">
        <v>2</v>
      </c>
      <c r="AD4" s="13" t="s">
        <v>7</v>
      </c>
      <c r="AE4" s="13"/>
      <c r="AF4" s="13"/>
      <c r="AG4" s="13"/>
      <c r="AH4" s="13"/>
    </row>
    <row r="5" spans="1:34" x14ac:dyDescent="0.25">
      <c r="A5" s="5"/>
      <c r="B5" t="s">
        <v>4</v>
      </c>
      <c r="E5" t="s">
        <v>10</v>
      </c>
      <c r="AC5" s="13">
        <v>3</v>
      </c>
      <c r="AD5" s="13" t="s">
        <v>8</v>
      </c>
      <c r="AE5" s="13"/>
      <c r="AF5" s="13"/>
      <c r="AG5" s="13"/>
      <c r="AH5" s="13"/>
    </row>
    <row r="6" spans="1:34" x14ac:dyDescent="0.25">
      <c r="A6" s="5"/>
      <c r="B6" s="11" t="s">
        <v>2</v>
      </c>
      <c r="C6" s="11" t="s">
        <v>3</v>
      </c>
      <c r="E6" s="11" t="s">
        <v>2</v>
      </c>
      <c r="F6" s="11" t="s">
        <v>11</v>
      </c>
    </row>
    <row r="7" spans="1:34" x14ac:dyDescent="0.25">
      <c r="A7" s="5"/>
      <c r="B7" s="7">
        <v>1</v>
      </c>
      <c r="C7" s="7">
        <v>1</v>
      </c>
      <c r="E7" s="7">
        <v>1</v>
      </c>
      <c r="F7" s="7">
        <v>1</v>
      </c>
    </row>
    <row r="8" spans="1:34" x14ac:dyDescent="0.25">
      <c r="A8" s="5"/>
      <c r="B8" s="7">
        <v>4</v>
      </c>
      <c r="C8" s="7">
        <v>3</v>
      </c>
      <c r="E8" s="7">
        <v>3</v>
      </c>
      <c r="F8" s="7">
        <v>3</v>
      </c>
    </row>
    <row r="9" spans="1:34" x14ac:dyDescent="0.25">
      <c r="A9" s="5"/>
      <c r="B9" s="7">
        <v>5</v>
      </c>
      <c r="C9" s="7">
        <v>5</v>
      </c>
      <c r="E9" s="7">
        <v>8</v>
      </c>
      <c r="F9" s="7">
        <v>4.5</v>
      </c>
    </row>
    <row r="10" spans="1:34" x14ac:dyDescent="0.25">
      <c r="A10" s="5"/>
      <c r="B10" s="7">
        <v>15</v>
      </c>
      <c r="C10" s="7">
        <v>10</v>
      </c>
      <c r="E10" s="7">
        <v>11</v>
      </c>
      <c r="F10" s="7">
        <v>10</v>
      </c>
    </row>
    <row r="11" spans="1:34" x14ac:dyDescent="0.25">
      <c r="A11" s="5"/>
      <c r="B11" s="7">
        <v>19</v>
      </c>
      <c r="C11" s="7">
        <v>-1</v>
      </c>
      <c r="E11" s="7">
        <v>15</v>
      </c>
      <c r="F11" s="7">
        <v>15</v>
      </c>
    </row>
    <row r="12" spans="1:34" x14ac:dyDescent="0.25">
      <c r="A12" s="5"/>
      <c r="B12" s="7">
        <v>22</v>
      </c>
      <c r="C12" s="7">
        <v>0</v>
      </c>
      <c r="E12" s="7">
        <v>18</v>
      </c>
      <c r="F12" s="7">
        <v>20</v>
      </c>
    </row>
    <row r="13" spans="1:34" x14ac:dyDescent="0.25">
      <c r="A13" s="5"/>
      <c r="B13" s="7">
        <v>25</v>
      </c>
      <c r="C13" s="7">
        <v>4</v>
      </c>
      <c r="E13" s="7">
        <v>25</v>
      </c>
      <c r="F13" s="7">
        <v>0</v>
      </c>
    </row>
    <row r="14" spans="1:34" x14ac:dyDescent="0.25">
      <c r="A14" s="5"/>
      <c r="B14" s="7">
        <v>28</v>
      </c>
      <c r="C14" s="7">
        <v>5</v>
      </c>
      <c r="E14" s="7">
        <v>28</v>
      </c>
      <c r="F14" s="7">
        <v>5</v>
      </c>
    </row>
    <row r="15" spans="1:34" x14ac:dyDescent="0.25">
      <c r="A15" s="5"/>
      <c r="B15" s="7">
        <v>30</v>
      </c>
      <c r="C15" s="7">
        <v>5</v>
      </c>
      <c r="E15" s="7">
        <v>30</v>
      </c>
      <c r="F15" s="7">
        <v>5</v>
      </c>
    </row>
    <row r="16" spans="1:34" x14ac:dyDescent="0.25">
      <c r="A16" s="5"/>
    </row>
    <row r="17" spans="1:35" ht="15.75" thickBot="1" x14ac:dyDescent="0.3"/>
    <row r="18" spans="1:35" x14ac:dyDescent="0.25">
      <c r="A18" s="5"/>
      <c r="B18" s="17" t="s">
        <v>16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4"/>
      <c r="P18" s="17" t="str">
        <f>"Часть 2. Поиск решения f(x) = " &amp;f_to_solve_</f>
        <v>Часть 2. Поиск решения f(x) = 4</v>
      </c>
      <c r="Q18" s="3"/>
      <c r="R18" s="3"/>
      <c r="S18" s="3"/>
      <c r="T18" s="3"/>
      <c r="U18" s="3"/>
      <c r="V18" s="3"/>
      <c r="W18" s="3"/>
      <c r="X18" s="3"/>
      <c r="Y18" s="4"/>
      <c r="AA18" s="17" t="s">
        <v>17</v>
      </c>
      <c r="AB18" s="3"/>
      <c r="AC18" s="3"/>
      <c r="AD18" s="3"/>
      <c r="AE18" s="3"/>
      <c r="AF18" s="3"/>
      <c r="AG18" s="3"/>
      <c r="AH18" s="3"/>
      <c r="AI18" s="4"/>
    </row>
    <row r="19" spans="1:35" x14ac:dyDescent="0.25">
      <c r="A19" s="5"/>
      <c r="B19" s="5"/>
      <c r="N19" s="6"/>
      <c r="P19" s="5"/>
      <c r="Y19" s="6"/>
      <c r="AA19" s="5"/>
      <c r="AI19" s="6"/>
    </row>
    <row r="20" spans="1:35" x14ac:dyDescent="0.25">
      <c r="A20" s="5"/>
      <c r="B20" s="18" t="s">
        <v>2</v>
      </c>
      <c r="C20" s="11" t="s">
        <v>3</v>
      </c>
      <c r="D20" s="11" t="s">
        <v>11</v>
      </c>
      <c r="G20" s="15" t="s">
        <v>14</v>
      </c>
      <c r="H20" s="12">
        <f>AD1-1</f>
        <v>1</v>
      </c>
      <c r="N20" s="6"/>
      <c r="P20" s="5"/>
      <c r="Y20" s="6"/>
      <c r="AA20" s="5"/>
      <c r="AI20" s="6"/>
    </row>
    <row r="21" spans="1:35" x14ac:dyDescent="0.25">
      <c r="A21" s="5"/>
      <c r="B21" s="19">
        <v>1</v>
      </c>
      <c r="C21" s="14">
        <f>[1]!crv_interpolation(x_,fx_,B21,тип_интерполяции_)</f>
        <v>1</v>
      </c>
      <c r="D21" s="14">
        <f>[1]!crv_interpolation(x2_,gx2_,B21,тип_интерполяции_)</f>
        <v>1</v>
      </c>
      <c r="N21" s="6"/>
      <c r="P21" s="5"/>
      <c r="Y21" s="6"/>
      <c r="AA21" s="5"/>
      <c r="AI21" s="6"/>
    </row>
    <row r="22" spans="1:35" x14ac:dyDescent="0.25">
      <c r="A22" s="5"/>
      <c r="B22" s="19">
        <f>B21+($B$15-$B$7)/200</f>
        <v>1.145</v>
      </c>
      <c r="C22" s="14">
        <f>[1]!crv_interpolation(x_,fx_,B22,тип_интерполяции_)</f>
        <v>0.9455290939362081</v>
      </c>
      <c r="D22" s="14">
        <f>[1]!crv_interpolation(x2_,gx2_,B22,тип_интерполяции_)</f>
        <v>1.2168934154046951</v>
      </c>
      <c r="N22" s="6"/>
      <c r="P22" s="5"/>
      <c r="Y22" s="6"/>
      <c r="AA22" s="5"/>
      <c r="AI22" s="6"/>
    </row>
    <row r="23" spans="1:35" x14ac:dyDescent="0.25">
      <c r="A23" s="5"/>
      <c r="B23" s="19">
        <f t="shared" ref="B23:B86" si="0">B22+($B$15-$B$7)/200</f>
        <v>1.29</v>
      </c>
      <c r="C23" s="14">
        <f>[1]!crv_interpolation(x_,fx_,B23,тип_интерполяции_)</f>
        <v>0.90641016548776931</v>
      </c>
      <c r="D23" s="14">
        <f>[1]!crv_interpolation(x2_,gx2_,B23,тип_интерполяции_)</f>
        <v>1.4225474289401925</v>
      </c>
      <c r="N23" s="6"/>
      <c r="P23" s="5"/>
      <c r="Y23" s="6"/>
      <c r="AA23" s="5"/>
      <c r="AI23" s="6"/>
    </row>
    <row r="24" spans="1:35" x14ac:dyDescent="0.25">
      <c r="A24" s="5"/>
      <c r="B24" s="19">
        <f t="shared" si="0"/>
        <v>1.4350000000000001</v>
      </c>
      <c r="C24" s="14">
        <f>[1]!crv_interpolation(x_,fx_,B24,тип_интерполяции_)</f>
        <v>0.88264321465468354</v>
      </c>
      <c r="D24" s="14">
        <f>[1]!crv_interpolation(x2_,gx2_,B24,тип_интерполяции_)</f>
        <v>1.6169620406064924</v>
      </c>
      <c r="N24" s="6"/>
      <c r="P24" s="5"/>
      <c r="Y24" s="6"/>
      <c r="AA24" s="5"/>
      <c r="AI24" s="6"/>
    </row>
    <row r="25" spans="1:35" x14ac:dyDescent="0.25">
      <c r="A25" s="5"/>
      <c r="B25" s="19">
        <f t="shared" si="0"/>
        <v>1.58</v>
      </c>
      <c r="C25" s="14">
        <f>[1]!crv_interpolation(x_,fx_,B25,тип_интерполяции_)</f>
        <v>0.87422824143695088</v>
      </c>
      <c r="D25" s="14">
        <f>[1]!crv_interpolation(x2_,gx2_,B25,тип_интерполяции_)</f>
        <v>1.8001372504035946</v>
      </c>
      <c r="N25" s="6"/>
      <c r="P25" s="5"/>
      <c r="Y25" s="6"/>
      <c r="AA25" s="5"/>
      <c r="AI25" s="6"/>
    </row>
    <row r="26" spans="1:35" x14ac:dyDescent="0.25">
      <c r="A26" s="5"/>
      <c r="B26" s="19">
        <f t="shared" si="0"/>
        <v>1.7250000000000001</v>
      </c>
      <c r="C26" s="14">
        <f>[1]!crv_interpolation(x_,fx_,B26,тип_интерполяции_)</f>
        <v>0.88116524583457123</v>
      </c>
      <c r="D26" s="14">
        <f>[1]!crv_interpolation(x2_,gx2_,B26,тип_интерполяции_)</f>
        <v>1.9720730583314994</v>
      </c>
      <c r="N26" s="6"/>
      <c r="P26" s="5"/>
      <c r="Y26" s="6"/>
      <c r="AA26" s="5"/>
      <c r="AI26" s="6"/>
    </row>
    <row r="27" spans="1:35" x14ac:dyDescent="0.25">
      <c r="A27" s="5"/>
      <c r="B27" s="19">
        <f t="shared" si="0"/>
        <v>1.87</v>
      </c>
      <c r="C27" s="14">
        <f>[1]!crv_interpolation(x_,fx_,B27,тип_интерполяции_)</f>
        <v>0.90345422784754459</v>
      </c>
      <c r="D27" s="14">
        <f>[1]!crv_interpolation(x2_,gx2_,B27,тип_интерполяции_)</f>
        <v>2.1327694643902064</v>
      </c>
      <c r="N27" s="6"/>
      <c r="P27" s="5"/>
      <c r="Q27" s="15" t="s">
        <v>15</v>
      </c>
      <c r="R27" s="7">
        <v>4</v>
      </c>
      <c r="Y27" s="6"/>
      <c r="AA27" s="5"/>
      <c r="AI27" s="6"/>
    </row>
    <row r="28" spans="1:35" x14ac:dyDescent="0.25">
      <c r="A28" s="5"/>
      <c r="B28" s="19">
        <f t="shared" si="0"/>
        <v>2.0150000000000001</v>
      </c>
      <c r="C28" s="14">
        <f>[1]!crv_interpolation(x_,fx_,B28,тип_интерполяции_)</f>
        <v>0.94109518747587106</v>
      </c>
      <c r="D28" s="14">
        <f>[1]!crv_interpolation(x2_,gx2_,B28,тип_интерполяции_)</f>
        <v>2.2822264685797156</v>
      </c>
      <c r="N28" s="6"/>
      <c r="P28" s="5"/>
      <c r="Y28" s="6"/>
      <c r="AA28" s="5"/>
      <c r="AI28" s="6"/>
    </row>
    <row r="29" spans="1:35" x14ac:dyDescent="0.25">
      <c r="A29" s="5"/>
      <c r="B29" s="19">
        <f t="shared" si="0"/>
        <v>2.16</v>
      </c>
      <c r="C29" s="14">
        <f>[1]!crv_interpolation(x_,fx_,B29,тип_интерполяции_)</f>
        <v>0.99408812471955066</v>
      </c>
      <c r="D29" s="14">
        <f>[1]!crv_interpolation(x2_,gx2_,B29,тип_интерполяции_)</f>
        <v>2.4204440709000274</v>
      </c>
      <c r="N29" s="6"/>
      <c r="P29" s="5"/>
      <c r="Y29" s="6"/>
      <c r="AA29" s="5"/>
      <c r="AI29" s="6"/>
    </row>
    <row r="30" spans="1:35" x14ac:dyDescent="0.25">
      <c r="A30" s="5"/>
      <c r="B30" s="19">
        <f t="shared" si="0"/>
        <v>2.3050000000000002</v>
      </c>
      <c r="C30" s="14">
        <f>[1]!crv_interpolation(x_,fx_,B30,тип_интерполяции_)</f>
        <v>1.0624330395785833</v>
      </c>
      <c r="D30" s="14">
        <f>[1]!crv_interpolation(x2_,gx2_,B30,тип_интерполяции_)</f>
        <v>2.5474222713511416</v>
      </c>
      <c r="N30" s="6"/>
      <c r="P30" s="5"/>
      <c r="Q30" t="s">
        <v>9</v>
      </c>
      <c r="R30" s="16">
        <f t="array" ref="R30:V30">[1]!crv_solve(x_,fx_,f_to_solve_)</f>
        <v>4.5</v>
      </c>
      <c r="S30" s="16">
        <v>17.18181818181818</v>
      </c>
      <c r="T30" s="16">
        <v>25</v>
      </c>
      <c r="U30" s="16" t="e">
        <v>#N/A</v>
      </c>
      <c r="V30" s="16" t="e">
        <v>#N/A</v>
      </c>
      <c r="Y30" s="6"/>
      <c r="AA30" s="5"/>
      <c r="AB30" t="s">
        <v>9</v>
      </c>
      <c r="AC30" s="16">
        <f t="array" ref="AC30:AH30">[1]!crv_intersection(x_,fx_,x2_,gx2_)</f>
        <v>1</v>
      </c>
      <c r="AD30" s="16">
        <v>4.1764705882352944</v>
      </c>
      <c r="AE30" s="16">
        <v>9.5</v>
      </c>
      <c r="AF30" s="16">
        <v>24.045454545454547</v>
      </c>
      <c r="AG30" s="16">
        <v>28</v>
      </c>
      <c r="AH30" s="16">
        <v>30</v>
      </c>
      <c r="AI30" s="6"/>
    </row>
    <row r="31" spans="1:35" x14ac:dyDescent="0.25">
      <c r="A31" s="5"/>
      <c r="B31" s="19">
        <f t="shared" si="0"/>
        <v>2.4500000000000002</v>
      </c>
      <c r="C31" s="14">
        <f>[1]!crv_interpolation(x_,fx_,B31,тип_интерполяции_)</f>
        <v>1.146129932052969</v>
      </c>
      <c r="D31" s="14">
        <f>[1]!crv_interpolation(x2_,gx2_,B31,тип_интерполяции_)</f>
        <v>2.6631610699330581</v>
      </c>
      <c r="N31" s="6"/>
      <c r="P31" s="5"/>
      <c r="R31" s="16">
        <f>[1]!crv_interpolation(x_,fx_,R30,тип_интерполяции_)</f>
        <v>3.9563608090176294</v>
      </c>
      <c r="S31" s="16">
        <f>[1]!crv_interpolation(x_,fx_,S30,тип_интерполяции_)</f>
        <v>3.3109669610188801</v>
      </c>
      <c r="T31" s="16">
        <f>[1]!crv_interpolation(x_,fx_,T30,тип_интерполяции_)</f>
        <v>4</v>
      </c>
      <c r="U31" s="16" t="str">
        <f>[1]!crv_interpolation(x_,fx_,U30,тип_интерполяции_)</f>
        <v xml:space="preserve">Error:crv_interpolation:read_xy_vectors: </v>
      </c>
      <c r="V31" s="16" t="str">
        <f>[1]!crv_interpolation(x_,fx_,V30,тип_интерполяции_)</f>
        <v xml:space="preserve">Error:crv_interpolation:read_xy_vectors: </v>
      </c>
      <c r="Y31" s="6"/>
      <c r="AA31" s="5"/>
      <c r="AC31" s="16">
        <f>[1]!crv_interpolation(x2_,gx2_,AC30,тип_интерполяции_)</f>
        <v>1</v>
      </c>
      <c r="AD31" s="16">
        <f>[1]!crv_interpolation(x2_,gx2_,AD30,тип_интерполяции_)</f>
        <v>3.2538855847684771</v>
      </c>
      <c r="AE31" s="16">
        <f>[1]!crv_interpolation(x2_,gx2_,AE30,тип_интерполяции_)</f>
        <v>7.1460086957131326</v>
      </c>
      <c r="AF31" s="16">
        <f>[1]!crv_interpolation(x2_,gx2_,AF30,тип_интерполяции_)</f>
        <v>0.99174486076679491</v>
      </c>
      <c r="AG31" s="16">
        <f>[1]!crv_interpolation(x2_,gx2_,AG30,тип_интерполяции_)</f>
        <v>5</v>
      </c>
      <c r="AH31" s="16">
        <f>[1]!crv_interpolation(x2_,gx2_,AH30,тип_интерполяции_)</f>
        <v>5</v>
      </c>
      <c r="AI31" s="6"/>
    </row>
    <row r="32" spans="1:35" x14ac:dyDescent="0.25">
      <c r="A32" s="5"/>
      <c r="B32" s="19">
        <f t="shared" si="0"/>
        <v>2.5950000000000002</v>
      </c>
      <c r="C32" s="14">
        <f>[1]!crv_interpolation(x_,fx_,B32,тип_интерполяции_)</f>
        <v>1.2451788021427077</v>
      </c>
      <c r="D32" s="14">
        <f>[1]!crv_interpolation(x2_,gx2_,B32,тип_интерполяции_)</f>
        <v>2.7676604666457774</v>
      </c>
      <c r="N32" s="6"/>
      <c r="P32" s="5"/>
      <c r="Y32" s="6"/>
      <c r="AA32" s="5"/>
      <c r="AI32" s="6"/>
    </row>
    <row r="33" spans="1:35" x14ac:dyDescent="0.25">
      <c r="A33" s="5"/>
      <c r="B33" s="19">
        <f t="shared" si="0"/>
        <v>2.74</v>
      </c>
      <c r="C33" s="14">
        <f>[1]!crv_interpolation(x_,fx_,B33,тип_интерполяции_)</f>
        <v>1.3595796498477994</v>
      </c>
      <c r="D33" s="14">
        <f>[1]!crv_interpolation(x2_,gx2_,B33,тип_интерполяции_)</f>
        <v>2.8609204614892985</v>
      </c>
      <c r="N33" s="6"/>
      <c r="P33" s="5"/>
      <c r="Y33" s="6"/>
      <c r="AA33" s="5"/>
      <c r="AI33" s="6"/>
    </row>
    <row r="34" spans="1:35" x14ac:dyDescent="0.25">
      <c r="A34" s="5"/>
      <c r="B34" s="19">
        <f t="shared" si="0"/>
        <v>2.8850000000000002</v>
      </c>
      <c r="C34" s="14">
        <f>[1]!crv_interpolation(x_,fx_,B34,тип_интерполяции_)</f>
        <v>1.4893324751682444</v>
      </c>
      <c r="D34" s="14">
        <f>[1]!crv_interpolation(x2_,gx2_,B34,тип_интерполяции_)</f>
        <v>2.9429410544636223</v>
      </c>
      <c r="N34" s="6"/>
      <c r="P34" s="5"/>
      <c r="Y34" s="6"/>
      <c r="AA34" s="5"/>
      <c r="AI34" s="6"/>
    </row>
    <row r="35" spans="1:35" x14ac:dyDescent="0.25">
      <c r="A35" s="5"/>
      <c r="B35" s="19">
        <f t="shared" si="0"/>
        <v>3.0300000000000002</v>
      </c>
      <c r="C35" s="14">
        <f>[1]!crv_interpolation(x_,fx_,B35,тип_интерполяции_)</f>
        <v>1.6344372781040422</v>
      </c>
      <c r="D35" s="14">
        <f>[1]!crv_interpolation(x2_,gx2_,B35,тип_интерполяции_)</f>
        <v>3.0137235102555056</v>
      </c>
      <c r="N35" s="6"/>
      <c r="P35" s="5"/>
      <c r="Y35" s="6"/>
      <c r="AA35" s="5"/>
      <c r="AI35" s="6"/>
    </row>
    <row r="36" spans="1:35" x14ac:dyDescent="0.25">
      <c r="A36" s="5"/>
      <c r="B36" s="19">
        <f t="shared" si="0"/>
        <v>3.1750000000000003</v>
      </c>
      <c r="C36" s="14">
        <f>[1]!crv_interpolation(x_,fx_,B36,тип_интерполяции_)</f>
        <v>1.7948940586551931</v>
      </c>
      <c r="D36" s="14">
        <f>[1]!crv_interpolation(x2_,gx2_,B36,тип_интерполяции_)</f>
        <v>3.0735150692709068</v>
      </c>
      <c r="N36" s="6"/>
      <c r="P36" s="5"/>
      <c r="Y36" s="6"/>
      <c r="AA36" s="5"/>
      <c r="AI36" s="6"/>
    </row>
    <row r="37" spans="1:35" x14ac:dyDescent="0.25">
      <c r="A37" s="5"/>
      <c r="B37" s="19">
        <f t="shared" si="0"/>
        <v>3.3200000000000003</v>
      </c>
      <c r="C37" s="14">
        <f>[1]!crv_interpolation(x_,fx_,B37,тип_интерполяции_)</f>
        <v>1.9707028168216973</v>
      </c>
      <c r="D37" s="14">
        <f>[1]!crv_interpolation(x2_,gx2_,B37,тип_интерполяции_)</f>
        <v>3.1231012834918825</v>
      </c>
      <c r="N37" s="6"/>
      <c r="P37" s="5"/>
      <c r="Y37" s="6"/>
      <c r="AA37" s="5"/>
      <c r="AI37" s="6"/>
    </row>
    <row r="38" spans="1:35" x14ac:dyDescent="0.25">
      <c r="A38" s="5"/>
      <c r="B38" s="19">
        <f t="shared" si="0"/>
        <v>3.4650000000000003</v>
      </c>
      <c r="C38" s="14">
        <f>[1]!crv_interpolation(x_,fx_,B38,тип_интерполяции_)</f>
        <v>2.1618635526035543</v>
      </c>
      <c r="D38" s="14">
        <f>[1]!crv_interpolation(x2_,gx2_,B38,тип_интерполяции_)</f>
        <v>3.1633389430661012</v>
      </c>
      <c r="N38" s="6"/>
      <c r="P38" s="5"/>
      <c r="Y38" s="6"/>
      <c r="AA38" s="5"/>
      <c r="AI38" s="6"/>
    </row>
    <row r="39" spans="1:35" x14ac:dyDescent="0.25">
      <c r="A39" s="5"/>
      <c r="B39" s="19">
        <f t="shared" si="0"/>
        <v>3.6100000000000003</v>
      </c>
      <c r="C39" s="14">
        <f>[1]!crv_interpolation(x_,fx_,B39,тип_интерполяции_)</f>
        <v>2.3683762660007646</v>
      </c>
      <c r="D39" s="14">
        <f>[1]!crv_interpolation(x2_,gx2_,B39,тип_интерполяции_)</f>
        <v>3.1950848381412307</v>
      </c>
      <c r="N39" s="6"/>
      <c r="P39" s="5"/>
      <c r="Y39" s="6"/>
      <c r="AA39" s="5"/>
      <c r="AI39" s="6"/>
    </row>
    <row r="40" spans="1:35" x14ac:dyDescent="0.25">
      <c r="A40" s="5"/>
      <c r="B40" s="19">
        <f t="shared" si="0"/>
        <v>3.7550000000000003</v>
      </c>
      <c r="C40" s="14">
        <f>[1]!crv_interpolation(x_,fx_,B40,тип_интерполяции_)</f>
        <v>2.5902409570133278</v>
      </c>
      <c r="D40" s="14">
        <f>[1]!crv_interpolation(x2_,gx2_,B40,тип_интерполяции_)</f>
        <v>3.2191957588649394</v>
      </c>
      <c r="N40" s="6"/>
      <c r="P40" s="5"/>
      <c r="Y40" s="6"/>
      <c r="AA40" s="5"/>
      <c r="AI40" s="6"/>
    </row>
    <row r="41" spans="1:35" x14ac:dyDescent="0.25">
      <c r="A41" s="5"/>
      <c r="B41" s="19">
        <f t="shared" si="0"/>
        <v>3.9000000000000004</v>
      </c>
      <c r="C41" s="14">
        <f>[1]!crv_interpolation(x_,fx_,B41,тип_интерполяции_)</f>
        <v>2.827457625641244</v>
      </c>
      <c r="D41" s="14">
        <f>[1]!crv_interpolation(x2_,gx2_,B41,тип_интерполяции_)</f>
        <v>3.2365284953848956</v>
      </c>
      <c r="N41" s="6"/>
      <c r="P41" s="5"/>
      <c r="Y41" s="6"/>
      <c r="AA41" s="5"/>
      <c r="AI41" s="6"/>
    </row>
    <row r="42" spans="1:35" x14ac:dyDescent="0.25">
      <c r="A42" s="5"/>
      <c r="B42" s="19">
        <f t="shared" si="0"/>
        <v>4.0449999999999999</v>
      </c>
      <c r="C42" s="14">
        <f>[1]!crv_interpolation(x_,fx_,B42,тип_интерполяции_)</f>
        <v>3.080014697072603</v>
      </c>
      <c r="D42" s="14">
        <f>[1]!crv_interpolation(x2_,gx2_,B42,тип_интерполяции_)</f>
        <v>3.2479398378487674</v>
      </c>
      <c r="N42" s="6"/>
      <c r="P42" s="5"/>
      <c r="Y42" s="6"/>
      <c r="AA42" s="5"/>
      <c r="AI42" s="6"/>
    </row>
    <row r="43" spans="1:35" x14ac:dyDescent="0.25">
      <c r="A43" s="5"/>
      <c r="B43" s="19">
        <f t="shared" si="0"/>
        <v>4.1899999999999995</v>
      </c>
      <c r="C43" s="14">
        <f>[1]!crv_interpolation(x_,fx_,B43,тип_интерполяции_)</f>
        <v>3.347075656951501</v>
      </c>
      <c r="D43" s="14">
        <f>[1]!crv_interpolation(x2_,gx2_,B43,тип_интерполяции_)</f>
        <v>3.2542865764042235</v>
      </c>
      <c r="N43" s="6"/>
      <c r="P43" s="5"/>
      <c r="Y43" s="6"/>
      <c r="AA43" s="5"/>
      <c r="AI43" s="6"/>
    </row>
    <row r="44" spans="1:35" x14ac:dyDescent="0.25">
      <c r="A44" s="5"/>
      <c r="B44" s="19">
        <f t="shared" si="0"/>
        <v>4.3349999999999991</v>
      </c>
      <c r="C44" s="14">
        <f>[1]!crv_interpolation(x_,fx_,B44,тип_интерполяции_)</f>
        <v>3.6264440854827473</v>
      </c>
      <c r="D44" s="14">
        <f>[1]!crv_interpolation(x2_,gx2_,B44,тип_интерполяции_)</f>
        <v>3.2564255011989318</v>
      </c>
      <c r="N44" s="6"/>
      <c r="P44" s="5"/>
      <c r="Y44" s="6"/>
      <c r="AA44" s="5"/>
      <c r="AI44" s="6"/>
    </row>
    <row r="45" spans="1:35" x14ac:dyDescent="0.25">
      <c r="A45" s="5"/>
      <c r="B45" s="19">
        <f t="shared" si="0"/>
        <v>4.4799999999999986</v>
      </c>
      <c r="C45" s="14">
        <f>[1]!crv_interpolation(x_,fx_,B45,тип_интерполяции_)</f>
        <v>3.9157965416156273</v>
      </c>
      <c r="D45" s="14">
        <f>[1]!crv_interpolation(x2_,gx2_,B45,тип_интерполяции_)</f>
        <v>3.2552134023805612</v>
      </c>
      <c r="N45" s="6"/>
      <c r="P45" s="5"/>
      <c r="Y45" s="6"/>
      <c r="AA45" s="5"/>
      <c r="AI45" s="6"/>
    </row>
    <row r="46" spans="1:35" x14ac:dyDescent="0.25">
      <c r="A46" s="5"/>
      <c r="B46" s="19">
        <f t="shared" si="0"/>
        <v>4.6249999999999982</v>
      </c>
      <c r="C46" s="14">
        <f>[1]!crv_interpolation(x_,fx_,B46,тип_интерполяции_)</f>
        <v>4.2128095842994266</v>
      </c>
      <c r="D46" s="14">
        <f>[1]!crv_interpolation(x2_,gx2_,B46,тип_интерполяции_)</f>
        <v>3.2515070700967788</v>
      </c>
      <c r="N46" s="6"/>
      <c r="P46" s="5"/>
      <c r="Y46" s="6"/>
      <c r="AA46" s="5"/>
      <c r="AI46" s="6"/>
    </row>
    <row r="47" spans="1:35" x14ac:dyDescent="0.25">
      <c r="A47" s="5"/>
      <c r="B47" s="19">
        <f t="shared" si="0"/>
        <v>4.7699999999999978</v>
      </c>
      <c r="C47" s="14">
        <f>[1]!crv_interpolation(x_,fx_,B47,тип_интерполяции_)</f>
        <v>4.5151597724834316</v>
      </c>
      <c r="D47" s="14">
        <f>[1]!crv_interpolation(x2_,gx2_,B47,тип_интерполяции_)</f>
        <v>3.2461632944952541</v>
      </c>
      <c r="N47" s="6"/>
      <c r="P47" s="5"/>
      <c r="Y47" s="6"/>
      <c r="AA47" s="5"/>
      <c r="AI47" s="6"/>
    </row>
    <row r="48" spans="1:35" x14ac:dyDescent="0.25">
      <c r="A48" s="5"/>
      <c r="B48" s="19">
        <f t="shared" si="0"/>
        <v>4.9149999999999974</v>
      </c>
      <c r="C48" s="14">
        <f>[1]!crv_interpolation(x_,fx_,B48,тип_интерполяции_)</f>
        <v>4.8205236651169265</v>
      </c>
      <c r="D48" s="14">
        <f>[1]!crv_interpolation(x2_,gx2_,B48,тип_интерполяции_)</f>
        <v>3.2400388657236543</v>
      </c>
      <c r="N48" s="6"/>
      <c r="P48" s="5"/>
      <c r="Y48" s="6"/>
      <c r="AA48" s="5"/>
      <c r="AI48" s="6"/>
    </row>
    <row r="49" spans="1:35" x14ac:dyDescent="0.25">
      <c r="A49" s="5"/>
      <c r="B49" s="19">
        <f t="shared" si="0"/>
        <v>5.0599999999999969</v>
      </c>
      <c r="C49" s="14">
        <f>[1]!crv_interpolation(x_,fx_,B49,тип_интерполяции_)</f>
        <v>5.1266021229433152</v>
      </c>
      <c r="D49" s="14">
        <f>[1]!crv_interpolation(x2_,gx2_,B49,тип_интерполяции_)</f>
        <v>3.2339905739296486</v>
      </c>
      <c r="N49" s="6"/>
      <c r="P49" s="5"/>
      <c r="Y49" s="6"/>
      <c r="AA49" s="5"/>
      <c r="AI49" s="6"/>
    </row>
    <row r="50" spans="1:35" x14ac:dyDescent="0.25">
      <c r="A50" s="5"/>
      <c r="B50" s="19">
        <f t="shared" si="0"/>
        <v>5.2049999999999965</v>
      </c>
      <c r="C50" s="14">
        <f>[1]!crv_interpolation(x_,fx_,B50,тип_интерполяции_)</f>
        <v>5.4319680726500961</v>
      </c>
      <c r="D50" s="14">
        <f>[1]!crv_interpolation(x2_,gx2_,B50,тип_интерполяции_)</f>
        <v>3.2288752092609045</v>
      </c>
      <c r="N50" s="6"/>
      <c r="P50" s="5"/>
      <c r="Y50" s="6"/>
      <c r="AA50" s="5"/>
      <c r="AI50" s="6"/>
    </row>
    <row r="51" spans="1:35" x14ac:dyDescent="0.25">
      <c r="A51" s="5"/>
      <c r="B51" s="19">
        <f t="shared" si="0"/>
        <v>5.3499999999999961</v>
      </c>
      <c r="C51" s="14">
        <f>[1]!crv_interpolation(x_,fx_,B51,тип_интерполяции_)</f>
        <v>5.7362869528311204</v>
      </c>
      <c r="D51" s="14">
        <f>[1]!crv_interpolation(x2_,gx2_,B51,тип_интерполяции_)</f>
        <v>3.2255495618650905</v>
      </c>
      <c r="N51" s="6"/>
      <c r="P51" s="5"/>
      <c r="Y51" s="6"/>
      <c r="AA51" s="5"/>
      <c r="AI51" s="6"/>
    </row>
    <row r="52" spans="1:35" x14ac:dyDescent="0.25">
      <c r="A52" s="5"/>
      <c r="B52" s="19">
        <f t="shared" si="0"/>
        <v>5.4949999999999957</v>
      </c>
      <c r="C52" s="14">
        <f>[1]!crv_interpolation(x_,fx_,B52,тип_интерполяции_)</f>
        <v>6.0392932962437218</v>
      </c>
      <c r="D52" s="14">
        <f>[1]!crv_interpolation(x2_,gx2_,B52,тип_интерполяции_)</f>
        <v>3.2248704218898752</v>
      </c>
      <c r="N52" s="6"/>
      <c r="P52" s="5"/>
      <c r="Y52" s="6"/>
      <c r="AA52" s="5"/>
      <c r="AI52" s="6"/>
    </row>
    <row r="53" spans="1:35" x14ac:dyDescent="0.25">
      <c r="A53" s="5"/>
      <c r="B53" s="19">
        <f t="shared" si="0"/>
        <v>5.6399999999999952</v>
      </c>
      <c r="C53" s="14">
        <f>[1]!crv_interpolation(x_,fx_,B53,тип_интерполяции_)</f>
        <v>6.3407216356452354</v>
      </c>
      <c r="D53" s="14">
        <f>[1]!crv_interpolation(x2_,gx2_,B53,тип_интерполяции_)</f>
        <v>3.2276945794829266</v>
      </c>
      <c r="N53" s="6"/>
      <c r="P53" s="5"/>
      <c r="Y53" s="6"/>
      <c r="AA53" s="5"/>
      <c r="AI53" s="6"/>
    </row>
    <row r="54" spans="1:35" x14ac:dyDescent="0.25">
      <c r="A54" s="5"/>
      <c r="B54" s="19">
        <f t="shared" si="0"/>
        <v>5.7849999999999948</v>
      </c>
      <c r="C54" s="14">
        <f>[1]!crv_interpolation(x_,fx_,B54,тип_интерполяции_)</f>
        <v>6.6403065037929947</v>
      </c>
      <c r="D54" s="14">
        <f>[1]!crv_interpolation(x2_,gx2_,B54,тип_интерполяции_)</f>
        <v>3.2348788247919127</v>
      </c>
      <c r="N54" s="6"/>
      <c r="P54" s="5"/>
      <c r="Y54" s="6"/>
      <c r="AA54" s="5"/>
      <c r="AI54" s="6"/>
    </row>
    <row r="55" spans="1:35" x14ac:dyDescent="0.25">
      <c r="A55" s="5"/>
      <c r="B55" s="19">
        <f t="shared" si="0"/>
        <v>5.9299999999999944</v>
      </c>
      <c r="C55" s="14">
        <f>[1]!crv_interpolation(x_,fx_,B55,тип_интерполяции_)</f>
        <v>6.9377824334443332</v>
      </c>
      <c r="D55" s="14">
        <f>[1]!crv_interpolation(x2_,gx2_,B55,тип_интерполяции_)</f>
        <v>3.2472799479645023</v>
      </c>
      <c r="N55" s="6"/>
      <c r="P55" s="5"/>
      <c r="Y55" s="6"/>
      <c r="AA55" s="5"/>
      <c r="AI55" s="6"/>
    </row>
    <row r="56" spans="1:35" x14ac:dyDescent="0.25">
      <c r="A56" s="5"/>
      <c r="B56" s="19">
        <f t="shared" si="0"/>
        <v>6.074999999999994</v>
      </c>
      <c r="C56" s="14">
        <f>[1]!crv_interpolation(x_,fx_,B56,тип_интерполяции_)</f>
        <v>7.2328839573565844</v>
      </c>
      <c r="D56" s="14">
        <f>[1]!crv_interpolation(x2_,gx2_,B56,тип_интерполяции_)</f>
        <v>3.2657547391483632</v>
      </c>
      <c r="N56" s="6"/>
      <c r="P56" s="5"/>
      <c r="Y56" s="6"/>
      <c r="AA56" s="5"/>
      <c r="AI56" s="6"/>
    </row>
    <row r="57" spans="1:35" x14ac:dyDescent="0.25">
      <c r="A57" s="5"/>
      <c r="B57" s="19">
        <f t="shared" si="0"/>
        <v>6.2199999999999935</v>
      </c>
      <c r="C57" s="14">
        <f>[1]!crv_interpolation(x_,fx_,B57,тип_интерполяции_)</f>
        <v>7.5253456082870835</v>
      </c>
      <c r="D57" s="14">
        <f>[1]!crv_interpolation(x2_,gx2_,B57,тип_интерполяции_)</f>
        <v>3.291159988491164</v>
      </c>
      <c r="N57" s="6"/>
      <c r="P57" s="5"/>
      <c r="Y57" s="6"/>
      <c r="AA57" s="5"/>
      <c r="AI57" s="6"/>
    </row>
    <row r="58" spans="1:35" x14ac:dyDescent="0.25">
      <c r="A58" s="5"/>
      <c r="B58" s="19">
        <f t="shared" si="0"/>
        <v>6.3649999999999931</v>
      </c>
      <c r="C58" s="14">
        <f>[1]!crv_interpolation(x_,fx_,B58,тип_интерполяции_)</f>
        <v>7.8149019189931641</v>
      </c>
      <c r="D58" s="14">
        <f>[1]!crv_interpolation(x2_,gx2_,B58,тип_интерполяции_)</f>
        <v>3.3243524861405724</v>
      </c>
      <c r="N58" s="6"/>
      <c r="P58" s="5"/>
      <c r="Y58" s="6"/>
      <c r="AA58" s="5"/>
      <c r="AI58" s="6"/>
    </row>
    <row r="59" spans="1:35" ht="15.75" thickBot="1" x14ac:dyDescent="0.3">
      <c r="A59" s="5"/>
      <c r="B59" s="19">
        <f t="shared" si="0"/>
        <v>6.5099999999999927</v>
      </c>
      <c r="C59" s="14">
        <f>[1]!crv_interpolation(x_,fx_,B59,тип_интерполяции_)</f>
        <v>8.1012874222321596</v>
      </c>
      <c r="D59" s="14">
        <f>[1]!crv_interpolation(x2_,gx2_,B59,тип_интерполяции_)</f>
        <v>3.3661890222442574</v>
      </c>
      <c r="N59" s="6"/>
      <c r="P59" s="8"/>
      <c r="Q59" s="9"/>
      <c r="R59" s="9"/>
      <c r="S59" s="9"/>
      <c r="T59" s="9"/>
      <c r="U59" s="9"/>
      <c r="V59" s="9"/>
      <c r="W59" s="9"/>
      <c r="X59" s="9"/>
      <c r="Y59" s="10"/>
      <c r="AA59" s="8"/>
      <c r="AB59" s="9"/>
      <c r="AC59" s="9"/>
      <c r="AD59" s="9"/>
      <c r="AE59" s="9"/>
      <c r="AF59" s="9"/>
      <c r="AG59" s="9"/>
      <c r="AH59" s="9"/>
      <c r="AI59" s="10"/>
    </row>
    <row r="60" spans="1:35" x14ac:dyDescent="0.25">
      <c r="A60" s="5"/>
      <c r="B60" s="19">
        <f t="shared" si="0"/>
        <v>6.6549999999999923</v>
      </c>
      <c r="C60" s="14">
        <f>[1]!crv_interpolation(x_,fx_,B60,тип_интерполяции_)</f>
        <v>8.3842366507614052</v>
      </c>
      <c r="D60" s="14">
        <f>[1]!crv_interpolation(x2_,gx2_,B60,тип_интерполяции_)</f>
        <v>3.4175263869498869</v>
      </c>
      <c r="N60" s="6"/>
    </row>
    <row r="61" spans="1:35" x14ac:dyDescent="0.25">
      <c r="A61" s="5"/>
      <c r="B61" s="19">
        <f t="shared" si="0"/>
        <v>6.7999999999999918</v>
      </c>
      <c r="C61" s="14">
        <f>[1]!crv_interpolation(x_,fx_,B61,тип_интерполяции_)</f>
        <v>8.6634841373382336</v>
      </c>
      <c r="D61" s="14">
        <f>[1]!crv_interpolation(x2_,gx2_,B61,тип_интерполяции_)</f>
        <v>3.4792213704051291</v>
      </c>
      <c r="N61" s="6"/>
    </row>
    <row r="62" spans="1:35" x14ac:dyDescent="0.25">
      <c r="A62" s="5"/>
      <c r="B62" s="19">
        <f t="shared" si="0"/>
        <v>6.9449999999999914</v>
      </c>
      <c r="C62" s="14">
        <f>[1]!crv_interpolation(x_,fx_,B62,тип_интерполяции_)</f>
        <v>8.9387644147199783</v>
      </c>
      <c r="D62" s="14">
        <f>[1]!crv_interpolation(x2_,gx2_,B62,тип_интерполяции_)</f>
        <v>3.5521307627576526</v>
      </c>
      <c r="N62" s="6"/>
    </row>
    <row r="63" spans="1:35" x14ac:dyDescent="0.25">
      <c r="A63" s="5"/>
      <c r="B63" s="19">
        <f t="shared" si="0"/>
        <v>7.089999999999991</v>
      </c>
      <c r="C63" s="14">
        <f>[1]!crv_interpolation(x_,fx_,B63,тип_интерполяции_)</f>
        <v>9.2098120156639744</v>
      </c>
      <c r="D63" s="14">
        <f>[1]!crv_interpolation(x2_,gx2_,B63,тип_интерполяции_)</f>
        <v>3.6371113541551252</v>
      </c>
      <c r="N63" s="6"/>
    </row>
    <row r="64" spans="1:35" x14ac:dyDescent="0.25">
      <c r="A64" s="5"/>
      <c r="B64" s="19">
        <f t="shared" si="0"/>
        <v>7.2349999999999905</v>
      </c>
      <c r="C64" s="14">
        <f>[1]!crv_interpolation(x_,fx_,B64,тип_интерполяции_)</f>
        <v>9.4763614729275556</v>
      </c>
      <c r="D64" s="14">
        <f>[1]!crv_interpolation(x2_,gx2_,B64,тип_интерполяции_)</f>
        <v>3.7350199347452153</v>
      </c>
      <c r="N64" s="6"/>
    </row>
    <row r="65" spans="1:14" x14ac:dyDescent="0.25">
      <c r="A65" s="5"/>
      <c r="B65" s="19">
        <f t="shared" si="0"/>
        <v>7.3799999999999901</v>
      </c>
      <c r="C65" s="14">
        <f>[1]!crv_interpolation(x_,fx_,B65,тип_интерполяции_)</f>
        <v>9.7381473192680552</v>
      </c>
      <c r="D65" s="14">
        <f>[1]!crv_interpolation(x2_,gx2_,B65,тип_интерполяции_)</f>
        <v>3.8467132946755913</v>
      </c>
      <c r="N65" s="6"/>
    </row>
    <row r="66" spans="1:14" x14ac:dyDescent="0.25">
      <c r="A66" s="5"/>
      <c r="B66" s="19">
        <f t="shared" si="0"/>
        <v>7.5249999999999897</v>
      </c>
      <c r="C66" s="14">
        <f>[1]!crv_interpolation(x_,fx_,B66,тип_интерполяции_)</f>
        <v>9.9949040874428068</v>
      </c>
      <c r="D66" s="14">
        <f>[1]!crv_interpolation(x2_,gx2_,B66,тип_интерполяции_)</f>
        <v>3.9730482240939216</v>
      </c>
      <c r="N66" s="6"/>
    </row>
    <row r="67" spans="1:14" x14ac:dyDescent="0.25">
      <c r="A67" s="5"/>
      <c r="B67" s="19">
        <f t="shared" si="0"/>
        <v>7.6699999999999893</v>
      </c>
      <c r="C67" s="14">
        <f>[1]!crv_interpolation(x_,fx_,B67,тип_интерполяции_)</f>
        <v>10.246366310209147</v>
      </c>
      <c r="D67" s="14">
        <f>[1]!crv_interpolation(x2_,gx2_,B67,тип_интерполяции_)</f>
        <v>4.114881513147874</v>
      </c>
      <c r="N67" s="6"/>
    </row>
    <row r="68" spans="1:14" x14ac:dyDescent="0.25">
      <c r="A68" s="5"/>
      <c r="B68" s="19">
        <f t="shared" si="0"/>
        <v>7.8149999999999888</v>
      </c>
      <c r="C68" s="14">
        <f>[1]!crv_interpolation(x_,fx_,B68,тип_интерполяции_)</f>
        <v>10.492268520324407</v>
      </c>
      <c r="D68" s="14">
        <f>[1]!crv_interpolation(x2_,gx2_,B68,тип_интерполяции_)</f>
        <v>4.273069951985117</v>
      </c>
      <c r="N68" s="6"/>
    </row>
    <row r="69" spans="1:14" x14ac:dyDescent="0.25">
      <c r="A69" s="5"/>
      <c r="B69" s="19">
        <f t="shared" si="0"/>
        <v>7.9599999999999884</v>
      </c>
      <c r="C69" s="14">
        <f>[1]!crv_interpolation(x_,fx_,B69,тип_интерполяции_)</f>
        <v>10.732345250545922</v>
      </c>
      <c r="D69" s="14">
        <f>[1]!crv_interpolation(x2_,gx2_,B69,тип_интерполяции_)</f>
        <v>4.4484703307533193</v>
      </c>
      <c r="N69" s="6"/>
    </row>
    <row r="70" spans="1:14" x14ac:dyDescent="0.25">
      <c r="A70" s="5"/>
      <c r="B70" s="19">
        <f t="shared" si="0"/>
        <v>8.104999999999988</v>
      </c>
      <c r="C70" s="14">
        <f>[1]!crv_interpolation(x_,fx_,B70,тип_интерполяции_)</f>
        <v>10.966331033631025</v>
      </c>
      <c r="D70" s="14">
        <f>[1]!crv_interpolation(x2_,gx2_,B70,тип_интерполяции_)</f>
        <v>4.6417851204921385</v>
      </c>
      <c r="N70" s="6"/>
    </row>
    <row r="71" spans="1:14" x14ac:dyDescent="0.25">
      <c r="A71" s="5"/>
      <c r="B71" s="19">
        <f t="shared" si="0"/>
        <v>8.2499999999999876</v>
      </c>
      <c r="C71" s="14">
        <f>[1]!crv_interpolation(x_,fx_,B71,тип_интерполяции_)</f>
        <v>11.193960402337051</v>
      </c>
      <c r="D71" s="14">
        <f>[1]!crv_interpolation(x2_,gx2_,B71,тип_интерполяции_)</f>
        <v>4.8522511523034257</v>
      </c>
      <c r="N71" s="6"/>
    </row>
    <row r="72" spans="1:14" x14ac:dyDescent="0.25">
      <c r="A72" s="5"/>
      <c r="B72" s="19">
        <f t="shared" si="0"/>
        <v>8.3949999999999871</v>
      </c>
      <c r="C72" s="14">
        <f>[1]!crv_interpolation(x_,fx_,B72,тип_интерполяции_)</f>
        <v>11.414967889421332</v>
      </c>
      <c r="D72" s="14">
        <f>[1]!crv_interpolation(x2_,gx2_,B72,тип_интерполяции_)</f>
        <v>5.0782953360877778</v>
      </c>
      <c r="N72" s="6"/>
    </row>
    <row r="73" spans="1:14" x14ac:dyDescent="0.25">
      <c r="A73" s="5"/>
      <c r="B73" s="19">
        <f t="shared" si="0"/>
        <v>8.5399999999999867</v>
      </c>
      <c r="C73" s="14">
        <f>[1]!crv_interpolation(x_,fx_,B73,тип_интерполяции_)</f>
        <v>11.629088027641204</v>
      </c>
      <c r="D73" s="14">
        <f>[1]!crv_interpolation(x2_,gx2_,B73,тип_интерполяции_)</f>
        <v>5.3183360501203412</v>
      </c>
      <c r="N73" s="6"/>
    </row>
    <row r="74" spans="1:14" x14ac:dyDescent="0.25">
      <c r="A74" s="5"/>
      <c r="B74" s="19">
        <f t="shared" si="0"/>
        <v>8.6849999999999863</v>
      </c>
      <c r="C74" s="14">
        <f>[1]!crv_interpolation(x_,fx_,B74,тип_интерполяции_)</f>
        <v>11.836055349754002</v>
      </c>
      <c r="D74" s="14">
        <f>[1]!crv_interpolation(x2_,gx2_,B74,тип_интерполяции_)</f>
        <v>5.5707916726762647</v>
      </c>
      <c r="N74" s="6"/>
    </row>
    <row r="75" spans="1:14" x14ac:dyDescent="0.25">
      <c r="A75" s="5"/>
      <c r="B75" s="19">
        <f t="shared" si="0"/>
        <v>8.8299999999999859</v>
      </c>
      <c r="C75" s="14">
        <f>[1]!crv_interpolation(x_,fx_,B75,тип_интерполяции_)</f>
        <v>12.035604388517058</v>
      </c>
      <c r="D75" s="14">
        <f>[1]!crv_interpolation(x2_,gx2_,B75,тип_интерполяции_)</f>
        <v>5.8340805820306931</v>
      </c>
      <c r="N75" s="6"/>
    </row>
    <row r="76" spans="1:14" x14ac:dyDescent="0.25">
      <c r="A76" s="5"/>
      <c r="B76" s="19">
        <f t="shared" si="0"/>
        <v>8.9749999999999854</v>
      </c>
      <c r="C76" s="14">
        <f>[1]!crv_interpolation(x_,fx_,B76,тип_интерполяции_)</f>
        <v>12.227469676687704</v>
      </c>
      <c r="D76" s="14">
        <f>[1]!crv_interpolation(x2_,gx2_,B76,тип_интерполяции_)</f>
        <v>6.1066211564587745</v>
      </c>
      <c r="N76" s="6"/>
    </row>
    <row r="77" spans="1:14" x14ac:dyDescent="0.25">
      <c r="A77" s="5"/>
      <c r="B77" s="19">
        <f t="shared" si="0"/>
        <v>9.119999999999985</v>
      </c>
      <c r="C77" s="14">
        <f>[1]!crv_interpolation(x_,fx_,B77,тип_интерполяции_)</f>
        <v>12.411385747023278</v>
      </c>
      <c r="D77" s="14">
        <f>[1]!crv_interpolation(x2_,gx2_,B77,тип_интерполяции_)</f>
        <v>6.3868317742356551</v>
      </c>
      <c r="N77" s="6"/>
    </row>
    <row r="78" spans="1:14" x14ac:dyDescent="0.25">
      <c r="A78" s="5"/>
      <c r="B78" s="19">
        <f t="shared" si="0"/>
        <v>9.2649999999999846</v>
      </c>
      <c r="C78" s="14">
        <f>[1]!crv_interpolation(x_,fx_,B78,тип_интерполяции_)</f>
        <v>12.587087132281111</v>
      </c>
      <c r="D78" s="14">
        <f>[1]!crv_interpolation(x2_,gx2_,B78,тип_интерполяции_)</f>
        <v>6.6731308136364822</v>
      </c>
      <c r="N78" s="6"/>
    </row>
    <row r="79" spans="1:14" x14ac:dyDescent="0.25">
      <c r="A79" s="5"/>
      <c r="B79" s="19">
        <f t="shared" si="0"/>
        <v>9.4099999999999842</v>
      </c>
      <c r="C79" s="14">
        <f>[1]!crv_interpolation(x_,fx_,B79,тип_интерполяции_)</f>
        <v>12.754308365218538</v>
      </c>
      <c r="D79" s="14">
        <f>[1]!crv_interpolation(x2_,gx2_,B79,тип_интерполяции_)</f>
        <v>6.9639366529364031</v>
      </c>
      <c r="N79" s="6"/>
    </row>
    <row r="80" spans="1:14" x14ac:dyDescent="0.25">
      <c r="A80" s="5"/>
      <c r="B80" s="19">
        <f t="shared" si="0"/>
        <v>9.5549999999999837</v>
      </c>
      <c r="C80" s="14">
        <f>[1]!crv_interpolation(x_,fx_,B80,тип_интерполяции_)</f>
        <v>12.912783978592895</v>
      </c>
      <c r="D80" s="14">
        <f>[1]!crv_interpolation(x2_,gx2_,B80,тип_интерполяции_)</f>
        <v>7.257667670410564</v>
      </c>
      <c r="N80" s="6"/>
    </row>
    <row r="81" spans="1:14" x14ac:dyDescent="0.25">
      <c r="A81" s="5"/>
      <c r="B81" s="19">
        <f t="shared" si="0"/>
        <v>9.6999999999999833</v>
      </c>
      <c r="C81" s="14">
        <f>[1]!crv_interpolation(x_,fx_,B81,тип_интерполяции_)</f>
        <v>13.062248505161511</v>
      </c>
      <c r="D81" s="14">
        <f>[1]!crv_interpolation(x2_,gx2_,B81,тип_интерполяции_)</f>
        <v>7.5527422443341123</v>
      </c>
      <c r="N81" s="6"/>
    </row>
    <row r="82" spans="1:14" x14ac:dyDescent="0.25">
      <c r="A82" s="5"/>
      <c r="B82" s="19">
        <f t="shared" si="0"/>
        <v>9.8449999999999829</v>
      </c>
      <c r="C82" s="14">
        <f>[1]!crv_interpolation(x_,fx_,B82,тип_интерполяции_)</f>
        <v>13.202436477681724</v>
      </c>
      <c r="D82" s="14">
        <f>[1]!crv_interpolation(x2_,gx2_,B82,тип_интерполяции_)</f>
        <v>7.8475787529821952</v>
      </c>
      <c r="N82" s="6"/>
    </row>
    <row r="83" spans="1:14" x14ac:dyDescent="0.25">
      <c r="A83" s="5"/>
      <c r="B83" s="19">
        <f t="shared" si="0"/>
        <v>9.9899999999999824</v>
      </c>
      <c r="C83" s="14">
        <f>[1]!crv_interpolation(x_,fx_,B83,тип_интерполяции_)</f>
        <v>13.333082428910867</v>
      </c>
      <c r="D83" s="14">
        <f>[1]!crv_interpolation(x2_,gx2_,B83,тип_интерполяции_)</f>
        <v>8.140595574629959</v>
      </c>
      <c r="N83" s="6"/>
    </row>
    <row r="84" spans="1:14" x14ac:dyDescent="0.25">
      <c r="A84" s="5"/>
      <c r="B84" s="19">
        <f t="shared" si="0"/>
        <v>10.134999999999982</v>
      </c>
      <c r="C84" s="14">
        <f>[1]!crv_interpolation(x_,fx_,B84,тип_интерполяции_)</f>
        <v>13.453920891606273</v>
      </c>
      <c r="D84" s="14">
        <f>[1]!crv_interpolation(x2_,gx2_,B84,тип_интерполяции_)</f>
        <v>8.43021108755255</v>
      </c>
      <c r="N84" s="6"/>
    </row>
    <row r="85" spans="1:14" x14ac:dyDescent="0.25">
      <c r="A85" s="5"/>
      <c r="B85" s="19">
        <f t="shared" si="0"/>
        <v>10.279999999999982</v>
      </c>
      <c r="C85" s="14">
        <f>[1]!crv_interpolation(x_,fx_,B85,тип_интерполяции_)</f>
        <v>13.564686398525279</v>
      </c>
      <c r="D85" s="14">
        <f>[1]!crv_interpolation(x2_,gx2_,B85,тип_интерполяции_)</f>
        <v>8.7148436700251164</v>
      </c>
      <c r="N85" s="6"/>
    </row>
    <row r="86" spans="1:14" x14ac:dyDescent="0.25">
      <c r="A86" s="5"/>
      <c r="B86" s="19">
        <f t="shared" si="0"/>
        <v>10.424999999999981</v>
      </c>
      <c r="C86" s="14">
        <f>[1]!crv_interpolation(x_,fx_,B86,тип_интерполяции_)</f>
        <v>13.665113482425214</v>
      </c>
      <c r="D86" s="14">
        <f>[1]!crv_interpolation(x2_,gx2_,B86,тип_интерполяции_)</f>
        <v>8.9929117003228054</v>
      </c>
      <c r="N86" s="6"/>
    </row>
    <row r="87" spans="1:14" x14ac:dyDescent="0.25">
      <c r="A87" s="5"/>
      <c r="B87" s="19">
        <f t="shared" ref="B87:B150" si="1">B86+($B$15-$B$7)/200</f>
        <v>10.569999999999981</v>
      </c>
      <c r="C87" s="14">
        <f>[1]!crv_interpolation(x_,fx_,B87,тип_интерполяции_)</f>
        <v>13.754936676063414</v>
      </c>
      <c r="D87" s="14">
        <f>[1]!crv_interpolation(x2_,gx2_,B87,тип_интерполяции_)</f>
        <v>9.2628335567207625</v>
      </c>
      <c r="N87" s="6"/>
    </row>
    <row r="88" spans="1:14" x14ac:dyDescent="0.25">
      <c r="A88" s="5"/>
      <c r="B88" s="19">
        <f t="shared" si="1"/>
        <v>10.71499999999998</v>
      </c>
      <c r="C88" s="14">
        <f>[1]!crv_interpolation(x_,fx_,B88,тип_интерполяции_)</f>
        <v>13.833890512197215</v>
      </c>
      <c r="D88" s="14">
        <f>[1]!crv_interpolation(x2_,gx2_,B88,тип_интерполяции_)</f>
        <v>9.5230276174941348</v>
      </c>
      <c r="N88" s="6"/>
    </row>
    <row r="89" spans="1:14" x14ac:dyDescent="0.25">
      <c r="A89" s="5"/>
      <c r="B89" s="19">
        <f t="shared" si="1"/>
        <v>10.85999999999998</v>
      </c>
      <c r="C89" s="14">
        <f>[1]!crv_interpolation(x_,fx_,B89,тип_интерполяции_)</f>
        <v>13.90170952358395</v>
      </c>
      <c r="D89" s="14">
        <f>[1]!crv_interpolation(x2_,gx2_,B89,тип_интерполяции_)</f>
        <v>9.7719122609180697</v>
      </c>
      <c r="N89" s="6"/>
    </row>
    <row r="90" spans="1:14" x14ac:dyDescent="0.25">
      <c r="A90" s="5"/>
      <c r="B90" s="19">
        <f t="shared" si="1"/>
        <v>11.004999999999979</v>
      </c>
      <c r="C90" s="14">
        <f>[1]!crv_interpolation(x_,fx_,B90,тип_интерполяции_)</f>
        <v>13.958128242980951</v>
      </c>
      <c r="D90" s="14">
        <f>[1]!crv_interpolation(x2_,gx2_,B90,тип_интерполяции_)</f>
        <v>10.007905884190327</v>
      </c>
      <c r="N90" s="6"/>
    </row>
    <row r="91" spans="1:14" x14ac:dyDescent="0.25">
      <c r="A91" s="5"/>
      <c r="B91" s="19">
        <f t="shared" si="1"/>
        <v>11.149999999999979</v>
      </c>
      <c r="C91" s="14">
        <f>[1]!crv_interpolation(x_,fx_,B91,тип_интерполяции_)</f>
        <v>14.002881203145554</v>
      </c>
      <c r="D91" s="14">
        <f>[1]!crv_interpolation(x2_,gx2_,B91,тип_интерполяции_)</f>
        <v>10.229937719369381</v>
      </c>
      <c r="N91" s="6"/>
    </row>
    <row r="92" spans="1:14" x14ac:dyDescent="0.25">
      <c r="A92" s="5"/>
      <c r="B92" s="19">
        <f t="shared" si="1"/>
        <v>11.294999999999979</v>
      </c>
      <c r="C92" s="14">
        <f>[1]!crv_interpolation(x_,fx_,B92,тип_интерполяции_)</f>
        <v>14.035702936835092</v>
      </c>
      <c r="D92" s="14">
        <f>[1]!crv_interpolation(x2_,gx2_,B92,тип_интерполяции_)</f>
        <v>10.438779777181308</v>
      </c>
      <c r="N92" s="6"/>
    </row>
    <row r="93" spans="1:14" x14ac:dyDescent="0.25">
      <c r="A93" s="5"/>
      <c r="B93" s="19">
        <f t="shared" si="1"/>
        <v>11.439999999999978</v>
      </c>
      <c r="C93" s="14">
        <f>[1]!crv_interpolation(x_,fx_,B93,тип_интерполяции_)</f>
        <v>14.056327976806898</v>
      </c>
      <c r="D93" s="14">
        <f>[1]!crv_interpolation(x2_,gx2_,B93,тип_интерполяции_)</f>
        <v>10.635619457552895</v>
      </c>
      <c r="N93" s="6"/>
    </row>
    <row r="94" spans="1:14" x14ac:dyDescent="0.25">
      <c r="A94" s="5"/>
      <c r="B94" s="19">
        <f t="shared" si="1"/>
        <v>11.584999999999978</v>
      </c>
      <c r="C94" s="14">
        <f>[1]!crv_interpolation(x_,fx_,B94,тип_интерполяции_)</f>
        <v>14.064490855818308</v>
      </c>
      <c r="D94" s="14">
        <f>[1]!crv_interpolation(x2_,gx2_,B94,тип_интерполяции_)</f>
        <v>10.821644160410932</v>
      </c>
      <c r="N94" s="6"/>
    </row>
    <row r="95" spans="1:14" x14ac:dyDescent="0.25">
      <c r="A95" s="5"/>
      <c r="B95" s="19">
        <f t="shared" si="1"/>
        <v>11.729999999999977</v>
      </c>
      <c r="C95" s="14">
        <f>[1]!crv_interpolation(x_,fx_,B95,тип_интерполяции_)</f>
        <v>14.059926106626655</v>
      </c>
      <c r="D95" s="14">
        <f>[1]!crv_interpolation(x2_,gx2_,B95,тип_интерполяции_)</f>
        <v>10.998041285682204</v>
      </c>
      <c r="N95" s="6"/>
    </row>
    <row r="96" spans="1:14" x14ac:dyDescent="0.25">
      <c r="A96" s="5"/>
      <c r="B96" s="19">
        <f t="shared" si="1"/>
        <v>11.874999999999977</v>
      </c>
      <c r="C96" s="14">
        <f>[1]!crv_interpolation(x_,fx_,B96,тип_интерполяции_)</f>
        <v>14.042368261989274</v>
      </c>
      <c r="D96" s="14">
        <f>[1]!crv_interpolation(x2_,gx2_,B96,тип_интерполяции_)</f>
        <v>11.1659982332935</v>
      </c>
      <c r="N96" s="6"/>
    </row>
    <row r="97" spans="1:14" x14ac:dyDescent="0.25">
      <c r="A97" s="5"/>
      <c r="B97" s="19">
        <f t="shared" si="1"/>
        <v>12.019999999999976</v>
      </c>
      <c r="C97" s="14">
        <f>[1]!crv_interpolation(x_,fx_,B97,тип_интерполяции_)</f>
        <v>14.011551854663496</v>
      </c>
      <c r="D97" s="14">
        <f>[1]!crv_interpolation(x2_,gx2_,B97,тип_интерполяции_)</f>
        <v>11.326702403171609</v>
      </c>
      <c r="N97" s="6"/>
    </row>
    <row r="98" spans="1:14" x14ac:dyDescent="0.25">
      <c r="A98" s="5"/>
      <c r="B98" s="19">
        <f t="shared" si="1"/>
        <v>12.164999999999976</v>
      </c>
      <c r="C98" s="14">
        <f>[1]!crv_interpolation(x_,fx_,B98,тип_интерполяции_)</f>
        <v>13.967211417406659</v>
      </c>
      <c r="D98" s="14">
        <f>[1]!crv_interpolation(x2_,gx2_,B98,тип_интерполяции_)</f>
        <v>11.481341195243317</v>
      </c>
      <c r="N98" s="6"/>
    </row>
    <row r="99" spans="1:14" x14ac:dyDescent="0.25">
      <c r="A99" s="5"/>
      <c r="B99" s="19">
        <f t="shared" si="1"/>
        <v>12.309999999999976</v>
      </c>
      <c r="C99" s="14">
        <f>[1]!crv_interpolation(x_,fx_,B99,тип_интерполяции_)</f>
        <v>13.909081482976093</v>
      </c>
      <c r="D99" s="14">
        <f>[1]!crv_interpolation(x2_,gx2_,B99,тип_интерполяции_)</f>
        <v>11.631102009435415</v>
      </c>
      <c r="N99" s="6"/>
    </row>
    <row r="100" spans="1:14" x14ac:dyDescent="0.25">
      <c r="A100" s="5"/>
      <c r="B100" s="19">
        <f t="shared" si="1"/>
        <v>12.454999999999975</v>
      </c>
      <c r="C100" s="14">
        <f>[1]!crv_interpolation(x_,fx_,B100,тип_интерполяции_)</f>
        <v>13.836896584129134</v>
      </c>
      <c r="D100" s="14">
        <f>[1]!crv_interpolation(x2_,gx2_,B100,тип_интерполяции_)</f>
        <v>11.777172245674686</v>
      </c>
      <c r="N100" s="6"/>
    </row>
    <row r="101" spans="1:14" x14ac:dyDescent="0.25">
      <c r="A101" s="5"/>
      <c r="B101" s="19">
        <f t="shared" si="1"/>
        <v>12.599999999999975</v>
      </c>
      <c r="C101" s="14">
        <f>[1]!crv_interpolation(x_,fx_,B101,тип_интерполяции_)</f>
        <v>13.750391253623116</v>
      </c>
      <c r="D101" s="14">
        <f>[1]!crv_interpolation(x2_,gx2_,B101,тип_интерполяции_)</f>
        <v>11.920739303887922</v>
      </c>
      <c r="N101" s="6"/>
    </row>
    <row r="102" spans="1:14" x14ac:dyDescent="0.25">
      <c r="A102" s="5"/>
      <c r="B102" s="19">
        <f t="shared" si="1"/>
        <v>12.744999999999974</v>
      </c>
      <c r="C102" s="14">
        <f>[1]!crv_interpolation(x_,fx_,B102,тип_интерполяции_)</f>
        <v>13.649300024215373</v>
      </c>
      <c r="D102" s="14">
        <f>[1]!crv_interpolation(x2_,gx2_,B102,тип_интерполяции_)</f>
        <v>12.062990584001909</v>
      </c>
      <c r="N102" s="6"/>
    </row>
    <row r="103" spans="1:14" x14ac:dyDescent="0.25">
      <c r="A103" s="5"/>
      <c r="B103" s="19">
        <f t="shared" si="1"/>
        <v>12.889999999999974</v>
      </c>
      <c r="C103" s="14">
        <f>[1]!crv_interpolation(x_,fx_,B103,тип_интерполяции_)</f>
        <v>13.533357428663237</v>
      </c>
      <c r="D103" s="14">
        <f>[1]!crv_interpolation(x2_,gx2_,B103,тип_интерполяции_)</f>
        <v>12.205113485943434</v>
      </c>
      <c r="N103" s="6"/>
    </row>
    <row r="104" spans="1:14" x14ac:dyDescent="0.25">
      <c r="A104" s="5"/>
      <c r="B104" s="19">
        <f t="shared" si="1"/>
        <v>13.034999999999973</v>
      </c>
      <c r="C104" s="14">
        <f>[1]!crv_interpolation(x_,fx_,B104,тип_интерполяции_)</f>
        <v>13.402297999724045</v>
      </c>
      <c r="D104" s="14">
        <f>[1]!crv_interpolation(x2_,gx2_,B104,тип_интерполяции_)</f>
        <v>12.348295409639288</v>
      </c>
      <c r="N104" s="6"/>
    </row>
    <row r="105" spans="1:14" x14ac:dyDescent="0.25">
      <c r="A105" s="5"/>
      <c r="B105" s="19">
        <f t="shared" si="1"/>
        <v>13.179999999999973</v>
      </c>
      <c r="C105" s="14">
        <f>[1]!crv_interpolation(x_,fx_,B105,тип_интерполяции_)</f>
        <v>13.255856270155128</v>
      </c>
      <c r="D105" s="14">
        <f>[1]!crv_interpolation(x2_,gx2_,B105,тип_интерполяции_)</f>
        <v>12.493723755016255</v>
      </c>
      <c r="N105" s="6"/>
    </row>
    <row r="106" spans="1:14" x14ac:dyDescent="0.25">
      <c r="A106" s="5"/>
      <c r="B106" s="19">
        <f t="shared" si="1"/>
        <v>13.324999999999973</v>
      </c>
      <c r="C106" s="14">
        <f>[1]!crv_interpolation(x_,fx_,B106,тип_интерполяции_)</f>
        <v>13.093766772713824</v>
      </c>
      <c r="D106" s="14">
        <f>[1]!crv_interpolation(x2_,gx2_,B106,тип_интерполяции_)</f>
        <v>12.642585922001127</v>
      </c>
      <c r="N106" s="6"/>
    </row>
    <row r="107" spans="1:14" x14ac:dyDescent="0.25">
      <c r="A107" s="5"/>
      <c r="B107" s="19">
        <f t="shared" si="1"/>
        <v>13.469999999999972</v>
      </c>
      <c r="C107" s="14">
        <f>[1]!crv_interpolation(x_,fx_,B107,тип_интерполяции_)</f>
        <v>12.915764040157462</v>
      </c>
      <c r="D107" s="14">
        <f>[1]!crv_interpolation(x2_,gx2_,B107,тип_интерполяции_)</f>
        <v>12.796069310520688</v>
      </c>
      <c r="N107" s="6"/>
    </row>
    <row r="108" spans="1:14" x14ac:dyDescent="0.25">
      <c r="A108" s="5"/>
      <c r="B108" s="19">
        <f t="shared" si="1"/>
        <v>13.614999999999972</v>
      </c>
      <c r="C108" s="14">
        <f>[1]!crv_interpolation(x_,fx_,B108,тип_интерполяции_)</f>
        <v>12.721582605243379</v>
      </c>
      <c r="D108" s="14">
        <f>[1]!crv_interpolation(x2_,gx2_,B108,тип_интерполяции_)</f>
        <v>12.955361320501728</v>
      </c>
      <c r="N108" s="6"/>
    </row>
    <row r="109" spans="1:14" x14ac:dyDescent="0.25">
      <c r="A109" s="5"/>
      <c r="B109" s="19">
        <f t="shared" si="1"/>
        <v>13.759999999999971</v>
      </c>
      <c r="C109" s="14">
        <f>[1]!crv_interpolation(x_,fx_,B109,тип_интерполяции_)</f>
        <v>12.510957000728908</v>
      </c>
      <c r="D109" s="14">
        <f>[1]!crv_interpolation(x2_,gx2_,B109,тип_интерполяции_)</f>
        <v>13.121649351871033</v>
      </c>
      <c r="N109" s="6"/>
    </row>
    <row r="110" spans="1:14" x14ac:dyDescent="0.25">
      <c r="A110" s="5"/>
      <c r="B110" s="19">
        <f t="shared" si="1"/>
        <v>13.904999999999971</v>
      </c>
      <c r="C110" s="14">
        <f>[1]!crv_interpolation(x_,fx_,B110,тип_интерполяции_)</f>
        <v>12.283621759371382</v>
      </c>
      <c r="D110" s="14">
        <f>[1]!crv_interpolation(x2_,gx2_,B110,тип_интерполяции_)</f>
        <v>13.296120804555393</v>
      </c>
      <c r="N110" s="6"/>
    </row>
    <row r="111" spans="1:14" x14ac:dyDescent="0.25">
      <c r="A111" s="5"/>
      <c r="B111" s="19">
        <f t="shared" si="1"/>
        <v>14.049999999999971</v>
      </c>
      <c r="C111" s="14">
        <f>[1]!crv_interpolation(x_,fx_,B111,тип_интерполяции_)</f>
        <v>12.039311413928138</v>
      </c>
      <c r="D111" s="14">
        <f>[1]!crv_interpolation(x2_,gx2_,B111,тип_интерполяции_)</f>
        <v>13.479963078481596</v>
      </c>
      <c r="N111" s="6"/>
    </row>
    <row r="112" spans="1:14" x14ac:dyDescent="0.25">
      <c r="A112" s="5"/>
      <c r="B112" s="19">
        <f t="shared" si="1"/>
        <v>14.19499999999997</v>
      </c>
      <c r="C112" s="14">
        <f>[1]!crv_interpolation(x_,fx_,B112,тип_интерполяции_)</f>
        <v>11.777760497156507</v>
      </c>
      <c r="D112" s="14">
        <f>[1]!crv_interpolation(x2_,gx2_,B112,тип_интерполяции_)</f>
        <v>13.674363573576427</v>
      </c>
      <c r="N112" s="6"/>
    </row>
    <row r="113" spans="1:14" x14ac:dyDescent="0.25">
      <c r="A113" s="5"/>
      <c r="B113" s="19">
        <f t="shared" si="1"/>
        <v>14.33999999999997</v>
      </c>
      <c r="C113" s="14">
        <f>[1]!crv_interpolation(x_,fx_,B113,тип_интерполяции_)</f>
        <v>11.498703541813823</v>
      </c>
      <c r="D113" s="14">
        <f>[1]!crv_interpolation(x2_,gx2_,B113,тип_интерполяции_)</f>
        <v>13.880509689766676</v>
      </c>
      <c r="N113" s="6"/>
    </row>
    <row r="114" spans="1:14" x14ac:dyDescent="0.25">
      <c r="A114" s="5"/>
      <c r="B114" s="19">
        <f t="shared" si="1"/>
        <v>14.484999999999969</v>
      </c>
      <c r="C114" s="14">
        <f>[1]!crv_interpolation(x_,fx_,B114,тип_интерполяции_)</f>
        <v>11.201875080657421</v>
      </c>
      <c r="D114" s="14">
        <f>[1]!crv_interpolation(x2_,gx2_,B114,тип_интерполяции_)</f>
        <v>14.099588826979131</v>
      </c>
      <c r="N114" s="6"/>
    </row>
    <row r="115" spans="1:14" x14ac:dyDescent="0.25">
      <c r="A115" s="5"/>
      <c r="B115" s="19">
        <f t="shared" si="1"/>
        <v>14.629999999999969</v>
      </c>
      <c r="C115" s="14">
        <f>[1]!crv_interpolation(x_,fx_,B115,тип_интерполяции_)</f>
        <v>10.887009646444636</v>
      </c>
      <c r="D115" s="14">
        <f>[1]!crv_interpolation(x2_,gx2_,B115,тип_интерполяции_)</f>
        <v>14.33278838514058</v>
      </c>
      <c r="N115" s="6"/>
    </row>
    <row r="116" spans="1:14" x14ac:dyDescent="0.25">
      <c r="A116" s="5"/>
      <c r="B116" s="19">
        <f t="shared" si="1"/>
        <v>14.774999999999968</v>
      </c>
      <c r="C116" s="14">
        <f>[1]!crv_interpolation(x_,fx_,B116,тип_интерполяции_)</f>
        <v>10.553841771932801</v>
      </c>
      <c r="D116" s="14">
        <f>[1]!crv_interpolation(x2_,gx2_,B116,тип_интерполяции_)</f>
        <v>14.58129576417781</v>
      </c>
      <c r="N116" s="6"/>
    </row>
    <row r="117" spans="1:14" x14ac:dyDescent="0.25">
      <c r="A117" s="5"/>
      <c r="B117" s="19">
        <f t="shared" si="1"/>
        <v>14.919999999999968</v>
      </c>
      <c r="C117" s="14">
        <f>[1]!crv_interpolation(x_,fx_,B117,тип_интерполяции_)</f>
        <v>10.202105989879248</v>
      </c>
      <c r="D117" s="14">
        <f>[1]!crv_interpolation(x2_,gx2_,B117,тип_интерполяции_)</f>
        <v>14.846298364017608</v>
      </c>
      <c r="N117" s="6"/>
    </row>
    <row r="118" spans="1:14" x14ac:dyDescent="0.25">
      <c r="A118" s="5"/>
      <c r="B118" s="19">
        <f t="shared" si="1"/>
        <v>15.064999999999968</v>
      </c>
      <c r="C118" s="14">
        <f>[1]!crv_interpolation(x_,fx_,B118,тип_интерполяции_)</f>
        <v>9.8315685866029074</v>
      </c>
      <c r="D118" s="14">
        <f>[1]!crv_interpolation(x2_,gx2_,B118,тип_интерполяции_)</f>
        <v>15.12891701587343</v>
      </c>
      <c r="N118" s="6"/>
    </row>
    <row r="119" spans="1:14" x14ac:dyDescent="0.25">
      <c r="A119" s="5"/>
      <c r="B119" s="19">
        <f t="shared" si="1"/>
        <v>15.209999999999967</v>
      </c>
      <c r="C119" s="14">
        <f>[1]!crv_interpolation(x_,fx_,B119,тип_интерполяции_)</f>
        <v>9.4429396388514864</v>
      </c>
      <c r="D119" s="14">
        <f>[1]!crv_interpolation(x2_,gx2_,B119,тип_интерполяции_)</f>
        <v>15.428293972451359</v>
      </c>
      <c r="N119" s="6"/>
    </row>
    <row r="120" spans="1:14" x14ac:dyDescent="0.25">
      <c r="A120" s="5"/>
      <c r="B120" s="19">
        <f t="shared" si="1"/>
        <v>15.354999999999967</v>
      </c>
      <c r="C120" s="14">
        <f>[1]!crv_interpolation(x_,fx_,B120,тип_интерполяции_)</f>
        <v>9.0380094659521344</v>
      </c>
      <c r="D120" s="14">
        <f>[1]!crv_interpolation(x2_,gx2_,B120,тип_интерполяции_)</f>
        <v>15.741306847311701</v>
      </c>
      <c r="N120" s="6"/>
    </row>
    <row r="121" spans="1:14" x14ac:dyDescent="0.25">
      <c r="A121" s="5"/>
      <c r="B121" s="19">
        <f t="shared" si="1"/>
        <v>15.499999999999966</v>
      </c>
      <c r="C121" s="14">
        <f>[1]!crv_interpolation(x_,fx_,B121,тип_интерполяции_)</f>
        <v>8.6186275873177056</v>
      </c>
      <c r="D121" s="14">
        <f>[1]!crv_interpolation(x2_,gx2_,B121,тип_интерполяции_)</f>
        <v>16.064709145935645</v>
      </c>
      <c r="N121" s="6"/>
    </row>
    <row r="122" spans="1:14" x14ac:dyDescent="0.25">
      <c r="A122" s="5"/>
      <c r="B122" s="19">
        <f t="shared" si="1"/>
        <v>15.644999999999966</v>
      </c>
      <c r="C122" s="14">
        <f>[1]!crv_interpolation(x_,fx_,B122,тип_интерполяции_)</f>
        <v>8.1866435223610541</v>
      </c>
      <c r="D122" s="14">
        <f>[1]!crv_interpolation(x2_,gx2_,B122,тип_интерполяции_)</f>
        <v>16.395254373804381</v>
      </c>
      <c r="N122" s="6"/>
    </row>
    <row r="123" spans="1:14" x14ac:dyDescent="0.25">
      <c r="A123" s="5"/>
      <c r="B123" s="19">
        <f t="shared" si="1"/>
        <v>15.789999999999965</v>
      </c>
      <c r="C123" s="14">
        <f>[1]!crv_interpolation(x_,fx_,B123,тип_интерполяции_)</f>
        <v>7.7439067904950294</v>
      </c>
      <c r="D123" s="14">
        <f>[1]!crv_interpolation(x2_,gx2_,B123,тип_интерполяции_)</f>
        <v>16.729696036399101</v>
      </c>
      <c r="N123" s="6"/>
    </row>
    <row r="124" spans="1:14" x14ac:dyDescent="0.25">
      <c r="A124" s="5"/>
      <c r="B124" s="19">
        <f t="shared" si="1"/>
        <v>15.934999999999965</v>
      </c>
      <c r="C124" s="14">
        <f>[1]!crv_interpolation(x_,fx_,B124,тип_интерполяции_)</f>
        <v>7.2922669111324865</v>
      </c>
      <c r="D124" s="14">
        <f>[1]!crv_interpolation(x2_,gx2_,B124,тип_интерполяции_)</f>
        <v>17.064787639200993</v>
      </c>
      <c r="N124" s="6"/>
    </row>
    <row r="125" spans="1:14" x14ac:dyDescent="0.25">
      <c r="A125" s="5"/>
      <c r="B125" s="19">
        <f t="shared" si="1"/>
        <v>16.079999999999966</v>
      </c>
      <c r="C125" s="14">
        <f>[1]!crv_interpolation(x_,fx_,B125,тип_интерполяции_)</f>
        <v>6.8335734036862714</v>
      </c>
      <c r="D125" s="14">
        <f>[1]!crv_interpolation(x2_,gx2_,B125,тип_интерполяции_)</f>
        <v>17.397282687691249</v>
      </c>
      <c r="N125" s="6"/>
    </row>
    <row r="126" spans="1:14" x14ac:dyDescent="0.25">
      <c r="A126" s="5"/>
      <c r="B126" s="19">
        <f t="shared" si="1"/>
        <v>16.224999999999966</v>
      </c>
      <c r="C126" s="14">
        <f>[1]!crv_interpolation(x_,fx_,B126,тип_интерполяции_)</f>
        <v>6.3696757875692471</v>
      </c>
      <c r="D126" s="14">
        <f>[1]!crv_interpolation(x2_,gx2_,B126,тип_интерполяции_)</f>
        <v>17.723934687351054</v>
      </c>
      <c r="N126" s="6"/>
    </row>
    <row r="127" spans="1:14" x14ac:dyDescent="0.25">
      <c r="A127" s="5"/>
      <c r="B127" s="19">
        <f t="shared" si="1"/>
        <v>16.369999999999965</v>
      </c>
      <c r="C127" s="14">
        <f>[1]!crv_interpolation(x_,fx_,B127,тип_интерполяции_)</f>
        <v>5.9024235821942623</v>
      </c>
      <c r="D127" s="14">
        <f>[1]!crv_interpolation(x2_,gx2_,B127,тип_интерполяции_)</f>
        <v>18.041497143661601</v>
      </c>
      <c r="N127" s="6"/>
    </row>
    <row r="128" spans="1:14" x14ac:dyDescent="0.25">
      <c r="A128" s="5"/>
      <c r="B128" s="19">
        <f t="shared" si="1"/>
        <v>16.514999999999965</v>
      </c>
      <c r="C128" s="14">
        <f>[1]!crv_interpolation(x_,fx_,B128,тип_интерполяции_)</f>
        <v>5.4336663069741684</v>
      </c>
      <c r="D128" s="14">
        <f>[1]!crv_interpolation(x2_,gx2_,B128,тип_интерполяции_)</f>
        <v>18.346723562104081</v>
      </c>
      <c r="N128" s="6"/>
    </row>
    <row r="129" spans="1:14" x14ac:dyDescent="0.25">
      <c r="A129" s="5"/>
      <c r="B129" s="19">
        <f t="shared" si="1"/>
        <v>16.659999999999965</v>
      </c>
      <c r="C129" s="14">
        <f>[1]!crv_interpolation(x_,fx_,B129,тип_интерполяции_)</f>
        <v>4.9652534813218185</v>
      </c>
      <c r="D129" s="14">
        <f>[1]!crv_interpolation(x2_,gx2_,B129,тип_интерполяции_)</f>
        <v>18.636367448159685</v>
      </c>
      <c r="N129" s="6"/>
    </row>
    <row r="130" spans="1:14" x14ac:dyDescent="0.25">
      <c r="A130" s="5"/>
      <c r="B130" s="19">
        <f t="shared" si="1"/>
        <v>16.804999999999964</v>
      </c>
      <c r="C130" s="14">
        <f>[1]!crv_interpolation(x_,fx_,B130,тип_интерполяции_)</f>
        <v>4.499034624650065</v>
      </c>
      <c r="D130" s="14">
        <f>[1]!crv_interpolation(x2_,gx2_,B130,тип_интерполяции_)</f>
        <v>18.907182307309597</v>
      </c>
      <c r="N130" s="6"/>
    </row>
    <row r="131" spans="1:14" x14ac:dyDescent="0.25">
      <c r="A131" s="5"/>
      <c r="B131" s="19">
        <f t="shared" si="1"/>
        <v>16.949999999999964</v>
      </c>
      <c r="C131" s="14">
        <f>[1]!crv_interpolation(x_,fx_,B131,тип_интерполяции_)</f>
        <v>4.03685925637176</v>
      </c>
      <c r="D131" s="14">
        <f>[1]!crv_interpolation(x2_,gx2_,B131,тип_интерполяции_)</f>
        <v>19.155921645035011</v>
      </c>
      <c r="N131" s="6"/>
    </row>
    <row r="132" spans="1:14" x14ac:dyDescent="0.25">
      <c r="A132" s="5"/>
      <c r="B132" s="19">
        <f t="shared" si="1"/>
        <v>17.094999999999963</v>
      </c>
      <c r="C132" s="14">
        <f>[1]!crv_interpolation(x_,fx_,B132,тип_интерполяции_)</f>
        <v>3.5805768958997568</v>
      </c>
      <c r="D132" s="14">
        <f>[1]!crv_interpolation(x2_,gx2_,B132,тип_интерполяции_)</f>
        <v>19.379338966817119</v>
      </c>
      <c r="N132" s="6"/>
    </row>
    <row r="133" spans="1:14" x14ac:dyDescent="0.25">
      <c r="A133" s="5"/>
      <c r="B133" s="19">
        <f t="shared" si="1"/>
        <v>17.239999999999963</v>
      </c>
      <c r="C133" s="14">
        <f>[1]!crv_interpolation(x_,fx_,B133,тип_интерполяции_)</f>
        <v>3.1320370626469076</v>
      </c>
      <c r="D133" s="14">
        <f>[1]!crv_interpolation(x2_,gx2_,B133,тип_интерполяции_)</f>
        <v>19.574187778137109</v>
      </c>
      <c r="N133" s="6"/>
    </row>
    <row r="134" spans="1:14" x14ac:dyDescent="0.25">
      <c r="A134" s="5"/>
      <c r="B134" s="19">
        <f t="shared" si="1"/>
        <v>17.384999999999962</v>
      </c>
      <c r="C134" s="14">
        <f>[1]!crv_interpolation(x_,fx_,B134,тип_интерполяции_)</f>
        <v>2.6930892760260647</v>
      </c>
      <c r="D134" s="14">
        <f>[1]!crv_interpolation(x2_,gx2_,B134,тип_интерполяции_)</f>
        <v>19.73722158447617</v>
      </c>
      <c r="N134" s="6"/>
    </row>
    <row r="135" spans="1:14" x14ac:dyDescent="0.25">
      <c r="A135" s="5"/>
      <c r="B135" s="19">
        <f t="shared" si="1"/>
        <v>17.529999999999962</v>
      </c>
      <c r="C135" s="14">
        <f>[1]!crv_interpolation(x_,fx_,B135,тип_интерполяции_)</f>
        <v>2.2655830554500818</v>
      </c>
      <c r="D135" s="14">
        <f>[1]!crv_interpolation(x2_,gx2_,B135,тип_интерполяции_)</f>
        <v>19.865193891315492</v>
      </c>
      <c r="N135" s="6"/>
    </row>
    <row r="136" spans="1:14" x14ac:dyDescent="0.25">
      <c r="A136" s="5"/>
      <c r="B136" s="19">
        <f t="shared" si="1"/>
        <v>17.674999999999962</v>
      </c>
      <c r="C136" s="14">
        <f>[1]!crv_interpolation(x_,fx_,B136,тип_интерполяции_)</f>
        <v>1.8513679203318101</v>
      </c>
      <c r="D136" s="14">
        <f>[1]!crv_interpolation(x2_,gx2_,B136,тип_интерполяции_)</f>
        <v>19.954858204136269</v>
      </c>
      <c r="N136" s="6"/>
    </row>
    <row r="137" spans="1:14" x14ac:dyDescent="0.25">
      <c r="A137" s="5"/>
      <c r="B137" s="19">
        <f t="shared" si="1"/>
        <v>17.819999999999961</v>
      </c>
      <c r="C137" s="14">
        <f>[1]!crv_interpolation(x_,fx_,B137,тип_интерполяции_)</f>
        <v>1.4522933900841031</v>
      </c>
      <c r="D137" s="14">
        <f>[1]!crv_interpolation(x2_,gx2_,B137,тип_интерполяции_)</f>
        <v>20.002968028419684</v>
      </c>
      <c r="N137" s="6"/>
    </row>
    <row r="138" spans="1:14" x14ac:dyDescent="0.25">
      <c r="A138" s="5"/>
      <c r="B138" s="19">
        <f t="shared" si="1"/>
        <v>17.964999999999961</v>
      </c>
      <c r="C138" s="14">
        <f>[1]!crv_interpolation(x_,fx_,B138,тип_интерполяции_)</f>
        <v>1.070208984119813</v>
      </c>
      <c r="D138" s="14">
        <f>[1]!crv_interpolation(x2_,gx2_,B138,тип_интерполяции_)</f>
        <v>20.006276869646932</v>
      </c>
      <c r="N138" s="6"/>
    </row>
    <row r="139" spans="1:14" x14ac:dyDescent="0.25">
      <c r="A139" s="5"/>
      <c r="B139" s="19">
        <f t="shared" si="1"/>
        <v>18.10999999999996</v>
      </c>
      <c r="C139" s="14">
        <f>[1]!crv_interpolation(x_,fx_,B139,тип_интерполяции_)</f>
        <v>0.70696422185179231</v>
      </c>
      <c r="D139" s="14">
        <f>[1]!crv_interpolation(x2_,gx2_,B139,тип_интерполяции_)</f>
        <v>19.961923630734969</v>
      </c>
      <c r="N139" s="6"/>
    </row>
    <row r="140" spans="1:14" x14ac:dyDescent="0.25">
      <c r="A140" s="5"/>
      <c r="B140" s="19">
        <f t="shared" si="1"/>
        <v>18.25499999999996</v>
      </c>
      <c r="C140" s="14">
        <f>[1]!crv_interpolation(x_,fx_,B140,тип_интерполяции_)</f>
        <v>0.3644086226928937</v>
      </c>
      <c r="D140" s="14">
        <f>[1]!crv_interpolation(x2_,gx2_,B140,тип_интерполяции_)</f>
        <v>19.870306841541773</v>
      </c>
      <c r="N140" s="6"/>
    </row>
    <row r="141" spans="1:14" x14ac:dyDescent="0.25">
      <c r="A141" s="5"/>
      <c r="B141" s="19">
        <f t="shared" si="1"/>
        <v>18.399999999999959</v>
      </c>
      <c r="C141" s="14">
        <f>[1]!crv_interpolation(x_,fx_,B141,тип_интерполяции_)</f>
        <v>4.4391706055969843E-2</v>
      </c>
      <c r="D141" s="14">
        <f>[1]!crv_interpolation(x2_,gx2_,B141,тип_интерполяции_)</f>
        <v>19.733464056857823</v>
      </c>
      <c r="N141" s="6"/>
    </row>
    <row r="142" spans="1:14" x14ac:dyDescent="0.25">
      <c r="A142" s="5"/>
      <c r="B142" s="19">
        <f t="shared" si="1"/>
        <v>18.544999999999959</v>
      </c>
      <c r="C142" s="14">
        <f>[1]!crv_interpolation(x_,fx_,B142,тип_интерполяции_)</f>
        <v>-0.2512370086461268</v>
      </c>
      <c r="D142" s="14">
        <f>[1]!crv_interpolation(x2_,gx2_,B142,тип_интерполяции_)</f>
        <v>19.553445246135567</v>
      </c>
      <c r="N142" s="6"/>
    </row>
    <row r="143" spans="1:14" x14ac:dyDescent="0.25">
      <c r="A143" s="5"/>
      <c r="B143" s="19">
        <f t="shared" si="1"/>
        <v>18.689999999999959</v>
      </c>
      <c r="C143" s="14">
        <f>[1]!crv_interpolation(x_,fx_,B143,тип_интерполяции_)</f>
        <v>-0.5206280020005436</v>
      </c>
      <c r="D143" s="14">
        <f>[1]!crv_interpolation(x2_,gx2_,B143,тип_интерполяции_)</f>
        <v>19.332300378827433</v>
      </c>
      <c r="N143" s="6"/>
    </row>
    <row r="144" spans="1:14" x14ac:dyDescent="0.25">
      <c r="A144" s="5"/>
      <c r="B144" s="19">
        <f t="shared" si="1"/>
        <v>18.834999999999958</v>
      </c>
      <c r="C144" s="14">
        <f>[1]!crv_interpolation(x_,fx_,B144,тип_интерполяции_)</f>
        <v>-0.76193175459442808</v>
      </c>
      <c r="D144" s="14">
        <f>[1]!crv_interpolation(x2_,gx2_,B144,тип_интерполяции_)</f>
        <v>19.072079424385869</v>
      </c>
      <c r="N144" s="6"/>
    </row>
    <row r="145" spans="1:14" x14ac:dyDescent="0.25">
      <c r="A145" s="5"/>
      <c r="B145" s="19">
        <f t="shared" si="1"/>
        <v>18.979999999999958</v>
      </c>
      <c r="C145" s="14">
        <f>[1]!crv_interpolation(x_,fx_,B145,тип_интерполяции_)</f>
        <v>-0.97329874701492758</v>
      </c>
      <c r="D145" s="14">
        <f>[1]!crv_interpolation(x2_,gx2_,B145,тип_интерполяции_)</f>
        <v>18.774832352263306</v>
      </c>
      <c r="N145" s="6"/>
    </row>
    <row r="146" spans="1:14" x14ac:dyDescent="0.25">
      <c r="A146" s="5"/>
      <c r="B146" s="19">
        <f t="shared" si="1"/>
        <v>19.124999999999957</v>
      </c>
      <c r="C146" s="14">
        <f>[1]!crv_interpolation(x_,fx_,B146,тип_интерполяции_)</f>
        <v>-1.1532142606813363</v>
      </c>
      <c r="D146" s="14">
        <f>[1]!crv_interpolation(x2_,gx2_,B146,тип_интерполяции_)</f>
        <v>18.442609131912189</v>
      </c>
      <c r="N146" s="6"/>
    </row>
    <row r="147" spans="1:14" x14ac:dyDescent="0.25">
      <c r="A147" s="5"/>
      <c r="B147" s="19">
        <f t="shared" si="1"/>
        <v>19.269999999999957</v>
      </c>
      <c r="C147" s="14">
        <f>[1]!crv_interpolation(x_,fx_,B147,тип_интерполяции_)</f>
        <v>-1.3021983946912843</v>
      </c>
      <c r="D147" s="14">
        <f>[1]!crv_interpolation(x2_,gx2_,B147,тип_интерполяции_)</f>
        <v>18.077459732784948</v>
      </c>
      <c r="N147" s="6"/>
    </row>
    <row r="148" spans="1:14" x14ac:dyDescent="0.25">
      <c r="A148" s="5"/>
      <c r="B148" s="19">
        <f t="shared" si="1"/>
        <v>19.414999999999957</v>
      </c>
      <c r="C148" s="14">
        <f>[1]!crv_interpolation(x_,fx_,B148,тип_интерполяции_)</f>
        <v>-1.4215357939658801</v>
      </c>
      <c r="D148" s="14">
        <f>[1]!crv_interpolation(x2_,gx2_,B148,тип_интерполяции_)</f>
        <v>17.681434124334029</v>
      </c>
      <c r="N148" s="6"/>
    </row>
    <row r="149" spans="1:14" x14ac:dyDescent="0.25">
      <c r="A149" s="5"/>
      <c r="B149" s="19">
        <f t="shared" si="1"/>
        <v>19.559999999999956</v>
      </c>
      <c r="C149" s="14">
        <f>[1]!crv_interpolation(x_,fx_,B149,тип_интерполяции_)</f>
        <v>-1.5125124747704406</v>
      </c>
      <c r="D149" s="14">
        <f>[1]!crv_interpolation(x2_,gx2_,B149,тип_интерполяции_)</f>
        <v>17.256582276011866</v>
      </c>
      <c r="N149" s="6"/>
    </row>
    <row r="150" spans="1:14" x14ac:dyDescent="0.25">
      <c r="A150" s="5"/>
      <c r="B150" s="19">
        <f t="shared" si="1"/>
        <v>19.704999999999956</v>
      </c>
      <c r="C150" s="14">
        <f>[1]!crv_interpolation(x_,fx_,B150,тип_интерполяции_)</f>
        <v>-1.5764144533702829</v>
      </c>
      <c r="D150" s="14">
        <f>[1]!crv_interpolation(x2_,gx2_,B150,тип_интерполяции_)</f>
        <v>16.804954157270899</v>
      </c>
      <c r="N150" s="6"/>
    </row>
    <row r="151" spans="1:14" x14ac:dyDescent="0.25">
      <c r="A151" s="5"/>
      <c r="B151" s="19">
        <f t="shared" ref="B151:B196" si="2">B150+($B$15-$B$7)/200</f>
        <v>19.849999999999955</v>
      </c>
      <c r="C151" s="14">
        <f>[1]!crv_interpolation(x_,fx_,B151,тип_интерполяции_)</f>
        <v>-1.6145277460307235</v>
      </c>
      <c r="D151" s="14">
        <f>[1]!crv_interpolation(x2_,gx2_,B151,тип_интерполяции_)</f>
        <v>16.328599737563565</v>
      </c>
      <c r="N151" s="6"/>
    </row>
    <row r="152" spans="1:14" x14ac:dyDescent="0.25">
      <c r="A152" s="5"/>
      <c r="B152" s="19">
        <f t="shared" si="2"/>
        <v>19.994999999999955</v>
      </c>
      <c r="C152" s="14">
        <f>[1]!crv_interpolation(x_,fx_,B152,тип_интерполяции_)</f>
        <v>-1.6281383690170796</v>
      </c>
      <c r="D152" s="14">
        <f>[1]!crv_interpolation(x2_,gx2_,B152,тип_интерполяции_)</f>
        <v>15.829568986342302</v>
      </c>
      <c r="N152" s="6"/>
    </row>
    <row r="153" spans="1:14" x14ac:dyDescent="0.25">
      <c r="A153" s="5"/>
      <c r="B153" s="19">
        <f t="shared" si="2"/>
        <v>20.139999999999954</v>
      </c>
      <c r="C153" s="14">
        <f>[1]!crv_interpolation(x_,fx_,B153,тип_интерполяции_)</f>
        <v>-1.6185323385946679</v>
      </c>
      <c r="D153" s="14">
        <f>[1]!crv_interpolation(x2_,gx2_,B153,тип_интерполяции_)</f>
        <v>15.309911873059551</v>
      </c>
      <c r="N153" s="6"/>
    </row>
    <row r="154" spans="1:14" x14ac:dyDescent="0.25">
      <c r="A154" s="5"/>
      <c r="B154" s="19">
        <f t="shared" si="2"/>
        <v>20.284999999999954</v>
      </c>
      <c r="C154" s="14">
        <f>[1]!crv_interpolation(x_,fx_,B154,тип_интерполяции_)</f>
        <v>-1.5869956710288056</v>
      </c>
      <c r="D154" s="14">
        <f>[1]!crv_interpolation(x2_,gx2_,B154,тип_интерполяции_)</f>
        <v>14.771678367167748</v>
      </c>
      <c r="N154" s="6"/>
    </row>
    <row r="155" spans="1:14" x14ac:dyDescent="0.25">
      <c r="A155" s="5"/>
      <c r="B155" s="19">
        <f t="shared" si="2"/>
        <v>20.429999999999954</v>
      </c>
      <c r="C155" s="14">
        <f>[1]!crv_interpolation(x_,fx_,B155,тип_интерполяции_)</f>
        <v>-1.5348143825848093</v>
      </c>
      <c r="D155" s="14">
        <f>[1]!crv_interpolation(x2_,gx2_,B155,тип_интерполяции_)</f>
        <v>14.216918438119333</v>
      </c>
      <c r="N155" s="6"/>
    </row>
    <row r="156" spans="1:14" x14ac:dyDescent="0.25">
      <c r="A156" s="5"/>
      <c r="B156" s="19">
        <f t="shared" si="2"/>
        <v>20.574999999999953</v>
      </c>
      <c r="C156" s="14">
        <f>[1]!crv_interpolation(x_,fx_,B156,тип_интерполяции_)</f>
        <v>-1.4632744895279961</v>
      </c>
      <c r="D156" s="14">
        <f>[1]!crv_interpolation(x2_,gx2_,B156,тип_интерполяции_)</f>
        <v>13.647682055366742</v>
      </c>
      <c r="N156" s="6"/>
    </row>
    <row r="157" spans="1:14" x14ac:dyDescent="0.25">
      <c r="A157" s="5"/>
      <c r="B157" s="19">
        <f t="shared" si="2"/>
        <v>20.719999999999953</v>
      </c>
      <c r="C157" s="14">
        <f>[1]!crv_interpolation(x_,fx_,B157,тип_интерполяции_)</f>
        <v>-1.3736620081236826</v>
      </c>
      <c r="D157" s="14">
        <f>[1]!crv_interpolation(x2_,gx2_,B157,тип_интерполяции_)</f>
        <v>13.066019188362414</v>
      </c>
      <c r="N157" s="6"/>
    </row>
    <row r="158" spans="1:14" x14ac:dyDescent="0.25">
      <c r="A158" s="5"/>
      <c r="B158" s="19">
        <f t="shared" si="2"/>
        <v>20.864999999999952</v>
      </c>
      <c r="C158" s="14">
        <f>[1]!crv_interpolation(x_,fx_,B158,тип_интерполяции_)</f>
        <v>-1.2672629546371859</v>
      </c>
      <c r="D158" s="14">
        <f>[1]!crv_interpolation(x2_,gx2_,B158,тип_интерполяции_)</f>
        <v>12.473979806558789</v>
      </c>
      <c r="N158" s="6"/>
    </row>
    <row r="159" spans="1:14" x14ac:dyDescent="0.25">
      <c r="A159" s="5"/>
      <c r="B159" s="19">
        <f t="shared" si="2"/>
        <v>21.009999999999952</v>
      </c>
      <c r="C159" s="14">
        <f>[1]!crv_interpolation(x_,fx_,B159,тип_интерполяции_)</f>
        <v>-1.1453633453338228</v>
      </c>
      <c r="D159" s="14">
        <f>[1]!crv_interpolation(x2_,gx2_,B159,тип_интерполяции_)</f>
        <v>11.873613879408305</v>
      </c>
      <c r="N159" s="6"/>
    </row>
    <row r="160" spans="1:14" x14ac:dyDescent="0.25">
      <c r="A160" s="5"/>
      <c r="B160" s="19">
        <f t="shared" si="2"/>
        <v>21.154999999999951</v>
      </c>
      <c r="C160" s="14">
        <f>[1]!crv_interpolation(x_,fx_,B160,тип_интерполяции_)</f>
        <v>-1.0092491964789105</v>
      </c>
      <c r="D160" s="14">
        <f>[1]!crv_interpolation(x2_,gx2_,B160,тип_интерполяции_)</f>
        <v>11.266971376363399</v>
      </c>
      <c r="N160" s="6"/>
    </row>
    <row r="161" spans="1:14" x14ac:dyDescent="0.25">
      <c r="A161" s="5"/>
      <c r="B161" s="19">
        <f t="shared" si="2"/>
        <v>21.299999999999951</v>
      </c>
      <c r="C161" s="14">
        <f>[1]!crv_interpolation(x_,fx_,B161,тип_интерполяции_)</f>
        <v>-0.86020652433776545</v>
      </c>
      <c r="D161" s="14">
        <f>[1]!crv_interpolation(x2_,gx2_,B161,тип_интерполяции_)</f>
        <v>10.656102266876511</v>
      </c>
      <c r="N161" s="6"/>
    </row>
    <row r="162" spans="1:14" x14ac:dyDescent="0.25">
      <c r="A162" s="5"/>
      <c r="B162" s="19">
        <f t="shared" si="2"/>
        <v>21.444999999999951</v>
      </c>
      <c r="C162" s="14">
        <f>[1]!crv_interpolation(x_,fx_,B162,тип_интерполяции_)</f>
        <v>-0.69952134517570486</v>
      </c>
      <c r="D162" s="14">
        <f>[1]!crv_interpolation(x2_,gx2_,B162,тип_интерполяции_)</f>
        <v>10.043056520400077</v>
      </c>
      <c r="N162" s="6"/>
    </row>
    <row r="163" spans="1:14" x14ac:dyDescent="0.25">
      <c r="A163" s="5"/>
      <c r="B163" s="19">
        <f t="shared" si="2"/>
        <v>21.58999999999995</v>
      </c>
      <c r="C163" s="14">
        <f>[1]!crv_interpolation(x_,fx_,B163,тип_интерполяции_)</f>
        <v>-0.52847967525804551</v>
      </c>
      <c r="D163" s="14">
        <f>[1]!crv_interpolation(x2_,gx2_,B163,тип_интерполяции_)</f>
        <v>9.4298841063865364</v>
      </c>
      <c r="N163" s="6"/>
    </row>
    <row r="164" spans="1:14" x14ac:dyDescent="0.25">
      <c r="A164" s="5"/>
      <c r="B164" s="19">
        <f t="shared" si="2"/>
        <v>21.73499999999995</v>
      </c>
      <c r="C164" s="14">
        <f>[1]!crv_interpolation(x_,fx_,B164,тип_интерполяции_)</f>
        <v>-0.34836753085010425</v>
      </c>
      <c r="D164" s="14">
        <f>[1]!crv_interpolation(x2_,gx2_,B164,тип_интерполяции_)</f>
        <v>8.8186349942883275</v>
      </c>
      <c r="N164" s="6"/>
    </row>
    <row r="165" spans="1:14" x14ac:dyDescent="0.25">
      <c r="A165" s="5"/>
      <c r="B165" s="19">
        <f t="shared" si="2"/>
        <v>21.879999999999949</v>
      </c>
      <c r="C165" s="14">
        <f>[1]!crv_interpolation(x_,fx_,B165,тип_интерполяции_)</f>
        <v>-0.16047092821719808</v>
      </c>
      <c r="D165" s="14">
        <f>[1]!crv_interpolation(x2_,gx2_,B165,тип_интерполяции_)</f>
        <v>8.2113591535578898</v>
      </c>
      <c r="N165" s="6"/>
    </row>
    <row r="166" spans="1:14" x14ac:dyDescent="0.25">
      <c r="A166" s="5"/>
      <c r="B166" s="19">
        <f t="shared" si="2"/>
        <v>22.024999999999949</v>
      </c>
      <c r="C166" s="14">
        <f>[1]!crv_interpolation(x_,fx_,B166,тип_интерполяции_)</f>
        <v>3.3924506332920497E-2</v>
      </c>
      <c r="D166" s="14">
        <f>[1]!crv_interpolation(x2_,gx2_,B166,тип_интерполяции_)</f>
        <v>7.6101065536476602</v>
      </c>
      <c r="N166" s="6"/>
    </row>
    <row r="167" spans="1:14" x14ac:dyDescent="0.25">
      <c r="A167" s="5"/>
      <c r="B167" s="19">
        <f t="shared" si="2"/>
        <v>22.169999999999948</v>
      </c>
      <c r="C167" s="14">
        <f>[1]!crv_interpolation(x_,fx_,B167,тип_интерполяции_)</f>
        <v>0.233654201799188</v>
      </c>
      <c r="D167" s="14">
        <f>[1]!crv_interpolation(x2_,gx2_,B167,тип_интерполяции_)</f>
        <v>7.0169271640100774</v>
      </c>
      <c r="N167" s="6"/>
    </row>
    <row r="168" spans="1:14" x14ac:dyDescent="0.25">
      <c r="A168" s="5"/>
      <c r="B168" s="19">
        <f t="shared" si="2"/>
        <v>22.314999999999948</v>
      </c>
      <c r="C168" s="14">
        <f>[1]!crv_interpolation(x_,fx_,B168,тип_интерполяции_)</f>
        <v>0.43784552813134986</v>
      </c>
      <c r="D168" s="14">
        <f>[1]!crv_interpolation(x2_,gx2_,B168,тип_интерполяции_)</f>
        <v>6.4338709540975794</v>
      </c>
      <c r="N168" s="6"/>
    </row>
    <row r="169" spans="1:14" x14ac:dyDescent="0.25">
      <c r="A169" s="5"/>
      <c r="B169" s="19">
        <f t="shared" si="2"/>
        <v>22.459999999999948</v>
      </c>
      <c r="C169" s="14">
        <f>[1]!crv_interpolation(x_,fx_,B169,тип_интерполяции_)</f>
        <v>0.64566898146613405</v>
      </c>
      <c r="D169" s="14">
        <f>[1]!crv_interpolation(x2_,gx2_,B169,тип_интерполяции_)</f>
        <v>5.8629878933626056</v>
      </c>
      <c r="N169" s="6"/>
    </row>
    <row r="170" spans="1:14" x14ac:dyDescent="0.25">
      <c r="A170" s="5"/>
      <c r="B170" s="19">
        <f t="shared" si="2"/>
        <v>22.604999999999947</v>
      </c>
      <c r="C170" s="14">
        <f>[1]!crv_interpolation(x_,fx_,B170,тип_интерполяции_)</f>
        <v>0.85629505794026861</v>
      </c>
      <c r="D170" s="14">
        <f>[1]!crv_interpolation(x2_,gx2_,B170,тип_интерполяции_)</f>
        <v>5.3063279512575932</v>
      </c>
      <c r="N170" s="6"/>
    </row>
    <row r="171" spans="1:14" x14ac:dyDescent="0.25">
      <c r="A171" s="5"/>
      <c r="B171" s="19">
        <f t="shared" si="2"/>
        <v>22.749999999999947</v>
      </c>
      <c r="C171" s="14">
        <f>[1]!crv_interpolation(x_,fx_,B171,тип_интерполяции_)</f>
        <v>1.0688942536904815</v>
      </c>
      <c r="D171" s="14">
        <f>[1]!crv_interpolation(x2_,gx2_,B171,тип_интерполяции_)</f>
        <v>4.7659410972349807</v>
      </c>
      <c r="N171" s="6"/>
    </row>
    <row r="172" spans="1:14" x14ac:dyDescent="0.25">
      <c r="A172" s="5"/>
      <c r="B172" s="19">
        <f t="shared" si="2"/>
        <v>22.894999999999946</v>
      </c>
      <c r="C172" s="14">
        <f>[1]!crv_interpolation(x_,fx_,B172,тип_интерполяции_)</f>
        <v>1.2826370648535008</v>
      </c>
      <c r="D172" s="14">
        <f>[1]!crv_interpolation(x2_,gx2_,B172,тип_интерполяции_)</f>
        <v>4.243877300747207</v>
      </c>
      <c r="N172" s="6"/>
    </row>
    <row r="173" spans="1:14" x14ac:dyDescent="0.25">
      <c r="A173" s="5"/>
      <c r="B173" s="19">
        <f t="shared" si="2"/>
        <v>23.039999999999946</v>
      </c>
      <c r="C173" s="14">
        <f>[1]!crv_interpolation(x_,fx_,B173,тип_интерполяции_)</f>
        <v>1.4966939875660545</v>
      </c>
      <c r="D173" s="14">
        <f>[1]!crv_interpolation(x2_,gx2_,B173,тип_интерполяции_)</f>
        <v>3.7421865312467104</v>
      </c>
      <c r="N173" s="6"/>
    </row>
    <row r="174" spans="1:14" x14ac:dyDescent="0.25">
      <c r="A174" s="5"/>
      <c r="B174" s="19">
        <f t="shared" si="2"/>
        <v>23.184999999999945</v>
      </c>
      <c r="C174" s="14">
        <f>[1]!crv_interpolation(x_,fx_,B174,тип_интерполяции_)</f>
        <v>1.7102355179648705</v>
      </c>
      <c r="D174" s="14">
        <f>[1]!crv_interpolation(x2_,gx2_,B174,тип_интерполяции_)</f>
        <v>3.2629187581859282</v>
      </c>
      <c r="N174" s="6"/>
    </row>
    <row r="175" spans="1:14" x14ac:dyDescent="0.25">
      <c r="A175" s="5"/>
      <c r="B175" s="19">
        <f t="shared" si="2"/>
        <v>23.329999999999945</v>
      </c>
      <c r="C175" s="14">
        <f>[1]!crv_interpolation(x_,fx_,B175,тип_интерполяции_)</f>
        <v>1.922432152186677</v>
      </c>
      <c r="D175" s="14">
        <f>[1]!crv_interpolation(x2_,gx2_,B175,тип_интерполяции_)</f>
        <v>2.8081239510172997</v>
      </c>
      <c r="N175" s="6"/>
    </row>
    <row r="176" spans="1:14" x14ac:dyDescent="0.25">
      <c r="A176" s="5"/>
      <c r="B176" s="19">
        <f t="shared" si="2"/>
        <v>23.474999999999945</v>
      </c>
      <c r="C176" s="14">
        <f>[1]!crv_interpolation(x_,fx_,B176,тип_интерполяции_)</f>
        <v>2.1324543863682015</v>
      </c>
      <c r="D176" s="14">
        <f>[1]!crv_interpolation(x2_,gx2_,B176,тип_интерполяции_)</f>
        <v>2.3798520791932631</v>
      </c>
      <c r="N176" s="6"/>
    </row>
    <row r="177" spans="1:14" x14ac:dyDescent="0.25">
      <c r="A177" s="5"/>
      <c r="B177" s="19">
        <f t="shared" si="2"/>
        <v>23.619999999999944</v>
      </c>
      <c r="C177" s="14">
        <f>[1]!crv_interpolation(x_,fx_,B177,тип_интерполяции_)</f>
        <v>2.3394727166461728</v>
      </c>
      <c r="D177" s="14">
        <f>[1]!crv_interpolation(x2_,gx2_,B177,тип_интерполяции_)</f>
        <v>1.9801531121662563</v>
      </c>
      <c r="N177" s="6"/>
    </row>
    <row r="178" spans="1:14" x14ac:dyDescent="0.25">
      <c r="A178" s="5"/>
      <c r="B178" s="19">
        <f t="shared" si="2"/>
        <v>23.764999999999944</v>
      </c>
      <c r="C178" s="14">
        <f>[1]!crv_interpolation(x_,fx_,B178,тип_интерполяции_)</f>
        <v>2.5426576391573183</v>
      </c>
      <c r="D178" s="14">
        <f>[1]!crv_interpolation(x2_,gx2_,B178,тип_интерполяции_)</f>
        <v>1.6110770193887178</v>
      </c>
      <c r="N178" s="6"/>
    </row>
    <row r="179" spans="1:14" x14ac:dyDescent="0.25">
      <c r="A179" s="5"/>
      <c r="B179" s="19">
        <f t="shared" si="2"/>
        <v>23.909999999999943</v>
      </c>
      <c r="C179" s="14">
        <f>[1]!crv_interpolation(x_,fx_,B179,тип_интерполяции_)</f>
        <v>2.7411796500383665</v>
      </c>
      <c r="D179" s="14">
        <f>[1]!crv_interpolation(x2_,gx2_,B179,тип_интерполяции_)</f>
        <v>1.2746737703130862</v>
      </c>
      <c r="N179" s="6"/>
    </row>
    <row r="180" spans="1:14" x14ac:dyDescent="0.25">
      <c r="A180" s="5"/>
      <c r="B180" s="19">
        <f t="shared" si="2"/>
        <v>24.054999999999943</v>
      </c>
      <c r="C180" s="14">
        <f>[1]!crv_interpolation(x_,fx_,B180,тип_интерполяции_)</f>
        <v>2.9342092454260449</v>
      </c>
      <c r="D180" s="14">
        <f>[1]!crv_interpolation(x2_,gx2_,B180,тип_интерполяции_)</f>
        <v>0.97299333439179936</v>
      </c>
      <c r="N180" s="6"/>
    </row>
    <row r="181" spans="1:14" x14ac:dyDescent="0.25">
      <c r="A181" s="5"/>
      <c r="B181" s="19">
        <f t="shared" si="2"/>
        <v>24.199999999999942</v>
      </c>
      <c r="C181" s="14">
        <f>[1]!crv_interpolation(x_,fx_,B181,тип_интерполяции_)</f>
        <v>3.1209169214570815</v>
      </c>
      <c r="D181" s="14">
        <f>[1]!crv_interpolation(x2_,gx2_,B181,тип_интерполяции_)</f>
        <v>0.70808568107729597</v>
      </c>
      <c r="N181" s="6"/>
    </row>
    <row r="182" spans="1:14" x14ac:dyDescent="0.25">
      <c r="A182" s="5"/>
      <c r="B182" s="19">
        <f t="shared" si="2"/>
        <v>24.344999999999942</v>
      </c>
      <c r="C182" s="14">
        <f>[1]!crv_interpolation(x_,fx_,B182,тип_интерполяции_)</f>
        <v>3.300473174268205</v>
      </c>
      <c r="D182" s="14">
        <f>[1]!crv_interpolation(x2_,gx2_,B182,тип_интерполяции_)</f>
        <v>0.48200077982201417</v>
      </c>
      <c r="N182" s="6"/>
    </row>
    <row r="183" spans="1:14" x14ac:dyDescent="0.25">
      <c r="A183" s="5"/>
      <c r="B183" s="19">
        <f t="shared" si="2"/>
        <v>24.489999999999942</v>
      </c>
      <c r="C183" s="14">
        <f>[1]!crv_interpolation(x_,fx_,B183,тип_интерполяции_)</f>
        <v>3.4720484999961427</v>
      </c>
      <c r="D183" s="14">
        <f>[1]!crv_interpolation(x2_,gx2_,B183,тип_интерполяции_)</f>
        <v>0.29678860007839225</v>
      </c>
      <c r="N183" s="6"/>
    </row>
    <row r="184" spans="1:14" x14ac:dyDescent="0.25">
      <c r="A184" s="5"/>
      <c r="B184" s="19">
        <f t="shared" si="2"/>
        <v>24.634999999999941</v>
      </c>
      <c r="C184" s="14">
        <f>[1]!crv_interpolation(x_,fx_,B184,тип_интерполяции_)</f>
        <v>3.6348133947776229</v>
      </c>
      <c r="D184" s="14">
        <f>[1]!crv_interpolation(x2_,gx2_,B184,тип_интерполяции_)</f>
        <v>0.15449911129886867</v>
      </c>
      <c r="N184" s="6"/>
    </row>
    <row r="185" spans="1:14" x14ac:dyDescent="0.25">
      <c r="A185" s="5"/>
      <c r="B185" s="19">
        <f t="shared" si="2"/>
        <v>24.779999999999941</v>
      </c>
      <c r="C185" s="14">
        <f>[1]!crv_interpolation(x_,fx_,B185,тип_интерполяции_)</f>
        <v>3.7879383547493735</v>
      </c>
      <c r="D185" s="14">
        <f>[1]!crv_interpolation(x2_,gx2_,B185,тип_интерполяции_)</f>
        <v>5.7182282935881651E-2</v>
      </c>
      <c r="N185" s="6"/>
    </row>
    <row r="186" spans="1:14" x14ac:dyDescent="0.25">
      <c r="A186" s="5"/>
      <c r="B186" s="19">
        <f t="shared" si="2"/>
        <v>24.92499999999994</v>
      </c>
      <c r="C186" s="14">
        <f>[1]!crv_interpolation(x_,fx_,B186,тип_интерполяции_)</f>
        <v>3.9305938760481225</v>
      </c>
      <c r="D186" s="14">
        <f>[1]!crv_interpolation(x2_,gx2_,B186,тип_интерполяции_)</f>
        <v>6.8880844418695367E-3</v>
      </c>
      <c r="N186" s="6"/>
    </row>
    <row r="187" spans="1:14" x14ac:dyDescent="0.25">
      <c r="A187" s="5"/>
      <c r="B187" s="19">
        <f t="shared" si="2"/>
        <v>25.06999999999994</v>
      </c>
      <c r="C187" s="14">
        <f>[1]!crv_interpolation(x_,fx_,B187,тип_интерполяции_)</f>
        <v>4.0619761201991569</v>
      </c>
      <c r="D187" s="14">
        <f>[1]!crv_interpolation(x2_,gx2_,B187,тип_интерполяции_)</f>
        <v>5.5553692615704642E-3</v>
      </c>
      <c r="N187" s="6"/>
    </row>
    <row r="188" spans="1:14" x14ac:dyDescent="0.25">
      <c r="A188" s="5"/>
      <c r="B188" s="19">
        <f t="shared" si="2"/>
        <v>25.214999999999939</v>
      </c>
      <c r="C188" s="14">
        <f>[1]!crv_interpolation(x_,fx_,B188,тип_интерполяции_)</f>
        <v>4.1819222380657264</v>
      </c>
      <c r="D188" s="14">
        <f>[1]!crv_interpolation(x2_,gx2_,B188,тип_интерполяции_)</f>
        <v>5.2347884745025143E-2</v>
      </c>
      <c r="N188" s="6"/>
    </row>
    <row r="189" spans="1:14" x14ac:dyDescent="0.25">
      <c r="A189" s="5"/>
      <c r="B189" s="19">
        <f t="shared" si="2"/>
        <v>25.359999999999939</v>
      </c>
      <c r="C189" s="14">
        <f>[1]!crv_interpolation(x_,fx_,B189,тип_интерполяции_)</f>
        <v>4.2909398607273657</v>
      </c>
      <c r="D189" s="14">
        <f>[1]!crv_interpolation(x2_,gx2_,B189,тип_интерполяции_)</f>
        <v>0.14352659402357343</v>
      </c>
      <c r="N189" s="6"/>
    </row>
    <row r="190" spans="1:14" x14ac:dyDescent="0.25">
      <c r="A190" s="5"/>
      <c r="B190" s="19">
        <f t="shared" si="2"/>
        <v>25.504999999999939</v>
      </c>
      <c r="C190" s="14">
        <f>[1]!crv_interpolation(x_,fx_,B190,тип_интерполяции_)</f>
        <v>4.3895681865691474</v>
      </c>
      <c r="D190" s="14">
        <f>[1]!crv_interpolation(x2_,gx2_,B190,тип_интерполяции_)</f>
        <v>0.27521579239838007</v>
      </c>
      <c r="N190" s="6"/>
    </row>
    <row r="191" spans="1:14" x14ac:dyDescent="0.25">
      <c r="A191" s="5"/>
      <c r="B191" s="19">
        <f t="shared" si="2"/>
        <v>25.649999999999938</v>
      </c>
      <c r="C191" s="14">
        <f>[1]!crv_interpolation(x_,fx_,B191,тип_интерполяции_)</f>
        <v>4.4783464139761433</v>
      </c>
      <c r="D191" s="14">
        <f>[1]!crv_interpolation(x2_,gx2_,B191,тип_интерполяции_)</f>
        <v>0.44353977517060988</v>
      </c>
      <c r="N191" s="6"/>
    </row>
    <row r="192" spans="1:14" x14ac:dyDescent="0.25">
      <c r="A192" s="5"/>
      <c r="B192" s="19">
        <f t="shared" si="2"/>
        <v>25.794999999999938</v>
      </c>
      <c r="C192" s="14">
        <f>[1]!crv_interpolation(x_,fx_,B192,тип_интерполяции_)</f>
        <v>4.5578137413334243</v>
      </c>
      <c r="D192" s="14">
        <f>[1]!crv_interpolation(x2_,gx2_,B192,тип_интерполяции_)</f>
        <v>0.64462283764142769</v>
      </c>
      <c r="N192" s="6"/>
    </row>
    <row r="193" spans="1:14" x14ac:dyDescent="0.25">
      <c r="A193" s="5"/>
      <c r="B193" s="19">
        <f t="shared" si="2"/>
        <v>25.939999999999937</v>
      </c>
      <c r="C193" s="14">
        <f>[1]!crv_interpolation(x_,fx_,B193,тип_интерполяции_)</f>
        <v>4.6285093670260622</v>
      </c>
      <c r="D193" s="14">
        <f>[1]!crv_interpolation(x2_,gx2_,B193,тип_интерполяции_)</f>
        <v>0.87458927511199813</v>
      </c>
      <c r="N193" s="6"/>
    </row>
    <row r="194" spans="1:14" x14ac:dyDescent="0.25">
      <c r="A194" s="5"/>
      <c r="B194" s="19">
        <f t="shared" si="2"/>
        <v>26.084999999999937</v>
      </c>
      <c r="C194" s="14">
        <f>[1]!crv_interpolation(x_,fx_,B194,тип_интерполяции_)</f>
        <v>4.6909724894391287</v>
      </c>
      <c r="D194" s="14">
        <f>[1]!crv_interpolation(x2_,gx2_,B194,тип_интерполяции_)</f>
        <v>1.1295633828834861</v>
      </c>
      <c r="N194" s="6"/>
    </row>
    <row r="195" spans="1:14" x14ac:dyDescent="0.25">
      <c r="A195" s="5"/>
      <c r="B195" s="19">
        <f t="shared" si="2"/>
        <v>26.229999999999936</v>
      </c>
      <c r="C195" s="14">
        <f>[1]!crv_interpolation(x_,fx_,B195,тип_интерполяции_)</f>
        <v>4.7457423069576947</v>
      </c>
      <c r="D195" s="14">
        <f>[1]!crv_interpolation(x2_,gx2_,B195,тип_интерполяции_)</f>
        <v>1.4056694562570562</v>
      </c>
      <c r="N195" s="6"/>
    </row>
    <row r="196" spans="1:14" x14ac:dyDescent="0.25">
      <c r="A196" s="5"/>
      <c r="B196" s="19">
        <f t="shared" si="2"/>
        <v>26.374999999999936</v>
      </c>
      <c r="C196" s="14">
        <f>[1]!crv_interpolation(x_,fx_,B196,тип_интерполяции_)</f>
        <v>4.7933580179668329</v>
      </c>
      <c r="D196" s="14">
        <f>[1]!crv_interpolation(x2_,gx2_,B196,тип_интерполяции_)</f>
        <v>1.6990317905338734</v>
      </c>
      <c r="N196" s="6"/>
    </row>
    <row r="197" spans="1:14" x14ac:dyDescent="0.25">
      <c r="A197" s="5"/>
      <c r="B197" s="19">
        <f>B196+($B$15-$B$7)/200</f>
        <v>26.519999999999936</v>
      </c>
      <c r="C197" s="14">
        <f>[1]!crv_interpolation(x_,fx_,B197,тип_интерполяции_)</f>
        <v>4.8343588208516142</v>
      </c>
      <c r="D197" s="14">
        <f>[1]!crv_interpolation(x2_,gx2_,B197,тип_интерполяции_)</f>
        <v>2.0057746810151027</v>
      </c>
      <c r="N197" s="6"/>
    </row>
    <row r="198" spans="1:14" x14ac:dyDescent="0.25">
      <c r="A198" s="5"/>
      <c r="B198" s="19">
        <f t="shared" ref="B198:B213" si="3">B197+($B$15-$B$7)/200</f>
        <v>26.664999999999935</v>
      </c>
      <c r="C198" s="14">
        <f>[1]!crv_interpolation(x_,fx_,B198,тип_интерполяции_)</f>
        <v>4.8692839139971111</v>
      </c>
      <c r="D198" s="14">
        <f>[1]!crv_interpolation(x2_,gx2_,B198,тип_интерполяции_)</f>
        <v>2.3220224230019082</v>
      </c>
      <c r="N198" s="6"/>
    </row>
    <row r="199" spans="1:14" x14ac:dyDescent="0.25">
      <c r="A199" s="5"/>
      <c r="B199" s="19">
        <f t="shared" si="3"/>
        <v>26.809999999999935</v>
      </c>
      <c r="C199" s="14">
        <f>[1]!crv_interpolation(x_,fx_,B199,тип_интерполяции_)</f>
        <v>4.8986724957883929</v>
      </c>
      <c r="D199" s="14">
        <f>[1]!crv_interpolation(x2_,gx2_,B199,тип_интерполяции_)</f>
        <v>2.643899311795455</v>
      </c>
      <c r="N199" s="6"/>
    </row>
    <row r="200" spans="1:14" x14ac:dyDescent="0.25">
      <c r="A200" s="5"/>
      <c r="B200" s="19">
        <f t="shared" si="3"/>
        <v>26.954999999999934</v>
      </c>
      <c r="C200" s="14">
        <f>[1]!crv_interpolation(x_,fx_,B200,тип_интерполяции_)</f>
        <v>4.923063764610534</v>
      </c>
      <c r="D200" s="14">
        <f>[1]!crv_interpolation(x2_,gx2_,B200,тип_интерполяции_)</f>
        <v>2.967529642696908</v>
      </c>
      <c r="N200" s="6"/>
    </row>
    <row r="201" spans="1:14" x14ac:dyDescent="0.25">
      <c r="A201" s="5"/>
      <c r="B201" s="19">
        <f t="shared" si="3"/>
        <v>27.099999999999934</v>
      </c>
      <c r="C201" s="14">
        <f>[1]!crv_interpolation(x_,fx_,B201,тип_интерполяции_)</f>
        <v>4.9429969188486043</v>
      </c>
      <c r="D201" s="14">
        <f>[1]!crv_interpolation(x2_,gx2_,B201,тип_интерполяции_)</f>
        <v>3.289037711007432</v>
      </c>
      <c r="N201" s="6"/>
    </row>
    <row r="202" spans="1:14" x14ac:dyDescent="0.25">
      <c r="A202" s="5"/>
      <c r="B202" s="19">
        <f t="shared" si="3"/>
        <v>27.244999999999933</v>
      </c>
      <c r="C202" s="14">
        <f>[1]!crv_interpolation(x_,fx_,B202,тип_интерполяции_)</f>
        <v>4.9590111568876756</v>
      </c>
      <c r="D202" s="14">
        <f>[1]!crv_interpolation(x2_,gx2_,B202,тип_интерполяции_)</f>
        <v>3.6045478120281915</v>
      </c>
      <c r="N202" s="6"/>
    </row>
    <row r="203" spans="1:14" x14ac:dyDescent="0.25">
      <c r="A203" s="5"/>
      <c r="B203" s="19">
        <f t="shared" si="3"/>
        <v>27.389999999999933</v>
      </c>
      <c r="C203" s="14">
        <f>[1]!crv_interpolation(x_,fx_,B203,тип_интерполяции_)</f>
        <v>4.9716456771128188</v>
      </c>
      <c r="D203" s="14">
        <f>[1]!crv_interpolation(x2_,gx2_,B203,тип_интерполяции_)</f>
        <v>3.9101842410603518</v>
      </c>
      <c r="N203" s="6"/>
    </row>
    <row r="204" spans="1:14" x14ac:dyDescent="0.25">
      <c r="A204" s="5"/>
      <c r="B204" s="19">
        <f t="shared" si="3"/>
        <v>27.534999999999933</v>
      </c>
      <c r="C204" s="14">
        <f>[1]!crv_interpolation(x_,fx_,B204,тип_интерполяции_)</f>
        <v>4.9814396779091075</v>
      </c>
      <c r="D204" s="14">
        <f>[1]!crv_interpolation(x2_,gx2_,B204,тип_интерполяции_)</f>
        <v>4.2020712934050772</v>
      </c>
      <c r="N204" s="6"/>
    </row>
    <row r="205" spans="1:14" x14ac:dyDescent="0.25">
      <c r="A205" s="5"/>
      <c r="B205" s="19">
        <f t="shared" si="3"/>
        <v>27.679999999999932</v>
      </c>
      <c r="C205" s="14">
        <f>[1]!crv_interpolation(x_,fx_,B205,тип_интерполяции_)</f>
        <v>4.9889323576616107</v>
      </c>
      <c r="D205" s="14">
        <f>[1]!crv_interpolation(x2_,gx2_,B205,тип_интерполяции_)</f>
        <v>4.4763332643635323</v>
      </c>
      <c r="N205" s="6"/>
    </row>
    <row r="206" spans="1:14" x14ac:dyDescent="0.25">
      <c r="A206" s="5"/>
      <c r="B206" s="19">
        <f t="shared" si="3"/>
        <v>27.824999999999932</v>
      </c>
      <c r="C206" s="14">
        <f>[1]!crv_interpolation(x_,fx_,B206,тип_интерполяции_)</f>
        <v>4.994662914755402</v>
      </c>
      <c r="D206" s="14">
        <f>[1]!crv_interpolation(x2_,gx2_,B206,тип_интерполяции_)</f>
        <v>4.7290944492368823</v>
      </c>
      <c r="N206" s="6"/>
    </row>
    <row r="207" spans="1:14" x14ac:dyDescent="0.25">
      <c r="A207" s="5"/>
      <c r="B207" s="19">
        <f t="shared" si="3"/>
        <v>27.969999999999931</v>
      </c>
      <c r="C207" s="14">
        <f>[1]!crv_interpolation(x_,fx_,B207,тип_интерполяции_)</f>
        <v>4.9991705475755523</v>
      </c>
      <c r="D207" s="14">
        <f>[1]!crv_interpolation(x2_,gx2_,B207,тип_интерполяции_)</f>
        <v>4.956479143326292</v>
      </c>
      <c r="N207" s="6"/>
    </row>
    <row r="208" spans="1:14" x14ac:dyDescent="0.25">
      <c r="A208" s="5"/>
      <c r="B208" s="19">
        <f t="shared" si="3"/>
        <v>28.114999999999931</v>
      </c>
      <c r="C208" s="14">
        <f>[1]!crv_interpolation(x_,fx_,B208,тип_интерполяции_)</f>
        <v>5.0029496226379084</v>
      </c>
      <c r="D208" s="14">
        <f>[1]!crv_interpolation(x2_,gx2_,B208,тип_интерполяции_)</f>
        <v>5.1549338889778413</v>
      </c>
      <c r="N208" s="6"/>
    </row>
    <row r="209" spans="1:14" x14ac:dyDescent="0.25">
      <c r="A209" s="5"/>
      <c r="B209" s="19">
        <f t="shared" si="3"/>
        <v>28.259999999999931</v>
      </c>
      <c r="C209" s="14">
        <f>[1]!crv_interpolation(x_,fx_,B209,тип_интерполяции_)</f>
        <v>5.0061557342008545</v>
      </c>
      <c r="D209" s="14">
        <f>[1]!crv_interpolation(x2_,gx2_,B209,тип_интерполяции_)</f>
        <v>5.3233402900408207</v>
      </c>
      <c r="N209" s="6"/>
    </row>
    <row r="210" spans="1:14" x14ac:dyDescent="0.25">
      <c r="A210" s="5"/>
      <c r="B210" s="19">
        <f t="shared" si="3"/>
        <v>28.40499999999993</v>
      </c>
      <c r="C210" s="14">
        <f>[1]!crv_interpolation(x_,fx_,B210,тип_интерполяции_)</f>
        <v>5.008789678161798</v>
      </c>
      <c r="D210" s="14">
        <f>[1]!crv_interpolation(x2_,gx2_,B210,тип_интерполяции_)</f>
        <v>5.4616926256833329</v>
      </c>
      <c r="N210" s="6"/>
    </row>
    <row r="211" spans="1:14" x14ac:dyDescent="0.25">
      <c r="A211" s="5"/>
      <c r="B211" s="19">
        <f t="shared" si="3"/>
        <v>28.54999999999993</v>
      </c>
      <c r="C211" s="14">
        <f>[1]!crv_interpolation(x_,fx_,B211,тип_интерполяции_)</f>
        <v>5.010851454520739</v>
      </c>
      <c r="D211" s="14">
        <f>[1]!crv_interpolation(x2_,gx2_,B211,тип_интерполяции_)</f>
        <v>5.5699908959053772</v>
      </c>
      <c r="N211" s="6"/>
    </row>
    <row r="212" spans="1:14" x14ac:dyDescent="0.25">
      <c r="A212" s="5"/>
      <c r="B212" s="19">
        <f t="shared" si="3"/>
        <v>28.694999999999929</v>
      </c>
      <c r="C212" s="14">
        <f>[1]!crv_interpolation(x_,fx_,B212,тип_интерполяции_)</f>
        <v>5.0123410632776775</v>
      </c>
      <c r="D212" s="14">
        <f>[1]!crv_interpolation(x2_,gx2_,B212,тип_интерполяции_)</f>
        <v>5.6482351007069544</v>
      </c>
      <c r="N212" s="6"/>
    </row>
    <row r="213" spans="1:14" x14ac:dyDescent="0.25">
      <c r="A213" s="5"/>
      <c r="B213" s="19">
        <f t="shared" si="3"/>
        <v>28.839999999999929</v>
      </c>
      <c r="C213" s="14">
        <f>[1]!crv_interpolation(x_,fx_,B213,тип_интерполяции_)</f>
        <v>5.0132585044326134</v>
      </c>
      <c r="D213" s="14">
        <f>[1]!crv_interpolation(x2_,gx2_,B213,тип_интерполяции_)</f>
        <v>5.6964252400880637</v>
      </c>
      <c r="N213" s="6"/>
    </row>
    <row r="214" spans="1:14" x14ac:dyDescent="0.25">
      <c r="A214" s="5"/>
      <c r="B214" s="19">
        <f>B213+($B$15-$B$7)/200</f>
        <v>28.984999999999928</v>
      </c>
      <c r="C214" s="14">
        <f>[1]!crv_interpolation(x_,fx_,B214,тип_интерполяции_)</f>
        <v>5.013603777985546</v>
      </c>
      <c r="D214" s="14">
        <f>[1]!crv_interpolation(x2_,gx2_,B214,тип_интерполяции_)</f>
        <v>5.7145613140487059</v>
      </c>
      <c r="N214" s="6"/>
    </row>
    <row r="215" spans="1:14" x14ac:dyDescent="0.25">
      <c r="A215" s="5"/>
      <c r="B215" s="19">
        <f t="shared" ref="B215:B221" si="4">B214+($B$15-$B$7)/200</f>
        <v>29.129999999999928</v>
      </c>
      <c r="C215" s="14">
        <f>[1]!crv_interpolation(x_,fx_,B215,тип_интерполяции_)</f>
        <v>5.0133768839364761</v>
      </c>
      <c r="D215" s="14">
        <f>[1]!crv_interpolation(x2_,gx2_,B215,тип_интерполяции_)</f>
        <v>5.7026433225888802</v>
      </c>
      <c r="N215" s="6"/>
    </row>
    <row r="216" spans="1:14" x14ac:dyDescent="0.25">
      <c r="A216" s="5"/>
      <c r="B216" s="19">
        <f t="shared" si="4"/>
        <v>29.274999999999928</v>
      </c>
      <c r="C216" s="14">
        <f>[1]!crv_interpolation(x_,fx_,B216,тип_интерполяции_)</f>
        <v>5.0125778222854036</v>
      </c>
      <c r="D216" s="14">
        <f>[1]!crv_interpolation(x2_,gx2_,B216,тип_интерполяции_)</f>
        <v>5.6606712657085865</v>
      </c>
      <c r="N216" s="6"/>
    </row>
    <row r="217" spans="1:14" x14ac:dyDescent="0.25">
      <c r="A217" s="5"/>
      <c r="B217" s="19">
        <f t="shared" si="4"/>
        <v>29.419999999999927</v>
      </c>
      <c r="C217" s="14">
        <f>[1]!crv_interpolation(x_,fx_,B217,тип_интерполяции_)</f>
        <v>5.0112065930323286</v>
      </c>
      <c r="D217" s="14">
        <f>[1]!crv_interpolation(x2_,gx2_,B217,тип_интерполяции_)</f>
        <v>5.5886451434078257</v>
      </c>
      <c r="N217" s="6"/>
    </row>
    <row r="218" spans="1:14" x14ac:dyDescent="0.25">
      <c r="A218" s="5"/>
      <c r="B218" s="19">
        <f t="shared" si="4"/>
        <v>29.564999999999927</v>
      </c>
      <c r="C218" s="14">
        <f>[1]!crv_interpolation(x_,fx_,B218,тип_интерполяции_)</f>
        <v>5.0092631961772511</v>
      </c>
      <c r="D218" s="14">
        <f>[1]!crv_interpolation(x2_,gx2_,B218,тип_интерполяции_)</f>
        <v>5.486564955686597</v>
      </c>
      <c r="N218" s="6"/>
    </row>
    <row r="219" spans="1:14" x14ac:dyDescent="0.25">
      <c r="A219" s="5"/>
      <c r="B219" s="19">
        <f t="shared" si="4"/>
        <v>29.709999999999926</v>
      </c>
      <c r="C219" s="14">
        <f>[1]!crv_interpolation(x_,fx_,B219,тип_интерполяции_)</f>
        <v>5.0067476317201711</v>
      </c>
      <c r="D219" s="14">
        <f>[1]!crv_interpolation(x2_,gx2_,B219,тип_интерполяции_)</f>
        <v>5.3544307025449012</v>
      </c>
      <c r="N219" s="6"/>
    </row>
    <row r="220" spans="1:14" x14ac:dyDescent="0.25">
      <c r="A220" s="5"/>
      <c r="B220" s="19">
        <f t="shared" si="4"/>
        <v>29.854999999999926</v>
      </c>
      <c r="C220" s="14">
        <f>[1]!crv_interpolation(x_,fx_,B220,тип_интерполяции_)</f>
        <v>5.0036598996610877</v>
      </c>
      <c r="D220" s="14">
        <f>[1]!crv_interpolation(x2_,gx2_,B220,тип_интерполяции_)</f>
        <v>5.1922423839827374</v>
      </c>
      <c r="N220" s="6"/>
    </row>
    <row r="221" spans="1:14" x14ac:dyDescent="0.25">
      <c r="A221" s="5"/>
      <c r="B221" s="19">
        <f t="shared" si="4"/>
        <v>29.999999999999925</v>
      </c>
      <c r="C221" s="14">
        <f>[1]!crv_interpolation(x_,fx_,B221,тип_интерполяции_)</f>
        <v>5.0000000000000018</v>
      </c>
      <c r="D221" s="14">
        <f>[1]!crv_interpolation(x2_,gx2_,B221,тип_интерполяции_)</f>
        <v>5.0000000000001066</v>
      </c>
      <c r="N221" s="6"/>
    </row>
    <row r="222" spans="1:14" ht="15.75" thickBot="1" x14ac:dyDescent="0.3">
      <c r="A222" s="8"/>
      <c r="B222" s="20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10"/>
    </row>
    <row r="223" spans="1:14" x14ac:dyDescent="0.25">
      <c r="B223" s="2"/>
    </row>
    <row r="224" spans="1:14" x14ac:dyDescent="0.25">
      <c r="B224" s="2"/>
    </row>
    <row r="225" spans="2:2" x14ac:dyDescent="0.25">
      <c r="B225" s="2"/>
    </row>
    <row r="226" spans="2:2" x14ac:dyDescent="0.25">
      <c r="B226" s="2"/>
    </row>
    <row r="227" spans="2:2" x14ac:dyDescent="0.25">
      <c r="B227" s="2"/>
    </row>
    <row r="228" spans="2:2" x14ac:dyDescent="0.25">
      <c r="B228" s="2"/>
    </row>
    <row r="229" spans="2:2" x14ac:dyDescent="0.25">
      <c r="B229" s="2"/>
    </row>
    <row r="230" spans="2:2" x14ac:dyDescent="0.25">
      <c r="B230" s="2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Drop Down 1">
              <controlPr defaultSize="0" autoLine="0" autoPict="0">
                <anchor moveWithCells="1">
                  <from>
                    <xdr:col>5</xdr:col>
                    <xdr:colOff>28575</xdr:colOff>
                    <xdr:row>20</xdr:row>
                    <xdr:rowOff>57150</xdr:rowOff>
                  </from>
                  <to>
                    <xdr:col>8</xdr:col>
                    <xdr:colOff>209550</xdr:colOff>
                    <xdr:row>21</xdr:row>
                    <xdr:rowOff>123825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</vt:i4>
      </vt:variant>
    </vt:vector>
  </HeadingPairs>
  <TitlesOfParts>
    <vt:vector size="10" baseType="lpstr">
      <vt:lpstr>interpolation</vt:lpstr>
      <vt:lpstr>f_to_solve_</vt:lpstr>
      <vt:lpstr>fx_</vt:lpstr>
      <vt:lpstr>gx2_</vt:lpstr>
      <vt:lpstr>input1</vt:lpstr>
      <vt:lpstr>input2</vt:lpstr>
      <vt:lpstr>input3</vt:lpstr>
      <vt:lpstr>x_</vt:lpstr>
      <vt:lpstr>x2_</vt:lpstr>
      <vt:lpstr>тип_интерполяции_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Ринат Хабибуллин</dc:creator>
  <cp:lastModifiedBy>rnt</cp:lastModifiedBy>
  <dcterms:created xsi:type="dcterms:W3CDTF">2015-06-05T18:19:34Z</dcterms:created>
  <dcterms:modified xsi:type="dcterms:W3CDTF">2025-05-15T13:49:54Z</dcterms:modified>
</cp:coreProperties>
</file>