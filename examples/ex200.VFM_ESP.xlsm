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F_examples\"/>
    </mc:Choice>
  </mc:AlternateContent>
  <xr:revisionPtr revIDLastSave="0" documentId="13_ncr:1_{E74D9179-DC87-4F87-B10A-0B884BF17D4A}" xr6:coauthVersionLast="45" xr6:coauthVersionMax="45" xr10:uidLastSave="{00000000-0000-0000-0000-000000000000}"/>
  <bookViews>
    <workbookView xWindow="-120" yWindow="-120" windowWidth="38640" windowHeight="21240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cable_json">Exercise_ESP!$C$43</definedName>
    <definedName name="Cable_length">Exercise_ESP!$K$24</definedName>
    <definedName name="cable_R_Omkm">Exercise_ESP!$K$25</definedName>
    <definedName name="Cable_type">Exercise_ESP!$K$26</definedName>
    <definedName name="calc_along_flow">Exercise_ESP!#REF!</definedName>
    <definedName name="calibr_array_">Exercise_ESP!$C$31:$C$33</definedName>
    <definedName name="cos_phi">Exercise_ESP!$G$30</definedName>
    <definedName name="cos_ϕ_nom">Exercise_ESP!$G$30</definedName>
    <definedName name="dN">Exercise_ESP!$C$29</definedName>
    <definedName name="dod">Exercise_ESP!$G$35</definedName>
    <definedName name="effnom">Exercise_ESP!$G$29</definedName>
    <definedName name="Energy_fact">Exercise_ESP!$S$30</definedName>
    <definedName name="ESPstr">Exercise_ESP!#REF!</definedName>
    <definedName name="Fnom">Exercise_ESP!$G$26</definedName>
    <definedName name="Freq_" localSheetId="0">Exercise_ESP!$C$27</definedName>
    <definedName name="Fsurf">Exercise_ESP!$S$28</definedName>
    <definedName name="fw_" localSheetId="0">Exercise_ESP!$S$25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gas_degr_type_">Exercise_ESP!$C$28</definedName>
    <definedName name="Head_ESP_" localSheetId="0">Exercise_ESP!$C$26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Ixcf">Exercise_ESP!$G$34</definedName>
    <definedName name="Ksep_man">Exercise_ESP!$O$24</definedName>
    <definedName name="KsepGasSep_" localSheetId="0">Exercise_ESP!$O$25</definedName>
    <definedName name="M_gassep">Exercise_ESP!$O$28</definedName>
    <definedName name="motor_ID">Exercise_ESP!$G$24</definedName>
    <definedName name="motor_json">Exercise_ESP!$C$42</definedName>
    <definedName name="muob_" localSheetId="0">Exercise_ESP!$C$19</definedName>
    <definedName name="N_" localSheetId="0">Exercise_ESP!#REF!</definedName>
    <definedName name="NumStage_" localSheetId="0">Exercise_ESP!$C$37</definedName>
    <definedName name="Pb_" localSheetId="0">Exercise_ESP!$C$16</definedName>
    <definedName name="Pdis_" localSheetId="0">Exercise_ESP!$S$35</definedName>
    <definedName name="Pintake_" localSheetId="0">Exercise_ESP!$S$33</definedName>
    <definedName name="PKsep">Exercise_ESP!$O$26</definedName>
    <definedName name="Pnom">Exercise_ESP!$G$27</definedName>
    <definedName name="pump_json">Exercise_ESP!$C$41</definedName>
    <definedName name="PumpID_" localSheetId="0">Exercise_ESP!$C$25</definedName>
    <definedName name="PVT_json">Exercise_ESP!$C$40</definedName>
    <definedName name="Q_" localSheetId="0">Exercise_ESP!$S$24</definedName>
    <definedName name="Q_ESP_" localSheetId="0">Exercise_ESP!$C$24</definedName>
    <definedName name="Qmax_" localSheetId="0">Exercise_ESP!$C$36</definedName>
    <definedName name="Rp_" localSheetId="0">Exercise_ESP!$S$26</definedName>
    <definedName name="Rsb_" localSheetId="0">Exercise_ESP!$C$14</definedName>
    <definedName name="slipnom">Exercise_ESP!$G$28</definedName>
    <definedName name="Tdis_">Exercise_ESP!$S$36</definedName>
    <definedName name="Tintake_" localSheetId="0">Exercise_ESP!$S$34</definedName>
    <definedName name="TKsep_">Exercise_ESP!$O$27</definedName>
    <definedName name="Tres_" localSheetId="0">Exercise_ESP!$C$17</definedName>
    <definedName name="U">Exercise_ESP!$S$29</definedName>
    <definedName name="Unom">Exercise_ESP!$G$25</definedName>
    <definedName name="α">Exercise_ESP!$G$32</definedName>
    <definedName name="λ">Exercise_ESP!$G$31</definedName>
    <definedName name="χ">Exercise_ESP!$G$33</definedName>
    <definedName name="ПКВ_останов">Exercise_ESP!#REF!</definedName>
    <definedName name="ПКВ_работа">Exercise_ESP!#REF!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5" i="110" l="1" a="1"/>
  <c r="C40" i="110"/>
  <c r="G1" i="110"/>
  <c r="C43" i="110" a="1"/>
  <c r="C42" i="110" a="1"/>
  <c r="C44" i="110" a="1"/>
  <c r="C44" i="110" l="1"/>
  <c r="C42" i="110"/>
  <c r="C43" i="110"/>
  <c r="C25" i="110"/>
  <c r="C36" i="110" a="1"/>
  <c r="C41" i="110" a="1"/>
  <c r="C35" i="110" a="1"/>
  <c r="C37" i="110" a="1"/>
  <c r="C37" i="110" l="1"/>
  <c r="C35" i="110"/>
  <c r="C41" i="110"/>
  <c r="C36" i="110"/>
  <c r="E17" i="110"/>
  <c r="E16" i="110"/>
  <c r="U26" i="110"/>
  <c r="E14" i="110"/>
  <c r="E13" i="110"/>
  <c r="E12" i="110"/>
  <c r="E11" i="110"/>
  <c r="B46" i="110" a="1"/>
  <c r="S47" i="110" a="1"/>
  <c r="P47" i="110" a="1"/>
  <c r="P47" i="110" l="1"/>
  <c r="S47" i="110"/>
  <c r="B46" i="110"/>
  <c r="V47" i="110" l="1"/>
  <c r="V51" i="110" a="1"/>
  <c r="V51" i="1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<sst xmlns="http://schemas.openxmlformats.org/spreadsheetml/2006/main" count="134" uniqueCount="106">
  <si>
    <t>атм</t>
  </si>
  <si>
    <t>С</t>
  </si>
  <si>
    <t>м3/сут</t>
  </si>
  <si>
    <t xml:space="preserve">м </t>
  </si>
  <si>
    <t>Гц</t>
  </si>
  <si>
    <t>шт</t>
  </si>
  <si>
    <t>Физико - химические свойства флюида</t>
  </si>
  <si>
    <t>Ступени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</si>
  <si>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</si>
  <si>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</si>
  <si>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</si>
  <si>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</si>
  <si>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</si>
  <si>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</si>
  <si>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</si>
  <si>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</si>
  <si>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</si>
  <si>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</si>
  <si>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</si>
  <si>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</si>
  <si>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</si>
  <si>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</si>
  <si>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</si>
  <si>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</si>
  <si>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</si>
  <si>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</si>
  <si>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</si>
  <si>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</si>
  <si>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</si>
  <si>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</si>
  <si>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</si>
  <si>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имя</t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</si>
  <si>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</si>
  <si>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</si>
  <si>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</si>
  <si>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</si>
  <si>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</si>
  <si>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</si>
  <si>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</si>
  <si>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T</t>
    </r>
    <r>
      <rPr>
        <vertAlign val="subscript"/>
        <sz val="10"/>
        <rFont val="Arial Cyr"/>
        <charset val="204"/>
      </rPr>
      <t>dis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</si>
  <si>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</si>
  <si>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</si>
  <si>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</si>
  <si>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</si>
  <si>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</si>
  <si>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</si>
  <si>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</si>
  <si>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</si>
  <si>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</si>
  <si>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</si>
  <si>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</si>
  <si>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</si>
  <si>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</si>
  <si>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</si>
  <si>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</si>
  <si>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dN</t>
  </si>
  <si>
    <t>Расчет системы УЭЦН</t>
  </si>
  <si>
    <t>В</t>
  </si>
  <si>
    <t>кВт</t>
  </si>
  <si>
    <r>
      <t>K</t>
    </r>
    <r>
      <rPr>
        <vertAlign val="subscript"/>
        <sz val="10"/>
        <rFont val="Arial Cyr"/>
        <charset val="204"/>
      </rPr>
      <t>sep man</t>
    </r>
  </si>
  <si>
    <t>калибровки</t>
  </si>
  <si>
    <t>pump</t>
  </si>
  <si>
    <t>motor</t>
  </si>
  <si>
    <t>cable</t>
  </si>
  <si>
    <t>ПЭД ЭЦН</t>
  </si>
  <si>
    <t>Параметры потока</t>
  </si>
  <si>
    <t>ID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</si>
  <si>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</si>
  <si>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</si>
  <si>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</si>
  <si>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slip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</si>
  <si>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eff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</si>
  <si>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 xml:space="preserve">cos </t>
    </r>
    <r>
      <rPr>
        <sz val="11"/>
        <color theme="1"/>
        <rFont val="Calibri"/>
        <family val="2"/>
        <charset val="204"/>
      </rPr>
      <t>ϕ</t>
    </r>
    <r>
      <rPr>
        <sz val="10"/>
        <rFont val="Arial Cyr"/>
        <charset val="204"/>
      </rPr>
      <t xml:space="preserve"> 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</si>
  <si>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λ</t>
  </si>
  <si>
    <t>α</t>
  </si>
  <si>
    <t>χ</t>
  </si>
  <si>
    <t>Ixcf</t>
  </si>
  <si>
    <t>Кабельная линия</t>
  </si>
  <si>
    <t>L</t>
  </si>
  <si>
    <t>R</t>
  </si>
  <si>
    <t>Сепарация газа</t>
  </si>
  <si>
    <t>Система УЭЦН</t>
  </si>
  <si>
    <r>
      <t>d</t>
    </r>
    <r>
      <rPr>
        <vertAlign val="subscript"/>
        <sz val="10"/>
        <rFont val="Arial Cyr"/>
        <charset val="204"/>
      </rPr>
      <t>od</t>
    </r>
  </si>
  <si>
    <t>мм</t>
  </si>
  <si>
    <t>gas_corr</t>
  </si>
  <si>
    <r>
      <t>Q</t>
    </r>
    <r>
      <rPr>
        <vertAlign val="subscript"/>
        <sz val="10"/>
        <rFont val="Arial Cyr"/>
        <charset val="204"/>
      </rPr>
      <t>nom</t>
    </r>
  </si>
  <si>
    <r>
      <t>H</t>
    </r>
    <r>
      <rPr>
        <vertAlign val="subscript"/>
        <sz val="10"/>
        <rFont val="Arial Cyr"/>
        <charset val="204"/>
      </rPr>
      <t>nom</t>
    </r>
  </si>
  <si>
    <t xml:space="preserve">PVT </t>
  </si>
  <si>
    <r>
      <t>c</t>
    </r>
    <r>
      <rPr>
        <vertAlign val="subscript"/>
        <sz val="10"/>
        <rFont val="Arial Cyr"/>
        <charset val="204"/>
      </rPr>
      <t>calibr_head</t>
    </r>
  </si>
  <si>
    <r>
      <t>c</t>
    </r>
    <r>
      <rPr>
        <vertAlign val="subscript"/>
        <sz val="10"/>
        <rFont val="Arial Cyr"/>
        <charset val="204"/>
      </rPr>
      <t>calibr_rate</t>
    </r>
  </si>
  <si>
    <r>
      <t>c</t>
    </r>
    <r>
      <rPr>
        <vertAlign val="subscript"/>
        <sz val="10"/>
        <rFont val="Arial Cyr"/>
        <charset val="204"/>
      </rPr>
      <t>calibr_power</t>
    </r>
  </si>
  <si>
    <r>
      <t>P</t>
    </r>
    <r>
      <rPr>
        <vertAlign val="subscript"/>
        <sz val="10"/>
        <rFont val="Arial Cyr"/>
        <charset val="204"/>
      </rPr>
      <t>fact</t>
    </r>
  </si>
  <si>
    <r>
      <t>U</t>
    </r>
    <r>
      <rPr>
        <vertAlign val="subscript"/>
        <sz val="10"/>
        <rFont val="Arial Cyr"/>
        <charset val="204"/>
      </rPr>
      <t>раб</t>
    </r>
  </si>
  <si>
    <r>
      <t>F</t>
    </r>
    <r>
      <rPr>
        <vertAlign val="subscript"/>
        <sz val="10"/>
        <rFont val="Arial Cyr"/>
        <charset val="204"/>
      </rPr>
      <t>surf</t>
    </r>
  </si>
  <si>
    <t>gassep</t>
  </si>
  <si>
    <t>M_gassep</t>
  </si>
  <si>
    <t>Nm</t>
  </si>
  <si>
    <t>Qliq</t>
  </si>
  <si>
    <t>fw</t>
  </si>
  <si>
    <t>Rp</t>
  </si>
  <si>
    <t>T</t>
  </si>
  <si>
    <t>dP_atm</t>
  </si>
  <si>
    <t>I A</t>
  </si>
  <si>
    <t>power kW</t>
  </si>
  <si>
    <t>Пример 1. Восстановите данные</t>
  </si>
  <si>
    <t>Пример 2. Восстановите данные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</si>
</sst>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67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5" borderId="0" xfId="0" applyFill="1"/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164" fontId="0" fillId="0" borderId="0" xfId="0" applyNumberFormat="1"/>
    <xf numFmtId="165" fontId="0" fillId="0" borderId="0" xfId="0" applyNumberFormat="1"/>
    <xf numFmtId="0" fontId="0" fillId="8" borderId="0" xfId="0" applyFill="1"/>
    <xf numFmtId="164" fontId="0" fillId="7" borderId="8" xfId="0" applyNumberFormat="1" applyFill="1" applyBorder="1" applyAlignment="1">
      <alignment horizontal="center"/>
    </xf>
    <xf numFmtId="0" fontId="0" fillId="7" borderId="14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2" fontId="0" fillId="7" borderId="0" xfId="0" applyNumberForma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/>
    </xf>
    <xf numFmtId="2" fontId="0" fillId="7" borderId="8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0" fillId="6" borderId="3" xfId="0" applyFill="1" applyBorder="1"/>
    <xf numFmtId="0" fontId="0" fillId="5" borderId="0" xfId="0" applyFill="1" applyBorder="1"/>
    <xf numFmtId="1" fontId="0" fillId="7" borderId="0" xfId="0" applyNumberFormat="1" applyFill="1" applyBorder="1" applyAlignment="1">
      <alignment horizontal="center" vertical="center" wrapText="1"/>
    </xf>
    <xf numFmtId="0" fontId="0" fillId="6" borderId="0" xfId="0" applyFill="1" applyBorder="1"/>
    <xf numFmtId="164" fontId="0" fillId="9" borderId="8" xfId="0" applyNumberFormat="1" applyFill="1" applyBorder="1" applyAlignment="1">
      <alignment horizontal="center"/>
    </xf>
    <xf numFmtId="2" fontId="0" fillId="9" borderId="8" xfId="0" applyNumberFormat="1" applyFill="1" applyBorder="1" applyAlignment="1">
      <alignment horizontal="center"/>
    </xf>
    <xf numFmtId="165" fontId="0" fillId="0" borderId="0" xfId="0" applyNumberFormat="1" applyAlignment="1">
      <alignment wrapText="1"/>
    </xf>
    <xf numFmtId="1" fontId="0" fillId="7" borderId="7" xfId="0" applyNumberFormat="1" applyFill="1" applyBorder="1" applyAlignment="1">
      <alignment horizontal="center"/>
    </xf>
    <xf numFmtId="164" fontId="0" fillId="9" borderId="9" xfId="0" applyNumberFormat="1" applyFill="1" applyBorder="1" applyAlignment="1">
      <alignment horizontal="center"/>
    </xf>
    <xf numFmtId="0" fontId="0" fillId="7" borderId="16" xfId="0" applyFill="1" applyBorder="1" applyAlignment="1">
      <alignment horizontal="center" vertical="center" wrapText="1"/>
    </xf>
    <xf numFmtId="0" fontId="0" fillId="7" borderId="12" xfId="0" applyFill="1" applyBorder="1" applyAlignment="1">
      <alignment horizontal="center" vertical="center" wrapText="1"/>
    </xf>
    <xf numFmtId="2" fontId="0" fillId="7" borderId="12" xfId="0" applyNumberFormat="1" applyFill="1" applyBorder="1" applyAlignment="1">
      <alignment horizontal="center" vertical="center" wrapText="1"/>
    </xf>
    <xf numFmtId="1" fontId="0" fillId="7" borderId="15" xfId="0" applyNumberFormat="1" applyFill="1" applyBorder="1" applyAlignment="1">
      <alignment horizontal="center" vertical="center" wrapText="1"/>
    </xf>
    <xf numFmtId="2" fontId="0" fillId="7" borderId="15" xfId="0" applyNumberFormat="1" applyFill="1" applyBorder="1" applyAlignment="1">
      <alignment horizontal="center" vertical="center" wrapText="1"/>
    </xf>
    <xf numFmtId="2" fontId="0" fillId="7" borderId="16" xfId="0" applyNumberFormat="1" applyFill="1" applyBorder="1" applyAlignment="1">
      <alignment horizontal="center" vertical="center" wrapText="1"/>
    </xf>
    <xf numFmtId="0" fontId="0" fillId="0" borderId="0" xfId="0" applyAlignment="1"/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2" fontId="0" fillId="0" borderId="0" xfId="0" applyNumberFormat="1" applyAlignment="1">
      <alignment horizontal="center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Exercise_ESP!$E$83</c:f>
              <c:strCache>
                <c:ptCount val="1"/>
                <c:pt idx="0">
                  <c:v>dP_atm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Exercise_ESP!$A$84:$A$101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xVal>
          <c:yVal>
            <c:numRef>
              <c:f>Exercise_ESP!$E$84:$E$101</c:f>
              <c:numCache>
                <c:formatCode>0.00</c:formatCode>
                <c:ptCount val="18"/>
                <c:pt idx="0">
                  <c:v>175.00675152505761</c:v>
                </c:pt>
                <c:pt idx="1">
                  <c:v>175.07537906797211</c:v>
                </c:pt>
                <c:pt idx="2">
                  <c:v>174.31057186219286</c:v>
                </c:pt>
                <c:pt idx="3">
                  <c:v>173.36193416978543</c:v>
                </c:pt>
                <c:pt idx="4">
                  <c:v>173.91160397452882</c:v>
                </c:pt>
                <c:pt idx="5">
                  <c:v>174.74467100706624</c:v>
                </c:pt>
                <c:pt idx="6">
                  <c:v>174.26975669863873</c:v>
                </c:pt>
                <c:pt idx="7">
                  <c:v>174.35032666746039</c:v>
                </c:pt>
                <c:pt idx="8">
                  <c:v>173.8037547402046</c:v>
                </c:pt>
                <c:pt idx="9">
                  <c:v>173.03701776352426</c:v>
                </c:pt>
                <c:pt idx="10">
                  <c:v>178.2338255487407</c:v>
                </c:pt>
                <c:pt idx="11">
                  <c:v>179.29086277307752</c:v>
                </c:pt>
                <c:pt idx="12">
                  <c:v>180.07017656693014</c:v>
                </c:pt>
                <c:pt idx="13">
                  <c:v>179.98049338941348</c:v>
                </c:pt>
                <c:pt idx="14">
                  <c:v>181.00032916158722</c:v>
                </c:pt>
                <c:pt idx="15">
                  <c:v>180.79369335006146</c:v>
                </c:pt>
                <c:pt idx="16">
                  <c:v>180.76324052622917</c:v>
                </c:pt>
                <c:pt idx="17">
                  <c:v>180.94301535375564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EF-43B0-BF29-4D7FABEB1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924496"/>
        <c:axId val="1336165440"/>
      </c:scatterChart>
      <c:valAx>
        <c:axId val="134492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6165440"/>
        <c:crosses val="autoZero"/>
        <c:crossBetween val="midCat"/>
      </c:valAx>
      <c:valAx>
        <c:axId val="133616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492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Exercise_ESP!$F$83</c:f>
              <c:strCache>
                <c:ptCount val="1"/>
                <c:pt idx="0">
                  <c:v>I 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Exercise_ESP!$A$84:$A$101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xVal>
          <c:yVal>
            <c:numRef>
              <c:f>Exercise_ESP!$F$84:$F$101</c:f>
              <c:numCache>
                <c:formatCode>0.00</c:formatCode>
                <c:ptCount val="18"/>
                <c:pt idx="0">
                  <c:v>13.301949340272699</c:v>
                </c:pt>
                <c:pt idx="1">
                  <c:v>13.290909494545399</c:v>
                </c:pt>
                <c:pt idx="2">
                  <c:v>13.3199389597516</c:v>
                </c:pt>
                <c:pt idx="3">
                  <c:v>13.382265562858199</c:v>
                </c:pt>
                <c:pt idx="4">
                  <c:v>13.3405440828347</c:v>
                </c:pt>
                <c:pt idx="5">
                  <c:v>13.3008911718101</c:v>
                </c:pt>
                <c:pt idx="6">
                  <c:v>13.3468927333336</c:v>
                </c:pt>
                <c:pt idx="7">
                  <c:v>13.272888183664699</c:v>
                </c:pt>
                <c:pt idx="8">
                  <c:v>13.3298133432707</c:v>
                </c:pt>
                <c:pt idx="9">
                  <c:v>13.388249371277199</c:v>
                </c:pt>
                <c:pt idx="10">
                  <c:v>13.667928477517499</c:v>
                </c:pt>
                <c:pt idx="11">
                  <c:v>13.579369143557001</c:v>
                </c:pt>
                <c:pt idx="12">
                  <c:v>13.5491909886846</c:v>
                </c:pt>
                <c:pt idx="13">
                  <c:v>13.589366382802201</c:v>
                </c:pt>
                <c:pt idx="14">
                  <c:v>13.5427549779765</c:v>
                </c:pt>
                <c:pt idx="15">
                  <c:v>13.5761093081019</c:v>
                </c:pt>
                <c:pt idx="16">
                  <c:v>13.589299845504099</c:v>
                </c:pt>
                <c:pt idx="17">
                  <c:v>13.5847191168856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D6-4ED5-B5A6-50E7C139A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924496"/>
        <c:axId val="1336165440"/>
      </c:scatterChart>
      <c:valAx>
        <c:axId val="134492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6165440"/>
        <c:crosses val="autoZero"/>
        <c:crossBetween val="midCat"/>
      </c:valAx>
      <c:valAx>
        <c:axId val="133616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492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Exercise_ESP!$E$83</c:f>
              <c:strCache>
                <c:ptCount val="1"/>
                <c:pt idx="0">
                  <c:v>dP_atm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Exercise_ESP!$A$111:$A$128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xVal>
          <c:yVal>
            <c:numRef>
              <c:f>Exercise_ESP!$E$111:$E$128</c:f>
              <c:numCache>
                <c:formatCode>0.00</c:formatCode>
                <c:ptCount val="18"/>
                <c:pt idx="0">
                  <c:v>175.00675152505761</c:v>
                </c:pt>
                <c:pt idx="1">
                  <c:v>175.4409149837858</c:v>
                </c:pt>
                <c:pt idx="2">
                  <c:v>175.08536228954603</c:v>
                </c:pt>
                <c:pt idx="3">
                  <c:v>175.95985179439512</c:v>
                </c:pt>
                <c:pt idx="4">
                  <c:v>176.98205132553164</c:v>
                </c:pt>
                <c:pt idx="5">
                  <c:v>177.26970131779709</c:v>
                </c:pt>
                <c:pt idx="6">
                  <c:v>177.7921159255495</c:v>
                </c:pt>
                <c:pt idx="7">
                  <c:v>177.13272997696555</c:v>
                </c:pt>
                <c:pt idx="8">
                  <c:v>177.54407095679568</c:v>
                </c:pt>
                <c:pt idx="9">
                  <c:v>177.84353452828577</c:v>
                </c:pt>
                <c:pt idx="10">
                  <c:v>193.12779405981584</c:v>
                </c:pt>
                <c:pt idx="11">
                  <c:v>193.0310953790696</c:v>
                </c:pt>
                <c:pt idx="12">
                  <c:v>174.80285544712021</c:v>
                </c:pt>
                <c:pt idx="13">
                  <c:v>175.95333825388991</c:v>
                </c:pt>
                <c:pt idx="14">
                  <c:v>176.41782229465122</c:v>
                </c:pt>
                <c:pt idx="15">
                  <c:v>177.57162141085234</c:v>
                </c:pt>
                <c:pt idx="16">
                  <c:v>176.00142619699432</c:v>
                </c:pt>
                <c:pt idx="17">
                  <c:v>174.86022043610396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1F-443D-AF44-D114720C6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924496"/>
        <c:axId val="1336165440"/>
      </c:scatterChart>
      <c:valAx>
        <c:axId val="134492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6165440"/>
        <c:crosses val="autoZero"/>
        <c:crossBetween val="midCat"/>
      </c:valAx>
      <c:valAx>
        <c:axId val="133616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492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Exercise_ESP!$F$83</c:f>
              <c:strCache>
                <c:ptCount val="1"/>
                <c:pt idx="0">
                  <c:v>I 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Exercise_ESP!$A$111:$A$128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xVal>
          <c:yVal>
            <c:numRef>
              <c:f>Exercise_ESP!$F$111:$F$128</c:f>
              <c:numCache>
                <c:formatCode>0.00</c:formatCode>
                <c:ptCount val="18"/>
                <c:pt idx="0">
                  <c:v>13.301949340272699</c:v>
                </c:pt>
                <c:pt idx="1">
                  <c:v>13.252775649914501</c:v>
                </c:pt>
                <c:pt idx="2">
                  <c:v>13.2614507766384</c:v>
                </c:pt>
                <c:pt idx="3">
                  <c:v>13.178782148987899</c:v>
                </c:pt>
                <c:pt idx="4">
                  <c:v>13.090574506500101</c:v>
                </c:pt>
                <c:pt idx="5">
                  <c:v>13.092248880614701</c:v>
                </c:pt>
                <c:pt idx="6">
                  <c:v>13.0638043860429</c:v>
                </c:pt>
                <c:pt idx="7">
                  <c:v>13.024269065097</c:v>
                </c:pt>
                <c:pt idx="8">
                  <c:v>12.9611313717594</c:v>
                </c:pt>
                <c:pt idx="9">
                  <c:v>12.921213599842901</c:v>
                </c:pt>
                <c:pt idx="10">
                  <c:v>13.829777591675899</c:v>
                </c:pt>
                <c:pt idx="11">
                  <c:v>13.8386989019894</c:v>
                </c:pt>
                <c:pt idx="12">
                  <c:v>14.963627405978199</c:v>
                </c:pt>
                <c:pt idx="13">
                  <c:v>14.9159037141645</c:v>
                </c:pt>
                <c:pt idx="14">
                  <c:v>14.869411781254801</c:v>
                </c:pt>
                <c:pt idx="15">
                  <c:v>14.825892419097499</c:v>
                </c:pt>
                <c:pt idx="16">
                  <c:v>14.900773125403401</c:v>
                </c:pt>
                <c:pt idx="17">
                  <c:v>14.948512144674901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23-4711-B366-5B73E3BE8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924496"/>
        <c:axId val="1336165440"/>
      </c:scatterChart>
      <c:valAx>
        <c:axId val="134492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6165440"/>
        <c:crosses val="autoZero"/>
        <c:crossBetween val="midCat"/>
      </c:valAx>
      <c:valAx>
        <c:axId val="133616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492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пример построения виртуального расходомера на основе данных о потоке флюида в ЭЦН 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 калибровочный коэффициент ЭЦН для заданных параметров.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Восстановите значения дебита по данным измерения перепада давления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Восстановите значения дебита по данным измерения тока или мощности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Всегда ли дебит можно восстановить однозначно? Какой разброс значений дебита можно получить?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Можно ли скомбинировать данные трубопровода, штуцера и УЭЦН?</a:t>
          </a:r>
        </a:p>
        <a:p>
          <a:endParaRPr lang="ru-RU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ESP_system_calc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7</xdr:col>
      <xdr:colOff>475008</xdr:colOff>
      <xdr:row>82</xdr:row>
      <xdr:rowOff>160683</xdr:rowOff>
    </xdr:from>
    <xdr:to>
      <xdr:col>13</xdr:col>
      <xdr:colOff>398808</xdr:colOff>
      <xdr:row>99</xdr:row>
      <xdr:rowOff>91524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FA18784-07FE-49FD-930E-FEC0E1B6F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83</xdr:row>
      <xdr:rowOff>0</xdr:rowOff>
    </xdr:from>
    <xdr:to>
      <xdr:col>19</xdr:col>
      <xdr:colOff>190500</xdr:colOff>
      <xdr:row>99</xdr:row>
      <xdr:rowOff>92766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42CDCEC9-1BFF-44EF-AC65-7DB585D9C3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533400</xdr:colOff>
      <xdr:row>110</xdr:row>
      <xdr:rowOff>19050</xdr:rowOff>
    </xdr:from>
    <xdr:to>
      <xdr:col>13</xdr:col>
      <xdr:colOff>457200</xdr:colOff>
      <xdr:row>126</xdr:row>
      <xdr:rowOff>111816</xdr:rowOff>
    </xdr:to>
    <xdr:graphicFrame macro="">
      <xdr:nvGraphicFramePr>
        <xdr:cNvPr id="29" name="Диаграмма 28">
          <a:extLst>
            <a:ext uri="{FF2B5EF4-FFF2-40B4-BE49-F238E27FC236}">
              <a16:creationId xmlns:a16="http://schemas.microsoft.com/office/drawing/2014/main" id="{1CFD1FFA-B474-438C-BD03-795B9B212C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58392</xdr:colOff>
      <xdr:row>110</xdr:row>
      <xdr:rowOff>20292</xdr:rowOff>
    </xdr:from>
    <xdr:to>
      <xdr:col>19</xdr:col>
      <xdr:colOff>248892</xdr:colOff>
      <xdr:row>126</xdr:row>
      <xdr:rowOff>113058</xdr:rowOff>
    </xdr:to>
    <xdr:graphicFrame macro="">
      <xdr:nvGraphicFramePr>
        <xdr:cNvPr id="30" name="Диаграмма 29">
          <a:extLst>
            <a:ext uri="{FF2B5EF4-FFF2-40B4-BE49-F238E27FC236}">
              <a16:creationId xmlns:a16="http://schemas.microsoft.com/office/drawing/2014/main" id="{568B824A-EA87-4D94-8FFD-E6B0EA8DBC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_string"/>
      <definedName name="ESP_cable_encode_string"/>
      <definedName name="ESP_head_m"/>
      <definedName name="ESP_id_by_rate"/>
      <definedName name="ESP_motor_encode_string"/>
      <definedName name="ESP_name"/>
      <definedName name="ESP_pump_encode_string"/>
      <definedName name="ESP_rate_max_sm3day"/>
      <definedName name="ESP_separation_encode_string"/>
      <definedName name="ESP_system_calc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Y128"/>
  <sheetViews>
    <sheetView tabSelected="1" topLeftCell="A10" zoomScaleNormal="100" workbookViewId="0">
      <selection activeCell="Z37" sqref="Z37"/>
    </sheetView>
  </sheetViews>
  <sheetFormatPr defaultRowHeight="12.75" x14ac:dyDescent="0.2"/>
  <cols>
    <col min="2" max="2" width="15.140625" customWidth="1"/>
    <col min="3" max="3" width="9.85546875" customWidth="1"/>
    <col min="4" max="4" width="11.5703125" bestFit="1" customWidth="1"/>
    <col min="5" max="5" width="11.140625" customWidth="1"/>
    <col min="6" max="6" width="13.42578125" customWidth="1"/>
    <col min="7" max="7" width="11.140625" customWidth="1"/>
    <col min="8" max="8" width="11.85546875" customWidth="1"/>
    <col min="9" max="9" width="11.140625" customWidth="1"/>
    <col min="10" max="10" width="13.140625" customWidth="1"/>
    <col min="11" max="15" width="11.140625" customWidth="1"/>
    <col min="16" max="16" width="21" customWidth="1"/>
    <col min="17" max="25" width="11.140625" customWidth="1"/>
    <col min="26" max="26" width="19.5703125" bestFit="1" customWidth="1"/>
    <col min="27" max="27" width="19" bestFit="1" customWidth="1"/>
    <col min="28" max="28" width="14.7109375" bestFit="1" customWidth="1"/>
    <col min="29" max="29" width="20" bestFit="1" customWidth="1"/>
    <col min="30" max="30" width="9.7109375" bestFit="1" customWidth="1"/>
    <col min="31" max="31" width="13.42578125" bestFit="1" customWidth="1"/>
    <col min="32" max="37" width="12.42578125" customWidth="1"/>
  </cols>
  <sheetData>
    <row r="1" spans="1:12" x14ac:dyDescent="0.2">
      <c r="A1" s="1" t="s">
        <v>8</v>
      </c>
      <c r="F1" t="s">
        <v>9</v>
      </c>
      <c r="G1" t="str">
        <f>[1]!unf_Version()</f>
        <v>7.25</v>
      </c>
      <c r="H1" t="s">
        <v>40</v>
      </c>
      <c r="I1" s="18">
        <v>44124</v>
      </c>
      <c r="J1" s="15"/>
      <c r="K1" s="15"/>
      <c r="L1" s="15"/>
    </row>
    <row r="2" spans="1:12" x14ac:dyDescent="0.2">
      <c r="A2" t="s">
        <v>56</v>
      </c>
      <c r="H2" t="s">
        <v>41</v>
      </c>
      <c r="I2" s="19">
        <v>7.25</v>
      </c>
      <c r="J2" s="15"/>
      <c r="K2" s="15"/>
      <c r="L2" s="15"/>
    </row>
    <row r="3" spans="1:12" ht="15" x14ac:dyDescent="0.25">
      <c r="A3" s="20" t="s">
        <v>42</v>
      </c>
      <c r="B3" s="54" t="s">
        <v>43</v>
      </c>
      <c r="C3" s="55"/>
      <c r="D3" s="55"/>
      <c r="E3" s="56"/>
      <c r="H3" t="s">
        <v>44</v>
      </c>
      <c r="I3" s="15" t="s">
        <v>43</v>
      </c>
      <c r="J3" s="15"/>
      <c r="K3" s="15"/>
      <c r="L3" s="15"/>
    </row>
    <row r="4" spans="1:12" ht="15" x14ac:dyDescent="0.25">
      <c r="A4" s="20" t="s">
        <v>45</v>
      </c>
      <c r="B4" s="54" t="s">
        <v>46</v>
      </c>
      <c r="C4" s="55"/>
      <c r="D4" s="55"/>
      <c r="E4" s="56"/>
      <c r="H4" t="s">
        <v>47</v>
      </c>
      <c r="I4" s="15" t="s">
        <v>46</v>
      </c>
      <c r="J4" s="15"/>
      <c r="K4" s="15"/>
      <c r="L4" s="15"/>
    </row>
    <row r="5" spans="1:12" ht="15" x14ac:dyDescent="0.25">
      <c r="A5" s="20" t="s">
        <v>48</v>
      </c>
      <c r="B5" s="54" t="s">
        <v>49</v>
      </c>
      <c r="C5" s="55"/>
      <c r="D5" s="55"/>
      <c r="E5" s="56"/>
      <c r="H5" t="s">
        <v>50</v>
      </c>
      <c r="I5" s="15" t="s">
        <v>49</v>
      </c>
      <c r="J5" s="15"/>
      <c r="K5" s="15"/>
      <c r="L5" s="15"/>
    </row>
    <row r="6" spans="1:12" x14ac:dyDescent="0.2">
      <c r="A6" s="21" t="s">
        <v>51</v>
      </c>
      <c r="B6" s="57" t="s">
        <v>52</v>
      </c>
      <c r="C6" s="58"/>
      <c r="D6" s="58"/>
      <c r="E6" s="59"/>
      <c r="H6" s="22" t="s">
        <v>53</v>
      </c>
      <c r="I6" s="23" t="s">
        <v>52</v>
      </c>
      <c r="J6" s="23"/>
      <c r="K6" s="23"/>
      <c r="L6" s="23"/>
    </row>
    <row r="7" spans="1:12" x14ac:dyDescent="0.2">
      <c r="A7" s="24"/>
      <c r="B7" s="60"/>
      <c r="C7" s="61"/>
      <c r="D7" s="61"/>
      <c r="E7" s="62"/>
      <c r="H7" s="22"/>
      <c r="I7" s="23"/>
      <c r="J7" s="23"/>
      <c r="K7" s="23"/>
      <c r="L7" s="23"/>
    </row>
    <row r="8" spans="1:12" x14ac:dyDescent="0.2">
      <c r="A8" s="25"/>
      <c r="B8" s="63"/>
      <c r="C8" s="64"/>
      <c r="D8" s="64"/>
      <c r="E8" s="65"/>
      <c r="H8" s="22"/>
      <c r="I8" s="23"/>
      <c r="J8" s="23"/>
      <c r="K8" s="23"/>
      <c r="L8" s="23"/>
    </row>
    <row r="10" spans="1:12" x14ac:dyDescent="0.2">
      <c r="A10" s="1" t="s">
        <v>6</v>
      </c>
    </row>
    <row r="11" spans="1:12" ht="18" customHeight="1" x14ac:dyDescent="0.35">
      <c r="B11" s="7" t="s">
        <v>10</v>
      </c>
      <c r="C11" s="2">
        <v>0.9</v>
      </c>
      <c r="D11" s="8"/>
      <c r="E11" s="9">
        <f>gamma_oil_*1000</f>
        <v>900</v>
      </c>
      <c r="F11" s="10" t="s">
        <v>11</v>
      </c>
    </row>
    <row r="12" spans="1:12" ht="18" customHeight="1" x14ac:dyDescent="0.35">
      <c r="B12" s="10" t="s">
        <v>12</v>
      </c>
      <c r="C12" s="2">
        <v>1</v>
      </c>
      <c r="D12" s="8"/>
      <c r="E12" s="9">
        <f>gamma_wat_*1000</f>
        <v>1000</v>
      </c>
      <c r="F12" s="10" t="s">
        <v>11</v>
      </c>
    </row>
    <row r="13" spans="1:12" ht="18" customHeight="1" x14ac:dyDescent="0.35">
      <c r="B13" s="10" t="s">
        <v>13</v>
      </c>
      <c r="C13" s="2">
        <v>0.8</v>
      </c>
      <c r="D13" s="8"/>
      <c r="E13" s="9">
        <f>gamma_gas_*1.22</f>
        <v>0.97599999999999998</v>
      </c>
      <c r="F13" s="10" t="s">
        <v>11</v>
      </c>
    </row>
    <row r="14" spans="1:12" ht="18" customHeight="1" x14ac:dyDescent="0.35">
      <c r="B14" s="11" t="s">
        <v>14</v>
      </c>
      <c r="C14" s="2">
        <v>80</v>
      </c>
      <c r="D14" s="10" t="s">
        <v>15</v>
      </c>
      <c r="E14" s="12">
        <f>Rsb_/gamma_oil_</f>
        <v>88.888888888888886</v>
      </c>
      <c r="F14" s="10" t="s">
        <v>16</v>
      </c>
    </row>
    <row r="15" spans="1:12" ht="18" customHeight="1" x14ac:dyDescent="0.2"/>
    <row r="16" spans="1:12" ht="18" customHeight="1" x14ac:dyDescent="0.35">
      <c r="B16" s="10" t="s">
        <v>18</v>
      </c>
      <c r="C16" s="2">
        <v>120</v>
      </c>
      <c r="D16" s="8" t="s">
        <v>19</v>
      </c>
      <c r="E16" s="12">
        <f>Pb_*1.01325</f>
        <v>121.59</v>
      </c>
      <c r="F16" s="8" t="s">
        <v>20</v>
      </c>
    </row>
    <row r="17" spans="1:22" ht="18" customHeight="1" x14ac:dyDescent="0.35">
      <c r="B17" s="10" t="s">
        <v>21</v>
      </c>
      <c r="C17" s="2">
        <v>100</v>
      </c>
      <c r="D17" s="8" t="s">
        <v>1</v>
      </c>
      <c r="E17" s="12">
        <f>Tres_*9/5+32</f>
        <v>212</v>
      </c>
      <c r="F17" s="8" t="s">
        <v>22</v>
      </c>
    </row>
    <row r="18" spans="1:22" ht="18" customHeight="1" x14ac:dyDescent="0.35">
      <c r="B18" s="11" t="s">
        <v>23</v>
      </c>
      <c r="C18" s="2">
        <v>1.2</v>
      </c>
      <c r="D18" s="10" t="s">
        <v>15</v>
      </c>
    </row>
    <row r="19" spans="1:22" ht="18" customHeight="1" x14ac:dyDescent="0.35">
      <c r="B19" s="16" t="s">
        <v>38</v>
      </c>
      <c r="C19" s="2">
        <v>1</v>
      </c>
      <c r="D19" s="10" t="s">
        <v>37</v>
      </c>
    </row>
    <row r="20" spans="1:22" ht="18" customHeight="1" x14ac:dyDescent="0.2"/>
    <row r="21" spans="1:22" ht="18" customHeight="1" x14ac:dyDescent="0.2"/>
    <row r="22" spans="1:22" ht="18" customHeight="1" x14ac:dyDescent="0.2">
      <c r="A22" t="s">
        <v>81</v>
      </c>
    </row>
    <row r="23" spans="1:22" ht="18" customHeight="1" x14ac:dyDescent="0.2">
      <c r="B23" s="1" t="s">
        <v>36</v>
      </c>
      <c r="F23" t="s">
        <v>64</v>
      </c>
      <c r="J23" t="s">
        <v>77</v>
      </c>
      <c r="N23" t="s">
        <v>80</v>
      </c>
      <c r="R23" t="s">
        <v>65</v>
      </c>
      <c r="S23" s="3"/>
      <c r="T23" s="4"/>
    </row>
    <row r="24" spans="1:22" ht="18" customHeight="1" x14ac:dyDescent="0.3">
      <c r="B24" s="14" t="s">
        <v>85</v>
      </c>
      <c r="C24" s="2">
        <v>50</v>
      </c>
      <c r="D24" s="14" t="s">
        <v>2</v>
      </c>
      <c r="F24" s="17" t="s">
        <v>66</v>
      </c>
      <c r="G24" s="2">
        <v>0</v>
      </c>
      <c r="H24" s="17"/>
      <c r="J24" s="13" t="s">
        <v>78</v>
      </c>
      <c r="K24" s="2">
        <v>1000</v>
      </c>
      <c r="L24" s="17"/>
      <c r="N24" s="17" t="s">
        <v>59</v>
      </c>
      <c r="O24" s="5">
        <v>0.5</v>
      </c>
      <c r="P24" s="17"/>
      <c r="R24" s="13" t="s">
        <v>26</v>
      </c>
      <c r="S24" s="2">
        <v>30</v>
      </c>
      <c r="T24" s="17" t="s">
        <v>2</v>
      </c>
    </row>
    <row r="25" spans="1:22" ht="18" customHeight="1" x14ac:dyDescent="0.35">
      <c r="B25" s="14" t="s">
        <v>66</v>
      </c>
      <c r="C25" s="9" cm="1">
        <f t="array" ref="C25">[1]!ESP_id_by_rate(Q_ESP_)</f>
        <v>1005</v>
      </c>
      <c r="D25" s="14"/>
      <c r="F25" s="17" t="s">
        <v>67</v>
      </c>
      <c r="G25" s="2">
        <v>1000</v>
      </c>
      <c r="H25" s="17" t="s">
        <v>57</v>
      </c>
      <c r="J25" s="13" t="s">
        <v>79</v>
      </c>
      <c r="K25" s="2">
        <v>1.18</v>
      </c>
      <c r="L25" s="17"/>
      <c r="N25" s="14" t="s">
        <v>33</v>
      </c>
      <c r="O25" s="5">
        <v>0.2</v>
      </c>
      <c r="P25" s="14"/>
      <c r="R25" s="13" t="s">
        <v>29</v>
      </c>
      <c r="S25" s="2">
        <v>10</v>
      </c>
      <c r="T25" s="17" t="s">
        <v>28</v>
      </c>
    </row>
    <row r="26" spans="1:22" ht="18" customHeight="1" x14ac:dyDescent="0.35">
      <c r="B26" s="14" t="s">
        <v>86</v>
      </c>
      <c r="C26" s="2">
        <v>2000</v>
      </c>
      <c r="D26" s="14" t="s">
        <v>3</v>
      </c>
      <c r="F26" s="17" t="s">
        <v>68</v>
      </c>
      <c r="G26" s="2">
        <v>50</v>
      </c>
      <c r="H26" s="17" t="s">
        <v>4</v>
      </c>
      <c r="N26" s="14" t="s">
        <v>34</v>
      </c>
      <c r="O26" s="6">
        <v>50</v>
      </c>
      <c r="P26" s="14" t="s">
        <v>0</v>
      </c>
      <c r="R26" s="11" t="s">
        <v>17</v>
      </c>
      <c r="S26" s="2">
        <v>80</v>
      </c>
      <c r="T26" s="10" t="s">
        <v>15</v>
      </c>
      <c r="U26" s="12">
        <f>Rsb_/gamma_oil_</f>
        <v>88.888888888888886</v>
      </c>
      <c r="V26" s="10" t="s">
        <v>16</v>
      </c>
    </row>
    <row r="27" spans="1:22" ht="18" customHeight="1" x14ac:dyDescent="0.35">
      <c r="B27" s="14" t="s">
        <v>30</v>
      </c>
      <c r="C27" s="2">
        <v>55</v>
      </c>
      <c r="D27" s="14" t="s">
        <v>4</v>
      </c>
      <c r="F27" s="17" t="s">
        <v>69</v>
      </c>
      <c r="G27" s="2">
        <v>20</v>
      </c>
      <c r="H27" s="17" t="s">
        <v>58</v>
      </c>
      <c r="N27" s="14" t="s">
        <v>35</v>
      </c>
      <c r="O27" s="6">
        <v>80</v>
      </c>
      <c r="P27" s="14" t="s">
        <v>1</v>
      </c>
    </row>
    <row r="28" spans="1:22" ht="18" customHeight="1" x14ac:dyDescent="0.35">
      <c r="B28" s="13" t="s">
        <v>84</v>
      </c>
      <c r="C28" s="2">
        <v>120</v>
      </c>
      <c r="D28" s="17"/>
      <c r="F28" s="17" t="s">
        <v>70</v>
      </c>
      <c r="G28" s="2">
        <v>0.05</v>
      </c>
      <c r="H28" s="17"/>
      <c r="N28" s="17" t="s">
        <v>95</v>
      </c>
      <c r="O28" s="6">
        <v>0</v>
      </c>
      <c r="P28" s="17" t="s">
        <v>96</v>
      </c>
      <c r="R28" s="13" t="s">
        <v>93</v>
      </c>
      <c r="S28" s="2">
        <v>50</v>
      </c>
      <c r="T28" s="17" t="s">
        <v>4</v>
      </c>
    </row>
    <row r="29" spans="1:22" ht="18" customHeight="1" x14ac:dyDescent="0.35">
      <c r="B29" s="13" t="s">
        <v>55</v>
      </c>
      <c r="C29" s="2">
        <v>10</v>
      </c>
      <c r="D29" s="17"/>
      <c r="F29" s="17" t="s">
        <v>71</v>
      </c>
      <c r="G29" s="2">
        <v>0.85</v>
      </c>
      <c r="H29" s="17"/>
      <c r="R29" s="13" t="s">
        <v>92</v>
      </c>
      <c r="S29" s="2">
        <v>1000</v>
      </c>
      <c r="T29" s="17" t="s">
        <v>57</v>
      </c>
    </row>
    <row r="30" spans="1:22" ht="18" customHeight="1" x14ac:dyDescent="0.35">
      <c r="B30" s="1" t="s">
        <v>60</v>
      </c>
      <c r="F30" s="17" t="s">
        <v>72</v>
      </c>
      <c r="G30" s="2">
        <v>0.9</v>
      </c>
      <c r="H30" s="17"/>
      <c r="R30" s="13" t="s">
        <v>91</v>
      </c>
      <c r="S30" s="2">
        <v>30</v>
      </c>
      <c r="T30" s="17" t="s">
        <v>58</v>
      </c>
    </row>
    <row r="31" spans="1:22" ht="18" customHeight="1" x14ac:dyDescent="0.3">
      <c r="B31" s="13" t="s">
        <v>88</v>
      </c>
      <c r="C31" s="2">
        <v>1</v>
      </c>
      <c r="D31" s="17"/>
      <c r="F31" s="17" t="s">
        <v>73</v>
      </c>
      <c r="G31" s="2"/>
      <c r="H31" s="17"/>
    </row>
    <row r="32" spans="1:22" ht="18" customHeight="1" x14ac:dyDescent="0.3">
      <c r="B32" s="13" t="s">
        <v>89</v>
      </c>
      <c r="C32" s="2">
        <v>1</v>
      </c>
      <c r="D32" s="17"/>
      <c r="F32" s="17" t="s">
        <v>74</v>
      </c>
      <c r="G32" s="2"/>
      <c r="H32" s="17"/>
      <c r="R32" s="1" t="s">
        <v>36</v>
      </c>
      <c r="S32" s="3"/>
      <c r="T32" s="4"/>
    </row>
    <row r="33" spans="1:23" ht="18" customHeight="1" x14ac:dyDescent="0.3">
      <c r="B33" s="13" t="s">
        <v>90</v>
      </c>
      <c r="C33" s="2">
        <v>1</v>
      </c>
      <c r="D33" s="17"/>
      <c r="F33" s="17" t="s">
        <v>75</v>
      </c>
      <c r="G33" s="2"/>
      <c r="H33" s="17"/>
      <c r="R33" s="13" t="s">
        <v>24</v>
      </c>
      <c r="S33" s="2">
        <v>50</v>
      </c>
      <c r="T33" s="14" t="s">
        <v>0</v>
      </c>
    </row>
    <row r="34" spans="1:23" ht="18" customHeight="1" x14ac:dyDescent="0.3">
      <c r="F34" s="17" t="s">
        <v>76</v>
      </c>
      <c r="G34" s="2"/>
      <c r="H34" s="17"/>
      <c r="R34" s="13" t="s">
        <v>25</v>
      </c>
      <c r="S34" s="2">
        <v>80</v>
      </c>
      <c r="T34" s="14" t="s">
        <v>1</v>
      </c>
    </row>
    <row r="35" spans="1:23" ht="18" customHeight="1" x14ac:dyDescent="0.3">
      <c r="B35" s="14" t="s">
        <v>31</v>
      </c>
      <c r="C35" s="9" t="str" cm="1">
        <f t="array" ref="C35">[1]!ESP_name(PumpID_)</f>
        <v>ЭЦН5-50</v>
      </c>
      <c r="D35" s="14"/>
      <c r="F35" s="17" t="s">
        <v>82</v>
      </c>
      <c r="G35" s="2">
        <v>117</v>
      </c>
      <c r="H35" s="17" t="s">
        <v>83</v>
      </c>
      <c r="R35" s="13" t="s">
        <v>27</v>
      </c>
      <c r="S35" s="2">
        <v>150</v>
      </c>
      <c r="T35" s="14" t="s">
        <v>0</v>
      </c>
    </row>
    <row r="36" spans="1:23" ht="18" customHeight="1" x14ac:dyDescent="0.3">
      <c r="B36" s="14" t="s">
        <v>32</v>
      </c>
      <c r="C36" s="9" cm="1">
        <f t="array" ref="C36">[1]!ESP_rate_max_sm3day(Freq_,PumpID_)</f>
        <v>104.5</v>
      </c>
      <c r="D36" s="14"/>
      <c r="R36" s="13" t="s">
        <v>39</v>
      </c>
      <c r="S36" s="2">
        <v>90</v>
      </c>
      <c r="T36" s="17" t="s">
        <v>1</v>
      </c>
    </row>
    <row r="37" spans="1:23" ht="18" customHeight="1" x14ac:dyDescent="0.2">
      <c r="A37" s="1"/>
      <c r="B37" s="14" t="s">
        <v>7</v>
      </c>
      <c r="C37" s="35" cm="1">
        <f t="array" ref="C37">INT(Head_ESP_/[1]!ESP_head_m(Q_ESP_,1,,PumpID_))</f>
        <v>392</v>
      </c>
      <c r="D37" s="14" t="s">
        <v>5</v>
      </c>
    </row>
    <row r="38" spans="1:23" ht="18" customHeight="1" x14ac:dyDescent="0.2"/>
    <row r="39" spans="1:23" ht="18" customHeight="1" x14ac:dyDescent="0.2"/>
    <row r="40" spans="1:23" ht="18" customHeight="1" x14ac:dyDescent="0.2">
      <c r="B40" s="38" t="s">
        <v>87</v>
      </c>
      <c r="C40" s="39" t="str">
        <f>[1]!PVT_encode_string(gamma_gas_,gamma_oil_,,Rsb_,Rp_,Pb_,Tres_,Bob_,muob_,,KsepGasSep_,PKsep,TKsep_)</f>
        <v>{"gamma_gas":0.8,"gamma_oil":0.9,"gamma_wat":1,"rsb_m3m3":80,"rp_m3m3":80,"pb_atma":120,"t_res_C":100,"bob_m3m3":1.2,"muob_cP":1,"ksep_fr":0.2,"p_ksep_atma":50,"t_ksep_C":80}</v>
      </c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</row>
    <row r="41" spans="1:23" ht="18" customHeight="1" x14ac:dyDescent="0.2">
      <c r="B41" s="38" t="s">
        <v>61</v>
      </c>
      <c r="C41" s="39" t="str" cm="1">
        <f t="array" ref="C41">[1]!ESP_pump_encode_string(PumpID_,Head_ESP_,,Freq_,gas_degr_type_,calibr_array_,dN)</f>
        <v>{"ESP_ID":1005,"head_nom_m":2000,"freq_Hz":55,"gas_correct":120,"c_calibr_head":1,"c_calibr_rate":1,"c_calibr_power":1,"dnum_stages_integrate":10}</v>
      </c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</row>
    <row r="42" spans="1:23" ht="18" customHeight="1" x14ac:dyDescent="0.2">
      <c r="B42" s="38" t="s">
        <v>62</v>
      </c>
      <c r="C42" s="39" t="str" cm="1">
        <f t="array" ref="C42">[1]!ESP_motor_encode_string(motor_ID,U,Fsurf,Energy_fact,Unom,Pnom,Fnom,effnom,cos_phi,slipnom,dod,λ,α,χ,Ixcf)</f>
        <v>{"motor_ID":0,"U_surf_high_lin_V":1000,"f_surf_Hz":50,"power_fact_kW":30,"U_nom_lin_V":1000,"P_nom_kW":20,"F_nom_Hz":50,"eff_nom_fr":0.85,"cosphi_nom_fr":0.9,"slip_nom_fr":0.05,"d_od_mm":117}</v>
      </c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</row>
    <row r="43" spans="1:23" ht="18" customHeight="1" x14ac:dyDescent="0.2">
      <c r="B43" s="38" t="s">
        <v>63</v>
      </c>
      <c r="C43" s="39" t="str" cm="1">
        <f t="array" ref="C43">[1]!ESP_cable_encode_string(Cable_type,cable_R_Omkm,,,,,Cable_length)</f>
        <v>{"cable_X_Omkm":1.18,"length_m":1000}</v>
      </c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</row>
    <row r="44" spans="1:23" ht="18" customHeight="1" x14ac:dyDescent="0.2">
      <c r="B44" s="41" t="s">
        <v>94</v>
      </c>
      <c r="C44" s="39" t="str" cm="1">
        <f t="array" ref="C44">[1]!ESP_separation_encode_string(0,1,,PKsep,TKsep_,KsepGasSep_,Ksep_man,,5)</f>
        <v>{"separation_mode":"byCorrealation","gassep_type":1,"natsep_type":0,"psep_man_atma":50,"tsep_man_C":80,"ksep_gassep_man_d":0.2,"ksep_nat_man_d":0.5,"M_Nm":5}</v>
      </c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</row>
    <row r="45" spans="1:23" ht="24.75" customHeight="1" x14ac:dyDescent="0.2">
      <c r="B45" t="s">
        <v>54</v>
      </c>
    </row>
    <row r="46" spans="1:23" x14ac:dyDescent="0.2">
      <c r="B46" s="45" cm="1">
        <f t="array" ref="B46:N68">[1]!ESP_system_calc(Q_,fw_,0,Pintake_,Tintake_,Tdis_,PVT_json,pump_json,motor_json,cable_json,C44)</f>
        <v>172.84077391524806</v>
      </c>
      <c r="C46" s="37">
        <v>2059.5485926510855</v>
      </c>
      <c r="D46" s="29">
        <v>58.452905044703002</v>
      </c>
      <c r="E46" s="29" t="str">
        <v>{"length_motor_m":10,"length_pump_m":19.6,"angle":90,"d_od_m":0.092,"d_cas_mm":150,"d_cas_min_m":0.1217,"d_motor_cas_min_mm":123,"d_motor_od_m":117}</v>
      </c>
      <c r="F46" s="36">
        <v>7.4728584354973177E-2</v>
      </c>
      <c r="G46" s="36">
        <v>0.41379549940001004</v>
      </c>
      <c r="H46" s="29" t="str">
        <v>{"p_int_atma":50,"t_int_C":80,"p_dis_atma":222.840773915248,"t_dis_C":89.9999999999999}</v>
      </c>
      <c r="I46" s="29" t="str">
        <v>{"Pow_freq_Hz":50,"ESP_freq_Hz":47.5,"I_A":13.1661110989986,"load_%":87.2267281079748,"power_CS_kW":22.4248613483154,"power_motor_kW":20.5239360254058,"power_shaft_kW":17.4453456215949,"power_ESP_kW":15.9530891111398,"power_fluid_kW":6.60131647571696,"U_trans_high_V":1000,"U_motor_V":1000,"eff_total_d":0.294374907081102,"eff_ESP_d":0.41379549940001,"eff_fact_d":0.220043882523899,"dp_unknown_kW":7.57513865168456,"Pmotor_nom_kW":20,"power_CS_fact_kW":0,"motor_eff_fr":0.85,"cable_R_Omkm":1.18,"dPower_protector_kW":0.4,"dPower_GasSep_kW":1.49225651045515,"dPower_CS_kW":0.653151301407246,"dPower_transform_kW":0.634127477094414,"cos_phi":0.9}</v>
      </c>
      <c r="J46" s="29" t="str">
        <v>{"ID":1005,"source":"legacy","manufacturer":"Generic","name":"\u042D\u0426\u041D5-50","stages_max":582,"rate_nom_sm3day":50,"rate_opt_min_sm3day":35,"rate_opt_max_sm3day":65,"rate_max_sm3day":95,"slip_nom_rpm":2910,"freq_Hz":50,"eff_max":0.48,"Series":5,"d_od_mm":92,"d_cas_min_mm":121.7,"d_shaft_mm":17,"area_shaft_mm2":227,"power_limit_shaft_kW":72,"power_limit_shaft_high_kW":120,"power_limit_shaft_max_kW":150,"pressure_limit_housing_atma":390,"d_motor_od_mm":103,"rate_points":[0,20,35,50,65,75,85,95],"head_points":[6.5,6.2,5.8,5.1,3.9,2.9,1.7,0],"power_points":[0.056,0.051,0.055,0.06,0.066,0.07,0.072,0.076],"eff_points":[0,0.27,0.42,0.48,0.44,0.35,0.19,0]}</v>
      </c>
      <c r="K46" s="42" t="str">
        <v>{"gas_corr_":"{\"x\":[0,1,2,12,22,32,42,52,62,72,82,92,102,112,122,132,142,152,162,172,182,192,202,212,222,232,242,252,262,272,282,292,302,312,322,332,342,352,362,372,382,392],\"y\":[1,0.992567706578352,0.994330478360118,0.995388108418832,1,1,1,1,1,1,1,1,1,1,1,1,1,1,1,1,1,1,1,1,1,1,1,1,1,1,1,1,1,1,1,1,1,1,1,1,1,1]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eff_":"{\"x\":[0,1,2,12,22,32,42,52,62,72,82,92,102,112,122,132,142,152,162,172,182,192,202,212,222,232,242,252,262,272,282,292,302,312,322,332,342,352,362,372,382,392],\"y\":[0,1,1,1,1,1,1,1,1,1,1,1,1,1,1,1,1,1,1,1,1,1,1,1,1,1,1,1,1,1,1,1,1,1,1,1,1,1,1,1,1,1]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pow_":"{\"x\":[0,1,2,12,22,32,42,52,62,72,82,92,102,112,122,132,142,152,162,172,182,192,202,212,222,232,242,252,262,272,282,292,302,312,322,332,342,352,362,372,382,392],\"y\":[1,1,1,1,1,1,1,1,1,1,1,1,1,1,1,1,1,1,1,1,1,1,1,1,1,1,1,1,1,1,1,1,1,1,1,1,1,1,1,1,1,1]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q_":"{\"x\":[0,1,2,12,22,32,42,52,62,72,82,92,102,112,122,132,142,152,162,172,182,192,202,212,222,232,242,252,262,272,282,292,302,312,322,332,342,352,362,372,382,392],\"y\":[1,1,1,1,1,1,1,1,1,1,1,1,1,1,1,1,1,1,1,1,1,1,1,1,1,1,1,1,1,1,1,1,1,1,1,1,1,1,1,1,1,1]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h_":"{\"x\":[0,1,2,12,22,32,42,52,62,72,82,92,102,112,122,132,142,152,162,172,182,192,202,212,222,232,242,252,262,272,282,292,302,312,322,332,342,352,362,372,382,392],\"y\":[1,1,1,1,1,1,1,1,1,1,1,1,1,1,1,1,1,1,1,1,1,1,1,1,1,1,1,1,1,1,1,1,1,1,1,1,1,1,1,1,1,1]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mu_stage_cP":"{\"x\":[0,1,2,12,22,32,42,52,62,72,82,92,102,112,122,132,142,152,162,172,182,192,202,212,222,232,242,252,262,272,282,292,302,312,322,332,342,352,362,372,382,392],\"y\":[0.948869118547872,0.948869118547872,0.949476842428241,0.949846721387664,0.953458250109746,0.961733130596335,0.970433365008996,0.979800249500771,0.989804078506084,1.00041848398472,1.01162006825769,1.02338792336665,1.03570324082923,1.04854899212564,1.06190966504972,1.07577104458061,1.09012002948963,1.10494447779579,1.12023307562227,1.13597522511476,1.15216094795162,1.16878080166406,1.18582580653523,1.20328738128981,1.22115728614237,1.23942757205983,1.25809053532384,1.27713867666288,1.29656466436967,1.3163613009346,1.33652149281539,1.35703822303323,1.37790452633886,1.39911346673355,1.42065811716113,1.4425315412116,1.46472677669495,1.48723682095876,1.51005461783418,1.53317304610444,1.55658490939751,1.58028292741148],\"stable\":[false,false,false,false,false,false,false,false,false,false,false,false,false,false,false,false,false,false,false,false,false,false,false,false,false,false,false,false,false,false,false,false,false,false,false,false,false,false,false,false,false,false]}","EffESPInPump":"{\"x\":[0,1,2,12,22,32,42,52,62,72,82,92,102,112,122,132,142,152,162,172,182,192,202,212,222,232,242,252,262,272,282,292,302,312,322,332,342,352,362,372,382,392],\"y\":[0,0.429468335150004,0.428943816316329,0.427876526391333,0.421883754508514,0.419615156294384,0.418387506789313,0.417599829990972,0.417041455033238,0.416619060947321,0.41628474804892,0.416011276485386,0.415781933699465,0.415585846571432,0.415415602560455,0.415265951852457,0.415133056620466,0.415014035252547,0.414906674165974,0.414809239144593,0.414720348063428,0.41463888274345,0.414563926478135,0.414494718836527,0.414430622359624,0.414371097612265,0.414315684213651,0.414263986217352,0.414215660703777,0.414170408778344,0.41412796839413,0.414088108574483,0.414050624721453,0.414015334774851,0.413982076043876,0.41395070257513,0.413921082951852,0.413893098442456,0.413866641433982,0.413841614099512,0.413817927258879,0.41379549940001],\"stable\":[false,false,false,false,false,false,false,false,false,false,false,false,false,false,false,false,false,false,false,false,false,false,false,false,false,false,false,false,false,false,false,false,false,false,false,false,false,false,false,false,false,false]}","PowerESPInPump":"{\"x\":[0,1,2,12,22,32,42,52,62,72,82,92,102,112,122,132,142,152,162,172,182,192,202,212,222,232,242,252,262,272,282,292,302,312,322,332,342,352,362,372,382,392],\"y\":[0,38.333857014929,76.8946519154439,464.024598213155,869.571251500642,1275.4563378964,1681.61855369402,2088.01980161838,2494.62863041071,2901.41877492535,3308.36808076329,3715.4576933815,4122.67143739362,4529.99533500565,4937.41722781792,5344.92647649988,5752.51371988233,6160.17067991528,6567.89000240989,6975.66512597442,7383.49017336632,7791.35986081714,8199.2694218808,8607.21454310322,9015.19130937999,9423.19615730418,9831.22583514347,10239.2773683486,10647.3480297011,11055.4353133724,11463.5369122946,11871.6506983501,12279.7747049676,12687.9071117841,13096.0462310844,13504.1904957772,13912.338448704,14320.4887331066,14728.6400841071,15136.7913210731,15544.9413407602,15953.0891111398],\"stable\":[false,false,false,false,false,false,false,false,false,false,false,false,false,false,false,false,false,false,false,false,false,false,false,false,false,false,false,false,false,false,false,false,false,false,false,false,false,false,false,false,false,false]}","PowerfluidInPump":"{\"x\":[0,1,2,12,22,32,42,52,62,72,82,92,102,112,122,132,142,152,162,172,182,192,202,212,222,232,242,252,262,272,282,292,302,312,322,332,342,352,362,372,382,392],\"y\":[0,16.4631777520798,32.9834854469262,198.545233243579,366.857984395758,535.200810573061,703.56819405069,871.956714173618,1040.36355379406,1208.78636542433,1377.22317295363,1545.67229775109,1714.13230224707,1882.60194626296,2051.08015278635,2219.56598084512,2388.05860378591,2556.55729171606,2725.06139718784,2893.57034343292,3062.08361462138,3230.60074774139,3399.12132578701,3567.64497200924,3736.17134503742,3904.70013471781,4073.23105854639,4241.7638585972,4410.2982988657,4578.83416296197,4747.37125209969,4915.90938333673,5084.44838803053,5252.98811047751,5421.5284067109,5590.06914343536,5758.61019708024,5927.15145295577,6095.69280449934,6264.23415260037,6432.77540499423,6601.31647571696],\"stable\":[false,false,false,false,false,false,false,false,false,false,false,false,false,false,false,false,false,false,false,false,false,false,false,false,false,false,false,false,false,false,false,false,false,false,false,false,false,false,false,false,false,false]}","q_mix_InPump":"{\"x\":[0,1,2,12,22,32,42,52,62,72,82,92,102,112,122,132,142,152,162,172,182,192,202,212,222,232,242,252,262,272,282,292,302,312,322,332,342,352,362,372,382,392],\"y\":[35.1262372395904,35.1262372395904,34.8654570980613,34.6925913198363,32.7190606082655,32.6836237910174,32.6546524410461,32.6296992753558,32.6080552488532,32.5891688264616,32.5726040812337,32.558011967536,32.5451097424113,32.5336659632783,32.5234893772139,32.5144205741891,32.5063256348755,32.4990912388271,32.4926208561872,32.4868317531667,32.4816526155905,32.4770216467707,32.47288503291,32.4691956958429,32.4659122723012,32.4629982731558,32.4604213866991,32.4581528980021,32.4561672024095,32.4544413958506,32.4529549281883,32.4516893085818,32.4506278539859,32.4497554736003,32.4490584834162,32.4485244460731,32.4481420320874,32.4479008992004,32.4477915871454,32.4478054255851,32.4479344533356,32.4481713472974],\"stable\":[false,false,false,false,false,false,false,false,false,false,false,false,false,false,false,false,false,false,false,false,false,false,false,false,false,false,false,false,false,false,false,false,false,false,false,false,false,false,false,false,false,false]}","gas_fractionInPump":"{\"x\":[0,1,2,12,22,32,42,52,62,72,82,92,102,112,122,132,142,152,162,172,182,192,202,212,222,232,242,252,262,272,282,292,302,312,322,332,342,352,362,372,382,392],\"y\":[7.47285843549732E-02,7.47285843549732E-02,6.71901345759995E-02,6.21205178387311E-02,4.07210272947198E-18,3.73733038364504E-18,3.4582212488966E-18,3.21464989022745E-18,3.00065566127703E-18,2.81155555383162E-18,2.64360844714958E-18,2.49378433063303E-18,2.35959873842777E-18,2.23899198910316E-18,2.13023975114593E-18,2.03188585382099E-18,1.94269112054852E-18,1.86159389518031E-18,1.78767920785304E-18,1.72015440074114E-18,1.65832964014664E-18,1.60160216688932E-18,1.54944343888359E-18,1.50138853608071E-18,1.45702735429333E-18,1.41599722838991E-18,1.37797670912663E-18,1.34268027998834E-18,1.30985384683858E-18,1.27927086819307E-18,1.25072902057633E-18,1.22404731388593E-18,1.19906358755667E-18,1.17563233073897E-18,1.15362277952284E-18,1.13291725207245E-18,1.11340968884315E-18,1.09500437017673E-18,1.07761478776803E-18,1.06116264996052E-18,1.04557700371012E-18,1.03079345846755E-18],\"stable\":[false,false,false,false,false,false,false,false,false,false,false,false,false,false,false,false,false,false,false,false,false,false,false,false,false,false,false,false,false,false,false,false,false,false,false,false,false,false,false,false,false,false]}","TempInPump":"{\"x\":[0,1,2,12,22,32,42,52,62,72,82,92,102,112,122,132,142,152,162,172,182,192,202,212,222,232,242,252,262,272,282,292,302,312,322,332,342,352,362,372,382,392],\"y\":[80,80.0255102040816,80.0510204081633,80.3061224489796,80.5612244897959,80.8163265306122,81.0714285714286,81.3265306122449,81.5816326530612,81.8367346938775,82.0918367346939,82.3469387755102,82.6020408163265,82.8571428571428,83.1122448979592,83.3673469387755,83.6224489795918,83.8775510204081,84.1326530612245,84.3877551020408,84.6428571428571,84.8979591836734,85.1530612244898,85.4081632653061,85.6632653061224,85.9183673469387,86.1734693877551,86.4285714285714,86.6836734693877,86.938775510204,87.1938775510204,87.4489795918367,87.704081632653,87.9591836734693,88.2142857142857,88.469387755102,88.7244897959183,88.9795918367346,89.234693877551,89.4897959183673,89.7448979591836,89.9999999999999],\"stable\":[false,false,false,false,false,false,false,false,false,false,false,false,false,false,false,false,false,false,false,false,false,false,false,false,false,false,false,false,false,false,false,false,false,false,false,false,false,false,false,false,false,false]}","PressureInPump":"{\"x\":[0,1,2,12,22,32,42,52,62,72,82,92,102,112,122,132,142,152,162,172,182,192,202,212,222,232,242,252,262,272,282,292,302,312,322,332,342,352,362,372,382,392],\"y\":[50,50.3996494017011,50.8036852488908,54.872991657976,59.259443065264,63.6514350730426,68.0479649331102,72.4484093432449,76.8522536618165,81.2590680538023,85.6684899156851,90.0802106200383,94.4939653673462,98.9095253114483,103.326691374436,107.745289334543,112.165165885478,116.586185445734,121.008227553088,125.431184720217,129.854960656963,134.279468786589,138.704630999632,143.130376601145,147.556641416448,151.983367027616,156.410500118431,160.837991909857,165.265797671422,169.693876296615,174.122189932475,178.550703655313,182.979385185823,187.408204637996,191.837134297137,196.266148423025,200.695223074891,205.124335955362,209.55346627097,213.982594607163,218.411702816031,222.840773915248],\"stable\":[false,false,false,false,false,false,false,false,false,false,false,false,false,false,false,false,false,false,false,false,false,false,false,false,false,false,false,false,false,false,false,false,false,false,false,false,false,false,false,false,false,false]}"}</v>
      </c>
      <c r="L46" s="43" t="str">
        <v>{"ksep_nat_fr":0.617801151498606,"ksep_gassep_fr":0.715701473183534,"ksep_total_fr":0.891341430420104,"p_ksep_atma":50,"t_ksep_C":80,"isGasSep":true,"ksep_liquid_man_d":0,"d_od_m":0.125,"d_cas_m":0.135,"angle_deg":90,"gassep_type":1,"natsep_type":0,"M_Nm":5,"freq_Hz":47.5}</v>
      </c>
      <c r="M46" s="43">
        <v>0</v>
      </c>
      <c r="N46" s="46">
        <v>0</v>
      </c>
    </row>
    <row r="47" spans="1:23" s="3" customFormat="1" ht="25.5" x14ac:dyDescent="0.2">
      <c r="B47" s="30" t="str">
        <v>dP_atm</v>
      </c>
      <c r="C47" s="31" t="str">
        <v>head_m</v>
      </c>
      <c r="D47" s="31" t="str">
        <v>M_Nm</v>
      </c>
      <c r="E47" s="31" t="str">
        <v>geometry</v>
      </c>
      <c r="F47" s="31" t="str">
        <v>gas_frac_intake</v>
      </c>
      <c r="G47" s="31" t="str">
        <v>eff_ESP_d</v>
      </c>
      <c r="H47" s="31" t="str">
        <v>dict_pressure</v>
      </c>
      <c r="I47" s="31" t="str">
        <v>dict_power</v>
      </c>
      <c r="J47" s="31" t="str">
        <v>db_json_string</v>
      </c>
      <c r="K47" s="31" t="str">
        <v>dict_curves</v>
      </c>
      <c r="L47" s="31" t="str">
        <v>dict_separ</v>
      </c>
      <c r="M47" s="31">
        <v>0</v>
      </c>
      <c r="N47" s="47">
        <v>0</v>
      </c>
      <c r="P47" s="3" t="str" cm="1">
        <f t="array" ref="P47:Q70">[1]!decode_json_string(I46)</f>
        <v>Pow_freq_Hz</v>
      </c>
      <c r="Q47" s="3">
        <v>50</v>
      </c>
      <c r="S47" s="3" t="str" cm="1">
        <f t="array" ref="S47:T60">[1]!decode_json_string(L46)</f>
        <v>ksep_nat_fr</v>
      </c>
      <c r="T47" s="44">
        <v>0.61780115149860604</v>
      </c>
      <c r="V47" s="26" t="str">
        <f>K46</f>
        <v>{"gas_corr_":"{\"x\":[0,1,2,12,22,32,42,52,62,72,82,92,102,112,122,132,142,152,162,172,182,192,202,212,222,232,242,252,262,272,282,292,302,312,322,332,342,352,362,372,382,392],\"y\":[1,0.992567706578352,0.994330478360118,0.995388108418832,1,1,1,1,1,1,1,1,1,1,1,1,1,1,1,1,1,1,1,1,1,1,1,1,1,1,1,1,1,1,1,1,1,1,1,1,1,1]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eff_":"{\"x\":[0,1,2,12,22,32,42,52,62,72,82,92,102,112,122,132,142,152,162,172,182,192,202,212,222,232,242,252,262,272,282,292,302,312,322,332,342,352,362,372,382,392],\"y\":[0,1,1,1,1,1,1,1,1,1,1,1,1,1,1,1,1,1,1,1,1,1,1,1,1,1,1,1,1,1,1,1,1,1,1,1,1,1,1,1,1,1]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pow_":"{\"x\":[0,1,2,12,22,32,42,52,62,72,82,92,102,112,122,132,142,152,162,172,182,192,202,212,222,232,242,252,262,272,282,292,302,312,322,332,342,352,362,372,382,392],\"y\":[1,1,1,1,1,1,1,1,1,1,1,1,1,1,1,1,1,1,1,1,1,1,1,1,1,1,1,1,1,1,1,1,1,1,1,1,1,1,1,1,1,1]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q_":"{\"x\":[0,1,2,12,22,32,42,52,62,72,82,92,102,112,122,132,142,152,162,172,182,192,202,212,222,232,242,252,262,272,282,292,302,312,322,332,342,352,362,372,382,392],\"y\":[1,1,1,1,1,1,1,1,1,1,1,1,1,1,1,1,1,1,1,1,1,1,1,1,1,1,1,1,1,1,1,1,1,1,1,1,1,1,1,1,1,1]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h_":"{\"x\":[0,1,2,12,22,32,42,52,62,72,82,92,102,112,122,132,142,152,162,172,182,192,202,212,222,232,242,252,262,272,282,292,302,312,322,332,342,352,362,372,382,392],\"y\":[1,1,1,1,1,1,1,1,1,1,1,1,1,1,1,1,1,1,1,1,1,1,1,1,1,1,1,1,1,1,1,1,1,1,1,1,1,1,1,1,1,1]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mu_stage_cP":"{\"x\":[0,1,2,12,22,32,42,52,62,72,82,92,102,112,122,132,142,152,162,172,182,192,202,212,222,232,242,252,262,272,282,292,302,312,322,332,342,352,362,372,382,392],\"y\":[0.948869118547872,0.948869118547872,0.949476842428241,0.949846721387664,0.953458250109746,0.961733130596335,0.970433365008996,0.979800249500771,0.989804078506084,1.00041848398472,1.01162006825769,1.02338792336665,1.03570324082923,1.04854899212564,1.06190966504972,1.07577104458061,1.09012002948963,1.10494447779579,1.12023307562227,1.13597522511476,1.15216094795162,1.16878080166406,1.18582580653523,1.20328738128981,1.22115728614237,1.23942757205983,1.25809053532384,1.27713867666288,1.29656466436967,1.3163613009346,1.33652149281539,1.35703822303323,1.37790452633886,1.39911346673355,1.42065811716113,1.4425315412116,1.46472677669495,1.48723682095876,1.51005461783418,1.53317304610444,1.55658490939751,1.58028292741148],\"stable\":[false,false,false,false,false,false,false,false,false,false,false,false,false,false,false,false,false,false,false,false,false,false,false,false,false,false,false,false,false,false,false,false,false,false,false,false,false,false,false,false,false,false]}","EffESPInPump":"{\"x\":[0,1,2,12,22,32,42,52,62,72,82,92,102,112,122,132,142,152,162,172,182,192,202,212,222,232,242,252,262,272,282,292,302,312,322,332,342,352,362,372,382,392],\"y\":[0,0.429468335150004,0.428943816316329,0.427876526391333,0.421883754508514,0.419615156294384,0.418387506789313,0.417599829990972,0.417041455033238,0.416619060947321,0.41628474804892,0.416011276485386,0.415781933699465,0.415585846571432,0.415415602560455,0.415265951852457,0.415133056620466,0.415014035252547,0.414906674165974,0.414809239144593,0.414720348063428,0.41463888274345,0.414563926478135,0.414494718836527,0.414430622359624,0.414371097612265,0.414315684213651,0.414263986217352,0.414215660703777,0.414170408778344,0.41412796839413,0.414088108574483,0.414050624721453,0.414015334774851,0.413982076043876,0.41395070257513,0.413921082951852,0.413893098442456,0.413866641433982,0.413841614099512,0.413817927258879,0.41379549940001],\"stable\":[false,false,false,false,false,false,false,false,false,false,false,false,false,false,false,false,false,false,false,false,false,false,false,false,false,false,false,false,false,false,false,false,false,false,false,false,false,false,false,false,false,false]}","PowerESPInPump":"{\"x\":[0,1,2,12,22,32,42,52,62,72,82,92,102,112,122,132,142,152,162,172,182,192,202,212,222,232,242,252,262,272,282,292,302,312,322,332,342,352,362,372,382,392],\"y\":[0,38.333857014929,76.8946519154439,464.024598213155,869.571251500642,1275.4563378964,1681.61855369402,2088.01980161838,2494.62863041071,2901.41877492535,3308.36808076329,3715.4576933815,4122.67143739362,4529.99533500565,4937.41722781792,5344.92647649988,5752.51371988233,6160.17067991528,6567.89000240989,6975.66512597442,7383.49017336632,7791.35986081714,8199.2694218808,8607.21454310322,9015.19130937999,9423.19615730418,9831.22583514347,10239.2773683486,10647.3480297011,11055.4353133724,11463.5369122946,11871.6506983501,12279.7747049676,12687.9071117841,13096.0462310844,13504.1904957772,13912.338448704,14320.4887331066,14728.6400841071,15136.7913210731,15544.9413407602,15953.0891111398],\"stable\":[false,false,false,false,false,false,false,false,false,false,false,false,false,false,false,false,false,false,false,false,false,false,false,false,false,false,false,false,false,false,false,false,false,false,false,false,false,false,false,false,false,false]}","PowerfluidInPump":"{\"x\":[0,1,2,12,22,32,42,52,62,72,82,92,102,112,122,132,142,152,162,172,182,192,202,212,222,232,242,252,262,272,282,292,302,312,322,332,342,352,362,372,382,392],\"y\":[0,16.4631777520798,32.9834854469262,198.545233243579,366.857984395758,535.200810573061,703.56819405069,871.956714173618,1040.36355379406,1208.78636542433,1377.22317295363,1545.67229775109,1714.13230224707,1882.60194626296,2051.08015278635,2219.56598084512,2388.05860378591,2556.55729171606,2725.06139718784,2893.57034343292,3062.08361462138,3230.60074774139,3399.12132578701,3567.64497200924,3736.17134503742,3904.70013471781,4073.23105854639,4241.7638585972,4410.2982988657,4578.83416296197,4747.37125209969,4915.90938333673,5084.44838803053,5252.98811047751,5421.5284067109,5590.06914343536,5758.61019708024,5927.15145295577,6095.69280449934,6264.23415260037,6432.77540499423,6601.31647571696],\"stable\":[false,false,false,false,false,false,false,false,false,false,false,false,false,false,false,false,false,false,false,false,false,false,false,false,false,false,false,false,false,false,false,false,false,false,false,false,false,false,false,false,false,false]}","q_mix_InPump":"{\"x\":[0,1,2,12,22,32,42,52,62,72,82,92,102,112,122,132,142,152,162,172,182,192,202,212,222,232,242,252,262,272,282,292,302,312,322,332,342,352,362,372,382,392],\"y\":[35.1262372395904,35.1262372395904,34.8654570980613,34.6925913198363,32.7190606082655,32.6836237910174,32.6546524410461,32.6296992753558,32.6080552488532,32.5891688264616,32.5726040812337,32.558011967536,32.5451097424113,32.5336659632783,32.5234893772139,32.5144205741891,32.5063256348755,32.4990912388271,32.4926208561872,32.4868317531667,32.4816526155905,32.4770216467707,32.47288503291,32.4691956958429,32.4659122723012,32.4629982731558,32.4604213866991,32.4581528980021,32.4561672024095,32.4544413958506,32.4529549281883,32.4516893085818,32.4506278539859,32.4497554736003,32.4490584834162,32.4485244460731,32.4481420320874,32.4479008992004,32.4477915871454,32.4478054255851,32.4479344533356,32.4481713472974],\"stable\":[false,false,false,false,false,false,false,false,false,false,false,false,false,false,false,false,false,false,false,false,false,false,false,false,false,false,false,false,false,false,false,false,false,false,false,false,false,false,false,false,false,false]}","gas_fractionInPump":"{\"x\":[0,1,2,12,22,32,42,52,62,72,82,92,102,112,122,132,142,152,162,172,182,192,202,212,222,232,242,252,262,272,282,292,302,312,322,332,342,352,362,372,382,392],\"y\":[7.47285843549732E-02,7.47285843549732E-02,6.71901345759995E-02,6.21205178387311E-02,4.07210272947198E-18,3.73733038364504E-18,3.4582212488966E-18,3.21464989022745E-18,3.00065566127703E-18,2.81155555383162E-18,2.64360844714958E-18,2.49378433063303E-18,2.35959873842777E-18,2.23899198910316E-18,2.13023975114593E-18,2.03188585382099E-18,1.94269112054852E-18,1.86159389518031E-18,1.78767920785304E-18,1.72015440074114E-18,1.65832964014664E-18,1.60160216688932E-18,1.54944343888359E-18,1.50138853608071E-18,1.45702735429333E-18,1.41599722838991E-18,1.37797670912663E-18,1.34268027998834E-18,1.30985384683858E-18,1.27927086819307E-18,1.25072902057633E-18,1.22404731388593E-18,1.19906358755667E-18,1.17563233073897E-18,1.15362277952284E-18,1.13291725207245E-18,1.11340968884315E-18,1.09500437017673E-18,1.07761478776803E-18,1.06116264996052E-18,1.04557700371012E-18,1.03079345846755E-18],\"stable\":[false,false,false,false,false,false,false,false,false,false,false,false,false,false,false,false,false,false,false,false,false,false,false,false,false,false,false,false,false,false,false,false,false,false,false,false,false,false,false,false,false,false]}","TempInPump":"{\"x\":[0,1,2,12,22,32,42,52,62,72,82,92,102,112,122,132,142,152,162,172,182,192,202,212,222,232,242,252,262,272,282,292,302,312,322,332,342,352,362,372,382,392],\"y\":[80,80.0255102040816,80.0510204081633,80.3061224489796,80.5612244897959,80.8163265306122,81.0714285714286,81.3265306122449,81.5816326530612,81.8367346938775,82.0918367346939,82.3469387755102,82.6020408163265,82.8571428571428,83.1122448979592,83.3673469387755,83.6224489795918,83.8775510204081,84.1326530612245,84.3877551020408,84.6428571428571,84.8979591836734,85.1530612244898,85.4081632653061,85.6632653061224,85.9183673469387,86.1734693877551,86.4285714285714,86.6836734693877,86.938775510204,87.1938775510204,87.4489795918367,87.704081632653,87.9591836734693,88.2142857142857,88.469387755102,88.7244897959183,88.9795918367346,89.234693877551,89.4897959183673,89.7448979591836,89.9999999999999],\"stable\":[false,false,false,false,false,false,false,false,false,false,false,false,false,false,false,false,false,false,false,false,false,false,false,false,false,false,false,false,false,false,false,false,false,false,false,false,false,false,false,false,false,false]}","PressureInPump":"{\"x\":[0,1,2,12,22,32,42,52,62,72,82,92,102,112,122,132,142,152,162,172,182,192,202,212,222,232,242,252,262,272,282,292,302,312,322,332,342,352,362,372,382,392],\"y\":[50,50.3996494017011,50.8036852488908,54.872991657976,59.259443065264,63.6514350730426,68.0479649331102,72.4484093432449,76.8522536618165,81.2590680538023,85.6684899156851,90.0802106200383,94.4939653673462,98.9095253114483,103.326691374436,107.745289334543,112.165165885478,116.586185445734,121.008227553088,125.431184720217,129.854960656963,134.279468786589,138.704630999632,143.130376601145,147.556641416448,151.983367027616,156.410500118431,160.837991909857,165.265797671422,169.693876296615,174.122189932475,178.550703655313,182.979385185823,187.408204637996,191.837134297137,196.266148423025,200.695223074891,205.124335955362,209.55346627097,213.982594607163,218.411702816031,222.840773915248],\"stable\":[false,false,false,false,false,false,false,false,false,false,false,false,false,false,false,false,false,false,false,false,false,false,false,false,false,false,false,false,false,false,false,false,false,false,false,false,false,false,false,false,false,false]}"}</v>
      </c>
      <c r="W47" s="53"/>
    </row>
    <row r="48" spans="1:23" s="3" customFormat="1" ht="25.5" x14ac:dyDescent="0.2">
      <c r="B48" s="32" t="str">
        <v>i</v>
      </c>
      <c r="C48" s="34" t="str">
        <v>n_stage</v>
      </c>
      <c r="D48" s="34" t="str">
        <v>length_m</v>
      </c>
      <c r="E48" s="34" t="str">
        <v>p_atma</v>
      </c>
      <c r="F48" s="34" t="str">
        <v>t_C</v>
      </c>
      <c r="G48" s="34" t="str">
        <v>gas_fraction</v>
      </c>
      <c r="H48" s="34" t="str">
        <v>qmix_rm3day</v>
      </c>
      <c r="I48" s="34" t="str">
        <v>Power_fluid_W</v>
      </c>
      <c r="J48" s="34" t="str">
        <v>Power_ESP_W</v>
      </c>
      <c r="K48" s="34" t="str">
        <v>eff fluid</v>
      </c>
      <c r="L48" s="34" t="str">
        <v>mu_stage_cP</v>
      </c>
      <c r="M48" s="34">
        <v>0</v>
      </c>
      <c r="N48" s="48">
        <v>0</v>
      </c>
      <c r="P48" s="3" t="str">
        <v>ESP_freq_Hz</v>
      </c>
      <c r="Q48" s="3">
        <v>47.5</v>
      </c>
      <c r="S48" s="3" t="str">
        <v>ksep_gassep_fr</v>
      </c>
      <c r="T48" s="44">
        <v>0.71570147318353405</v>
      </c>
      <c r="W48" s="53"/>
    </row>
    <row r="49" spans="2:23" s="3" customFormat="1" x14ac:dyDescent="0.2">
      <c r="B49" s="32">
        <v>1</v>
      </c>
      <c r="C49" s="40">
        <v>0</v>
      </c>
      <c r="D49" s="40">
        <v>1019.6</v>
      </c>
      <c r="E49" s="40">
        <v>50</v>
      </c>
      <c r="F49" s="40">
        <v>80</v>
      </c>
      <c r="G49" s="33">
        <v>7.4728584354973177E-2</v>
      </c>
      <c r="H49" s="40">
        <v>35.126237239590388</v>
      </c>
      <c r="I49" s="40">
        <v>0</v>
      </c>
      <c r="J49" s="40">
        <v>0</v>
      </c>
      <c r="K49" s="33">
        <v>0</v>
      </c>
      <c r="L49" s="33">
        <v>0.94886911854787237</v>
      </c>
      <c r="M49" s="33">
        <v>0</v>
      </c>
      <c r="N49" s="49">
        <v>0</v>
      </c>
      <c r="P49" s="3" t="str">
        <v>I_A</v>
      </c>
      <c r="Q49" s="3">
        <v>13.1661110989986</v>
      </c>
      <c r="S49" s="3" t="str">
        <v>ksep_total_fr</v>
      </c>
      <c r="T49" s="3">
        <v>0.89134143042010405</v>
      </c>
      <c r="W49" s="53"/>
    </row>
    <row r="50" spans="2:23" s="3" customFormat="1" x14ac:dyDescent="0.2">
      <c r="B50" s="32">
        <v>2</v>
      </c>
      <c r="C50" s="40">
        <v>20.631578947368421</v>
      </c>
      <c r="D50" s="40">
        <v>1018.5684210526316</v>
      </c>
      <c r="E50" s="40">
        <v>58.659191820056186</v>
      </c>
      <c r="F50" s="40">
        <v>80.526315789473671</v>
      </c>
      <c r="G50" s="33">
        <v>8.5007024410895249E-3</v>
      </c>
      <c r="H50" s="40">
        <v>32.989122705638387</v>
      </c>
      <c r="I50" s="40">
        <v>343.82571318545968</v>
      </c>
      <c r="J50" s="40">
        <v>814.07539368235393</v>
      </c>
      <c r="K50" s="33">
        <v>0.42270381802932078</v>
      </c>
      <c r="L50" s="33">
        <v>0.9529640409161978</v>
      </c>
      <c r="M50" s="33">
        <v>0</v>
      </c>
      <c r="N50" s="49">
        <v>0</v>
      </c>
      <c r="P50" s="3" t="str">
        <v>load_%</v>
      </c>
      <c r="Q50" s="3">
        <v>87.226728107974793</v>
      </c>
      <c r="S50" s="3" t="str">
        <v>p_ksep_atma</v>
      </c>
      <c r="T50" s="3">
        <v>50</v>
      </c>
      <c r="W50" s="53"/>
    </row>
    <row r="51" spans="2:23" s="3" customFormat="1" x14ac:dyDescent="0.2">
      <c r="B51" s="32">
        <v>3</v>
      </c>
      <c r="C51" s="40">
        <v>41.263157894736842</v>
      </c>
      <c r="D51" s="40">
        <v>1017.5368421052632</v>
      </c>
      <c r="E51" s="40">
        <v>67.724010101315713</v>
      </c>
      <c r="F51" s="40">
        <v>81.052631578947356</v>
      </c>
      <c r="G51" s="33">
        <v>3.4787871851412207E-18</v>
      </c>
      <c r="H51" s="40">
        <v>32.656787172096642</v>
      </c>
      <c r="I51" s="40">
        <v>691.16217632075984</v>
      </c>
      <c r="J51" s="40">
        <v>1651.6908114773514</v>
      </c>
      <c r="K51" s="33">
        <v>0.41847796517389707</v>
      </c>
      <c r="L51" s="33">
        <v>0.9697922951049055</v>
      </c>
      <c r="M51" s="33">
        <v>0</v>
      </c>
      <c r="N51" s="49">
        <v>0</v>
      </c>
      <c r="P51" s="3" t="str">
        <v>power_CS_kW</v>
      </c>
      <c r="Q51" s="3">
        <v>22.4248613483154</v>
      </c>
      <c r="S51" s="3" t="str">
        <v>t_ksep_C</v>
      </c>
      <c r="T51" s="3">
        <v>80</v>
      </c>
      <c r="V51" t="str" cm="1">
        <f t="array" ref="V51:W63">[1]!decode_json_string(V47)</f>
        <v>gas_corr_</v>
      </c>
      <c r="W51" s="53" t="str">
        <v>{"x":[0,1,2,12,22,32,42,52,62,72,82,92,102,112,122,132,142,152,162,172,182,192,202,212,222,232,242,252,262,272,282,292,302,312,322,332,342,352,362,372,382,392],"y":[1,0.992567706578352,0.994330478360118,0.995388108418832,1,1,1,1,1,1,1,1,1,1,1,1,1,1,1,1,1,1,1,1,1,1,1,1,1,1,1,1,1,1,1,1,1,1,1,1,1,1]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2" spans="2:23" s="3" customFormat="1" x14ac:dyDescent="0.2">
      <c r="B52" s="32">
        <v>4</v>
      </c>
      <c r="C52" s="40">
        <v>61.89473684210526</v>
      </c>
      <c r="D52" s="40">
        <v>1016.5052631578948</v>
      </c>
      <c r="E52" s="40">
        <v>76.805897405831544</v>
      </c>
      <c r="F52" s="40">
        <v>81.578947368421041</v>
      </c>
      <c r="G52" s="33">
        <v>3.0029082321080906E-18</v>
      </c>
      <c r="H52" s="40">
        <v>32.608283080711168</v>
      </c>
      <c r="I52" s="40">
        <v>1038.5908502191048</v>
      </c>
      <c r="J52" s="40">
        <v>2490.3485374760562</v>
      </c>
      <c r="K52" s="33">
        <v>0.41704733266437183</v>
      </c>
      <c r="L52" s="33">
        <v>0.98969877504287029</v>
      </c>
      <c r="M52" s="33">
        <v>0</v>
      </c>
      <c r="N52" s="49">
        <v>0</v>
      </c>
      <c r="P52" s="3" t="str">
        <v>power_motor_kW</v>
      </c>
      <c r="Q52" s="3">
        <v>20.523936025405799</v>
      </c>
      <c r="S52" s="3" t="str">
        <v>isGasSep</v>
      </c>
      <c r="T52" s="3" t="b">
        <v>1</v>
      </c>
      <c r="V52" s="3" t="str">
        <v>corr_visc_eff_</v>
      </c>
      <c r="W52" s="53" t="str">
        <v>{"x":[0,1,2,12,22,32,42,52,62,72,82,92,102,112,122,132,142,152,162,172,182,192,202,212,222,232,242,252,262,272,282,292,302,312,322,332,342,352,362,372,382,392],"y":[0,1,1,1,1,1,1,1,1,1,1,1,1,1,1,1,1,1,1,1,1,1,1,1,1,1,1,1,1,1,1,1,1,1,1,1,1,1,1,1,1,1]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3" spans="2:23" s="3" customFormat="1" x14ac:dyDescent="0.2">
      <c r="B53" s="32">
        <v>5</v>
      </c>
      <c r="C53" s="40">
        <v>82.526315789473685</v>
      </c>
      <c r="D53" s="40">
        <v>1015.4736842105264</v>
      </c>
      <c r="E53" s="40">
        <v>85.900685742229996</v>
      </c>
      <c r="F53" s="40">
        <v>82.105263157894711</v>
      </c>
      <c r="G53" s="33">
        <v>2.6357229673329233E-18</v>
      </c>
      <c r="H53" s="40">
        <v>32.571836075249628</v>
      </c>
      <c r="I53" s="40">
        <v>1386.088916364027</v>
      </c>
      <c r="J53" s="40">
        <v>3329.7938498484586</v>
      </c>
      <c r="K53" s="33">
        <v>0.41627035480873392</v>
      </c>
      <c r="L53" s="33">
        <v>1.0122394290529011</v>
      </c>
      <c r="M53" s="33">
        <v>0</v>
      </c>
      <c r="N53" s="49">
        <v>0</v>
      </c>
      <c r="P53" s="3" t="str">
        <v>power_shaft_kW</v>
      </c>
      <c r="Q53" s="3">
        <v>17.4453456215949</v>
      </c>
      <c r="S53" s="3" t="str">
        <v>ksep_liquid_man_d</v>
      </c>
      <c r="T53" s="3">
        <v>0</v>
      </c>
      <c r="V53" s="3" t="str">
        <v>corr_visc_pow_</v>
      </c>
      <c r="W53" s="53" t="str">
        <v>{"x":[0,1,2,12,22,32,42,52,62,72,82,92,102,112,122,132,142,152,162,172,182,192,202,212,222,232,242,252,262,272,282,292,302,312,322,332,342,352,362,372,382,392],"y":[1,1,1,1,1,1,1,1,1,1,1,1,1,1,1,1,1,1,1,1,1,1,1,1,1,1,1,1,1,1,1,1,1,1,1,1,1,1,1,1,1,1]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4" spans="2:23" s="3" customFormat="1" x14ac:dyDescent="0.2">
      <c r="B54" s="32">
        <v>6</v>
      </c>
      <c r="C54" s="40">
        <v>103.15789473684211</v>
      </c>
      <c r="D54" s="40">
        <v>1014.4421052631579</v>
      </c>
      <c r="E54" s="40">
        <v>95.00524072929484</v>
      </c>
      <c r="F54" s="40">
        <v>82.631578947368396</v>
      </c>
      <c r="G54" s="33">
        <v>2.3456337464007109E-18</v>
      </c>
      <c r="H54" s="40">
        <v>32.543784673248503</v>
      </c>
      <c r="I54" s="40">
        <v>1733.6393136594402</v>
      </c>
      <c r="J54" s="40">
        <v>4169.835257117119</v>
      </c>
      <c r="K54" s="33">
        <v>0.41575922887411415</v>
      </c>
      <c r="L54" s="33">
        <v>1.0371906436109239</v>
      </c>
      <c r="M54" s="33">
        <v>0</v>
      </c>
      <c r="N54" s="49">
        <v>0</v>
      </c>
      <c r="P54" s="3" t="str">
        <v>power_ESP_kW</v>
      </c>
      <c r="Q54" s="3">
        <v>15.9530891111398</v>
      </c>
      <c r="S54" s="3" t="str">
        <v>d_od_m</v>
      </c>
      <c r="T54" s="3">
        <v>0.125</v>
      </c>
      <c r="V54" s="3" t="str">
        <v>corr_visc_q_</v>
      </c>
      <c r="W54" s="53" t="str">
        <v>{"x":[0,1,2,12,22,32,42,52,62,72,82,92,102,112,122,132,142,152,162,172,182,192,202,212,222,232,242,252,262,272,282,292,302,312,322,332,342,352,362,372,382,392],"y":[1,1,1,1,1,1,1,1,1,1,1,1,1,1,1,1,1,1,1,1,1,1,1,1,1,1,1,1,1,1,1,1,1,1,1,1,1,1,1,1,1,1]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5" spans="2:23" s="3" customFormat="1" x14ac:dyDescent="0.2">
      <c r="B55" s="32">
        <v>7</v>
      </c>
      <c r="C55" s="40">
        <v>123.78947368421052</v>
      </c>
      <c r="D55" s="40">
        <v>1013.4105263157895</v>
      </c>
      <c r="E55" s="40">
        <v>104.11738785150798</v>
      </c>
      <c r="F55" s="40">
        <v>83.157894736842081</v>
      </c>
      <c r="G55" s="33">
        <v>2.1126395800456797E-18</v>
      </c>
      <c r="H55" s="40">
        <v>32.52186653877785</v>
      </c>
      <c r="I55" s="40">
        <v>2081.2302483337103</v>
      </c>
      <c r="J55" s="40">
        <v>5010.3399354767962</v>
      </c>
      <c r="K55" s="33">
        <v>0.41538882296007629</v>
      </c>
      <c r="L55" s="33">
        <v>1.0643901224394561</v>
      </c>
      <c r="M55" s="33">
        <v>0</v>
      </c>
      <c r="N55" s="49">
        <v>0</v>
      </c>
      <c r="P55" s="3" t="str">
        <v>power_fluid_kW</v>
      </c>
      <c r="Q55" s="3">
        <v>6.6013164757169598</v>
      </c>
      <c r="S55" s="3" t="str">
        <v>d_cas_m</v>
      </c>
      <c r="T55" s="3">
        <v>0.13500000000000001</v>
      </c>
      <c r="V55" s="3" t="str">
        <v>corr_visc_h_</v>
      </c>
      <c r="W55" s="53" t="str">
        <v>{"x":[0,1,2,12,22,32,42,52,62,72,82,92,102,112,122,132,142,152,162,172,182,192,202,212,222,232,242,252,262,272,282,292,302,312,322,332,342,352,362,372,382,392],"y":[1,1,1,1,1,1,1,1,1,1,1,1,1,1,1,1,1,1,1,1,1,1,1,1,1,1,1,1,1,1,1,1,1,1,1,1,1,1,1,1,1,1]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6" spans="2:23" s="3" customFormat="1" x14ac:dyDescent="0.2">
      <c r="B56" s="32">
        <v>8</v>
      </c>
      <c r="C56" s="40">
        <v>144.42105263157896</v>
      </c>
      <c r="D56" s="40">
        <v>1012.3789473684211</v>
      </c>
      <c r="E56" s="40">
        <v>113.23551798953993</v>
      </c>
      <c r="F56" s="40">
        <v>83.684210526315766</v>
      </c>
      <c r="G56" s="33">
        <v>1.9230570554593722E-18</v>
      </c>
      <c r="H56" s="40">
        <v>32.504574149516436</v>
      </c>
      <c r="I56" s="40">
        <v>2428.8530229690036</v>
      </c>
      <c r="J56" s="40">
        <v>5851.2096154692517</v>
      </c>
      <c r="K56" s="33">
        <v>0.41510424092086418</v>
      </c>
      <c r="L56" s="33">
        <v>1.0937091064479636</v>
      </c>
      <c r="M56" s="33">
        <v>0</v>
      </c>
      <c r="N56" s="49">
        <v>0</v>
      </c>
      <c r="P56" s="3" t="str">
        <v>U_trans_high_V</v>
      </c>
      <c r="Q56" s="3">
        <v>1000</v>
      </c>
      <c r="S56" s="3" t="str">
        <v>angle_deg</v>
      </c>
      <c r="T56" s="3">
        <v>90</v>
      </c>
      <c r="V56" s="3" t="str">
        <v>mu_stage_cP</v>
      </c>
      <c r="W56" s="53" t="str">
        <v>{"x":[0,1,2,12,22,32,42,52,62,72,82,92,102,112,122,132,142,152,162,172,182,192,202,212,222,232,242,252,262,272,282,292,302,312,322,332,342,352,362,372,382,392],"y":[0.948869118547872,0.948869118547872,0.949476842428241,0.949846721387664,0.953458250109746,0.961733130596335,0.970433365008996,0.979800249500771,0.989804078506084,1.00041848398472,1.01162006825769,1.02338792336665,1.03570324082923,1.04854899212564,1.06190966504972,1.07577104458061,1.09012002948963,1.10494447779579,1.12023307562227,1.13597522511476,1.15216094795162,1.16878080166406,1.18582580653523,1.20328738128981,1.22115728614237,1.23942757205983,1.25809053532384,1.27713867666288,1.29656466436967,1.3163613009346,1.33652149281539,1.35703822303323,1.37790452633886,1.39911346673355,1.42065811716113,1.4425315412116,1.46472677669495,1.48723682095876,1.51005461783418,1.53317304610444,1.55658490939751,1.58028292741148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7" spans="2:23" s="3" customFormat="1" x14ac:dyDescent="0.2">
      <c r="B57" s="32">
        <v>9</v>
      </c>
      <c r="C57" s="40">
        <v>165.05263157894737</v>
      </c>
      <c r="D57" s="40">
        <v>1011.3473684210527</v>
      </c>
      <c r="E57" s="40">
        <v>122.35839342515902</v>
      </c>
      <c r="F57" s="40">
        <v>84.210526315789437</v>
      </c>
      <c r="G57" s="33">
        <v>1.7670663719978285E-18</v>
      </c>
      <c r="H57" s="40">
        <v>32.490853656317782</v>
      </c>
      <c r="I57" s="40">
        <v>2776.5009702521279</v>
      </c>
      <c r="J57" s="40">
        <v>6692.3687243401164</v>
      </c>
      <c r="K57" s="33">
        <v>0.41487693084365779</v>
      </c>
      <c r="L57" s="33">
        <v>1.1250385738884021</v>
      </c>
      <c r="M57" s="33">
        <v>0</v>
      </c>
      <c r="N57" s="49">
        <v>0</v>
      </c>
      <c r="P57" s="3" t="str">
        <v>U_motor_V</v>
      </c>
      <c r="Q57" s="3">
        <v>1000</v>
      </c>
      <c r="S57" s="3" t="str">
        <v>gassep_type</v>
      </c>
      <c r="T57" s="3">
        <v>1</v>
      </c>
      <c r="V57" s="3" t="str">
        <v>EffESPInPump</v>
      </c>
      <c r="W57" s="53" t="str">
        <v>{"x":[0,1,2,12,22,32,42,52,62,72,82,92,102,112,122,132,142,152,162,172,182,192,202,212,222,232,242,252,262,272,282,292,302,312,322,332,342,352,362,372,382,392],"y":[0,0.429468335150004,0.428943816316329,0.427876526391333,0.421883754508514,0.419615156294384,0.418387506789313,0.417599829990972,0.417041455033238,0.416619060947321,0.41628474804892,0.416011276485386,0.415781933699465,0.415585846571432,0.415415602560455,0.415265951852457,0.415133056620466,0.415014035252547,0.414906674165974,0.414809239144593,0.414720348063428,0.41463888274345,0.414563926478135,0.414494718836527,0.414430622359624,0.414371097612265,0.414315684213651,0.414263986217352,0.414215660703777,0.414170408778344,0.41412796839413,0.414088108574483,0.414050624721453,0.414015334774851,0.413982076043876,0.41395070257513,0.413921082951852,0.413893098442456,0.413866641433982,0.413841614099512,0.413817927258879,0.41379549940001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8" spans="2:23" s="3" customFormat="1" x14ac:dyDescent="0.2">
      <c r="B58" s="32">
        <v>10</v>
      </c>
      <c r="C58" s="40">
        <v>185.68421052631578</v>
      </c>
      <c r="D58" s="40">
        <v>1010.3157894736843</v>
      </c>
      <c r="E58" s="40">
        <v>131.48504259945665</v>
      </c>
      <c r="F58" s="40">
        <v>84.736842105263122</v>
      </c>
      <c r="G58" s="33">
        <v>1.6374300447360516E-18</v>
      </c>
      <c r="H58" s="40">
        <v>32.479946469183211</v>
      </c>
      <c r="I58" s="40">
        <v>3124.1688741919065</v>
      </c>
      <c r="J58" s="40">
        <v>7533.7579529534642</v>
      </c>
      <c r="K58" s="33">
        <v>0.41469033452448867</v>
      </c>
      <c r="L58" s="33">
        <v>1.1582840519509399</v>
      </c>
      <c r="M58" s="33">
        <v>0</v>
      </c>
      <c r="N58" s="49">
        <v>0</v>
      </c>
      <c r="P58" s="3" t="str">
        <v>eff_total_d</v>
      </c>
      <c r="Q58" s="3">
        <v>0.29437490708110198</v>
      </c>
      <c r="S58" s="3" t="str">
        <v>natsep_type</v>
      </c>
      <c r="T58" s="3">
        <v>0</v>
      </c>
      <c r="V58" s="3" t="str">
        <v>PowerESPInPump</v>
      </c>
      <c r="W58" s="53" t="str">
        <v>{"x":[0,1,2,12,22,32,42,52,62,72,82,92,102,112,122,132,142,152,162,172,182,192,202,212,222,232,242,252,262,272,282,292,302,312,322,332,342,352,362,372,382,392],"y":[0,38.333857014929,76.8946519154439,464.024598213155,869.571251500642,1275.4563378964,1681.61855369402,2088.01980161838,2494.62863041071,2901.41877492535,3308.36808076329,3715.4576933815,4122.67143739362,4529.99533500565,4937.41722781792,5344.92647649988,5752.51371988233,6160.17067991528,6567.89000240989,6975.66512597442,7383.49017336632,7791.35986081714,8199.2694218808,8607.21454310322,9015.19130937999,9423.19615730418,9831.22583514347,10239.2773683486,10647.3480297011,11055.4353133724,11463.5369122946,11871.6506983501,12279.7747049676,12687.9071117841,13096.0462310844,13504.1904957772,13912.338448704,14320.4887331066,14728.6400841071,15136.7913210731,15544.9413407602,15953.0891111398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9" spans="2:23" s="3" customFormat="1" x14ac:dyDescent="0.2">
      <c r="B59" s="32">
        <v>11</v>
      </c>
      <c r="C59" s="40">
        <v>206.31578947368422</v>
      </c>
      <c r="D59" s="40">
        <v>1009.2842105263159</v>
      </c>
      <c r="E59" s="40">
        <v>140.61468962765323</v>
      </c>
      <c r="F59" s="40">
        <v>85.263157894736807</v>
      </c>
      <c r="G59" s="33">
        <v>1.5287039545160334E-18</v>
      </c>
      <c r="H59" s="40">
        <v>32.471292792702052</v>
      </c>
      <c r="I59" s="40">
        <v>3471.852583630287</v>
      </c>
      <c r="J59" s="40">
        <v>8375.3299478820554</v>
      </c>
      <c r="K59" s="33">
        <v>0.41453405791701986</v>
      </c>
      <c r="L59" s="33">
        <v>1.1933618545872067</v>
      </c>
      <c r="M59" s="33">
        <v>0</v>
      </c>
      <c r="N59" s="49">
        <v>0</v>
      </c>
      <c r="P59" s="3" t="str">
        <v>eff_ESP_d</v>
      </c>
      <c r="Q59" s="3">
        <v>0.41379549940000998</v>
      </c>
      <c r="S59" s="3" t="str">
        <v>M_Nm</v>
      </c>
      <c r="T59" s="3">
        <v>5</v>
      </c>
      <c r="V59" s="3" t="str">
        <v>PowerfluidInPump</v>
      </c>
      <c r="W59" s="53" t="str">
        <v>{"x":[0,1,2,12,22,32,42,52,62,72,82,92,102,112,122,132,142,152,162,172,182,192,202,212,222,232,242,252,262,272,282,292,302,312,322,332,342,352,362,372,382,392],"y":[0,16.4631777520798,32.9834854469262,198.545233243579,366.857984395758,535.200810573061,703.56819405069,871.956714173618,1040.36355379406,1208.78636542433,1377.22317295363,1545.67229775109,1714.13230224707,1882.60194626296,2051.08015278635,2219.56598084512,2388.05860378591,2556.55729171606,2725.06139718784,2893.57034343292,3062.08361462138,3230.60074774139,3399.12132578701,3567.64497200924,3736.17134503742,3904.70013471781,4073.23105854639,4241.7638585972,4410.2982988657,4578.83416296197,4747.37125209969,4915.90938333673,5084.44838803053,5252.98811047751,5421.5284067109,5590.06914343536,5758.61019708024,5927.15145295577,6095.69280449934,6264.23415260037,6432.77540499423,6601.31647571696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60" spans="2:23" s="3" customFormat="1" x14ac:dyDescent="0.2">
      <c r="B60" s="32">
        <v>12</v>
      </c>
      <c r="C60" s="40">
        <v>226.94736842105263</v>
      </c>
      <c r="D60" s="40">
        <v>1008.2526315789474</v>
      </c>
      <c r="E60" s="40">
        <v>149.74670566618357</v>
      </c>
      <c r="F60" s="40">
        <v>85.789473684210492</v>
      </c>
      <c r="G60" s="33">
        <v>1.4367282393726907E-18</v>
      </c>
      <c r="H60" s="40">
        <v>32.464470609566121</v>
      </c>
      <c r="I60" s="40">
        <v>3819.5487462477167</v>
      </c>
      <c r="J60" s="40">
        <v>9217.0463394056424</v>
      </c>
      <c r="K60" s="33">
        <v>0.41440117327408821</v>
      </c>
      <c r="L60" s="33">
        <v>1.2301962697015347</v>
      </c>
      <c r="M60" s="33">
        <v>0</v>
      </c>
      <c r="N60" s="49">
        <v>0</v>
      </c>
      <c r="P60" s="3" t="str">
        <v>eff_fact_d</v>
      </c>
      <c r="Q60" s="3">
        <v>0.220043882523899</v>
      </c>
      <c r="S60" s="3" t="str">
        <v>freq_Hz</v>
      </c>
      <c r="T60" s="3">
        <v>47.5</v>
      </c>
      <c r="V60" s="3" t="str">
        <v>q_mix_InPump</v>
      </c>
      <c r="W60" s="53" t="str">
        <v>{"x":[0,1,2,12,22,32,42,52,62,72,82,92,102,112,122,132,142,152,162,172,182,192,202,212,222,232,242,252,262,272,282,292,302,312,322,332,342,352,362,372,382,392],"y":[35.1262372395904,35.1262372395904,34.8654570980613,34.6925913198363,32.7190606082655,32.6836237910174,32.6546524410461,32.6296992753558,32.6080552488532,32.5891688264616,32.5726040812337,32.558011967536,32.5451097424113,32.5336659632783,32.5234893772139,32.5144205741891,32.5063256348755,32.4990912388271,32.4926208561872,32.4868317531667,32.4816526155905,32.4770216467707,32.47288503291,32.4691956958429,32.4659122723012,32.4629982731558,32.4604213866991,32.4581528980021,32.4561672024095,32.4544413958506,32.4529549281883,32.4516893085818,32.4506278539859,32.4497554736003,32.4490584834162,32.4485244460731,32.4481420320874,32.4479008992004,32.4477915871454,32.4478054255851,32.4479344533356,32.4481713472974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61" spans="2:23" s="3" customFormat="1" x14ac:dyDescent="0.2">
      <c r="B61" s="32">
        <v>13</v>
      </c>
      <c r="C61" s="40">
        <v>247.57894736842104</v>
      </c>
      <c r="D61" s="40">
        <v>1007.2210526315789</v>
      </c>
      <c r="E61" s="40">
        <v>158.88057448627893</v>
      </c>
      <c r="F61" s="40">
        <v>86.315789473684177</v>
      </c>
      <c r="G61" s="33">
        <v>1.3582850170810597E-18</v>
      </c>
      <c r="H61" s="40">
        <v>32.459155808794478</v>
      </c>
      <c r="I61" s="40">
        <v>4167.2546206800007</v>
      </c>
      <c r="J61" s="40">
        <v>10058.875637878951</v>
      </c>
      <c r="K61" s="33">
        <v>0.41428684217361067</v>
      </c>
      <c r="L61" s="33">
        <v>1.2687173931235105</v>
      </c>
      <c r="M61" s="33">
        <v>0</v>
      </c>
      <c r="N61" s="49">
        <v>0</v>
      </c>
      <c r="P61" s="3" t="str">
        <v>dp_unknown_kW</v>
      </c>
      <c r="Q61" s="3">
        <v>7.5751386516845596</v>
      </c>
      <c r="V61" s="3" t="str">
        <v>gas_fractionInPump</v>
      </c>
      <c r="W61" s="53" t="str">
        <v>{"x":[0,1,2,12,22,32,42,52,62,72,82,92,102,112,122,132,142,152,162,172,182,192,202,212,222,232,242,252,262,272,282,292,302,312,322,332,342,352,362,372,382,392],"y":[7.47285843549732E-02,7.47285843549732E-02,6.71901345759995E-02,6.21205178387311E-02,4.07210272947198E-18,3.73733038364504E-18,3.4582212488966E-18,3.21464989022745E-18,3.00065566127703E-18,2.81155555383162E-18,2.64360844714958E-18,2.49378433063303E-18,2.35959873842777E-18,2.23899198910316E-18,2.13023975114593E-18,2.03188585382099E-18,1.94269112054852E-18,1.86159389518031E-18,1.78767920785304E-18,1.72015440074114E-18,1.65832964014664E-18,1.60160216688932E-18,1.54944343888359E-18,1.50138853608071E-18,1.45702735429333E-18,1.41599722838991E-18,1.37797670912663E-18,1.34268027998834E-18,1.30985384683858E-18,1.27927086819307E-18,1.25072902057633E-18,1.22404731388593E-18,1.19906358755667E-18,1.17563233073897E-18,1.15362277952284E-18,1.13291725207245E-18,1.11340968884315E-18,1.09500437017673E-18,1.07761478776803E-18,1.06116264996052E-18,1.04557700371012E-18,1.03079345846755E-18]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62" spans="2:23" s="3" customFormat="1" x14ac:dyDescent="0.2">
      <c r="B62" s="32">
        <v>14</v>
      </c>
      <c r="C62" s="40">
        <v>268.21052631578948</v>
      </c>
      <c r="D62" s="40">
        <v>1006.1894736842105</v>
      </c>
      <c r="E62" s="40">
        <v>168.01586755443668</v>
      </c>
      <c r="F62" s="40">
        <v>86.842105263157848</v>
      </c>
      <c r="G62" s="33">
        <v>1.2908602074692653E-18</v>
      </c>
      <c r="H62" s="40">
        <v>32.455095385704531</v>
      </c>
      <c r="I62" s="40">
        <v>4514.9679407781241</v>
      </c>
      <c r="J62" s="40">
        <v>10900.791711139043</v>
      </c>
      <c r="K62" s="33">
        <v>0.41418755687640302</v>
      </c>
      <c r="L62" s="33">
        <v>1.308859417604733</v>
      </c>
      <c r="M62" s="33">
        <v>0</v>
      </c>
      <c r="N62" s="49">
        <v>0</v>
      </c>
      <c r="P62" s="3" t="str">
        <v>Pmotor_nom_kW</v>
      </c>
      <c r="Q62" s="3">
        <v>20</v>
      </c>
      <c r="V62" s="3" t="str">
        <v>TempInPump</v>
      </c>
      <c r="W62" s="53" t="str">
        <v>{"x":[0,1,2,12,22,32,42,52,62,72,82,92,102,112,122,132,142,152,162,172,182,192,202,212,222,232,242,252,262,272,282,292,302,312,322,332,342,352,362,372,382,392],"y":[80,80.0255102040816,80.0510204081633,80.3061224489796,80.5612244897959,80.8163265306122,81.0714285714286,81.3265306122449,81.5816326530612,81.8367346938775,82.0918367346939,82.3469387755102,82.6020408163265,82.8571428571428,83.1122448979592,83.3673469387755,83.6224489795918,83.8775510204081,84.1326530612245,84.3877551020408,84.6428571428571,84.8979591836734,85.1530612244898,85.4081632653061,85.6632653061224,85.9183673469387,86.1734693877551,86.4285714285714,86.6836734693877,86.938775510204,87.1938775510204,87.4489795918367,87.704081632653,87.9591836734693,88.2142857142857,88.469387755102,88.7244897959183,88.9795918367346,89.234693877551,89.4897959183673,89.7448979591836,89.9999999999999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63" spans="2:23" s="3" customFormat="1" x14ac:dyDescent="0.2">
      <c r="B63" s="32">
        <v>15</v>
      </c>
      <c r="C63" s="40">
        <v>288.84210526315792</v>
      </c>
      <c r="D63" s="40">
        <v>1005.1578947368421</v>
      </c>
      <c r="E63" s="40">
        <v>177.15222563757482</v>
      </c>
      <c r="F63" s="40">
        <v>87.368421052631533</v>
      </c>
      <c r="G63" s="33">
        <v>1.2324731159986863E-18</v>
      </c>
      <c r="H63" s="40">
        <v>32.452088977931211</v>
      </c>
      <c r="I63" s="40">
        <v>4862.6868155776647</v>
      </c>
      <c r="J63" s="40">
        <v>11742.772660648365</v>
      </c>
      <c r="K63" s="33">
        <v>0.41410069588595044</v>
      </c>
      <c r="L63" s="33">
        <v>1.3505592555960204</v>
      </c>
      <c r="M63" s="33">
        <v>0</v>
      </c>
      <c r="N63" s="49">
        <v>0</v>
      </c>
      <c r="P63" s="3" t="str">
        <v>power_CS_fact_kW</v>
      </c>
      <c r="Q63" s="3">
        <v>0</v>
      </c>
      <c r="V63" s="3" t="str">
        <v>PressureInPump</v>
      </c>
      <c r="W63" s="53" t="str">
        <v>{"x":[0,1,2,12,22,32,42,52,62,72,82,92,102,112,122,132,142,152,162,172,182,192,202,212,222,232,242,252,262,272,282,292,302,312,322,332,342,352,362,372,382,392],"y":[50,50.3996494017011,50.8036852488908,54.872991657976,59.259443065264,63.6514350730426,68.0479649331102,72.4484093432449,76.8522536618165,81.2590680538023,85.6684899156851,90.0802106200383,94.4939653673462,98.9095253114483,103.326691374436,107.745289334543,112.165165885478,116.586185445734,121.008227553088,125.431184720217,129.854960656963,134.279468786589,138.704630999632,143.130376601145,147.556641416448,151.983367027616,156.410500118431,160.837991909857,165.265797671422,169.693876296615,174.122189932475,178.550703655313,182.979385185823,187.408204637996,191.837134297137,196.266148423025,200.695223074891,205.124335955362,209.55346627097,213.982594607163,218.411702816031,222.840773915248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64" spans="2:23" s="3" customFormat="1" x14ac:dyDescent="0.2">
      <c r="B64" s="32">
        <v>16</v>
      </c>
      <c r="C64" s="40">
        <v>309.4736842105263</v>
      </c>
      <c r="D64" s="40">
        <v>1004.1263157894737</v>
      </c>
      <c r="E64" s="40">
        <v>186.28934498692078</v>
      </c>
      <c r="F64" s="40">
        <v>87.894736842105218</v>
      </c>
      <c r="G64" s="33">
        <v>1.1815518061455485E-18</v>
      </c>
      <c r="H64" s="40">
        <v>32.449975864434599</v>
      </c>
      <c r="I64" s="40">
        <v>5210.40965428038</v>
      </c>
      <c r="J64" s="40">
        <v>12584.799977430472</v>
      </c>
      <c r="K64" s="33">
        <v>0.41402425012978183</v>
      </c>
      <c r="L64" s="33">
        <v>1.3937554186338388</v>
      </c>
      <c r="M64" s="33">
        <v>0</v>
      </c>
      <c r="N64" s="49">
        <v>0</v>
      </c>
      <c r="P64" s="3" t="str">
        <v>motor_eff_fr</v>
      </c>
      <c r="Q64" s="3">
        <v>0.85</v>
      </c>
    </row>
    <row r="65" spans="2:25" s="3" customFormat="1" x14ac:dyDescent="0.2">
      <c r="B65" s="32">
        <v>17</v>
      </c>
      <c r="C65" s="40">
        <v>330.10526315789474</v>
      </c>
      <c r="D65" s="40">
        <v>1003.0947368421052</v>
      </c>
      <c r="E65" s="40">
        <v>195.42696679917265</v>
      </c>
      <c r="F65" s="40">
        <v>88.421052631578902</v>
      </c>
      <c r="G65" s="33">
        <v>1.1368404046420012E-18</v>
      </c>
      <c r="H65" s="40">
        <v>32.448625632096011</v>
      </c>
      <c r="I65" s="40">
        <v>5558.1351091086235</v>
      </c>
      <c r="J65" s="40">
        <v>13426.857898256469</v>
      </c>
      <c r="K65" s="33">
        <v>0.41395664702183937</v>
      </c>
      <c r="L65" s="33">
        <v>1.4383871029704587</v>
      </c>
      <c r="M65" s="33">
        <v>0</v>
      </c>
      <c r="N65" s="49">
        <v>0</v>
      </c>
      <c r="P65" s="3" t="str">
        <v>cable_R_Omkm</v>
      </c>
      <c r="Q65" s="3">
        <v>1.18</v>
      </c>
    </row>
    <row r="66" spans="2:25" s="3" customFormat="1" x14ac:dyDescent="0.2">
      <c r="B66" s="32">
        <v>18</v>
      </c>
      <c r="C66" s="40">
        <v>350.73684210526318</v>
      </c>
      <c r="D66" s="40">
        <v>1002.0631578947368</v>
      </c>
      <c r="E66" s="40">
        <v>204.56486906519689</v>
      </c>
      <c r="F66" s="40">
        <v>88.947368421052573</v>
      </c>
      <c r="G66" s="33">
        <v>1.0973292525345963E-18</v>
      </c>
      <c r="H66" s="40">
        <v>32.447931358091346</v>
      </c>
      <c r="I66" s="40">
        <v>5905.8620311609648</v>
      </c>
      <c r="J66" s="40">
        <v>14268.932907708362</v>
      </c>
      <c r="K66" s="33">
        <v>0.41389663332785348</v>
      </c>
      <c r="L66" s="33">
        <v>1.484393446946487</v>
      </c>
      <c r="M66" s="33">
        <v>0</v>
      </c>
      <c r="N66" s="49">
        <v>0</v>
      </c>
      <c r="P66" s="3" t="str">
        <v>dPower_protector_kW</v>
      </c>
      <c r="Q66" s="3">
        <v>0.4</v>
      </c>
    </row>
    <row r="67" spans="2:25" s="3" customFormat="1" x14ac:dyDescent="0.2">
      <c r="B67" s="32">
        <v>19</v>
      </c>
      <c r="C67" s="40">
        <v>371.36842105263156</v>
      </c>
      <c r="D67" s="40">
        <v>1001.0315789473684</v>
      </c>
      <c r="E67" s="40">
        <v>213.70286018592989</v>
      </c>
      <c r="F67" s="40">
        <v>89.473684210526258</v>
      </c>
      <c r="G67" s="33">
        <v>1.0622017323483669E-18</v>
      </c>
      <c r="H67" s="40">
        <v>32.447804551578344</v>
      </c>
      <c r="I67" s="40">
        <v>6253.5894358781961</v>
      </c>
      <c r="J67" s="40">
        <v>15111.013348212058</v>
      </c>
      <c r="K67" s="33">
        <v>0.41384319477326831</v>
      </c>
      <c r="L67" s="33">
        <v>1.5317129348452685</v>
      </c>
      <c r="M67" s="33">
        <v>0</v>
      </c>
      <c r="N67" s="49">
        <v>0</v>
      </c>
      <c r="P67" s="3" t="str">
        <v>dPower_GasSep_kW</v>
      </c>
      <c r="Q67" s="3">
        <v>1.49225651045515</v>
      </c>
    </row>
    <row r="68" spans="2:25" s="3" customFormat="1" x14ac:dyDescent="0.2">
      <c r="B68" s="30">
        <v>20</v>
      </c>
      <c r="C68" s="50">
        <v>392</v>
      </c>
      <c r="D68" s="50">
        <v>1000</v>
      </c>
      <c r="E68" s="50">
        <v>222.84077391524806</v>
      </c>
      <c r="F68" s="50">
        <v>89.999999999999943</v>
      </c>
      <c r="G68" s="51">
        <v>1.0307934584675517E-18</v>
      </c>
      <c r="H68" s="50">
        <v>32.448171347297425</v>
      </c>
      <c r="I68" s="50">
        <v>6601.3164757169552</v>
      </c>
      <c r="J68" s="50">
        <v>15953.0891111398</v>
      </c>
      <c r="K68" s="51">
        <v>0.41379549940001004</v>
      </c>
      <c r="L68" s="51">
        <v>1.5802829274114809</v>
      </c>
      <c r="M68" s="51">
        <v>0</v>
      </c>
      <c r="N68" s="52">
        <v>0</v>
      </c>
      <c r="P68" s="3" t="str">
        <v>dPower_CS_kW</v>
      </c>
      <c r="Q68" s="3">
        <v>0.65315130140724598</v>
      </c>
    </row>
    <row r="69" spans="2:25" s="3" customFormat="1" x14ac:dyDescent="0.2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t="str">
        <v>dPower_transform_kW</v>
      </c>
      <c r="Q69">
        <v>0.63412747709441397</v>
      </c>
      <c r="R69"/>
      <c r="S69"/>
      <c r="T69"/>
      <c r="U69"/>
      <c r="V69"/>
      <c r="W69"/>
      <c r="X69"/>
      <c r="Y69"/>
    </row>
    <row r="70" spans="2:25" s="3" customFormat="1" x14ac:dyDescent="0.2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t="str">
        <v>cos_phi</v>
      </c>
      <c r="Q70">
        <v>0.9</v>
      </c>
      <c r="R70"/>
      <c r="S70"/>
      <c r="T70"/>
      <c r="U70"/>
      <c r="V70"/>
      <c r="W70"/>
      <c r="X70"/>
      <c r="Y70"/>
    </row>
    <row r="71" spans="2:25" s="3" customFormat="1" x14ac:dyDescent="0.2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</row>
    <row r="72" spans="2:25" s="3" customFormat="1" x14ac:dyDescent="0.2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</row>
    <row r="75" spans="2:25" x14ac:dyDescent="0.2">
      <c r="J75" s="27"/>
      <c r="K75" s="27"/>
      <c r="L75" s="27"/>
    </row>
    <row r="76" spans="2:25" x14ac:dyDescent="0.2">
      <c r="J76" s="27"/>
      <c r="K76" s="27"/>
      <c r="L76" s="27"/>
    </row>
    <row r="77" spans="2:25" x14ac:dyDescent="0.2">
      <c r="J77" s="27"/>
      <c r="K77" s="27"/>
      <c r="L77" s="27"/>
    </row>
    <row r="78" spans="2:25" x14ac:dyDescent="0.2">
      <c r="J78" s="27"/>
      <c r="K78" s="27"/>
      <c r="L78" s="27"/>
    </row>
    <row r="79" spans="2:25" x14ac:dyDescent="0.2">
      <c r="J79" s="27"/>
      <c r="K79" s="27"/>
      <c r="L79" s="27"/>
    </row>
    <row r="80" spans="2:25" x14ac:dyDescent="0.2">
      <c r="J80" s="27"/>
      <c r="K80" s="27"/>
      <c r="L80" s="27"/>
    </row>
    <row r="81" spans="1:13" x14ac:dyDescent="0.2">
      <c r="A81" t="s">
        <v>104</v>
      </c>
      <c r="J81" s="27"/>
      <c r="K81" s="27"/>
      <c r="L81" s="27"/>
    </row>
    <row r="82" spans="1:13" x14ac:dyDescent="0.2">
      <c r="J82" s="27"/>
      <c r="K82" s="27"/>
      <c r="L82" s="27"/>
    </row>
    <row r="83" spans="1:13" x14ac:dyDescent="0.2">
      <c r="A83" t="s">
        <v>100</v>
      </c>
      <c r="B83" t="s">
        <v>97</v>
      </c>
      <c r="C83" t="s">
        <v>98</v>
      </c>
      <c r="D83" t="s">
        <v>99</v>
      </c>
      <c r="E83" t="s">
        <v>101</v>
      </c>
      <c r="F83" t="s">
        <v>102</v>
      </c>
      <c r="G83" t="s">
        <v>103</v>
      </c>
      <c r="K83" s="27"/>
      <c r="L83" s="27"/>
    </row>
    <row r="84" spans="1:13" x14ac:dyDescent="0.2">
      <c r="A84">
        <v>1</v>
      </c>
      <c r="B84">
        <v>30</v>
      </c>
      <c r="C84">
        <v>20</v>
      </c>
      <c r="D84">
        <v>100</v>
      </c>
      <c r="E84" s="66">
        <v>175.00675152505761</v>
      </c>
      <c r="F84" s="66">
        <v>13.301949340272699</v>
      </c>
      <c r="G84" s="66">
        <v>22.663010576944401</v>
      </c>
      <c r="K84" s="27"/>
      <c r="L84" s="27"/>
    </row>
    <row r="85" spans="1:13" x14ac:dyDescent="0.2">
      <c r="A85">
        <v>2</v>
      </c>
      <c r="E85" s="66">
        <v>175.07537906797211</v>
      </c>
      <c r="F85" s="66">
        <v>13.290909494545399</v>
      </c>
      <c r="G85" s="66">
        <v>22.6436505382379</v>
      </c>
      <c r="K85" s="27"/>
      <c r="L85" s="27"/>
    </row>
    <row r="86" spans="1:13" x14ac:dyDescent="0.2">
      <c r="A86">
        <v>3</v>
      </c>
      <c r="E86" s="66">
        <v>174.31057186219286</v>
      </c>
      <c r="F86" s="66">
        <v>13.3199389597516</v>
      </c>
      <c r="G86" s="66">
        <v>22.694560056005699</v>
      </c>
      <c r="K86" s="27"/>
      <c r="L86" s="27"/>
    </row>
    <row r="87" spans="1:13" x14ac:dyDescent="0.2">
      <c r="A87">
        <v>4</v>
      </c>
      <c r="E87" s="66">
        <v>173.36193416978543</v>
      </c>
      <c r="F87" s="66">
        <v>13.382265562858199</v>
      </c>
      <c r="G87" s="66">
        <v>22.803884773194302</v>
      </c>
      <c r="K87" s="27"/>
      <c r="L87" s="27"/>
    </row>
    <row r="88" spans="1:13" x14ac:dyDescent="0.2">
      <c r="A88">
        <v>5</v>
      </c>
      <c r="E88" s="66">
        <v>173.91160397452882</v>
      </c>
      <c r="F88" s="66">
        <v>13.3405440828347</v>
      </c>
      <c r="G88" s="66">
        <v>22.730699487877601</v>
      </c>
      <c r="K88" s="27"/>
      <c r="L88" s="27"/>
    </row>
    <row r="89" spans="1:13" x14ac:dyDescent="0.2">
      <c r="A89">
        <v>6</v>
      </c>
      <c r="E89" s="66">
        <v>174.74467100706624</v>
      </c>
      <c r="F89" s="66">
        <v>13.3008911718101</v>
      </c>
      <c r="G89" s="66">
        <v>22.661154878882598</v>
      </c>
      <c r="K89" s="27"/>
      <c r="L89" s="27"/>
    </row>
    <row r="90" spans="1:13" x14ac:dyDescent="0.2">
      <c r="A90">
        <v>7</v>
      </c>
      <c r="E90" s="66">
        <v>174.26975669863873</v>
      </c>
      <c r="F90" s="66">
        <v>13.3468927333336</v>
      </c>
      <c r="G90" s="66">
        <v>22.741835061456399</v>
      </c>
      <c r="M90" s="28"/>
    </row>
    <row r="91" spans="1:13" x14ac:dyDescent="0.2">
      <c r="A91">
        <v>8</v>
      </c>
      <c r="E91" s="66">
        <v>174.35032666746039</v>
      </c>
      <c r="F91" s="66">
        <v>13.272888183664699</v>
      </c>
      <c r="G91" s="66">
        <v>22.6120494116639</v>
      </c>
      <c r="M91" s="28"/>
    </row>
    <row r="92" spans="1:13" x14ac:dyDescent="0.2">
      <c r="A92">
        <v>9</v>
      </c>
      <c r="E92" s="66">
        <v>173.8037547402046</v>
      </c>
      <c r="F92" s="66">
        <v>13.3298133432707</v>
      </c>
      <c r="G92" s="66">
        <v>22.711878390355199</v>
      </c>
    </row>
    <row r="93" spans="1:13" x14ac:dyDescent="0.2">
      <c r="A93">
        <v>10</v>
      </c>
      <c r="E93" s="66">
        <v>173.03701776352426</v>
      </c>
      <c r="F93" s="66">
        <v>13.388249371277199</v>
      </c>
      <c r="G93" s="66">
        <v>22.814382278421899</v>
      </c>
    </row>
    <row r="94" spans="1:13" x14ac:dyDescent="0.2">
      <c r="A94">
        <v>11</v>
      </c>
      <c r="E94" s="66">
        <v>178.2338255487407</v>
      </c>
      <c r="F94" s="66">
        <v>13.667928477517499</v>
      </c>
      <c r="G94" s="66">
        <v>23.305328529937899</v>
      </c>
    </row>
    <row r="95" spans="1:13" x14ac:dyDescent="0.2">
      <c r="A95">
        <v>12</v>
      </c>
      <c r="E95" s="66">
        <v>179.29086277307752</v>
      </c>
      <c r="F95" s="66">
        <v>13.579369143557001</v>
      </c>
      <c r="G95" s="66">
        <v>23.149808686442</v>
      </c>
    </row>
    <row r="96" spans="1:13" x14ac:dyDescent="0.2">
      <c r="A96">
        <v>13</v>
      </c>
      <c r="E96" s="66">
        <v>180.07017656693014</v>
      </c>
      <c r="F96" s="66">
        <v>13.5491909886846</v>
      </c>
      <c r="G96" s="66">
        <v>23.0968260143453</v>
      </c>
    </row>
    <row r="97" spans="1:7" x14ac:dyDescent="0.2">
      <c r="A97">
        <v>14</v>
      </c>
      <c r="E97" s="66">
        <v>179.98049338941348</v>
      </c>
      <c r="F97" s="66">
        <v>13.589366382802201</v>
      </c>
      <c r="G97" s="66">
        <v>23.167361978613801</v>
      </c>
    </row>
    <row r="98" spans="1:7" x14ac:dyDescent="0.2">
      <c r="A98">
        <v>15</v>
      </c>
      <c r="E98" s="66">
        <v>181.00032916158722</v>
      </c>
      <c r="F98" s="66">
        <v>13.5427549779765</v>
      </c>
      <c r="G98" s="66">
        <v>23.0855274330134</v>
      </c>
    </row>
    <row r="99" spans="1:7" x14ac:dyDescent="0.2">
      <c r="A99">
        <v>16</v>
      </c>
      <c r="E99" s="66">
        <v>180.79369335006146</v>
      </c>
      <c r="F99" s="66">
        <v>13.5761093081019</v>
      </c>
      <c r="G99" s="66">
        <v>23.144085184162101</v>
      </c>
    </row>
    <row r="100" spans="1:7" x14ac:dyDescent="0.2">
      <c r="A100">
        <v>17</v>
      </c>
      <c r="E100" s="66">
        <v>180.76324052622917</v>
      </c>
      <c r="F100" s="66">
        <v>13.589299845504099</v>
      </c>
      <c r="G100" s="66">
        <v>23.167245149015699</v>
      </c>
    </row>
    <row r="101" spans="1:7" x14ac:dyDescent="0.2">
      <c r="A101">
        <v>18</v>
      </c>
      <c r="E101" s="66">
        <v>180.94301535375564</v>
      </c>
      <c r="F101" s="66">
        <v>13.5847191168856</v>
      </c>
      <c r="G101" s="66">
        <v>23.159202150893599</v>
      </c>
    </row>
    <row r="108" spans="1:7" x14ac:dyDescent="0.2">
      <c r="A108" t="s">
        <v>105</v>
      </c>
    </row>
    <row r="110" spans="1:7" x14ac:dyDescent="0.2">
      <c r="A110" t="s">
        <v>100</v>
      </c>
      <c r="B110" t="s">
        <v>97</v>
      </c>
      <c r="C110" t="s">
        <v>98</v>
      </c>
      <c r="D110" t="s">
        <v>99</v>
      </c>
      <c r="E110" t="s">
        <v>101</v>
      </c>
      <c r="F110" t="s">
        <v>102</v>
      </c>
      <c r="G110" t="s">
        <v>103</v>
      </c>
    </row>
    <row r="111" spans="1:7" x14ac:dyDescent="0.2">
      <c r="A111">
        <v>1</v>
      </c>
      <c r="B111">
        <v>30</v>
      </c>
      <c r="C111">
        <v>20</v>
      </c>
      <c r="D111">
        <v>100</v>
      </c>
      <c r="E111" s="66">
        <v>175.00675152505761</v>
      </c>
      <c r="F111" s="66">
        <v>13.301949340272699</v>
      </c>
      <c r="G111" s="66">
        <v>22.663010576944401</v>
      </c>
    </row>
    <row r="112" spans="1:7" x14ac:dyDescent="0.2">
      <c r="A112">
        <v>2</v>
      </c>
      <c r="E112" s="66">
        <v>175.4409149837858</v>
      </c>
      <c r="F112" s="66">
        <v>13.252775649914501</v>
      </c>
      <c r="G112" s="66">
        <v>22.576784118250401</v>
      </c>
    </row>
    <row r="113" spans="1:7" x14ac:dyDescent="0.2">
      <c r="A113">
        <v>3</v>
      </c>
      <c r="E113" s="66">
        <v>175.08536228954603</v>
      </c>
      <c r="F113" s="66">
        <v>13.2614507766384</v>
      </c>
      <c r="G113" s="66">
        <v>22.591994702780699</v>
      </c>
    </row>
    <row r="114" spans="1:7" x14ac:dyDescent="0.2">
      <c r="A114">
        <v>4</v>
      </c>
      <c r="E114" s="66">
        <v>175.95985179439512</v>
      </c>
      <c r="F114" s="66">
        <v>13.178782148987899</v>
      </c>
      <c r="G114" s="66">
        <v>22.447070150340998</v>
      </c>
    </row>
    <row r="115" spans="1:7" x14ac:dyDescent="0.2">
      <c r="A115">
        <v>5</v>
      </c>
      <c r="E115" s="66">
        <v>176.98205132553164</v>
      </c>
      <c r="F115" s="66">
        <v>13.090574506500101</v>
      </c>
      <c r="G115" s="66">
        <v>22.2924918792664</v>
      </c>
    </row>
    <row r="116" spans="1:7" x14ac:dyDescent="0.2">
      <c r="A116">
        <v>6</v>
      </c>
      <c r="E116" s="66">
        <v>177.26970131779709</v>
      </c>
      <c r="F116" s="66">
        <v>13.092248880614701</v>
      </c>
      <c r="G116" s="66">
        <v>22.2954255690337</v>
      </c>
    </row>
    <row r="117" spans="1:7" x14ac:dyDescent="0.2">
      <c r="A117">
        <v>7</v>
      </c>
      <c r="E117" s="66">
        <v>177.7921159255495</v>
      </c>
      <c r="F117" s="66">
        <v>13.0638043860429</v>
      </c>
      <c r="G117" s="66">
        <v>22.245590509077399</v>
      </c>
    </row>
    <row r="118" spans="1:7" x14ac:dyDescent="0.2">
      <c r="A118">
        <v>8</v>
      </c>
      <c r="E118" s="66">
        <v>177.13272997696555</v>
      </c>
      <c r="F118" s="66">
        <v>13.024269065097</v>
      </c>
      <c r="G118" s="66">
        <v>22.176334295736101</v>
      </c>
    </row>
    <row r="119" spans="1:7" x14ac:dyDescent="0.2">
      <c r="A119">
        <v>9</v>
      </c>
      <c r="E119" s="66">
        <v>177.54407095679568</v>
      </c>
      <c r="F119" s="66">
        <v>12.9611313717594</v>
      </c>
      <c r="G119" s="66">
        <v>22.065756844005101</v>
      </c>
    </row>
    <row r="120" spans="1:7" x14ac:dyDescent="0.2">
      <c r="A120">
        <v>10</v>
      </c>
      <c r="E120" s="66">
        <v>177.84353452828577</v>
      </c>
      <c r="F120" s="66">
        <v>12.921213599842901</v>
      </c>
      <c r="G120" s="66">
        <v>21.995861511805401</v>
      </c>
    </row>
    <row r="121" spans="1:7" x14ac:dyDescent="0.2">
      <c r="A121">
        <v>11</v>
      </c>
      <c r="E121" s="66">
        <v>193.12779405981584</v>
      </c>
      <c r="F121" s="66">
        <v>13.829777591675899</v>
      </c>
      <c r="G121" s="66">
        <v>23.589705423961899</v>
      </c>
    </row>
    <row r="122" spans="1:7" x14ac:dyDescent="0.2">
      <c r="A122">
        <v>12</v>
      </c>
      <c r="E122" s="66">
        <v>193.0310953790696</v>
      </c>
      <c r="F122" s="66">
        <v>13.8386989019894</v>
      </c>
      <c r="G122" s="66">
        <v>23.605386328796701</v>
      </c>
    </row>
    <row r="123" spans="1:7" x14ac:dyDescent="0.2">
      <c r="A123">
        <v>13</v>
      </c>
      <c r="E123" s="66">
        <v>174.80285544712021</v>
      </c>
      <c r="F123" s="66">
        <v>14.963627405978199</v>
      </c>
      <c r="G123" s="66">
        <v>25.5874530321206</v>
      </c>
    </row>
    <row r="124" spans="1:7" x14ac:dyDescent="0.2">
      <c r="A124">
        <v>14</v>
      </c>
      <c r="E124" s="66">
        <v>175.95333825388991</v>
      </c>
      <c r="F124" s="66">
        <v>14.9159037141645</v>
      </c>
      <c r="G124" s="66">
        <v>25.503173251023998</v>
      </c>
    </row>
    <row r="125" spans="1:7" x14ac:dyDescent="0.2">
      <c r="A125">
        <v>15</v>
      </c>
      <c r="E125" s="66">
        <v>176.41782229465122</v>
      </c>
      <c r="F125" s="66">
        <v>14.869411781254801</v>
      </c>
      <c r="G125" s="66">
        <v>25.421085199943601</v>
      </c>
    </row>
    <row r="126" spans="1:7" x14ac:dyDescent="0.2">
      <c r="A126">
        <v>16</v>
      </c>
      <c r="E126" s="66">
        <v>177.57162141085234</v>
      </c>
      <c r="F126" s="66">
        <v>14.825892419097499</v>
      </c>
      <c r="G126" s="66">
        <v>25.344260352412299</v>
      </c>
    </row>
    <row r="127" spans="1:7" x14ac:dyDescent="0.2">
      <c r="A127">
        <v>17</v>
      </c>
      <c r="E127" s="66">
        <v>176.00142619699432</v>
      </c>
      <c r="F127" s="66">
        <v>14.900773125403401</v>
      </c>
      <c r="G127" s="66">
        <v>25.476456284920499</v>
      </c>
    </row>
    <row r="128" spans="1:7" x14ac:dyDescent="0.2">
      <c r="A128">
        <v>18</v>
      </c>
      <c r="E128" s="66">
        <v>174.86022043610396</v>
      </c>
      <c r="F128" s="66">
        <v>14.948512144674901</v>
      </c>
      <c r="G128" s="66">
        <v>25.560757711506898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58</vt:i4>
      </vt:variant>
    </vt:vector>
  </HeadingPairs>
  <TitlesOfParts>
    <vt:vector size="59" baseType="lpstr">
      <vt:lpstr>Exercise_ESP</vt:lpstr>
      <vt:lpstr>Exercise_ESP!Bob_</vt:lpstr>
      <vt:lpstr>cable_json</vt:lpstr>
      <vt:lpstr>Cable_length</vt:lpstr>
      <vt:lpstr>cable_R_Omkm</vt:lpstr>
      <vt:lpstr>Cable_type</vt:lpstr>
      <vt:lpstr>calibr_array_</vt:lpstr>
      <vt:lpstr>cos_phi</vt:lpstr>
      <vt:lpstr>cos_ϕ_nom</vt:lpstr>
      <vt:lpstr>dN</vt:lpstr>
      <vt:lpstr>dod</vt:lpstr>
      <vt:lpstr>effnom</vt:lpstr>
      <vt:lpstr>Energy_fact</vt:lpstr>
      <vt:lpstr>Fnom</vt:lpstr>
      <vt:lpstr>Exercise_ESP!Freq_</vt:lpstr>
      <vt:lpstr>Fsurf</vt:lpstr>
      <vt:lpstr>Exercise_ESP!fw_</vt:lpstr>
      <vt:lpstr>Exercise_ESP!gamma_gas_</vt:lpstr>
      <vt:lpstr>Exercise_ESP!gamma_oil_</vt:lpstr>
      <vt:lpstr>Exercise_ESP!gamma_wat_</vt:lpstr>
      <vt:lpstr>gas_degr_type_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Ixcf</vt:lpstr>
      <vt:lpstr>Ksep_man</vt:lpstr>
      <vt:lpstr>Exercise_ESP!KsepGasSep_</vt:lpstr>
      <vt:lpstr>M_gassep</vt:lpstr>
      <vt:lpstr>motor_ID</vt:lpstr>
      <vt:lpstr>motor_json</vt:lpstr>
      <vt:lpstr>Exercise_ESP!muob_</vt:lpstr>
      <vt:lpstr>Exercise_ESP!NumStage_</vt:lpstr>
      <vt:lpstr>Exercise_ESP!Pb_</vt:lpstr>
      <vt:lpstr>Exercise_ESP!Pdis_</vt:lpstr>
      <vt:lpstr>Exercise_ESP!Pintake_</vt:lpstr>
      <vt:lpstr>PKsep</vt:lpstr>
      <vt:lpstr>Pnom</vt:lpstr>
      <vt:lpstr>pump_json</vt:lpstr>
      <vt:lpstr>Exercise_ESP!PumpID_</vt:lpstr>
      <vt:lpstr>PVT_json</vt:lpstr>
      <vt:lpstr>Exercise_ESP!Q_</vt:lpstr>
      <vt:lpstr>Exercise_ESP!Q_ESP_</vt:lpstr>
      <vt:lpstr>Exercise_ESP!Qmax_</vt:lpstr>
      <vt:lpstr>Exercise_ESP!Rp_</vt:lpstr>
      <vt:lpstr>Exercise_ESP!Rsb_</vt:lpstr>
      <vt:lpstr>slipnom</vt:lpstr>
      <vt:lpstr>Tdis_</vt:lpstr>
      <vt:lpstr>Exercise_ESP!Tintake_</vt:lpstr>
      <vt:lpstr>TKsep_</vt:lpstr>
      <vt:lpstr>Exercise_ESP!Tres_</vt:lpstr>
      <vt:lpstr>U</vt:lpstr>
      <vt:lpstr>Unom</vt:lpstr>
      <vt:lpstr>α</vt:lpstr>
      <vt:lpstr>λ</vt:lpstr>
      <vt:lpstr>χ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2020-10-20T16:28:02Z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