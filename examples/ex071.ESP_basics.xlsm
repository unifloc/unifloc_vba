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D7EDE53-C8CE-460E-9A06-2D22AD6351D1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esp_json">exercise_ESP!$J$34</definedName>
    <definedName name="Freq_" localSheetId="0">exercise_ESP!$C$26</definedName>
    <definedName name="fw_" localSheetId="0">exercise_ESP!$C$22</definedName>
    <definedName name="Fном__Гц">exercise_ESP!$F$25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ole_pairs">exercise_ESP!$F$24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110" l="1"/>
  <c r="J23" i="110"/>
  <c r="E17" i="110"/>
  <c r="E16" i="110"/>
  <c r="E15" i="110"/>
  <c r="E14" i="110"/>
  <c r="E13" i="110"/>
  <c r="E12" i="110"/>
  <c r="E11" i="110"/>
  <c r="J26" i="110"/>
  <c r="J27" i="110"/>
  <c r="J34" i="110"/>
  <c r="C27" i="110" a="1"/>
  <c r="G1" i="110"/>
  <c r="C29" i="110" a="1"/>
  <c r="D43" i="110" a="1"/>
  <c r="E43" i="110" a="1"/>
  <c r="F43" i="110" a="1"/>
  <c r="F43" i="110" l="1"/>
  <c r="E43" i="110"/>
  <c r="D43" i="110"/>
  <c r="C29" i="110"/>
  <c r="C27" i="110"/>
  <c r="F30" i="110" a="1"/>
  <c r="C28" i="110" a="1"/>
  <c r="C44" i="110" l="1"/>
  <c r="F30" i="110"/>
  <c r="C30" i="110" s="1"/>
  <c r="C28" i="110"/>
  <c r="E44" i="110" a="1"/>
  <c r="F44" i="110" a="1"/>
  <c r="D44" i="110" a="1"/>
  <c r="D44" i="110" l="1"/>
  <c r="F44" i="110"/>
  <c r="E44" i="110"/>
  <c r="C45" i="110"/>
  <c r="F45" i="110" a="1"/>
  <c r="E45" i="110" a="1"/>
  <c r="D45" i="110" a="1"/>
  <c r="D45" i="110" l="1"/>
  <c r="E45" i="110"/>
  <c r="F45" i="110"/>
  <c r="C46" i="110"/>
  <c r="C47" i="110"/>
  <c r="E46" i="110" a="1"/>
  <c r="F46" i="110" a="1"/>
  <c r="D46" i="110" a="1"/>
  <c r="F47" i="110" a="1"/>
  <c r="E47" i="110" a="1"/>
  <c r="D47" i="110" a="1"/>
  <c r="D47" i="110" l="1"/>
  <c r="E47" i="110"/>
  <c r="F47" i="110"/>
  <c r="D46" i="110"/>
  <c r="F46" i="110"/>
  <c r="E46" i="110"/>
  <c r="C48" i="110"/>
  <c r="E48" i="110" a="1"/>
  <c r="F48" i="110" a="1"/>
  <c r="D48" i="110" a="1"/>
  <c r="D48" i="110" l="1"/>
  <c r="F48" i="110"/>
  <c r="E48" i="110"/>
  <c r="C49" i="110"/>
  <c r="E49" i="110" a="1"/>
  <c r="F49" i="110" a="1"/>
  <c r="D49" i="110" a="1"/>
  <c r="D49" i="110" l="1"/>
  <c r="F49" i="110"/>
  <c r="E49" i="110"/>
  <c r="C50" i="110"/>
  <c r="E50" i="110" a="1"/>
  <c r="F50" i="110" a="1"/>
  <c r="D50" i="110" a="1"/>
  <c r="D50" i="110" l="1"/>
  <c r="F50" i="110"/>
  <c r="E50" i="110"/>
  <c r="C51" i="110"/>
  <c r="E51" i="110" a="1"/>
  <c r="F51" i="110" a="1"/>
  <c r="D51" i="110" a="1"/>
  <c r="D51" i="110" l="1"/>
  <c r="F51" i="110"/>
  <c r="E51" i="110"/>
  <c r="C52" i="110"/>
  <c r="E52" i="110" a="1"/>
  <c r="F52" i="110" a="1"/>
  <c r="D52" i="110" a="1"/>
  <c r="D52" i="110" l="1"/>
  <c r="F52" i="110"/>
  <c r="E52" i="110"/>
  <c r="C53" i="110"/>
  <c r="F53" i="110" a="1"/>
  <c r="E53" i="110" a="1"/>
  <c r="D53" i="110" a="1"/>
  <c r="D53" i="110" l="1"/>
  <c r="E53" i="110"/>
  <c r="F53" i="110"/>
  <c r="C54" i="110"/>
  <c r="E54" i="110" a="1"/>
  <c r="F54" i="110" a="1"/>
  <c r="D54" i="110" a="1"/>
  <c r="D54" i="110" l="1"/>
  <c r="F54" i="110"/>
  <c r="E54" i="110"/>
  <c r="C55" i="110"/>
  <c r="F55" i="110" a="1"/>
  <c r="E55" i="110" a="1"/>
  <c r="D55" i="110" a="1"/>
  <c r="D55" i="110" l="1"/>
  <c r="E55" i="110"/>
  <c r="F55" i="110"/>
  <c r="C56" i="110"/>
  <c r="E56" i="110" a="1"/>
  <c r="F56" i="110" a="1"/>
  <c r="D56" i="110" a="1"/>
  <c r="D56" i="110" l="1"/>
  <c r="F56" i="110"/>
  <c r="E56" i="110"/>
  <c r="C57" i="110"/>
  <c r="F57" i="110" a="1"/>
  <c r="E57" i="110" a="1"/>
  <c r="D57" i="110" a="1"/>
  <c r="D57" i="110" l="1"/>
  <c r="E57" i="110"/>
  <c r="F57" i="110"/>
  <c r="C58" i="110"/>
  <c r="E58" i="110" a="1"/>
  <c r="F58" i="110" a="1"/>
  <c r="D58" i="110" a="1"/>
  <c r="D58" i="110" l="1"/>
  <c r="F58" i="110"/>
  <c r="E58" i="110"/>
  <c r="C59" i="110"/>
  <c r="E59" i="110" a="1"/>
  <c r="F59" i="110" a="1"/>
  <c r="D59" i="110" a="1"/>
  <c r="D59" i="110" l="1"/>
  <c r="F59" i="110"/>
  <c r="E59" i="110"/>
  <c r="C60" i="110"/>
  <c r="E60" i="110" a="1"/>
  <c r="F60" i="110" a="1"/>
  <c r="D60" i="110" a="1"/>
  <c r="D60" i="110" l="1"/>
  <c r="F60" i="110"/>
  <c r="E60" i="110"/>
  <c r="C61" i="110"/>
  <c r="F61" i="110" a="1"/>
  <c r="E61" i="110" a="1"/>
  <c r="D61" i="110" a="1"/>
  <c r="D61" i="110" l="1"/>
  <c r="E61" i="110"/>
  <c r="F61" i="110"/>
  <c r="C62" i="110"/>
  <c r="E62" i="110" a="1"/>
  <c r="F62" i="110" a="1"/>
  <c r="D62" i="110" a="1"/>
  <c r="D62" i="110" l="1"/>
  <c r="F62" i="110"/>
  <c r="E62" i="110"/>
  <c r="C63" i="110"/>
  <c r="F63" i="110" a="1"/>
  <c r="E63" i="110" a="1"/>
  <c r="D63" i="110" a="1"/>
  <c r="D63" i="110" l="1"/>
  <c r="E63" i="110"/>
  <c r="F63" i="110"/>
  <c r="C64" i="110"/>
  <c r="E64" i="110" a="1"/>
  <c r="F64" i="110" a="1"/>
  <c r="D64" i="110" a="1"/>
  <c r="D64" i="110" l="1"/>
  <c r="F64" i="110"/>
  <c r="E64" i="110"/>
  <c r="C65" i="110"/>
  <c r="E65" i="110" a="1"/>
  <c r="F65" i="110" a="1"/>
  <c r="D65" i="110" a="1"/>
  <c r="D65" i="110" l="1"/>
  <c r="F65" i="110"/>
  <c r="E65" i="110"/>
  <c r="C66" i="110"/>
  <c r="E66" i="110" a="1"/>
  <c r="F66" i="110" a="1"/>
  <c r="D66" i="110" a="1"/>
  <c r="D66" i="110" l="1"/>
  <c r="F66" i="110"/>
  <c r="E66" i="110"/>
  <c r="C67" i="110"/>
  <c r="E67" i="110" a="1"/>
  <c r="F67" i="110" a="1"/>
  <c r="D67" i="110" a="1"/>
  <c r="D67" i="110" l="1"/>
  <c r="F67" i="110"/>
  <c r="E67" i="110"/>
  <c r="C68" i="110"/>
  <c r="E68" i="110" a="1"/>
  <c r="F68" i="110" a="1"/>
  <c r="D68" i="110" a="1"/>
  <c r="D68" i="110" l="1"/>
  <c r="F68" i="110"/>
  <c r="E68" i="110"/>
  <c r="C69" i="110"/>
  <c r="E69" i="110" a="1"/>
  <c r="F69" i="110" a="1"/>
  <c r="D69" i="110" a="1"/>
  <c r="D69" i="110" l="1"/>
  <c r="F69" i="110"/>
  <c r="E69" i="110"/>
  <c r="C70" i="110"/>
  <c r="E70" i="110" a="1"/>
  <c r="F70" i="110" a="1"/>
  <c r="D70" i="110" a="1"/>
  <c r="D70" i="110" l="1"/>
  <c r="F70" i="110"/>
  <c r="E70" i="110"/>
  <c r="C71" i="110"/>
  <c r="F71" i="110" a="1"/>
  <c r="E71" i="110" a="1"/>
  <c r="D71" i="110" a="1"/>
  <c r="D71" i="110" l="1"/>
  <c r="E71" i="110"/>
  <c r="F71" i="110"/>
  <c r="C72" i="110"/>
  <c r="E72" i="110" a="1"/>
  <c r="F72" i="110" a="1"/>
  <c r="D72" i="110" a="1"/>
  <c r="D72" i="110" l="1"/>
  <c r="F72" i="110"/>
  <c r="E72" i="110"/>
  <c r="C73" i="110"/>
  <c r="F73" i="110" a="1"/>
  <c r="E73" i="110" a="1"/>
  <c r="D73" i="110" a="1"/>
  <c r="D73" i="110" l="1"/>
  <c r="E73" i="110"/>
  <c r="F73" i="110"/>
  <c r="C74" i="110"/>
  <c r="E74" i="110" a="1"/>
  <c r="F74" i="110" a="1"/>
  <c r="D74" i="110" a="1"/>
  <c r="D74" i="110" l="1"/>
  <c r="F74" i="110"/>
  <c r="E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<sst xmlns="http://schemas.openxmlformats.org/spreadsheetml/2006/main" count="90" uniqueCount="78">
  <si>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</si>
  <si>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</si>
  <si>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</si>
  <si>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</si>
  <si>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</si>
  <si>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</si>
  <si>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</si>
  <si>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</si>
  <si>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</si>
  <si>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</si>
  <si>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</si>
  <si>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</si>
  <si>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</si>
  <si>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</si>
  <si>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</si>
  <si>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</si>
  <si>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</si>
  <si>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</si>
  <si>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</si>
  <si>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</si>
  <si>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</si>
  <si>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</si>
  <si>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</si>
  <si>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</si>
  <si>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</si>
  <si>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</si>
  <si>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</si>
  <si>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</si>
  <si>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</si>
  <si>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</si>
  <si>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</si>
  <si>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</si>
  <si>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</si>
  <si>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</si>
  <si>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</si>
  <si>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</si>
  <si>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</si>
  <si>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</si>
  <si>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</si>
  <si>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</si>
  <si>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</si>
  <si>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</si>
  <si>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</si>
  <si>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</si>
  <si>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</si>
  <si>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</si>
  <si>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</si>
  <si>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</si>
  <si>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</si>
  <si>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</si>
  <si>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</si>
  <si>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</si>
  <si>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</si>
  <si>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</si>
  <si>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</si>
  <si>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</si>
  <si>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</si>
  <si>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</si>
  <si>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</si>
  <si>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</si>
  <si>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</si>
  <si>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</si>
  <si>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</si>
  <si>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</si>
  <si>
    <t>Fном, Гц</t>
  </si>
  <si>
    <t>Ступеней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</si>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</sst>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7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0" fontId="0" fillId="10" borderId="0" xfId="0" applyFill="1"/>
    <xf numFmtId="0" fontId="0" fillId="11" borderId="0" xfId="0" applyFill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19788.469500000003</c:v>
                </c:pt>
                <c:pt idx="1">
                  <c:v>19960.488281250004</c:v>
                </c:pt>
                <c:pt idx="2">
                  <c:v>20064.290625000005</c:v>
                </c:pt>
                <c:pt idx="3">
                  <c:v>20091.607031250005</c:v>
                </c:pt>
                <c:pt idx="4">
                  <c:v>20043.593750000004</c:v>
                </c:pt>
                <c:pt idx="5">
                  <c:v>19922.465722656252</c:v>
                </c:pt>
                <c:pt idx="6">
                  <c:v>19721.664843750001</c:v>
                </c:pt>
                <c:pt idx="7">
                  <c:v>19431.967279790526</c:v>
                </c:pt>
                <c:pt idx="8">
                  <c:v>18931.141483516487</c:v>
                </c:pt>
                <c:pt idx="9">
                  <c:v>18124.231853107834</c:v>
                </c:pt>
                <c:pt idx="10">
                  <c:v>17039.15183712068</c:v>
                </c:pt>
                <c:pt idx="11">
                  <c:v>15782.786964908259</c:v>
                </c:pt>
                <c:pt idx="12">
                  <c:v>14385.600000000002</c:v>
                </c:pt>
                <c:pt idx="13">
                  <c:v>12889.374672591744</c:v>
                </c:pt>
                <c:pt idx="14">
                  <c:v>11311.984032110093</c:v>
                </c:pt>
                <c:pt idx="15">
                  <c:v>9646.5937500000018</c:v>
                </c:pt>
                <c:pt idx="16">
                  <c:v>7892.1000000000013</c:v>
                </c:pt>
                <c:pt idx="17">
                  <c:v>6050.1937500000013</c:v>
                </c:pt>
                <c:pt idx="18">
                  <c:v>4120.8750000000018</c:v>
                </c:pt>
                <c:pt idx="19">
                  <c:v>2104.143750000002</c:v>
                </c:pt>
                <c:pt idx="20">
                  <c:v>-</c:v>
                </c:pt>
                <c:pt idx="21">
                  <c:v>-2104.143750000002</c:v>
                </c:pt>
                <c:pt idx="22">
                  <c:v>-4208.287500000004</c:v>
                </c:pt>
                <c:pt idx="23">
                  <c:v>-6312.431250000006</c:v>
                </c:pt>
                <c:pt idx="24">
                  <c:v>-8416.575000000008</c:v>
                </c:pt>
                <c:pt idx="25">
                  <c:v>-10520.718750000011</c:v>
                </c:pt>
                <c:pt idx="26">
                  <c:v>-12624.862500000012</c:v>
                </c:pt>
                <c:pt idx="27">
                  <c:v>-14729.006250000013</c:v>
                </c:pt>
                <c:pt idx="28">
                  <c:v>-16833.150000000016</c:v>
                </c:pt>
                <c:pt idx="29">
                  <c:v>-18937.293750000019</c:v>
                </c:pt>
                <c:pt idx="30">
                  <c:v>-21041.437500000022</c:v>
                </c:pt>
                <c:pt idx="31">
                  <c:v>-23145.581250000021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782964.5850000002</c:v>
                </c:pt>
                <c:pt idx="1">
                  <c:v>800737.52343750012</c:v>
                </c:pt>
                <c:pt idx="2">
                  <c:v>816963.46875000012</c:v>
                </c:pt>
                <c:pt idx="3">
                  <c:v>830894.83593750023</c:v>
                </c:pt>
                <c:pt idx="4">
                  <c:v>842103.81250000012</c:v>
                </c:pt>
                <c:pt idx="5">
                  <c:v>849770.87011718762</c:v>
                </c:pt>
                <c:pt idx="6">
                  <c:v>856322.50781250023</c:v>
                </c:pt>
                <c:pt idx="7">
                  <c:v>864467.78737229598</c:v>
                </c:pt>
                <c:pt idx="8">
                  <c:v>874445.1923076926</c:v>
                </c:pt>
                <c:pt idx="9">
                  <c:v>887756.59964693524</c:v>
                </c:pt>
                <c:pt idx="10">
                  <c:v>907545.61343022215</c:v>
                </c:pt>
                <c:pt idx="11">
                  <c:v>933381.75902371563</c:v>
                </c:pt>
                <c:pt idx="12">
                  <c:v>962037.00000000023</c:v>
                </c:pt>
                <c:pt idx="13">
                  <c:v>991744.25041378487</c:v>
                </c:pt>
                <c:pt idx="14">
                  <c:v>1023215.0393774706</c:v>
                </c:pt>
                <c:pt idx="15">
                  <c:v>1056910.7812500002</c:v>
                </c:pt>
                <c:pt idx="16">
                  <c:v>1092906.0000000005</c:v>
                </c:pt>
                <c:pt idx="17">
                  <c:v>1131086.5312500002</c:v>
                </c:pt>
                <c:pt idx="18">
                  <c:v>1171452.3750000002</c:v>
                </c:pt>
                <c:pt idx="19">
                  <c:v>1214003.5312500002</c:v>
                </c:pt>
                <c:pt idx="20">
                  <c:v>1258740.0000000005</c:v>
                </c:pt>
                <c:pt idx="21">
                  <c:v>1258740.0000000005</c:v>
                </c:pt>
                <c:pt idx="22">
                  <c:v>1258740.0000000005</c:v>
                </c:pt>
                <c:pt idx="23">
                  <c:v>1258740.0000000005</c:v>
                </c:pt>
                <c:pt idx="24">
                  <c:v>1258740.0000000005</c:v>
                </c:pt>
                <c:pt idx="25">
                  <c:v>1258740.0000000005</c:v>
                </c:pt>
                <c:pt idx="26">
                  <c:v>1258740.0000000005</c:v>
                </c:pt>
                <c:pt idx="27">
                  <c:v>1258740.0000000005</c:v>
                </c:pt>
                <c:pt idx="28">
                  <c:v>1258740.0000000005</c:v>
                </c:pt>
                <c:pt idx="29">
                  <c:v>1258740.0000000005</c:v>
                </c:pt>
                <c:pt idx="30">
                  <c:v>1258740.0000000005</c:v>
                </c:pt>
                <c:pt idx="31">
                  <c:v>1258740.0000000005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19788.469500000003</c:v>
                </c:pt>
                <c:pt idx="1">
                  <c:v>19960.488281250004</c:v>
                </c:pt>
                <c:pt idx="2">
                  <c:v>20064.290625000005</c:v>
                </c:pt>
                <c:pt idx="3">
                  <c:v>20091.607031250005</c:v>
                </c:pt>
                <c:pt idx="4">
                  <c:v>20043.593750000004</c:v>
                </c:pt>
                <c:pt idx="5">
                  <c:v>19922.465722656252</c:v>
                </c:pt>
                <c:pt idx="6">
                  <c:v>19721.664843750001</c:v>
                </c:pt>
                <c:pt idx="7">
                  <c:v>19431.967279790526</c:v>
                </c:pt>
                <c:pt idx="8">
                  <c:v>18931.141483516487</c:v>
                </c:pt>
                <c:pt idx="9">
                  <c:v>18124.231853107834</c:v>
                </c:pt>
                <c:pt idx="10">
                  <c:v>17039.15183712068</c:v>
                </c:pt>
                <c:pt idx="11">
                  <c:v>15782.786964908259</c:v>
                </c:pt>
                <c:pt idx="12">
                  <c:v>14385.600000000002</c:v>
                </c:pt>
                <c:pt idx="13">
                  <c:v>12889.374672591744</c:v>
                </c:pt>
                <c:pt idx="14">
                  <c:v>11311.984032110093</c:v>
                </c:pt>
                <c:pt idx="15">
                  <c:v>9646.5937500000018</c:v>
                </c:pt>
                <c:pt idx="16">
                  <c:v>7892.1000000000013</c:v>
                </c:pt>
                <c:pt idx="17">
                  <c:v>6050.1937500000013</c:v>
                </c:pt>
                <c:pt idx="18">
                  <c:v>4120.8750000000018</c:v>
                </c:pt>
                <c:pt idx="19">
                  <c:v>2104.143750000002</c:v>
                </c:pt>
                <c:pt idx="20">
                  <c:v>-</c:v>
                </c:pt>
                <c:pt idx="21">
                  <c:v>-2104.143750000002</c:v>
                </c:pt>
                <c:pt idx="22">
                  <c:v>-4208.287500000004</c:v>
                </c:pt>
                <c:pt idx="23">
                  <c:v>-6312.431250000006</c:v>
                </c:pt>
                <c:pt idx="24">
                  <c:v>-8416.575000000008</c:v>
                </c:pt>
                <c:pt idx="25">
                  <c:v>-10520.718750000011</c:v>
                </c:pt>
                <c:pt idx="26">
                  <c:v>-12624.862500000012</c:v>
                </c:pt>
                <c:pt idx="27">
                  <c:v>-14729.006250000013</c:v>
                </c:pt>
                <c:pt idx="28">
                  <c:v>-16833.150000000016</c:v>
                </c:pt>
                <c:pt idx="29">
                  <c:v>-18937.293750000019</c:v>
                </c:pt>
                <c:pt idx="30">
                  <c:v>-21041.437500000022</c:v>
                </c:pt>
                <c:pt idx="31">
                  <c:v>-23145.581250000021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5-49E2-A740-ABBB071F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26.25</c:v>
                </c:pt>
                <c:pt idx="2">
                  <c:v>52.5</c:v>
                </c:pt>
                <c:pt idx="3">
                  <c:v>78.75</c:v>
                </c:pt>
                <c:pt idx="4">
                  <c:v>105</c:v>
                </c:pt>
                <c:pt idx="5">
                  <c:v>131.25</c:v>
                </c:pt>
                <c:pt idx="6">
                  <c:v>157.5</c:v>
                </c:pt>
                <c:pt idx="7">
                  <c:v>183.75</c:v>
                </c:pt>
                <c:pt idx="8">
                  <c:v>210</c:v>
                </c:pt>
                <c:pt idx="9">
                  <c:v>236.25</c:v>
                </c:pt>
                <c:pt idx="10">
                  <c:v>262.5</c:v>
                </c:pt>
                <c:pt idx="11">
                  <c:v>288.75</c:v>
                </c:pt>
                <c:pt idx="12">
                  <c:v>315</c:v>
                </c:pt>
                <c:pt idx="13">
                  <c:v>341.25</c:v>
                </c:pt>
                <c:pt idx="14">
                  <c:v>367.5</c:v>
                </c:pt>
                <c:pt idx="15">
                  <c:v>393.75</c:v>
                </c:pt>
                <c:pt idx="16">
                  <c:v>420</c:v>
                </c:pt>
                <c:pt idx="17">
                  <c:v>446.25</c:v>
                </c:pt>
                <c:pt idx="18">
                  <c:v>472.5</c:v>
                </c:pt>
                <c:pt idx="19">
                  <c:v>498.75</c:v>
                </c:pt>
                <c:pt idx="20">
                  <c:v>525</c:v>
                </c:pt>
                <c:pt idx="21">
                  <c:v>551.25</c:v>
                </c:pt>
                <c:pt idx="22">
                  <c:v>577.5</c:v>
                </c:pt>
                <c:pt idx="23">
                  <c:v>603.75</c:v>
                </c:pt>
                <c:pt idx="24">
                  <c:v>630</c:v>
                </c:pt>
                <c:pt idx="25">
                  <c:v>656.25</c:v>
                </c:pt>
                <c:pt idx="26">
                  <c:v>682.5</c:v>
                </c:pt>
                <c:pt idx="27">
                  <c:v>708.75</c:v>
                </c:pt>
                <c:pt idx="28">
                  <c:v>735</c:v>
                </c:pt>
                <c:pt idx="29">
                  <c:v>761.25</c:v>
                </c:pt>
                <c:pt idx="30">
                  <c:v>787.5</c:v>
                </c:pt>
                <c:pt idx="31">
                  <c:v>813.75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2.7216049382716044E-3</c:v>
                </c:pt>
                <c:pt idx="1">
                  <c:v>7.1032986111111113E-2</c:v>
                </c:pt>
                <c:pt idx="2">
                  <c:v>0.14121527777777779</c:v>
                </c:pt>
                <c:pt idx="3">
                  <c:v>0.21054687499999999</c:v>
                </c:pt>
                <c:pt idx="4">
                  <c:v>0.27907738095238094</c:v>
                </c:pt>
                <c:pt idx="5">
                  <c:v>0.34690181671626985</c:v>
                </c:pt>
                <c:pt idx="6">
                  <c:v>0.41373883928571425</c:v>
                </c:pt>
                <c:pt idx="7">
                  <c:v>0.47893487965838505</c:v>
                </c:pt>
                <c:pt idx="8">
                  <c:v>0.52431055900621115</c:v>
                </c:pt>
                <c:pt idx="9">
                  <c:v>0.54777319487577647</c:v>
                </c:pt>
                <c:pt idx="10">
                  <c:v>0.55652250265111347</c:v>
                </c:pt>
                <c:pt idx="11">
                  <c:v>0.54977570519618246</c:v>
                </c:pt>
                <c:pt idx="12">
                  <c:v>0.53</c:v>
                </c:pt>
                <c:pt idx="13">
                  <c:v>0.4980619427506775</c:v>
                </c:pt>
                <c:pt idx="14">
                  <c:v>0.4546393089430894</c:v>
                </c:pt>
                <c:pt idx="15">
                  <c:v>0.40197916666666667</c:v>
                </c:pt>
                <c:pt idx="16">
                  <c:v>0.34044444444444444</c:v>
                </c:pt>
                <c:pt idx="17">
                  <c:v>0.2694791666666666</c:v>
                </c:pt>
                <c:pt idx="18">
                  <c:v>0.1890833333333333</c:v>
                </c:pt>
                <c:pt idx="19">
                  <c:v>9.9256944444444439E-2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25-49E2-A740-ABBB071FF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18</xdr:col>
      <xdr:colOff>365449</xdr:colOff>
      <xdr:row>40</xdr:row>
      <xdr:rowOff>31102</xdr:rowOff>
    </xdr:from>
    <xdr:to>
      <xdr:col>23</xdr:col>
      <xdr:colOff>868544</xdr:colOff>
      <xdr:row>68</xdr:row>
      <xdr:rowOff>9854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6009F1F-19E2-4E06-B79B-0FF9F8808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ESP_pump"/>
      <definedName name="ESP_calc_stages_num"/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topLeftCell="A19" zoomScale="85" zoomScaleNormal="85" workbookViewId="0">
      <selection activeCell="J27" sqref="J27"/>
    </sheetView>
  </sheetViews>
  <sheetFormatPr defaultRowHeight="12.45" x14ac:dyDescent="0.3"/>
  <cols>
    <col min="2" max="2" width="15.07421875" customWidth="1"/>
    <col min="3" max="3" width="9.84375" customWidth="1"/>
    <col min="4" max="4" width="12.84375" customWidth="1"/>
    <col min="5" max="5" width="11.3046875" customWidth="1"/>
    <col min="6" max="6" width="13.53515625" customWidth="1"/>
    <col min="7" max="7" width="13.07421875" customWidth="1"/>
    <col min="8" max="8" width="12.3046875" customWidth="1"/>
    <col min="9" max="9" width="14.4609375" customWidth="1"/>
    <col min="10" max="10" width="11.3046875" customWidth="1"/>
    <col min="11" max="11" width="12.3046875" bestFit="1" customWidth="1"/>
    <col min="12" max="12" width="10.3046875" bestFit="1" customWidth="1"/>
    <col min="20" max="37" width="12.4609375" customWidth="1"/>
  </cols>
  <sheetData>
    <row r="1" spans="1:12" x14ac:dyDescent="0.3">
      <c r="A1" s="1" t="s">
        <v>15</v>
      </c>
      <c r="F1" t="s">
        <v>16</v>
      </c>
      <c r="G1" t="str">
        <f>[1]!unf_version()</f>
        <v>7.49</v>
      </c>
      <c r="H1" t="s">
        <v>49</v>
      </c>
      <c r="I1" s="22">
        <v>45230</v>
      </c>
      <c r="J1" s="19"/>
      <c r="K1" s="19"/>
      <c r="L1" s="19"/>
    </row>
    <row r="2" spans="1:12" x14ac:dyDescent="0.3">
      <c r="A2" t="s">
        <v>63</v>
      </c>
      <c r="H2" t="s">
        <v>50</v>
      </c>
      <c r="I2" s="23">
        <v>7.49</v>
      </c>
      <c r="J2" s="19"/>
      <c r="K2" s="19"/>
      <c r="L2" s="19"/>
    </row>
    <row r="3" spans="1:12" ht="14.6" x14ac:dyDescent="0.4">
      <c r="A3" s="24" t="s">
        <v>51</v>
      </c>
      <c r="B3" s="30" t="s">
        <v>52</v>
      </c>
      <c r="C3" s="31"/>
      <c r="D3" s="31"/>
      <c r="E3" s="32"/>
      <c r="H3" t="s">
        <v>53</v>
      </c>
      <c r="I3" s="19" t="s">
        <v>52</v>
      </c>
      <c r="J3" s="19"/>
      <c r="K3" s="19"/>
      <c r="L3" s="19"/>
    </row>
    <row r="4" spans="1:12" ht="14.6" x14ac:dyDescent="0.4">
      <c r="A4" s="24" t="s">
        <v>54</v>
      </c>
      <c r="B4" s="30" t="s">
        <v>55</v>
      </c>
      <c r="C4" s="31"/>
      <c r="D4" s="31"/>
      <c r="E4" s="32"/>
      <c r="H4" t="s">
        <v>56</v>
      </c>
      <c r="I4" s="19" t="s">
        <v>55</v>
      </c>
      <c r="J4" s="19"/>
      <c r="K4" s="19"/>
      <c r="L4" s="19"/>
    </row>
    <row r="5" spans="1:12" ht="14.6" x14ac:dyDescent="0.4">
      <c r="A5" s="24" t="s">
        <v>57</v>
      </c>
      <c r="B5" s="30" t="s">
        <v>58</v>
      </c>
      <c r="C5" s="31"/>
      <c r="D5" s="31"/>
      <c r="E5" s="32"/>
      <c r="H5" t="s">
        <v>59</v>
      </c>
      <c r="I5" s="19" t="s">
        <v>58</v>
      </c>
      <c r="J5" s="19"/>
      <c r="K5" s="19"/>
      <c r="L5" s="19"/>
    </row>
    <row r="6" spans="1:12" x14ac:dyDescent="0.3">
      <c r="A6" s="25" t="s">
        <v>60</v>
      </c>
      <c r="B6" s="33" t="s">
        <v>61</v>
      </c>
      <c r="C6" s="34"/>
      <c r="D6" s="34"/>
      <c r="E6" s="35"/>
      <c r="H6" s="26" t="s">
        <v>62</v>
      </c>
      <c r="I6" s="27" t="s">
        <v>61</v>
      </c>
      <c r="J6" s="27"/>
      <c r="K6" s="27"/>
      <c r="L6" s="27"/>
    </row>
    <row r="7" spans="1:12" x14ac:dyDescent="0.3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3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3">
      <c r="A10" s="1" t="s">
        <v>8</v>
      </c>
    </row>
    <row r="11" spans="1:12" ht="17.600000000000001" x14ac:dyDescent="0.55000000000000004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7.600000000000001" x14ac:dyDescent="0.55000000000000004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7.600000000000001" x14ac:dyDescent="0.55000000000000004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7.600000000000001" x14ac:dyDescent="0.55000000000000004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7.600000000000001" x14ac:dyDescent="0.55000000000000004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7.149999999999999" x14ac:dyDescent="0.55000000000000004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10" ht="17.149999999999999" x14ac:dyDescent="0.55000000000000004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10" ht="17.600000000000001" x14ac:dyDescent="0.55000000000000004">
      <c r="B18" s="13" t="s">
        <v>30</v>
      </c>
      <c r="C18" s="2">
        <v>1.2</v>
      </c>
      <c r="D18" s="12" t="s">
        <v>22</v>
      </c>
    </row>
    <row r="19" spans="1:10" ht="17.149999999999999" x14ac:dyDescent="0.55000000000000004">
      <c r="B19" s="20" t="s">
        <v>47</v>
      </c>
      <c r="C19" s="2">
        <v>1</v>
      </c>
      <c r="D19" s="12" t="s">
        <v>46</v>
      </c>
    </row>
    <row r="20" spans="1:10" x14ac:dyDescent="0.3">
      <c r="B20" s="3"/>
      <c r="C20" s="4"/>
    </row>
    <row r="21" spans="1:10" ht="14.15" x14ac:dyDescent="0.4">
      <c r="B21" s="15" t="s">
        <v>32</v>
      </c>
      <c r="C21" s="2">
        <v>50</v>
      </c>
      <c r="D21" s="16" t="s">
        <v>3</v>
      </c>
    </row>
    <row r="22" spans="1:10" ht="14.15" x14ac:dyDescent="0.4">
      <c r="B22" s="15" t="s">
        <v>34</v>
      </c>
      <c r="C22" s="2">
        <v>10</v>
      </c>
      <c r="D22" s="16" t="s">
        <v>33</v>
      </c>
    </row>
    <row r="23" spans="1:10" x14ac:dyDescent="0.3">
      <c r="A23" s="1" t="s">
        <v>45</v>
      </c>
      <c r="I23" s="43" t="s">
        <v>66</v>
      </c>
      <c r="J23" s="42">
        <f>Q_ESP_</f>
        <v>80</v>
      </c>
    </row>
    <row r="24" spans="1:10" ht="14.15" x14ac:dyDescent="0.4">
      <c r="B24" s="16" t="s">
        <v>38</v>
      </c>
      <c r="C24" s="2">
        <v>80</v>
      </c>
      <c r="D24" s="16" t="s">
        <v>3</v>
      </c>
      <c r="I24" s="43" t="s">
        <v>67</v>
      </c>
      <c r="J24" s="42">
        <f>Head_ESP_</f>
        <v>2000</v>
      </c>
    </row>
    <row r="25" spans="1:10" ht="14.15" x14ac:dyDescent="0.4">
      <c r="B25" s="16" t="s">
        <v>39</v>
      </c>
      <c r="C25" s="2">
        <v>2000</v>
      </c>
      <c r="D25" s="16" t="s">
        <v>4</v>
      </c>
      <c r="E25" s="16" t="s">
        <v>64</v>
      </c>
      <c r="F25" s="2">
        <v>50</v>
      </c>
      <c r="G25" s="16" t="s">
        <v>5</v>
      </c>
      <c r="I25" s="44" t="s">
        <v>68</v>
      </c>
      <c r="J25" s="42">
        <v>25</v>
      </c>
    </row>
    <row r="26" spans="1:10" x14ac:dyDescent="0.3">
      <c r="B26" s="16" t="s">
        <v>35</v>
      </c>
      <c r="C26" s="2">
        <v>75</v>
      </c>
      <c r="D26" s="16" t="s">
        <v>5</v>
      </c>
      <c r="I26" s="43" t="s">
        <v>69</v>
      </c>
      <c r="J26" s="46">
        <f>[1]!ESP_id_by_rate(J23, J25)</f>
        <v>1006</v>
      </c>
    </row>
    <row r="27" spans="1:10" x14ac:dyDescent="0.3">
      <c r="B27" s="16" t="s">
        <v>36</v>
      </c>
      <c r="C27" s="11" cm="1">
        <f t="array" ref="C27">[1]!ESP_id_by_rate(Q_ESP_,Fном__Гц)</f>
        <v>1006</v>
      </c>
      <c r="D27" s="16"/>
      <c r="I27" s="43" t="s">
        <v>70</v>
      </c>
      <c r="J27" s="46">
        <f>[1]!ESP_calc_stages_num(J26,J24,J25,J23)</f>
        <v>333</v>
      </c>
    </row>
    <row r="28" spans="1:10" x14ac:dyDescent="0.3">
      <c r="B28" s="16" t="s">
        <v>37</v>
      </c>
      <c r="C28" s="11" t="str" cm="1">
        <f t="array" ref="C28">[1]!ESP_name(PumpID_)</f>
        <v>ЭЦН5-80</v>
      </c>
      <c r="D28" s="16"/>
      <c r="I28" s="43" t="s">
        <v>71</v>
      </c>
      <c r="J28" s="42">
        <v>1</v>
      </c>
    </row>
    <row r="29" spans="1:10" ht="14.15" x14ac:dyDescent="0.4">
      <c r="B29" s="16" t="s">
        <v>40</v>
      </c>
      <c r="C29" s="11" cm="1">
        <f t="array" ref="C29">[1]!ESP_rate_max_sm3day(esp_json,Freq_)</f>
        <v>525</v>
      </c>
      <c r="D29" s="16"/>
      <c r="I29" s="43" t="s">
        <v>72</v>
      </c>
      <c r="J29" s="42">
        <v>1</v>
      </c>
    </row>
    <row r="30" spans="1:10" x14ac:dyDescent="0.3">
      <c r="B30" s="16" t="s">
        <v>9</v>
      </c>
      <c r="C30" s="11">
        <f>F30</f>
        <v>333</v>
      </c>
      <c r="D30" s="16" t="s">
        <v>6</v>
      </c>
      <c r="E30" t="s">
        <v>65</v>
      </c>
      <c r="F30" cm="1">
        <f t="array" ref="F30">[1]!ESP_calc_stages_num(PumpID_,Head_ESP_,Fном__Гц,Q_ESP_)</f>
        <v>333</v>
      </c>
      <c r="I30" s="43" t="s">
        <v>73</v>
      </c>
      <c r="J30" s="42">
        <v>1</v>
      </c>
    </row>
    <row r="31" spans="1:10" ht="14.15" x14ac:dyDescent="0.4">
      <c r="B31" s="16" t="s">
        <v>41</v>
      </c>
      <c r="C31" s="5">
        <v>0.8</v>
      </c>
      <c r="D31" s="16"/>
      <c r="I31" s="43" t="s">
        <v>74</v>
      </c>
      <c r="J31" s="42">
        <v>1</v>
      </c>
    </row>
    <row r="32" spans="1:10" ht="14.15" x14ac:dyDescent="0.4">
      <c r="B32" s="16" t="s">
        <v>42</v>
      </c>
      <c r="C32" s="7">
        <v>80</v>
      </c>
      <c r="D32" s="16" t="s">
        <v>1</v>
      </c>
      <c r="I32" s="43" t="s">
        <v>75</v>
      </c>
      <c r="J32" s="42">
        <v>0</v>
      </c>
    </row>
    <row r="33" spans="1:10" ht="14.15" x14ac:dyDescent="0.4">
      <c r="B33" s="16" t="s">
        <v>43</v>
      </c>
      <c r="C33" s="7">
        <v>80</v>
      </c>
      <c r="D33" s="16" t="s">
        <v>2</v>
      </c>
      <c r="I33" s="43" t="s">
        <v>76</v>
      </c>
      <c r="J33" s="42">
        <v>1</v>
      </c>
    </row>
    <row r="34" spans="1:10" x14ac:dyDescent="0.3">
      <c r="B34" s="16" t="s">
        <v>44</v>
      </c>
      <c r="C34" s="2">
        <v>1</v>
      </c>
      <c r="D34" s="16" t="s">
        <v>31</v>
      </c>
      <c r="I34" s="43" t="s">
        <v>77</v>
      </c>
      <c r="J34" s="45" t="str">
        <f>[1]!encode_ESP_pump(, , J25, J26, J27, J28, J29, J30, J31, J32, J33)</f>
        <v>{"q_nom_sm3day":80,"head_nom_m":1998,"freq_nom_Hz":25,"name":"ESP-80-1998","ESP_ID":1006,"num_stages":333,"gas_correct_model":1,"gas_correct_stage_by_stage":0,"calibr_head":1,"calibr_power":1,"calibr_rate":1,"dnum_stages_integrate":1}</v>
      </c>
    </row>
    <row r="35" spans="1:10" x14ac:dyDescent="0.3">
      <c r="A35" t="s">
        <v>48</v>
      </c>
    </row>
    <row r="36" spans="1:10" x14ac:dyDescent="0.3">
      <c r="B36" s="16" t="s">
        <v>7</v>
      </c>
      <c r="C36" s="2">
        <v>20</v>
      </c>
      <c r="D36" s="16"/>
    </row>
    <row r="37" spans="1:10" x14ac:dyDescent="0.3">
      <c r="A37" s="1"/>
    </row>
    <row r="39" spans="1:10" ht="12.75" customHeight="1" x14ac:dyDescent="0.3">
      <c r="A39" t="s">
        <v>14</v>
      </c>
    </row>
    <row r="40" spans="1:10" x14ac:dyDescent="0.3">
      <c r="A40" t="s">
        <v>10</v>
      </c>
    </row>
    <row r="42" spans="1:10" x14ac:dyDescent="0.3">
      <c r="C42" s="17" t="s">
        <v>0</v>
      </c>
      <c r="D42" s="17" t="s">
        <v>11</v>
      </c>
      <c r="E42" s="17" t="s">
        <v>12</v>
      </c>
      <c r="F42" s="18" t="s">
        <v>13</v>
      </c>
    </row>
    <row r="43" spans="1:10" x14ac:dyDescent="0.3">
      <c r="C43" s="6">
        <v>1</v>
      </c>
      <c r="D43" s="21" cm="1">
        <f t="array" ref="D43">[1]!ESP_head_m(C43,esp_json,Freq_,mu)</f>
        <v>19788.469500000003</v>
      </c>
      <c r="E43" s="21" cm="1">
        <f t="array" ref="E43">[1]!ESP_eff_fr(C43,esp_json,Freq_,mu)</f>
        <v>2.7216049382716044E-3</v>
      </c>
      <c r="F43" s="21" cm="1">
        <f t="array" ref="F43">[1]!ESP_power_W(C43,esp_json,Freq_,mu)</f>
        <v>782964.5850000002</v>
      </c>
    </row>
    <row r="44" spans="1:10" x14ac:dyDescent="0.3">
      <c r="C44" s="6">
        <f>Qmax_/20</f>
        <v>26.25</v>
      </c>
      <c r="D44" s="21" cm="1">
        <f t="array" ref="D44">[1]!ESP_head_m(C44,esp_json,Freq_,mu)</f>
        <v>19960.488281250004</v>
      </c>
      <c r="E44" s="21" cm="1">
        <f t="array" ref="E44">[1]!ESP_eff_fr(C44,esp_json,Freq_,mu)</f>
        <v>7.1032986111111113E-2</v>
      </c>
      <c r="F44" s="21" cm="1">
        <f t="array" ref="F44">[1]!ESP_power_W(C44,esp_json,Freq_,mu)</f>
        <v>800737.52343750012</v>
      </c>
    </row>
    <row r="45" spans="1:10" x14ac:dyDescent="0.3">
      <c r="C45" s="6">
        <f t="shared" ref="C45:C74" si="0">C44+Qmax_/20</f>
        <v>52.5</v>
      </c>
      <c r="D45" s="21" cm="1">
        <f t="array" ref="D45">[1]!ESP_head_m(C45,esp_json,Freq_,mu)</f>
        <v>20064.290625000005</v>
      </c>
      <c r="E45" s="21" cm="1">
        <f t="array" ref="E45">[1]!ESP_eff_fr(C45,esp_json,Freq_,mu)</f>
        <v>0.14121527777777779</v>
      </c>
      <c r="F45" s="21" cm="1">
        <f t="array" ref="F45">[1]!ESP_power_W(C45,esp_json,Freq_,mu)</f>
        <v>816963.46875000012</v>
      </c>
    </row>
    <row r="46" spans="1:10" x14ac:dyDescent="0.3">
      <c r="C46" s="6">
        <f t="shared" si="0"/>
        <v>78.75</v>
      </c>
      <c r="D46" s="21" cm="1">
        <f t="array" ref="D46">[1]!ESP_head_m(C46,esp_json,Freq_,mu)</f>
        <v>20091.607031250005</v>
      </c>
      <c r="E46" s="21" cm="1">
        <f t="array" ref="E46">[1]!ESP_eff_fr(C46,esp_json,Freq_,mu)</f>
        <v>0.21054687499999999</v>
      </c>
      <c r="F46" s="21" cm="1">
        <f t="array" ref="F46">[1]!ESP_power_W(C46,esp_json,Freq_,mu)</f>
        <v>830894.83593750023</v>
      </c>
    </row>
    <row r="47" spans="1:10" x14ac:dyDescent="0.3">
      <c r="C47" s="6">
        <f t="shared" si="0"/>
        <v>105</v>
      </c>
      <c r="D47" s="21" cm="1">
        <f t="array" ref="D47">[1]!ESP_head_m(C47,esp_json,Freq_,mu)</f>
        <v>20043.593750000004</v>
      </c>
      <c r="E47" s="21" cm="1">
        <f t="array" ref="E47">[1]!ESP_eff_fr(C47,esp_json,Freq_,mu)</f>
        <v>0.27907738095238094</v>
      </c>
      <c r="F47" s="21" cm="1">
        <f t="array" ref="F47">[1]!ESP_power_W(C47,esp_json,Freq_,mu)</f>
        <v>842103.81250000012</v>
      </c>
    </row>
    <row r="48" spans="1:10" x14ac:dyDescent="0.3">
      <c r="C48" s="6">
        <f t="shared" si="0"/>
        <v>131.25</v>
      </c>
      <c r="D48" s="21" cm="1">
        <f t="array" ref="D48">[1]!ESP_head_m(C48,esp_json,Freq_,mu)</f>
        <v>19922.465722656252</v>
      </c>
      <c r="E48" s="21" cm="1">
        <f t="array" ref="E48">[1]!ESP_eff_fr(C48,esp_json,Freq_,mu)</f>
        <v>0.34690181671626985</v>
      </c>
      <c r="F48" s="21" cm="1">
        <f t="array" ref="F48">[1]!ESP_power_W(C48,esp_json,Freq_,mu)</f>
        <v>849770.87011718762</v>
      </c>
    </row>
    <row r="49" spans="3:7" x14ac:dyDescent="0.3">
      <c r="C49" s="6">
        <f t="shared" si="0"/>
        <v>157.5</v>
      </c>
      <c r="D49" s="21" cm="1">
        <f t="array" ref="D49">[1]!ESP_head_m(C49,esp_json,Freq_,mu)</f>
        <v>19721.664843750001</v>
      </c>
      <c r="E49" s="21" cm="1">
        <f t="array" ref="E49">[1]!ESP_eff_fr(C49,esp_json,Freq_,mu)</f>
        <v>0.41373883928571425</v>
      </c>
      <c r="F49" s="21" cm="1">
        <f t="array" ref="F49">[1]!ESP_power_W(C49,esp_json,Freq_,mu)</f>
        <v>856322.50781250023</v>
      </c>
    </row>
    <row r="50" spans="3:7" x14ac:dyDescent="0.3">
      <c r="C50" s="6">
        <f t="shared" si="0"/>
        <v>183.75</v>
      </c>
      <c r="D50" s="21" cm="1">
        <f t="array" ref="D50">[1]!ESP_head_m(C50,esp_json,Freq_,mu)</f>
        <v>19431.967279790526</v>
      </c>
      <c r="E50" s="21" cm="1">
        <f t="array" ref="E50">[1]!ESP_eff_fr(C50,esp_json,Freq_,mu)</f>
        <v>0.47893487965838505</v>
      </c>
      <c r="F50" s="21" cm="1">
        <f t="array" ref="F50">[1]!ESP_power_W(C50,esp_json,Freq_,mu)</f>
        <v>864467.78737229598</v>
      </c>
    </row>
    <row r="51" spans="3:7" x14ac:dyDescent="0.3">
      <c r="C51" s="6">
        <f t="shared" si="0"/>
        <v>210</v>
      </c>
      <c r="D51" s="21" cm="1">
        <f t="array" ref="D51">[1]!ESP_head_m(C51,esp_json,Freq_,mu)</f>
        <v>18931.141483516487</v>
      </c>
      <c r="E51" s="21" cm="1">
        <f t="array" ref="E51">[1]!ESP_eff_fr(C51,esp_json,Freq_,mu)</f>
        <v>0.52431055900621115</v>
      </c>
      <c r="F51" s="21" cm="1">
        <f t="array" ref="F51">[1]!ESP_power_W(C51,esp_json,Freq_,mu)</f>
        <v>874445.1923076926</v>
      </c>
    </row>
    <row r="52" spans="3:7" x14ac:dyDescent="0.3">
      <c r="C52" s="6">
        <f t="shared" si="0"/>
        <v>236.25</v>
      </c>
      <c r="D52" s="21" cm="1">
        <f t="array" ref="D52">[1]!ESP_head_m(C52,esp_json,Freq_,mu)</f>
        <v>18124.231853107834</v>
      </c>
      <c r="E52" s="21" cm="1">
        <f t="array" ref="E52">[1]!ESP_eff_fr(C52,esp_json,Freq_,mu)</f>
        <v>0.54777319487577647</v>
      </c>
      <c r="F52" s="21" cm="1">
        <f t="array" ref="F52">[1]!ESP_power_W(C52,esp_json,Freq_,mu)</f>
        <v>887756.59964693524</v>
      </c>
    </row>
    <row r="53" spans="3:7" x14ac:dyDescent="0.3">
      <c r="C53" s="6">
        <f t="shared" si="0"/>
        <v>262.5</v>
      </c>
      <c r="D53" s="21" cm="1">
        <f t="array" ref="D53">[1]!ESP_head_m(C53,esp_json,Freq_,mu)</f>
        <v>17039.15183712068</v>
      </c>
      <c r="E53" s="21" cm="1">
        <f t="array" ref="E53">[1]!ESP_eff_fr(C53,esp_json,Freq_,mu)</f>
        <v>0.55652250265111347</v>
      </c>
      <c r="F53" s="21" cm="1">
        <f t="array" ref="F53">[1]!ESP_power_W(C53,esp_json,Freq_,mu)</f>
        <v>907545.61343022215</v>
      </c>
    </row>
    <row r="54" spans="3:7" x14ac:dyDescent="0.3">
      <c r="C54" s="6">
        <f t="shared" si="0"/>
        <v>288.75</v>
      </c>
      <c r="D54" s="21" cm="1">
        <f t="array" ref="D54">[1]!ESP_head_m(C54,esp_json,Freq_,mu)</f>
        <v>15782.786964908259</v>
      </c>
      <c r="E54" s="21" cm="1">
        <f t="array" ref="E54">[1]!ESP_eff_fr(C54,esp_json,Freq_,mu)</f>
        <v>0.54977570519618246</v>
      </c>
      <c r="F54" s="21" cm="1">
        <f t="array" ref="F54">[1]!ESP_power_W(C54,esp_json,Freq_,mu)</f>
        <v>933381.75902371563</v>
      </c>
    </row>
    <row r="55" spans="3:7" x14ac:dyDescent="0.3">
      <c r="C55" s="6">
        <f t="shared" si="0"/>
        <v>315</v>
      </c>
      <c r="D55" s="21" cm="1">
        <f t="array" ref="D55">[1]!ESP_head_m(C55,esp_json,Freq_,mu)</f>
        <v>14385.600000000002</v>
      </c>
      <c r="E55" s="21" cm="1">
        <f t="array" ref="E55">[1]!ESP_eff_fr(C55,esp_json,Freq_,mu)</f>
        <v>0.53</v>
      </c>
      <c r="F55" s="21" cm="1">
        <f t="array" ref="F55">[1]!ESP_power_W(C55,esp_json,Freq_,mu)</f>
        <v>962037.00000000023</v>
      </c>
    </row>
    <row r="56" spans="3:7" x14ac:dyDescent="0.3">
      <c r="C56" s="6">
        <f t="shared" si="0"/>
        <v>341.25</v>
      </c>
      <c r="D56" s="21" cm="1">
        <f t="array" ref="D56">[1]!ESP_head_m(C56,esp_json,Freq_,mu)</f>
        <v>12889.374672591744</v>
      </c>
      <c r="E56" s="21" cm="1">
        <f t="array" ref="E56">[1]!ESP_eff_fr(C56,esp_json,Freq_,mu)</f>
        <v>0.4980619427506775</v>
      </c>
      <c r="F56" s="21" cm="1">
        <f t="array" ref="F56">[1]!ESP_power_W(C56,esp_json,Freq_,mu)</f>
        <v>991744.25041378487</v>
      </c>
    </row>
    <row r="57" spans="3:7" x14ac:dyDescent="0.3">
      <c r="C57" s="6">
        <f t="shared" si="0"/>
        <v>367.5</v>
      </c>
      <c r="D57" s="21" cm="1">
        <f t="array" ref="D57">[1]!ESP_head_m(C57,esp_json,Freq_,mu)</f>
        <v>11311.984032110093</v>
      </c>
      <c r="E57" s="21" cm="1">
        <f t="array" ref="E57">[1]!ESP_eff_fr(C57,esp_json,Freq_,mu)</f>
        <v>0.4546393089430894</v>
      </c>
      <c r="F57" s="21" cm="1">
        <f t="array" ref="F57">[1]!ESP_power_W(C57,esp_json,Freq_,mu)</f>
        <v>1023215.0393774706</v>
      </c>
    </row>
    <row r="58" spans="3:7" x14ac:dyDescent="0.3">
      <c r="C58" s="6">
        <f t="shared" si="0"/>
        <v>393.75</v>
      </c>
      <c r="D58" s="21" cm="1">
        <f t="array" ref="D58">[1]!ESP_head_m(C58,esp_json,Freq_,mu)</f>
        <v>9646.5937500000018</v>
      </c>
      <c r="E58" s="21" cm="1">
        <f t="array" ref="E58">[1]!ESP_eff_fr(C58,esp_json,Freq_,mu)</f>
        <v>0.40197916666666667</v>
      </c>
      <c r="F58" s="21" cm="1">
        <f t="array" ref="F58">[1]!ESP_power_W(C58,esp_json,Freq_,mu)</f>
        <v>1056910.7812500002</v>
      </c>
    </row>
    <row r="59" spans="3:7" x14ac:dyDescent="0.3">
      <c r="C59" s="6">
        <f t="shared" si="0"/>
        <v>420</v>
      </c>
      <c r="D59" s="21" cm="1">
        <f t="array" ref="D59">[1]!ESP_head_m(C59,esp_json,Freq_,mu)</f>
        <v>7892.1000000000013</v>
      </c>
      <c r="E59" s="21" cm="1">
        <f t="array" ref="E59">[1]!ESP_eff_fr(C59,esp_json,Freq_,mu)</f>
        <v>0.34044444444444444</v>
      </c>
      <c r="F59" s="21" cm="1">
        <f t="array" ref="F59">[1]!ESP_power_W(C59,esp_json,Freq_,mu)</f>
        <v>1092906.0000000005</v>
      </c>
    </row>
    <row r="60" spans="3:7" x14ac:dyDescent="0.3">
      <c r="C60" s="6">
        <f t="shared" si="0"/>
        <v>446.25</v>
      </c>
      <c r="D60" s="21" cm="1">
        <f t="array" ref="D60">[1]!ESP_head_m(C60,esp_json,Freq_,mu)</f>
        <v>6050.1937500000013</v>
      </c>
      <c r="E60" s="21" cm="1">
        <f t="array" ref="E60">[1]!ESP_eff_fr(C60,esp_json,Freq_,mu)</f>
        <v>0.2694791666666666</v>
      </c>
      <c r="F60" s="21" cm="1">
        <f t="array" ref="F60">[1]!ESP_power_W(C60,esp_json,Freq_,mu)</f>
        <v>1131086.5312500002</v>
      </c>
    </row>
    <row r="61" spans="3:7" x14ac:dyDescent="0.3">
      <c r="C61" s="6">
        <f t="shared" si="0"/>
        <v>472.5</v>
      </c>
      <c r="D61" s="21" cm="1">
        <f t="array" ref="D61">[1]!ESP_head_m(C61,esp_json,Freq_,mu)</f>
        <v>4120.8750000000018</v>
      </c>
      <c r="E61" s="21" cm="1">
        <f t="array" ref="E61">[1]!ESP_eff_fr(C61,esp_json,Freq_,mu)</f>
        <v>0.1890833333333333</v>
      </c>
      <c r="F61" s="21" cm="1">
        <f t="array" ref="F61">[1]!ESP_power_W(C61,esp_json,Freq_,mu)</f>
        <v>1171452.3750000002</v>
      </c>
    </row>
    <row r="62" spans="3:7" x14ac:dyDescent="0.3">
      <c r="C62" s="6">
        <f t="shared" si="0"/>
        <v>498.75</v>
      </c>
      <c r="D62" s="21" cm="1">
        <f t="array" ref="D62">[1]!ESP_head_m(C62,esp_json,Freq_,mu)</f>
        <v>2104.143750000002</v>
      </c>
      <c r="E62" s="21" cm="1">
        <f t="array" ref="E62">[1]!ESP_eff_fr(C62,esp_json,Freq_,mu)</f>
        <v>9.9256944444444439E-2</v>
      </c>
      <c r="F62" s="21" cm="1">
        <f t="array" ref="F62">[1]!ESP_power_W(C62,esp_json,Freq_,mu)</f>
        <v>1214003.5312500002</v>
      </c>
    </row>
    <row r="63" spans="3:7" x14ac:dyDescent="0.3">
      <c r="C63" s="6">
        <f t="shared" si="0"/>
        <v>525</v>
      </c>
      <c r="D63" s="21" cm="1">
        <f t="array" ref="D63">[1]!ESP_head_m(C63,esp_json,Freq_,mu)</f>
        <v>0</v>
      </c>
      <c r="E63" s="21" cm="1">
        <f t="array" ref="E63">[1]!ESP_eff_fr(C63,esp_json,Freq_,mu)</f>
        <v>0</v>
      </c>
      <c r="F63" s="21" cm="1">
        <f t="array" ref="F63">[1]!ESP_power_W(C63,esp_json,Freq_,mu)</f>
        <v>1258740.0000000005</v>
      </c>
    </row>
    <row r="64" spans="3:7" x14ac:dyDescent="0.3">
      <c r="C64" s="6">
        <f t="shared" si="0"/>
        <v>551.25</v>
      </c>
      <c r="D64" s="21" cm="1">
        <f t="array" ref="D64">[1]!ESP_head_m(C64,esp_json,Freq_,mu)</f>
        <v>-2104.143750000002</v>
      </c>
      <c r="E64" s="21" cm="1">
        <f t="array" ref="E64">[1]!ESP_eff_fr(C64,esp_json,Freq_,mu)</f>
        <v>0</v>
      </c>
      <c r="F64" s="21" cm="1">
        <f t="array" ref="F64">[1]!ESP_power_W(C64,esp_json,Freq_,mu)</f>
        <v>1258740.0000000005</v>
      </c>
      <c r="G64" s="8"/>
    </row>
    <row r="65" spans="3:7" x14ac:dyDescent="0.3">
      <c r="C65" s="6">
        <f t="shared" si="0"/>
        <v>577.5</v>
      </c>
      <c r="D65" s="21" cm="1">
        <f t="array" ref="D65">[1]!ESP_head_m(C65,esp_json,Freq_,mu)</f>
        <v>-4208.287500000004</v>
      </c>
      <c r="E65" s="21" cm="1">
        <f t="array" ref="E65">[1]!ESP_eff_fr(C65,esp_json,Freq_,mu)</f>
        <v>0</v>
      </c>
      <c r="F65" s="21" cm="1">
        <f t="array" ref="F65">[1]!ESP_power_W(C65,esp_json,Freq_,mu)</f>
        <v>1258740.0000000005</v>
      </c>
      <c r="G65" s="8"/>
    </row>
    <row r="66" spans="3:7" x14ac:dyDescent="0.3">
      <c r="C66" s="6">
        <f t="shared" si="0"/>
        <v>603.75</v>
      </c>
      <c r="D66" s="21" cm="1">
        <f t="array" ref="D66">[1]!ESP_head_m(C66,esp_json,Freq_,mu)</f>
        <v>-6312.431250000006</v>
      </c>
      <c r="E66" s="21" cm="1">
        <f t="array" ref="E66">[1]!ESP_eff_fr(C66,esp_json,Freq_,mu)</f>
        <v>0</v>
      </c>
      <c r="F66" s="21" cm="1">
        <f t="array" ref="F66">[1]!ESP_power_W(C66,esp_json,Freq_,mu)</f>
        <v>1258740.0000000005</v>
      </c>
      <c r="G66" s="8"/>
    </row>
    <row r="67" spans="3:7" x14ac:dyDescent="0.3">
      <c r="C67" s="6">
        <f t="shared" si="0"/>
        <v>630</v>
      </c>
      <c r="D67" s="21" cm="1">
        <f t="array" ref="D67">[1]!ESP_head_m(C67,esp_json,Freq_,mu)</f>
        <v>-8416.575000000008</v>
      </c>
      <c r="E67" s="21" cm="1">
        <f t="array" ref="E67">[1]!ESP_eff_fr(C67,esp_json,Freq_,mu)</f>
        <v>0</v>
      </c>
      <c r="F67" s="21" cm="1">
        <f t="array" ref="F67">[1]!ESP_power_W(C67,esp_json,Freq_,mu)</f>
        <v>1258740.0000000005</v>
      </c>
      <c r="G67" s="8"/>
    </row>
    <row r="68" spans="3:7" x14ac:dyDescent="0.3">
      <c r="C68" s="6">
        <f t="shared" si="0"/>
        <v>656.25</v>
      </c>
      <c r="D68" s="21" cm="1">
        <f t="array" ref="D68">[1]!ESP_head_m(C68,esp_json,Freq_,mu)</f>
        <v>-10520.718750000011</v>
      </c>
      <c r="E68" s="21" cm="1">
        <f t="array" ref="E68">[1]!ESP_eff_fr(C68,esp_json,Freq_,mu)</f>
        <v>0</v>
      </c>
      <c r="F68" s="21" cm="1">
        <f t="array" ref="F68">[1]!ESP_power_W(C68,esp_json,Freq_,mu)</f>
        <v>1258740.0000000005</v>
      </c>
    </row>
    <row r="69" spans="3:7" x14ac:dyDescent="0.3">
      <c r="C69" s="6">
        <f t="shared" si="0"/>
        <v>682.5</v>
      </c>
      <c r="D69" s="21" cm="1">
        <f t="array" ref="D69">[1]!ESP_head_m(C69,esp_json,Freq_,mu)</f>
        <v>-12624.862500000012</v>
      </c>
      <c r="E69" s="21" cm="1">
        <f t="array" ref="E69">[1]!ESP_eff_fr(C69,esp_json,Freq_,mu)</f>
        <v>0</v>
      </c>
      <c r="F69" s="21" cm="1">
        <f t="array" ref="F69">[1]!ESP_power_W(C69,esp_json,Freq_,mu)</f>
        <v>1258740.0000000005</v>
      </c>
    </row>
    <row r="70" spans="3:7" x14ac:dyDescent="0.3">
      <c r="C70" s="6">
        <f t="shared" si="0"/>
        <v>708.75</v>
      </c>
      <c r="D70" s="21" cm="1">
        <f t="array" ref="D70">[1]!ESP_head_m(C70,esp_json,Freq_,mu)</f>
        <v>-14729.006250000013</v>
      </c>
      <c r="E70" s="21" cm="1">
        <f t="array" ref="E70">[1]!ESP_eff_fr(C70,esp_json,Freq_,mu)</f>
        <v>0</v>
      </c>
      <c r="F70" s="21" cm="1">
        <f t="array" ref="F70">[1]!ESP_power_W(C70,esp_json,Freq_,mu)</f>
        <v>1258740.0000000005</v>
      </c>
    </row>
    <row r="71" spans="3:7" x14ac:dyDescent="0.3">
      <c r="C71" s="6">
        <f t="shared" si="0"/>
        <v>735</v>
      </c>
      <c r="D71" s="21" cm="1">
        <f t="array" ref="D71">[1]!ESP_head_m(C71,esp_json,Freq_,mu)</f>
        <v>-16833.150000000016</v>
      </c>
      <c r="E71" s="21" cm="1">
        <f t="array" ref="E71">[1]!ESP_eff_fr(C71,esp_json,Freq_,mu)</f>
        <v>0</v>
      </c>
      <c r="F71" s="21" cm="1">
        <f t="array" ref="F71">[1]!ESP_power_W(C71,esp_json,Freq_,mu)</f>
        <v>1258740.0000000005</v>
      </c>
    </row>
    <row r="72" spans="3:7" x14ac:dyDescent="0.3">
      <c r="C72" s="6">
        <f t="shared" si="0"/>
        <v>761.25</v>
      </c>
      <c r="D72" s="21" cm="1">
        <f t="array" ref="D72">[1]!ESP_head_m(C72,esp_json,Freq_,mu)</f>
        <v>-18937.293750000019</v>
      </c>
      <c r="E72" s="21" cm="1">
        <f t="array" ref="E72">[1]!ESP_eff_fr(C72,esp_json,Freq_,mu)</f>
        <v>0</v>
      </c>
      <c r="F72" s="21" cm="1">
        <f t="array" ref="F72">[1]!ESP_power_W(C72,esp_json,Freq_,mu)</f>
        <v>1258740.0000000005</v>
      </c>
    </row>
    <row r="73" spans="3:7" x14ac:dyDescent="0.3">
      <c r="C73" s="6">
        <f t="shared" si="0"/>
        <v>787.5</v>
      </c>
      <c r="D73" s="21" cm="1">
        <f t="array" ref="D73">[1]!ESP_head_m(C73,esp_json,Freq_,mu)</f>
        <v>-21041.437500000022</v>
      </c>
      <c r="E73" s="21" cm="1">
        <f t="array" ref="E73">[1]!ESP_eff_fr(C73,esp_json,Freq_,mu)</f>
        <v>0</v>
      </c>
      <c r="F73" s="21" cm="1">
        <f t="array" ref="F73">[1]!ESP_power_W(C73,esp_json,Freq_,mu)</f>
        <v>1258740.0000000005</v>
      </c>
    </row>
    <row r="74" spans="3:7" x14ac:dyDescent="0.3">
      <c r="C74" s="6">
        <f t="shared" si="0"/>
        <v>813.75</v>
      </c>
      <c r="D74" s="21" cm="1">
        <f t="array" ref="D74">[1]!ESP_head_m(C74,esp_json,Freq_,mu)</f>
        <v>-23145.581250000021</v>
      </c>
      <c r="E74" s="21" cm="1">
        <f t="array" ref="E74">[1]!ESP_eff_fr(C74,esp_json,Freq_,mu)</f>
        <v>0</v>
      </c>
      <c r="F74" s="21" cm="1">
        <f t="array" ref="F74">[1]!ESP_power_W(C74,esp_json,Freq_,mu)</f>
        <v>1258740.0000000005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exercise_ESP</vt:lpstr>
      <vt:lpstr>exercise_ESP!Bob_</vt:lpstr>
      <vt:lpstr>esp_json</vt:lpstr>
      <vt:lpstr>exercise_ESP!Freq_</vt:lpstr>
      <vt:lpstr>exercise_ESP!fw_</vt:lpstr>
      <vt:lpstr>Fном__Гц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pole_pairs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2023-10-31T16:25:15Z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