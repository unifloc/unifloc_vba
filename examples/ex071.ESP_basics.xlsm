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BF189665-F120-4B70-8CAA-2FF01ABC2531}" xr6:coauthVersionLast="47" xr6:coauthVersionMax="47" xr10:uidLastSave="{00000000-0000-0000-0000-000000000000}"/>
  <bookViews>
    <workbookView xWindow="-108" yWindow="-108" windowWidth="23256" windowHeight="13896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Fном__Гц">exercise_ESP!$F$25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ole_pairs">exercise_ESP!$F$24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G1" i="110"/>
  <c r="C27" i="110" a="1"/>
  <c r="C27" i="110" l="1"/>
  <c r="C29" i="110" a="1"/>
  <c r="F30" i="110" a="1"/>
  <c r="C28" i="110" a="1"/>
  <c r="C29" i="110" l="1"/>
  <c r="C44" i="110" s="1"/>
  <c r="F30" i="110"/>
  <c r="C30" i="110" s="1"/>
  <c r="C28" i="110"/>
  <c r="E43" i="110" a="1"/>
  <c r="I25" i="110" a="1"/>
  <c r="F44" i="110" a="1"/>
  <c r="E44" i="110" a="1"/>
  <c r="D43" i="110" a="1"/>
  <c r="F43" i="110" a="1"/>
  <c r="D44" i="110" a="1"/>
  <c r="I25" i="110" l="1"/>
  <c r="F43" i="110"/>
  <c r="D43" i="110"/>
  <c r="E43" i="110"/>
  <c r="E44" i="110"/>
  <c r="D44" i="110"/>
  <c r="F44" i="110"/>
  <c r="C45" i="110"/>
  <c r="C46" i="110" s="1"/>
  <c r="E46" i="110" a="1"/>
  <c r="F45" i="110" a="1"/>
  <c r="F46" i="110" a="1"/>
  <c r="D46" i="110" a="1"/>
  <c r="E45" i="110" a="1"/>
  <c r="D45" i="110" a="1"/>
  <c r="D45" i="110" l="1"/>
  <c r="F45" i="110"/>
  <c r="E45" i="110"/>
  <c r="F46" i="110"/>
  <c r="D46" i="110"/>
  <c r="E46" i="110"/>
  <c r="C47" i="110"/>
  <c r="E47" i="110" a="1"/>
  <c r="F47" i="110" a="1"/>
  <c r="D47" i="110" a="1"/>
  <c r="F47" i="110" l="1"/>
  <c r="D47" i="110"/>
  <c r="E47" i="110"/>
  <c r="C48" i="110"/>
  <c r="D48" i="110" a="1"/>
  <c r="F48" i="110" a="1"/>
  <c r="E48" i="110" a="1"/>
  <c r="F48" i="110" l="1"/>
  <c r="D48" i="110"/>
  <c r="E48" i="110"/>
  <c r="C49" i="110"/>
  <c r="E49" i="110" a="1"/>
  <c r="F49" i="110" a="1"/>
  <c r="D49" i="110" a="1"/>
  <c r="E49" i="110" l="1"/>
  <c r="F49" i="110"/>
  <c r="D49" i="110"/>
  <c r="C50" i="110"/>
  <c r="F50" i="110" a="1"/>
  <c r="D50" i="110" a="1"/>
  <c r="E50" i="110" a="1"/>
  <c r="E50" i="110" l="1"/>
  <c r="D50" i="110"/>
  <c r="F50" i="110"/>
  <c r="C51" i="110"/>
  <c r="D51" i="110" a="1"/>
  <c r="F51" i="110" a="1"/>
  <c r="E51" i="110" a="1"/>
  <c r="D51" i="110" l="1"/>
  <c r="E51" i="110"/>
  <c r="F51" i="110"/>
  <c r="C52" i="110"/>
  <c r="F52" i="110" a="1"/>
  <c r="E52" i="110" a="1"/>
  <c r="D52" i="110" a="1"/>
  <c r="E52" i="110" l="1"/>
  <c r="F52" i="110"/>
  <c r="D52" i="110"/>
  <c r="C53" i="110"/>
  <c r="E53" i="110" a="1"/>
  <c r="D53" i="110" a="1"/>
  <c r="F53" i="110" a="1"/>
  <c r="D53" i="110" l="1"/>
  <c r="E53" i="110"/>
  <c r="F53" i="110"/>
  <c r="C54" i="110"/>
  <c r="F54" i="110" a="1"/>
  <c r="D54" i="110" a="1"/>
  <c r="E54" i="110" a="1"/>
  <c r="E54" i="110" l="1"/>
  <c r="F54" i="110"/>
  <c r="D54" i="110"/>
  <c r="C55" i="110"/>
  <c r="F55" i="110" a="1"/>
  <c r="E55" i="110" a="1"/>
  <c r="D55" i="110" a="1"/>
  <c r="D55" i="110" l="1"/>
  <c r="E55" i="110"/>
  <c r="F55" i="110"/>
  <c r="C56" i="110"/>
  <c r="E56" i="110" a="1"/>
  <c r="D56" i="110" a="1"/>
  <c r="F56" i="110" a="1"/>
  <c r="D56" i="110" l="1"/>
  <c r="E56" i="110"/>
  <c r="F56" i="110"/>
  <c r="C57" i="110"/>
  <c r="F57" i="110" a="1"/>
  <c r="E57" i="110" a="1"/>
  <c r="D57" i="110" a="1"/>
  <c r="D57" i="110" l="1"/>
  <c r="E57" i="110"/>
  <c r="F57" i="110"/>
  <c r="C58" i="110"/>
  <c r="E58" i="110" a="1"/>
  <c r="D58" i="110" a="1"/>
  <c r="F58" i="110" a="1"/>
  <c r="D58" i="110" l="1"/>
  <c r="E58" i="110"/>
  <c r="F58" i="110"/>
  <c r="C59" i="110"/>
  <c r="F59" i="110" a="1"/>
  <c r="E59" i="110" a="1"/>
  <c r="D59" i="110" a="1"/>
  <c r="F59" i="110" l="1"/>
  <c r="D59" i="110"/>
  <c r="E59" i="110"/>
  <c r="C60" i="110"/>
  <c r="F60" i="110" a="1"/>
  <c r="E60" i="110" a="1"/>
  <c r="D60" i="110" a="1"/>
  <c r="D60" i="110" l="1"/>
  <c r="E60" i="110"/>
  <c r="F60" i="110"/>
  <c r="C61" i="110"/>
  <c r="D61" i="110" a="1"/>
  <c r="E61" i="110" a="1"/>
  <c r="F61" i="110" a="1"/>
  <c r="E61" i="110" l="1"/>
  <c r="F61" i="110"/>
  <c r="D61" i="110"/>
  <c r="C62" i="110"/>
  <c r="E62" i="110" a="1"/>
  <c r="D62" i="110" a="1"/>
  <c r="F62" i="110" a="1"/>
  <c r="D62" i="110" l="1"/>
  <c r="E62" i="110"/>
  <c r="F62" i="110"/>
  <c r="C63" i="110"/>
  <c r="F63" i="110" a="1"/>
  <c r="E63" i="110" a="1"/>
  <c r="D63" i="110" a="1"/>
  <c r="D63" i="110" l="1"/>
  <c r="E63" i="110"/>
  <c r="F63" i="110"/>
  <c r="C64" i="110"/>
  <c r="D64" i="110" a="1"/>
  <c r="E64" i="110" a="1"/>
  <c r="F64" i="110" a="1"/>
  <c r="F64" i="110" l="1"/>
  <c r="D64" i="110"/>
  <c r="E64" i="110"/>
  <c r="C65" i="110"/>
  <c r="D65" i="110" a="1"/>
  <c r="E65" i="110" a="1"/>
  <c r="F65" i="110" a="1"/>
  <c r="D65" i="110" l="1"/>
  <c r="E65" i="110"/>
  <c r="F65" i="110"/>
  <c r="C66" i="110"/>
  <c r="D66" i="110" a="1"/>
  <c r="E66" i="110" a="1"/>
  <c r="F66" i="110" a="1"/>
  <c r="E66" i="110" l="1"/>
  <c r="F66" i="110"/>
  <c r="D66" i="110"/>
  <c r="C67" i="110"/>
  <c r="D67" i="110" a="1"/>
  <c r="E67" i="110" a="1"/>
  <c r="F67" i="110" a="1"/>
  <c r="D67" i="110" l="1"/>
  <c r="E67" i="110"/>
  <c r="F67" i="110"/>
  <c r="C68" i="110"/>
  <c r="E68" i="110" a="1"/>
  <c r="D68" i="110" a="1"/>
  <c r="F68" i="110" a="1"/>
  <c r="D68" i="110" l="1"/>
  <c r="E68" i="110"/>
  <c r="F68" i="110"/>
  <c r="C69" i="110"/>
  <c r="D69" i="110" a="1"/>
  <c r="E69" i="110" a="1"/>
  <c r="F69" i="110" a="1"/>
  <c r="D69" i="110" l="1"/>
  <c r="E69" i="110"/>
  <c r="F69" i="110"/>
  <c r="C70" i="110"/>
  <c r="D70" i="110" a="1"/>
  <c r="E70" i="110" a="1"/>
  <c r="F70" i="110" a="1"/>
  <c r="D70" i="110" l="1"/>
  <c r="E70" i="110"/>
  <c r="F70" i="110"/>
  <c r="C71" i="110"/>
  <c r="D71" i="110" a="1"/>
  <c r="E71" i="110" a="1"/>
  <c r="F71" i="110" a="1"/>
  <c r="F71" i="110" l="1"/>
  <c r="D71" i="110"/>
  <c r="E71" i="110"/>
  <c r="C72" i="110"/>
  <c r="D72" i="110" a="1"/>
  <c r="F72" i="110" a="1"/>
  <c r="E72" i="110" a="1"/>
  <c r="D72" i="110" l="1"/>
  <c r="E72" i="110"/>
  <c r="F72" i="110"/>
  <c r="C73" i="110"/>
  <c r="D73" i="110" a="1"/>
  <c r="F73" i="110" a="1"/>
  <c r="E73" i="110" a="1"/>
  <c r="E73" i="110" l="1"/>
  <c r="F73" i="110"/>
  <c r="D73" i="110"/>
  <c r="C74" i="110"/>
  <c r="F74" i="110" a="1"/>
  <c r="D74" i="110" a="1"/>
  <c r="E74" i="110" a="1"/>
  <c r="D74" i="110" l="1"/>
  <c r="E74" i="110"/>
  <c r="F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<sst xmlns="http://schemas.openxmlformats.org/spreadsheetml/2006/main" count="79" uniqueCount="67">
  <si>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</si>
  <si>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</si>
  <si>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</si>
  <si>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</si>
  <si>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</si>
  <si>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</si>
  <si>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</si>
  <si>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</si>
  <si>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</si>
  <si>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</si>
  <si>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</si>
  <si>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</si>
  <si>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</si>
  <si>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</si>
  <si>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</si>
  <si>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</si>
  <si>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</si>
  <si>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</si>
  <si>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</si>
  <si>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</si>
  <si>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</si>
  <si>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</si>
  <si>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</si>
  <si>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</si>
  <si>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</si>
  <si>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</si>
  <si>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</si>
  <si>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</si>
  <si>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</si>
  <si>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</si>
  <si>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</si>
  <si>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</si>
  <si>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</si>
  <si>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</si>
  <si>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</si>
  <si>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</si>
  <si>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</si>
  <si>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</si>
  <si>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</si>
  <si>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</si>
  <si>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</si>
  <si>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</si>
  <si>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</si>
  <si>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</si>
  <si>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</si>
  <si>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</si>
  <si>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</si>
  <si>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</si>
  <si>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</si>
  <si>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</si>
  <si>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</si>
  <si>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</si>
  <si>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</si>
  <si>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</si>
  <si>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</si>
  <si>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</si>
  <si>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</si>
  <si>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</si>
  <si>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</si>
  <si>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</si>
  <si>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</si>
  <si>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</si>
  <si>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</si>
  <si>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</si>
  <si>
    <t>Fном, Гц</t>
  </si>
  <si>
    <t>Ступеней</t>
  </si>
  <si>
    <t>7.48+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</si>
</sst>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1" fontId="0" fillId="0" borderId="0" xfId="0" applyNumberFormat="1"/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8.75</c:v>
                </c:pt>
                <c:pt idx="2">
                  <c:v>17.5</c:v>
                </c:pt>
                <c:pt idx="3">
                  <c:v>26.25</c:v>
                </c:pt>
                <c:pt idx="4">
                  <c:v>35</c:v>
                </c:pt>
                <c:pt idx="5">
                  <c:v>43.75</c:v>
                </c:pt>
                <c:pt idx="6">
                  <c:v>52.5</c:v>
                </c:pt>
                <c:pt idx="7">
                  <c:v>61.25</c:v>
                </c:pt>
                <c:pt idx="8">
                  <c:v>70</c:v>
                </c:pt>
                <c:pt idx="9">
                  <c:v>78.75</c:v>
                </c:pt>
                <c:pt idx="10">
                  <c:v>87.5</c:v>
                </c:pt>
                <c:pt idx="11">
                  <c:v>96.25</c:v>
                </c:pt>
                <c:pt idx="12">
                  <c:v>105</c:v>
                </c:pt>
                <c:pt idx="13">
                  <c:v>113.75</c:v>
                </c:pt>
                <c:pt idx="14">
                  <c:v>122.5</c:v>
                </c:pt>
                <c:pt idx="15">
                  <c:v>131.25</c:v>
                </c:pt>
                <c:pt idx="16">
                  <c:v>140</c:v>
                </c:pt>
                <c:pt idx="17">
                  <c:v>148.75</c:v>
                </c:pt>
                <c:pt idx="18">
                  <c:v>157.5</c:v>
                </c:pt>
                <c:pt idx="19">
                  <c:v>166.25</c:v>
                </c:pt>
                <c:pt idx="20">
                  <c:v>175</c:v>
                </c:pt>
                <c:pt idx="21">
                  <c:v>183.75</c:v>
                </c:pt>
                <c:pt idx="22">
                  <c:v>192.5</c:v>
                </c:pt>
                <c:pt idx="23">
                  <c:v>201.25</c:v>
                </c:pt>
                <c:pt idx="24">
                  <c:v>210</c:v>
                </c:pt>
                <c:pt idx="25">
                  <c:v>218.75</c:v>
                </c:pt>
                <c:pt idx="26">
                  <c:v>227.5</c:v>
                </c:pt>
                <c:pt idx="27">
                  <c:v>236.25</c:v>
                </c:pt>
                <c:pt idx="28">
                  <c:v>245</c:v>
                </c:pt>
                <c:pt idx="29">
                  <c:v>253.75</c:v>
                </c:pt>
                <c:pt idx="30">
                  <c:v>262.5</c:v>
                </c:pt>
                <c:pt idx="31">
                  <c:v>271.25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4954.1346562500003</c:v>
                </c:pt>
                <c:pt idx="1">
                  <c:v>5005.4875488281259</c:v>
                </c:pt>
                <c:pt idx="2">
                  <c:v>5022.9017578125013</c:v>
                </c:pt>
                <c:pt idx="3">
                  <c:v>4998.1310211181644</c:v>
                </c:pt>
                <c:pt idx="4">
                  <c:v>4930.4162109375011</c:v>
                </c:pt>
                <c:pt idx="5">
                  <c:v>4804.4251165033702</c:v>
                </c:pt>
                <c:pt idx="6">
                  <c:v>4531.0579632769586</c:v>
                </c:pt>
                <c:pt idx="7">
                  <c:v>4107.5955599566651</c:v>
                </c:pt>
                <c:pt idx="8">
                  <c:v>3596.4000000000005</c:v>
                </c:pt>
                <c:pt idx="9">
                  <c:v>3027.8141413954991</c:v>
                </c:pt>
                <c:pt idx="10">
                  <c:v>2411.6484375000005</c:v>
                </c:pt>
                <c:pt idx="11">
                  <c:v>1745.5183593750003</c:v>
                </c:pt>
                <c:pt idx="12">
                  <c:v>1030.2187500000002</c:v>
                </c:pt>
                <c:pt idx="13">
                  <c:v>265.74960937500003</c:v>
                </c:pt>
                <c:pt idx="14">
                  <c:v>-547.88906250000002</c:v>
                </c:pt>
                <c:pt idx="15">
                  <c:v>-1410.697265625</c:v>
                </c:pt>
                <c:pt idx="16">
                  <c:v>-2322.6749999999997</c:v>
                </c:pt>
                <c:pt idx="17">
                  <c:v>-3283.822265625</c:v>
                </c:pt>
                <c:pt idx="18">
                  <c:v>-4294.1390624999995</c:v>
                </c:pt>
                <c:pt idx="19">
                  <c:v>-5353.6253906249985</c:v>
                </c:pt>
                <c:pt idx="20">
                  <c:v>-6462.2812499999982</c:v>
                </c:pt>
                <c:pt idx="21">
                  <c:v>-7620.1066406249965</c:v>
                </c:pt>
                <c:pt idx="22">
                  <c:v>-8827.1015624999964</c:v>
                </c:pt>
                <c:pt idx="23">
                  <c:v>-10083.266015624995</c:v>
                </c:pt>
                <c:pt idx="24">
                  <c:v>-11388.599999999991</c:v>
                </c:pt>
                <c:pt idx="25">
                  <c:v>-12743.103515624991</c:v>
                </c:pt>
                <c:pt idx="26">
                  <c:v>-14146.776562499987</c:v>
                </c:pt>
                <c:pt idx="27">
                  <c:v>-15599.619140624984</c:v>
                </c:pt>
                <c:pt idx="28">
                  <c:v>-17101.63124999998</c:v>
                </c:pt>
                <c:pt idx="29">
                  <c:v>-18652.812890624977</c:v>
                </c:pt>
                <c:pt idx="30">
                  <c:v>0</c:v>
                </c:pt>
                <c:pt idx="31">
                  <c:v>11914.050585937486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8.75</c:v>
                </c:pt>
                <c:pt idx="2">
                  <c:v>17.5</c:v>
                </c:pt>
                <c:pt idx="3">
                  <c:v>26.25</c:v>
                </c:pt>
                <c:pt idx="4">
                  <c:v>35</c:v>
                </c:pt>
                <c:pt idx="5">
                  <c:v>43.75</c:v>
                </c:pt>
                <c:pt idx="6">
                  <c:v>52.5</c:v>
                </c:pt>
                <c:pt idx="7">
                  <c:v>61.25</c:v>
                </c:pt>
                <c:pt idx="8">
                  <c:v>70</c:v>
                </c:pt>
                <c:pt idx="9">
                  <c:v>78.75</c:v>
                </c:pt>
                <c:pt idx="10">
                  <c:v>87.5</c:v>
                </c:pt>
                <c:pt idx="11">
                  <c:v>96.25</c:v>
                </c:pt>
                <c:pt idx="12">
                  <c:v>105</c:v>
                </c:pt>
                <c:pt idx="13">
                  <c:v>113.75</c:v>
                </c:pt>
                <c:pt idx="14">
                  <c:v>122.5</c:v>
                </c:pt>
                <c:pt idx="15">
                  <c:v>131.25</c:v>
                </c:pt>
                <c:pt idx="16">
                  <c:v>140</c:v>
                </c:pt>
                <c:pt idx="17">
                  <c:v>148.75</c:v>
                </c:pt>
                <c:pt idx="18">
                  <c:v>157.5</c:v>
                </c:pt>
                <c:pt idx="19">
                  <c:v>166.25</c:v>
                </c:pt>
                <c:pt idx="20">
                  <c:v>175</c:v>
                </c:pt>
                <c:pt idx="21">
                  <c:v>183.75</c:v>
                </c:pt>
                <c:pt idx="22">
                  <c:v>192.5</c:v>
                </c:pt>
                <c:pt idx="23">
                  <c:v>201.25</c:v>
                </c:pt>
                <c:pt idx="24">
                  <c:v>210</c:v>
                </c:pt>
                <c:pt idx="25">
                  <c:v>218.75</c:v>
                </c:pt>
                <c:pt idx="26">
                  <c:v>227.5</c:v>
                </c:pt>
                <c:pt idx="27">
                  <c:v>236.25</c:v>
                </c:pt>
                <c:pt idx="28">
                  <c:v>245</c:v>
                </c:pt>
                <c:pt idx="29">
                  <c:v>253.75</c:v>
                </c:pt>
                <c:pt idx="30">
                  <c:v>262.5</c:v>
                </c:pt>
                <c:pt idx="31">
                  <c:v>271.25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5.4419753086419748E-3</c:v>
                </c:pt>
                <c:pt idx="1">
                  <c:v>4.7449845679012337E-2</c:v>
                </c:pt>
                <c:pt idx="2">
                  <c:v>9.4521604938271594E-2</c:v>
                </c:pt>
                <c:pt idx="3">
                  <c:v>0.14121527777777776</c:v>
                </c:pt>
                <c:pt idx="4">
                  <c:v>0.18753086419753084</c:v>
                </c:pt>
                <c:pt idx="5">
                  <c:v>0.23346836419753084</c:v>
                </c:pt>
                <c:pt idx="6">
                  <c:v>0.27907738095238094</c:v>
                </c:pt>
                <c:pt idx="7">
                  <c:v>0.32438763043797758</c:v>
                </c:pt>
                <c:pt idx="8">
                  <c:v>0.36930629041740148</c:v>
                </c:pt>
                <c:pt idx="9">
                  <c:v>0.41373883928571425</c:v>
                </c:pt>
                <c:pt idx="10">
                  <c:v>0.45759075543797761</c:v>
                </c:pt>
                <c:pt idx="11">
                  <c:v>0.49719763630089708</c:v>
                </c:pt>
                <c:pt idx="12">
                  <c:v>0.52431055900621115</c:v>
                </c:pt>
                <c:pt idx="13">
                  <c:v>0.54168435127674264</c:v>
                </c:pt>
                <c:pt idx="14">
                  <c:v>0.55252114528101803</c:v>
                </c:pt>
                <c:pt idx="15">
                  <c:v>0.55652250265111347</c:v>
                </c:pt>
                <c:pt idx="16">
                  <c:v>0.55359838812301176</c:v>
                </c:pt>
                <c:pt idx="17">
                  <c:v>0.54450536585365861</c:v>
                </c:pt>
                <c:pt idx="18">
                  <c:v>0.53</c:v>
                </c:pt>
                <c:pt idx="19">
                  <c:v>0.51009613620395466</c:v>
                </c:pt>
                <c:pt idx="20">
                  <c:v>0.48475168523537093</c:v>
                </c:pt>
                <c:pt idx="21">
                  <c:v>0.4546393089430894</c:v>
                </c:pt>
                <c:pt idx="22">
                  <c:v>0.42043166917595109</c:v>
                </c:pt>
                <c:pt idx="23">
                  <c:v>0.38251543209876548</c:v>
                </c:pt>
                <c:pt idx="24">
                  <c:v>0.34044444444444444</c:v>
                </c:pt>
                <c:pt idx="25">
                  <c:v>0.29418209876543222</c:v>
                </c:pt>
                <c:pt idx="26">
                  <c:v>0.24372839506172844</c:v>
                </c:pt>
                <c:pt idx="27">
                  <c:v>0.1890833333333333</c:v>
                </c:pt>
                <c:pt idx="28">
                  <c:v>0.13024691358024709</c:v>
                </c:pt>
                <c:pt idx="29">
                  <c:v>6.7219135802469243E-2</c:v>
                </c:pt>
                <c:pt idx="30">
                  <c:v>1.2956215961201778E-17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8.75</c:v>
                </c:pt>
                <c:pt idx="2">
                  <c:v>17.5</c:v>
                </c:pt>
                <c:pt idx="3">
                  <c:v>26.25</c:v>
                </c:pt>
                <c:pt idx="4">
                  <c:v>35</c:v>
                </c:pt>
                <c:pt idx="5">
                  <c:v>43.75</c:v>
                </c:pt>
                <c:pt idx="6">
                  <c:v>52.5</c:v>
                </c:pt>
                <c:pt idx="7">
                  <c:v>61.25</c:v>
                </c:pt>
                <c:pt idx="8">
                  <c:v>70</c:v>
                </c:pt>
                <c:pt idx="9">
                  <c:v>78.75</c:v>
                </c:pt>
                <c:pt idx="10">
                  <c:v>87.5</c:v>
                </c:pt>
                <c:pt idx="11">
                  <c:v>96.25</c:v>
                </c:pt>
                <c:pt idx="12">
                  <c:v>105</c:v>
                </c:pt>
                <c:pt idx="13">
                  <c:v>113.75</c:v>
                </c:pt>
                <c:pt idx="14">
                  <c:v>122.5</c:v>
                </c:pt>
                <c:pt idx="15">
                  <c:v>131.25</c:v>
                </c:pt>
                <c:pt idx="16">
                  <c:v>140</c:v>
                </c:pt>
                <c:pt idx="17">
                  <c:v>148.75</c:v>
                </c:pt>
                <c:pt idx="18">
                  <c:v>157.5</c:v>
                </c:pt>
                <c:pt idx="19">
                  <c:v>166.25</c:v>
                </c:pt>
                <c:pt idx="20">
                  <c:v>175</c:v>
                </c:pt>
                <c:pt idx="21">
                  <c:v>183.75</c:v>
                </c:pt>
                <c:pt idx="22">
                  <c:v>192.5</c:v>
                </c:pt>
                <c:pt idx="23">
                  <c:v>201.25</c:v>
                </c:pt>
                <c:pt idx="24">
                  <c:v>210</c:v>
                </c:pt>
                <c:pt idx="25">
                  <c:v>218.75</c:v>
                </c:pt>
                <c:pt idx="26">
                  <c:v>227.5</c:v>
                </c:pt>
                <c:pt idx="27">
                  <c:v>236.25</c:v>
                </c:pt>
                <c:pt idx="28">
                  <c:v>245</c:v>
                </c:pt>
                <c:pt idx="29">
                  <c:v>253.75</c:v>
                </c:pt>
                <c:pt idx="30">
                  <c:v>262.5</c:v>
                </c:pt>
                <c:pt idx="31">
                  <c:v>271.25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4954.1346562500003</c:v>
                </c:pt>
                <c:pt idx="1">
                  <c:v>5005.4875488281259</c:v>
                </c:pt>
                <c:pt idx="2">
                  <c:v>5022.9017578125013</c:v>
                </c:pt>
                <c:pt idx="3">
                  <c:v>4998.1310211181644</c:v>
                </c:pt>
                <c:pt idx="4">
                  <c:v>4930.4162109375011</c:v>
                </c:pt>
                <c:pt idx="5">
                  <c:v>4804.4251165033702</c:v>
                </c:pt>
                <c:pt idx="6">
                  <c:v>4531.0579632769586</c:v>
                </c:pt>
                <c:pt idx="7">
                  <c:v>4107.5955599566651</c:v>
                </c:pt>
                <c:pt idx="8">
                  <c:v>3596.4000000000005</c:v>
                </c:pt>
                <c:pt idx="9">
                  <c:v>3027.8141413954991</c:v>
                </c:pt>
                <c:pt idx="10">
                  <c:v>2411.6484375000005</c:v>
                </c:pt>
                <c:pt idx="11">
                  <c:v>1745.5183593750003</c:v>
                </c:pt>
                <c:pt idx="12">
                  <c:v>1030.2187500000002</c:v>
                </c:pt>
                <c:pt idx="13">
                  <c:v>265.74960937500003</c:v>
                </c:pt>
                <c:pt idx="14">
                  <c:v>-547.88906250000002</c:v>
                </c:pt>
                <c:pt idx="15">
                  <c:v>-1410.697265625</c:v>
                </c:pt>
                <c:pt idx="16">
                  <c:v>-2322.6749999999997</c:v>
                </c:pt>
                <c:pt idx="17">
                  <c:v>-3283.822265625</c:v>
                </c:pt>
                <c:pt idx="18">
                  <c:v>-4294.1390624999995</c:v>
                </c:pt>
                <c:pt idx="19">
                  <c:v>-5353.6253906249985</c:v>
                </c:pt>
                <c:pt idx="20">
                  <c:v>-6462.2812499999982</c:v>
                </c:pt>
                <c:pt idx="21">
                  <c:v>-7620.1066406249965</c:v>
                </c:pt>
                <c:pt idx="22">
                  <c:v>-8827.1015624999964</c:v>
                </c:pt>
                <c:pt idx="23">
                  <c:v>-10083.266015624995</c:v>
                </c:pt>
                <c:pt idx="24">
                  <c:v>-11388.599999999991</c:v>
                </c:pt>
                <c:pt idx="25">
                  <c:v>-12743.103515624991</c:v>
                </c:pt>
                <c:pt idx="26">
                  <c:v>-14146.776562499987</c:v>
                </c:pt>
                <c:pt idx="27">
                  <c:v>-15599.619140624984</c:v>
                </c:pt>
                <c:pt idx="28">
                  <c:v>-17101.63124999998</c:v>
                </c:pt>
                <c:pt idx="29">
                  <c:v>-18652.812890624977</c:v>
                </c:pt>
                <c:pt idx="30">
                  <c:v>0</c:v>
                </c:pt>
                <c:pt idx="31">
                  <c:v>11914.050585937486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8.75</c:v>
                </c:pt>
                <c:pt idx="2">
                  <c:v>17.5</c:v>
                </c:pt>
                <c:pt idx="3">
                  <c:v>26.25</c:v>
                </c:pt>
                <c:pt idx="4">
                  <c:v>35</c:v>
                </c:pt>
                <c:pt idx="5">
                  <c:v>43.75</c:v>
                </c:pt>
                <c:pt idx="6">
                  <c:v>52.5</c:v>
                </c:pt>
                <c:pt idx="7">
                  <c:v>61.25</c:v>
                </c:pt>
                <c:pt idx="8">
                  <c:v>70</c:v>
                </c:pt>
                <c:pt idx="9">
                  <c:v>78.75</c:v>
                </c:pt>
                <c:pt idx="10">
                  <c:v>87.5</c:v>
                </c:pt>
                <c:pt idx="11">
                  <c:v>96.25</c:v>
                </c:pt>
                <c:pt idx="12">
                  <c:v>105</c:v>
                </c:pt>
                <c:pt idx="13">
                  <c:v>113.75</c:v>
                </c:pt>
                <c:pt idx="14">
                  <c:v>122.5</c:v>
                </c:pt>
                <c:pt idx="15">
                  <c:v>131.25</c:v>
                </c:pt>
                <c:pt idx="16">
                  <c:v>140</c:v>
                </c:pt>
                <c:pt idx="17">
                  <c:v>148.75</c:v>
                </c:pt>
                <c:pt idx="18">
                  <c:v>157.5</c:v>
                </c:pt>
                <c:pt idx="19">
                  <c:v>166.25</c:v>
                </c:pt>
                <c:pt idx="20">
                  <c:v>175</c:v>
                </c:pt>
                <c:pt idx="21">
                  <c:v>183.75</c:v>
                </c:pt>
                <c:pt idx="22">
                  <c:v>192.5</c:v>
                </c:pt>
                <c:pt idx="23">
                  <c:v>201.25</c:v>
                </c:pt>
                <c:pt idx="24">
                  <c:v>210</c:v>
                </c:pt>
                <c:pt idx="25">
                  <c:v>218.75</c:v>
                </c:pt>
                <c:pt idx="26">
                  <c:v>227.5</c:v>
                </c:pt>
                <c:pt idx="27">
                  <c:v>236.25</c:v>
                </c:pt>
                <c:pt idx="28">
                  <c:v>245</c:v>
                </c:pt>
                <c:pt idx="29">
                  <c:v>253.75</c:v>
                </c:pt>
                <c:pt idx="30">
                  <c:v>262.5</c:v>
                </c:pt>
                <c:pt idx="31">
                  <c:v>271.25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97963.605000000025</c:v>
                </c:pt>
                <c:pt idx="1">
                  <c:v>99352.371093750015</c:v>
                </c:pt>
                <c:pt idx="2">
                  <c:v>100800.14062500001</c:v>
                </c:pt>
                <c:pt idx="3">
                  <c:v>102120.43359375001</c:v>
                </c:pt>
                <c:pt idx="4">
                  <c:v>103313.25000000001</c:v>
                </c:pt>
                <c:pt idx="5">
                  <c:v>104378.58984375003</c:v>
                </c:pt>
                <c:pt idx="6">
                  <c:v>105262.97656250001</c:v>
                </c:pt>
                <c:pt idx="7">
                  <c:v>105934.37373408566</c:v>
                </c:pt>
                <c:pt idx="8">
                  <c:v>106492.85185185187</c:v>
                </c:pt>
                <c:pt idx="9">
                  <c:v>107040.31347656253</c:v>
                </c:pt>
                <c:pt idx="10">
                  <c:v>107678.6611689815</c:v>
                </c:pt>
                <c:pt idx="11">
                  <c:v>108451.52818259217</c:v>
                </c:pt>
                <c:pt idx="12">
                  <c:v>109305.64903846158</c:v>
                </c:pt>
                <c:pt idx="13">
                  <c:v>110344.99225010019</c:v>
                </c:pt>
                <c:pt idx="14">
                  <c:v>111686.68545241716</c:v>
                </c:pt>
                <c:pt idx="15">
                  <c:v>113443.20167877777</c:v>
                </c:pt>
                <c:pt idx="16">
                  <c:v>115536.98716965645</c:v>
                </c:pt>
                <c:pt idx="17">
                  <c:v>117847.60668881121</c:v>
                </c:pt>
                <c:pt idx="18">
                  <c:v>120254.62500000003</c:v>
                </c:pt>
                <c:pt idx="19">
                  <c:v>122708.6132102273</c:v>
                </c:pt>
                <c:pt idx="20">
                  <c:v>125251.94298418974</c:v>
                </c:pt>
                <c:pt idx="21">
                  <c:v>127901.87992218383</c:v>
                </c:pt>
                <c:pt idx="22">
                  <c:v>130675.68962450595</c:v>
                </c:pt>
                <c:pt idx="23">
                  <c:v>133583.29687500003</c:v>
                </c:pt>
                <c:pt idx="24">
                  <c:v>136613.25000000006</c:v>
                </c:pt>
                <c:pt idx="25">
                  <c:v>139764.60937500003</c:v>
                </c:pt>
                <c:pt idx="26">
                  <c:v>143037.37500000003</c:v>
                </c:pt>
                <c:pt idx="27">
                  <c:v>146431.54687500003</c:v>
                </c:pt>
                <c:pt idx="28">
                  <c:v>149947.12500000003</c:v>
                </c:pt>
                <c:pt idx="29">
                  <c:v>153584.10937500003</c:v>
                </c:pt>
                <c:pt idx="30">
                  <c:v>157342.50000000006</c:v>
                </c:pt>
                <c:pt idx="31">
                  <c:v>157342.50000000006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8.75</c:v>
                </c:pt>
                <c:pt idx="2">
                  <c:v>17.5</c:v>
                </c:pt>
                <c:pt idx="3">
                  <c:v>26.25</c:v>
                </c:pt>
                <c:pt idx="4">
                  <c:v>35</c:v>
                </c:pt>
                <c:pt idx="5">
                  <c:v>43.75</c:v>
                </c:pt>
                <c:pt idx="6">
                  <c:v>52.5</c:v>
                </c:pt>
                <c:pt idx="7">
                  <c:v>61.25</c:v>
                </c:pt>
                <c:pt idx="8">
                  <c:v>70</c:v>
                </c:pt>
                <c:pt idx="9">
                  <c:v>78.75</c:v>
                </c:pt>
                <c:pt idx="10">
                  <c:v>87.5</c:v>
                </c:pt>
                <c:pt idx="11">
                  <c:v>96.25</c:v>
                </c:pt>
                <c:pt idx="12">
                  <c:v>105</c:v>
                </c:pt>
                <c:pt idx="13">
                  <c:v>113.75</c:v>
                </c:pt>
                <c:pt idx="14">
                  <c:v>122.5</c:v>
                </c:pt>
                <c:pt idx="15">
                  <c:v>131.25</c:v>
                </c:pt>
                <c:pt idx="16">
                  <c:v>140</c:v>
                </c:pt>
                <c:pt idx="17">
                  <c:v>148.75</c:v>
                </c:pt>
                <c:pt idx="18">
                  <c:v>157.5</c:v>
                </c:pt>
                <c:pt idx="19">
                  <c:v>166.25</c:v>
                </c:pt>
                <c:pt idx="20">
                  <c:v>175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8.75</c:v>
                </c:pt>
                <c:pt idx="2">
                  <c:v>17.5</c:v>
                </c:pt>
                <c:pt idx="3">
                  <c:v>26.25</c:v>
                </c:pt>
                <c:pt idx="4">
                  <c:v>35</c:v>
                </c:pt>
                <c:pt idx="5">
                  <c:v>43.75</c:v>
                </c:pt>
                <c:pt idx="6">
                  <c:v>52.5</c:v>
                </c:pt>
                <c:pt idx="7">
                  <c:v>61.25</c:v>
                </c:pt>
                <c:pt idx="8">
                  <c:v>70</c:v>
                </c:pt>
                <c:pt idx="9">
                  <c:v>78.75</c:v>
                </c:pt>
                <c:pt idx="10">
                  <c:v>87.5</c:v>
                </c:pt>
                <c:pt idx="11">
                  <c:v>96.25</c:v>
                </c:pt>
                <c:pt idx="12">
                  <c:v>105</c:v>
                </c:pt>
                <c:pt idx="13">
                  <c:v>113.75</c:v>
                </c:pt>
                <c:pt idx="14">
                  <c:v>122.5</c:v>
                </c:pt>
                <c:pt idx="15">
                  <c:v>131.25</c:v>
                </c:pt>
                <c:pt idx="16">
                  <c:v>140</c:v>
                </c:pt>
                <c:pt idx="17">
                  <c:v>148.75</c:v>
                </c:pt>
                <c:pt idx="18">
                  <c:v>157.5</c:v>
                </c:pt>
                <c:pt idx="19">
                  <c:v>166.25</c:v>
                </c:pt>
                <c:pt idx="20">
                  <c:v>175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8.75</c:v>
                </c:pt>
                <c:pt idx="2">
                  <c:v>17.5</c:v>
                </c:pt>
                <c:pt idx="3">
                  <c:v>26.25</c:v>
                </c:pt>
                <c:pt idx="4">
                  <c:v>35</c:v>
                </c:pt>
                <c:pt idx="5">
                  <c:v>43.75</c:v>
                </c:pt>
                <c:pt idx="6">
                  <c:v>52.5</c:v>
                </c:pt>
                <c:pt idx="7">
                  <c:v>61.25</c:v>
                </c:pt>
                <c:pt idx="8">
                  <c:v>70</c:v>
                </c:pt>
                <c:pt idx="9">
                  <c:v>78.75</c:v>
                </c:pt>
                <c:pt idx="10">
                  <c:v>87.5</c:v>
                </c:pt>
                <c:pt idx="11">
                  <c:v>96.25</c:v>
                </c:pt>
                <c:pt idx="12">
                  <c:v>105</c:v>
                </c:pt>
                <c:pt idx="13">
                  <c:v>113.75</c:v>
                </c:pt>
                <c:pt idx="14">
                  <c:v>122.5</c:v>
                </c:pt>
                <c:pt idx="15">
                  <c:v>131.25</c:v>
                </c:pt>
                <c:pt idx="16">
                  <c:v>140</c:v>
                </c:pt>
                <c:pt idx="17">
                  <c:v>148.75</c:v>
                </c:pt>
                <c:pt idx="18">
                  <c:v>157.5</c:v>
                </c:pt>
                <c:pt idx="19">
                  <c:v>166.25</c:v>
                </c:pt>
                <c:pt idx="20">
                  <c:v>175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calc_stages_num"/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topLeftCell="A10" zoomScale="85" zoomScaleNormal="85" workbookViewId="0">
      <selection activeCell="C26" sqref="C26"/>
    </sheetView>
  </sheetViews>
  <sheetFormatPr defaultRowHeight="13.2" x14ac:dyDescent="0.25"/>
  <cols>
    <col min="2" max="2" width="15.109375" customWidth="1"/>
    <col min="3" max="3" width="9.88671875" customWidth="1"/>
    <col min="4" max="4" width="12.88671875" customWidth="1"/>
    <col min="5" max="5" width="11.33203125" customWidth="1"/>
    <col min="6" max="6" width="13.5546875" customWidth="1"/>
    <col min="7" max="7" width="13.109375" customWidth="1"/>
    <col min="8" max="8" width="12.33203125" customWidth="1"/>
    <col min="9" max="9" width="10.88671875" bestFit="1" customWidth="1"/>
    <col min="10" max="10" width="11.33203125" customWidth="1"/>
    <col min="11" max="11" width="12.33203125" bestFit="1" customWidth="1"/>
    <col min="12" max="12" width="10.33203125" bestFit="1" customWidth="1"/>
    <col min="20" max="37" width="12.44140625" customWidth="1"/>
  </cols>
  <sheetData>
    <row r="1" spans="1:12" x14ac:dyDescent="0.25">
      <c r="A1" s="1" t="s">
        <v>15</v>
      </c>
      <c r="F1" t="s">
        <v>16</v>
      </c>
      <c r="G1" t="str">
        <f>[1]!unf_version()</f>
        <v>7.48+</v>
      </c>
      <c r="H1" t="s">
        <v>49</v>
      </c>
      <c r="I1" s="24">
        <v>45114</v>
      </c>
      <c r="J1" s="19"/>
      <c r="K1" s="19"/>
      <c r="L1" s="19"/>
    </row>
    <row r="2" spans="1:12" x14ac:dyDescent="0.25">
      <c r="A2" t="s">
        <v>63</v>
      </c>
      <c r="H2" t="s">
        <v>50</v>
      </c>
      <c r="I2" s="25" t="s">
        <v>66</v>
      </c>
      <c r="J2" s="19"/>
      <c r="K2" s="19"/>
      <c r="L2" s="19"/>
    </row>
    <row r="3" spans="1:12" ht="14.4" x14ac:dyDescent="0.3">
      <c r="A3" s="26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4.4" x14ac:dyDescent="0.3">
      <c r="A4" s="26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4.4" x14ac:dyDescent="0.3">
      <c r="A5" s="26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5">
      <c r="A6" s="27" t="s">
        <v>60</v>
      </c>
      <c r="B6" s="36" t="s">
        <v>61</v>
      </c>
      <c r="C6" s="37"/>
      <c r="D6" s="37"/>
      <c r="E6" s="38"/>
      <c r="H6" s="28" t="s">
        <v>62</v>
      </c>
      <c r="I6" s="29" t="s">
        <v>61</v>
      </c>
      <c r="J6" s="29"/>
      <c r="K6" s="29"/>
      <c r="L6" s="29"/>
    </row>
    <row r="7" spans="1:12" x14ac:dyDescent="0.25">
      <c r="A7" s="30"/>
      <c r="B7" s="39"/>
      <c r="C7" s="40"/>
      <c r="D7" s="40"/>
      <c r="E7" s="41"/>
      <c r="H7" s="28"/>
      <c r="I7" s="29"/>
      <c r="J7" s="29"/>
      <c r="K7" s="29"/>
      <c r="L7" s="29"/>
    </row>
    <row r="8" spans="1:12" x14ac:dyDescent="0.25">
      <c r="A8" s="31"/>
      <c r="B8" s="42"/>
      <c r="C8" s="43"/>
      <c r="D8" s="43"/>
      <c r="E8" s="44"/>
      <c r="H8" s="28"/>
      <c r="I8" s="29"/>
      <c r="J8" s="29"/>
      <c r="K8" s="29"/>
      <c r="L8" s="29"/>
    </row>
    <row r="10" spans="1:12" x14ac:dyDescent="0.25">
      <c r="A10" s="1" t="s">
        <v>8</v>
      </c>
    </row>
    <row r="11" spans="1:12" ht="16.8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6.8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6.8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6.8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6.8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5.6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9" ht="15.6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9" ht="16.8" x14ac:dyDescent="0.35">
      <c r="B18" s="13" t="s">
        <v>30</v>
      </c>
      <c r="C18" s="2">
        <v>1.2</v>
      </c>
      <c r="D18" s="12" t="s">
        <v>22</v>
      </c>
    </row>
    <row r="19" spans="1:9" ht="15.6" x14ac:dyDescent="0.35">
      <c r="B19" s="21" t="s">
        <v>47</v>
      </c>
      <c r="C19" s="2">
        <v>1</v>
      </c>
      <c r="D19" s="12" t="s">
        <v>46</v>
      </c>
    </row>
    <row r="20" spans="1:9" x14ac:dyDescent="0.25">
      <c r="B20" s="3"/>
      <c r="C20" s="4"/>
    </row>
    <row r="21" spans="1:9" ht="15.6" x14ac:dyDescent="0.35">
      <c r="B21" s="15" t="s">
        <v>32</v>
      </c>
      <c r="C21" s="2">
        <v>50</v>
      </c>
      <c r="D21" s="22" t="s">
        <v>3</v>
      </c>
    </row>
    <row r="22" spans="1:9" ht="15.6" x14ac:dyDescent="0.35">
      <c r="B22" s="15" t="s">
        <v>34</v>
      </c>
      <c r="C22" s="2">
        <v>10</v>
      </c>
      <c r="D22" s="22" t="s">
        <v>33</v>
      </c>
    </row>
    <row r="23" spans="1:9" x14ac:dyDescent="0.25">
      <c r="A23" s="1" t="s">
        <v>45</v>
      </c>
    </row>
    <row r="24" spans="1:9" ht="15.6" x14ac:dyDescent="0.35">
      <c r="B24" s="16" t="s">
        <v>38</v>
      </c>
      <c r="C24" s="2">
        <v>80</v>
      </c>
      <c r="D24" s="16" t="s">
        <v>3</v>
      </c>
    </row>
    <row r="25" spans="1:9" ht="15.6" x14ac:dyDescent="0.35">
      <c r="B25" s="16" t="s">
        <v>39</v>
      </c>
      <c r="C25" s="2">
        <v>2000</v>
      </c>
      <c r="D25" s="16" t="s">
        <v>4</v>
      </c>
      <c r="E25" s="22" t="s">
        <v>64</v>
      </c>
      <c r="F25" s="2">
        <v>50</v>
      </c>
      <c r="G25" s="22" t="s">
        <v>5</v>
      </c>
      <c r="I25" s="32" cm="1">
        <f t="array" ref="I25">[1]!ESP_head_m(Q_ESP_,NumStage_,Freq_,PumpID_,mu)</f>
        <v>2942.8379646133685</v>
      </c>
    </row>
    <row r="26" spans="1:9" x14ac:dyDescent="0.25">
      <c r="B26" s="16" t="s">
        <v>35</v>
      </c>
      <c r="C26" s="2">
        <v>75</v>
      </c>
      <c r="D26" s="16" t="s">
        <v>5</v>
      </c>
    </row>
    <row r="27" spans="1:9" x14ac:dyDescent="0.25">
      <c r="B27" s="16" t="s">
        <v>36</v>
      </c>
      <c r="C27" s="11" cm="1">
        <f t="array" ref="C27">[1]!ESP_id_by_rate(Q_ESP_,Fном__Гц)</f>
        <v>1006</v>
      </c>
      <c r="D27" s="16"/>
    </row>
    <row r="28" spans="1:9" x14ac:dyDescent="0.25">
      <c r="B28" s="16" t="s">
        <v>37</v>
      </c>
      <c r="C28" s="11" t="str" cm="1">
        <f t="array" ref="C28">[1]!ESP_name(PumpID_)</f>
        <v>ЭЦН5-80</v>
      </c>
      <c r="D28" s="16"/>
    </row>
    <row r="29" spans="1:9" ht="15.6" x14ac:dyDescent="0.35">
      <c r="B29" s="16" t="s">
        <v>40</v>
      </c>
      <c r="C29" s="11" cm="1">
        <f t="array" ref="C29">[1]!ESP_rate_max_sm3day(Fном__Гц,PumpID_)</f>
        <v>175</v>
      </c>
      <c r="D29" s="16"/>
    </row>
    <row r="30" spans="1:9" x14ac:dyDescent="0.25">
      <c r="B30" s="16" t="s">
        <v>9</v>
      </c>
      <c r="C30" s="11">
        <f>F30</f>
        <v>333</v>
      </c>
      <c r="D30" s="16" t="s">
        <v>6</v>
      </c>
      <c r="E30" t="s">
        <v>65</v>
      </c>
      <c r="F30" cm="1">
        <f t="array" ref="F30">[1]!ESP_calc_stages_num(PumpID_,Head_ESP_,Fном__Гц,Q_ESP_)</f>
        <v>333</v>
      </c>
    </row>
    <row r="31" spans="1:9" ht="15.6" x14ac:dyDescent="0.35">
      <c r="B31" s="16" t="s">
        <v>41</v>
      </c>
      <c r="C31" s="5">
        <v>0.8</v>
      </c>
      <c r="D31" s="16"/>
    </row>
    <row r="32" spans="1:9" ht="15.6" x14ac:dyDescent="0.35">
      <c r="B32" s="16" t="s">
        <v>42</v>
      </c>
      <c r="C32" s="7">
        <v>80</v>
      </c>
      <c r="D32" s="16" t="s">
        <v>1</v>
      </c>
    </row>
    <row r="33" spans="1:6" ht="15.6" x14ac:dyDescent="0.35">
      <c r="B33" s="16" t="s">
        <v>43</v>
      </c>
      <c r="C33" s="7">
        <v>80</v>
      </c>
      <c r="D33" s="16" t="s">
        <v>2</v>
      </c>
    </row>
    <row r="34" spans="1:6" x14ac:dyDescent="0.25">
      <c r="B34" s="20" t="s">
        <v>44</v>
      </c>
      <c r="C34" s="2">
        <v>1</v>
      </c>
      <c r="D34" s="20" t="s">
        <v>31</v>
      </c>
    </row>
    <row r="35" spans="1:6" x14ac:dyDescent="0.25">
      <c r="A35" t="s">
        <v>48</v>
      </c>
    </row>
    <row r="36" spans="1:6" x14ac:dyDescent="0.25">
      <c r="B36" s="16" t="s">
        <v>7</v>
      </c>
      <c r="C36" s="2">
        <v>20</v>
      </c>
      <c r="D36" s="16"/>
    </row>
    <row r="37" spans="1:6" x14ac:dyDescent="0.25">
      <c r="A37" s="1"/>
    </row>
    <row r="39" spans="1:6" ht="12.75" customHeight="1" x14ac:dyDescent="0.25">
      <c r="A39" t="s">
        <v>14</v>
      </c>
    </row>
    <row r="40" spans="1:6" x14ac:dyDescent="0.25">
      <c r="A40" t="s">
        <v>10</v>
      </c>
    </row>
    <row r="42" spans="1:6" ht="26.4" x14ac:dyDescent="0.25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5">
      <c r="C43" s="6">
        <v>1</v>
      </c>
      <c r="D43" s="23" cm="1">
        <f t="array" ref="D43">[1]!ESP_head_m(C43,NumStage_,Freq_,PumpID_,mu)</f>
        <v>4954.1346562500003</v>
      </c>
      <c r="E43" s="23" cm="1">
        <f t="array" ref="E43">[1]!ESP_eff_fr(C43,NumStage_,Freq_,PumpID_,mu)</f>
        <v>5.4419753086419748E-3</v>
      </c>
      <c r="F43" s="23" cm="1">
        <f t="array" ref="F43">[1]!ESP_power_W(C43,NumStage_,Freq_,PumpID_,mu)</f>
        <v>97963.605000000025</v>
      </c>
    </row>
    <row r="44" spans="1:6" x14ac:dyDescent="0.25">
      <c r="C44" s="6">
        <f>Qmax_/20</f>
        <v>8.75</v>
      </c>
      <c r="D44" s="23" cm="1">
        <f t="array" ref="D44">[1]!ESP_head_m(C44,NumStage_,Freq_,PumpID_,mu)</f>
        <v>5005.4875488281259</v>
      </c>
      <c r="E44" s="23" cm="1">
        <f t="array" ref="E44">[1]!ESP_eff_fr(C44,NumStage_,Freq_,PumpID_,mu)</f>
        <v>4.7449845679012337E-2</v>
      </c>
      <c r="F44" s="23" cm="1">
        <f t="array" ref="F44">[1]!ESP_power_W(C44,NumStage_,Freq_,PumpID_,mu)</f>
        <v>99352.371093750015</v>
      </c>
    </row>
    <row r="45" spans="1:6" x14ac:dyDescent="0.25">
      <c r="C45" s="6">
        <f t="shared" ref="C45:C74" si="0">C44+Qmax_/20</f>
        <v>17.5</v>
      </c>
      <c r="D45" s="23" cm="1">
        <f t="array" ref="D45">[1]!ESP_head_m(C45,NumStage_,Freq_,PumpID_,mu)</f>
        <v>5022.9017578125013</v>
      </c>
      <c r="E45" s="23" cm="1">
        <f t="array" ref="E45">[1]!ESP_eff_fr(C45,NumStage_,Freq_,PumpID_,mu)</f>
        <v>9.4521604938271594E-2</v>
      </c>
      <c r="F45" s="23" cm="1">
        <f t="array" ref="F45">[1]!ESP_power_W(C45,NumStage_,Freq_,PumpID_,mu)</f>
        <v>100800.14062500001</v>
      </c>
    </row>
    <row r="46" spans="1:6" x14ac:dyDescent="0.25">
      <c r="C46" s="6">
        <f t="shared" si="0"/>
        <v>26.25</v>
      </c>
      <c r="D46" s="23" cm="1">
        <f t="array" ref="D46">[1]!ESP_head_m(C46,NumStage_,Freq_,PumpID_,mu)</f>
        <v>4998.1310211181644</v>
      </c>
      <c r="E46" s="23" cm="1">
        <f t="array" ref="E46">[1]!ESP_eff_fr(C46,NumStage_,Freq_,PumpID_,mu)</f>
        <v>0.14121527777777776</v>
      </c>
      <c r="F46" s="23" cm="1">
        <f t="array" ref="F46">[1]!ESP_power_W(C46,NumStage_,Freq_,PumpID_,mu)</f>
        <v>102120.43359375001</v>
      </c>
    </row>
    <row r="47" spans="1:6" x14ac:dyDescent="0.25">
      <c r="C47" s="6">
        <f t="shared" si="0"/>
        <v>35</v>
      </c>
      <c r="D47" s="23" cm="1">
        <f t="array" ref="D47">[1]!ESP_head_m(C47,NumStage_,Freq_,PumpID_,mu)</f>
        <v>4930.4162109375011</v>
      </c>
      <c r="E47" s="23" cm="1">
        <f t="array" ref="E47">[1]!ESP_eff_fr(C47,NumStage_,Freq_,PumpID_,mu)</f>
        <v>0.18753086419753084</v>
      </c>
      <c r="F47" s="23" cm="1">
        <f t="array" ref="F47">[1]!ESP_power_W(C47,NumStage_,Freq_,PumpID_,mu)</f>
        <v>103313.25000000001</v>
      </c>
    </row>
    <row r="48" spans="1:6" x14ac:dyDescent="0.25">
      <c r="C48" s="6">
        <f t="shared" si="0"/>
        <v>43.75</v>
      </c>
      <c r="D48" s="23" cm="1">
        <f t="array" ref="D48">[1]!ESP_head_m(C48,NumStage_,Freq_,PumpID_,mu)</f>
        <v>4804.4251165033702</v>
      </c>
      <c r="E48" s="23" cm="1">
        <f t="array" ref="E48">[1]!ESP_eff_fr(C48,NumStage_,Freq_,PumpID_,mu)</f>
        <v>0.23346836419753084</v>
      </c>
      <c r="F48" s="23" cm="1">
        <f t="array" ref="F48">[1]!ESP_power_W(C48,NumStage_,Freq_,PumpID_,mu)</f>
        <v>104378.58984375003</v>
      </c>
    </row>
    <row r="49" spans="3:7" x14ac:dyDescent="0.25">
      <c r="C49" s="6">
        <f t="shared" si="0"/>
        <v>52.5</v>
      </c>
      <c r="D49" s="23" cm="1">
        <f t="array" ref="D49">[1]!ESP_head_m(C49,NumStage_,Freq_,PumpID_,mu)</f>
        <v>4531.0579632769586</v>
      </c>
      <c r="E49" s="23" cm="1">
        <f t="array" ref="E49">[1]!ESP_eff_fr(C49,NumStage_,Freq_,PumpID_,mu)</f>
        <v>0.27907738095238094</v>
      </c>
      <c r="F49" s="23" cm="1">
        <f t="array" ref="F49">[1]!ESP_power_W(C49,NumStage_,Freq_,PumpID_,mu)</f>
        <v>105262.97656250001</v>
      </c>
    </row>
    <row r="50" spans="3:7" x14ac:dyDescent="0.25">
      <c r="C50" s="6">
        <f t="shared" si="0"/>
        <v>61.25</v>
      </c>
      <c r="D50" s="23" cm="1">
        <f t="array" ref="D50">[1]!ESP_head_m(C50,NumStage_,Freq_,PumpID_,mu)</f>
        <v>4107.5955599566651</v>
      </c>
      <c r="E50" s="23" cm="1">
        <f t="array" ref="E50">[1]!ESP_eff_fr(C50,NumStage_,Freq_,PumpID_,mu)</f>
        <v>0.32438763043797758</v>
      </c>
      <c r="F50" s="23" cm="1">
        <f t="array" ref="F50">[1]!ESP_power_W(C50,NumStage_,Freq_,PumpID_,mu)</f>
        <v>105934.37373408566</v>
      </c>
    </row>
    <row r="51" spans="3:7" x14ac:dyDescent="0.25">
      <c r="C51" s="6">
        <f t="shared" si="0"/>
        <v>70</v>
      </c>
      <c r="D51" s="23" cm="1">
        <f t="array" ref="D51">[1]!ESP_head_m(C51,NumStage_,Freq_,PumpID_,mu)</f>
        <v>3596.4000000000005</v>
      </c>
      <c r="E51" s="23" cm="1">
        <f t="array" ref="E51">[1]!ESP_eff_fr(C51,NumStage_,Freq_,PumpID_,mu)</f>
        <v>0.36930629041740148</v>
      </c>
      <c r="F51" s="23" cm="1">
        <f t="array" ref="F51">[1]!ESP_power_W(C51,NumStage_,Freq_,PumpID_,mu)</f>
        <v>106492.85185185187</v>
      </c>
    </row>
    <row r="52" spans="3:7" x14ac:dyDescent="0.25">
      <c r="C52" s="6">
        <f t="shared" si="0"/>
        <v>78.75</v>
      </c>
      <c r="D52" s="23" cm="1">
        <f t="array" ref="D52">[1]!ESP_head_m(C52,NumStage_,Freq_,PumpID_,mu)</f>
        <v>3027.8141413954991</v>
      </c>
      <c r="E52" s="23" cm="1">
        <f t="array" ref="E52">[1]!ESP_eff_fr(C52,NumStage_,Freq_,PumpID_,mu)</f>
        <v>0.41373883928571425</v>
      </c>
      <c r="F52" s="23" cm="1">
        <f t="array" ref="F52">[1]!ESP_power_W(C52,NumStage_,Freq_,PumpID_,mu)</f>
        <v>107040.31347656253</v>
      </c>
    </row>
    <row r="53" spans="3:7" x14ac:dyDescent="0.25">
      <c r="C53" s="6">
        <f t="shared" si="0"/>
        <v>87.5</v>
      </c>
      <c r="D53" s="23" cm="1">
        <f t="array" ref="D53">[1]!ESP_head_m(C53,NumStage_,Freq_,PumpID_,mu)</f>
        <v>2411.6484375000005</v>
      </c>
      <c r="E53" s="23" cm="1">
        <f t="array" ref="E53">[1]!ESP_eff_fr(C53,NumStage_,Freq_,PumpID_,mu)</f>
        <v>0.45759075543797761</v>
      </c>
      <c r="F53" s="23" cm="1">
        <f t="array" ref="F53">[1]!ESP_power_W(C53,NumStage_,Freq_,PumpID_,mu)</f>
        <v>107678.6611689815</v>
      </c>
    </row>
    <row r="54" spans="3:7" x14ac:dyDescent="0.25">
      <c r="C54" s="6">
        <f t="shared" si="0"/>
        <v>96.25</v>
      </c>
      <c r="D54" s="23" cm="1">
        <f t="array" ref="D54">[1]!ESP_head_m(C54,NumStage_,Freq_,PumpID_,mu)</f>
        <v>1745.5183593750003</v>
      </c>
      <c r="E54" s="23" cm="1">
        <f t="array" ref="E54">[1]!ESP_eff_fr(C54,NumStage_,Freq_,PumpID_,mu)</f>
        <v>0.49719763630089708</v>
      </c>
      <c r="F54" s="23" cm="1">
        <f t="array" ref="F54">[1]!ESP_power_W(C54,NumStage_,Freq_,PumpID_,mu)</f>
        <v>108451.52818259217</v>
      </c>
    </row>
    <row r="55" spans="3:7" x14ac:dyDescent="0.25">
      <c r="C55" s="6">
        <f t="shared" si="0"/>
        <v>105</v>
      </c>
      <c r="D55" s="23" cm="1">
        <f t="array" ref="D55">[1]!ESP_head_m(C55,NumStage_,Freq_,PumpID_,mu)</f>
        <v>1030.2187500000002</v>
      </c>
      <c r="E55" s="23" cm="1">
        <f t="array" ref="E55">[1]!ESP_eff_fr(C55,NumStage_,Freq_,PumpID_,mu)</f>
        <v>0.52431055900621115</v>
      </c>
      <c r="F55" s="23" cm="1">
        <f t="array" ref="F55">[1]!ESP_power_W(C55,NumStage_,Freq_,PumpID_,mu)</f>
        <v>109305.64903846158</v>
      </c>
    </row>
    <row r="56" spans="3:7" x14ac:dyDescent="0.25">
      <c r="C56" s="6">
        <f t="shared" si="0"/>
        <v>113.75</v>
      </c>
      <c r="D56" s="23" cm="1">
        <f t="array" ref="D56">[1]!ESP_head_m(C56,NumStage_,Freq_,PumpID_,mu)</f>
        <v>265.74960937500003</v>
      </c>
      <c r="E56" s="23" cm="1">
        <f t="array" ref="E56">[1]!ESP_eff_fr(C56,NumStage_,Freq_,PumpID_,mu)</f>
        <v>0.54168435127674264</v>
      </c>
      <c r="F56" s="23" cm="1">
        <f t="array" ref="F56">[1]!ESP_power_W(C56,NumStage_,Freq_,PumpID_,mu)</f>
        <v>110344.99225010019</v>
      </c>
    </row>
    <row r="57" spans="3:7" x14ac:dyDescent="0.25">
      <c r="C57" s="6">
        <f t="shared" si="0"/>
        <v>122.5</v>
      </c>
      <c r="D57" s="23" cm="1">
        <f t="array" ref="D57">[1]!ESP_head_m(C57,NumStage_,Freq_,PumpID_,mu)</f>
        <v>-547.88906250000002</v>
      </c>
      <c r="E57" s="23" cm="1">
        <f t="array" ref="E57">[1]!ESP_eff_fr(C57,NumStage_,Freq_,PumpID_,mu)</f>
        <v>0.55252114528101803</v>
      </c>
      <c r="F57" s="23" cm="1">
        <f t="array" ref="F57">[1]!ESP_power_W(C57,NumStage_,Freq_,PumpID_,mu)</f>
        <v>111686.68545241716</v>
      </c>
    </row>
    <row r="58" spans="3:7" x14ac:dyDescent="0.25">
      <c r="C58" s="6">
        <f t="shared" si="0"/>
        <v>131.25</v>
      </c>
      <c r="D58" s="23" cm="1">
        <f t="array" ref="D58">[1]!ESP_head_m(C58,NumStage_,Freq_,PumpID_,mu)</f>
        <v>-1410.697265625</v>
      </c>
      <c r="E58" s="23" cm="1">
        <f t="array" ref="E58">[1]!ESP_eff_fr(C58,NumStage_,Freq_,PumpID_,mu)</f>
        <v>0.55652250265111347</v>
      </c>
      <c r="F58" s="23" cm="1">
        <f t="array" ref="F58">[1]!ESP_power_W(C58,NumStage_,Freq_,PumpID_,mu)</f>
        <v>113443.20167877777</v>
      </c>
    </row>
    <row r="59" spans="3:7" x14ac:dyDescent="0.25">
      <c r="C59" s="6">
        <f t="shared" si="0"/>
        <v>140</v>
      </c>
      <c r="D59" s="23" cm="1">
        <f t="array" ref="D59">[1]!ESP_head_m(C59,NumStage_,Freq_,PumpID_,mu)</f>
        <v>-2322.6749999999997</v>
      </c>
      <c r="E59" s="23" cm="1">
        <f t="array" ref="E59">[1]!ESP_eff_fr(C59,NumStage_,Freq_,PumpID_,mu)</f>
        <v>0.55359838812301176</v>
      </c>
      <c r="F59" s="23" cm="1">
        <f t="array" ref="F59">[1]!ESP_power_W(C59,NumStage_,Freq_,PumpID_,mu)</f>
        <v>115536.98716965645</v>
      </c>
    </row>
    <row r="60" spans="3:7" x14ac:dyDescent="0.25">
      <c r="C60" s="6">
        <f t="shared" si="0"/>
        <v>148.75</v>
      </c>
      <c r="D60" s="23" cm="1">
        <f t="array" ref="D60">[1]!ESP_head_m(C60,NumStage_,Freq_,PumpID_,mu)</f>
        <v>-3283.822265625</v>
      </c>
      <c r="E60" s="23" cm="1">
        <f t="array" ref="E60">[1]!ESP_eff_fr(C60,NumStage_,Freq_,PumpID_,mu)</f>
        <v>0.54450536585365861</v>
      </c>
      <c r="F60" s="23" cm="1">
        <f t="array" ref="F60">[1]!ESP_power_W(C60,NumStage_,Freq_,PumpID_,mu)</f>
        <v>117847.60668881121</v>
      </c>
    </row>
    <row r="61" spans="3:7" x14ac:dyDescent="0.25">
      <c r="C61" s="6">
        <f t="shared" si="0"/>
        <v>157.5</v>
      </c>
      <c r="D61" s="23" cm="1">
        <f t="array" ref="D61">[1]!ESP_head_m(C61,NumStage_,Freq_,PumpID_,mu)</f>
        <v>-4294.1390624999995</v>
      </c>
      <c r="E61" s="23" cm="1">
        <f t="array" ref="E61">[1]!ESP_eff_fr(C61,NumStage_,Freq_,PumpID_,mu)</f>
        <v>0.53</v>
      </c>
      <c r="F61" s="23" cm="1">
        <f t="array" ref="F61">[1]!ESP_power_W(C61,NumStage_,Freq_,PumpID_,mu)</f>
        <v>120254.62500000003</v>
      </c>
    </row>
    <row r="62" spans="3:7" x14ac:dyDescent="0.25">
      <c r="C62" s="6">
        <f t="shared" si="0"/>
        <v>166.25</v>
      </c>
      <c r="D62" s="23" cm="1">
        <f t="array" ref="D62">[1]!ESP_head_m(C62,NumStage_,Freq_,PumpID_,mu)</f>
        <v>-5353.6253906249985</v>
      </c>
      <c r="E62" s="23" cm="1">
        <f t="array" ref="E62">[1]!ESP_eff_fr(C62,NumStage_,Freq_,PumpID_,mu)</f>
        <v>0.51009613620395466</v>
      </c>
      <c r="F62" s="23" cm="1">
        <f t="array" ref="F62">[1]!ESP_power_W(C62,NumStage_,Freq_,PumpID_,mu)</f>
        <v>122708.6132102273</v>
      </c>
    </row>
    <row r="63" spans="3:7" x14ac:dyDescent="0.25">
      <c r="C63" s="6">
        <f t="shared" si="0"/>
        <v>175</v>
      </c>
      <c r="D63" s="23" cm="1">
        <f t="array" ref="D63">[1]!ESP_head_m(C63,NumStage_,Freq_,PumpID_,mu)</f>
        <v>-6462.2812499999982</v>
      </c>
      <c r="E63" s="23" cm="1">
        <f t="array" ref="E63">[1]!ESP_eff_fr(C63,NumStage_,Freq_,PumpID_,mu)</f>
        <v>0.48475168523537093</v>
      </c>
      <c r="F63" s="23" cm="1">
        <f t="array" ref="F63">[1]!ESP_power_W(C63,NumStage_,Freq_,PumpID_,mu)</f>
        <v>125251.94298418974</v>
      </c>
    </row>
    <row r="64" spans="3:7" x14ac:dyDescent="0.25">
      <c r="C64" s="6">
        <f t="shared" si="0"/>
        <v>183.75</v>
      </c>
      <c r="D64" s="23" cm="1">
        <f t="array" ref="D64">[1]!ESP_head_m(C64,NumStage_,Freq_,PumpID_,mu)</f>
        <v>-7620.1066406249965</v>
      </c>
      <c r="E64" s="23" cm="1">
        <f t="array" ref="E64">[1]!ESP_eff_fr(C64,NumStage_,Freq_,PumpID_,mu)</f>
        <v>0.4546393089430894</v>
      </c>
      <c r="F64" s="23" cm="1">
        <f t="array" ref="F64">[1]!ESP_power_W(C64,NumStage_,Freq_,PumpID_,mu)</f>
        <v>127901.87992218383</v>
      </c>
      <c r="G64" s="8"/>
    </row>
    <row r="65" spans="3:7" x14ac:dyDescent="0.25">
      <c r="C65" s="6">
        <f t="shared" si="0"/>
        <v>192.5</v>
      </c>
      <c r="D65" s="23" cm="1">
        <f t="array" ref="D65">[1]!ESP_head_m(C65,NumStage_,Freq_,PumpID_,mu)</f>
        <v>-8827.1015624999964</v>
      </c>
      <c r="E65" s="23" cm="1">
        <f t="array" ref="E65">[1]!ESP_eff_fr(C65,NumStage_,Freq_,PumpID_,mu)</f>
        <v>0.42043166917595109</v>
      </c>
      <c r="F65" s="23" cm="1">
        <f t="array" ref="F65">[1]!ESP_power_W(C65,NumStage_,Freq_,PumpID_,mu)</f>
        <v>130675.68962450595</v>
      </c>
      <c r="G65" s="8"/>
    </row>
    <row r="66" spans="3:7" x14ac:dyDescent="0.25">
      <c r="C66" s="6">
        <f t="shared" si="0"/>
        <v>201.25</v>
      </c>
      <c r="D66" s="23" cm="1">
        <f t="array" ref="D66">[1]!ESP_head_m(C66,NumStage_,Freq_,PumpID_,mu)</f>
        <v>-10083.266015624995</v>
      </c>
      <c r="E66" s="23" cm="1">
        <f t="array" ref="E66">[1]!ESP_eff_fr(C66,NumStage_,Freq_,PumpID_,mu)</f>
        <v>0.38251543209876548</v>
      </c>
      <c r="F66" s="23" cm="1">
        <f t="array" ref="F66">[1]!ESP_power_W(C66,NumStage_,Freq_,PumpID_,mu)</f>
        <v>133583.29687500003</v>
      </c>
      <c r="G66" s="8"/>
    </row>
    <row r="67" spans="3:7" x14ac:dyDescent="0.25">
      <c r="C67" s="6">
        <f t="shared" si="0"/>
        <v>210</v>
      </c>
      <c r="D67" s="23" cm="1">
        <f t="array" ref="D67">[1]!ESP_head_m(C67,NumStage_,Freq_,PumpID_,mu)</f>
        <v>-11388.599999999991</v>
      </c>
      <c r="E67" s="23" cm="1">
        <f t="array" ref="E67">[1]!ESP_eff_fr(C67,NumStage_,Freq_,PumpID_,mu)</f>
        <v>0.34044444444444444</v>
      </c>
      <c r="F67" s="23" cm="1">
        <f t="array" ref="F67">[1]!ESP_power_W(C67,NumStage_,Freq_,PumpID_,mu)</f>
        <v>136613.25000000006</v>
      </c>
      <c r="G67" s="8"/>
    </row>
    <row r="68" spans="3:7" x14ac:dyDescent="0.25">
      <c r="C68" s="6">
        <f t="shared" si="0"/>
        <v>218.75</v>
      </c>
      <c r="D68" s="23" cm="1">
        <f t="array" ref="D68">[1]!ESP_head_m(C68,NumStage_,Freq_,PumpID_,mu)</f>
        <v>-12743.103515624991</v>
      </c>
      <c r="E68" s="23" cm="1">
        <f t="array" ref="E68">[1]!ESP_eff_fr(C68,NumStage_,Freq_,PumpID_,mu)</f>
        <v>0.29418209876543222</v>
      </c>
      <c r="F68" s="23" cm="1">
        <f t="array" ref="F68">[1]!ESP_power_W(C68,NumStage_,Freq_,PumpID_,mu)</f>
        <v>139764.60937500003</v>
      </c>
    </row>
    <row r="69" spans="3:7" x14ac:dyDescent="0.25">
      <c r="C69" s="6">
        <f t="shared" si="0"/>
        <v>227.5</v>
      </c>
      <c r="D69" s="23" cm="1">
        <f t="array" ref="D69">[1]!ESP_head_m(C69,NumStage_,Freq_,PumpID_,mu)</f>
        <v>-14146.776562499987</v>
      </c>
      <c r="E69" s="23" cm="1">
        <f t="array" ref="E69">[1]!ESP_eff_fr(C69,NumStage_,Freq_,PumpID_,mu)</f>
        <v>0.24372839506172844</v>
      </c>
      <c r="F69" s="23" cm="1">
        <f t="array" ref="F69">[1]!ESP_power_W(C69,NumStage_,Freq_,PumpID_,mu)</f>
        <v>143037.37500000003</v>
      </c>
    </row>
    <row r="70" spans="3:7" x14ac:dyDescent="0.25">
      <c r="C70" s="6">
        <f t="shared" si="0"/>
        <v>236.25</v>
      </c>
      <c r="D70" s="23" cm="1">
        <f t="array" ref="D70">[1]!ESP_head_m(C70,NumStage_,Freq_,PumpID_,mu)</f>
        <v>-15599.619140624984</v>
      </c>
      <c r="E70" s="23" cm="1">
        <f t="array" ref="E70">[1]!ESP_eff_fr(C70,NumStage_,Freq_,PumpID_,mu)</f>
        <v>0.1890833333333333</v>
      </c>
      <c r="F70" s="23" cm="1">
        <f t="array" ref="F70">[1]!ESP_power_W(C70,NumStage_,Freq_,PumpID_,mu)</f>
        <v>146431.54687500003</v>
      </c>
    </row>
    <row r="71" spans="3:7" x14ac:dyDescent="0.25">
      <c r="C71" s="6">
        <f t="shared" si="0"/>
        <v>245</v>
      </c>
      <c r="D71" s="23" cm="1">
        <f t="array" ref="D71">[1]!ESP_head_m(C71,NumStage_,Freq_,PumpID_,mu)</f>
        <v>-17101.63124999998</v>
      </c>
      <c r="E71" s="23" cm="1">
        <f t="array" ref="E71">[1]!ESP_eff_fr(C71,NumStage_,Freq_,PumpID_,mu)</f>
        <v>0.13024691358024709</v>
      </c>
      <c r="F71" s="23" cm="1">
        <f t="array" ref="F71">[1]!ESP_power_W(C71,NumStage_,Freq_,PumpID_,mu)</f>
        <v>149947.12500000003</v>
      </c>
    </row>
    <row r="72" spans="3:7" x14ac:dyDescent="0.25">
      <c r="C72" s="6">
        <f t="shared" si="0"/>
        <v>253.75</v>
      </c>
      <c r="D72" s="23" cm="1">
        <f t="array" ref="D72">[1]!ESP_head_m(C72,NumStage_,Freq_,PumpID_,mu)</f>
        <v>-18652.812890624977</v>
      </c>
      <c r="E72" s="23" cm="1">
        <f t="array" ref="E72">[1]!ESP_eff_fr(C72,NumStage_,Freq_,PumpID_,mu)</f>
        <v>6.7219135802469243E-2</v>
      </c>
      <c r="F72" s="23" cm="1">
        <f t="array" ref="F72">[1]!ESP_power_W(C72,NumStage_,Freq_,PumpID_,mu)</f>
        <v>153584.10937500003</v>
      </c>
    </row>
    <row r="73" spans="3:7" x14ac:dyDescent="0.25">
      <c r="C73" s="6">
        <f t="shared" si="0"/>
        <v>262.5</v>
      </c>
      <c r="D73" s="23" cm="1">
        <f t="array" ref="D73">[1]!ESP_head_m(C73,NumStage_,Freq_,PumpID_,mu)</f>
        <v>0</v>
      </c>
      <c r="E73" s="23" cm="1">
        <f t="array" ref="E73">[1]!ESP_eff_fr(C73,NumStage_,Freq_,PumpID_,mu)</f>
        <v>1.2956215961201778E-17</v>
      </c>
      <c r="F73" s="23" cm="1">
        <f t="array" ref="F73">[1]!ESP_power_W(C73,NumStage_,Freq_,PumpID_,mu)</f>
        <v>157342.50000000006</v>
      </c>
    </row>
    <row r="74" spans="3:7" x14ac:dyDescent="0.25">
      <c r="C74" s="6">
        <f t="shared" si="0"/>
        <v>271.25</v>
      </c>
      <c r="D74" s="23" cm="1">
        <f t="array" ref="D74">[1]!ESP_head_m(C74,NumStage_,Freq_,PumpID_,mu)</f>
        <v>11914.050585937486</v>
      </c>
      <c r="E74" s="23" cm="1">
        <f t="array" ref="E74">[1]!ESP_eff_fr(C74,NumStage_,Freq_,PumpID_,mu)</f>
        <v>0</v>
      </c>
      <c r="F74" s="23" cm="1">
        <f t="array" ref="F74">[1]!ESP_power_W(C74,NumStage_,Freq_,PumpID_,mu)</f>
        <v>157342.50000000006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exercise_ESP</vt:lpstr>
      <vt:lpstr>exercise_ESP!Bob_</vt:lpstr>
      <vt:lpstr>exercise_ESP!Freq_</vt:lpstr>
      <vt:lpstr>exercise_ESP!fw_</vt:lpstr>
      <vt:lpstr>Fном__Гц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pole_pairs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2023-07-07T02:18:46Z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