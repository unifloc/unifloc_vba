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59A5325B-E7A7-40D9-8368-028D5E603F56}" xr6:coauthVersionLast="45" xr6:coauthVersionMax="45" xr10:uidLastSave="{00000000-0000-0000-0000-000000000000}"/>
  <bookViews>
    <workbookView xWindow="-28065" yWindow="2550" windowWidth="17790" windowHeight="1707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110" l="1" a="1"/>
  <c r="C27" i="110" l="1"/>
  <c r="C29" i="110" a="1"/>
  <c r="G1" i="110"/>
  <c r="C28" i="110" a="1"/>
  <c r="C29" i="110" l="1"/>
  <c r="C44" i="110" s="1"/>
  <c r="C28" i="110"/>
  <c r="E17" i="110" l="1"/>
  <c r="E16" i="110"/>
  <c r="E15" i="110"/>
  <c r="E14" i="110"/>
  <c r="E13" i="110"/>
  <c r="E12" i="110"/>
  <c r="E11" i="110"/>
  <c r="D43" i="110" a="1"/>
  <c r="F43" i="110" a="1"/>
  <c r="E43" i="110" a="1"/>
  <c r="D43" i="110" l="1"/>
  <c r="E43" i="110"/>
  <c r="F43" i="110"/>
  <c r="F44" i="110" a="1"/>
  <c r="D44" i="110" a="1"/>
  <c r="E44" i="110" a="1"/>
  <c r="D44" i="110" l="1"/>
  <c r="F44" i="110"/>
  <c r="E44" i="110"/>
  <c r="C45" i="110"/>
  <c r="F45" i="110" a="1"/>
  <c r="E45" i="110" a="1"/>
  <c r="D45" i="110" a="1"/>
  <c r="D45" i="110" l="1"/>
  <c r="F45" i="110"/>
  <c r="E45" i="110"/>
  <c r="C46" i="110"/>
  <c r="E46" i="110" a="1"/>
  <c r="F46" i="110" a="1"/>
  <c r="D46" i="110" a="1"/>
  <c r="D46" i="110" l="1"/>
  <c r="E46" i="110"/>
  <c r="F46" i="110"/>
  <c r="C47" i="110"/>
  <c r="C48" i="110" s="1"/>
  <c r="D48" i="110" a="1"/>
  <c r="F47" i="110" a="1"/>
  <c r="E47" i="110" a="1"/>
  <c r="E48" i="110" a="1"/>
  <c r="F48" i="110" a="1"/>
  <c r="D47" i="110" a="1"/>
  <c r="D48" i="110" l="1"/>
  <c r="D47" i="110"/>
  <c r="F48" i="110"/>
  <c r="E48" i="110"/>
  <c r="F47" i="110"/>
  <c r="E47" i="110"/>
  <c r="C49" i="110"/>
  <c r="D49" i="110" a="1"/>
  <c r="F49" i="110" a="1"/>
  <c r="E49" i="110" a="1"/>
  <c r="D49" i="110" l="1"/>
  <c r="F49" i="110"/>
  <c r="E49" i="110"/>
  <c r="C50" i="110"/>
  <c r="F50" i="110" a="1"/>
  <c r="D50" i="110" a="1"/>
  <c r="E50" i="110" a="1"/>
  <c r="D50" i="110" l="1"/>
  <c r="F50" i="110"/>
  <c r="E50" i="110"/>
  <c r="C51" i="110"/>
  <c r="D51" i="110" a="1"/>
  <c r="F51" i="110" a="1"/>
  <c r="E51" i="110" a="1"/>
  <c r="D51" i="110" l="1"/>
  <c r="F51" i="110"/>
  <c r="E51" i="110"/>
  <c r="C52" i="110"/>
  <c r="E52" i="110" a="1"/>
  <c r="D52" i="110" a="1"/>
  <c r="F52" i="110" a="1"/>
  <c r="D52" i="110" l="1"/>
  <c r="F52" i="110"/>
  <c r="E52" i="110"/>
  <c r="C53" i="110"/>
  <c r="E53" i="110" a="1"/>
  <c r="F53" i="110" a="1"/>
  <c r="D53" i="110" a="1"/>
  <c r="D53" i="110" l="1"/>
  <c r="F53" i="110"/>
  <c r="E53" i="110"/>
  <c r="C54" i="110"/>
  <c r="D54" i="110" a="1"/>
  <c r="E54" i="110" a="1"/>
  <c r="F54" i="110" a="1"/>
  <c r="D54" i="110" l="1"/>
  <c r="F54" i="110"/>
  <c r="E54" i="110"/>
  <c r="C55" i="110"/>
  <c r="F55" i="110" a="1"/>
  <c r="D55" i="110" a="1"/>
  <c r="E55" i="110" a="1"/>
  <c r="D55" i="110" l="1"/>
  <c r="F55" i="110"/>
  <c r="E55" i="110"/>
  <c r="C56" i="110"/>
  <c r="F56" i="110" a="1"/>
  <c r="D56" i="110" a="1"/>
  <c r="E56" i="110" a="1"/>
  <c r="D56" i="110" l="1"/>
  <c r="E56" i="110"/>
  <c r="F56" i="110"/>
  <c r="C57" i="110"/>
  <c r="D57" i="110" a="1"/>
  <c r="F57" i="110" a="1"/>
  <c r="E57" i="110" a="1"/>
  <c r="D57" i="110" l="1"/>
  <c r="F57" i="110"/>
  <c r="E57" i="110"/>
  <c r="C58" i="110"/>
  <c r="E58" i="110" a="1"/>
  <c r="F58" i="110" a="1"/>
  <c r="D58" i="110" a="1"/>
  <c r="D58" i="110" l="1"/>
  <c r="F58" i="110"/>
  <c r="E58" i="110"/>
  <c r="C59" i="110"/>
  <c r="E59" i="110" a="1"/>
  <c r="F59" i="110" a="1"/>
  <c r="D59" i="110" a="1"/>
  <c r="E59" i="110" l="1"/>
  <c r="D59" i="110"/>
  <c r="F59" i="110"/>
  <c r="C60" i="110"/>
  <c r="F60" i="110" a="1"/>
  <c r="D60" i="110" a="1"/>
  <c r="E60" i="110" a="1"/>
  <c r="E60" i="110" l="1"/>
  <c r="D60" i="110"/>
  <c r="F60" i="110"/>
  <c r="C61" i="110"/>
  <c r="D61" i="110" a="1"/>
  <c r="E61" i="110" a="1"/>
  <c r="F61" i="110" a="1"/>
  <c r="D61" i="110" l="1"/>
  <c r="F61" i="110"/>
  <c r="E61" i="110"/>
  <c r="C62" i="110"/>
  <c r="F62" i="110" a="1"/>
  <c r="D62" i="110" a="1"/>
  <c r="E62" i="110" a="1"/>
  <c r="D62" i="110" l="1"/>
  <c r="F62" i="110"/>
  <c r="E62" i="110"/>
  <c r="C63" i="110"/>
  <c r="F63" i="110" a="1"/>
  <c r="E63" i="110" a="1"/>
  <c r="D63" i="110" a="1"/>
  <c r="D63" i="110" l="1"/>
  <c r="F63" i="110"/>
  <c r="E63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<sst xmlns="http://schemas.openxmlformats.org/spreadsheetml/2006/main" count="75" uniqueCount="64">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</sst>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4.2750000000000004</c:v>
                </c:pt>
                <c:pt idx="2">
                  <c:v>8.5500000000000007</c:v>
                </c:pt>
                <c:pt idx="3">
                  <c:v>12.825000000000001</c:v>
                </c:pt>
                <c:pt idx="4">
                  <c:v>17.100000000000001</c:v>
                </c:pt>
                <c:pt idx="5">
                  <c:v>21.375</c:v>
                </c:pt>
                <c:pt idx="6">
                  <c:v>25.65</c:v>
                </c:pt>
                <c:pt idx="7">
                  <c:v>29.924999999999997</c:v>
                </c:pt>
                <c:pt idx="8">
                  <c:v>34.199999999999996</c:v>
                </c:pt>
                <c:pt idx="9">
                  <c:v>38.474999999999994</c:v>
                </c:pt>
                <c:pt idx="10">
                  <c:v>42.749999999999993</c:v>
                </c:pt>
                <c:pt idx="11">
                  <c:v>47.024999999999991</c:v>
                </c:pt>
                <c:pt idx="12">
                  <c:v>51.29999999999999</c:v>
                </c:pt>
                <c:pt idx="13">
                  <c:v>55.574999999999989</c:v>
                </c:pt>
                <c:pt idx="14">
                  <c:v>59.849999999999987</c:v>
                </c:pt>
                <c:pt idx="15">
                  <c:v>64.124999999999986</c:v>
                </c:pt>
                <c:pt idx="16">
                  <c:v>68.399999999999991</c:v>
                </c:pt>
                <c:pt idx="17">
                  <c:v>72.674999999999997</c:v>
                </c:pt>
                <c:pt idx="18">
                  <c:v>76.95</c:v>
                </c:pt>
                <c:pt idx="19">
                  <c:v>81.225000000000009</c:v>
                </c:pt>
                <c:pt idx="20">
                  <c:v>85.500000000000014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525.7166666666667</c:v>
                </c:pt>
                <c:pt idx="1">
                  <c:v>522.68456250000008</c:v>
                </c:pt>
                <c:pt idx="2">
                  <c:v>517.65075000000002</c:v>
                </c:pt>
                <c:pt idx="3">
                  <c:v>511.39856249999997</c:v>
                </c:pt>
                <c:pt idx="4">
                  <c:v>503.92800000000005</c:v>
                </c:pt>
                <c:pt idx="5">
                  <c:v>495.24960937499998</c:v>
                </c:pt>
                <c:pt idx="6">
                  <c:v>485.3630583333333</c:v>
                </c:pt>
                <c:pt idx="7">
                  <c:v>474.22654479166664</c:v>
                </c:pt>
                <c:pt idx="8">
                  <c:v>461.41199999999998</c:v>
                </c:pt>
                <c:pt idx="9">
                  <c:v>445.29030208333336</c:v>
                </c:pt>
                <c:pt idx="10">
                  <c:v>425.31041666666664</c:v>
                </c:pt>
                <c:pt idx="11">
                  <c:v>401.00505468750004</c:v>
                </c:pt>
                <c:pt idx="12">
                  <c:v>372.19200000000001</c:v>
                </c:pt>
                <c:pt idx="13">
                  <c:v>339.72382031250004</c:v>
                </c:pt>
                <c:pt idx="14">
                  <c:v>304.49689955357155</c:v>
                </c:pt>
                <c:pt idx="15">
                  <c:v>266.48694893973226</c:v>
                </c:pt>
                <c:pt idx="16">
                  <c:v>226.2995357142857</c:v>
                </c:pt>
                <c:pt idx="17">
                  <c:v>183.05724274553569</c:v>
                </c:pt>
                <c:pt idx="18">
                  <c:v>131.77687500000002</c:v>
                </c:pt>
                <c:pt idx="19">
                  <c:v>70.457343749999808</c:v>
                </c:pt>
                <c:pt idx="20">
                  <c:v>-2.240385611404494E-13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4.2750000000000004</c:v>
                </c:pt>
                <c:pt idx="2">
                  <c:v>8.5500000000000007</c:v>
                </c:pt>
                <c:pt idx="3">
                  <c:v>12.825000000000001</c:v>
                </c:pt>
                <c:pt idx="4">
                  <c:v>17.100000000000001</c:v>
                </c:pt>
                <c:pt idx="5">
                  <c:v>21.375</c:v>
                </c:pt>
                <c:pt idx="6">
                  <c:v>25.65</c:v>
                </c:pt>
                <c:pt idx="7">
                  <c:v>29.924999999999997</c:v>
                </c:pt>
                <c:pt idx="8">
                  <c:v>34.199999999999996</c:v>
                </c:pt>
                <c:pt idx="9">
                  <c:v>38.474999999999994</c:v>
                </c:pt>
                <c:pt idx="10">
                  <c:v>42.749999999999993</c:v>
                </c:pt>
                <c:pt idx="11">
                  <c:v>47.024999999999991</c:v>
                </c:pt>
                <c:pt idx="12">
                  <c:v>51.29999999999999</c:v>
                </c:pt>
                <c:pt idx="13">
                  <c:v>55.574999999999989</c:v>
                </c:pt>
                <c:pt idx="14">
                  <c:v>59.849999999999987</c:v>
                </c:pt>
                <c:pt idx="15">
                  <c:v>64.124999999999986</c:v>
                </c:pt>
                <c:pt idx="16">
                  <c:v>68.399999999999991</c:v>
                </c:pt>
                <c:pt idx="17">
                  <c:v>72.674999999999997</c:v>
                </c:pt>
                <c:pt idx="18">
                  <c:v>76.95</c:v>
                </c:pt>
                <c:pt idx="19">
                  <c:v>81.225000000000009</c:v>
                </c:pt>
                <c:pt idx="20">
                  <c:v>85.500000000000014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1.7098765432098768E-2</c:v>
                </c:pt>
                <c:pt idx="1">
                  <c:v>7.1368750000000022E-2</c:v>
                </c:pt>
                <c:pt idx="2">
                  <c:v>0.13822500000000004</c:v>
                </c:pt>
                <c:pt idx="3">
                  <c:v>0.20056875000000005</c:v>
                </c:pt>
                <c:pt idx="4">
                  <c:v>0.25840000000000007</c:v>
                </c:pt>
                <c:pt idx="5">
                  <c:v>0.31211641905737708</c:v>
                </c:pt>
                <c:pt idx="6">
                  <c:v>0.36170547814207649</c:v>
                </c:pt>
                <c:pt idx="7">
                  <c:v>0.40559103312841527</c:v>
                </c:pt>
                <c:pt idx="8">
                  <c:v>0.44111085511741249</c:v>
                </c:pt>
                <c:pt idx="9">
                  <c:v>0.46440002584551759</c:v>
                </c:pt>
                <c:pt idx="10">
                  <c:v>0.47699675084920984</c:v>
                </c:pt>
                <c:pt idx="11">
                  <c:v>0.48045148319050757</c:v>
                </c:pt>
                <c:pt idx="12">
                  <c:v>0.4735322249078347</c:v>
                </c:pt>
                <c:pt idx="13">
                  <c:v>0.45671607216973076</c:v>
                </c:pt>
                <c:pt idx="14">
                  <c:v>0.43092401676829278</c:v>
                </c:pt>
                <c:pt idx="15">
                  <c:v>0.39355909394054889</c:v>
                </c:pt>
                <c:pt idx="16">
                  <c:v>0.33595749999999996</c:v>
                </c:pt>
                <c:pt idx="17">
                  <c:v>0.26244457031250001</c:v>
                </c:pt>
                <c:pt idx="18">
                  <c:v>0.1812125</c:v>
                </c:pt>
                <c:pt idx="19">
                  <c:v>9.3990624999999731E-2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4.2750000000000004</c:v>
                </c:pt>
                <c:pt idx="2">
                  <c:v>8.5500000000000007</c:v>
                </c:pt>
                <c:pt idx="3">
                  <c:v>12.825000000000001</c:v>
                </c:pt>
                <c:pt idx="4">
                  <c:v>17.100000000000001</c:v>
                </c:pt>
                <c:pt idx="5">
                  <c:v>21.375</c:v>
                </c:pt>
                <c:pt idx="6">
                  <c:v>25.65</c:v>
                </c:pt>
                <c:pt idx="7">
                  <c:v>29.924999999999997</c:v>
                </c:pt>
                <c:pt idx="8">
                  <c:v>34.199999999999996</c:v>
                </c:pt>
                <c:pt idx="9">
                  <c:v>38.474999999999994</c:v>
                </c:pt>
                <c:pt idx="10">
                  <c:v>42.749999999999993</c:v>
                </c:pt>
                <c:pt idx="11">
                  <c:v>47.024999999999991</c:v>
                </c:pt>
                <c:pt idx="12">
                  <c:v>51.29999999999999</c:v>
                </c:pt>
                <c:pt idx="13">
                  <c:v>55.574999999999989</c:v>
                </c:pt>
                <c:pt idx="14">
                  <c:v>59.849999999999987</c:v>
                </c:pt>
                <c:pt idx="15">
                  <c:v>64.124999999999986</c:v>
                </c:pt>
                <c:pt idx="16">
                  <c:v>68.399999999999991</c:v>
                </c:pt>
                <c:pt idx="17">
                  <c:v>72.674999999999997</c:v>
                </c:pt>
                <c:pt idx="18">
                  <c:v>76.95</c:v>
                </c:pt>
                <c:pt idx="19">
                  <c:v>81.225000000000009</c:v>
                </c:pt>
                <c:pt idx="20">
                  <c:v>85.500000000000014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525.7166666666667</c:v>
                </c:pt>
                <c:pt idx="1">
                  <c:v>522.68456250000008</c:v>
                </c:pt>
                <c:pt idx="2">
                  <c:v>517.65075000000002</c:v>
                </c:pt>
                <c:pt idx="3">
                  <c:v>511.39856249999997</c:v>
                </c:pt>
                <c:pt idx="4">
                  <c:v>503.92800000000005</c:v>
                </c:pt>
                <c:pt idx="5">
                  <c:v>495.24960937499998</c:v>
                </c:pt>
                <c:pt idx="6">
                  <c:v>485.3630583333333</c:v>
                </c:pt>
                <c:pt idx="7">
                  <c:v>474.22654479166664</c:v>
                </c:pt>
                <c:pt idx="8">
                  <c:v>461.41199999999998</c:v>
                </c:pt>
                <c:pt idx="9">
                  <c:v>445.29030208333336</c:v>
                </c:pt>
                <c:pt idx="10">
                  <c:v>425.31041666666664</c:v>
                </c:pt>
                <c:pt idx="11">
                  <c:v>401.00505468750004</c:v>
                </c:pt>
                <c:pt idx="12">
                  <c:v>372.19200000000001</c:v>
                </c:pt>
                <c:pt idx="13">
                  <c:v>339.72382031250004</c:v>
                </c:pt>
                <c:pt idx="14">
                  <c:v>304.49689955357155</c:v>
                </c:pt>
                <c:pt idx="15">
                  <c:v>266.48694893973226</c:v>
                </c:pt>
                <c:pt idx="16">
                  <c:v>226.2995357142857</c:v>
                </c:pt>
                <c:pt idx="17">
                  <c:v>183.05724274553569</c:v>
                </c:pt>
                <c:pt idx="18">
                  <c:v>131.77687500000002</c:v>
                </c:pt>
                <c:pt idx="19">
                  <c:v>70.457343749999808</c:v>
                </c:pt>
                <c:pt idx="20">
                  <c:v>-2.240385611404494E-13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4.2750000000000004</c:v>
                </c:pt>
                <c:pt idx="2">
                  <c:v>8.5500000000000007</c:v>
                </c:pt>
                <c:pt idx="3">
                  <c:v>12.825000000000001</c:v>
                </c:pt>
                <c:pt idx="4">
                  <c:v>17.100000000000001</c:v>
                </c:pt>
                <c:pt idx="5">
                  <c:v>21.375</c:v>
                </c:pt>
                <c:pt idx="6">
                  <c:v>25.65</c:v>
                </c:pt>
                <c:pt idx="7">
                  <c:v>29.924999999999997</c:v>
                </c:pt>
                <c:pt idx="8">
                  <c:v>34.199999999999996</c:v>
                </c:pt>
                <c:pt idx="9">
                  <c:v>38.474999999999994</c:v>
                </c:pt>
                <c:pt idx="10">
                  <c:v>42.749999999999993</c:v>
                </c:pt>
                <c:pt idx="11">
                  <c:v>47.024999999999991</c:v>
                </c:pt>
                <c:pt idx="12">
                  <c:v>51.29999999999999</c:v>
                </c:pt>
                <c:pt idx="13">
                  <c:v>55.574999999999989</c:v>
                </c:pt>
                <c:pt idx="14">
                  <c:v>59.849999999999987</c:v>
                </c:pt>
                <c:pt idx="15">
                  <c:v>64.124999999999986</c:v>
                </c:pt>
                <c:pt idx="16">
                  <c:v>68.399999999999991</c:v>
                </c:pt>
                <c:pt idx="17">
                  <c:v>72.674999999999997</c:v>
                </c:pt>
                <c:pt idx="18">
                  <c:v>76.95</c:v>
                </c:pt>
                <c:pt idx="19">
                  <c:v>81.225000000000009</c:v>
                </c:pt>
                <c:pt idx="20">
                  <c:v>85.500000000000014</c:v>
                </c:pt>
              </c:numCache>
            </c:numRef>
          </c:xVal>
          <c:yVal>
            <c:numRef>
              <c:f>exercise_ESP!$F$43:$F$74</c:f>
              <c:numCache>
                <c:formatCode>0</c:formatCode>
                <c:ptCount val="32"/>
                <c:pt idx="0">
                  <c:v>4039.5642857142848</c:v>
                </c:pt>
                <c:pt idx="1">
                  <c:v>3917.8781517857133</c:v>
                </c:pt>
                <c:pt idx="2">
                  <c:v>3801.9172499999991</c:v>
                </c:pt>
                <c:pt idx="3">
                  <c:v>3734.5172946428561</c:v>
                </c:pt>
                <c:pt idx="4">
                  <c:v>3715.6782857142848</c:v>
                </c:pt>
                <c:pt idx="5">
                  <c:v>3753.723515624999</c:v>
                </c:pt>
                <c:pt idx="6">
                  <c:v>3848.3907492857138</c:v>
                </c:pt>
                <c:pt idx="7">
                  <c:v>3966.6909768749993</c:v>
                </c:pt>
                <c:pt idx="8">
                  <c:v>4079.0007771428564</c:v>
                </c:pt>
                <c:pt idx="9">
                  <c:v>4187.4136167857132</c:v>
                </c:pt>
                <c:pt idx="10">
                  <c:v>4304.619642857142</c:v>
                </c:pt>
                <c:pt idx="11">
                  <c:v>4439.6099999999988</c:v>
                </c:pt>
                <c:pt idx="12">
                  <c:v>4578.119999999999</c:v>
                </c:pt>
                <c:pt idx="13">
                  <c:v>4716.6299999999983</c:v>
                </c:pt>
                <c:pt idx="14">
                  <c:v>4855.1399999999985</c:v>
                </c:pt>
                <c:pt idx="15">
                  <c:v>4993.6499999999996</c:v>
                </c:pt>
                <c:pt idx="16">
                  <c:v>5128.7336999999998</c:v>
                </c:pt>
                <c:pt idx="17">
                  <c:v>5191.7341078124991</c:v>
                </c:pt>
                <c:pt idx="18">
                  <c:v>5259.9172499999986</c:v>
                </c:pt>
                <c:pt idx="19">
                  <c:v>5383.7105624999995</c:v>
                </c:pt>
                <c:pt idx="20">
                  <c:v>5540.3999999999987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4.2750000000000004</c:v>
                </c:pt>
                <c:pt idx="2">
                  <c:v>8.5500000000000007</c:v>
                </c:pt>
                <c:pt idx="3">
                  <c:v>12.825000000000001</c:v>
                </c:pt>
                <c:pt idx="4">
                  <c:v>17.100000000000001</c:v>
                </c:pt>
                <c:pt idx="5">
                  <c:v>21.375</c:v>
                </c:pt>
                <c:pt idx="6">
                  <c:v>25.65</c:v>
                </c:pt>
                <c:pt idx="7">
                  <c:v>29.924999999999997</c:v>
                </c:pt>
                <c:pt idx="8">
                  <c:v>34.199999999999996</c:v>
                </c:pt>
                <c:pt idx="9">
                  <c:v>38.474999999999994</c:v>
                </c:pt>
                <c:pt idx="10">
                  <c:v>42.749999999999993</c:v>
                </c:pt>
                <c:pt idx="11">
                  <c:v>47.024999999999991</c:v>
                </c:pt>
                <c:pt idx="12">
                  <c:v>51.29999999999999</c:v>
                </c:pt>
                <c:pt idx="13">
                  <c:v>55.574999999999989</c:v>
                </c:pt>
                <c:pt idx="14">
                  <c:v>59.849999999999987</c:v>
                </c:pt>
                <c:pt idx="15">
                  <c:v>64.124999999999986</c:v>
                </c:pt>
                <c:pt idx="16">
                  <c:v>68.399999999999991</c:v>
                </c:pt>
                <c:pt idx="17">
                  <c:v>72.674999999999997</c:v>
                </c:pt>
                <c:pt idx="18">
                  <c:v>76.95</c:v>
                </c:pt>
                <c:pt idx="19">
                  <c:v>81.225000000000009</c:v>
                </c:pt>
                <c:pt idx="20">
                  <c:v>85.500000000000014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4.2750000000000004</c:v>
                </c:pt>
                <c:pt idx="2">
                  <c:v>8.5500000000000007</c:v>
                </c:pt>
                <c:pt idx="3">
                  <c:v>12.825000000000001</c:v>
                </c:pt>
                <c:pt idx="4">
                  <c:v>17.100000000000001</c:v>
                </c:pt>
                <c:pt idx="5">
                  <c:v>21.375</c:v>
                </c:pt>
                <c:pt idx="6">
                  <c:v>25.65</c:v>
                </c:pt>
                <c:pt idx="7">
                  <c:v>29.924999999999997</c:v>
                </c:pt>
                <c:pt idx="8">
                  <c:v>34.199999999999996</c:v>
                </c:pt>
                <c:pt idx="9">
                  <c:v>38.474999999999994</c:v>
                </c:pt>
                <c:pt idx="10">
                  <c:v>42.749999999999993</c:v>
                </c:pt>
                <c:pt idx="11">
                  <c:v>47.024999999999991</c:v>
                </c:pt>
                <c:pt idx="12">
                  <c:v>51.29999999999999</c:v>
                </c:pt>
                <c:pt idx="13">
                  <c:v>55.574999999999989</c:v>
                </c:pt>
                <c:pt idx="14">
                  <c:v>59.849999999999987</c:v>
                </c:pt>
                <c:pt idx="15">
                  <c:v>64.124999999999986</c:v>
                </c:pt>
                <c:pt idx="16">
                  <c:v>68.399999999999991</c:v>
                </c:pt>
                <c:pt idx="17">
                  <c:v>72.674999999999997</c:v>
                </c:pt>
                <c:pt idx="18">
                  <c:v>76.95</c:v>
                </c:pt>
                <c:pt idx="19">
                  <c:v>81.225000000000009</c:v>
                </c:pt>
                <c:pt idx="20">
                  <c:v>85.500000000000014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4.2750000000000004</c:v>
                </c:pt>
                <c:pt idx="2">
                  <c:v>8.5500000000000007</c:v>
                </c:pt>
                <c:pt idx="3">
                  <c:v>12.825000000000001</c:v>
                </c:pt>
                <c:pt idx="4">
                  <c:v>17.100000000000001</c:v>
                </c:pt>
                <c:pt idx="5">
                  <c:v>21.375</c:v>
                </c:pt>
                <c:pt idx="6">
                  <c:v>25.65</c:v>
                </c:pt>
                <c:pt idx="7">
                  <c:v>29.924999999999997</c:v>
                </c:pt>
                <c:pt idx="8">
                  <c:v>34.199999999999996</c:v>
                </c:pt>
                <c:pt idx="9">
                  <c:v>38.474999999999994</c:v>
                </c:pt>
                <c:pt idx="10">
                  <c:v>42.749999999999993</c:v>
                </c:pt>
                <c:pt idx="11">
                  <c:v>47.024999999999991</c:v>
                </c:pt>
                <c:pt idx="12">
                  <c:v>51.29999999999999</c:v>
                </c:pt>
                <c:pt idx="13">
                  <c:v>55.574999999999989</c:v>
                </c:pt>
                <c:pt idx="14">
                  <c:v>59.849999999999987</c:v>
                </c:pt>
                <c:pt idx="15">
                  <c:v>64.124999999999986</c:v>
                </c:pt>
                <c:pt idx="16">
                  <c:v>68.399999999999991</c:v>
                </c:pt>
                <c:pt idx="17">
                  <c:v>72.674999999999997</c:v>
                </c:pt>
                <c:pt idx="18">
                  <c:v>76.95</c:v>
                </c:pt>
                <c:pt idx="19">
                  <c:v>81.225000000000009</c:v>
                </c:pt>
                <c:pt idx="20">
                  <c:v>85.500000000000014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topLeftCell="A19" zoomScale="115" zoomScaleNormal="115" workbookViewId="0">
      <selection activeCell="H17" sqref="H17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9.85546875" customWidth="1"/>
    <col min="7" max="7" width="13.140625" customWidth="1"/>
    <col min="8" max="8" width="12.28515625" customWidth="1"/>
    <col min="9" max="9" width="10.85546875" bestFit="1" customWidth="1"/>
    <col min="10" max="10" width="11.28515625" customWidth="1"/>
    <col min="11" max="11" width="12.28515625" bestFit="1" customWidth="1"/>
    <col min="12" max="12" width="10.28515625" bestFit="1" customWidth="1"/>
    <col min="20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7.24</v>
      </c>
      <c r="H1" t="s">
        <v>49</v>
      </c>
      <c r="I1" s="25">
        <v>43959</v>
      </c>
      <c r="J1" s="19"/>
      <c r="K1" s="19"/>
      <c r="L1" s="19"/>
    </row>
    <row r="2" spans="1:12" x14ac:dyDescent="0.2">
      <c r="A2" t="s">
        <v>63</v>
      </c>
      <c r="H2" t="s">
        <v>50</v>
      </c>
      <c r="I2" s="26">
        <v>7.24</v>
      </c>
      <c r="J2" s="19"/>
      <c r="K2" s="19"/>
      <c r="L2" s="19"/>
    </row>
    <row r="3" spans="1:12" ht="15" x14ac:dyDescent="0.25">
      <c r="A3" s="27" t="s">
        <v>51</v>
      </c>
      <c r="B3" s="33" t="s">
        <v>52</v>
      </c>
      <c r="C3" s="34"/>
      <c r="D3" s="34"/>
      <c r="E3" s="35"/>
      <c r="H3" t="s">
        <v>53</v>
      </c>
      <c r="I3" s="19" t="s">
        <v>52</v>
      </c>
      <c r="J3" s="19"/>
      <c r="K3" s="19"/>
      <c r="L3" s="19"/>
    </row>
    <row r="4" spans="1:12" ht="15" x14ac:dyDescent="0.25">
      <c r="A4" s="27" t="s">
        <v>54</v>
      </c>
      <c r="B4" s="33" t="s">
        <v>55</v>
      </c>
      <c r="C4" s="34"/>
      <c r="D4" s="34"/>
      <c r="E4" s="35"/>
      <c r="H4" t="s">
        <v>56</v>
      </c>
      <c r="I4" s="19" t="s">
        <v>55</v>
      </c>
      <c r="J4" s="19"/>
      <c r="K4" s="19"/>
      <c r="L4" s="19"/>
    </row>
    <row r="5" spans="1:12" ht="15" x14ac:dyDescent="0.25">
      <c r="A5" s="27" t="s">
        <v>57</v>
      </c>
      <c r="B5" s="33" t="s">
        <v>58</v>
      </c>
      <c r="C5" s="34"/>
      <c r="D5" s="34"/>
      <c r="E5" s="35"/>
      <c r="H5" t="s">
        <v>59</v>
      </c>
      <c r="I5" s="19" t="s">
        <v>58</v>
      </c>
      <c r="J5" s="19"/>
      <c r="K5" s="19"/>
      <c r="L5" s="19"/>
    </row>
    <row r="6" spans="1:12" x14ac:dyDescent="0.2">
      <c r="A6" s="28" t="s">
        <v>60</v>
      </c>
      <c r="B6" s="36" t="s">
        <v>61</v>
      </c>
      <c r="C6" s="37"/>
      <c r="D6" s="37"/>
      <c r="E6" s="38"/>
      <c r="H6" s="29" t="s">
        <v>62</v>
      </c>
      <c r="I6" s="30" t="s">
        <v>61</v>
      </c>
      <c r="J6" s="30"/>
      <c r="K6" s="30"/>
      <c r="L6" s="30"/>
    </row>
    <row r="7" spans="1:12" x14ac:dyDescent="0.2">
      <c r="A7" s="31"/>
      <c r="B7" s="39"/>
      <c r="C7" s="40"/>
      <c r="D7" s="40"/>
      <c r="E7" s="41"/>
      <c r="H7" s="29"/>
      <c r="I7" s="30"/>
      <c r="J7" s="30"/>
      <c r="K7" s="30"/>
      <c r="L7" s="30"/>
    </row>
    <row r="8" spans="1:12" x14ac:dyDescent="0.2">
      <c r="A8" s="32"/>
      <c r="B8" s="42"/>
      <c r="C8" s="43"/>
      <c r="D8" s="43"/>
      <c r="E8" s="44"/>
      <c r="H8" s="29"/>
      <c r="I8" s="30"/>
      <c r="J8" s="30"/>
      <c r="K8" s="30"/>
      <c r="L8" s="30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6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6" ht="18.75" x14ac:dyDescent="0.35">
      <c r="B18" s="13" t="s">
        <v>30</v>
      </c>
      <c r="C18" s="2">
        <v>1.2</v>
      </c>
      <c r="D18" s="12" t="s">
        <v>22</v>
      </c>
    </row>
    <row r="19" spans="1:6" ht="18" x14ac:dyDescent="0.35">
      <c r="B19" s="21" t="s">
        <v>47</v>
      </c>
      <c r="C19" s="2">
        <v>1</v>
      </c>
      <c r="D19" s="12" t="s">
        <v>46</v>
      </c>
    </row>
    <row r="20" spans="1:6" x14ac:dyDescent="0.2">
      <c r="B20" s="3"/>
      <c r="C20" s="4"/>
    </row>
    <row r="21" spans="1:6" ht="15.75" x14ac:dyDescent="0.3">
      <c r="B21" s="15" t="s">
        <v>32</v>
      </c>
      <c r="C21" s="2">
        <v>50</v>
      </c>
      <c r="D21" s="22" t="s">
        <v>3</v>
      </c>
    </row>
    <row r="22" spans="1:6" ht="15.75" x14ac:dyDescent="0.3">
      <c r="B22" s="15" t="s">
        <v>34</v>
      </c>
      <c r="C22" s="2">
        <v>10</v>
      </c>
      <c r="D22" s="22" t="s">
        <v>33</v>
      </c>
    </row>
    <row r="23" spans="1:6" x14ac:dyDescent="0.2">
      <c r="A23" s="1" t="s">
        <v>45</v>
      </c>
    </row>
    <row r="24" spans="1:6" ht="15.75" x14ac:dyDescent="0.3">
      <c r="B24" s="16" t="s">
        <v>38</v>
      </c>
      <c r="C24" s="2">
        <v>50</v>
      </c>
      <c r="D24" s="16" t="s">
        <v>3</v>
      </c>
    </row>
    <row r="25" spans="1:6" ht="15.75" x14ac:dyDescent="0.3">
      <c r="B25" s="16" t="s">
        <v>39</v>
      </c>
      <c r="C25" s="2">
        <v>2000</v>
      </c>
      <c r="D25" s="16" t="s">
        <v>4</v>
      </c>
    </row>
    <row r="26" spans="1:6" x14ac:dyDescent="0.2">
      <c r="B26" s="16" t="s">
        <v>35</v>
      </c>
      <c r="C26" s="2">
        <v>45</v>
      </c>
      <c r="D26" s="16" t="s">
        <v>5</v>
      </c>
    </row>
    <row r="27" spans="1:6" x14ac:dyDescent="0.2">
      <c r="B27" s="16" t="s">
        <v>36</v>
      </c>
      <c r="C27" s="11" cm="1">
        <f t="array" ref="C27">[1]!ESP_id_by_rate(Q_ESP_)</f>
        <v>1005</v>
      </c>
      <c r="D27" s="16"/>
    </row>
    <row r="28" spans="1:6" x14ac:dyDescent="0.2">
      <c r="B28" s="16" t="s">
        <v>37</v>
      </c>
      <c r="C28" s="11" t="str" cm="1">
        <f t="array" ref="C28">[1]!ESP_name(PumpID_)</f>
        <v>ЭЦН5-50</v>
      </c>
      <c r="D28" s="16"/>
    </row>
    <row r="29" spans="1:6" ht="15.75" x14ac:dyDescent="0.3">
      <c r="B29" s="16" t="s">
        <v>40</v>
      </c>
      <c r="C29" s="11" cm="1">
        <f t="array" ref="C29">[1]!ESP_rate_max_sm3day(Freq_,PumpID_)</f>
        <v>85.5</v>
      </c>
      <c r="D29" s="16"/>
    </row>
    <row r="30" spans="1:6" x14ac:dyDescent="0.2">
      <c r="B30" s="16" t="s">
        <v>9</v>
      </c>
      <c r="C30" s="11">
        <v>100</v>
      </c>
      <c r="D30" s="16" t="s">
        <v>6</v>
      </c>
    </row>
    <row r="31" spans="1:6" ht="15.75" x14ac:dyDescent="0.3">
      <c r="B31" s="16" t="s">
        <v>41</v>
      </c>
      <c r="C31" s="5">
        <v>0.8</v>
      </c>
      <c r="D31" s="16"/>
    </row>
    <row r="32" spans="1:6" ht="15.75" x14ac:dyDescent="0.3">
      <c r="B32" s="16" t="s">
        <v>42</v>
      </c>
      <c r="C32" s="7">
        <v>80</v>
      </c>
      <c r="D32" s="16" t="s">
        <v>1</v>
      </c>
    </row>
    <row r="33" spans="1:6" ht="15.75" x14ac:dyDescent="0.3">
      <c r="B33" s="16" t="s">
        <v>43</v>
      </c>
      <c r="C33" s="7">
        <v>80</v>
      </c>
      <c r="D33" s="16" t="s">
        <v>2</v>
      </c>
    </row>
    <row r="34" spans="1:6" x14ac:dyDescent="0.2">
      <c r="B34" s="20" t="s">
        <v>44</v>
      </c>
      <c r="C34" s="2">
        <v>1</v>
      </c>
      <c r="D34" s="20" t="s">
        <v>31</v>
      </c>
    </row>
    <row r="35" spans="1:6" x14ac:dyDescent="0.2">
      <c r="A35" t="s">
        <v>48</v>
      </c>
    </row>
    <row r="36" spans="1:6" x14ac:dyDescent="0.2">
      <c r="B36" s="16" t="s">
        <v>7</v>
      </c>
      <c r="C36" s="2">
        <v>20</v>
      </c>
      <c r="D36" s="16"/>
    </row>
    <row r="37" spans="1:6" x14ac:dyDescent="0.2">
      <c r="A37" s="1"/>
    </row>
    <row r="39" spans="1:6" ht="12.75" customHeight="1" x14ac:dyDescent="0.2">
      <c r="A39" t="s">
        <v>14</v>
      </c>
    </row>
    <row r="40" spans="1:6" x14ac:dyDescent="0.2">
      <c r="A40" t="s">
        <v>10</v>
      </c>
    </row>
    <row r="42" spans="1:6" ht="25.5" x14ac:dyDescent="0.2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">
      <c r="C43" s="6">
        <v>1</v>
      </c>
      <c r="D43" s="23" cm="1">
        <f t="array" ref="D43">[1]!ESP_head_m(C43,NumStage_,Freq_,PumpID_,mu)</f>
        <v>525.7166666666667</v>
      </c>
      <c r="E43" s="24" cm="1">
        <f t="array" ref="E43">[1]!ESP_eff_fr(C43,NumStage_,Freq_,PumpID_,mu)</f>
        <v>1.7098765432098768E-2</v>
      </c>
      <c r="F43" s="23" cm="1">
        <f t="array" ref="F43">[1]!ESP_power_W(C43,NumStage_,Freq_,PumpID_,mu)</f>
        <v>4039.5642857142848</v>
      </c>
    </row>
    <row r="44" spans="1:6" x14ac:dyDescent="0.2">
      <c r="C44" s="6">
        <f>Qmax_/20</f>
        <v>4.2750000000000004</v>
      </c>
      <c r="D44" s="23" cm="1">
        <f t="array" ref="D44">[1]!ESP_head_m(C44,NumStage_,Freq_,PumpID_,mu)</f>
        <v>522.68456250000008</v>
      </c>
      <c r="E44" s="24" cm="1">
        <f t="array" ref="E44">[1]!ESP_eff_fr(C44,NumStage_,Freq_,PumpID_,mu)</f>
        <v>7.1368750000000022E-2</v>
      </c>
      <c r="F44" s="23" cm="1">
        <f t="array" ref="F44">[1]!ESP_power_W(C44,NumStage_,Freq_,PumpID_,mu)</f>
        <v>3917.8781517857133</v>
      </c>
    </row>
    <row r="45" spans="1:6" x14ac:dyDescent="0.2">
      <c r="C45" s="6">
        <f t="shared" ref="C45:C63" si="0">C44+Qmax_/20</f>
        <v>8.5500000000000007</v>
      </c>
      <c r="D45" s="23" cm="1">
        <f t="array" ref="D45">[1]!ESP_head_m(C45,NumStage_,Freq_,PumpID_,mu)</f>
        <v>517.65075000000002</v>
      </c>
      <c r="E45" s="24" cm="1">
        <f t="array" ref="E45">[1]!ESP_eff_fr(C45,NumStage_,Freq_,PumpID_,mu)</f>
        <v>0.13822500000000004</v>
      </c>
      <c r="F45" s="23" cm="1">
        <f t="array" ref="F45">[1]!ESP_power_W(C45,NumStage_,Freq_,PumpID_,mu)</f>
        <v>3801.9172499999991</v>
      </c>
    </row>
    <row r="46" spans="1:6" x14ac:dyDescent="0.2">
      <c r="C46" s="6">
        <f t="shared" si="0"/>
        <v>12.825000000000001</v>
      </c>
      <c r="D46" s="23" cm="1">
        <f t="array" ref="D46">[1]!ESP_head_m(C46,NumStage_,Freq_,PumpID_,mu)</f>
        <v>511.39856249999997</v>
      </c>
      <c r="E46" s="24" cm="1">
        <f t="array" ref="E46">[1]!ESP_eff_fr(C46,NumStage_,Freq_,PumpID_,mu)</f>
        <v>0.20056875000000005</v>
      </c>
      <c r="F46" s="23" cm="1">
        <f t="array" ref="F46">[1]!ESP_power_W(C46,NumStage_,Freq_,PumpID_,mu)</f>
        <v>3734.5172946428561</v>
      </c>
    </row>
    <row r="47" spans="1:6" x14ac:dyDescent="0.2">
      <c r="C47" s="6">
        <f t="shared" si="0"/>
        <v>17.100000000000001</v>
      </c>
      <c r="D47" s="23" cm="1">
        <f t="array" ref="D47">[1]!ESP_head_m(C47,NumStage_,Freq_,PumpID_,mu)</f>
        <v>503.92800000000005</v>
      </c>
      <c r="E47" s="24" cm="1">
        <f t="array" ref="E47">[1]!ESP_eff_fr(C47,NumStage_,Freq_,PumpID_,mu)</f>
        <v>0.25840000000000007</v>
      </c>
      <c r="F47" s="23" cm="1">
        <f t="array" ref="F47">[1]!ESP_power_W(C47,NumStage_,Freq_,PumpID_,mu)</f>
        <v>3715.6782857142848</v>
      </c>
    </row>
    <row r="48" spans="1:6" x14ac:dyDescent="0.2">
      <c r="C48" s="6">
        <f t="shared" si="0"/>
        <v>21.375</v>
      </c>
      <c r="D48" s="23" cm="1">
        <f t="array" ref="D48">[1]!ESP_head_m(C48,NumStage_,Freq_,PumpID_,mu)</f>
        <v>495.24960937499998</v>
      </c>
      <c r="E48" s="24" cm="1">
        <f t="array" ref="E48">[1]!ESP_eff_fr(C48,NumStage_,Freq_,PumpID_,mu)</f>
        <v>0.31211641905737708</v>
      </c>
      <c r="F48" s="23" cm="1">
        <f t="array" ref="F48">[1]!ESP_power_W(C48,NumStage_,Freq_,PumpID_,mu)</f>
        <v>3753.723515624999</v>
      </c>
    </row>
    <row r="49" spans="3:7" x14ac:dyDescent="0.2">
      <c r="C49" s="6">
        <f t="shared" si="0"/>
        <v>25.65</v>
      </c>
      <c r="D49" s="23" cm="1">
        <f t="array" ref="D49">[1]!ESP_head_m(C49,NumStage_,Freq_,PumpID_,mu)</f>
        <v>485.3630583333333</v>
      </c>
      <c r="E49" s="24" cm="1">
        <f t="array" ref="E49">[1]!ESP_eff_fr(C49,NumStage_,Freq_,PumpID_,mu)</f>
        <v>0.36170547814207649</v>
      </c>
      <c r="F49" s="23" cm="1">
        <f t="array" ref="F49">[1]!ESP_power_W(C49,NumStage_,Freq_,PumpID_,mu)</f>
        <v>3848.3907492857138</v>
      </c>
    </row>
    <row r="50" spans="3:7" x14ac:dyDescent="0.2">
      <c r="C50" s="6">
        <f t="shared" si="0"/>
        <v>29.924999999999997</v>
      </c>
      <c r="D50" s="23" cm="1">
        <f t="array" ref="D50">[1]!ESP_head_m(C50,NumStage_,Freq_,PumpID_,mu)</f>
        <v>474.22654479166664</v>
      </c>
      <c r="E50" s="24" cm="1">
        <f t="array" ref="E50">[1]!ESP_eff_fr(C50,NumStage_,Freq_,PumpID_,mu)</f>
        <v>0.40559103312841527</v>
      </c>
      <c r="F50" s="23" cm="1">
        <f t="array" ref="F50">[1]!ESP_power_W(C50,NumStage_,Freq_,PumpID_,mu)</f>
        <v>3966.6909768749993</v>
      </c>
    </row>
    <row r="51" spans="3:7" x14ac:dyDescent="0.2">
      <c r="C51" s="6">
        <f t="shared" si="0"/>
        <v>34.199999999999996</v>
      </c>
      <c r="D51" s="23" cm="1">
        <f t="array" ref="D51">[1]!ESP_head_m(C51,NumStage_,Freq_,PumpID_,mu)</f>
        <v>461.41199999999998</v>
      </c>
      <c r="E51" s="24" cm="1">
        <f t="array" ref="E51">[1]!ESP_eff_fr(C51,NumStage_,Freq_,PumpID_,mu)</f>
        <v>0.44111085511741249</v>
      </c>
      <c r="F51" s="23" cm="1">
        <f t="array" ref="F51">[1]!ESP_power_W(C51,NumStage_,Freq_,PumpID_,mu)</f>
        <v>4079.0007771428564</v>
      </c>
    </row>
    <row r="52" spans="3:7" x14ac:dyDescent="0.2">
      <c r="C52" s="6">
        <f t="shared" si="0"/>
        <v>38.474999999999994</v>
      </c>
      <c r="D52" s="23" cm="1">
        <f t="array" ref="D52">[1]!ESP_head_m(C52,NumStage_,Freq_,PumpID_,mu)</f>
        <v>445.29030208333336</v>
      </c>
      <c r="E52" s="24" cm="1">
        <f t="array" ref="E52">[1]!ESP_eff_fr(C52,NumStage_,Freq_,PumpID_,mu)</f>
        <v>0.46440002584551759</v>
      </c>
      <c r="F52" s="23" cm="1">
        <f t="array" ref="F52">[1]!ESP_power_W(C52,NumStage_,Freq_,PumpID_,mu)</f>
        <v>4187.4136167857132</v>
      </c>
    </row>
    <row r="53" spans="3:7" x14ac:dyDescent="0.2">
      <c r="C53" s="6">
        <f t="shared" si="0"/>
        <v>42.749999999999993</v>
      </c>
      <c r="D53" s="23" cm="1">
        <f t="array" ref="D53">[1]!ESP_head_m(C53,NumStage_,Freq_,PumpID_,mu)</f>
        <v>425.31041666666664</v>
      </c>
      <c r="E53" s="24" cm="1">
        <f t="array" ref="E53">[1]!ESP_eff_fr(C53,NumStage_,Freq_,PumpID_,mu)</f>
        <v>0.47699675084920984</v>
      </c>
      <c r="F53" s="23" cm="1">
        <f t="array" ref="F53">[1]!ESP_power_W(C53,NumStage_,Freq_,PumpID_,mu)</f>
        <v>4304.619642857142</v>
      </c>
    </row>
    <row r="54" spans="3:7" x14ac:dyDescent="0.2">
      <c r="C54" s="6">
        <f t="shared" si="0"/>
        <v>47.024999999999991</v>
      </c>
      <c r="D54" s="23" cm="1">
        <f t="array" ref="D54">[1]!ESP_head_m(C54,NumStage_,Freq_,PumpID_,mu)</f>
        <v>401.00505468750004</v>
      </c>
      <c r="E54" s="24" cm="1">
        <f t="array" ref="E54">[1]!ESP_eff_fr(C54,NumStage_,Freq_,PumpID_,mu)</f>
        <v>0.48045148319050757</v>
      </c>
      <c r="F54" s="23" cm="1">
        <f t="array" ref="F54">[1]!ESP_power_W(C54,NumStage_,Freq_,PumpID_,mu)</f>
        <v>4439.6099999999988</v>
      </c>
    </row>
    <row r="55" spans="3:7" x14ac:dyDescent="0.2">
      <c r="C55" s="6">
        <f t="shared" si="0"/>
        <v>51.29999999999999</v>
      </c>
      <c r="D55" s="23" cm="1">
        <f t="array" ref="D55">[1]!ESP_head_m(C55,NumStage_,Freq_,PumpID_,mu)</f>
        <v>372.19200000000001</v>
      </c>
      <c r="E55" s="24" cm="1">
        <f t="array" ref="E55">[1]!ESP_eff_fr(C55,NumStage_,Freq_,PumpID_,mu)</f>
        <v>0.4735322249078347</v>
      </c>
      <c r="F55" s="23" cm="1">
        <f t="array" ref="F55">[1]!ESP_power_W(C55,NumStage_,Freq_,PumpID_,mu)</f>
        <v>4578.119999999999</v>
      </c>
    </row>
    <row r="56" spans="3:7" x14ac:dyDescent="0.2">
      <c r="C56" s="6">
        <f t="shared" si="0"/>
        <v>55.574999999999989</v>
      </c>
      <c r="D56" s="23" cm="1">
        <f t="array" ref="D56">[1]!ESP_head_m(C56,NumStage_,Freq_,PumpID_,mu)</f>
        <v>339.72382031250004</v>
      </c>
      <c r="E56" s="24" cm="1">
        <f t="array" ref="E56">[1]!ESP_eff_fr(C56,NumStage_,Freq_,PumpID_,mu)</f>
        <v>0.45671607216973076</v>
      </c>
      <c r="F56" s="23" cm="1">
        <f t="array" ref="F56">[1]!ESP_power_W(C56,NumStage_,Freq_,PumpID_,mu)</f>
        <v>4716.6299999999983</v>
      </c>
    </row>
    <row r="57" spans="3:7" x14ac:dyDescent="0.2">
      <c r="C57" s="6">
        <f t="shared" si="0"/>
        <v>59.849999999999987</v>
      </c>
      <c r="D57" s="23" cm="1">
        <f t="array" ref="D57">[1]!ESP_head_m(C57,NumStage_,Freq_,PumpID_,mu)</f>
        <v>304.49689955357155</v>
      </c>
      <c r="E57" s="24" cm="1">
        <f t="array" ref="E57">[1]!ESP_eff_fr(C57,NumStage_,Freq_,PumpID_,mu)</f>
        <v>0.43092401676829278</v>
      </c>
      <c r="F57" s="23" cm="1">
        <f t="array" ref="F57">[1]!ESP_power_W(C57,NumStage_,Freq_,PumpID_,mu)</f>
        <v>4855.1399999999985</v>
      </c>
    </row>
    <row r="58" spans="3:7" x14ac:dyDescent="0.2">
      <c r="C58" s="6">
        <f t="shared" si="0"/>
        <v>64.124999999999986</v>
      </c>
      <c r="D58" s="23" cm="1">
        <f t="array" ref="D58">[1]!ESP_head_m(C58,NumStage_,Freq_,PumpID_,mu)</f>
        <v>266.48694893973226</v>
      </c>
      <c r="E58" s="24" cm="1">
        <f t="array" ref="E58">[1]!ESP_eff_fr(C58,NumStage_,Freq_,PumpID_,mu)</f>
        <v>0.39355909394054889</v>
      </c>
      <c r="F58" s="23" cm="1">
        <f t="array" ref="F58">[1]!ESP_power_W(C58,NumStage_,Freq_,PumpID_,mu)</f>
        <v>4993.6499999999996</v>
      </c>
    </row>
    <row r="59" spans="3:7" x14ac:dyDescent="0.2">
      <c r="C59" s="6">
        <f t="shared" si="0"/>
        <v>68.399999999999991</v>
      </c>
      <c r="D59" s="23" cm="1">
        <f t="array" ref="D59">[1]!ESP_head_m(C59,NumStage_,Freq_,PumpID_,mu)</f>
        <v>226.2995357142857</v>
      </c>
      <c r="E59" s="24" cm="1">
        <f t="array" ref="E59">[1]!ESP_eff_fr(C59,NumStage_,Freq_,PumpID_,mu)</f>
        <v>0.33595749999999996</v>
      </c>
      <c r="F59" s="23" cm="1">
        <f t="array" ref="F59">[1]!ESP_power_W(C59,NumStage_,Freq_,PumpID_,mu)</f>
        <v>5128.7336999999998</v>
      </c>
    </row>
    <row r="60" spans="3:7" x14ac:dyDescent="0.2">
      <c r="C60" s="6">
        <f t="shared" si="0"/>
        <v>72.674999999999997</v>
      </c>
      <c r="D60" s="23" cm="1">
        <f t="array" ref="D60">[1]!ESP_head_m(C60,NumStage_,Freq_,PumpID_,mu)</f>
        <v>183.05724274553569</v>
      </c>
      <c r="E60" s="24" cm="1">
        <f t="array" ref="E60">[1]!ESP_eff_fr(C60,NumStage_,Freq_,PumpID_,mu)</f>
        <v>0.26244457031250001</v>
      </c>
      <c r="F60" s="23" cm="1">
        <f t="array" ref="F60">[1]!ESP_power_W(C60,NumStage_,Freq_,PumpID_,mu)</f>
        <v>5191.7341078124991</v>
      </c>
    </row>
    <row r="61" spans="3:7" x14ac:dyDescent="0.2">
      <c r="C61" s="6">
        <f t="shared" si="0"/>
        <v>76.95</v>
      </c>
      <c r="D61" s="23" cm="1">
        <f t="array" ref="D61">[1]!ESP_head_m(C61,NumStage_,Freq_,PumpID_,mu)</f>
        <v>131.77687500000002</v>
      </c>
      <c r="E61" s="24" cm="1">
        <f t="array" ref="E61">[1]!ESP_eff_fr(C61,NumStage_,Freq_,PumpID_,mu)</f>
        <v>0.1812125</v>
      </c>
      <c r="F61" s="23" cm="1">
        <f t="array" ref="F61">[1]!ESP_power_W(C61,NumStage_,Freq_,PumpID_,mu)</f>
        <v>5259.9172499999986</v>
      </c>
    </row>
    <row r="62" spans="3:7" x14ac:dyDescent="0.2">
      <c r="C62" s="6">
        <f t="shared" si="0"/>
        <v>81.225000000000009</v>
      </c>
      <c r="D62" s="23" cm="1">
        <f t="array" ref="D62">[1]!ESP_head_m(C62,NumStage_,Freq_,PumpID_,mu)</f>
        <v>70.457343749999808</v>
      </c>
      <c r="E62" s="24" cm="1">
        <f t="array" ref="E62">[1]!ESP_eff_fr(C62,NumStage_,Freq_,PumpID_,mu)</f>
        <v>9.3990624999999731E-2</v>
      </c>
      <c r="F62" s="23" cm="1">
        <f t="array" ref="F62">[1]!ESP_power_W(C62,NumStage_,Freq_,PumpID_,mu)</f>
        <v>5383.7105624999995</v>
      </c>
    </row>
    <row r="63" spans="3:7" x14ac:dyDescent="0.2">
      <c r="C63" s="6">
        <f t="shared" si="0"/>
        <v>85.500000000000014</v>
      </c>
      <c r="D63" s="23" cm="1">
        <f t="array" ref="D63">[1]!ESP_head_m(C63,NumStage_,Freq_,PumpID_,mu)</f>
        <v>-2.240385611404494E-13</v>
      </c>
      <c r="E63" s="24" cm="1">
        <f t="array" ref="E63">[1]!ESP_eff_fr(C63,NumStage_,Freq_,PumpID_,mu)</f>
        <v>0</v>
      </c>
      <c r="F63" s="23" cm="1">
        <f t="array" ref="F63">[1]!ESP_power_W(C63,NumStage_,Freq_,PumpID_,mu)</f>
        <v>5540.3999999999987</v>
      </c>
    </row>
    <row r="64" spans="3:7" x14ac:dyDescent="0.2">
      <c r="C64" s="23"/>
      <c r="D64" s="23"/>
      <c r="E64" s="24"/>
      <c r="F64" s="23"/>
      <c r="G64" s="8"/>
    </row>
    <row r="65" spans="3:7" x14ac:dyDescent="0.2">
      <c r="C65" s="23"/>
      <c r="D65" s="23"/>
      <c r="E65" s="24"/>
      <c r="F65" s="23"/>
      <c r="G65" s="8"/>
    </row>
    <row r="66" spans="3:7" x14ac:dyDescent="0.2">
      <c r="C66" s="23"/>
      <c r="D66" s="23"/>
      <c r="E66" s="24"/>
      <c r="F66" s="23"/>
      <c r="G66" s="8"/>
    </row>
    <row r="67" spans="3:7" x14ac:dyDescent="0.2">
      <c r="C67" s="23"/>
      <c r="D67" s="23"/>
      <c r="E67" s="24"/>
      <c r="F67" s="23"/>
      <c r="G67" s="8"/>
    </row>
    <row r="68" spans="3:7" x14ac:dyDescent="0.2">
      <c r="C68" s="23"/>
      <c r="D68" s="23"/>
      <c r="E68" s="24"/>
      <c r="F68" s="23"/>
    </row>
    <row r="69" spans="3:7" x14ac:dyDescent="0.2">
      <c r="C69" s="23"/>
      <c r="D69" s="23"/>
      <c r="E69" s="24"/>
      <c r="F69" s="23"/>
    </row>
    <row r="70" spans="3:7" x14ac:dyDescent="0.2">
      <c r="C70" s="23"/>
      <c r="D70" s="23"/>
      <c r="E70" s="24"/>
      <c r="F70" s="23"/>
    </row>
    <row r="71" spans="3:7" x14ac:dyDescent="0.2">
      <c r="C71" s="23"/>
      <c r="D71" s="23"/>
      <c r="E71" s="24"/>
      <c r="F71" s="23"/>
    </row>
    <row r="72" spans="3:7" x14ac:dyDescent="0.2">
      <c r="C72" s="23"/>
      <c r="D72" s="23"/>
      <c r="E72" s="24"/>
      <c r="F72" s="23"/>
    </row>
    <row r="73" spans="3:7" x14ac:dyDescent="0.2">
      <c r="C73" s="23"/>
      <c r="D73" s="23"/>
      <c r="E73" s="24"/>
      <c r="F73" s="23"/>
    </row>
    <row r="74" spans="3:7" x14ac:dyDescent="0.2">
      <c r="C74" s="23"/>
      <c r="D74" s="23"/>
      <c r="E74" s="24"/>
      <c r="F74" s="2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2020-05-08T20:21:01Z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