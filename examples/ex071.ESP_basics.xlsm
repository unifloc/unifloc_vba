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6E8B3CD7-2293-46EB-917A-F73586A24EE2}" xr6:coauthVersionLast="46" xr6:coauthVersionMax="46" xr10:uidLastSave="{00000000-0000-0000-0000-000000000000}"/>
  <bookViews>
    <workbookView xWindow="-96" yWindow="-96" windowWidth="23232" windowHeight="13992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Freq_" localSheetId="0">exercise_ESP!$C$26</definedName>
    <definedName name="fw_" localSheetId="0">exercise_ESP!$C$22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Head_ESP_" localSheetId="0">exercise_ESP!$C$25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Pb_" localSheetId="0">exercise_ESP!$C$16</definedName>
    <definedName name="PKsep">exercise_ESP!$C$32</definedName>
    <definedName name="PumpID_" localSheetId="0">exercise_ESP!$C$27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Ksep_">exercise_ESP!$C$33</definedName>
    <definedName name="Tres_" localSheetId="0">exercise_ESP!$C$17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0" l="1"/>
  <c r="E16" i="110"/>
  <c r="E15" i="110"/>
  <c r="E14" i="110"/>
  <c r="E13" i="110"/>
  <c r="E12" i="110"/>
  <c r="E11" i="110"/>
  <c r="G1" i="110"/>
  <c r="C27" i="110" a="1"/>
  <c r="L22" i="110" a="1"/>
  <c r="L21" i="110" a="1"/>
  <c r="L21" i="110" l="1"/>
  <c r="L22" i="110"/>
  <c r="C27" i="110"/>
  <c r="D43" i="110" a="1"/>
  <c r="C28" i="110" a="1"/>
  <c r="F43" i="110" a="1"/>
  <c r="Y17" i="110" a="1"/>
  <c r="E43" i="110" a="1"/>
  <c r="C29" i="110" a="1"/>
  <c r="D43" i="110" l="1"/>
  <c r="Y17" i="110"/>
  <c r="C28" i="110"/>
  <c r="F43" i="110"/>
  <c r="E43" i="110"/>
  <c r="C29" i="110"/>
  <c r="C44" i="110" s="1"/>
  <c r="E44" i="110" a="1"/>
  <c r="F44" i="110" a="1"/>
  <c r="D44" i="110" a="1"/>
  <c r="D44" i="110" l="1"/>
  <c r="E44" i="110"/>
  <c r="F44" i="110"/>
  <c r="C45" i="110"/>
  <c r="E45" i="110" a="1"/>
  <c r="D45" i="110" a="1"/>
  <c r="F45" i="110" a="1"/>
  <c r="D45" i="110" l="1"/>
  <c r="E45" i="110"/>
  <c r="F45" i="110"/>
  <c r="C46" i="110"/>
  <c r="E46" i="110" a="1"/>
  <c r="D46" i="110" a="1"/>
  <c r="F46" i="110" a="1"/>
  <c r="F46" i="110" l="1"/>
  <c r="D46" i="110"/>
  <c r="E46" i="110"/>
  <c r="C47" i="110"/>
  <c r="E47" i="110" a="1"/>
  <c r="D47" i="110" a="1"/>
  <c r="F47" i="110" a="1"/>
  <c r="F47" i="110" l="1"/>
  <c r="D47" i="110"/>
  <c r="E47" i="110"/>
  <c r="C48" i="110"/>
  <c r="D48" i="110" a="1"/>
  <c r="F48" i="110" a="1"/>
  <c r="E48" i="110" a="1"/>
  <c r="F48" i="110" l="1"/>
  <c r="D48" i="110"/>
  <c r="E48" i="110"/>
  <c r="C49" i="110"/>
  <c r="D49" i="110" a="1"/>
  <c r="E49" i="110" a="1"/>
  <c r="F49" i="110" a="1"/>
  <c r="E49" i="110" l="1"/>
  <c r="F49" i="110"/>
  <c r="D49" i="110"/>
  <c r="C50" i="110"/>
  <c r="F50" i="110" a="1"/>
  <c r="E50" i="110" a="1"/>
  <c r="D50" i="110" a="1"/>
  <c r="E50" i="110" l="1"/>
  <c r="D50" i="110"/>
  <c r="F50" i="110"/>
  <c r="C51" i="110"/>
  <c r="E51" i="110" a="1"/>
  <c r="F51" i="110" a="1"/>
  <c r="D51" i="110" a="1"/>
  <c r="D51" i="110" l="1"/>
  <c r="E51" i="110"/>
  <c r="F51" i="110"/>
  <c r="C52" i="110"/>
  <c r="D52" i="110" a="1"/>
  <c r="F52" i="110" a="1"/>
  <c r="E52" i="110" a="1"/>
  <c r="E52" i="110" l="1"/>
  <c r="F52" i="110"/>
  <c r="D52" i="110"/>
  <c r="C53" i="110"/>
  <c r="E53" i="110" a="1"/>
  <c r="D53" i="110" a="1"/>
  <c r="F53" i="110" a="1"/>
  <c r="D53" i="110" l="1"/>
  <c r="E53" i="110"/>
  <c r="F53" i="110"/>
  <c r="C54" i="110"/>
  <c r="D54" i="110" a="1"/>
  <c r="F54" i="110" a="1"/>
  <c r="E54" i="110" a="1"/>
  <c r="E54" i="110" l="1"/>
  <c r="F54" i="110"/>
  <c r="D54" i="110"/>
  <c r="C55" i="110"/>
  <c r="F55" i="110" a="1"/>
  <c r="E55" i="110" a="1"/>
  <c r="D55" i="110" a="1"/>
  <c r="D55" i="110" l="1"/>
  <c r="E55" i="110"/>
  <c r="F55" i="110"/>
  <c r="C56" i="110"/>
  <c r="F56" i="110" a="1"/>
  <c r="E56" i="110" a="1"/>
  <c r="D56" i="110" a="1"/>
  <c r="D56" i="110" l="1"/>
  <c r="E56" i="110"/>
  <c r="F56" i="110"/>
  <c r="C57" i="110"/>
  <c r="D57" i="110" a="1"/>
  <c r="F57" i="110" a="1"/>
  <c r="E57" i="110" a="1"/>
  <c r="D57" i="110" l="1"/>
  <c r="E57" i="110"/>
  <c r="F57" i="110"/>
  <c r="C58" i="110"/>
  <c r="E58" i="110" a="1"/>
  <c r="F58" i="110" a="1"/>
  <c r="D58" i="110" a="1"/>
  <c r="D58" i="110" l="1"/>
  <c r="E58" i="110"/>
  <c r="F58" i="110"/>
  <c r="C59" i="110"/>
  <c r="E59" i="110" a="1"/>
  <c r="F59" i="110" a="1"/>
  <c r="D59" i="110" a="1"/>
  <c r="F59" i="110" l="1"/>
  <c r="D59" i="110"/>
  <c r="E59" i="110"/>
  <c r="C60" i="110"/>
  <c r="E60" i="110" a="1"/>
  <c r="F60" i="110" a="1"/>
  <c r="D60" i="110" a="1"/>
  <c r="D60" i="110" l="1"/>
  <c r="E60" i="110"/>
  <c r="F60" i="110"/>
  <c r="C61" i="110"/>
  <c r="E61" i="110" a="1"/>
  <c r="D61" i="110" a="1"/>
  <c r="F61" i="110" a="1"/>
  <c r="E61" i="110" l="1"/>
  <c r="F61" i="110"/>
  <c r="D61" i="110"/>
  <c r="C62" i="110"/>
  <c r="E62" i="110" a="1"/>
  <c r="F62" i="110" a="1"/>
  <c r="D62" i="110" a="1"/>
  <c r="D62" i="110" l="1"/>
  <c r="E62" i="110"/>
  <c r="F62" i="110"/>
  <c r="C63" i="110"/>
  <c r="E63" i="110" a="1"/>
  <c r="F63" i="110" a="1"/>
  <c r="D63" i="110" a="1"/>
  <c r="D63" i="110" l="1"/>
  <c r="E63" i="110"/>
  <c r="F63" i="110"/>
  <c r="C64" i="110"/>
  <c r="D64" i="110" a="1"/>
  <c r="E64" i="110" a="1"/>
  <c r="F64" i="110" a="1"/>
  <c r="F64" i="110" l="1"/>
  <c r="D64" i="110"/>
  <c r="E64" i="110"/>
  <c r="C65" i="110"/>
  <c r="F65" i="110" a="1"/>
  <c r="E65" i="110" a="1"/>
  <c r="D65" i="110" a="1"/>
  <c r="D65" i="110" l="1"/>
  <c r="E65" i="110"/>
  <c r="F65" i="110"/>
  <c r="C66" i="110"/>
  <c r="E66" i="110" a="1"/>
  <c r="D66" i="110" a="1"/>
  <c r="F66" i="110" a="1"/>
  <c r="E66" i="110" l="1"/>
  <c r="F66" i="110"/>
  <c r="D66" i="110"/>
  <c r="C67" i="110"/>
  <c r="F67" i="110" a="1"/>
  <c r="E67" i="110" a="1"/>
  <c r="D67" i="110" a="1"/>
  <c r="D67" i="110" l="1"/>
  <c r="E67" i="110"/>
  <c r="F67" i="110"/>
  <c r="C68" i="110"/>
  <c r="F68" i="110" a="1"/>
  <c r="E68" i="110" a="1"/>
  <c r="D68" i="110" a="1"/>
  <c r="D68" i="110" l="1"/>
  <c r="E68" i="110"/>
  <c r="F68" i="110"/>
  <c r="C69" i="110"/>
  <c r="D69" i="110" a="1"/>
  <c r="F69" i="110" a="1"/>
  <c r="E69" i="110" a="1"/>
  <c r="D69" i="110" l="1"/>
  <c r="E69" i="110"/>
  <c r="F69" i="110"/>
  <c r="C70" i="110"/>
  <c r="F70" i="110" a="1"/>
  <c r="E70" i="110" a="1"/>
  <c r="D70" i="110" a="1"/>
  <c r="D70" i="110" l="1"/>
  <c r="E70" i="110"/>
  <c r="F70" i="110"/>
  <c r="C71" i="110"/>
  <c r="D71" i="110" a="1"/>
  <c r="E71" i="110" a="1"/>
  <c r="F71" i="110" a="1"/>
  <c r="F71" i="110" l="1"/>
  <c r="D71" i="110"/>
  <c r="E71" i="110"/>
  <c r="C72" i="110"/>
  <c r="F72" i="110" a="1"/>
  <c r="E72" i="110" a="1"/>
  <c r="D72" i="110" a="1"/>
  <c r="D72" i="110" l="1"/>
  <c r="E72" i="110"/>
  <c r="F72" i="110"/>
  <c r="C73" i="110"/>
  <c r="F73" i="110" a="1"/>
  <c r="D73" i="110" a="1"/>
  <c r="E73" i="110" a="1"/>
  <c r="E73" i="110" l="1"/>
  <c r="F73" i="110"/>
  <c r="D73" i="110"/>
  <c r="C74" i="110"/>
  <c r="F74" i="110" a="1"/>
  <c r="E74" i="110" a="1"/>
  <c r="D74" i="110" a="1"/>
  <c r="D74" i="110" l="1"/>
  <c r="E74" i="110"/>
  <c r="F74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<sst xmlns="http://schemas.openxmlformats.org/spreadsheetml/2006/main" count="75" uniqueCount="64">
  <si>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</si>
  <si>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</si>
  <si>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</si>
  <si>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</si>
  <si>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</si>
  <si>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</si>
  <si>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</si>
  <si>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</si>
  <si>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</si>
  <si>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</si>
  <si>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Характеристика насоса</t>
  </si>
  <si>
    <t>Напор, м</t>
  </si>
  <si>
    <t>КПД, д.е.</t>
  </si>
  <si>
    <t>Мощность, кВт</t>
  </si>
  <si>
    <t>Упражнение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</si>
  <si>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</si>
  <si>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</si>
  <si>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</si>
  <si>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</si>
  <si>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</si>
  <si>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</si>
  <si>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</si>
  <si>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</si>
  <si>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</si>
  <si>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</si>
  <si>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</si>
  <si>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</si>
  <si>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</si>
  <si>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</si>
  <si>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</si>
  <si>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</si>
  <si>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</si>
  <si>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Q</t>
    </r>
    <r>
      <rPr>
        <vertAlign val="subscript"/>
        <sz val="10"/>
        <rFont val="Arial Cyr"/>
        <charset val="204"/>
      </rPr>
      <t>liq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</si>
  <si>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</si>
  <si>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</si>
  <si>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</si>
  <si>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</si>
  <si>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</si>
  <si>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</si>
  <si>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</si>
  <si>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</si>
  <si>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</si>
  <si>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</si>
  <si>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</si>
  <si>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</si>
  <si>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</si>
  <si>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</si>
  <si>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</si>
  <si>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</si>
  <si>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</si>
  <si>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</si>
  <si>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</si>
  <si>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</si>
  <si>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</si>
  <si>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</si>
  <si>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</si>
  <si>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</si>
  <si>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</si>
  <si>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</si>
  <si>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</si>
  <si>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</si>
  <si>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</si>
  <si>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</si>
  <si>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Считывание данных по ЭЦН из базы данных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</si>
</sst>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45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  <c:pt idx="21">
                  <c:v>119.70000000000005</c:v>
                </c:pt>
                <c:pt idx="22">
                  <c:v>125.40000000000005</c:v>
                </c:pt>
                <c:pt idx="23">
                  <c:v>131.10000000000005</c:v>
                </c:pt>
                <c:pt idx="24">
                  <c:v>136.80000000000004</c:v>
                </c:pt>
                <c:pt idx="25">
                  <c:v>142.50000000000003</c:v>
                </c:pt>
                <c:pt idx="26">
                  <c:v>148.20000000000002</c:v>
                </c:pt>
                <c:pt idx="27">
                  <c:v>153.9</c:v>
                </c:pt>
                <c:pt idx="28">
                  <c:v>159.6</c:v>
                </c:pt>
                <c:pt idx="29">
                  <c:v>165.29999999999998</c:v>
                </c:pt>
                <c:pt idx="30">
                  <c:v>170.99999999999997</c:v>
                </c:pt>
                <c:pt idx="31">
                  <c:v>176.69999999999996</c:v>
                </c:pt>
              </c:numCache>
            </c:numRef>
          </c:xVal>
          <c:yVal>
            <c:numRef>
              <c:f>exercise_ESP!$D$43:$D$74</c:f>
              <c:numCache>
                <c:formatCode>0</c:formatCode>
                <c:ptCount val="32"/>
                <c:pt idx="0">
                  <c:v>934.96666666666658</c:v>
                </c:pt>
                <c:pt idx="1">
                  <c:v>929.2170000000001</c:v>
                </c:pt>
                <c:pt idx="2">
                  <c:v>920.26800000000003</c:v>
                </c:pt>
                <c:pt idx="3">
                  <c:v>909.15300000000002</c:v>
                </c:pt>
                <c:pt idx="4">
                  <c:v>895.87200000000007</c:v>
                </c:pt>
                <c:pt idx="5">
                  <c:v>880.44375000000002</c:v>
                </c:pt>
                <c:pt idx="6">
                  <c:v>862.8676592592592</c:v>
                </c:pt>
                <c:pt idx="7">
                  <c:v>843.06941296296293</c:v>
                </c:pt>
                <c:pt idx="8">
                  <c:v>820.2879999999999</c:v>
                </c:pt>
                <c:pt idx="9">
                  <c:v>791.62720370370357</c:v>
                </c:pt>
                <c:pt idx="10">
                  <c:v>756.10740740740732</c:v>
                </c:pt>
                <c:pt idx="11">
                  <c:v>712.89787499999977</c:v>
                </c:pt>
                <c:pt idx="12">
                  <c:v>661.67466666666633</c:v>
                </c:pt>
                <c:pt idx="13">
                  <c:v>603.95345833333306</c:v>
                </c:pt>
                <c:pt idx="14">
                  <c:v>541.32782142857104</c:v>
                </c:pt>
                <c:pt idx="15">
                  <c:v>473.75457589285674</c:v>
                </c:pt>
                <c:pt idx="16">
                  <c:v>402.31028571428527</c:v>
                </c:pt>
                <c:pt idx="17">
                  <c:v>325.43509821428523</c:v>
                </c:pt>
                <c:pt idx="18">
                  <c:v>234.26999999999941</c:v>
                </c:pt>
                <c:pt idx="19">
                  <c:v>125.25749999999894</c:v>
                </c:pt>
                <c:pt idx="20">
                  <c:v>-7.9733095126321984E-13</c:v>
                </c:pt>
                <c:pt idx="21">
                  <c:v>-125.2575000000007</c:v>
                </c:pt>
                <c:pt idx="22">
                  <c:v>-234.27000000000089</c:v>
                </c:pt>
                <c:pt idx="23">
                  <c:v>-325.43509821428643</c:v>
                </c:pt>
                <c:pt idx="24">
                  <c:v>-402.31028571428612</c:v>
                </c:pt>
                <c:pt idx="25">
                  <c:v>-473.75457589285736</c:v>
                </c:pt>
                <c:pt idx="26">
                  <c:v>-541.32782142857161</c:v>
                </c:pt>
                <c:pt idx="27">
                  <c:v>-603.9534583333334</c:v>
                </c:pt>
                <c:pt idx="28">
                  <c:v>-661.67466666666655</c:v>
                </c:pt>
                <c:pt idx="29">
                  <c:v>-712.89787499999977</c:v>
                </c:pt>
                <c:pt idx="30">
                  <c:v>-756.10740740740721</c:v>
                </c:pt>
                <c:pt idx="31">
                  <c:v>-791.62720370370346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76960"/>
        <c:axId val="150000000"/>
      </c:scatterChart>
      <c:scatterChart>
        <c:scatterStyle val="lineMarker"/>
        <c:varyColors val="0"/>
        <c:ser>
          <c:idx val="1"/>
          <c:order val="0"/>
          <c:tx>
            <c:strRef>
              <c:f>exercise_ESP!$E$42</c:f>
              <c:strCache>
                <c:ptCount val="1"/>
                <c:pt idx="0">
                  <c:v>КПД, д.е.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  <c:pt idx="21">
                  <c:v>119.70000000000005</c:v>
                </c:pt>
                <c:pt idx="22">
                  <c:v>125.40000000000005</c:v>
                </c:pt>
                <c:pt idx="23">
                  <c:v>131.10000000000005</c:v>
                </c:pt>
                <c:pt idx="24">
                  <c:v>136.80000000000004</c:v>
                </c:pt>
                <c:pt idx="25">
                  <c:v>142.50000000000003</c:v>
                </c:pt>
                <c:pt idx="26">
                  <c:v>148.20000000000002</c:v>
                </c:pt>
                <c:pt idx="27">
                  <c:v>153.9</c:v>
                </c:pt>
                <c:pt idx="28">
                  <c:v>159.6</c:v>
                </c:pt>
                <c:pt idx="29">
                  <c:v>165.29999999999998</c:v>
                </c:pt>
                <c:pt idx="30">
                  <c:v>170.99999999999997</c:v>
                </c:pt>
                <c:pt idx="31">
                  <c:v>176.69999999999996</c:v>
                </c:pt>
              </c:numCache>
            </c:numRef>
          </c:xVal>
          <c:yVal>
            <c:numRef>
              <c:f>exercise_ESP!$E$43:$E$74</c:f>
              <c:numCache>
                <c:formatCode>0.00</c:formatCode>
                <c:ptCount val="32"/>
                <c:pt idx="0">
                  <c:v>1.2847222222222225E-2</c:v>
                </c:pt>
                <c:pt idx="1">
                  <c:v>7.1368750000000009E-2</c:v>
                </c:pt>
                <c:pt idx="2">
                  <c:v>0.13822500000000001</c:v>
                </c:pt>
                <c:pt idx="3">
                  <c:v>0.20056875000000005</c:v>
                </c:pt>
                <c:pt idx="4">
                  <c:v>0.25840000000000002</c:v>
                </c:pt>
                <c:pt idx="5">
                  <c:v>0.31211641905737708</c:v>
                </c:pt>
                <c:pt idx="6">
                  <c:v>0.36170547814207654</c:v>
                </c:pt>
                <c:pt idx="7">
                  <c:v>0.40559103312841532</c:v>
                </c:pt>
                <c:pt idx="8">
                  <c:v>0.44111085511741249</c:v>
                </c:pt>
                <c:pt idx="9">
                  <c:v>0.46440002584551765</c:v>
                </c:pt>
                <c:pt idx="10">
                  <c:v>0.47699675084920989</c:v>
                </c:pt>
                <c:pt idx="11">
                  <c:v>0.48045148319050757</c:v>
                </c:pt>
                <c:pt idx="12">
                  <c:v>0.47353222490783459</c:v>
                </c:pt>
                <c:pt idx="13">
                  <c:v>0.45671607216973059</c:v>
                </c:pt>
                <c:pt idx="14">
                  <c:v>0.43092401676829251</c:v>
                </c:pt>
                <c:pt idx="15">
                  <c:v>0.3935590939405485</c:v>
                </c:pt>
                <c:pt idx="16">
                  <c:v>0.33595749999999958</c:v>
                </c:pt>
                <c:pt idx="17">
                  <c:v>0.26244457031249951</c:v>
                </c:pt>
                <c:pt idx="18">
                  <c:v>0.1812124999999995</c:v>
                </c:pt>
                <c:pt idx="19">
                  <c:v>9.3990624999999189E-2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08192"/>
        <c:axId val="150001920"/>
      </c:scatterChart>
      <c:valAx>
        <c:axId val="14997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0000"/>
        <c:crosses val="autoZero"/>
        <c:crossBetween val="midCat"/>
      </c:valAx>
      <c:valAx>
        <c:axId val="15000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976960"/>
        <c:crosses val="autoZero"/>
        <c:crossBetween val="midCat"/>
      </c:valAx>
      <c:valAx>
        <c:axId val="150001920"/>
        <c:scaling>
          <c:orientation val="minMax"/>
          <c:max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д.е.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8192"/>
        <c:crosses val="max"/>
        <c:crossBetween val="midCat"/>
      </c:valAx>
      <c:valAx>
        <c:axId val="15000819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00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  <c:pt idx="21">
                  <c:v>119.70000000000005</c:v>
                </c:pt>
                <c:pt idx="22">
                  <c:v>125.40000000000005</c:v>
                </c:pt>
                <c:pt idx="23">
                  <c:v>131.10000000000005</c:v>
                </c:pt>
                <c:pt idx="24">
                  <c:v>136.80000000000004</c:v>
                </c:pt>
                <c:pt idx="25">
                  <c:v>142.50000000000003</c:v>
                </c:pt>
                <c:pt idx="26">
                  <c:v>148.20000000000002</c:v>
                </c:pt>
                <c:pt idx="27">
                  <c:v>153.9</c:v>
                </c:pt>
                <c:pt idx="28">
                  <c:v>159.6</c:v>
                </c:pt>
                <c:pt idx="29">
                  <c:v>165.29999999999998</c:v>
                </c:pt>
                <c:pt idx="30">
                  <c:v>170.99999999999997</c:v>
                </c:pt>
                <c:pt idx="31">
                  <c:v>176.69999999999996</c:v>
                </c:pt>
              </c:numCache>
            </c:numRef>
          </c:xVal>
          <c:yVal>
            <c:numRef>
              <c:f>exercise_ESP!$D$43:$D$74</c:f>
              <c:numCache>
                <c:formatCode>0</c:formatCode>
                <c:ptCount val="32"/>
                <c:pt idx="0">
                  <c:v>934.96666666666658</c:v>
                </c:pt>
                <c:pt idx="1">
                  <c:v>929.2170000000001</c:v>
                </c:pt>
                <c:pt idx="2">
                  <c:v>920.26800000000003</c:v>
                </c:pt>
                <c:pt idx="3">
                  <c:v>909.15300000000002</c:v>
                </c:pt>
                <c:pt idx="4">
                  <c:v>895.87200000000007</c:v>
                </c:pt>
                <c:pt idx="5">
                  <c:v>880.44375000000002</c:v>
                </c:pt>
                <c:pt idx="6">
                  <c:v>862.8676592592592</c:v>
                </c:pt>
                <c:pt idx="7">
                  <c:v>843.06941296296293</c:v>
                </c:pt>
                <c:pt idx="8">
                  <c:v>820.2879999999999</c:v>
                </c:pt>
                <c:pt idx="9">
                  <c:v>791.62720370370357</c:v>
                </c:pt>
                <c:pt idx="10">
                  <c:v>756.10740740740732</c:v>
                </c:pt>
                <c:pt idx="11">
                  <c:v>712.89787499999977</c:v>
                </c:pt>
                <c:pt idx="12">
                  <c:v>661.67466666666633</c:v>
                </c:pt>
                <c:pt idx="13">
                  <c:v>603.95345833333306</c:v>
                </c:pt>
                <c:pt idx="14">
                  <c:v>541.32782142857104</c:v>
                </c:pt>
                <c:pt idx="15">
                  <c:v>473.75457589285674</c:v>
                </c:pt>
                <c:pt idx="16">
                  <c:v>402.31028571428527</c:v>
                </c:pt>
                <c:pt idx="17">
                  <c:v>325.43509821428523</c:v>
                </c:pt>
                <c:pt idx="18">
                  <c:v>234.26999999999941</c:v>
                </c:pt>
                <c:pt idx="19">
                  <c:v>125.25749999999894</c:v>
                </c:pt>
                <c:pt idx="20">
                  <c:v>-7.9733095126321984E-13</c:v>
                </c:pt>
                <c:pt idx="21">
                  <c:v>-125.2575000000007</c:v>
                </c:pt>
                <c:pt idx="22">
                  <c:v>-234.27000000000089</c:v>
                </c:pt>
                <c:pt idx="23">
                  <c:v>-325.43509821428643</c:v>
                </c:pt>
                <c:pt idx="24">
                  <c:v>-402.31028571428612</c:v>
                </c:pt>
                <c:pt idx="25">
                  <c:v>-473.75457589285736</c:v>
                </c:pt>
                <c:pt idx="26">
                  <c:v>-541.32782142857161</c:v>
                </c:pt>
                <c:pt idx="27">
                  <c:v>-603.9534583333334</c:v>
                </c:pt>
                <c:pt idx="28">
                  <c:v>-661.67466666666655</c:v>
                </c:pt>
                <c:pt idx="29">
                  <c:v>-712.89787499999977</c:v>
                </c:pt>
                <c:pt idx="30">
                  <c:v>-756.10740740740721</c:v>
                </c:pt>
                <c:pt idx="31">
                  <c:v>-791.62720370370346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68288"/>
      </c:scatterChart>
      <c:scatterChart>
        <c:scatterStyle val="lineMarker"/>
        <c:varyColors val="0"/>
        <c:ser>
          <c:idx val="1"/>
          <c:order val="0"/>
          <c:tx>
            <c:strRef>
              <c:f>exercise_ESP!$F$42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  <c:pt idx="21">
                  <c:v>119.70000000000005</c:v>
                </c:pt>
                <c:pt idx="22">
                  <c:v>125.40000000000005</c:v>
                </c:pt>
                <c:pt idx="23">
                  <c:v>131.10000000000005</c:v>
                </c:pt>
                <c:pt idx="24">
                  <c:v>136.80000000000004</c:v>
                </c:pt>
                <c:pt idx="25">
                  <c:v>142.50000000000003</c:v>
                </c:pt>
                <c:pt idx="26">
                  <c:v>148.20000000000002</c:v>
                </c:pt>
                <c:pt idx="27">
                  <c:v>153.9</c:v>
                </c:pt>
                <c:pt idx="28">
                  <c:v>159.6</c:v>
                </c:pt>
                <c:pt idx="29">
                  <c:v>165.29999999999998</c:v>
                </c:pt>
                <c:pt idx="30">
                  <c:v>170.99999999999997</c:v>
                </c:pt>
                <c:pt idx="31">
                  <c:v>176.69999999999996</c:v>
                </c:pt>
              </c:numCache>
            </c:numRef>
          </c:xVal>
          <c:yVal>
            <c:numRef>
              <c:f>exercise_ESP!$F$43:$F$74</c:f>
              <c:numCache>
                <c:formatCode>0</c:formatCode>
                <c:ptCount val="32"/>
                <c:pt idx="0">
                  <c:v>9600.057142857142</c:v>
                </c:pt>
                <c:pt idx="1">
                  <c:v>9286.8222857142846</c:v>
                </c:pt>
                <c:pt idx="2">
                  <c:v>9011.9519999999975</c:v>
                </c:pt>
                <c:pt idx="3">
                  <c:v>8852.1891428571398</c:v>
                </c:pt>
                <c:pt idx="4">
                  <c:v>8807.5337142857115</c:v>
                </c:pt>
                <c:pt idx="5">
                  <c:v>8897.7149999999983</c:v>
                </c:pt>
                <c:pt idx="6">
                  <c:v>9122.111405714284</c:v>
                </c:pt>
                <c:pt idx="7">
                  <c:v>9402.5267599999988</c:v>
                </c:pt>
                <c:pt idx="8">
                  <c:v>9668.7425828571413</c:v>
                </c:pt>
                <c:pt idx="9">
                  <c:v>9925.7211657142852</c:v>
                </c:pt>
                <c:pt idx="10">
                  <c:v>10203.542857142857</c:v>
                </c:pt>
                <c:pt idx="11">
                  <c:v>10523.519999999999</c:v>
                </c:pt>
                <c:pt idx="12">
                  <c:v>10851.84</c:v>
                </c:pt>
                <c:pt idx="13">
                  <c:v>11180.16</c:v>
                </c:pt>
                <c:pt idx="14">
                  <c:v>11508.480000000001</c:v>
                </c:pt>
                <c:pt idx="15">
                  <c:v>11836.800000000001</c:v>
                </c:pt>
                <c:pt idx="16">
                  <c:v>12156.9984</c:v>
                </c:pt>
                <c:pt idx="17">
                  <c:v>12306.332699999999</c:v>
                </c:pt>
                <c:pt idx="18">
                  <c:v>12467.951999999999</c:v>
                </c:pt>
                <c:pt idx="19">
                  <c:v>12761.388000000001</c:v>
                </c:pt>
                <c:pt idx="20">
                  <c:v>13132.799999999997</c:v>
                </c:pt>
                <c:pt idx="21">
                  <c:v>13132.799999999997</c:v>
                </c:pt>
                <c:pt idx="22">
                  <c:v>13132.799999999997</c:v>
                </c:pt>
                <c:pt idx="23">
                  <c:v>13132.799999999997</c:v>
                </c:pt>
                <c:pt idx="24">
                  <c:v>13132.799999999997</c:v>
                </c:pt>
                <c:pt idx="25">
                  <c:v>13132.799999999997</c:v>
                </c:pt>
                <c:pt idx="26">
                  <c:v>13132.799999999997</c:v>
                </c:pt>
                <c:pt idx="27">
                  <c:v>13132.799999999997</c:v>
                </c:pt>
                <c:pt idx="28">
                  <c:v>13132.799999999997</c:v>
                </c:pt>
                <c:pt idx="29">
                  <c:v>13132.799999999997</c:v>
                </c:pt>
                <c:pt idx="30">
                  <c:v>13132.799999999997</c:v>
                </c:pt>
                <c:pt idx="31">
                  <c:v>13132.799999999997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2384"/>
        <c:axId val="149470208"/>
      </c:scatterChart>
      <c:valAx>
        <c:axId val="1494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8288"/>
        <c:crosses val="autoZero"/>
        <c:crossBetween val="midCat"/>
      </c:valAx>
      <c:valAx>
        <c:axId val="1494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1632"/>
        <c:crosses val="autoZero"/>
        <c:crossBetween val="midCat"/>
      </c:valAx>
      <c:valAx>
        <c:axId val="149470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72384"/>
        <c:crosses val="max"/>
        <c:crossBetween val="midCat"/>
      </c:valAx>
      <c:valAx>
        <c:axId val="1494723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4947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14368"/>
        <c:axId val="15031692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32928"/>
        <c:axId val="150331392"/>
      </c:scatterChart>
      <c:valAx>
        <c:axId val="15031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6928"/>
        <c:crosses val="autoZero"/>
        <c:crossBetween val="midCat"/>
      </c:valAx>
      <c:valAx>
        <c:axId val="1503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Перепад</a:t>
                </a:r>
                <a:r>
                  <a:rPr lang="ru-RU" baseline="0"/>
                  <a:t> давления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4368"/>
        <c:crosses val="autoZero"/>
        <c:crossBetween val="midCat"/>
      </c:valAx>
      <c:valAx>
        <c:axId val="150331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50332928"/>
        <c:crosses val="max"/>
        <c:crossBetween val="midCat"/>
      </c:valAx>
      <c:valAx>
        <c:axId val="1503329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33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на выходе от дебита</a:t>
            </a:r>
          </a:p>
        </c:rich>
      </c:tx>
      <c:layout>
        <c:manualLayout>
          <c:xMode val="edge"/>
          <c:yMode val="edge"/>
          <c:x val="0.14158939769411119"/>
          <c:y val="2.49611433315914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1"/>
          <c:order val="0"/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526-4574-8CCC-D078ED177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8256"/>
        <c:axId val="152930176"/>
      </c:scatterChart>
      <c:valAx>
        <c:axId val="15292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30176"/>
        <c:crosses val="autoZero"/>
        <c:crossBetween val="midCat"/>
      </c:valAx>
      <c:valAx>
        <c:axId val="15293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2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360892</xdr:colOff>
      <xdr:row>40</xdr:row>
      <xdr:rowOff>25249</xdr:rowOff>
    </xdr:from>
    <xdr:to>
      <xdr:col>25</xdr:col>
      <xdr:colOff>228600</xdr:colOff>
      <xdr:row>68</xdr:row>
      <xdr:rowOff>38100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245686</xdr:colOff>
      <xdr:row>40</xdr:row>
      <xdr:rowOff>40298</xdr:rowOff>
    </xdr:from>
    <xdr:to>
      <xdr:col>18</xdr:col>
      <xdr:colOff>266699</xdr:colOff>
      <xdr:row>68</xdr:row>
      <xdr:rowOff>19050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140607</xdr:colOff>
      <xdr:row>40</xdr:row>
      <xdr:rowOff>127623</xdr:rowOff>
    </xdr:from>
    <xdr:to>
      <xdr:col>48</xdr:col>
      <xdr:colOff>147010</xdr:colOff>
      <xdr:row>62</xdr:row>
      <xdr:rowOff>36731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635292</xdr:colOff>
      <xdr:row>0</xdr:row>
      <xdr:rowOff>6032</xdr:rowOff>
    </xdr:from>
    <xdr:to>
      <xdr:col>13</xdr:col>
      <xdr:colOff>353621</xdr:colOff>
      <xdr:row>14</xdr:row>
      <xdr:rowOff>207065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91335" y="6032"/>
          <a:ext cx="5010916" cy="289288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номер и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Постройте паспортные характеристики ЭЦН.</a:t>
          </a: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ESP_id_by_rate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ESP_name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ESP_rate_max_sm3day</a:t>
          </a:r>
          <a:endParaRPr lang="ru-RU" sz="1100">
            <a:solidFill>
              <a:schemeClr val="dk1"/>
            </a:solidFill>
            <a:effectLst/>
            <a:latin typeface="Courier New" pitchFamily="49" charset="0"/>
            <a:ea typeface="+mn-ea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ESP_eff_fr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ESP_power_W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36</xdr:col>
      <xdr:colOff>455800</xdr:colOff>
      <xdr:row>40</xdr:row>
      <xdr:rowOff>127729</xdr:rowOff>
    </xdr:from>
    <xdr:to>
      <xdr:col>42</xdr:col>
      <xdr:colOff>145861</xdr:colOff>
      <xdr:row>62</xdr:row>
      <xdr:rowOff>81660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14</xdr:row>
      <xdr:rowOff>215348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158204" y="11642"/>
          <a:ext cx="5482167" cy="289555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Являются ли паспортные характеристики ЭЦН - напор, КПД и мощность независимыми?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 Как влияет на каждую из характеристик?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 Как влияет на каждую из характеристик?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Как будут меняться паспортные характристик в зоне, где дебит больше максимального по паспорту (где набор становится равны нулю)?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Проверьте для всех ли насосов в базе характеристики заданы корректно?</a:t>
          </a:r>
        </a:p>
      </xdr:txBody>
    </xdr:sp>
    <xdr:clientData/>
  </xdr:twoCellAnchor>
  <xdr:twoCellAnchor>
    <xdr:from>
      <xdr:col>4</xdr:col>
      <xdr:colOff>76892</xdr:colOff>
      <xdr:row>25</xdr:row>
      <xdr:rowOff>6026</xdr:rowOff>
    </xdr:from>
    <xdr:to>
      <xdr:col>8</xdr:col>
      <xdr:colOff>67366</xdr:colOff>
      <xdr:row>30</xdr:row>
      <xdr:rowOff>181297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24892" y="5000439"/>
          <a:ext cx="3096452" cy="1036662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Определите  </a:t>
          </a:r>
          <a:r>
            <a:rPr lang="en-US" sz="1100"/>
            <a:t>ID</a:t>
          </a:r>
          <a:r>
            <a:rPr lang="ru-RU" sz="1100"/>
            <a:t> насоса</a:t>
          </a:r>
          <a:r>
            <a:rPr lang="en-US" sz="1100"/>
            <a:t>,</a:t>
          </a:r>
          <a:r>
            <a:rPr lang="en-US" sz="1100" baseline="0"/>
            <a:t> </a:t>
          </a:r>
          <a:r>
            <a:rPr lang="ru-RU" sz="1100" baseline="0"/>
            <a:t>его обозначение,</a:t>
          </a:r>
          <a:r>
            <a:rPr lang="en-US" sz="1100" baseline="0"/>
            <a:t> Qmax, </a:t>
          </a:r>
          <a:r>
            <a:rPr lang="ru-RU" sz="1100" baseline="0"/>
            <a:t>количество ступеней.</a:t>
          </a:r>
        </a:p>
        <a:p>
          <a:pPr algn="l"/>
          <a:r>
            <a:rPr lang="ru-RU" sz="1100"/>
            <a:t>Количество ступеней</a:t>
          </a:r>
          <a:r>
            <a:rPr lang="ru-RU" sz="1100" baseline="0"/>
            <a:t> можно оценить зная общий напор и напор одной ступени на номинальной частоте</a:t>
          </a:r>
          <a:endParaRPr lang="ru-RU" sz="1100"/>
        </a:p>
      </xdr:txBody>
    </xdr:sp>
    <xdr:clientData/>
  </xdr:twoCellAnchor>
  <xdr:twoCellAnchor>
    <xdr:from>
      <xdr:col>6</xdr:col>
      <xdr:colOff>95250</xdr:colOff>
      <xdr:row>48</xdr:row>
      <xdr:rowOff>74082</xdr:rowOff>
    </xdr:from>
    <xdr:to>
      <xdr:col>10</xdr:col>
      <xdr:colOff>232833</xdr:colOff>
      <xdr:row>53</xdr:row>
      <xdr:rowOff>123825</xdr:rowOff>
    </xdr:to>
    <xdr:sp macro="" textlink="">
      <xdr:nvSpPr>
        <xdr:cNvPr id="16" name="Выноска со стрелкой влево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552950" y="8970432"/>
          <a:ext cx="3309408" cy="859368"/>
        </a:xfrm>
        <a:prstGeom prst="leftArrowCallout">
          <a:avLst>
            <a:gd name="adj1" fmla="val 25000"/>
            <a:gd name="adj2" fmla="val 25000"/>
            <a:gd name="adj3" fmla="val 38152"/>
            <a:gd name="adj4" fmla="val 8251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Постройте номинальные характеристики ЭЦН, заданных параметров насоса</a:t>
          </a: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PVT"/>
      <definedName name="ESP_eff_fr"/>
      <definedName name="ESP_head_m"/>
      <definedName name="ESP_id_by_rate"/>
      <definedName name="ESP_name"/>
      <definedName name="ESP_p_atma"/>
      <definedName name="ESP_power_W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I74"/>
  <sheetViews>
    <sheetView tabSelected="1" topLeftCell="A13" zoomScale="70" zoomScaleNormal="70" workbookViewId="0">
      <selection activeCell="J28" sqref="J28"/>
    </sheetView>
  </sheetViews>
  <sheetFormatPr defaultRowHeight="13.2" x14ac:dyDescent="0.25"/>
  <cols>
    <col min="2" max="2" width="15.109375" customWidth="1"/>
    <col min="3" max="3" width="9.88671875" customWidth="1"/>
    <col min="4" max="4" width="11.5546875" bestFit="1" customWidth="1"/>
    <col min="5" max="5" width="11.33203125" customWidth="1"/>
    <col min="6" max="6" width="9.88671875" customWidth="1"/>
    <col min="7" max="7" width="13.109375" customWidth="1"/>
    <col min="8" max="8" width="12.33203125" customWidth="1"/>
    <col min="9" max="9" width="10.88671875" bestFit="1" customWidth="1"/>
    <col min="10" max="10" width="11.33203125" customWidth="1"/>
    <col min="11" max="11" width="12.33203125" bestFit="1" customWidth="1"/>
    <col min="12" max="12" width="10.33203125" bestFit="1" customWidth="1"/>
    <col min="20" max="37" width="12.44140625" customWidth="1"/>
  </cols>
  <sheetData>
    <row r="1" spans="1:12" x14ac:dyDescent="0.25">
      <c r="A1" s="1" t="s">
        <v>15</v>
      </c>
      <c r="F1" t="s">
        <v>16</v>
      </c>
      <c r="G1" t="str">
        <f>[1]!unf_Version()</f>
        <v>7.27</v>
      </c>
      <c r="H1" t="s">
        <v>49</v>
      </c>
      <c r="I1" s="25">
        <v>44305</v>
      </c>
      <c r="J1" s="19"/>
      <c r="K1" s="19"/>
      <c r="L1" s="19"/>
    </row>
    <row r="2" spans="1:12" x14ac:dyDescent="0.25">
      <c r="A2" t="s">
        <v>63</v>
      </c>
      <c r="H2" t="s">
        <v>50</v>
      </c>
      <c r="I2" s="26">
        <v>7.27</v>
      </c>
      <c r="J2" s="19"/>
      <c r="K2" s="19"/>
      <c r="L2" s="19"/>
    </row>
    <row r="3" spans="1:12" ht="14.4" x14ac:dyDescent="0.3">
      <c r="A3" s="27" t="s">
        <v>51</v>
      </c>
      <c r="B3" s="33" t="s">
        <v>52</v>
      </c>
      <c r="C3" s="34"/>
      <c r="D3" s="34"/>
      <c r="E3" s="35"/>
      <c r="H3" t="s">
        <v>53</v>
      </c>
      <c r="I3" s="19" t="s">
        <v>52</v>
      </c>
      <c r="J3" s="19"/>
      <c r="K3" s="19"/>
      <c r="L3" s="19"/>
    </row>
    <row r="4" spans="1:12" ht="14.4" x14ac:dyDescent="0.3">
      <c r="A4" s="27" t="s">
        <v>54</v>
      </c>
      <c r="B4" s="33" t="s">
        <v>55</v>
      </c>
      <c r="C4" s="34"/>
      <c r="D4" s="34"/>
      <c r="E4" s="35"/>
      <c r="H4" t="s">
        <v>56</v>
      </c>
      <c r="I4" s="19" t="s">
        <v>55</v>
      </c>
      <c r="J4" s="19"/>
      <c r="K4" s="19"/>
      <c r="L4" s="19"/>
    </row>
    <row r="5" spans="1:12" ht="14.4" x14ac:dyDescent="0.3">
      <c r="A5" s="27" t="s">
        <v>57</v>
      </c>
      <c r="B5" s="33" t="s">
        <v>58</v>
      </c>
      <c r="C5" s="34"/>
      <c r="D5" s="34"/>
      <c r="E5" s="35"/>
      <c r="H5" t="s">
        <v>59</v>
      </c>
      <c r="I5" s="19" t="s">
        <v>58</v>
      </c>
      <c r="J5" s="19"/>
      <c r="K5" s="19"/>
      <c r="L5" s="19"/>
    </row>
    <row r="6" spans="1:12" x14ac:dyDescent="0.25">
      <c r="A6" s="28" t="s">
        <v>60</v>
      </c>
      <c r="B6" s="36" t="s">
        <v>61</v>
      </c>
      <c r="C6" s="37"/>
      <c r="D6" s="37"/>
      <c r="E6" s="38"/>
      <c r="H6" s="29" t="s">
        <v>62</v>
      </c>
      <c r="I6" s="30" t="s">
        <v>61</v>
      </c>
      <c r="J6" s="30"/>
      <c r="K6" s="30"/>
      <c r="L6" s="30"/>
    </row>
    <row r="7" spans="1:12" x14ac:dyDescent="0.25">
      <c r="A7" s="31"/>
      <c r="B7" s="39"/>
      <c r="C7" s="40"/>
      <c r="D7" s="40"/>
      <c r="E7" s="41"/>
      <c r="H7" s="29"/>
      <c r="I7" s="30"/>
      <c r="J7" s="30"/>
      <c r="K7" s="30"/>
      <c r="L7" s="30"/>
    </row>
    <row r="8" spans="1:12" x14ac:dyDescent="0.25">
      <c r="A8" s="32"/>
      <c r="B8" s="42"/>
      <c r="C8" s="43"/>
      <c r="D8" s="43"/>
      <c r="E8" s="44"/>
      <c r="H8" s="29"/>
      <c r="I8" s="30"/>
      <c r="J8" s="30"/>
      <c r="K8" s="30"/>
      <c r="L8" s="30"/>
    </row>
    <row r="10" spans="1:12" x14ac:dyDescent="0.25">
      <c r="A10" s="1" t="s">
        <v>8</v>
      </c>
    </row>
    <row r="11" spans="1:12" ht="16.8" x14ac:dyDescent="0.35">
      <c r="B11" s="9" t="s">
        <v>17</v>
      </c>
      <c r="C11" s="2">
        <v>0.9</v>
      </c>
      <c r="D11" s="10"/>
      <c r="E11" s="11">
        <f>gamma_oil_*1000</f>
        <v>900</v>
      </c>
      <c r="F11" s="12" t="s">
        <v>18</v>
      </c>
    </row>
    <row r="12" spans="1:12" ht="16.8" x14ac:dyDescent="0.35">
      <c r="B12" s="12" t="s">
        <v>19</v>
      </c>
      <c r="C12" s="2">
        <v>1</v>
      </c>
      <c r="D12" s="10"/>
      <c r="E12" s="11">
        <f>gamma_wat_*1000</f>
        <v>1000</v>
      </c>
      <c r="F12" s="12" t="s">
        <v>18</v>
      </c>
    </row>
    <row r="13" spans="1:12" ht="16.8" x14ac:dyDescent="0.35">
      <c r="B13" s="12" t="s">
        <v>20</v>
      </c>
      <c r="C13" s="2">
        <v>0.8</v>
      </c>
      <c r="D13" s="10"/>
      <c r="E13" s="11">
        <f>gamma_gas_*1.22</f>
        <v>0.97599999999999998</v>
      </c>
      <c r="F13" s="12" t="s">
        <v>18</v>
      </c>
    </row>
    <row r="14" spans="1:12" ht="16.8" x14ac:dyDescent="0.35">
      <c r="B14" s="13" t="s">
        <v>21</v>
      </c>
      <c r="C14" s="2">
        <v>80</v>
      </c>
      <c r="D14" s="12" t="s">
        <v>22</v>
      </c>
      <c r="E14" s="14">
        <f>Rsb_/gamma_oil_</f>
        <v>88.888888888888886</v>
      </c>
      <c r="F14" s="12" t="s">
        <v>23</v>
      </c>
    </row>
    <row r="15" spans="1:12" ht="16.8" x14ac:dyDescent="0.35">
      <c r="B15" s="13" t="s">
        <v>24</v>
      </c>
      <c r="C15" s="2">
        <v>80</v>
      </c>
      <c r="D15" s="12" t="s">
        <v>22</v>
      </c>
      <c r="E15" s="14">
        <f>Rsb_/gamma_oil_</f>
        <v>88.888888888888886</v>
      </c>
      <c r="F15" s="12" t="s">
        <v>23</v>
      </c>
    </row>
    <row r="16" spans="1:12" ht="15.6" x14ac:dyDescent="0.35">
      <c r="B16" s="12" t="s">
        <v>25</v>
      </c>
      <c r="C16" s="2">
        <v>120</v>
      </c>
      <c r="D16" s="10" t="s">
        <v>26</v>
      </c>
      <c r="E16" s="14">
        <f>Pb_*1.01325</f>
        <v>121.59</v>
      </c>
      <c r="F16" s="10" t="s">
        <v>27</v>
      </c>
    </row>
    <row r="17" spans="1:35" ht="15.6" x14ac:dyDescent="0.35">
      <c r="B17" s="12" t="s">
        <v>28</v>
      </c>
      <c r="C17" s="2">
        <v>100</v>
      </c>
      <c r="D17" s="10" t="s">
        <v>2</v>
      </c>
      <c r="E17" s="14">
        <f>Tres_*9/5+32</f>
        <v>212</v>
      </c>
      <c r="F17" s="10" t="s">
        <v>29</v>
      </c>
      <c r="Y17" cm="1">
        <f t="array" ref="Y17:AI39">[1]!ESP_p_atma(50,50,L22,PumpID_,120,50)</f>
        <v>80.277211580034617</v>
      </c>
      <c r="Z17">
        <v>737.60901872944896</v>
      </c>
      <c r="AA17">
        <v>8.300640657409323</v>
      </c>
      <c r="AB17">
        <v>0</v>
      </c>
      <c r="AC17">
        <v>0.6001280708696014</v>
      </c>
      <c r="AD17">
        <v>0.29973826811988497</v>
      </c>
      <c r="AE17" t="str">
        <v>{"p_int_atma":50,"t_int_C":50,"p_dis_atma":80.2772115800346,"t_dis_C":50}</v>
      </c>
      <c r="AF17" t="str">
        <v>{"power_fluid_W":781.634426993826,"power_ESP_W":2607.72317094059,"p_dis_atma":80.2772115800346,"eff_ESP_d":0.299738268119885}</v>
      </c>
      <c r="AG17">
        <v>0</v>
      </c>
      <c r="AH17">
        <v>0</v>
      </c>
      <c r="AI17">
        <v>0</v>
      </c>
    </row>
    <row r="18" spans="1:35" ht="16.8" x14ac:dyDescent="0.35">
      <c r="B18" s="13" t="s">
        <v>30</v>
      </c>
      <c r="C18" s="2">
        <v>1.2</v>
      </c>
      <c r="D18" s="12" t="s">
        <v>22</v>
      </c>
      <c r="Y18" t="str">
        <v>p_dis_atma</v>
      </c>
      <c r="Z18" t="str">
        <v>head_m</v>
      </c>
      <c r="AA18" t="str">
        <v>m_Nm</v>
      </c>
      <c r="AB18">
        <v>0</v>
      </c>
      <c r="AC18" t="str">
        <v>gas_frac_intake</v>
      </c>
      <c r="AD18" t="str">
        <v>eff_ESP_d</v>
      </c>
      <c r="AE18" t="str">
        <v>dict_pressure</v>
      </c>
      <c r="AF18" t="str">
        <v>dict_power</v>
      </c>
      <c r="AG18">
        <v>0</v>
      </c>
      <c r="AH18">
        <v>0</v>
      </c>
      <c r="AI18">
        <v>0</v>
      </c>
    </row>
    <row r="19" spans="1:35" ht="15.6" x14ac:dyDescent="0.35">
      <c r="B19" s="21" t="s">
        <v>47</v>
      </c>
      <c r="C19" s="2">
        <v>1</v>
      </c>
      <c r="D19" s="12" t="s">
        <v>46</v>
      </c>
      <c r="Y19" t="str">
        <v>i</v>
      </c>
      <c r="Z19" t="str">
        <v>n_stage</v>
      </c>
      <c r="AA19" t="str">
        <v>length_m</v>
      </c>
      <c r="AB19" t="str">
        <v>p_atma</v>
      </c>
      <c r="AC19" t="str">
        <v>t_C</v>
      </c>
      <c r="AD19" t="str">
        <v>gas_fraction</v>
      </c>
      <c r="AE19" t="str">
        <v>qmix_rm3day</v>
      </c>
      <c r="AF19" t="str">
        <v>Power_fluid_W</v>
      </c>
      <c r="AG19" t="str">
        <v>Power_ESP_W</v>
      </c>
      <c r="AH19" t="str">
        <v>eff fluid</v>
      </c>
      <c r="AI19" t="str">
        <v>mu_stage_cP</v>
      </c>
    </row>
    <row r="20" spans="1:35" x14ac:dyDescent="0.25">
      <c r="B20" s="3"/>
      <c r="C20" s="4"/>
      <c r="Y20">
        <v>1</v>
      </c>
      <c r="Z20">
        <v>0</v>
      </c>
      <c r="AA20">
        <v>1006</v>
      </c>
      <c r="AB20">
        <v>50</v>
      </c>
      <c r="AC20">
        <v>50</v>
      </c>
      <c r="AD20">
        <v>0.6001280708696014</v>
      </c>
      <c r="AE20">
        <v>26.742126652947597</v>
      </c>
      <c r="AF20">
        <v>0</v>
      </c>
      <c r="AG20">
        <v>0</v>
      </c>
      <c r="AH20">
        <v>0</v>
      </c>
      <c r="AI20">
        <v>1.237063494153517</v>
      </c>
    </row>
    <row r="21" spans="1:35" ht="15.6" x14ac:dyDescent="0.35">
      <c r="B21" s="15" t="s">
        <v>32</v>
      </c>
      <c r="C21" s="2">
        <v>50</v>
      </c>
      <c r="D21" s="22" t="s">
        <v>3</v>
      </c>
      <c r="L21" t="str" cm="1">
        <f t="array" ref="L21">[1]!encode_PVT()</f>
        <v>{"gamma_gas":0.6,"gamma_oil":0.86,"gamma_wat":1,"rsb_m3m3":100}</v>
      </c>
      <c r="Y21">
        <v>2</v>
      </c>
      <c r="Z21">
        <v>6.3157894736842106</v>
      </c>
      <c r="AA21">
        <v>1005.6842105263158</v>
      </c>
      <c r="AB21">
        <v>51.288774381124227</v>
      </c>
      <c r="AC21">
        <v>50</v>
      </c>
      <c r="AD21">
        <v>0.6001280708696014</v>
      </c>
      <c r="AE21">
        <v>26.742126652947597</v>
      </c>
      <c r="AF21">
        <v>40.418082464678633</v>
      </c>
      <c r="AG21">
        <v>115.16344301679311</v>
      </c>
      <c r="AH21">
        <v>0.2216607050726106</v>
      </c>
      <c r="AI21">
        <v>1.237063494153517</v>
      </c>
    </row>
    <row r="22" spans="1:35" ht="15.6" x14ac:dyDescent="0.35">
      <c r="B22" s="15" t="s">
        <v>34</v>
      </c>
      <c r="C22" s="2">
        <v>10</v>
      </c>
      <c r="D22" s="22" t="s">
        <v>33</v>
      </c>
      <c r="L22" t="str" cm="1">
        <f t="array" ref="L22">[1]!encode_feed()</f>
        <v>{"gamma_gas":0.6,"gamma_oil":0.86,"gamma_wat":1,"rsb_m3m3":100,"q_liq_sm3day":10}</v>
      </c>
      <c r="Y22">
        <v>3</v>
      </c>
      <c r="Z22">
        <v>12.631578947368421</v>
      </c>
      <c r="AA22">
        <v>1005.3684210526316</v>
      </c>
      <c r="AB22">
        <v>52.607509064196066</v>
      </c>
      <c r="AC22">
        <v>50</v>
      </c>
      <c r="AD22">
        <v>0.59450752100823079</v>
      </c>
      <c r="AE22">
        <v>26.406394412364488</v>
      </c>
      <c r="AF22">
        <v>80.927518995992401</v>
      </c>
      <c r="AG22">
        <v>232.39037554418906</v>
      </c>
      <c r="AH22">
        <v>0.34926396251881991</v>
      </c>
      <c r="AI22">
        <v>1.2418960441649411</v>
      </c>
    </row>
    <row r="23" spans="1:35" x14ac:dyDescent="0.25">
      <c r="A23" s="1" t="s">
        <v>45</v>
      </c>
      <c r="Y23">
        <v>4</v>
      </c>
      <c r="Z23">
        <v>18.94736842105263</v>
      </c>
      <c r="AA23">
        <v>1005.0526315789474</v>
      </c>
      <c r="AB23">
        <v>53.968188169994541</v>
      </c>
      <c r="AC23">
        <v>50</v>
      </c>
      <c r="AD23">
        <v>0.58101820134094151</v>
      </c>
      <c r="AE23">
        <v>25.600637034965029</v>
      </c>
      <c r="AF23">
        <v>121.56485122059533</v>
      </c>
      <c r="AG23">
        <v>352.506193386429</v>
      </c>
      <c r="AH23">
        <v>0.34518679328806745</v>
      </c>
      <c r="AI23">
        <v>1.2534941641923589</v>
      </c>
    </row>
    <row r="24" spans="1:35" ht="15.6" x14ac:dyDescent="0.35">
      <c r="B24" s="16" t="s">
        <v>38</v>
      </c>
      <c r="C24" s="2">
        <v>50</v>
      </c>
      <c r="D24" s="16" t="s">
        <v>3</v>
      </c>
      <c r="Y24">
        <v>5</v>
      </c>
      <c r="Z24">
        <v>25.263157894736842</v>
      </c>
      <c r="AA24">
        <v>1004.7368421052631</v>
      </c>
      <c r="AB24">
        <v>55.371114077680318</v>
      </c>
      <c r="AC24">
        <v>50</v>
      </c>
      <c r="AD24">
        <v>0.57076426458623508</v>
      </c>
      <c r="AE24">
        <v>25.029056083450946</v>
      </c>
      <c r="AF24">
        <v>162.31790247541585</v>
      </c>
      <c r="AG24">
        <v>475.58638883181322</v>
      </c>
      <c r="AH24">
        <v>0.34182390573292387</v>
      </c>
      <c r="AI24">
        <v>1.2615351805754118</v>
      </c>
    </row>
    <row r="25" spans="1:35" ht="15.6" x14ac:dyDescent="0.35">
      <c r="B25" s="16" t="s">
        <v>39</v>
      </c>
      <c r="C25" s="2">
        <v>2000</v>
      </c>
      <c r="D25" s="16" t="s">
        <v>4</v>
      </c>
      <c r="Y25">
        <v>6</v>
      </c>
      <c r="Z25">
        <v>31.578947368421055</v>
      </c>
      <c r="AA25">
        <v>1004.421052631579</v>
      </c>
      <c r="AB25">
        <v>56.795256998313356</v>
      </c>
      <c r="AC25">
        <v>50</v>
      </c>
      <c r="AD25">
        <v>0.56111919594467163</v>
      </c>
      <c r="AE25">
        <v>24.511484159186661</v>
      </c>
      <c r="AF25">
        <v>203.12620869770305</v>
      </c>
      <c r="AG25">
        <v>600.16928498461778</v>
      </c>
      <c r="AH25">
        <v>0.33866000167573651</v>
      </c>
      <c r="AI25">
        <v>1.2687074434394019</v>
      </c>
    </row>
    <row r="26" spans="1:35" x14ac:dyDescent="0.25">
      <c r="B26" s="16" t="s">
        <v>35</v>
      </c>
      <c r="C26" s="2">
        <v>60</v>
      </c>
      <c r="D26" s="16" t="s">
        <v>5</v>
      </c>
      <c r="Y26">
        <v>7</v>
      </c>
      <c r="Z26">
        <v>37.89473684210526</v>
      </c>
      <c r="AA26">
        <v>1004.1052631578947</v>
      </c>
      <c r="AB26">
        <v>58.257702876655806</v>
      </c>
      <c r="AC26">
        <v>50</v>
      </c>
      <c r="AD26">
        <v>0.55135950189498695</v>
      </c>
      <c r="AE26">
        <v>24.015433461140546</v>
      </c>
      <c r="AF26">
        <v>244.03084840425981</v>
      </c>
      <c r="AG26">
        <v>727.48165669779644</v>
      </c>
      <c r="AH26">
        <v>0.33566447910705233</v>
      </c>
      <c r="AI26">
        <v>1.2754077079328223</v>
      </c>
    </row>
    <row r="27" spans="1:35" x14ac:dyDescent="0.25">
      <c r="B27" s="16" t="s">
        <v>36</v>
      </c>
      <c r="C27" s="11" cm="1">
        <f t="array" ref="C27">[1]!ESP_id_by_rate(Q_ESP_)</f>
        <v>1005</v>
      </c>
      <c r="D27" s="16"/>
      <c r="Y27">
        <v>8</v>
      </c>
      <c r="Z27">
        <v>44.210526315789473</v>
      </c>
      <c r="AA27">
        <v>1003.7894736842105</v>
      </c>
      <c r="AB27">
        <v>59.754647852403671</v>
      </c>
      <c r="AC27">
        <v>50</v>
      </c>
      <c r="AD27">
        <v>0.54145634779414387</v>
      </c>
      <c r="AE27">
        <v>23.535276808458068</v>
      </c>
      <c r="AF27">
        <v>285.01531195578531</v>
      </c>
      <c r="AG27">
        <v>857.29046893680652</v>
      </c>
      <c r="AH27">
        <v>0.3327316710825815</v>
      </c>
      <c r="AI27">
        <v>1.2817145525926097</v>
      </c>
    </row>
    <row r="28" spans="1:35" x14ac:dyDescent="0.25">
      <c r="B28" s="16" t="s">
        <v>37</v>
      </c>
      <c r="C28" s="11" t="str" cm="1">
        <f t="array" ref="C28">[1]!ESP_name(PumpID_)</f>
        <v>ЭЦН5-50</v>
      </c>
      <c r="D28" s="16"/>
      <c r="Y28">
        <v>9</v>
      </c>
      <c r="Z28">
        <v>50.526315789473685</v>
      </c>
      <c r="AA28">
        <v>1003.4736842105264</v>
      </c>
      <c r="AB28">
        <v>61.273204424514681</v>
      </c>
      <c r="AC28">
        <v>50</v>
      </c>
      <c r="AD28">
        <v>0.53146438666040641</v>
      </c>
      <c r="AE28">
        <v>23.064986698455829</v>
      </c>
      <c r="AF28">
        <v>326.04898849384472</v>
      </c>
      <c r="AG28">
        <v>988.66796327368036</v>
      </c>
      <c r="AH28">
        <v>0.32983470637807111</v>
      </c>
      <c r="AI28">
        <v>1.28777418947179</v>
      </c>
    </row>
    <row r="29" spans="1:35" ht="15.6" x14ac:dyDescent="0.35">
      <c r="B29" s="16" t="s">
        <v>40</v>
      </c>
      <c r="C29" s="11" cm="1">
        <f t="array" ref="C29">[1]!ESP_rate_max_sm3day(Freq_,PumpID_)</f>
        <v>114</v>
      </c>
      <c r="D29" s="16"/>
      <c r="Y29">
        <v>10</v>
      </c>
      <c r="Z29">
        <v>56.842105263157897</v>
      </c>
      <c r="AA29">
        <v>1003.1578947368421</v>
      </c>
      <c r="AB29">
        <v>62.839743520890629</v>
      </c>
      <c r="AC29">
        <v>50</v>
      </c>
      <c r="AD29">
        <v>0.52128457844619991</v>
      </c>
      <c r="AE29">
        <v>22.615811308436239</v>
      </c>
      <c r="AF29">
        <v>367.18497673644885</v>
      </c>
      <c r="AG29">
        <v>1123.5705377949851</v>
      </c>
      <c r="AH29">
        <v>0.32698708819995087</v>
      </c>
      <c r="AI29">
        <v>1.2932783498492728</v>
      </c>
    </row>
    <row r="30" spans="1:35" x14ac:dyDescent="0.25">
      <c r="B30" s="16" t="s">
        <v>9</v>
      </c>
      <c r="C30" s="11">
        <v>100</v>
      </c>
      <c r="D30" s="16" t="s">
        <v>6</v>
      </c>
      <c r="Y30">
        <v>11</v>
      </c>
      <c r="Z30">
        <v>63.15789473684211</v>
      </c>
      <c r="AA30">
        <v>1002.8421052631579</v>
      </c>
      <c r="AB30">
        <v>64.432703980351718</v>
      </c>
      <c r="AC30">
        <v>50</v>
      </c>
      <c r="AD30">
        <v>0.51100888568949654</v>
      </c>
      <c r="AE30">
        <v>22.17778637984846</v>
      </c>
      <c r="AF30">
        <v>408.372975023197</v>
      </c>
      <c r="AG30">
        <v>1260.4430783528258</v>
      </c>
      <c r="AH30">
        <v>0.32415916204475426</v>
      </c>
      <c r="AI30">
        <v>1.2984723498175006</v>
      </c>
    </row>
    <row r="31" spans="1:35" ht="15.6" x14ac:dyDescent="0.35">
      <c r="B31" s="16" t="s">
        <v>41</v>
      </c>
      <c r="C31" s="5">
        <v>0.8</v>
      </c>
      <c r="D31" s="16"/>
      <c r="Y31">
        <v>12</v>
      </c>
      <c r="Z31">
        <v>69.473684210526315</v>
      </c>
      <c r="AA31">
        <v>1002.5263157894736</v>
      </c>
      <c r="AB31">
        <v>66.052085802897949</v>
      </c>
      <c r="AC31">
        <v>50</v>
      </c>
      <c r="AD31">
        <v>0.50063730839029619</v>
      </c>
      <c r="AE31">
        <v>21.750911912692494</v>
      </c>
      <c r="AF31">
        <v>449.61298335408895</v>
      </c>
      <c r="AG31">
        <v>1399.2855849472023</v>
      </c>
      <c r="AH31">
        <v>0.32135092791248121</v>
      </c>
      <c r="AI31">
        <v>1.3033561893764734</v>
      </c>
    </row>
    <row r="32" spans="1:35" ht="15.6" x14ac:dyDescent="0.35">
      <c r="B32" s="16" t="s">
        <v>42</v>
      </c>
      <c r="C32" s="7">
        <v>80</v>
      </c>
      <c r="D32" s="16" t="s">
        <v>1</v>
      </c>
      <c r="Y32">
        <v>13</v>
      </c>
      <c r="Z32">
        <v>75.78947368421052</v>
      </c>
      <c r="AA32">
        <v>1002.2105263157895</v>
      </c>
      <c r="AB32">
        <v>67.72026558936011</v>
      </c>
      <c r="AC32">
        <v>50</v>
      </c>
      <c r="AD32">
        <v>0.49010353238291254</v>
      </c>
      <c r="AE32">
        <v>21.34381654905674</v>
      </c>
      <c r="AF32">
        <v>490.94183649146419</v>
      </c>
      <c r="AG32">
        <v>1541.8189054872857</v>
      </c>
      <c r="AH32">
        <v>0.31857438000481814</v>
      </c>
      <c r="AI32">
        <v>1.3076605583160497</v>
      </c>
    </row>
    <row r="33" spans="1:35" ht="15.6" x14ac:dyDescent="0.35">
      <c r="B33" s="16" t="s">
        <v>43</v>
      </c>
      <c r="C33" s="7">
        <v>80</v>
      </c>
      <c r="D33" s="16" t="s">
        <v>2</v>
      </c>
      <c r="Y33">
        <v>14</v>
      </c>
      <c r="Z33">
        <v>82.10526315789474</v>
      </c>
      <c r="AA33">
        <v>1001.8947368421053</v>
      </c>
      <c r="AB33">
        <v>69.41071836997088</v>
      </c>
      <c r="AC33">
        <v>50</v>
      </c>
      <c r="AD33">
        <v>0.47950151067211871</v>
      </c>
      <c r="AE33">
        <v>20.945473402972226</v>
      </c>
      <c r="AF33">
        <v>532.30886106819139</v>
      </c>
      <c r="AG33">
        <v>1686.0555485077873</v>
      </c>
      <c r="AH33">
        <v>0.31581203613200171</v>
      </c>
      <c r="AI33">
        <v>1.3116984772702172</v>
      </c>
    </row>
    <row r="34" spans="1:35" x14ac:dyDescent="0.25">
      <c r="B34" s="20" t="s">
        <v>44</v>
      </c>
      <c r="C34" s="2">
        <v>1</v>
      </c>
      <c r="D34" s="20" t="s">
        <v>31</v>
      </c>
      <c r="Y34">
        <v>15</v>
      </c>
      <c r="Z34">
        <v>88.421052631578945</v>
      </c>
      <c r="AA34">
        <v>1001.578947368421</v>
      </c>
      <c r="AB34">
        <v>71.136844781803248</v>
      </c>
      <c r="AC34">
        <v>50</v>
      </c>
      <c r="AD34">
        <v>0.46879248822871966</v>
      </c>
      <c r="AE34">
        <v>20.56103849135016</v>
      </c>
      <c r="AF34">
        <v>573.73607492244366</v>
      </c>
      <c r="AG34">
        <v>1833.0277794080866</v>
      </c>
      <c r="AH34">
        <v>0.31307233919713146</v>
      </c>
      <c r="AI34">
        <v>1.3153088545480027</v>
      </c>
    </row>
    <row r="35" spans="1:35" x14ac:dyDescent="0.25">
      <c r="A35" t="s">
        <v>48</v>
      </c>
      <c r="Y35">
        <v>16</v>
      </c>
      <c r="Z35">
        <v>94.736842105263165</v>
      </c>
      <c r="AA35">
        <v>1001.2631578947369</v>
      </c>
      <c r="AB35">
        <v>72.903219144067947</v>
      </c>
      <c r="AC35">
        <v>50</v>
      </c>
      <c r="AD35">
        <v>0.45797658367204441</v>
      </c>
      <c r="AE35">
        <v>20.191720764741433</v>
      </c>
      <c r="AF35">
        <v>615.22634499317257</v>
      </c>
      <c r="AG35">
        <v>1983.1270335769957</v>
      </c>
      <c r="AH35">
        <v>0.31035923874903798</v>
      </c>
      <c r="AI35">
        <v>1.3184334809649996</v>
      </c>
    </row>
    <row r="36" spans="1:35" x14ac:dyDescent="0.25">
      <c r="B36" s="16" t="s">
        <v>7</v>
      </c>
      <c r="C36" s="2">
        <v>20</v>
      </c>
      <c r="D36" s="16"/>
      <c r="Y36">
        <v>17</v>
      </c>
      <c r="Z36">
        <v>101.05263157894737</v>
      </c>
      <c r="AA36">
        <v>1000.9473684210526</v>
      </c>
      <c r="AB36">
        <v>74.691957227102435</v>
      </c>
      <c r="AC36">
        <v>50</v>
      </c>
      <c r="AD36">
        <v>0.44710453865221134</v>
      </c>
      <c r="AE36">
        <v>19.830685181742783</v>
      </c>
      <c r="AF36">
        <v>656.75067261035292</v>
      </c>
      <c r="AG36">
        <v>2134.9702715821682</v>
      </c>
      <c r="AH36">
        <v>0.30766161829761518</v>
      </c>
      <c r="AI36">
        <v>1.321287678289117</v>
      </c>
    </row>
    <row r="37" spans="1:35" x14ac:dyDescent="0.25">
      <c r="A37" s="1"/>
      <c r="Y37">
        <v>18</v>
      </c>
      <c r="Z37">
        <v>107.36842105263158</v>
      </c>
      <c r="AA37">
        <v>1000.6315789473684</v>
      </c>
      <c r="AB37">
        <v>76.525433996598608</v>
      </c>
      <c r="AC37">
        <v>50</v>
      </c>
      <c r="AD37">
        <v>0.4361299281720491</v>
      </c>
      <c r="AE37">
        <v>19.48586500843895</v>
      </c>
      <c r="AF37">
        <v>698.34019426566385</v>
      </c>
      <c r="AG37">
        <v>2290.3217233209771</v>
      </c>
      <c r="AH37">
        <v>0.30499707035158463</v>
      </c>
      <c r="AI37">
        <v>1.3235993149168181</v>
      </c>
    </row>
    <row r="38" spans="1:35" x14ac:dyDescent="0.25">
      <c r="Y38">
        <v>19</v>
      </c>
      <c r="Z38">
        <v>113.68421052631579</v>
      </c>
      <c r="AA38">
        <v>1000.3157894736842</v>
      </c>
      <c r="AB38">
        <v>78.390161729837175</v>
      </c>
      <c r="AC38">
        <v>50</v>
      </c>
      <c r="AD38">
        <v>0.4250956148027818</v>
      </c>
      <c r="AE38">
        <v>19.151993322262904</v>
      </c>
      <c r="AF38">
        <v>739.97215412743697</v>
      </c>
      <c r="AG38">
        <v>2448.1410597436775</v>
      </c>
      <c r="AH38">
        <v>0.30235842006989777</v>
      </c>
      <c r="AI38">
        <v>1.3255309737622361</v>
      </c>
    </row>
    <row r="39" spans="1:35" ht="12.75" customHeight="1" x14ac:dyDescent="0.25">
      <c r="A39" t="s">
        <v>14</v>
      </c>
      <c r="Y39">
        <v>20</v>
      </c>
      <c r="Z39">
        <v>120</v>
      </c>
      <c r="AA39">
        <v>1000</v>
      </c>
      <c r="AB39">
        <v>80.277211580034617</v>
      </c>
      <c r="AC39">
        <v>50</v>
      </c>
      <c r="AD39">
        <v>0.41401865651272513</v>
      </c>
      <c r="AE39">
        <v>18.825941984035275</v>
      </c>
      <c r="AF39">
        <v>781.63442699382585</v>
      </c>
      <c r="AG39">
        <v>2607.7231709405855</v>
      </c>
      <c r="AH39">
        <v>0.29973826811988497</v>
      </c>
      <c r="AI39">
        <v>1.327191219906023</v>
      </c>
    </row>
    <row r="40" spans="1:35" x14ac:dyDescent="0.25">
      <c r="A40" t="s">
        <v>10</v>
      </c>
    </row>
    <row r="42" spans="1:35" ht="26.4" x14ac:dyDescent="0.25">
      <c r="C42" s="17" t="s">
        <v>0</v>
      </c>
      <c r="D42" s="17" t="s">
        <v>11</v>
      </c>
      <c r="E42" s="17" t="s">
        <v>12</v>
      </c>
      <c r="F42" s="18" t="s">
        <v>13</v>
      </c>
    </row>
    <row r="43" spans="1:35" x14ac:dyDescent="0.25">
      <c r="C43" s="6">
        <v>1</v>
      </c>
      <c r="D43" s="23" cm="1">
        <f t="array" ref="D43">[1]!ESP_head_m(C43,NumStage_,Freq_,PumpID_,mu)</f>
        <v>934.96666666666658</v>
      </c>
      <c r="E43" s="24" cm="1">
        <f t="array" ref="E43">[1]!ESP_eff_fr(C43,NumStage_,Freq_,PumpID_,mu)</f>
        <v>1.2847222222222225E-2</v>
      </c>
      <c r="F43" s="23" cm="1">
        <f t="array" ref="F43">[1]!ESP_power_W(C43,NumStage_,Freq_,PumpID_,mu)</f>
        <v>9600.057142857142</v>
      </c>
    </row>
    <row r="44" spans="1:35" x14ac:dyDescent="0.25">
      <c r="C44" s="6">
        <f>Qmax_/20</f>
        <v>5.7</v>
      </c>
      <c r="D44" s="23" cm="1">
        <f t="array" ref="D44">[1]!ESP_head_m(C44,NumStage_,Freq_,PumpID_,mu)</f>
        <v>929.2170000000001</v>
      </c>
      <c r="E44" s="24" cm="1">
        <f t="array" ref="E44">[1]!ESP_eff_fr(C44,NumStage_,Freq_,PumpID_,mu)</f>
        <v>7.1368750000000009E-2</v>
      </c>
      <c r="F44" s="23" cm="1">
        <f t="array" ref="F44">[1]!ESP_power_W(C44,NumStage_,Freq_,PumpID_,mu)</f>
        <v>9286.8222857142846</v>
      </c>
    </row>
    <row r="45" spans="1:35" x14ac:dyDescent="0.25">
      <c r="C45" s="6">
        <f t="shared" ref="C45:C74" si="0">C44+Qmax_/20</f>
        <v>11.4</v>
      </c>
      <c r="D45" s="23" cm="1">
        <f t="array" ref="D45">[1]!ESP_head_m(C45,NumStage_,Freq_,PumpID_,mu)</f>
        <v>920.26800000000003</v>
      </c>
      <c r="E45" s="24" cm="1">
        <f t="array" ref="E45">[1]!ESP_eff_fr(C45,NumStage_,Freq_,PumpID_,mu)</f>
        <v>0.13822500000000001</v>
      </c>
      <c r="F45" s="23" cm="1">
        <f t="array" ref="F45">[1]!ESP_power_W(C45,NumStage_,Freq_,PumpID_,mu)</f>
        <v>9011.9519999999975</v>
      </c>
    </row>
    <row r="46" spans="1:35" x14ac:dyDescent="0.25">
      <c r="C46" s="6">
        <f t="shared" si="0"/>
        <v>17.100000000000001</v>
      </c>
      <c r="D46" s="23" cm="1">
        <f t="array" ref="D46">[1]!ESP_head_m(C46,NumStage_,Freq_,PumpID_,mu)</f>
        <v>909.15300000000002</v>
      </c>
      <c r="E46" s="24" cm="1">
        <f t="array" ref="E46">[1]!ESP_eff_fr(C46,NumStage_,Freq_,PumpID_,mu)</f>
        <v>0.20056875000000005</v>
      </c>
      <c r="F46" s="23" cm="1">
        <f t="array" ref="F46">[1]!ESP_power_W(C46,NumStage_,Freq_,PumpID_,mu)</f>
        <v>8852.1891428571398</v>
      </c>
    </row>
    <row r="47" spans="1:35" x14ac:dyDescent="0.25">
      <c r="C47" s="6">
        <f t="shared" si="0"/>
        <v>22.8</v>
      </c>
      <c r="D47" s="23" cm="1">
        <f t="array" ref="D47">[1]!ESP_head_m(C47,NumStage_,Freq_,PumpID_,mu)</f>
        <v>895.87200000000007</v>
      </c>
      <c r="E47" s="24" cm="1">
        <f t="array" ref="E47">[1]!ESP_eff_fr(C47,NumStage_,Freq_,PumpID_,mu)</f>
        <v>0.25840000000000002</v>
      </c>
      <c r="F47" s="23" cm="1">
        <f t="array" ref="F47">[1]!ESP_power_W(C47,NumStage_,Freq_,PumpID_,mu)</f>
        <v>8807.5337142857115</v>
      </c>
    </row>
    <row r="48" spans="1:35" x14ac:dyDescent="0.25">
      <c r="C48" s="6">
        <f t="shared" si="0"/>
        <v>28.5</v>
      </c>
      <c r="D48" s="23" cm="1">
        <f t="array" ref="D48">[1]!ESP_head_m(C48,NumStage_,Freq_,PumpID_,mu)</f>
        <v>880.44375000000002</v>
      </c>
      <c r="E48" s="24" cm="1">
        <f t="array" ref="E48">[1]!ESP_eff_fr(C48,NumStage_,Freq_,PumpID_,mu)</f>
        <v>0.31211641905737708</v>
      </c>
      <c r="F48" s="23" cm="1">
        <f t="array" ref="F48">[1]!ESP_power_W(C48,NumStage_,Freq_,PumpID_,mu)</f>
        <v>8897.7149999999983</v>
      </c>
    </row>
    <row r="49" spans="3:7" x14ac:dyDescent="0.25">
      <c r="C49" s="6">
        <f t="shared" si="0"/>
        <v>34.200000000000003</v>
      </c>
      <c r="D49" s="23" cm="1">
        <f t="array" ref="D49">[1]!ESP_head_m(C49,NumStage_,Freq_,PumpID_,mu)</f>
        <v>862.8676592592592</v>
      </c>
      <c r="E49" s="24" cm="1">
        <f t="array" ref="E49">[1]!ESP_eff_fr(C49,NumStage_,Freq_,PumpID_,mu)</f>
        <v>0.36170547814207654</v>
      </c>
      <c r="F49" s="23" cm="1">
        <f t="array" ref="F49">[1]!ESP_power_W(C49,NumStage_,Freq_,PumpID_,mu)</f>
        <v>9122.111405714284</v>
      </c>
    </row>
    <row r="50" spans="3:7" x14ac:dyDescent="0.25">
      <c r="C50" s="6">
        <f t="shared" si="0"/>
        <v>39.900000000000006</v>
      </c>
      <c r="D50" s="23" cm="1">
        <f t="array" ref="D50">[1]!ESP_head_m(C50,NumStage_,Freq_,PumpID_,mu)</f>
        <v>843.06941296296293</v>
      </c>
      <c r="E50" s="24" cm="1">
        <f t="array" ref="E50">[1]!ESP_eff_fr(C50,NumStage_,Freq_,PumpID_,mu)</f>
        <v>0.40559103312841532</v>
      </c>
      <c r="F50" s="23" cm="1">
        <f t="array" ref="F50">[1]!ESP_power_W(C50,NumStage_,Freq_,PumpID_,mu)</f>
        <v>9402.5267599999988</v>
      </c>
    </row>
    <row r="51" spans="3:7" x14ac:dyDescent="0.25">
      <c r="C51" s="6">
        <f t="shared" si="0"/>
        <v>45.600000000000009</v>
      </c>
      <c r="D51" s="23" cm="1">
        <f t="array" ref="D51">[1]!ESP_head_m(C51,NumStage_,Freq_,PumpID_,mu)</f>
        <v>820.2879999999999</v>
      </c>
      <c r="E51" s="24" cm="1">
        <f t="array" ref="E51">[1]!ESP_eff_fr(C51,NumStage_,Freq_,PumpID_,mu)</f>
        <v>0.44111085511741249</v>
      </c>
      <c r="F51" s="23" cm="1">
        <f t="array" ref="F51">[1]!ESP_power_W(C51,NumStage_,Freq_,PumpID_,mu)</f>
        <v>9668.7425828571413</v>
      </c>
    </row>
    <row r="52" spans="3:7" x14ac:dyDescent="0.25">
      <c r="C52" s="6">
        <f t="shared" si="0"/>
        <v>51.300000000000011</v>
      </c>
      <c r="D52" s="23" cm="1">
        <f t="array" ref="D52">[1]!ESP_head_m(C52,NumStage_,Freq_,PumpID_,mu)</f>
        <v>791.62720370370357</v>
      </c>
      <c r="E52" s="24" cm="1">
        <f t="array" ref="E52">[1]!ESP_eff_fr(C52,NumStage_,Freq_,PumpID_,mu)</f>
        <v>0.46440002584551765</v>
      </c>
      <c r="F52" s="23" cm="1">
        <f t="array" ref="F52">[1]!ESP_power_W(C52,NumStage_,Freq_,PumpID_,mu)</f>
        <v>9925.7211657142852</v>
      </c>
    </row>
    <row r="53" spans="3:7" x14ac:dyDescent="0.25">
      <c r="C53" s="6">
        <f t="shared" si="0"/>
        <v>57.000000000000014</v>
      </c>
      <c r="D53" s="23" cm="1">
        <f t="array" ref="D53">[1]!ESP_head_m(C53,NumStage_,Freq_,PumpID_,mu)</f>
        <v>756.10740740740732</v>
      </c>
      <c r="E53" s="24" cm="1">
        <f t="array" ref="E53">[1]!ESP_eff_fr(C53,NumStage_,Freq_,PumpID_,mu)</f>
        <v>0.47699675084920989</v>
      </c>
      <c r="F53" s="23" cm="1">
        <f t="array" ref="F53">[1]!ESP_power_W(C53,NumStage_,Freq_,PumpID_,mu)</f>
        <v>10203.542857142857</v>
      </c>
    </row>
    <row r="54" spans="3:7" x14ac:dyDescent="0.25">
      <c r="C54" s="6">
        <f t="shared" si="0"/>
        <v>62.700000000000017</v>
      </c>
      <c r="D54" s="23" cm="1">
        <f t="array" ref="D54">[1]!ESP_head_m(C54,NumStage_,Freq_,PumpID_,mu)</f>
        <v>712.89787499999977</v>
      </c>
      <c r="E54" s="24" cm="1">
        <f t="array" ref="E54">[1]!ESP_eff_fr(C54,NumStage_,Freq_,PumpID_,mu)</f>
        <v>0.48045148319050757</v>
      </c>
      <c r="F54" s="23" cm="1">
        <f t="array" ref="F54">[1]!ESP_power_W(C54,NumStage_,Freq_,PumpID_,mu)</f>
        <v>10523.519999999999</v>
      </c>
    </row>
    <row r="55" spans="3:7" x14ac:dyDescent="0.25">
      <c r="C55" s="6">
        <f t="shared" si="0"/>
        <v>68.40000000000002</v>
      </c>
      <c r="D55" s="23" cm="1">
        <f t="array" ref="D55">[1]!ESP_head_m(C55,NumStage_,Freq_,PumpID_,mu)</f>
        <v>661.67466666666633</v>
      </c>
      <c r="E55" s="24" cm="1">
        <f t="array" ref="E55">[1]!ESP_eff_fr(C55,NumStage_,Freq_,PumpID_,mu)</f>
        <v>0.47353222490783459</v>
      </c>
      <c r="F55" s="23" cm="1">
        <f t="array" ref="F55">[1]!ESP_power_W(C55,NumStage_,Freq_,PumpID_,mu)</f>
        <v>10851.84</v>
      </c>
    </row>
    <row r="56" spans="3:7" x14ac:dyDescent="0.25">
      <c r="C56" s="6">
        <f t="shared" si="0"/>
        <v>74.100000000000023</v>
      </c>
      <c r="D56" s="23" cm="1">
        <f t="array" ref="D56">[1]!ESP_head_m(C56,NumStage_,Freq_,PumpID_,mu)</f>
        <v>603.95345833333306</v>
      </c>
      <c r="E56" s="24" cm="1">
        <f t="array" ref="E56">[1]!ESP_eff_fr(C56,NumStage_,Freq_,PumpID_,mu)</f>
        <v>0.45671607216973059</v>
      </c>
      <c r="F56" s="23" cm="1">
        <f t="array" ref="F56">[1]!ESP_power_W(C56,NumStage_,Freq_,PumpID_,mu)</f>
        <v>11180.16</v>
      </c>
    </row>
    <row r="57" spans="3:7" x14ac:dyDescent="0.25">
      <c r="C57" s="6">
        <f t="shared" si="0"/>
        <v>79.800000000000026</v>
      </c>
      <c r="D57" s="23" cm="1">
        <f t="array" ref="D57">[1]!ESP_head_m(C57,NumStage_,Freq_,PumpID_,mu)</f>
        <v>541.32782142857104</v>
      </c>
      <c r="E57" s="24" cm="1">
        <f t="array" ref="E57">[1]!ESP_eff_fr(C57,NumStage_,Freq_,PumpID_,mu)</f>
        <v>0.43092401676829251</v>
      </c>
      <c r="F57" s="23" cm="1">
        <f t="array" ref="F57">[1]!ESP_power_W(C57,NumStage_,Freq_,PumpID_,mu)</f>
        <v>11508.480000000001</v>
      </c>
    </row>
    <row r="58" spans="3:7" x14ac:dyDescent="0.25">
      <c r="C58" s="6">
        <f t="shared" si="0"/>
        <v>85.500000000000028</v>
      </c>
      <c r="D58" s="23" cm="1">
        <f t="array" ref="D58">[1]!ESP_head_m(C58,NumStage_,Freq_,PumpID_,mu)</f>
        <v>473.75457589285674</v>
      </c>
      <c r="E58" s="24" cm="1">
        <f t="array" ref="E58">[1]!ESP_eff_fr(C58,NumStage_,Freq_,PumpID_,mu)</f>
        <v>0.3935590939405485</v>
      </c>
      <c r="F58" s="23" cm="1">
        <f t="array" ref="F58">[1]!ESP_power_W(C58,NumStage_,Freq_,PumpID_,mu)</f>
        <v>11836.800000000001</v>
      </c>
    </row>
    <row r="59" spans="3:7" x14ac:dyDescent="0.25">
      <c r="C59" s="6">
        <f t="shared" si="0"/>
        <v>91.200000000000031</v>
      </c>
      <c r="D59" s="23" cm="1">
        <f t="array" ref="D59">[1]!ESP_head_m(C59,NumStage_,Freq_,PumpID_,mu)</f>
        <v>402.31028571428527</v>
      </c>
      <c r="E59" s="24" cm="1">
        <f t="array" ref="E59">[1]!ESP_eff_fr(C59,NumStage_,Freq_,PumpID_,mu)</f>
        <v>0.33595749999999958</v>
      </c>
      <c r="F59" s="23" cm="1">
        <f t="array" ref="F59">[1]!ESP_power_W(C59,NumStage_,Freq_,PumpID_,mu)</f>
        <v>12156.9984</v>
      </c>
    </row>
    <row r="60" spans="3:7" x14ac:dyDescent="0.25">
      <c r="C60" s="6">
        <f t="shared" si="0"/>
        <v>96.900000000000034</v>
      </c>
      <c r="D60" s="23" cm="1">
        <f t="array" ref="D60">[1]!ESP_head_m(C60,NumStage_,Freq_,PumpID_,mu)</f>
        <v>325.43509821428523</v>
      </c>
      <c r="E60" s="24" cm="1">
        <f t="array" ref="E60">[1]!ESP_eff_fr(C60,NumStage_,Freq_,PumpID_,mu)</f>
        <v>0.26244457031249951</v>
      </c>
      <c r="F60" s="23" cm="1">
        <f t="array" ref="F60">[1]!ESP_power_W(C60,NumStage_,Freq_,PumpID_,mu)</f>
        <v>12306.332699999999</v>
      </c>
    </row>
    <row r="61" spans="3:7" x14ac:dyDescent="0.25">
      <c r="C61" s="6">
        <f t="shared" si="0"/>
        <v>102.60000000000004</v>
      </c>
      <c r="D61" s="23" cm="1">
        <f t="array" ref="D61">[1]!ESP_head_m(C61,NumStage_,Freq_,PumpID_,mu)</f>
        <v>234.26999999999941</v>
      </c>
      <c r="E61" s="24" cm="1">
        <f t="array" ref="E61">[1]!ESP_eff_fr(C61,NumStage_,Freq_,PumpID_,mu)</f>
        <v>0.1812124999999995</v>
      </c>
      <c r="F61" s="23" cm="1">
        <f t="array" ref="F61">[1]!ESP_power_W(C61,NumStage_,Freq_,PumpID_,mu)</f>
        <v>12467.951999999999</v>
      </c>
    </row>
    <row r="62" spans="3:7" x14ac:dyDescent="0.25">
      <c r="C62" s="6">
        <f t="shared" si="0"/>
        <v>108.30000000000004</v>
      </c>
      <c r="D62" s="23" cm="1">
        <f t="array" ref="D62">[1]!ESP_head_m(C62,NumStage_,Freq_,PumpID_,mu)</f>
        <v>125.25749999999894</v>
      </c>
      <c r="E62" s="24" cm="1">
        <f t="array" ref="E62">[1]!ESP_eff_fr(C62,NumStage_,Freq_,PumpID_,mu)</f>
        <v>9.3990624999999189E-2</v>
      </c>
      <c r="F62" s="23" cm="1">
        <f t="array" ref="F62">[1]!ESP_power_W(C62,NumStage_,Freq_,PumpID_,mu)</f>
        <v>12761.388000000001</v>
      </c>
    </row>
    <row r="63" spans="3:7" x14ac:dyDescent="0.25">
      <c r="C63" s="6">
        <f t="shared" si="0"/>
        <v>114.00000000000004</v>
      </c>
      <c r="D63" s="23" cm="1">
        <f t="array" ref="D63">[1]!ESP_head_m(C63,NumStage_,Freq_,PumpID_,mu)</f>
        <v>-7.9733095126321984E-13</v>
      </c>
      <c r="E63" s="24" cm="1">
        <f t="array" ref="E63">[1]!ESP_eff_fr(C63,NumStage_,Freq_,PumpID_,mu)</f>
        <v>0</v>
      </c>
      <c r="F63" s="23" cm="1">
        <f t="array" ref="F63">[1]!ESP_power_W(C63,NumStage_,Freq_,PumpID_,mu)</f>
        <v>13132.799999999997</v>
      </c>
    </row>
    <row r="64" spans="3:7" x14ac:dyDescent="0.25">
      <c r="C64" s="6">
        <f t="shared" si="0"/>
        <v>119.70000000000005</v>
      </c>
      <c r="D64" s="23" cm="1">
        <f t="array" ref="D64">[1]!ESP_head_m(C64,NumStage_,Freq_,PumpID_,mu)</f>
        <v>-125.2575000000007</v>
      </c>
      <c r="E64" s="24" cm="1">
        <f t="array" ref="E64">[1]!ESP_eff_fr(C64,NumStage_,Freq_,PumpID_,mu)</f>
        <v>0</v>
      </c>
      <c r="F64" s="23" cm="1">
        <f t="array" ref="F64">[1]!ESP_power_W(C64,NumStage_,Freq_,PumpID_,mu)</f>
        <v>13132.799999999997</v>
      </c>
      <c r="G64" s="8"/>
    </row>
    <row r="65" spans="3:7" x14ac:dyDescent="0.25">
      <c r="C65" s="6">
        <f t="shared" si="0"/>
        <v>125.40000000000005</v>
      </c>
      <c r="D65" s="23" cm="1">
        <f t="array" ref="D65">[1]!ESP_head_m(C65,NumStage_,Freq_,PumpID_,mu)</f>
        <v>-234.27000000000089</v>
      </c>
      <c r="E65" s="24" cm="1">
        <f t="array" ref="E65">[1]!ESP_eff_fr(C65,NumStage_,Freq_,PumpID_,mu)</f>
        <v>0</v>
      </c>
      <c r="F65" s="23" cm="1">
        <f t="array" ref="F65">[1]!ESP_power_W(C65,NumStage_,Freq_,PumpID_,mu)</f>
        <v>13132.799999999997</v>
      </c>
      <c r="G65" s="8"/>
    </row>
    <row r="66" spans="3:7" x14ac:dyDescent="0.25">
      <c r="C66" s="6">
        <f t="shared" si="0"/>
        <v>131.10000000000005</v>
      </c>
      <c r="D66" s="23" cm="1">
        <f t="array" ref="D66">[1]!ESP_head_m(C66,NumStage_,Freq_,PumpID_,mu)</f>
        <v>-325.43509821428643</v>
      </c>
      <c r="E66" s="24" cm="1">
        <f t="array" ref="E66">[1]!ESP_eff_fr(C66,NumStage_,Freq_,PumpID_,mu)</f>
        <v>0</v>
      </c>
      <c r="F66" s="23" cm="1">
        <f t="array" ref="F66">[1]!ESP_power_W(C66,NumStage_,Freq_,PumpID_,mu)</f>
        <v>13132.799999999997</v>
      </c>
      <c r="G66" s="8"/>
    </row>
    <row r="67" spans="3:7" x14ac:dyDescent="0.25">
      <c r="C67" s="6">
        <f t="shared" si="0"/>
        <v>136.80000000000004</v>
      </c>
      <c r="D67" s="23" cm="1">
        <f t="array" ref="D67">[1]!ESP_head_m(C67,NumStage_,Freq_,PumpID_,mu)</f>
        <v>-402.31028571428612</v>
      </c>
      <c r="E67" s="24" cm="1">
        <f t="array" ref="E67">[1]!ESP_eff_fr(C67,NumStage_,Freq_,PumpID_,mu)</f>
        <v>0</v>
      </c>
      <c r="F67" s="23" cm="1">
        <f t="array" ref="F67">[1]!ESP_power_W(C67,NumStage_,Freq_,PumpID_,mu)</f>
        <v>13132.799999999997</v>
      </c>
      <c r="G67" s="8"/>
    </row>
    <row r="68" spans="3:7" x14ac:dyDescent="0.25">
      <c r="C68" s="6">
        <f t="shared" si="0"/>
        <v>142.50000000000003</v>
      </c>
      <c r="D68" s="23" cm="1">
        <f t="array" ref="D68">[1]!ESP_head_m(C68,NumStage_,Freq_,PumpID_,mu)</f>
        <v>-473.75457589285736</v>
      </c>
      <c r="E68" s="24" cm="1">
        <f t="array" ref="E68">[1]!ESP_eff_fr(C68,NumStage_,Freq_,PumpID_,mu)</f>
        <v>0</v>
      </c>
      <c r="F68" s="23" cm="1">
        <f t="array" ref="F68">[1]!ESP_power_W(C68,NumStage_,Freq_,PumpID_,mu)</f>
        <v>13132.799999999997</v>
      </c>
    </row>
    <row r="69" spans="3:7" x14ac:dyDescent="0.25">
      <c r="C69" s="6">
        <f t="shared" si="0"/>
        <v>148.20000000000002</v>
      </c>
      <c r="D69" s="23" cm="1">
        <f t="array" ref="D69">[1]!ESP_head_m(C69,NumStage_,Freq_,PumpID_,mu)</f>
        <v>-541.32782142857161</v>
      </c>
      <c r="E69" s="24" cm="1">
        <f t="array" ref="E69">[1]!ESP_eff_fr(C69,NumStage_,Freq_,PumpID_,mu)</f>
        <v>0</v>
      </c>
      <c r="F69" s="23" cm="1">
        <f t="array" ref="F69">[1]!ESP_power_W(C69,NumStage_,Freq_,PumpID_,mu)</f>
        <v>13132.799999999997</v>
      </c>
    </row>
    <row r="70" spans="3:7" x14ac:dyDescent="0.25">
      <c r="C70" s="6">
        <f t="shared" si="0"/>
        <v>153.9</v>
      </c>
      <c r="D70" s="23" cm="1">
        <f t="array" ref="D70">[1]!ESP_head_m(C70,NumStage_,Freq_,PumpID_,mu)</f>
        <v>-603.9534583333334</v>
      </c>
      <c r="E70" s="24" cm="1">
        <f t="array" ref="E70">[1]!ESP_eff_fr(C70,NumStage_,Freq_,PumpID_,mu)</f>
        <v>0</v>
      </c>
      <c r="F70" s="23" cm="1">
        <f t="array" ref="F70">[1]!ESP_power_W(C70,NumStage_,Freq_,PumpID_,mu)</f>
        <v>13132.799999999997</v>
      </c>
    </row>
    <row r="71" spans="3:7" x14ac:dyDescent="0.25">
      <c r="C71" s="6">
        <f t="shared" si="0"/>
        <v>159.6</v>
      </c>
      <c r="D71" s="23" cm="1">
        <f t="array" ref="D71">[1]!ESP_head_m(C71,NumStage_,Freq_,PumpID_,mu)</f>
        <v>-661.67466666666655</v>
      </c>
      <c r="E71" s="24" cm="1">
        <f t="array" ref="E71">[1]!ESP_eff_fr(C71,NumStage_,Freq_,PumpID_,mu)</f>
        <v>0</v>
      </c>
      <c r="F71" s="23" cm="1">
        <f t="array" ref="F71">[1]!ESP_power_W(C71,NumStage_,Freq_,PumpID_,mu)</f>
        <v>13132.799999999997</v>
      </c>
    </row>
    <row r="72" spans="3:7" x14ac:dyDescent="0.25">
      <c r="C72" s="6">
        <f t="shared" si="0"/>
        <v>165.29999999999998</v>
      </c>
      <c r="D72" s="23" cm="1">
        <f t="array" ref="D72">[1]!ESP_head_m(C72,NumStage_,Freq_,PumpID_,mu)</f>
        <v>-712.89787499999977</v>
      </c>
      <c r="E72" s="24" cm="1">
        <f t="array" ref="E72">[1]!ESP_eff_fr(C72,NumStage_,Freq_,PumpID_,mu)</f>
        <v>0</v>
      </c>
      <c r="F72" s="23" cm="1">
        <f t="array" ref="F72">[1]!ESP_power_W(C72,NumStage_,Freq_,PumpID_,mu)</f>
        <v>13132.799999999997</v>
      </c>
    </row>
    <row r="73" spans="3:7" x14ac:dyDescent="0.25">
      <c r="C73" s="6">
        <f t="shared" si="0"/>
        <v>170.99999999999997</v>
      </c>
      <c r="D73" s="23" cm="1">
        <f t="array" ref="D73">[1]!ESP_head_m(C73,NumStage_,Freq_,PumpID_,mu)</f>
        <v>-756.10740740740721</v>
      </c>
      <c r="E73" s="24" cm="1">
        <f t="array" ref="E73">[1]!ESP_eff_fr(C73,NumStage_,Freq_,PumpID_,mu)</f>
        <v>0</v>
      </c>
      <c r="F73" s="23" cm="1">
        <f t="array" ref="F73">[1]!ESP_power_W(C73,NumStage_,Freq_,PumpID_,mu)</f>
        <v>13132.799999999997</v>
      </c>
    </row>
    <row r="74" spans="3:7" x14ac:dyDescent="0.25">
      <c r="C74" s="6">
        <f t="shared" si="0"/>
        <v>176.69999999999996</v>
      </c>
      <c r="D74" s="23" cm="1">
        <f t="array" ref="D74">[1]!ESP_head_m(C74,NumStage_,Freq_,PumpID_,mu)</f>
        <v>-791.62720370370346</v>
      </c>
      <c r="E74" s="24" cm="1">
        <f t="array" ref="E74">[1]!ESP_eff_fr(C74,NumStage_,Freq_,PumpID_,mu)</f>
        <v>0</v>
      </c>
      <c r="F74" s="23" cm="1">
        <f t="array" ref="F74">[1]!ESP_power_W(C74,NumStage_,Freq_,PumpID_,mu)</f>
        <v>13132.799999999997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28</vt:i4>
      </vt:variant>
    </vt:vector>
  </HeadingPairs>
  <TitlesOfParts>
    <vt:vector size="29" baseType="lpstr">
      <vt:lpstr>exercise_ESP</vt:lpstr>
      <vt:lpstr>exercise_ESP!Bob_</vt:lpstr>
      <vt:lpstr>exercise_ESP!Freq_</vt:lpstr>
      <vt:lpstr>exercise_ESP!fw_</vt:lpstr>
      <vt:lpstr>exercise_ESP!gamma_gas_</vt:lpstr>
      <vt:lpstr>exercise_ESP!gamma_oil_</vt:lpstr>
      <vt:lpstr>exercise_ESP!gamma_wat_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PKsep</vt:lpstr>
      <vt:lpstr>exercise_ESP!PumpID_</vt:lpstr>
      <vt:lpstr>exercise_ESP!Q_</vt:lpstr>
      <vt:lpstr>exercise_ESP!Q_ESP_</vt:lpstr>
      <vt:lpstr>exercise_ESP!Qmax_</vt:lpstr>
      <vt:lpstr>exercise_ESP!Rp_</vt:lpstr>
      <vt:lpstr>exercise_ESP!Rsb_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2021-04-19T03:50:32Z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