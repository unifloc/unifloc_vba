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822B7A15-193C-4D03-B5C3-621BF4911C8B}" xr6:coauthVersionLast="47" xr6:coauthVersionMax="47" xr10:uidLastSave="{00000000-0000-0000-0000-000000000000}"/>
  <bookViews>
    <workbookView xWindow="-120" yWindow="-120" windowWidth="38640" windowHeight="21240" tabRatio="422" xr2:uid="{00000000-000D-0000-FFFF-FFFF00000000}"/>
  </bookViews>
  <sheets>
    <sheet name="exercise_ESP" sheetId="110" r:id="rId1"/>
  </sheets>
  <externalReferences>
    <externalReference r:id="rId2"/>
  </externalReferences>
  <definedNames>
    <definedName name="Bob_" localSheetId="0">exercise_ESP!$C$18</definedName>
    <definedName name="Freq_" localSheetId="0">exercise_ESP!$C$26</definedName>
    <definedName name="fw_" localSheetId="0">exercise_ESP!$C$22</definedName>
    <definedName name="Fном__Гц">exercise_ESP!$F$25</definedName>
    <definedName name="gamma_gas_" localSheetId="0">exercise_ESP!$C$13</definedName>
    <definedName name="gamma_oil_" localSheetId="0">exercise_ESP!$C$11</definedName>
    <definedName name="gamma_wat_" localSheetId="0">exercise_ESP!$C$12</definedName>
    <definedName name="Head_ESP_" localSheetId="0">exercise_ESP!$C$25</definedName>
    <definedName name="input_Course">exercise_ESP!$I$3</definedName>
    <definedName name="input_Date">exercise_ESP!$I$1</definedName>
    <definedName name="input_Group">exercise_ESP!$I$4</definedName>
    <definedName name="input_Notes">exercise_ESP!$I$6</definedName>
    <definedName name="input_Student_Name">exercise_ESP!$I$5</definedName>
    <definedName name="input_Version">exercise_ESP!$I$2</definedName>
    <definedName name="KsepGasSep_" localSheetId="0">exercise_ESP!$C$31</definedName>
    <definedName name="mu">exercise_ESP!$C$34</definedName>
    <definedName name="muob_" localSheetId="0">exercise_ESP!$C$19</definedName>
    <definedName name="N_" localSheetId="0">exercise_ESP!$C$36</definedName>
    <definedName name="NumStage_" localSheetId="0">exercise_ESP!$C$30</definedName>
    <definedName name="Pb_" localSheetId="0">exercise_ESP!$C$16</definedName>
    <definedName name="PKsep">exercise_ESP!$C$32</definedName>
    <definedName name="pole_pairs">exercise_ESP!$F$24</definedName>
    <definedName name="PumpID_" localSheetId="0">exercise_ESP!$C$27</definedName>
    <definedName name="Q_" localSheetId="0">exercise_ESP!$C$21</definedName>
    <definedName name="Q_ESP_" localSheetId="0">exercise_ESP!$C$24</definedName>
    <definedName name="Qmax_" localSheetId="0">exercise_ESP!$C$29</definedName>
    <definedName name="Rp_" localSheetId="0">exercise_ESP!$C$15</definedName>
    <definedName name="Rsb_" localSheetId="0">exercise_ESP!$C$14</definedName>
    <definedName name="TKsep_">exercise_ESP!$C$33</definedName>
    <definedName name="Tres_" localSheetId="0">exercise_ESP!$C$17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110" l="1" a="1"/>
  <c r="C27" i="110" l="1"/>
  <c r="E17" i="110" l="1"/>
  <c r="E16" i="110"/>
  <c r="E15" i="110"/>
  <c r="E14" i="110"/>
  <c r="E13" i="110"/>
  <c r="E12" i="110"/>
  <c r="E11" i="110"/>
  <c r="G1" i="110"/>
  <c r="C29" i="110" l="1" a="1"/>
  <c r="F30" i="110" a="1"/>
  <c r="C28" i="110" a="1"/>
  <c r="C29" i="110" l="1"/>
  <c r="C44" i="110" s="1"/>
  <c r="F30" i="110"/>
  <c r="C30" i="110" s="1"/>
  <c r="C28" i="110"/>
  <c r="I25" i="110" a="1"/>
  <c r="E43" i="110" a="1"/>
  <c r="D43" i="110" a="1"/>
  <c r="F43" i="110" a="1"/>
  <c r="F44" i="110" a="1"/>
  <c r="D44" i="110" a="1"/>
  <c r="E44" i="110" a="1"/>
  <c r="I25" i="110" l="1"/>
  <c r="F43" i="110"/>
  <c r="D43" i="110"/>
  <c r="E43" i="110"/>
  <c r="E44" i="110"/>
  <c r="D44" i="110"/>
  <c r="F44" i="110"/>
  <c r="C45" i="110"/>
  <c r="C46" i="110" s="1"/>
  <c r="E45" i="110" a="1"/>
  <c r="F45" i="110" a="1"/>
  <c r="D45" i="110" a="1"/>
  <c r="F46" i="110" a="1"/>
  <c r="E46" i="110" a="1"/>
  <c r="D46" i="110" a="1"/>
  <c r="D45" i="110" l="1"/>
  <c r="F45" i="110"/>
  <c r="E45" i="110"/>
  <c r="F46" i="110"/>
  <c r="D46" i="110"/>
  <c r="E46" i="110"/>
  <c r="C47" i="110"/>
  <c r="F47" i="110" a="1"/>
  <c r="D47" i="110" a="1"/>
  <c r="E47" i="110" a="1"/>
  <c r="F47" i="110" l="1"/>
  <c r="D47" i="110"/>
  <c r="E47" i="110"/>
  <c r="C48" i="110"/>
  <c r="F48" i="110" a="1"/>
  <c r="D48" i="110" a="1"/>
  <c r="E48" i="110" a="1"/>
  <c r="F48" i="110" l="1"/>
  <c r="D48" i="110"/>
  <c r="E48" i="110"/>
  <c r="C49" i="110"/>
  <c r="F49" i="110" a="1"/>
  <c r="E49" i="110" a="1"/>
  <c r="D49" i="110" a="1"/>
  <c r="E49" i="110" l="1"/>
  <c r="F49" i="110"/>
  <c r="D49" i="110"/>
  <c r="C50" i="110"/>
  <c r="D50" i="110" a="1"/>
  <c r="E50" i="110" a="1"/>
  <c r="F50" i="110" a="1"/>
  <c r="E50" i="110" l="1"/>
  <c r="D50" i="110"/>
  <c r="F50" i="110"/>
  <c r="C51" i="110"/>
  <c r="F51" i="110" a="1"/>
  <c r="E51" i="110" a="1"/>
  <c r="D51" i="110" a="1"/>
  <c r="D51" i="110" l="1"/>
  <c r="E51" i="110"/>
  <c r="F51" i="110"/>
  <c r="C52" i="110"/>
  <c r="E52" i="110" a="1"/>
  <c r="D52" i="110" a="1"/>
  <c r="F52" i="110" a="1"/>
  <c r="E52" i="110" l="1"/>
  <c r="F52" i="110"/>
  <c r="D52" i="110"/>
  <c r="C53" i="110"/>
  <c r="E53" i="110" a="1"/>
  <c r="F53" i="110" a="1"/>
  <c r="D53" i="110" a="1"/>
  <c r="D53" i="110" l="1"/>
  <c r="E53" i="110"/>
  <c r="F53" i="110"/>
  <c r="C54" i="110"/>
  <c r="F54" i="110" a="1"/>
  <c r="D54" i="110" a="1"/>
  <c r="E54" i="110" a="1"/>
  <c r="E54" i="110" l="1"/>
  <c r="F54" i="110"/>
  <c r="D54" i="110"/>
  <c r="C55" i="110"/>
  <c r="E55" i="110" a="1"/>
  <c r="F55" i="110" a="1"/>
  <c r="D55" i="110" a="1"/>
  <c r="D55" i="110" l="1"/>
  <c r="E55" i="110"/>
  <c r="F55" i="110"/>
  <c r="C56" i="110"/>
  <c r="E56" i="110" a="1"/>
  <c r="D56" i="110" a="1"/>
  <c r="F56" i="110" a="1"/>
  <c r="D56" i="110" l="1"/>
  <c r="E56" i="110"/>
  <c r="F56" i="110"/>
  <c r="C57" i="110"/>
  <c r="E57" i="110" a="1"/>
  <c r="F57" i="110" a="1"/>
  <c r="D57" i="110" a="1"/>
  <c r="D57" i="110" l="1"/>
  <c r="E57" i="110"/>
  <c r="F57" i="110"/>
  <c r="C58" i="110"/>
  <c r="E58" i="110" a="1"/>
  <c r="F58" i="110" a="1"/>
  <c r="D58" i="110" a="1"/>
  <c r="D58" i="110" l="1"/>
  <c r="E58" i="110"/>
  <c r="F58" i="110"/>
  <c r="C59" i="110"/>
  <c r="E59" i="110" a="1"/>
  <c r="F59" i="110" a="1"/>
  <c r="D59" i="110" a="1"/>
  <c r="F59" i="110" l="1"/>
  <c r="D59" i="110"/>
  <c r="E59" i="110"/>
  <c r="C60" i="110"/>
  <c r="E60" i="110" a="1"/>
  <c r="F60" i="110" a="1"/>
  <c r="D60" i="110" a="1"/>
  <c r="D60" i="110" l="1"/>
  <c r="E60" i="110"/>
  <c r="F60" i="110"/>
  <c r="C61" i="110"/>
  <c r="D61" i="110" a="1"/>
  <c r="E61" i="110" a="1"/>
  <c r="F61" i="110" a="1"/>
  <c r="E61" i="110" l="1"/>
  <c r="F61" i="110"/>
  <c r="D61" i="110"/>
  <c r="C62" i="110"/>
  <c r="D62" i="110" a="1"/>
  <c r="E62" i="110" a="1"/>
  <c r="F62" i="110" a="1"/>
  <c r="D62" i="110" l="1"/>
  <c r="E62" i="110"/>
  <c r="F62" i="110"/>
  <c r="C63" i="110"/>
  <c r="E63" i="110" a="1"/>
  <c r="D63" i="110" a="1"/>
  <c r="F63" i="110" a="1"/>
  <c r="D63" i="110" l="1"/>
  <c r="E63" i="110"/>
  <c r="F63" i="110"/>
  <c r="C64" i="110"/>
  <c r="E64" i="110" a="1"/>
  <c r="D64" i="110" a="1"/>
  <c r="F64" i="110" a="1"/>
  <c r="F64" i="110" l="1"/>
  <c r="D64" i="110"/>
  <c r="E64" i="110"/>
  <c r="C65" i="110"/>
  <c r="E65" i="110" a="1"/>
  <c r="D65" i="110" a="1"/>
  <c r="F65" i="110" a="1"/>
  <c r="D65" i="110" l="1"/>
  <c r="E65" i="110"/>
  <c r="F65" i="110"/>
  <c r="C66" i="110"/>
  <c r="E66" i="110" a="1"/>
  <c r="F66" i="110" a="1"/>
  <c r="D66" i="110" a="1"/>
  <c r="E66" i="110" l="1"/>
  <c r="F66" i="110"/>
  <c r="D66" i="110"/>
  <c r="C67" i="110"/>
  <c r="E67" i="110" a="1"/>
  <c r="F67" i="110" a="1"/>
  <c r="D67" i="110" a="1"/>
  <c r="D67" i="110" l="1"/>
  <c r="E67" i="110"/>
  <c r="F67" i="110"/>
  <c r="C68" i="110"/>
  <c r="D68" i="110" a="1"/>
  <c r="E68" i="110" a="1"/>
  <c r="F68" i="110" a="1"/>
  <c r="D68" i="110" l="1"/>
  <c r="E68" i="110"/>
  <c r="F68" i="110"/>
  <c r="C69" i="110"/>
  <c r="E69" i="110" a="1"/>
  <c r="F69" i="110" a="1"/>
  <c r="D69" i="110" a="1"/>
  <c r="D69" i="110" l="1"/>
  <c r="E69" i="110"/>
  <c r="F69" i="110"/>
  <c r="C70" i="110"/>
  <c r="E70" i="110" a="1"/>
  <c r="D70" i="110" a="1"/>
  <c r="F70" i="110" a="1"/>
  <c r="D70" i="110" l="1"/>
  <c r="E70" i="110"/>
  <c r="F70" i="110"/>
  <c r="C71" i="110"/>
  <c r="E71" i="110" a="1"/>
  <c r="D71" i="110" a="1"/>
  <c r="F71" i="110" a="1"/>
  <c r="F71" i="110" l="1"/>
  <c r="D71" i="110"/>
  <c r="E71" i="110"/>
  <c r="C72" i="110"/>
  <c r="D72" i="110" a="1"/>
  <c r="F72" i="110" a="1"/>
  <c r="E72" i="110" a="1"/>
  <c r="D72" i="110" l="1"/>
  <c r="E72" i="110"/>
  <c r="F72" i="110"/>
  <c r="C73" i="110"/>
  <c r="F73" i="110" a="1"/>
  <c r="D73" i="110" a="1"/>
  <c r="E73" i="110" a="1"/>
  <c r="E73" i="110" l="1"/>
  <c r="F73" i="110"/>
  <c r="D73" i="110"/>
  <c r="C74" i="110"/>
  <c r="F74" i="110" a="1"/>
  <c r="D74" i="110" a="1"/>
  <c r="E74" i="110" a="1"/>
  <c r="D74" i="110" l="1"/>
  <c r="E74" i="110"/>
  <c r="F7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<sst xmlns="http://schemas.openxmlformats.org/spreadsheetml/2006/main" count="78" uniqueCount="66">
  <si>
    <t>Дебит</t>
  </si>
  <si>
    <t>атм</t>
  </si>
  <si>
    <t>С</t>
  </si>
  <si>
    <t>м3/сут</t>
  </si>
  <si>
    <t xml:space="preserve">м </t>
  </si>
  <si>
    <t>Гц</t>
  </si>
  <si>
    <t>шт</t>
  </si>
  <si>
    <t>N</t>
  </si>
  <si>
    <t>Физико - химические свойства флюида</t>
  </si>
  <si>
    <t>Ступени</t>
  </si>
  <si>
    <t>Характеристика насоса</t>
  </si>
  <si>
    <t>Напор, м</t>
  </si>
  <si>
    <t>КПД, д.е.</t>
  </si>
  <si>
    <t>Мощность, кВт</t>
  </si>
  <si>
    <t>Упражнение</t>
  </si>
  <si>
    <t>Упражнения по работе с макросами Unifloc VBA</t>
  </si>
  <si>
    <t>версия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</si>
  <si>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</si>
  <si>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</si>
  <si>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</si>
  <si>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</si>
  <si>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</si>
  <si>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</si>
  <si>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</si>
  <si>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</si>
  <si>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</si>
  <si>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</si>
  <si>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</si>
  <si>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</si>
  <si>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</si>
  <si>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</si>
  <si>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>сП</t>
  </si>
  <si>
    <r>
      <t>Q</t>
    </r>
    <r>
      <rPr>
        <vertAlign val="subscript"/>
        <sz val="10"/>
        <rFont val="Arial Cyr"/>
        <charset val="204"/>
      </rPr>
      <t>liq</t>
    </r>
  </si>
  <si>
    <t>%</t>
  </si>
  <si>
    <r>
      <t>f</t>
    </r>
    <r>
      <rPr>
        <vertAlign val="subscript"/>
        <sz val="10"/>
        <rFont val="Arial Cyr"/>
        <charset val="204"/>
      </rPr>
      <t>w</t>
    </r>
  </si>
  <si>
    <t>F</t>
  </si>
  <si>
    <t>ЭЦН ID</t>
  </si>
  <si>
    <t>ЭЦН имя</t>
  </si>
  <si>
    <r>
      <t>ЭЦН Q</t>
    </r>
    <r>
      <rPr>
        <vertAlign val="subscript"/>
        <sz val="10"/>
        <rFont val="Arial Cyr"/>
        <charset val="204"/>
      </rPr>
      <t>nom</t>
    </r>
  </si>
  <si>
    <r>
      <t>ЭЦН H</t>
    </r>
    <r>
      <rPr>
        <vertAlign val="subscript"/>
        <sz val="10"/>
        <rFont val="Arial Cyr"/>
        <charset val="204"/>
      </rPr>
      <t>nom</t>
    </r>
  </si>
  <si>
    <r>
      <t>ЭЦН Q</t>
    </r>
    <r>
      <rPr>
        <vertAlign val="subscript"/>
        <sz val="10"/>
        <rFont val="Arial Cyr"/>
        <charset val="204"/>
      </rPr>
      <t>max</t>
    </r>
  </si>
  <si>
    <r>
      <t>K</t>
    </r>
    <r>
      <rPr>
        <vertAlign val="subscript"/>
        <sz val="10"/>
        <rFont val="Arial Cyr"/>
        <charset val="204"/>
      </rPr>
      <t>sep гс</t>
    </r>
  </si>
  <si>
    <r>
      <t>P</t>
    </r>
    <r>
      <rPr>
        <vertAlign val="subscript"/>
        <sz val="10"/>
        <rFont val="Arial Cyr"/>
        <charset val="204"/>
      </rPr>
      <t>sep</t>
    </r>
  </si>
  <si>
    <r>
      <t>T</t>
    </r>
    <r>
      <rPr>
        <vertAlign val="subscript"/>
        <sz val="10"/>
        <rFont val="Arial Cyr"/>
        <charset val="204"/>
      </rPr>
      <t>sep</t>
    </r>
  </si>
  <si>
    <t>Вязкость</t>
  </si>
  <si>
    <t>Данные по ЭЦН</t>
  </si>
  <si>
    <t>cП</t>
  </si>
  <si>
    <r>
      <rPr>
        <sz val="11"/>
        <color theme="1"/>
        <rFont val="Calibri"/>
        <family val="2"/>
        <charset val="204"/>
        <scheme val="minor"/>
      </rPr>
      <t>µ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</si>
  <si>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t xml:space="preserve">Настройки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</si>
  <si>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</si>
  <si>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</si>
  <si>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</si>
  <si>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</si>
  <si>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</si>
  <si>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</si>
  <si>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</si>
  <si>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</si>
  <si>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</si>
  <si>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</si>
  <si>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</si>
  <si>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</si>
  <si>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</si>
  <si>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</si>
  <si>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Считывание данных по ЭЦН из базы данных</t>
  </si>
  <si>
    <t>Fном, Гц</t>
  </si>
  <si>
    <t>Ступеней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</si>
</sst>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</cellStyleXfs>
  <cellXfs count="45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1" fontId="0" fillId="5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wrapText="1"/>
    </xf>
    <xf numFmtId="0" fontId="0" fillId="5" borderId="0" xfId="0" applyFill="1"/>
    <xf numFmtId="0" fontId="0" fillId="6" borderId="2" xfId="0" applyFill="1" applyBorder="1" applyAlignment="1">
      <alignment horizontal="center"/>
    </xf>
    <xf numFmtId="0" fontId="10" fillId="3" borderId="2" xfId="0" applyFont="1" applyFill="1" applyBorder="1" applyAlignment="1">
      <alignment horizontal="center" wrapText="1"/>
    </xf>
    <xf numFmtId="0" fontId="0" fillId="6" borderId="2" xfId="0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6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0" fontId="0" fillId="8" borderId="3" xfId="0" applyFill="1" applyBorder="1" applyAlignment="1">
      <alignment horizontal="left"/>
    </xf>
    <xf numFmtId="0" fontId="0" fillId="8" borderId="4" xfId="0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0" fillId="8" borderId="7" xfId="0" applyFill="1" applyBorder="1" applyAlignment="1">
      <alignment horizontal="left" vertical="top"/>
    </xf>
    <xf numFmtId="0" fontId="0" fillId="8" borderId="8" xfId="0" applyFill="1" applyBorder="1" applyAlignment="1">
      <alignment horizontal="left" vertical="top"/>
    </xf>
    <xf numFmtId="0" fontId="0" fillId="8" borderId="9" xfId="0" applyFill="1" applyBorder="1" applyAlignment="1">
      <alignment horizontal="left" vertical="top"/>
    </xf>
    <xf numFmtId="0" fontId="0" fillId="8" borderId="11" xfId="0" applyFill="1" applyBorder="1" applyAlignment="1">
      <alignment horizontal="left" vertical="top"/>
    </xf>
    <xf numFmtId="0" fontId="0" fillId="8" borderId="0" xfId="0" applyFill="1" applyAlignment="1">
      <alignment horizontal="left" vertical="top"/>
    </xf>
    <xf numFmtId="0" fontId="0" fillId="8" borderId="12" xfId="0" applyFill="1" applyBorder="1" applyAlignment="1">
      <alignment horizontal="left" vertical="top"/>
    </xf>
    <xf numFmtId="0" fontId="0" fillId="8" borderId="14" xfId="0" applyFill="1" applyBorder="1" applyAlignment="1">
      <alignment horizontal="left" vertical="top"/>
    </xf>
    <xf numFmtId="0" fontId="0" fillId="8" borderId="15" xfId="0" applyFill="1" applyBorder="1" applyAlignment="1">
      <alignment horizontal="left" vertical="top"/>
    </xf>
    <xf numFmtId="0" fontId="0" fillId="8" borderId="16" xfId="0" applyFill="1" applyBorder="1" applyAlignment="1">
      <alignment horizontal="left" vertical="top"/>
    </xf>
    <xf numFmtId="1" fontId="0" fillId="0" borderId="0" xfId="0" applyNumberFormat="1"/>
  </cellXfs>
  <cellStyles count="5">
    <cellStyle name="Iau?iue_AA_1" xfId="1" xr:uid="{00000000-0005-0000-0000-000000000000}"/>
    <cellStyle name="Обычный" xfId="0" builtinId="0"/>
    <cellStyle name="Обычный 2" xfId="2" xr:uid="{00000000-0005-0000-0000-000002000000}"/>
    <cellStyle name="Обычный 3" xfId="3" xr:uid="{00000000-0005-0000-0000-000003000000}"/>
    <cellStyle name="Обычный 3 2" xfId="4" xr:uid="{00000000-0005-0000-0000-000004000000}"/>
  </cellStyles>
  <dxfs count="0"/>
  <tableStyles count="0" defaultTableStyle="TableStyleMedium2" defaultPivotStyle="PivotStyleLight16"/>
  <colors>
    <mruColors>
      <color rgb="FF000000"/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  <c:pt idx="21">
                  <c:v>243.59999999999991</c:v>
                </c:pt>
                <c:pt idx="22">
                  <c:v>255.1999999999999</c:v>
                </c:pt>
                <c:pt idx="23">
                  <c:v>266.7999999999999</c:v>
                </c:pt>
                <c:pt idx="24">
                  <c:v>278.39999999999992</c:v>
                </c:pt>
                <c:pt idx="25">
                  <c:v>289.99999999999994</c:v>
                </c:pt>
                <c:pt idx="26">
                  <c:v>301.59999999999997</c:v>
                </c:pt>
                <c:pt idx="27">
                  <c:v>313.2</c:v>
                </c:pt>
                <c:pt idx="28">
                  <c:v>324.8</c:v>
                </c:pt>
                <c:pt idx="29">
                  <c:v>336.40000000000003</c:v>
                </c:pt>
                <c:pt idx="30">
                  <c:v>348.00000000000006</c:v>
                </c:pt>
                <c:pt idx="31">
                  <c:v>359.60000000000008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2279.7370000000001</c:v>
                </c:pt>
                <c:pt idx="1">
                  <c:v>2257.1611199999998</c:v>
                </c:pt>
                <c:pt idx="2">
                  <c:v>2226.5324800000003</c:v>
                </c:pt>
                <c:pt idx="3">
                  <c:v>2189.7140800000002</c:v>
                </c:pt>
                <c:pt idx="4">
                  <c:v>2146.0728422399998</c:v>
                </c:pt>
                <c:pt idx="5">
                  <c:v>2094.2291200000004</c:v>
                </c:pt>
                <c:pt idx="6">
                  <c:v>2037.92877056</c:v>
                </c:pt>
                <c:pt idx="7">
                  <c:v>1981.4437187657145</c:v>
                </c:pt>
                <c:pt idx="8">
                  <c:v>1923.828700891429</c:v>
                </c:pt>
                <c:pt idx="9">
                  <c:v>1861.346763154286</c:v>
                </c:pt>
                <c:pt idx="10">
                  <c:v>1792.1515885714289</c:v>
                </c:pt>
                <c:pt idx="11">
                  <c:v>1709.093978341313</c:v>
                </c:pt>
                <c:pt idx="12">
                  <c:v>1595.0576177420855</c:v>
                </c:pt>
                <c:pt idx="13">
                  <c:v>1452.4498985513519</c:v>
                </c:pt>
                <c:pt idx="14">
                  <c:v>1285.2628574888038</c:v>
                </c:pt>
                <c:pt idx="15">
                  <c:v>1097.4885312741324</c:v>
                </c:pt>
                <c:pt idx="16">
                  <c:v>893.22485861122777</c:v>
                </c:pt>
                <c:pt idx="17">
                  <c:v>678.28743945114479</c:v>
                </c:pt>
                <c:pt idx="18">
                  <c:v>458.07507692307831</c:v>
                </c:pt>
                <c:pt idx="19">
                  <c:v>232.01338461538614</c:v>
                </c:pt>
                <c:pt idx="20">
                  <c:v>1.727252021965775E-12</c:v>
                </c:pt>
                <c:pt idx="21">
                  <c:v>-232.01338461538325</c:v>
                </c:pt>
                <c:pt idx="22">
                  <c:v>-464.0267692307682</c:v>
                </c:pt>
                <c:pt idx="23">
                  <c:v>-696.04015384615309</c:v>
                </c:pt>
                <c:pt idx="24">
                  <c:v>-928.05353846153866</c:v>
                </c:pt>
                <c:pt idx="25">
                  <c:v>-1160.066923076924</c:v>
                </c:pt>
                <c:pt idx="26">
                  <c:v>-1392.0803076923096</c:v>
                </c:pt>
                <c:pt idx="27">
                  <c:v>-1624.0936923076952</c:v>
                </c:pt>
                <c:pt idx="28">
                  <c:v>-1856.1070769230807</c:v>
                </c:pt>
                <c:pt idx="29">
                  <c:v>-2088.1204615384663</c:v>
                </c:pt>
                <c:pt idx="30">
                  <c:v>-2320.1338461538517</c:v>
                </c:pt>
                <c:pt idx="31">
                  <c:v>-2552.147230769237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976960"/>
        <c:axId val="150000000"/>
      </c:scatterChart>
      <c:scatterChart>
        <c:scatterStyle val="lineMarker"/>
        <c:varyColors val="0"/>
        <c:ser>
          <c:idx val="1"/>
          <c:order val="0"/>
          <c:tx>
            <c:strRef>
              <c:f>exercise_ESP!$E$42</c:f>
              <c:strCache>
                <c:ptCount val="1"/>
                <c:pt idx="0">
                  <c:v>КПД, д.е.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  <c:pt idx="21">
                  <c:v>243.59999999999991</c:v>
                </c:pt>
                <c:pt idx="22">
                  <c:v>255.1999999999999</c:v>
                </c:pt>
                <c:pt idx="23">
                  <c:v>266.7999999999999</c:v>
                </c:pt>
                <c:pt idx="24">
                  <c:v>278.39999999999992</c:v>
                </c:pt>
                <c:pt idx="25">
                  <c:v>289.99999999999994</c:v>
                </c:pt>
                <c:pt idx="26">
                  <c:v>301.59999999999997</c:v>
                </c:pt>
                <c:pt idx="27">
                  <c:v>313.2</c:v>
                </c:pt>
                <c:pt idx="28">
                  <c:v>324.8</c:v>
                </c:pt>
                <c:pt idx="29">
                  <c:v>336.40000000000003</c:v>
                </c:pt>
                <c:pt idx="30">
                  <c:v>348.00000000000006</c:v>
                </c:pt>
                <c:pt idx="31">
                  <c:v>359.60000000000008</c:v>
                </c:pt>
              </c:numCache>
            </c:numRef>
          </c:xVal>
          <c:yVal>
            <c:numRef>
              <c:f>exercise_ESP!$E$43:$E$74</c:f>
              <c:numCache>
                <c:formatCode>0.00</c:formatCode>
                <c:ptCount val="32"/>
                <c:pt idx="0">
                  <c:v>6.2312500000000007E-3</c:v>
                </c:pt>
                <c:pt idx="1">
                  <c:v>6.9976999999999998E-2</c:v>
                </c:pt>
                <c:pt idx="2">
                  <c:v>0.134908</c:v>
                </c:pt>
                <c:pt idx="3">
                  <c:v>0.19479299999999999</c:v>
                </c:pt>
                <c:pt idx="4">
                  <c:v>0.24963199999999999</c:v>
                </c:pt>
                <c:pt idx="5">
                  <c:v>0.299425</c:v>
                </c:pt>
                <c:pt idx="6">
                  <c:v>0.34417199999999998</c:v>
                </c:pt>
                <c:pt idx="7">
                  <c:v>0.38383144454545454</c:v>
                </c:pt>
                <c:pt idx="8">
                  <c:v>0.41398888727272726</c:v>
                </c:pt>
                <c:pt idx="9">
                  <c:v>0.43232951545454545</c:v>
                </c:pt>
                <c:pt idx="10">
                  <c:v>0.43978454545454543</c:v>
                </c:pt>
                <c:pt idx="11">
                  <c:v>0.437508598957012</c:v>
                </c:pt>
                <c:pt idx="12">
                  <c:v>0.42671057995771677</c:v>
                </c:pt>
                <c:pt idx="13">
                  <c:v>0.40735761736434117</c:v>
                </c:pt>
                <c:pt idx="14">
                  <c:v>0.37933421147286839</c:v>
                </c:pt>
                <c:pt idx="15">
                  <c:v>0.34252486257928139</c:v>
                </c:pt>
                <c:pt idx="16">
                  <c:v>0.29585221896243319</c:v>
                </c:pt>
                <c:pt idx="17">
                  <c:v>0.23584622307692346</c:v>
                </c:pt>
                <c:pt idx="18">
                  <c:v>0.16686153846153892</c:v>
                </c:pt>
                <c:pt idx="19">
                  <c:v>8.8282692307692881E-2</c:v>
                </c:pt>
                <c:pt idx="20">
                  <c:v>6.8457880423450357E-16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BE-4A6A-A261-716491FDD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08192"/>
        <c:axId val="150001920"/>
      </c:scatterChart>
      <c:valAx>
        <c:axId val="14997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0000"/>
        <c:crosses val="autoZero"/>
        <c:crossBetween val="midCat"/>
      </c:valAx>
      <c:valAx>
        <c:axId val="15000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976960"/>
        <c:crosses val="autoZero"/>
        <c:crossBetween val="midCat"/>
      </c:valAx>
      <c:valAx>
        <c:axId val="150001920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008192"/>
        <c:crosses val="max"/>
        <c:crossBetween val="midCat"/>
      </c:valAx>
      <c:valAx>
        <c:axId val="15000819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0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strRef>
              <c:f>exercise_ESP!$D$42</c:f>
              <c:strCache>
                <c:ptCount val="1"/>
                <c:pt idx="0">
                  <c:v>Напор, 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  <c:pt idx="21">
                  <c:v>243.59999999999991</c:v>
                </c:pt>
                <c:pt idx="22">
                  <c:v>255.1999999999999</c:v>
                </c:pt>
                <c:pt idx="23">
                  <c:v>266.7999999999999</c:v>
                </c:pt>
                <c:pt idx="24">
                  <c:v>278.39999999999992</c:v>
                </c:pt>
                <c:pt idx="25">
                  <c:v>289.99999999999994</c:v>
                </c:pt>
                <c:pt idx="26">
                  <c:v>301.59999999999997</c:v>
                </c:pt>
                <c:pt idx="27">
                  <c:v>313.2</c:v>
                </c:pt>
                <c:pt idx="28">
                  <c:v>324.8</c:v>
                </c:pt>
                <c:pt idx="29">
                  <c:v>336.40000000000003</c:v>
                </c:pt>
                <c:pt idx="30">
                  <c:v>348.00000000000006</c:v>
                </c:pt>
                <c:pt idx="31">
                  <c:v>359.60000000000008</c:v>
                </c:pt>
              </c:numCache>
            </c:numRef>
          </c:xVal>
          <c:yVal>
            <c:numRef>
              <c:f>exercise_ESP!$D$43:$D$74</c:f>
              <c:numCache>
                <c:formatCode>0.00</c:formatCode>
                <c:ptCount val="32"/>
                <c:pt idx="0">
                  <c:v>2279.7370000000001</c:v>
                </c:pt>
                <c:pt idx="1">
                  <c:v>2257.1611199999998</c:v>
                </c:pt>
                <c:pt idx="2">
                  <c:v>2226.5324800000003</c:v>
                </c:pt>
                <c:pt idx="3">
                  <c:v>2189.7140800000002</c:v>
                </c:pt>
                <c:pt idx="4">
                  <c:v>2146.0728422399998</c:v>
                </c:pt>
                <c:pt idx="5">
                  <c:v>2094.2291200000004</c:v>
                </c:pt>
                <c:pt idx="6">
                  <c:v>2037.92877056</c:v>
                </c:pt>
                <c:pt idx="7">
                  <c:v>1981.4437187657145</c:v>
                </c:pt>
                <c:pt idx="8">
                  <c:v>1923.828700891429</c:v>
                </c:pt>
                <c:pt idx="9">
                  <c:v>1861.346763154286</c:v>
                </c:pt>
                <c:pt idx="10">
                  <c:v>1792.1515885714289</c:v>
                </c:pt>
                <c:pt idx="11">
                  <c:v>1709.093978341313</c:v>
                </c:pt>
                <c:pt idx="12">
                  <c:v>1595.0576177420855</c:v>
                </c:pt>
                <c:pt idx="13">
                  <c:v>1452.4498985513519</c:v>
                </c:pt>
                <c:pt idx="14">
                  <c:v>1285.2628574888038</c:v>
                </c:pt>
                <c:pt idx="15">
                  <c:v>1097.4885312741324</c:v>
                </c:pt>
                <c:pt idx="16">
                  <c:v>893.22485861122777</c:v>
                </c:pt>
                <c:pt idx="17">
                  <c:v>678.28743945114479</c:v>
                </c:pt>
                <c:pt idx="18">
                  <c:v>458.07507692307831</c:v>
                </c:pt>
                <c:pt idx="19">
                  <c:v>232.01338461538614</c:v>
                </c:pt>
                <c:pt idx="20">
                  <c:v>1.727252021965775E-12</c:v>
                </c:pt>
                <c:pt idx="21">
                  <c:v>-232.01338461538325</c:v>
                </c:pt>
                <c:pt idx="22">
                  <c:v>-464.0267692307682</c:v>
                </c:pt>
                <c:pt idx="23">
                  <c:v>-696.04015384615309</c:v>
                </c:pt>
                <c:pt idx="24">
                  <c:v>-928.05353846153866</c:v>
                </c:pt>
                <c:pt idx="25">
                  <c:v>-1160.066923076924</c:v>
                </c:pt>
                <c:pt idx="26">
                  <c:v>-1392.0803076923096</c:v>
                </c:pt>
                <c:pt idx="27">
                  <c:v>-1624.0936923076952</c:v>
                </c:pt>
                <c:pt idx="28">
                  <c:v>-1856.1070769230807</c:v>
                </c:pt>
                <c:pt idx="29">
                  <c:v>-2088.1204615384663</c:v>
                </c:pt>
                <c:pt idx="30">
                  <c:v>-2320.1338461538517</c:v>
                </c:pt>
                <c:pt idx="31">
                  <c:v>-2552.147230769237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68288"/>
      </c:scatterChart>
      <c:scatterChart>
        <c:scatterStyle val="lineMarker"/>
        <c:varyColors val="0"/>
        <c:ser>
          <c:idx val="1"/>
          <c:order val="0"/>
          <c:tx>
            <c:strRef>
              <c:f>exercise_ESP!$F$42</c:f>
              <c:strCache>
                <c:ptCount val="1"/>
                <c:pt idx="0">
                  <c:v>Мощность, кВт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exercise_ESP!$C$43:$C$74</c:f>
              <c:numCache>
                <c:formatCode>0</c:formatCode>
                <c:ptCount val="32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  <c:pt idx="21">
                  <c:v>243.59999999999991</c:v>
                </c:pt>
                <c:pt idx="22">
                  <c:v>255.1999999999999</c:v>
                </c:pt>
                <c:pt idx="23">
                  <c:v>266.7999999999999</c:v>
                </c:pt>
                <c:pt idx="24">
                  <c:v>278.39999999999992</c:v>
                </c:pt>
                <c:pt idx="25">
                  <c:v>289.99999999999994</c:v>
                </c:pt>
                <c:pt idx="26">
                  <c:v>301.59999999999997</c:v>
                </c:pt>
                <c:pt idx="27">
                  <c:v>313.2</c:v>
                </c:pt>
                <c:pt idx="28">
                  <c:v>324.8</c:v>
                </c:pt>
                <c:pt idx="29">
                  <c:v>336.40000000000003</c:v>
                </c:pt>
                <c:pt idx="30">
                  <c:v>348.00000000000006</c:v>
                </c:pt>
                <c:pt idx="31">
                  <c:v>359.60000000000008</c:v>
                </c:pt>
              </c:numCache>
            </c:numRef>
          </c:xVal>
          <c:yVal>
            <c:numRef>
              <c:f>exercise_ESP!$F$43:$F$74</c:f>
              <c:numCache>
                <c:formatCode>0.00</c:formatCode>
                <c:ptCount val="32"/>
                <c:pt idx="0">
                  <c:v>46958.64</c:v>
                </c:pt>
                <c:pt idx="1">
                  <c:v>45644.070399999997</c:v>
                </c:pt>
                <c:pt idx="2">
                  <c:v>44679.321599999996</c:v>
                </c:pt>
                <c:pt idx="3">
                  <c:v>44209.753599999996</c:v>
                </c:pt>
                <c:pt idx="4">
                  <c:v>44222.704844799999</c:v>
                </c:pt>
                <c:pt idx="5">
                  <c:v>44690.582399999999</c:v>
                </c:pt>
                <c:pt idx="6">
                  <c:v>45688.303411200002</c:v>
                </c:pt>
                <c:pt idx="7">
                  <c:v>47301.1549696</c:v>
                </c:pt>
                <c:pt idx="8">
                  <c:v>49431.012966399998</c:v>
                </c:pt>
                <c:pt idx="9">
                  <c:v>51725.270988799988</c:v>
                </c:pt>
                <c:pt idx="10">
                  <c:v>53839.283199999991</c:v>
                </c:pt>
                <c:pt idx="11">
                  <c:v>55582.719999999994</c:v>
                </c:pt>
                <c:pt idx="12">
                  <c:v>57290.239999999998</c:v>
                </c:pt>
                <c:pt idx="13">
                  <c:v>58997.759999999987</c:v>
                </c:pt>
                <c:pt idx="14">
                  <c:v>60705.279999999992</c:v>
                </c:pt>
                <c:pt idx="15">
                  <c:v>62412.799999999988</c:v>
                </c:pt>
                <c:pt idx="16">
                  <c:v>64064.39305846153</c:v>
                </c:pt>
                <c:pt idx="17">
                  <c:v>65725.251790769224</c:v>
                </c:pt>
                <c:pt idx="18">
                  <c:v>68163.11138461536</c:v>
                </c:pt>
                <c:pt idx="19">
                  <c:v>71284.260923076887</c:v>
                </c:pt>
                <c:pt idx="20">
                  <c:v>75071.999999999971</c:v>
                </c:pt>
                <c:pt idx="21">
                  <c:v>75072</c:v>
                </c:pt>
                <c:pt idx="22">
                  <c:v>75072</c:v>
                </c:pt>
                <c:pt idx="23">
                  <c:v>75072</c:v>
                </c:pt>
                <c:pt idx="24">
                  <c:v>75072</c:v>
                </c:pt>
                <c:pt idx="25">
                  <c:v>75072</c:v>
                </c:pt>
                <c:pt idx="26">
                  <c:v>75072</c:v>
                </c:pt>
                <c:pt idx="27">
                  <c:v>75072</c:v>
                </c:pt>
                <c:pt idx="28">
                  <c:v>75072</c:v>
                </c:pt>
                <c:pt idx="29">
                  <c:v>75072</c:v>
                </c:pt>
                <c:pt idx="30">
                  <c:v>75072</c:v>
                </c:pt>
                <c:pt idx="31">
                  <c:v>75072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61-4C18-A821-3BD5B0A09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72384"/>
        <c:axId val="149470208"/>
      </c:scatterChart>
      <c:valAx>
        <c:axId val="149461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8288"/>
        <c:crosses val="autoZero"/>
        <c:crossBetween val="midCat"/>
      </c:valAx>
      <c:valAx>
        <c:axId val="149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</a:t>
                </a:r>
                <a:r>
                  <a:rPr lang="ru-RU" baseline="0"/>
                  <a:t> номинальный,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61632"/>
        <c:crosses val="autoZero"/>
        <c:crossBetween val="midCat"/>
      </c:valAx>
      <c:valAx>
        <c:axId val="14947020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9472384"/>
        <c:crosses val="max"/>
        <c:crossBetween val="midCat"/>
      </c:valAx>
      <c:valAx>
        <c:axId val="149472384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49470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</a:t>
            </a:r>
            <a:r>
              <a:rPr lang="ru-RU" baseline="0"/>
              <a:t> ЭЦН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14368"/>
        <c:axId val="15031692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93CB-4A0D-85A4-391A51FA2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32928"/>
        <c:axId val="150331392"/>
      </c:scatterChart>
      <c:valAx>
        <c:axId val="15031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6928"/>
        <c:crosses val="autoZero"/>
        <c:crossBetween val="midCat"/>
      </c:valAx>
      <c:valAx>
        <c:axId val="15031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Перепад</a:t>
                </a:r>
                <a:r>
                  <a:rPr lang="ru-RU" baseline="0"/>
                  <a:t> давления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314368"/>
        <c:crosses val="autoZero"/>
        <c:crossBetween val="midCat"/>
      </c:valAx>
      <c:valAx>
        <c:axId val="150331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50332928"/>
        <c:crosses val="max"/>
        <c:crossBetween val="midCat"/>
      </c:valAx>
      <c:valAx>
        <c:axId val="1503329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033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на выходе от дебита</a:t>
            </a:r>
          </a:p>
        </c:rich>
      </c:tx>
      <c:layout>
        <c:manualLayout>
          <c:xMode val="edge"/>
          <c:yMode val="edge"/>
          <c:x val="0.14158939769411119"/>
          <c:y val="2.49611433315914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953052843922169"/>
          <c:y val="0.10522518309682886"/>
          <c:w val="0.72657504427405961"/>
          <c:h val="0.71951345838854497"/>
        </c:manualLayout>
      </c:layout>
      <c:scatterChart>
        <c:scatterStyle val="lineMarker"/>
        <c:varyColors val="0"/>
        <c:ser>
          <c:idx val="1"/>
          <c:order val="0"/>
          <c:xVal>
            <c:numRef>
              <c:f>exercise_ESP!$C$43:$C$63</c:f>
              <c:numCache>
                <c:formatCode>0</c:formatCode>
                <c:ptCount val="21"/>
                <c:pt idx="0">
                  <c:v>1</c:v>
                </c:pt>
                <c:pt idx="1">
                  <c:v>11.6</c:v>
                </c:pt>
                <c:pt idx="2">
                  <c:v>23.2</c:v>
                </c:pt>
                <c:pt idx="3">
                  <c:v>34.799999999999997</c:v>
                </c:pt>
                <c:pt idx="4">
                  <c:v>46.4</c:v>
                </c:pt>
                <c:pt idx="5">
                  <c:v>58</c:v>
                </c:pt>
                <c:pt idx="6">
                  <c:v>69.599999999999994</c:v>
                </c:pt>
                <c:pt idx="7">
                  <c:v>81.199999999999989</c:v>
                </c:pt>
                <c:pt idx="8">
                  <c:v>92.799999999999983</c:v>
                </c:pt>
                <c:pt idx="9">
                  <c:v>104.39999999999998</c:v>
                </c:pt>
                <c:pt idx="10">
                  <c:v>115.99999999999997</c:v>
                </c:pt>
                <c:pt idx="11">
                  <c:v>127.59999999999997</c:v>
                </c:pt>
                <c:pt idx="12">
                  <c:v>139.19999999999996</c:v>
                </c:pt>
                <c:pt idx="13">
                  <c:v>150.79999999999995</c:v>
                </c:pt>
                <c:pt idx="14">
                  <c:v>162.39999999999995</c:v>
                </c:pt>
                <c:pt idx="15">
                  <c:v>173.99999999999994</c:v>
                </c:pt>
                <c:pt idx="16">
                  <c:v>185.59999999999994</c:v>
                </c:pt>
                <c:pt idx="17">
                  <c:v>197.19999999999993</c:v>
                </c:pt>
                <c:pt idx="18">
                  <c:v>208.79999999999993</c:v>
                </c:pt>
                <c:pt idx="19">
                  <c:v>220.39999999999992</c:v>
                </c:pt>
                <c:pt idx="20">
                  <c:v>231.99999999999991</c:v>
                </c:pt>
              </c:numCache>
            </c:numRef>
          </c:xVal>
          <c:yVal>
            <c:numRef>
              <c:f>exercise_ESP!#REF!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exercise_ESP!#REF!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526-4574-8CCC-D078ED177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928256"/>
        <c:axId val="152930176"/>
      </c:scatterChart>
      <c:valAx>
        <c:axId val="15292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30176"/>
        <c:crosses val="autoZero"/>
        <c:crossBetween val="midCat"/>
      </c:valAx>
      <c:valAx>
        <c:axId val="15293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Давление, атм 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92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360892</xdr:colOff>
      <xdr:row>40</xdr:row>
      <xdr:rowOff>25249</xdr:rowOff>
    </xdr:from>
    <xdr:to>
      <xdr:col>25</xdr:col>
      <xdr:colOff>228600</xdr:colOff>
      <xdr:row>68</xdr:row>
      <xdr:rowOff>38100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245686</xdr:colOff>
      <xdr:row>40</xdr:row>
      <xdr:rowOff>40298</xdr:rowOff>
    </xdr:from>
    <xdr:to>
      <xdr:col>18</xdr:col>
      <xdr:colOff>266699</xdr:colOff>
      <xdr:row>68</xdr:row>
      <xdr:rowOff>19050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140607</xdr:colOff>
      <xdr:row>40</xdr:row>
      <xdr:rowOff>127623</xdr:rowOff>
    </xdr:from>
    <xdr:to>
      <xdr:col>48</xdr:col>
      <xdr:colOff>147010</xdr:colOff>
      <xdr:row>62</xdr:row>
      <xdr:rowOff>36731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635292</xdr:colOff>
      <xdr:row>0</xdr:row>
      <xdr:rowOff>6032</xdr:rowOff>
    </xdr:from>
    <xdr:to>
      <xdr:col>13</xdr:col>
      <xdr:colOff>353621</xdr:colOff>
      <xdr:row>14</xdr:row>
      <xdr:rowOff>207065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5091335" y="6032"/>
          <a:ext cx="5010916" cy="289288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Упражнение показывает работу</a:t>
          </a:r>
          <a:r>
            <a:rPr lang="ru-RU" sz="1100" baseline="0"/>
            <a:t> с базой данных УЭЦН поставляемой с унифлок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задания:</a:t>
          </a:r>
          <a:endParaRPr lang="ru-RU" sz="1100" baseline="0"/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Найдите</a:t>
          </a:r>
          <a:r>
            <a:rPr lang="ru-RU" sz="1100" baseline="0"/>
            <a:t> номер и количество ступеней для</a:t>
          </a:r>
          <a:r>
            <a:rPr lang="ru-RU" sz="1100"/>
            <a:t> насоса с заданными номинальным дебитом и напором.</a:t>
          </a:r>
          <a:r>
            <a:rPr lang="ru-RU" sz="1100" baseline="0"/>
            <a:t> Оцените максимальный дебит насоса при котором будет положительный напор. </a:t>
          </a:r>
        </a:p>
        <a:p>
          <a:pPr marL="171450" indent="-171450">
            <a:buFont typeface="Arial" pitchFamily="34" charset="0"/>
            <a:buChar char="•"/>
          </a:pPr>
          <a:r>
            <a:rPr lang="ru-RU" sz="1100"/>
            <a:t>Постройте паспортные характеристики ЭЦН.</a:t>
          </a:r>
        </a:p>
        <a:p>
          <a:pPr marL="171450" indent="-171450">
            <a:buFont typeface="Arial" pitchFamily="34" charset="0"/>
            <a:buChar char="•"/>
          </a:pPr>
          <a:endParaRPr lang="ru-RU" sz="1100"/>
        </a:p>
        <a:p>
          <a:pPr marL="0" indent="0">
            <a:buFont typeface="Arial" pitchFamily="34" charset="0"/>
            <a:buNone/>
          </a:pPr>
          <a:r>
            <a:rPr lang="ru-RU" sz="1100"/>
            <a:t>Используйте</a:t>
          </a:r>
          <a:r>
            <a:rPr lang="ru-RU" sz="1100" baseline="0"/>
            <a:t> функции:</a:t>
          </a: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ESP_id_by_rate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ESP_name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r>
            <a:rPr lang="en-US" sz="1100">
              <a:solidFill>
                <a:schemeClr val="dk1"/>
              </a:solidFill>
              <a:effectLst/>
              <a:latin typeface="Courier New" pitchFamily="49" charset="0"/>
              <a:ea typeface="+mn-ea"/>
              <a:cs typeface="Courier New" pitchFamily="49" charset="0"/>
            </a:rPr>
            <a:t>ESP_rate_max_sm3day</a:t>
          </a:r>
          <a:endParaRPr lang="ru-RU" sz="1100">
            <a:solidFill>
              <a:schemeClr val="dk1"/>
            </a:solidFill>
            <a:effectLst/>
            <a:latin typeface="Courier New" pitchFamily="49" charset="0"/>
            <a:ea typeface="+mn-ea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ESP_head_m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ESP_eff_fr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itchFamily="34" charset="0"/>
            <a:buNone/>
            <a:tabLst/>
            <a:defRPr/>
          </a:pPr>
          <a:r>
            <a:rPr lang="en-US">
              <a:effectLst/>
              <a:latin typeface="Courier New" pitchFamily="49" charset="0"/>
              <a:cs typeface="Courier New" pitchFamily="49" charset="0"/>
            </a:rPr>
            <a:t>ESP_power_W</a:t>
          </a:r>
          <a:endParaRPr lang="ru-RU">
            <a:effectLst/>
            <a:latin typeface="Courier New" pitchFamily="49" charset="0"/>
            <a:cs typeface="Courier New" pitchFamily="49" charset="0"/>
          </a:endParaRPr>
        </a:p>
      </xdr:txBody>
    </xdr:sp>
    <xdr:clientData/>
  </xdr:twoCellAnchor>
  <xdr:twoCellAnchor>
    <xdr:from>
      <xdr:col>36</xdr:col>
      <xdr:colOff>455800</xdr:colOff>
      <xdr:row>40</xdr:row>
      <xdr:rowOff>127729</xdr:rowOff>
    </xdr:from>
    <xdr:to>
      <xdr:col>42</xdr:col>
      <xdr:colOff>145861</xdr:colOff>
      <xdr:row>62</xdr:row>
      <xdr:rowOff>81660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409574</xdr:colOff>
      <xdr:row>0</xdr:row>
      <xdr:rowOff>11642</xdr:rowOff>
    </xdr:from>
    <xdr:to>
      <xdr:col>21</xdr:col>
      <xdr:colOff>557741</xdr:colOff>
      <xdr:row>14</xdr:row>
      <xdr:rowOff>215348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0158204" y="11642"/>
          <a:ext cx="5482167" cy="2895554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Являются ли паспортные характеристики ЭЦН - напор, КПД и мощность независимыми?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Насколько сильно влияет вязкость на напорные характерситики ЭЦН? Как влияет на каждую из характеристик?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влияет на работу ЭЦН изменение частоты? Как влияет на каждую из характеристик?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Как будут меняться паспортные характристик в зоне, где дебит больше максимального по паспорту (где набор становится равны нулю)?</a:t>
          </a:r>
          <a:endParaRPr lang="en-US" sz="1100" baseline="0"/>
        </a:p>
        <a:p>
          <a:r>
            <a:rPr lang="en-US" sz="1100" baseline="0"/>
            <a:t>2. </a:t>
          </a:r>
          <a:r>
            <a:rPr lang="ru-RU" sz="1100" baseline="0"/>
            <a:t>Проверьте для всех ли насосов в базе характеристики заданы корректно?</a:t>
          </a:r>
        </a:p>
      </xdr:txBody>
    </xdr:sp>
    <xdr:clientData/>
  </xdr:twoCellAnchor>
  <xdr:twoCellAnchor>
    <xdr:from>
      <xdr:col>6</xdr:col>
      <xdr:colOff>95250</xdr:colOff>
      <xdr:row>48</xdr:row>
      <xdr:rowOff>74082</xdr:rowOff>
    </xdr:from>
    <xdr:to>
      <xdr:col>10</xdr:col>
      <xdr:colOff>232833</xdr:colOff>
      <xdr:row>53</xdr:row>
      <xdr:rowOff>123825</xdr:rowOff>
    </xdr:to>
    <xdr:sp macro="" textlink="">
      <xdr:nvSpPr>
        <xdr:cNvPr id="16" name="Выноска со стрелкой влево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552950" y="8970432"/>
          <a:ext cx="3309408" cy="859368"/>
        </a:xfrm>
        <a:prstGeom prst="leftArrowCallout">
          <a:avLst>
            <a:gd name="adj1" fmla="val 25000"/>
            <a:gd name="adj2" fmla="val 25000"/>
            <a:gd name="adj3" fmla="val 38152"/>
            <a:gd name="adj4" fmla="val 82517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Постройте номинальные характеристики ЭЦН, заданных параметров насоса</a:t>
          </a: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3" name="Стрелка: влево 22">
          <a:extLst>
            <a:ext uri="{FF2B5EF4-FFF2-40B4-BE49-F238E27FC236}">
              <a16:creationId xmlns:a16="http://schemas.microsoft.com/office/drawing/2014/main" id="{05E481D4-A83F-45BB-9A3C-F617D309B8E5}"/>
            </a:ext>
          </a:extLst>
        </xdr:cNvPr>
        <xdr:cNvSpPr/>
      </xdr:nvSpPr>
      <xdr:spPr>
        <a:xfrm>
          <a:off x="2976843" y="217955"/>
          <a:ext cx="23732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SP_calc_stages_num"/>
      <definedName name="ESP_eff_fr"/>
      <definedName name="ESP_head_m"/>
      <definedName name="ESP_id_by_rate"/>
      <definedName name="ESP_name"/>
      <definedName name="ESP_power_W"/>
      <definedName name="ESP_rate_max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/>
      <a:lstStyle/>
      <a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ESPcalc">
    <outlinePr summaryBelow="0"/>
  </sheetPr>
  <dimension ref="A1:L74"/>
  <sheetViews>
    <sheetView tabSelected="1" topLeftCell="A4" zoomScale="115" zoomScaleNormal="115" workbookViewId="0">
      <selection activeCell="G23" sqref="G23"/>
    </sheetView>
  </sheetViews>
  <sheetFormatPr defaultRowHeight="12.75" x14ac:dyDescent="0.2"/>
  <cols>
    <col min="2" max="2" width="15.140625" customWidth="1"/>
    <col min="3" max="3" width="9.85546875" customWidth="1"/>
    <col min="4" max="4" width="11.5703125" bestFit="1" customWidth="1"/>
    <col min="5" max="5" width="11.28515625" customWidth="1"/>
    <col min="6" max="6" width="9.85546875" customWidth="1"/>
    <col min="7" max="7" width="13.140625" customWidth="1"/>
    <col min="8" max="8" width="12.28515625" customWidth="1"/>
    <col min="9" max="9" width="10.85546875" bestFit="1" customWidth="1"/>
    <col min="10" max="10" width="11.28515625" customWidth="1"/>
    <col min="11" max="11" width="12.28515625" bestFit="1" customWidth="1"/>
    <col min="12" max="12" width="10.28515625" bestFit="1" customWidth="1"/>
    <col min="20" max="37" width="12.42578125" customWidth="1"/>
  </cols>
  <sheetData>
    <row r="1" spans="1:12" x14ac:dyDescent="0.2">
      <c r="A1" s="1" t="s">
        <v>15</v>
      </c>
      <c r="F1" t="s">
        <v>16</v>
      </c>
      <c r="G1" t="str">
        <f>[1]!unf_version()</f>
        <v>7.46</v>
      </c>
      <c r="H1" t="s">
        <v>49</v>
      </c>
      <c r="I1" s="24">
        <v>45055</v>
      </c>
      <c r="J1" s="19"/>
      <c r="K1" s="19"/>
      <c r="L1" s="19"/>
    </row>
    <row r="2" spans="1:12" x14ac:dyDescent="0.2">
      <c r="A2" t="s">
        <v>63</v>
      </c>
      <c r="H2" t="s">
        <v>50</v>
      </c>
      <c r="I2" s="25">
        <v>7.46</v>
      </c>
      <c r="J2" s="19"/>
      <c r="K2" s="19"/>
      <c r="L2" s="19"/>
    </row>
    <row r="3" spans="1:12" ht="15" x14ac:dyDescent="0.25">
      <c r="A3" s="26" t="s">
        <v>51</v>
      </c>
      <c r="B3" s="32" t="s">
        <v>52</v>
      </c>
      <c r="C3" s="33"/>
      <c r="D3" s="33"/>
      <c r="E3" s="34"/>
      <c r="H3" t="s">
        <v>53</v>
      </c>
      <c r="I3" s="19" t="s">
        <v>52</v>
      </c>
      <c r="J3" s="19"/>
      <c r="K3" s="19"/>
      <c r="L3" s="19"/>
    </row>
    <row r="4" spans="1:12" ht="15" x14ac:dyDescent="0.25">
      <c r="A4" s="26" t="s">
        <v>54</v>
      </c>
      <c r="B4" s="32" t="s">
        <v>55</v>
      </c>
      <c r="C4" s="33"/>
      <c r="D4" s="33"/>
      <c r="E4" s="34"/>
      <c r="H4" t="s">
        <v>56</v>
      </c>
      <c r="I4" s="19" t="s">
        <v>55</v>
      </c>
      <c r="J4" s="19"/>
      <c r="K4" s="19"/>
      <c r="L4" s="19"/>
    </row>
    <row r="5" spans="1:12" ht="15" x14ac:dyDescent="0.25">
      <c r="A5" s="26" t="s">
        <v>57</v>
      </c>
      <c r="B5" s="32" t="s">
        <v>58</v>
      </c>
      <c r="C5" s="33"/>
      <c r="D5" s="33"/>
      <c r="E5" s="34"/>
      <c r="H5" t="s">
        <v>59</v>
      </c>
      <c r="I5" s="19" t="s">
        <v>58</v>
      </c>
      <c r="J5" s="19"/>
      <c r="K5" s="19"/>
      <c r="L5" s="19"/>
    </row>
    <row r="6" spans="1:12" x14ac:dyDescent="0.2">
      <c r="A6" s="27" t="s">
        <v>60</v>
      </c>
      <c r="B6" s="35" t="s">
        <v>61</v>
      </c>
      <c r="C6" s="36"/>
      <c r="D6" s="36"/>
      <c r="E6" s="37"/>
      <c r="H6" s="28" t="s">
        <v>62</v>
      </c>
      <c r="I6" s="29" t="s">
        <v>61</v>
      </c>
      <c r="J6" s="29"/>
      <c r="K6" s="29"/>
      <c r="L6" s="29"/>
    </row>
    <row r="7" spans="1:12" x14ac:dyDescent="0.2">
      <c r="A7" s="30"/>
      <c r="B7" s="38"/>
      <c r="C7" s="39"/>
      <c r="D7" s="39"/>
      <c r="E7" s="40"/>
      <c r="H7" s="28"/>
      <c r="I7" s="29"/>
      <c r="J7" s="29"/>
      <c r="K7" s="29"/>
      <c r="L7" s="29"/>
    </row>
    <row r="8" spans="1:12" x14ac:dyDescent="0.2">
      <c r="A8" s="31"/>
      <c r="B8" s="41"/>
      <c r="C8" s="42"/>
      <c r="D8" s="42"/>
      <c r="E8" s="43"/>
      <c r="H8" s="28"/>
      <c r="I8" s="29"/>
      <c r="J8" s="29"/>
      <c r="K8" s="29"/>
      <c r="L8" s="29"/>
    </row>
    <row r="10" spans="1:12" x14ac:dyDescent="0.2">
      <c r="A10" s="1" t="s">
        <v>8</v>
      </c>
    </row>
    <row r="11" spans="1:12" ht="18.75" x14ac:dyDescent="0.35">
      <c r="B11" s="9" t="s">
        <v>17</v>
      </c>
      <c r="C11" s="2">
        <v>0.9</v>
      </c>
      <c r="D11" s="10"/>
      <c r="E11" s="11">
        <f>gamma_oil_*1000</f>
        <v>900</v>
      </c>
      <c r="F11" s="12" t="s">
        <v>18</v>
      </c>
    </row>
    <row r="12" spans="1:12" ht="18.75" x14ac:dyDescent="0.35">
      <c r="B12" s="12" t="s">
        <v>19</v>
      </c>
      <c r="C12" s="2">
        <v>1</v>
      </c>
      <c r="D12" s="10"/>
      <c r="E12" s="11">
        <f>gamma_wat_*1000</f>
        <v>1000</v>
      </c>
      <c r="F12" s="12" t="s">
        <v>18</v>
      </c>
    </row>
    <row r="13" spans="1:12" ht="18.75" x14ac:dyDescent="0.35">
      <c r="B13" s="12" t="s">
        <v>20</v>
      </c>
      <c r="C13" s="2">
        <v>0.8</v>
      </c>
      <c r="D13" s="10"/>
      <c r="E13" s="11">
        <f>gamma_gas_*1.22</f>
        <v>0.97599999999999998</v>
      </c>
      <c r="F13" s="12" t="s">
        <v>18</v>
      </c>
    </row>
    <row r="14" spans="1:12" ht="18.75" x14ac:dyDescent="0.35">
      <c r="B14" s="13" t="s">
        <v>21</v>
      </c>
      <c r="C14" s="2">
        <v>80</v>
      </c>
      <c r="D14" s="12" t="s">
        <v>22</v>
      </c>
      <c r="E14" s="14">
        <f>Rsb_/gamma_oil_</f>
        <v>88.888888888888886</v>
      </c>
      <c r="F14" s="12" t="s">
        <v>23</v>
      </c>
    </row>
    <row r="15" spans="1:12" ht="18.75" x14ac:dyDescent="0.35">
      <c r="B15" s="13" t="s">
        <v>24</v>
      </c>
      <c r="C15" s="2">
        <v>80</v>
      </c>
      <c r="D15" s="12" t="s">
        <v>22</v>
      </c>
      <c r="E15" s="14">
        <f>Rsb_/gamma_oil_</f>
        <v>88.888888888888886</v>
      </c>
      <c r="F15" s="12" t="s">
        <v>23</v>
      </c>
    </row>
    <row r="16" spans="1:12" ht="18" x14ac:dyDescent="0.35">
      <c r="B16" s="12" t="s">
        <v>25</v>
      </c>
      <c r="C16" s="2">
        <v>120</v>
      </c>
      <c r="D16" s="10" t="s">
        <v>26</v>
      </c>
      <c r="E16" s="14">
        <f>Pb_*1.01325</f>
        <v>121.59</v>
      </c>
      <c r="F16" s="10" t="s">
        <v>27</v>
      </c>
    </row>
    <row r="17" spans="1:9" ht="18" x14ac:dyDescent="0.35">
      <c r="B17" s="12" t="s">
        <v>28</v>
      </c>
      <c r="C17" s="2">
        <v>100</v>
      </c>
      <c r="D17" s="10" t="s">
        <v>2</v>
      </c>
      <c r="E17" s="14">
        <f>Tres_*9/5+32</f>
        <v>212</v>
      </c>
      <c r="F17" s="10" t="s">
        <v>29</v>
      </c>
    </row>
    <row r="18" spans="1:9" ht="18.75" x14ac:dyDescent="0.35">
      <c r="B18" s="13" t="s">
        <v>30</v>
      </c>
      <c r="C18" s="2">
        <v>1.2</v>
      </c>
      <c r="D18" s="12" t="s">
        <v>22</v>
      </c>
    </row>
    <row r="19" spans="1:9" ht="18" x14ac:dyDescent="0.35">
      <c r="B19" s="21" t="s">
        <v>47</v>
      </c>
      <c r="C19" s="2">
        <v>1</v>
      </c>
      <c r="D19" s="12" t="s">
        <v>46</v>
      </c>
    </row>
    <row r="20" spans="1:9" x14ac:dyDescent="0.2">
      <c r="B20" s="3"/>
      <c r="C20" s="4"/>
    </row>
    <row r="21" spans="1:9" ht="15.75" x14ac:dyDescent="0.3">
      <c r="B21" s="15" t="s">
        <v>32</v>
      </c>
      <c r="C21" s="2">
        <v>50</v>
      </c>
      <c r="D21" s="22" t="s">
        <v>3</v>
      </c>
    </row>
    <row r="22" spans="1:9" ht="15.75" x14ac:dyDescent="0.3">
      <c r="B22" s="15" t="s">
        <v>34</v>
      </c>
      <c r="C22" s="2">
        <v>10</v>
      </c>
      <c r="D22" s="22" t="s">
        <v>33</v>
      </c>
    </row>
    <row r="23" spans="1:9" x14ac:dyDescent="0.2">
      <c r="A23" s="1" t="s">
        <v>45</v>
      </c>
    </row>
    <row r="24" spans="1:9" ht="15.75" x14ac:dyDescent="0.3">
      <c r="B24" s="16" t="s">
        <v>38</v>
      </c>
      <c r="C24" s="2">
        <v>80</v>
      </c>
      <c r="D24" s="16" t="s">
        <v>3</v>
      </c>
    </row>
    <row r="25" spans="1:9" ht="15.75" x14ac:dyDescent="0.3">
      <c r="B25" s="16" t="s">
        <v>39</v>
      </c>
      <c r="C25" s="2">
        <v>2000</v>
      </c>
      <c r="D25" s="16" t="s">
        <v>4</v>
      </c>
      <c r="E25" s="22" t="s">
        <v>64</v>
      </c>
      <c r="F25" s="2">
        <v>200</v>
      </c>
      <c r="G25" s="22" t="s">
        <v>5</v>
      </c>
      <c r="I25" s="44" cm="1">
        <f t="array" ref="I25">[1]!ESP_head_m(Q_ESP_,NumStage_,Freq_,PumpID_,mu)</f>
        <v>1987.2</v>
      </c>
    </row>
    <row r="26" spans="1:9" x14ac:dyDescent="0.2">
      <c r="B26" s="16" t="s">
        <v>35</v>
      </c>
      <c r="C26" s="2">
        <v>200</v>
      </c>
      <c r="D26" s="16" t="s">
        <v>5</v>
      </c>
    </row>
    <row r="27" spans="1:9" x14ac:dyDescent="0.2">
      <c r="B27" s="16" t="s">
        <v>36</v>
      </c>
      <c r="C27" s="11" cm="1">
        <f t="array" ref="C27">[1]!ESP_id_by_rate(Q_ESP_,Fном__Гц)</f>
        <v>740</v>
      </c>
      <c r="D27" s="16"/>
    </row>
    <row r="28" spans="1:9" x14ac:dyDescent="0.2">
      <c r="B28" s="16" t="s">
        <v>37</v>
      </c>
      <c r="C28" s="11" t="str" cm="1">
        <f t="array" ref="C28">[1]!ESP_name(PumpID_)</f>
        <v>ЭЦН5-30</v>
      </c>
      <c r="D28" s="16"/>
    </row>
    <row r="29" spans="1:9" ht="15.75" x14ac:dyDescent="0.3">
      <c r="B29" s="16" t="s">
        <v>40</v>
      </c>
      <c r="C29" s="11" cm="1">
        <f t="array" ref="C29">[1]!ESP_rate_max_sm3day(Fном__Гц,PumpID_)</f>
        <v>232</v>
      </c>
      <c r="D29" s="16"/>
    </row>
    <row r="30" spans="1:9" x14ac:dyDescent="0.2">
      <c r="B30" s="16" t="s">
        <v>9</v>
      </c>
      <c r="C30" s="11">
        <f>F30</f>
        <v>23</v>
      </c>
      <c r="D30" s="16" t="s">
        <v>6</v>
      </c>
      <c r="E30" t="s">
        <v>65</v>
      </c>
      <c r="F30" cm="1">
        <f t="array" ref="F30">[1]!ESP_calc_stages_num(PumpID_,Head_ESP_,Fном__Гц,Q_ESP_)</f>
        <v>23</v>
      </c>
    </row>
    <row r="31" spans="1:9" ht="15.75" x14ac:dyDescent="0.3">
      <c r="B31" s="16" t="s">
        <v>41</v>
      </c>
      <c r="C31" s="5">
        <v>0.8</v>
      </c>
      <c r="D31" s="16"/>
    </row>
    <row r="32" spans="1:9" ht="15.75" x14ac:dyDescent="0.3">
      <c r="B32" s="16" t="s">
        <v>42</v>
      </c>
      <c r="C32" s="7">
        <v>80</v>
      </c>
      <c r="D32" s="16" t="s">
        <v>1</v>
      </c>
    </row>
    <row r="33" spans="1:6" ht="15.75" x14ac:dyDescent="0.3">
      <c r="B33" s="16" t="s">
        <v>43</v>
      </c>
      <c r="C33" s="7">
        <v>80</v>
      </c>
      <c r="D33" s="16" t="s">
        <v>2</v>
      </c>
    </row>
    <row r="34" spans="1:6" x14ac:dyDescent="0.2">
      <c r="B34" s="20" t="s">
        <v>44</v>
      </c>
      <c r="C34" s="2">
        <v>1</v>
      </c>
      <c r="D34" s="20" t="s">
        <v>31</v>
      </c>
    </row>
    <row r="35" spans="1:6" x14ac:dyDescent="0.2">
      <c r="A35" t="s">
        <v>48</v>
      </c>
    </row>
    <row r="36" spans="1:6" x14ac:dyDescent="0.2">
      <c r="B36" s="16" t="s">
        <v>7</v>
      </c>
      <c r="C36" s="2">
        <v>20</v>
      </c>
      <c r="D36" s="16"/>
    </row>
    <row r="37" spans="1:6" x14ac:dyDescent="0.2">
      <c r="A37" s="1"/>
    </row>
    <row r="39" spans="1:6" ht="12.75" customHeight="1" x14ac:dyDescent="0.2">
      <c r="A39" t="s">
        <v>14</v>
      </c>
    </row>
    <row r="40" spans="1:6" x14ac:dyDescent="0.2">
      <c r="A40" t="s">
        <v>10</v>
      </c>
    </row>
    <row r="42" spans="1:6" ht="25.5" x14ac:dyDescent="0.2">
      <c r="C42" s="17" t="s">
        <v>0</v>
      </c>
      <c r="D42" s="17" t="s">
        <v>11</v>
      </c>
      <c r="E42" s="17" t="s">
        <v>12</v>
      </c>
      <c r="F42" s="18" t="s">
        <v>13</v>
      </c>
    </row>
    <row r="43" spans="1:6" x14ac:dyDescent="0.2">
      <c r="C43" s="6">
        <v>1</v>
      </c>
      <c r="D43" s="23" cm="1">
        <f t="array" ref="D43">[1]!ESP_head_m(C43,NumStage_,Freq_,PumpID_,mu)</f>
        <v>2279.7370000000001</v>
      </c>
      <c r="E43" s="23" cm="1">
        <f t="array" ref="E43">[1]!ESP_eff_fr(C43,NumStage_,Freq_,PumpID_,mu)</f>
        <v>6.2312500000000007E-3</v>
      </c>
      <c r="F43" s="23" cm="1">
        <f t="array" ref="F43">[1]!ESP_power_W(C43,NumStage_,Freq_,PumpID_,mu)</f>
        <v>46958.64</v>
      </c>
    </row>
    <row r="44" spans="1:6" x14ac:dyDescent="0.2">
      <c r="C44" s="6">
        <f>Qmax_/20</f>
        <v>11.6</v>
      </c>
      <c r="D44" s="23" cm="1">
        <f t="array" ref="D44">[1]!ESP_head_m(C44,NumStage_,Freq_,PumpID_,mu)</f>
        <v>2257.1611199999998</v>
      </c>
      <c r="E44" s="23" cm="1">
        <f t="array" ref="E44">[1]!ESP_eff_fr(C44,NumStage_,Freq_,PumpID_,mu)</f>
        <v>6.9976999999999998E-2</v>
      </c>
      <c r="F44" s="23" cm="1">
        <f t="array" ref="F44">[1]!ESP_power_W(C44,NumStage_,Freq_,PumpID_,mu)</f>
        <v>45644.070399999997</v>
      </c>
    </row>
    <row r="45" spans="1:6" x14ac:dyDescent="0.2">
      <c r="C45" s="6">
        <f t="shared" ref="C45:C74" si="0">C44+Qmax_/20</f>
        <v>23.2</v>
      </c>
      <c r="D45" s="23" cm="1">
        <f t="array" ref="D45">[1]!ESP_head_m(C45,NumStage_,Freq_,PumpID_,mu)</f>
        <v>2226.5324800000003</v>
      </c>
      <c r="E45" s="23" cm="1">
        <f t="array" ref="E45">[1]!ESP_eff_fr(C45,NumStage_,Freq_,PumpID_,mu)</f>
        <v>0.134908</v>
      </c>
      <c r="F45" s="23" cm="1">
        <f t="array" ref="F45">[1]!ESP_power_W(C45,NumStage_,Freq_,PumpID_,mu)</f>
        <v>44679.321599999996</v>
      </c>
    </row>
    <row r="46" spans="1:6" x14ac:dyDescent="0.2">
      <c r="C46" s="6">
        <f t="shared" si="0"/>
        <v>34.799999999999997</v>
      </c>
      <c r="D46" s="23" cm="1">
        <f t="array" ref="D46">[1]!ESP_head_m(C46,NumStage_,Freq_,PumpID_,mu)</f>
        <v>2189.7140800000002</v>
      </c>
      <c r="E46" s="23" cm="1">
        <f t="array" ref="E46">[1]!ESP_eff_fr(C46,NumStage_,Freq_,PumpID_,mu)</f>
        <v>0.19479299999999999</v>
      </c>
      <c r="F46" s="23" cm="1">
        <f t="array" ref="F46">[1]!ESP_power_W(C46,NumStage_,Freq_,PumpID_,mu)</f>
        <v>44209.753599999996</v>
      </c>
    </row>
    <row r="47" spans="1:6" x14ac:dyDescent="0.2">
      <c r="C47" s="6">
        <f t="shared" si="0"/>
        <v>46.4</v>
      </c>
      <c r="D47" s="23" cm="1">
        <f t="array" ref="D47">[1]!ESP_head_m(C47,NumStage_,Freq_,PumpID_,mu)</f>
        <v>2146.0728422399998</v>
      </c>
      <c r="E47" s="23" cm="1">
        <f t="array" ref="E47">[1]!ESP_eff_fr(C47,NumStage_,Freq_,PumpID_,mu)</f>
        <v>0.24963199999999999</v>
      </c>
      <c r="F47" s="23" cm="1">
        <f t="array" ref="F47">[1]!ESP_power_W(C47,NumStage_,Freq_,PumpID_,mu)</f>
        <v>44222.704844799999</v>
      </c>
    </row>
    <row r="48" spans="1:6" x14ac:dyDescent="0.2">
      <c r="C48" s="6">
        <f t="shared" si="0"/>
        <v>58</v>
      </c>
      <c r="D48" s="23" cm="1">
        <f t="array" ref="D48">[1]!ESP_head_m(C48,NumStage_,Freq_,PumpID_,mu)</f>
        <v>2094.2291200000004</v>
      </c>
      <c r="E48" s="23" cm="1">
        <f t="array" ref="E48">[1]!ESP_eff_fr(C48,NumStage_,Freq_,PumpID_,mu)</f>
        <v>0.299425</v>
      </c>
      <c r="F48" s="23" cm="1">
        <f t="array" ref="F48">[1]!ESP_power_W(C48,NumStage_,Freq_,PumpID_,mu)</f>
        <v>44690.582399999999</v>
      </c>
    </row>
    <row r="49" spans="3:7" x14ac:dyDescent="0.2">
      <c r="C49" s="6">
        <f t="shared" si="0"/>
        <v>69.599999999999994</v>
      </c>
      <c r="D49" s="23" cm="1">
        <f t="array" ref="D49">[1]!ESP_head_m(C49,NumStage_,Freq_,PumpID_,mu)</f>
        <v>2037.92877056</v>
      </c>
      <c r="E49" s="23" cm="1">
        <f t="array" ref="E49">[1]!ESP_eff_fr(C49,NumStage_,Freq_,PumpID_,mu)</f>
        <v>0.34417199999999998</v>
      </c>
      <c r="F49" s="23" cm="1">
        <f t="array" ref="F49">[1]!ESP_power_W(C49,NumStage_,Freq_,PumpID_,mu)</f>
        <v>45688.303411200002</v>
      </c>
    </row>
    <row r="50" spans="3:7" x14ac:dyDescent="0.2">
      <c r="C50" s="6">
        <f t="shared" si="0"/>
        <v>81.199999999999989</v>
      </c>
      <c r="D50" s="23" cm="1">
        <f t="array" ref="D50">[1]!ESP_head_m(C50,NumStage_,Freq_,PumpID_,mu)</f>
        <v>1981.4437187657145</v>
      </c>
      <c r="E50" s="23" cm="1">
        <f t="array" ref="E50">[1]!ESP_eff_fr(C50,NumStage_,Freq_,PumpID_,mu)</f>
        <v>0.38383144454545454</v>
      </c>
      <c r="F50" s="23" cm="1">
        <f t="array" ref="F50">[1]!ESP_power_W(C50,NumStage_,Freq_,PumpID_,mu)</f>
        <v>47301.1549696</v>
      </c>
    </row>
    <row r="51" spans="3:7" x14ac:dyDescent="0.2">
      <c r="C51" s="6">
        <f t="shared" si="0"/>
        <v>92.799999999999983</v>
      </c>
      <c r="D51" s="23" cm="1">
        <f t="array" ref="D51">[1]!ESP_head_m(C51,NumStage_,Freq_,PumpID_,mu)</f>
        <v>1923.828700891429</v>
      </c>
      <c r="E51" s="23" cm="1">
        <f t="array" ref="E51">[1]!ESP_eff_fr(C51,NumStage_,Freq_,PumpID_,mu)</f>
        <v>0.41398888727272726</v>
      </c>
      <c r="F51" s="23" cm="1">
        <f t="array" ref="F51">[1]!ESP_power_W(C51,NumStage_,Freq_,PumpID_,mu)</f>
        <v>49431.012966399998</v>
      </c>
    </row>
    <row r="52" spans="3:7" x14ac:dyDescent="0.2">
      <c r="C52" s="6">
        <f t="shared" si="0"/>
        <v>104.39999999999998</v>
      </c>
      <c r="D52" s="23" cm="1">
        <f t="array" ref="D52">[1]!ESP_head_m(C52,NumStage_,Freq_,PumpID_,mu)</f>
        <v>1861.346763154286</v>
      </c>
      <c r="E52" s="23" cm="1">
        <f t="array" ref="E52">[1]!ESP_eff_fr(C52,NumStage_,Freq_,PumpID_,mu)</f>
        <v>0.43232951545454545</v>
      </c>
      <c r="F52" s="23" cm="1">
        <f t="array" ref="F52">[1]!ESP_power_W(C52,NumStage_,Freq_,PumpID_,mu)</f>
        <v>51725.270988799988</v>
      </c>
    </row>
    <row r="53" spans="3:7" x14ac:dyDescent="0.2">
      <c r="C53" s="6">
        <f t="shared" si="0"/>
        <v>115.99999999999997</v>
      </c>
      <c r="D53" s="23" cm="1">
        <f t="array" ref="D53">[1]!ESP_head_m(C53,NumStage_,Freq_,PumpID_,mu)</f>
        <v>1792.1515885714289</v>
      </c>
      <c r="E53" s="23" cm="1">
        <f t="array" ref="E53">[1]!ESP_eff_fr(C53,NumStage_,Freq_,PumpID_,mu)</f>
        <v>0.43978454545454543</v>
      </c>
      <c r="F53" s="23" cm="1">
        <f t="array" ref="F53">[1]!ESP_power_W(C53,NumStage_,Freq_,PumpID_,mu)</f>
        <v>53839.283199999991</v>
      </c>
    </row>
    <row r="54" spans="3:7" x14ac:dyDescent="0.2">
      <c r="C54" s="6">
        <f t="shared" si="0"/>
        <v>127.59999999999997</v>
      </c>
      <c r="D54" s="23" cm="1">
        <f t="array" ref="D54">[1]!ESP_head_m(C54,NumStage_,Freq_,PumpID_,mu)</f>
        <v>1709.093978341313</v>
      </c>
      <c r="E54" s="23" cm="1">
        <f t="array" ref="E54">[1]!ESP_eff_fr(C54,NumStage_,Freq_,PumpID_,mu)</f>
        <v>0.437508598957012</v>
      </c>
      <c r="F54" s="23" cm="1">
        <f t="array" ref="F54">[1]!ESP_power_W(C54,NumStage_,Freq_,PumpID_,mu)</f>
        <v>55582.719999999994</v>
      </c>
    </row>
    <row r="55" spans="3:7" x14ac:dyDescent="0.2">
      <c r="C55" s="6">
        <f t="shared" si="0"/>
        <v>139.19999999999996</v>
      </c>
      <c r="D55" s="23" cm="1">
        <f t="array" ref="D55">[1]!ESP_head_m(C55,NumStage_,Freq_,PumpID_,mu)</f>
        <v>1595.0576177420855</v>
      </c>
      <c r="E55" s="23" cm="1">
        <f t="array" ref="E55">[1]!ESP_eff_fr(C55,NumStage_,Freq_,PumpID_,mu)</f>
        <v>0.42671057995771677</v>
      </c>
      <c r="F55" s="23" cm="1">
        <f t="array" ref="F55">[1]!ESP_power_W(C55,NumStage_,Freq_,PumpID_,mu)</f>
        <v>57290.239999999998</v>
      </c>
    </row>
    <row r="56" spans="3:7" x14ac:dyDescent="0.2">
      <c r="C56" s="6">
        <f t="shared" si="0"/>
        <v>150.79999999999995</v>
      </c>
      <c r="D56" s="23" cm="1">
        <f t="array" ref="D56">[1]!ESP_head_m(C56,NumStage_,Freq_,PumpID_,mu)</f>
        <v>1452.4498985513519</v>
      </c>
      <c r="E56" s="23" cm="1">
        <f t="array" ref="E56">[1]!ESP_eff_fr(C56,NumStage_,Freq_,PumpID_,mu)</f>
        <v>0.40735761736434117</v>
      </c>
      <c r="F56" s="23" cm="1">
        <f t="array" ref="F56">[1]!ESP_power_W(C56,NumStage_,Freq_,PumpID_,mu)</f>
        <v>58997.759999999987</v>
      </c>
    </row>
    <row r="57" spans="3:7" x14ac:dyDescent="0.2">
      <c r="C57" s="6">
        <f t="shared" si="0"/>
        <v>162.39999999999995</v>
      </c>
      <c r="D57" s="23" cm="1">
        <f t="array" ref="D57">[1]!ESP_head_m(C57,NumStage_,Freq_,PumpID_,mu)</f>
        <v>1285.2628574888038</v>
      </c>
      <c r="E57" s="23" cm="1">
        <f t="array" ref="E57">[1]!ESP_eff_fr(C57,NumStage_,Freq_,PumpID_,mu)</f>
        <v>0.37933421147286839</v>
      </c>
      <c r="F57" s="23" cm="1">
        <f t="array" ref="F57">[1]!ESP_power_W(C57,NumStage_,Freq_,PumpID_,mu)</f>
        <v>60705.279999999992</v>
      </c>
    </row>
    <row r="58" spans="3:7" x14ac:dyDescent="0.2">
      <c r="C58" s="6">
        <f t="shared" si="0"/>
        <v>173.99999999999994</v>
      </c>
      <c r="D58" s="23" cm="1">
        <f t="array" ref="D58">[1]!ESP_head_m(C58,NumStage_,Freq_,PumpID_,mu)</f>
        <v>1097.4885312741324</v>
      </c>
      <c r="E58" s="23" cm="1">
        <f t="array" ref="E58">[1]!ESP_eff_fr(C58,NumStage_,Freq_,PumpID_,mu)</f>
        <v>0.34252486257928139</v>
      </c>
      <c r="F58" s="23" cm="1">
        <f t="array" ref="F58">[1]!ESP_power_W(C58,NumStage_,Freq_,PumpID_,mu)</f>
        <v>62412.799999999988</v>
      </c>
    </row>
    <row r="59" spans="3:7" x14ac:dyDescent="0.2">
      <c r="C59" s="6">
        <f t="shared" si="0"/>
        <v>185.59999999999994</v>
      </c>
      <c r="D59" s="23" cm="1">
        <f t="array" ref="D59">[1]!ESP_head_m(C59,NumStage_,Freq_,PumpID_,mu)</f>
        <v>893.22485861122777</v>
      </c>
      <c r="E59" s="23" cm="1">
        <f t="array" ref="E59">[1]!ESP_eff_fr(C59,NumStage_,Freq_,PumpID_,mu)</f>
        <v>0.29585221896243319</v>
      </c>
      <c r="F59" s="23" cm="1">
        <f t="array" ref="F59">[1]!ESP_power_W(C59,NumStage_,Freq_,PumpID_,mu)</f>
        <v>64064.39305846153</v>
      </c>
    </row>
    <row r="60" spans="3:7" x14ac:dyDescent="0.2">
      <c r="C60" s="6">
        <f t="shared" si="0"/>
        <v>197.19999999999993</v>
      </c>
      <c r="D60" s="23" cm="1">
        <f t="array" ref="D60">[1]!ESP_head_m(C60,NumStage_,Freq_,PumpID_,mu)</f>
        <v>678.28743945114479</v>
      </c>
      <c r="E60" s="23" cm="1">
        <f t="array" ref="E60">[1]!ESP_eff_fr(C60,NumStage_,Freq_,PumpID_,mu)</f>
        <v>0.23584622307692346</v>
      </c>
      <c r="F60" s="23" cm="1">
        <f t="array" ref="F60">[1]!ESP_power_W(C60,NumStage_,Freq_,PumpID_,mu)</f>
        <v>65725.251790769224</v>
      </c>
    </row>
    <row r="61" spans="3:7" x14ac:dyDescent="0.2">
      <c r="C61" s="6">
        <f t="shared" si="0"/>
        <v>208.79999999999993</v>
      </c>
      <c r="D61" s="23" cm="1">
        <f t="array" ref="D61">[1]!ESP_head_m(C61,NumStage_,Freq_,PumpID_,mu)</f>
        <v>458.07507692307831</v>
      </c>
      <c r="E61" s="23" cm="1">
        <f t="array" ref="E61">[1]!ESP_eff_fr(C61,NumStage_,Freq_,PumpID_,mu)</f>
        <v>0.16686153846153892</v>
      </c>
      <c r="F61" s="23" cm="1">
        <f t="array" ref="F61">[1]!ESP_power_W(C61,NumStage_,Freq_,PumpID_,mu)</f>
        <v>68163.11138461536</v>
      </c>
    </row>
    <row r="62" spans="3:7" x14ac:dyDescent="0.2">
      <c r="C62" s="6">
        <f t="shared" si="0"/>
        <v>220.39999999999992</v>
      </c>
      <c r="D62" s="23" cm="1">
        <f t="array" ref="D62">[1]!ESP_head_m(C62,NumStage_,Freq_,PumpID_,mu)</f>
        <v>232.01338461538614</v>
      </c>
      <c r="E62" s="23" cm="1">
        <f t="array" ref="E62">[1]!ESP_eff_fr(C62,NumStage_,Freq_,PumpID_,mu)</f>
        <v>8.8282692307692881E-2</v>
      </c>
      <c r="F62" s="23" cm="1">
        <f t="array" ref="F62">[1]!ESP_power_W(C62,NumStage_,Freq_,PumpID_,mu)</f>
        <v>71284.260923076887</v>
      </c>
    </row>
    <row r="63" spans="3:7" x14ac:dyDescent="0.2">
      <c r="C63" s="6">
        <f t="shared" si="0"/>
        <v>231.99999999999991</v>
      </c>
      <c r="D63" s="23" cm="1">
        <f t="array" ref="D63">[1]!ESP_head_m(C63,NumStage_,Freq_,PumpID_,mu)</f>
        <v>1.727252021965775E-12</v>
      </c>
      <c r="E63" s="23" cm="1">
        <f t="array" ref="E63">[1]!ESP_eff_fr(C63,NumStage_,Freq_,PumpID_,mu)</f>
        <v>6.8457880423450357E-16</v>
      </c>
      <c r="F63" s="23" cm="1">
        <f t="array" ref="F63">[1]!ESP_power_W(C63,NumStage_,Freq_,PumpID_,mu)</f>
        <v>75071.999999999971</v>
      </c>
    </row>
    <row r="64" spans="3:7" x14ac:dyDescent="0.2">
      <c r="C64" s="6">
        <f t="shared" si="0"/>
        <v>243.59999999999991</v>
      </c>
      <c r="D64" s="23" cm="1">
        <f t="array" ref="D64">[1]!ESP_head_m(C64,NumStage_,Freq_,PumpID_,mu)</f>
        <v>-232.01338461538325</v>
      </c>
      <c r="E64" s="23" cm="1">
        <f t="array" ref="E64">[1]!ESP_eff_fr(C64,NumStage_,Freq_,PumpID_,mu)</f>
        <v>0</v>
      </c>
      <c r="F64" s="23" cm="1">
        <f t="array" ref="F64">[1]!ESP_power_W(C64,NumStage_,Freq_,PumpID_,mu)</f>
        <v>75072</v>
      </c>
      <c r="G64" s="8"/>
    </row>
    <row r="65" spans="3:7" x14ac:dyDescent="0.2">
      <c r="C65" s="6">
        <f t="shared" si="0"/>
        <v>255.1999999999999</v>
      </c>
      <c r="D65" s="23" cm="1">
        <f t="array" ref="D65">[1]!ESP_head_m(C65,NumStage_,Freq_,PumpID_,mu)</f>
        <v>-464.0267692307682</v>
      </c>
      <c r="E65" s="23" cm="1">
        <f t="array" ref="E65">[1]!ESP_eff_fr(C65,NumStage_,Freq_,PumpID_,mu)</f>
        <v>0</v>
      </c>
      <c r="F65" s="23" cm="1">
        <f t="array" ref="F65">[1]!ESP_power_W(C65,NumStage_,Freq_,PumpID_,mu)</f>
        <v>75072</v>
      </c>
      <c r="G65" s="8"/>
    </row>
    <row r="66" spans="3:7" x14ac:dyDescent="0.2">
      <c r="C66" s="6">
        <f t="shared" si="0"/>
        <v>266.7999999999999</v>
      </c>
      <c r="D66" s="23" cm="1">
        <f t="array" ref="D66">[1]!ESP_head_m(C66,NumStage_,Freq_,PumpID_,mu)</f>
        <v>-696.04015384615309</v>
      </c>
      <c r="E66" s="23" cm="1">
        <f t="array" ref="E66">[1]!ESP_eff_fr(C66,NumStage_,Freq_,PumpID_,mu)</f>
        <v>0</v>
      </c>
      <c r="F66" s="23" cm="1">
        <f t="array" ref="F66">[1]!ESP_power_W(C66,NumStage_,Freq_,PumpID_,mu)</f>
        <v>75072</v>
      </c>
      <c r="G66" s="8"/>
    </row>
    <row r="67" spans="3:7" x14ac:dyDescent="0.2">
      <c r="C67" s="6">
        <f t="shared" si="0"/>
        <v>278.39999999999992</v>
      </c>
      <c r="D67" s="23" cm="1">
        <f t="array" ref="D67">[1]!ESP_head_m(C67,NumStage_,Freq_,PumpID_,mu)</f>
        <v>-928.05353846153866</v>
      </c>
      <c r="E67" s="23" cm="1">
        <f t="array" ref="E67">[1]!ESP_eff_fr(C67,NumStage_,Freq_,PumpID_,mu)</f>
        <v>0</v>
      </c>
      <c r="F67" s="23" cm="1">
        <f t="array" ref="F67">[1]!ESP_power_W(C67,NumStage_,Freq_,PumpID_,mu)</f>
        <v>75072</v>
      </c>
      <c r="G67" s="8"/>
    </row>
    <row r="68" spans="3:7" x14ac:dyDescent="0.2">
      <c r="C68" s="6">
        <f t="shared" si="0"/>
        <v>289.99999999999994</v>
      </c>
      <c r="D68" s="23" cm="1">
        <f t="array" ref="D68">[1]!ESP_head_m(C68,NumStage_,Freq_,PumpID_,mu)</f>
        <v>-1160.066923076924</v>
      </c>
      <c r="E68" s="23" cm="1">
        <f t="array" ref="E68">[1]!ESP_eff_fr(C68,NumStage_,Freq_,PumpID_,mu)</f>
        <v>0</v>
      </c>
      <c r="F68" s="23" cm="1">
        <f t="array" ref="F68">[1]!ESP_power_W(C68,NumStage_,Freq_,PumpID_,mu)</f>
        <v>75072</v>
      </c>
    </row>
    <row r="69" spans="3:7" x14ac:dyDescent="0.2">
      <c r="C69" s="6">
        <f t="shared" si="0"/>
        <v>301.59999999999997</v>
      </c>
      <c r="D69" s="23" cm="1">
        <f t="array" ref="D69">[1]!ESP_head_m(C69,NumStage_,Freq_,PumpID_,mu)</f>
        <v>-1392.0803076923096</v>
      </c>
      <c r="E69" s="23" cm="1">
        <f t="array" ref="E69">[1]!ESP_eff_fr(C69,NumStage_,Freq_,PumpID_,mu)</f>
        <v>0</v>
      </c>
      <c r="F69" s="23" cm="1">
        <f t="array" ref="F69">[1]!ESP_power_W(C69,NumStage_,Freq_,PumpID_,mu)</f>
        <v>75072</v>
      </c>
    </row>
    <row r="70" spans="3:7" x14ac:dyDescent="0.2">
      <c r="C70" s="6">
        <f t="shared" si="0"/>
        <v>313.2</v>
      </c>
      <c r="D70" s="23" cm="1">
        <f t="array" ref="D70">[1]!ESP_head_m(C70,NumStage_,Freq_,PumpID_,mu)</f>
        <v>-1624.0936923076952</v>
      </c>
      <c r="E70" s="23" cm="1">
        <f t="array" ref="E70">[1]!ESP_eff_fr(C70,NumStage_,Freq_,PumpID_,mu)</f>
        <v>0</v>
      </c>
      <c r="F70" s="23" cm="1">
        <f t="array" ref="F70">[1]!ESP_power_W(C70,NumStage_,Freq_,PumpID_,mu)</f>
        <v>75072</v>
      </c>
    </row>
    <row r="71" spans="3:7" x14ac:dyDescent="0.2">
      <c r="C71" s="6">
        <f t="shared" si="0"/>
        <v>324.8</v>
      </c>
      <c r="D71" s="23" cm="1">
        <f t="array" ref="D71">[1]!ESP_head_m(C71,NumStage_,Freq_,PumpID_,mu)</f>
        <v>-1856.1070769230807</v>
      </c>
      <c r="E71" s="23" cm="1">
        <f t="array" ref="E71">[1]!ESP_eff_fr(C71,NumStage_,Freq_,PumpID_,mu)</f>
        <v>0</v>
      </c>
      <c r="F71" s="23" cm="1">
        <f t="array" ref="F71">[1]!ESP_power_W(C71,NumStage_,Freq_,PumpID_,mu)</f>
        <v>75072</v>
      </c>
    </row>
    <row r="72" spans="3:7" x14ac:dyDescent="0.2">
      <c r="C72" s="6">
        <f t="shared" si="0"/>
        <v>336.40000000000003</v>
      </c>
      <c r="D72" s="23" cm="1">
        <f t="array" ref="D72">[1]!ESP_head_m(C72,NumStage_,Freq_,PumpID_,mu)</f>
        <v>-2088.1204615384663</v>
      </c>
      <c r="E72" s="23" cm="1">
        <f t="array" ref="E72">[1]!ESP_eff_fr(C72,NumStage_,Freq_,PumpID_,mu)</f>
        <v>0</v>
      </c>
      <c r="F72" s="23" cm="1">
        <f t="array" ref="F72">[1]!ESP_power_W(C72,NumStage_,Freq_,PumpID_,mu)</f>
        <v>75072</v>
      </c>
    </row>
    <row r="73" spans="3:7" x14ac:dyDescent="0.2">
      <c r="C73" s="6">
        <f t="shared" si="0"/>
        <v>348.00000000000006</v>
      </c>
      <c r="D73" s="23" cm="1">
        <f t="array" ref="D73">[1]!ESP_head_m(C73,NumStage_,Freq_,PumpID_,mu)</f>
        <v>-2320.1338461538517</v>
      </c>
      <c r="E73" s="23" cm="1">
        <f t="array" ref="E73">[1]!ESP_eff_fr(C73,NumStage_,Freq_,PumpID_,mu)</f>
        <v>0</v>
      </c>
      <c r="F73" s="23" cm="1">
        <f t="array" ref="F73">[1]!ESP_power_W(C73,NumStage_,Freq_,PumpID_,mu)</f>
        <v>75072</v>
      </c>
    </row>
    <row r="74" spans="3:7" x14ac:dyDescent="0.2">
      <c r="C74" s="6">
        <f t="shared" si="0"/>
        <v>359.60000000000008</v>
      </c>
      <c r="D74" s="23" cm="1">
        <f t="array" ref="D74">[1]!ESP_head_m(C74,NumStage_,Freq_,PumpID_,mu)</f>
        <v>-2552.147230769237</v>
      </c>
      <c r="E74" s="23" cm="1">
        <f t="array" ref="E74">[1]!ESP_eff_fr(C74,NumStage_,Freq_,PumpID_,mu)</f>
        <v>0</v>
      </c>
      <c r="F74" s="23" cm="1">
        <f t="array" ref="F74">[1]!ESP_power_W(C74,NumStage_,Freq_,PumpID_,mu)</f>
        <v>75072</v>
      </c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exercise_ESP</vt:lpstr>
      <vt:lpstr>exercise_ESP!Bob_</vt:lpstr>
      <vt:lpstr>exercise_ESP!Freq_</vt:lpstr>
      <vt:lpstr>exercise_ESP!fw_</vt:lpstr>
      <vt:lpstr>Fном__Гц</vt:lpstr>
      <vt:lpstr>exercise_ESP!gamma_gas_</vt:lpstr>
      <vt:lpstr>exercise_ESP!gamma_oil_</vt:lpstr>
      <vt:lpstr>exercise_ESP!gamma_wat_</vt:lpstr>
      <vt:lpstr>exercise_ESP!Head_ESP_</vt:lpstr>
      <vt:lpstr>input_Course</vt:lpstr>
      <vt:lpstr>input_Date</vt:lpstr>
      <vt:lpstr>input_Group</vt:lpstr>
      <vt:lpstr>input_Notes</vt:lpstr>
      <vt:lpstr>input_Student_Name</vt:lpstr>
      <vt:lpstr>input_Version</vt:lpstr>
      <vt:lpstr>exercise_ESP!KsepGasSep_</vt:lpstr>
      <vt:lpstr>mu</vt:lpstr>
      <vt:lpstr>exercise_ESP!muob_</vt:lpstr>
      <vt:lpstr>exercise_ESP!N_</vt:lpstr>
      <vt:lpstr>exercise_ESP!NumStage_</vt:lpstr>
      <vt:lpstr>exercise_ESP!Pb_</vt:lpstr>
      <vt:lpstr>PKsep</vt:lpstr>
      <vt:lpstr>pole_pairs</vt:lpstr>
      <vt:lpstr>exercise_ESP!PumpID_</vt:lpstr>
      <vt:lpstr>exercise_ESP!Q_</vt:lpstr>
      <vt:lpstr>exercise_ESP!Q_ESP_</vt:lpstr>
      <vt:lpstr>exercise_ESP!Qmax_</vt:lpstr>
      <vt:lpstr>exercise_ESP!Rp_</vt:lpstr>
      <vt:lpstr>exercise_ESP!Rsb_</vt:lpstr>
      <vt:lpstr>TKsep_</vt:lpstr>
      <vt:lpstr>exercise_ESP!Tres_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rnt</cp:lastModifiedBy>
  <cp:lastPrinted>2007-08-27T05:31:44Z</cp:lastPrinted>
  <dcterms:created xsi:type="dcterms:W3CDTF">2005-04-11T05:46:28Z</dcterms:created>
  <dcterms:modified xsi:type="dcterms:W3CDTF">2023-05-09T19:16:05Z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