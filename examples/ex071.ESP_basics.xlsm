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42DA72B9-A7A0-4F6D-B792-D2D2644AB653}" xr6:coauthVersionLast="47" xr6:coauthVersionMax="47" xr10:uidLastSave="{00000000-0000-0000-0000-000000000000}"/>
  <bookViews>
    <workbookView xWindow="-108" yWindow="-108" windowWidth="23256" windowHeight="14016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Freq_" localSheetId="0">exercise_ESP!$C$26</definedName>
    <definedName name="fw_" localSheetId="0">exercise_ESP!$C$22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Head_ESP_" localSheetId="0">exercise_ESP!$C$25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Pb_" localSheetId="0">exercise_ESP!$C$16</definedName>
    <definedName name="PKsep">exercise_ESP!$C$32</definedName>
    <definedName name="PumpID_" localSheetId="0">exercise_ESP!$C$27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0" l="1"/>
  <c r="E16" i="110"/>
  <c r="E15" i="110"/>
  <c r="E14" i="110"/>
  <c r="E13" i="110"/>
  <c r="E12" i="110"/>
  <c r="E11" i="110"/>
  <c r="C27" i="110" a="1"/>
  <c r="L22" i="110" a="1"/>
  <c r="L21" i="110" a="1"/>
  <c r="G1" i="110"/>
  <c r="L21" i="110" l="1"/>
  <c r="L22" i="110"/>
  <c r="C27" i="110"/>
  <c r="C28" i="110" a="1"/>
  <c r="C29" i="110" a="1"/>
  <c r="E43" i="110" a="1"/>
  <c r="D43" i="110" a="1"/>
  <c r="F43" i="110" a="1"/>
  <c r="Y17" i="110" a="1"/>
  <c r="D43" i="110" l="1"/>
  <c r="Y17" i="110"/>
  <c r="C28" i="110"/>
  <c r="F43" i="110"/>
  <c r="E43" i="110"/>
  <c r="C29" i="110"/>
  <c r="C44" i="110" s="1"/>
  <c r="F44" i="110" a="1"/>
  <c r="E44" i="110" a="1"/>
  <c r="D44" i="110" a="1"/>
  <c r="D44" i="110" l="1"/>
  <c r="E44" i="110"/>
  <c r="F44" i="110"/>
  <c r="C45" i="110"/>
  <c r="D45" i="110" a="1"/>
  <c r="E45" i="110" a="1"/>
  <c r="F45" i="110" a="1"/>
  <c r="D45" i="110" l="1"/>
  <c r="E45" i="110"/>
  <c r="F45" i="110"/>
  <c r="C46" i="110"/>
  <c r="F46" i="110" a="1"/>
  <c r="D46" i="110" a="1"/>
  <c r="E46" i="110" a="1"/>
  <c r="F46" i="110" l="1"/>
  <c r="D46" i="110"/>
  <c r="E46" i="110"/>
  <c r="C47" i="110"/>
  <c r="D47" i="110" a="1"/>
  <c r="F47" i="110" a="1"/>
  <c r="E47" i="110" a="1"/>
  <c r="F47" i="110" l="1"/>
  <c r="D47" i="110"/>
  <c r="E47" i="110"/>
  <c r="C48" i="110"/>
  <c r="F48" i="110" a="1"/>
  <c r="E48" i="110" a="1"/>
  <c r="D48" i="110" a="1"/>
  <c r="F48" i="110" l="1"/>
  <c r="D48" i="110"/>
  <c r="E48" i="110"/>
  <c r="C49" i="110"/>
  <c r="E49" i="110" a="1"/>
  <c r="F49" i="110" a="1"/>
  <c r="D49" i="110" a="1"/>
  <c r="E49" i="110" l="1"/>
  <c r="F49" i="110"/>
  <c r="D49" i="110"/>
  <c r="C50" i="110"/>
  <c r="D50" i="110" a="1"/>
  <c r="F50" i="110" a="1"/>
  <c r="E50" i="110" a="1"/>
  <c r="E50" i="110" l="1"/>
  <c r="D50" i="110"/>
  <c r="F50" i="110"/>
  <c r="C51" i="110"/>
  <c r="F51" i="110" a="1"/>
  <c r="D51" i="110" a="1"/>
  <c r="E51" i="110" a="1"/>
  <c r="D51" i="110" l="1"/>
  <c r="E51" i="110"/>
  <c r="F51" i="110"/>
  <c r="C52" i="110"/>
  <c r="F52" i="110" a="1"/>
  <c r="E52" i="110" a="1"/>
  <c r="D52" i="110" a="1"/>
  <c r="E52" i="110" l="1"/>
  <c r="F52" i="110"/>
  <c r="D52" i="110"/>
  <c r="C53" i="110"/>
  <c r="E53" i="110" a="1"/>
  <c r="F53" i="110" a="1"/>
  <c r="D53" i="110" a="1"/>
  <c r="D53" i="110" l="1"/>
  <c r="E53" i="110"/>
  <c r="F53" i="110"/>
  <c r="C54" i="110"/>
  <c r="D54" i="110" a="1"/>
  <c r="E54" i="110" a="1"/>
  <c r="F54" i="110" a="1"/>
  <c r="E54" i="110" l="1"/>
  <c r="F54" i="110"/>
  <c r="D54" i="110"/>
  <c r="C55" i="110"/>
  <c r="E55" i="110" a="1"/>
  <c r="F55" i="110" a="1"/>
  <c r="D55" i="110" a="1"/>
  <c r="D55" i="110" l="1"/>
  <c r="E55" i="110"/>
  <c r="F55" i="110"/>
  <c r="C56" i="110"/>
  <c r="D56" i="110" a="1"/>
  <c r="F56" i="110" a="1"/>
  <c r="E56" i="110" a="1"/>
  <c r="D56" i="110" l="1"/>
  <c r="E56" i="110"/>
  <c r="F56" i="110"/>
  <c r="C57" i="110"/>
  <c r="F57" i="110" a="1"/>
  <c r="D57" i="110" a="1"/>
  <c r="E57" i="110" a="1"/>
  <c r="D57" i="110" l="1"/>
  <c r="E57" i="110"/>
  <c r="F57" i="110"/>
  <c r="C58" i="110"/>
  <c r="F58" i="110" a="1"/>
  <c r="D58" i="110" a="1"/>
  <c r="E58" i="110" a="1"/>
  <c r="D58" i="110" l="1"/>
  <c r="E58" i="110"/>
  <c r="F58" i="110"/>
  <c r="C59" i="110"/>
  <c r="F59" i="110" a="1"/>
  <c r="E59" i="110" a="1"/>
  <c r="D59" i="110" a="1"/>
  <c r="F59" i="110" l="1"/>
  <c r="D59" i="110"/>
  <c r="E59" i="110"/>
  <c r="C60" i="110"/>
  <c r="F60" i="110" a="1"/>
  <c r="E60" i="110" a="1"/>
  <c r="D60" i="110" a="1"/>
  <c r="D60" i="110" l="1"/>
  <c r="E60" i="110"/>
  <c r="F60" i="110"/>
  <c r="C61" i="110"/>
  <c r="D61" i="110" a="1"/>
  <c r="F61" i="110" a="1"/>
  <c r="E61" i="110" a="1"/>
  <c r="E61" i="110" l="1"/>
  <c r="F61" i="110"/>
  <c r="D61" i="110"/>
  <c r="C62" i="110"/>
  <c r="F62" i="110" a="1"/>
  <c r="E62" i="110" a="1"/>
  <c r="D62" i="110" a="1"/>
  <c r="D62" i="110" l="1"/>
  <c r="E62" i="110"/>
  <c r="F62" i="110"/>
  <c r="C63" i="110"/>
  <c r="E63" i="110" a="1"/>
  <c r="F63" i="110" a="1"/>
  <c r="D63" i="110" a="1"/>
  <c r="D63" i="110" l="1"/>
  <c r="E63" i="110"/>
  <c r="F63" i="110"/>
  <c r="C64" i="110"/>
  <c r="E64" i="110" a="1"/>
  <c r="D64" i="110" a="1"/>
  <c r="F64" i="110" a="1"/>
  <c r="F64" i="110" l="1"/>
  <c r="D64" i="110"/>
  <c r="E64" i="110"/>
  <c r="C65" i="110"/>
  <c r="E65" i="110" a="1"/>
  <c r="F65" i="110" a="1"/>
  <c r="D65" i="110" a="1"/>
  <c r="D65" i="110" l="1"/>
  <c r="E65" i="110"/>
  <c r="F65" i="110"/>
  <c r="C66" i="110"/>
  <c r="D66" i="110" a="1"/>
  <c r="E66" i="110" a="1"/>
  <c r="F66" i="110" a="1"/>
  <c r="E66" i="110" l="1"/>
  <c r="F66" i="110"/>
  <c r="D66" i="110"/>
  <c r="C67" i="110"/>
  <c r="E67" i="110" a="1"/>
  <c r="D67" i="110" a="1"/>
  <c r="F67" i="110" a="1"/>
  <c r="D67" i="110" l="1"/>
  <c r="E67" i="110"/>
  <c r="F67" i="110"/>
  <c r="C68" i="110"/>
  <c r="E68" i="110" a="1"/>
  <c r="F68" i="110" a="1"/>
  <c r="D68" i="110" a="1"/>
  <c r="D68" i="110" l="1"/>
  <c r="E68" i="110"/>
  <c r="F68" i="110"/>
  <c r="C69" i="110"/>
  <c r="E69" i="110" a="1"/>
  <c r="F69" i="110" a="1"/>
  <c r="D69" i="110" a="1"/>
  <c r="D69" i="110" l="1"/>
  <c r="E69" i="110"/>
  <c r="F69" i="110"/>
  <c r="C70" i="110"/>
  <c r="E70" i="110" a="1"/>
  <c r="D70" i="110" a="1"/>
  <c r="F70" i="110" a="1"/>
  <c r="D70" i="110" l="1"/>
  <c r="E70" i="110"/>
  <c r="F70" i="110"/>
  <c r="C71" i="110"/>
  <c r="E71" i="110" a="1"/>
  <c r="D71" i="110" a="1"/>
  <c r="F71" i="110" a="1"/>
  <c r="F71" i="110" l="1"/>
  <c r="D71" i="110"/>
  <c r="E71" i="110"/>
  <c r="C72" i="110"/>
  <c r="F72" i="110" a="1"/>
  <c r="D72" i="110" a="1"/>
  <c r="E72" i="110" a="1"/>
  <c r="D72" i="110" l="1"/>
  <c r="E72" i="110"/>
  <c r="F72" i="110"/>
  <c r="C73" i="110"/>
  <c r="F73" i="110" a="1"/>
  <c r="D73" i="110" a="1"/>
  <c r="E73" i="110" a="1"/>
  <c r="E73" i="110" l="1"/>
  <c r="F73" i="110"/>
  <c r="D73" i="110"/>
  <c r="C74" i="110"/>
  <c r="D74" i="110" a="1"/>
  <c r="E74" i="110" a="1"/>
  <c r="F74" i="110" a="1"/>
  <c r="D74" i="110" l="1"/>
  <c r="E74" i="110"/>
  <c r="F74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<sst xmlns="http://schemas.openxmlformats.org/spreadsheetml/2006/main" count="75" uniqueCount="64">
  <si>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</si>
  <si>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</si>
  <si>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</si>
  <si>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</si>
  <si>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</si>
  <si>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</si>
  <si>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</si>
  <si>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</si>
  <si>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</si>
  <si>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</si>
  <si>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Характеристика насоса</t>
  </si>
  <si>
    <t>Напор, м</t>
  </si>
  <si>
    <t>КПД, д.е.</t>
  </si>
  <si>
    <t>Мощность, кВт</t>
  </si>
  <si>
    <t>Упражнение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</si>
  <si>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</si>
  <si>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</si>
  <si>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</si>
  <si>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</si>
  <si>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</si>
  <si>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</si>
  <si>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</si>
  <si>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</si>
  <si>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</si>
  <si>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</si>
  <si>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</si>
  <si>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</si>
  <si>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</si>
  <si>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</si>
  <si>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</si>
  <si>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</si>
  <si>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</si>
  <si>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Q</t>
    </r>
    <r>
      <rPr>
        <vertAlign val="subscript"/>
        <sz val="10"/>
        <rFont val="Arial Cyr"/>
        <charset val="204"/>
      </rPr>
      <t>liq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</si>
  <si>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</si>
  <si>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</si>
  <si>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</si>
  <si>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</si>
  <si>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</si>
  <si>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</si>
  <si>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</si>
  <si>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</si>
  <si>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</si>
  <si>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</si>
  <si>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</si>
  <si>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</si>
  <si>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</si>
  <si>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</si>
  <si>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</si>
  <si>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</si>
  <si>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</si>
  <si>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</si>
  <si>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</si>
  <si>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</si>
  <si>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</si>
  <si>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</si>
  <si>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</si>
  <si>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</si>
  <si>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</si>
  <si>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</si>
  <si>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</si>
  <si>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</si>
  <si>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</si>
  <si>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</si>
  <si>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Считывание данных по ЭЦН из базы данных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</si>
</sst>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4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  <c:pt idx="21">
                  <c:v>220.5</c:v>
                </c:pt>
                <c:pt idx="22">
                  <c:v>231</c:v>
                </c:pt>
                <c:pt idx="23">
                  <c:v>241.5</c:v>
                </c:pt>
                <c:pt idx="24">
                  <c:v>252</c:v>
                </c:pt>
                <c:pt idx="25">
                  <c:v>262.5</c:v>
                </c:pt>
                <c:pt idx="26">
                  <c:v>273</c:v>
                </c:pt>
                <c:pt idx="27">
                  <c:v>283.5</c:v>
                </c:pt>
                <c:pt idx="28">
                  <c:v>294</c:v>
                </c:pt>
                <c:pt idx="29">
                  <c:v>304.5</c:v>
                </c:pt>
                <c:pt idx="30">
                  <c:v>315</c:v>
                </c:pt>
                <c:pt idx="31">
                  <c:v>325.5</c:v>
                </c:pt>
              </c:numCache>
            </c:numRef>
          </c:xVal>
          <c:yVal>
            <c:numRef>
              <c:f>exercise_ESP!$D$43:$D$74</c:f>
              <c:numCache>
                <c:formatCode>0.00</c:formatCode>
                <c:ptCount val="32"/>
                <c:pt idx="0">
                  <c:v>9.5138333333333325</c:v>
                </c:pt>
                <c:pt idx="1">
                  <c:v>9.5906249999999993</c:v>
                </c:pt>
                <c:pt idx="2">
                  <c:v>9.6405000000000012</c:v>
                </c:pt>
                <c:pt idx="3">
                  <c:v>9.6536249999999999</c:v>
                </c:pt>
                <c:pt idx="4">
                  <c:v>9.6305555555555564</c:v>
                </c:pt>
                <c:pt idx="5">
                  <c:v>9.5723559027777778</c:v>
                </c:pt>
                <c:pt idx="6">
                  <c:v>9.4758750000000003</c:v>
                </c:pt>
                <c:pt idx="7">
                  <c:v>9.3366809752747262</c:v>
                </c:pt>
                <c:pt idx="8">
                  <c:v>9.0960439560439568</c:v>
                </c:pt>
                <c:pt idx="9">
                  <c:v>8.7083396291208786</c:v>
                </c:pt>
                <c:pt idx="10">
                  <c:v>8.186979861679605</c:v>
                </c:pt>
                <c:pt idx="11">
                  <c:v>7.5833210642201827</c:v>
                </c:pt>
                <c:pt idx="12">
                  <c:v>6.9119999999999999</c:v>
                </c:pt>
                <c:pt idx="13">
                  <c:v>6.1930929357798155</c:v>
                </c:pt>
                <c:pt idx="14">
                  <c:v>5.4351875229357791</c:v>
                </c:pt>
                <c:pt idx="15">
                  <c:v>4.6349999999999998</c:v>
                </c:pt>
                <c:pt idx="16">
                  <c:v>3.7919999999999998</c:v>
                </c:pt>
                <c:pt idx="17">
                  <c:v>2.9069999999999996</c:v>
                </c:pt>
                <c:pt idx="18">
                  <c:v>1.98</c:v>
                </c:pt>
                <c:pt idx="19">
                  <c:v>1.0109999999999999</c:v>
                </c:pt>
                <c:pt idx="20">
                  <c:v>-</c:v>
                </c:pt>
                <c:pt idx="21">
                  <c:v>-1.0109999999999999</c:v>
                </c:pt>
                <c:pt idx="22">
                  <c:v>-2.0219999999999998</c:v>
                </c:pt>
                <c:pt idx="23">
                  <c:v>-3.0329999999999995</c:v>
                </c:pt>
                <c:pt idx="24">
                  <c:v>-4.0439999999999996</c:v>
                </c:pt>
                <c:pt idx="25">
                  <c:v>-5.0549999999999988</c:v>
                </c:pt>
                <c:pt idx="26">
                  <c:v>-6.0659999999999989</c:v>
                </c:pt>
                <c:pt idx="27">
                  <c:v>-7.0769999999999991</c:v>
                </c:pt>
                <c:pt idx="28">
                  <c:v>-8.0879999999999992</c:v>
                </c:pt>
                <c:pt idx="29">
                  <c:v>-9.0989999999999984</c:v>
                </c:pt>
                <c:pt idx="30">
                  <c:v>-10.109999999999998</c:v>
                </c:pt>
                <c:pt idx="31">
                  <c:v>-11.120999999999999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76960"/>
        <c:axId val="150000000"/>
      </c:scatterChart>
      <c:scatterChart>
        <c:scatterStyle val="lineMarker"/>
        <c:varyColors val="0"/>
        <c:ser>
          <c:idx val="1"/>
          <c:order val="0"/>
          <c:tx>
            <c:strRef>
              <c:f>exercise_ESP!$E$42</c:f>
              <c:strCache>
                <c:ptCount val="1"/>
                <c:pt idx="0">
                  <c:v>КПД, д.е.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  <c:pt idx="21">
                  <c:v>220.5</c:v>
                </c:pt>
                <c:pt idx="22">
                  <c:v>231</c:v>
                </c:pt>
                <c:pt idx="23">
                  <c:v>241.5</c:v>
                </c:pt>
                <c:pt idx="24">
                  <c:v>252</c:v>
                </c:pt>
                <c:pt idx="25">
                  <c:v>262.5</c:v>
                </c:pt>
                <c:pt idx="26">
                  <c:v>273</c:v>
                </c:pt>
                <c:pt idx="27">
                  <c:v>283.5</c:v>
                </c:pt>
                <c:pt idx="28">
                  <c:v>294</c:v>
                </c:pt>
                <c:pt idx="29">
                  <c:v>304.5</c:v>
                </c:pt>
                <c:pt idx="30">
                  <c:v>315</c:v>
                </c:pt>
                <c:pt idx="31">
                  <c:v>325.5</c:v>
                </c:pt>
              </c:numCache>
            </c:numRef>
          </c:xVal>
          <c:yVal>
            <c:numRef>
              <c:f>exercise_ESP!$E$43:$E$74</c:f>
              <c:numCache>
                <c:formatCode>0.00</c:formatCode>
                <c:ptCount val="32"/>
                <c:pt idx="0">
                  <c:v>6.801697530864197E-3</c:v>
                </c:pt>
                <c:pt idx="1">
                  <c:v>7.1032986111111113E-2</c:v>
                </c:pt>
                <c:pt idx="2">
                  <c:v>0.14121527777777776</c:v>
                </c:pt>
                <c:pt idx="3">
                  <c:v>0.21054687499999999</c:v>
                </c:pt>
                <c:pt idx="4">
                  <c:v>0.27907738095238094</c:v>
                </c:pt>
                <c:pt idx="5">
                  <c:v>0.3469018167162698</c:v>
                </c:pt>
                <c:pt idx="6">
                  <c:v>0.41373883928571425</c:v>
                </c:pt>
                <c:pt idx="7">
                  <c:v>0.47893487965838505</c:v>
                </c:pt>
                <c:pt idx="8">
                  <c:v>0.52431055900621115</c:v>
                </c:pt>
                <c:pt idx="9">
                  <c:v>0.54777319487577647</c:v>
                </c:pt>
                <c:pt idx="10">
                  <c:v>0.55652250265111347</c:v>
                </c:pt>
                <c:pt idx="11">
                  <c:v>0.54977570519618246</c:v>
                </c:pt>
                <c:pt idx="12">
                  <c:v>0.53</c:v>
                </c:pt>
                <c:pt idx="13">
                  <c:v>0.4980619427506775</c:v>
                </c:pt>
                <c:pt idx="14">
                  <c:v>0.4546393089430894</c:v>
                </c:pt>
                <c:pt idx="15">
                  <c:v>0.40197916666666667</c:v>
                </c:pt>
                <c:pt idx="16">
                  <c:v>0.34044444444444444</c:v>
                </c:pt>
                <c:pt idx="17">
                  <c:v>0.26947916666666666</c:v>
                </c:pt>
                <c:pt idx="18">
                  <c:v>0.1890833333333333</c:v>
                </c:pt>
                <c:pt idx="19">
                  <c:v>9.9256944444444439E-2</c:v>
                </c:pt>
                <c:pt idx="20">
                  <c:v>1.2956215961201778E-17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08192"/>
        <c:axId val="150001920"/>
      </c:scatterChart>
      <c:valAx>
        <c:axId val="14997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0000"/>
        <c:crosses val="autoZero"/>
        <c:crossBetween val="midCat"/>
      </c:valAx>
      <c:valAx>
        <c:axId val="15000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976960"/>
        <c:crosses val="autoZero"/>
        <c:crossBetween val="midCat"/>
      </c:valAx>
      <c:valAx>
        <c:axId val="150001920"/>
        <c:scaling>
          <c:orientation val="minMax"/>
          <c:max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д.е.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8192"/>
        <c:crosses val="max"/>
        <c:crossBetween val="midCat"/>
      </c:valAx>
      <c:valAx>
        <c:axId val="15000819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00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  <c:pt idx="21">
                  <c:v>220.5</c:v>
                </c:pt>
                <c:pt idx="22">
                  <c:v>231</c:v>
                </c:pt>
                <c:pt idx="23">
                  <c:v>241.5</c:v>
                </c:pt>
                <c:pt idx="24">
                  <c:v>252</c:v>
                </c:pt>
                <c:pt idx="25">
                  <c:v>262.5</c:v>
                </c:pt>
                <c:pt idx="26">
                  <c:v>273</c:v>
                </c:pt>
                <c:pt idx="27">
                  <c:v>283.5</c:v>
                </c:pt>
                <c:pt idx="28">
                  <c:v>294</c:v>
                </c:pt>
                <c:pt idx="29">
                  <c:v>304.5</c:v>
                </c:pt>
                <c:pt idx="30">
                  <c:v>315</c:v>
                </c:pt>
                <c:pt idx="31">
                  <c:v>325.5</c:v>
                </c:pt>
              </c:numCache>
            </c:numRef>
          </c:xVal>
          <c:yVal>
            <c:numRef>
              <c:f>exercise_ESP!$D$43:$D$74</c:f>
              <c:numCache>
                <c:formatCode>0.00</c:formatCode>
                <c:ptCount val="32"/>
                <c:pt idx="0">
                  <c:v>9.5138333333333325</c:v>
                </c:pt>
                <c:pt idx="1">
                  <c:v>9.5906249999999993</c:v>
                </c:pt>
                <c:pt idx="2">
                  <c:v>9.6405000000000012</c:v>
                </c:pt>
                <c:pt idx="3">
                  <c:v>9.6536249999999999</c:v>
                </c:pt>
                <c:pt idx="4">
                  <c:v>9.6305555555555564</c:v>
                </c:pt>
                <c:pt idx="5">
                  <c:v>9.5723559027777778</c:v>
                </c:pt>
                <c:pt idx="6">
                  <c:v>9.4758750000000003</c:v>
                </c:pt>
                <c:pt idx="7">
                  <c:v>9.3366809752747262</c:v>
                </c:pt>
                <c:pt idx="8">
                  <c:v>9.0960439560439568</c:v>
                </c:pt>
                <c:pt idx="9">
                  <c:v>8.7083396291208786</c:v>
                </c:pt>
                <c:pt idx="10">
                  <c:v>8.186979861679605</c:v>
                </c:pt>
                <c:pt idx="11">
                  <c:v>7.5833210642201827</c:v>
                </c:pt>
                <c:pt idx="12">
                  <c:v>6.9119999999999999</c:v>
                </c:pt>
                <c:pt idx="13">
                  <c:v>6.1930929357798155</c:v>
                </c:pt>
                <c:pt idx="14">
                  <c:v>5.4351875229357791</c:v>
                </c:pt>
                <c:pt idx="15">
                  <c:v>4.6349999999999998</c:v>
                </c:pt>
                <c:pt idx="16">
                  <c:v>3.7919999999999998</c:v>
                </c:pt>
                <c:pt idx="17">
                  <c:v>2.9069999999999996</c:v>
                </c:pt>
                <c:pt idx="18">
                  <c:v>1.98</c:v>
                </c:pt>
                <c:pt idx="19">
                  <c:v>1.0109999999999999</c:v>
                </c:pt>
                <c:pt idx="20">
                  <c:v>-</c:v>
                </c:pt>
                <c:pt idx="21">
                  <c:v>-1.0109999999999999</c:v>
                </c:pt>
                <c:pt idx="22">
                  <c:v>-2.0219999999999998</c:v>
                </c:pt>
                <c:pt idx="23">
                  <c:v>-3.0329999999999995</c:v>
                </c:pt>
                <c:pt idx="24">
                  <c:v>-4.0439999999999996</c:v>
                </c:pt>
                <c:pt idx="25">
                  <c:v>-5.0549999999999988</c:v>
                </c:pt>
                <c:pt idx="26">
                  <c:v>-6.0659999999999989</c:v>
                </c:pt>
                <c:pt idx="27">
                  <c:v>-7.0769999999999991</c:v>
                </c:pt>
                <c:pt idx="28">
                  <c:v>-8.0879999999999992</c:v>
                </c:pt>
                <c:pt idx="29">
                  <c:v>-9.0989999999999984</c:v>
                </c:pt>
                <c:pt idx="30">
                  <c:v>-10.109999999999998</c:v>
                </c:pt>
                <c:pt idx="31">
                  <c:v>-11.120999999999999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68288"/>
      </c:scatterChart>
      <c:scatterChart>
        <c:scatterStyle val="lineMarker"/>
        <c:varyColors val="0"/>
        <c:ser>
          <c:idx val="1"/>
          <c:order val="0"/>
          <c:tx>
            <c:strRef>
              <c:f>exercise_ESP!$F$42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  <c:pt idx="21">
                  <c:v>220.5</c:v>
                </c:pt>
                <c:pt idx="22">
                  <c:v>231</c:v>
                </c:pt>
                <c:pt idx="23">
                  <c:v>241.5</c:v>
                </c:pt>
                <c:pt idx="24">
                  <c:v>252</c:v>
                </c:pt>
                <c:pt idx="25">
                  <c:v>262.5</c:v>
                </c:pt>
                <c:pt idx="26">
                  <c:v>273</c:v>
                </c:pt>
                <c:pt idx="27">
                  <c:v>283.5</c:v>
                </c:pt>
                <c:pt idx="28">
                  <c:v>294</c:v>
                </c:pt>
                <c:pt idx="29">
                  <c:v>304.5</c:v>
                </c:pt>
                <c:pt idx="30">
                  <c:v>315</c:v>
                </c:pt>
                <c:pt idx="31">
                  <c:v>325.5</c:v>
                </c:pt>
              </c:numCache>
            </c:numRef>
          </c:xVal>
          <c:yVal>
            <c:numRef>
              <c:f>exercise_ESP!$F$43:$F$74</c:f>
              <c:numCache>
                <c:formatCode>0.00</c:formatCode>
                <c:ptCount val="32"/>
                <c:pt idx="0">
                  <c:v>150.69399999999996</c:v>
                </c:pt>
                <c:pt idx="1">
                  <c:v>153.89549999999997</c:v>
                </c:pt>
                <c:pt idx="2">
                  <c:v>157.01399999999998</c:v>
                </c:pt>
                <c:pt idx="3">
                  <c:v>159.69149999999999</c:v>
                </c:pt>
                <c:pt idx="4">
                  <c:v>161.84577777777776</c:v>
                </c:pt>
                <c:pt idx="5">
                  <c:v>163.31932638888887</c:v>
                </c:pt>
                <c:pt idx="6">
                  <c:v>164.57849999999999</c:v>
                </c:pt>
                <c:pt idx="7">
                  <c:v>166.14395913461539</c:v>
                </c:pt>
                <c:pt idx="8">
                  <c:v>168.06153846153845</c:v>
                </c:pt>
                <c:pt idx="9">
                  <c:v>170.61988701923076</c:v>
                </c:pt>
                <c:pt idx="10">
                  <c:v>174.42318095956216</c:v>
                </c:pt>
                <c:pt idx="11">
                  <c:v>179.38868641897233</c:v>
                </c:pt>
                <c:pt idx="12">
                  <c:v>184.89599999999996</c:v>
                </c:pt>
                <c:pt idx="13">
                  <c:v>190.60550158102765</c:v>
                </c:pt>
                <c:pt idx="14">
                  <c:v>196.65394150197625</c:v>
                </c:pt>
                <c:pt idx="15">
                  <c:v>203.12999999999997</c:v>
                </c:pt>
                <c:pt idx="16">
                  <c:v>210.048</c:v>
                </c:pt>
                <c:pt idx="17">
                  <c:v>217.386</c:v>
                </c:pt>
                <c:pt idx="18">
                  <c:v>225.14399999999998</c:v>
                </c:pt>
                <c:pt idx="19">
                  <c:v>233.32199999999997</c:v>
                </c:pt>
                <c:pt idx="20">
                  <c:v>241.92</c:v>
                </c:pt>
                <c:pt idx="21">
                  <c:v>241.92</c:v>
                </c:pt>
                <c:pt idx="22">
                  <c:v>241.92</c:v>
                </c:pt>
                <c:pt idx="23">
                  <c:v>241.92</c:v>
                </c:pt>
                <c:pt idx="24">
                  <c:v>241.92</c:v>
                </c:pt>
                <c:pt idx="25">
                  <c:v>241.92</c:v>
                </c:pt>
                <c:pt idx="26">
                  <c:v>241.92</c:v>
                </c:pt>
                <c:pt idx="27">
                  <c:v>241.92</c:v>
                </c:pt>
                <c:pt idx="28">
                  <c:v>241.92</c:v>
                </c:pt>
                <c:pt idx="29">
                  <c:v>241.92</c:v>
                </c:pt>
                <c:pt idx="30">
                  <c:v>241.92</c:v>
                </c:pt>
                <c:pt idx="31">
                  <c:v>241.92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2384"/>
        <c:axId val="149470208"/>
      </c:scatterChart>
      <c:valAx>
        <c:axId val="1494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8288"/>
        <c:crosses val="autoZero"/>
        <c:crossBetween val="midCat"/>
      </c:valAx>
      <c:valAx>
        <c:axId val="1494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1632"/>
        <c:crosses val="autoZero"/>
        <c:crossBetween val="midCat"/>
      </c:valAx>
      <c:valAx>
        <c:axId val="149470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72384"/>
        <c:crosses val="max"/>
        <c:crossBetween val="midCat"/>
      </c:valAx>
      <c:valAx>
        <c:axId val="1494723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947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14368"/>
        <c:axId val="15031692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32928"/>
        <c:axId val="150331392"/>
      </c:scatterChart>
      <c:valAx>
        <c:axId val="15031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6928"/>
        <c:crosses val="autoZero"/>
        <c:crossBetween val="midCat"/>
      </c:valAx>
      <c:valAx>
        <c:axId val="1503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Перепад</a:t>
                </a:r>
                <a:r>
                  <a:rPr lang="ru-RU" baseline="0"/>
                  <a:t> давления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4368"/>
        <c:crosses val="autoZero"/>
        <c:crossBetween val="midCat"/>
      </c:valAx>
      <c:valAx>
        <c:axId val="150331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50332928"/>
        <c:crosses val="max"/>
        <c:crossBetween val="midCat"/>
      </c:valAx>
      <c:valAx>
        <c:axId val="1503329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33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на выходе от дебита</a:t>
            </a:r>
          </a:p>
        </c:rich>
      </c:tx>
      <c:layout>
        <c:manualLayout>
          <c:xMode val="edge"/>
          <c:yMode val="edge"/>
          <c:x val="0.14158939769411119"/>
          <c:y val="2.49611433315914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1"/>
          <c:order val="0"/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10.5</c:v>
                </c:pt>
                <c:pt idx="2">
                  <c:v>21</c:v>
                </c:pt>
                <c:pt idx="3">
                  <c:v>31.5</c:v>
                </c:pt>
                <c:pt idx="4">
                  <c:v>42</c:v>
                </c:pt>
                <c:pt idx="5">
                  <c:v>52.5</c:v>
                </c:pt>
                <c:pt idx="6">
                  <c:v>63</c:v>
                </c:pt>
                <c:pt idx="7">
                  <c:v>73.5</c:v>
                </c:pt>
                <c:pt idx="8">
                  <c:v>84</c:v>
                </c:pt>
                <c:pt idx="9">
                  <c:v>94.5</c:v>
                </c:pt>
                <c:pt idx="10">
                  <c:v>105</c:v>
                </c:pt>
                <c:pt idx="11">
                  <c:v>115.5</c:v>
                </c:pt>
                <c:pt idx="12">
                  <c:v>126</c:v>
                </c:pt>
                <c:pt idx="13">
                  <c:v>136.5</c:v>
                </c:pt>
                <c:pt idx="14">
                  <c:v>147</c:v>
                </c:pt>
                <c:pt idx="15">
                  <c:v>157.5</c:v>
                </c:pt>
                <c:pt idx="16">
                  <c:v>168</c:v>
                </c:pt>
                <c:pt idx="17">
                  <c:v>178.5</c:v>
                </c:pt>
                <c:pt idx="18">
                  <c:v>189</c:v>
                </c:pt>
                <c:pt idx="19">
                  <c:v>199.5</c:v>
                </c:pt>
                <c:pt idx="20">
                  <c:v>210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526-4574-8CCC-D078ED177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8256"/>
        <c:axId val="152930176"/>
      </c:scatterChart>
      <c:valAx>
        <c:axId val="15292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30176"/>
        <c:crosses val="autoZero"/>
        <c:crossBetween val="midCat"/>
      </c:valAx>
      <c:valAx>
        <c:axId val="15293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2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360892</xdr:colOff>
      <xdr:row>40</xdr:row>
      <xdr:rowOff>25249</xdr:rowOff>
    </xdr:from>
    <xdr:to>
      <xdr:col>25</xdr:col>
      <xdr:colOff>228600</xdr:colOff>
      <xdr:row>68</xdr:row>
      <xdr:rowOff>38100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245686</xdr:colOff>
      <xdr:row>40</xdr:row>
      <xdr:rowOff>40298</xdr:rowOff>
    </xdr:from>
    <xdr:to>
      <xdr:col>18</xdr:col>
      <xdr:colOff>266699</xdr:colOff>
      <xdr:row>68</xdr:row>
      <xdr:rowOff>19050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140607</xdr:colOff>
      <xdr:row>40</xdr:row>
      <xdr:rowOff>127623</xdr:rowOff>
    </xdr:from>
    <xdr:to>
      <xdr:col>48</xdr:col>
      <xdr:colOff>147010</xdr:colOff>
      <xdr:row>62</xdr:row>
      <xdr:rowOff>36731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635292</xdr:colOff>
      <xdr:row>0</xdr:row>
      <xdr:rowOff>6032</xdr:rowOff>
    </xdr:from>
    <xdr:to>
      <xdr:col>13</xdr:col>
      <xdr:colOff>353621</xdr:colOff>
      <xdr:row>14</xdr:row>
      <xdr:rowOff>207065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91335" y="6032"/>
          <a:ext cx="5010916" cy="289288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номер и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Постройте паспортные характеристики ЭЦН.</a:t>
          </a: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ESP_id_by_rate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ESP_name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ESP_rate_max_sm3day</a:t>
          </a:r>
          <a:endParaRPr lang="ru-RU" sz="1100">
            <a:solidFill>
              <a:schemeClr val="dk1"/>
            </a:solidFill>
            <a:effectLst/>
            <a:latin typeface="Courier New" pitchFamily="49" charset="0"/>
            <a:ea typeface="+mn-ea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ESP_eff_fr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ESP_power_W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36</xdr:col>
      <xdr:colOff>455800</xdr:colOff>
      <xdr:row>40</xdr:row>
      <xdr:rowOff>127729</xdr:rowOff>
    </xdr:from>
    <xdr:to>
      <xdr:col>42</xdr:col>
      <xdr:colOff>145861</xdr:colOff>
      <xdr:row>62</xdr:row>
      <xdr:rowOff>81660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14</xdr:row>
      <xdr:rowOff>215348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158204" y="11642"/>
          <a:ext cx="5482167" cy="289555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Являются ли паспортные характеристики ЭЦН - напор, КПД и мощность независимыми?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 Как влияет на каждую из характеристик?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 Как влияет на каждую из характеристик?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Как будут меняться паспортные характристик в зоне, где дебит больше максимального по паспорту (где набор становится равны нулю)?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Проверьте для всех ли насосов в базе характеристики заданы корректно?</a:t>
          </a:r>
        </a:p>
      </xdr:txBody>
    </xdr:sp>
    <xdr:clientData/>
  </xdr:twoCellAnchor>
  <xdr:twoCellAnchor>
    <xdr:from>
      <xdr:col>4</xdr:col>
      <xdr:colOff>76892</xdr:colOff>
      <xdr:row>25</xdr:row>
      <xdr:rowOff>6026</xdr:rowOff>
    </xdr:from>
    <xdr:to>
      <xdr:col>8</xdr:col>
      <xdr:colOff>67366</xdr:colOff>
      <xdr:row>30</xdr:row>
      <xdr:rowOff>181297</xdr:rowOff>
    </xdr:to>
    <xdr:sp macro="" textlink="">
      <xdr:nvSpPr>
        <xdr:cNvPr id="4" name="Выноска со стрелкой вле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124892" y="5000439"/>
          <a:ext cx="3096452" cy="1036662"/>
        </a:xfrm>
        <a:prstGeom prst="leftArrowCallout">
          <a:avLst>
            <a:gd name="adj1" fmla="val 25000"/>
            <a:gd name="adj2" fmla="val 25000"/>
            <a:gd name="adj3" fmla="val 25000"/>
            <a:gd name="adj4" fmla="val 88661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Определите  </a:t>
          </a:r>
          <a:r>
            <a:rPr lang="en-US" sz="1100"/>
            <a:t>ID</a:t>
          </a:r>
          <a:r>
            <a:rPr lang="ru-RU" sz="1100"/>
            <a:t> насоса</a:t>
          </a:r>
          <a:r>
            <a:rPr lang="en-US" sz="1100"/>
            <a:t>,</a:t>
          </a:r>
          <a:r>
            <a:rPr lang="en-US" sz="1100" baseline="0"/>
            <a:t> </a:t>
          </a:r>
          <a:r>
            <a:rPr lang="ru-RU" sz="1100" baseline="0"/>
            <a:t>его обозначение,</a:t>
          </a:r>
          <a:r>
            <a:rPr lang="en-US" sz="1100" baseline="0"/>
            <a:t> Qmax, </a:t>
          </a:r>
          <a:r>
            <a:rPr lang="ru-RU" sz="1100" baseline="0"/>
            <a:t>количество ступеней.</a:t>
          </a:r>
        </a:p>
        <a:p>
          <a:pPr algn="l"/>
          <a:r>
            <a:rPr lang="ru-RU" sz="1100"/>
            <a:t>Количество ступеней</a:t>
          </a:r>
          <a:r>
            <a:rPr lang="ru-RU" sz="1100" baseline="0"/>
            <a:t> можно оценить зная общий напор и напор одной ступени на номинальной частоте</a:t>
          </a:r>
          <a:endParaRPr lang="ru-RU" sz="1100"/>
        </a:p>
      </xdr:txBody>
    </xdr:sp>
    <xdr:clientData/>
  </xdr:twoCellAnchor>
  <xdr:twoCellAnchor>
    <xdr:from>
      <xdr:col>6</xdr:col>
      <xdr:colOff>95250</xdr:colOff>
      <xdr:row>48</xdr:row>
      <xdr:rowOff>74082</xdr:rowOff>
    </xdr:from>
    <xdr:to>
      <xdr:col>10</xdr:col>
      <xdr:colOff>232833</xdr:colOff>
      <xdr:row>53</xdr:row>
      <xdr:rowOff>123825</xdr:rowOff>
    </xdr:to>
    <xdr:sp macro="" textlink="">
      <xdr:nvSpPr>
        <xdr:cNvPr id="16" name="Выноска со стрелкой влево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552950" y="8970432"/>
          <a:ext cx="3309408" cy="859368"/>
        </a:xfrm>
        <a:prstGeom prst="leftArrowCallout">
          <a:avLst>
            <a:gd name="adj1" fmla="val 25000"/>
            <a:gd name="adj2" fmla="val 25000"/>
            <a:gd name="adj3" fmla="val 38152"/>
            <a:gd name="adj4" fmla="val 8251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Постройте номинальные характеристики ЭЦН, заданных параметров насоса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PVT"/>
      <definedName name="ESP_eff_fr"/>
      <definedName name="ESP_head_m"/>
      <definedName name="ESP_id_by_rate"/>
      <definedName name="ESP_name"/>
      <definedName name="ESP_p_atma"/>
      <definedName name="ESP_power_W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Y74"/>
  <sheetViews>
    <sheetView tabSelected="1" zoomScale="55" zoomScaleNormal="55" workbookViewId="0">
      <selection activeCell="K34" sqref="K34"/>
    </sheetView>
  </sheetViews>
  <sheetFormatPr defaultRowHeight="13.2" x14ac:dyDescent="0.25"/>
  <cols>
    <col min="2" max="2" width="15.109375" customWidth="1"/>
    <col min="3" max="3" width="9.88671875" customWidth="1"/>
    <col min="4" max="4" width="11.5546875" bestFit="1" customWidth="1"/>
    <col min="5" max="5" width="11.33203125" customWidth="1"/>
    <col min="6" max="6" width="9.88671875" customWidth="1"/>
    <col min="7" max="7" width="13.109375" customWidth="1"/>
    <col min="8" max="8" width="12.33203125" customWidth="1"/>
    <col min="9" max="9" width="10.88671875" bestFit="1" customWidth="1"/>
    <col min="10" max="10" width="11.33203125" customWidth="1"/>
    <col min="11" max="11" width="12.33203125" bestFit="1" customWidth="1"/>
    <col min="12" max="12" width="10.33203125" bestFit="1" customWidth="1"/>
    <col min="20" max="37" width="12.44140625" customWidth="1"/>
  </cols>
  <sheetData>
    <row r="1" spans="1:12" x14ac:dyDescent="0.25">
      <c r="A1" s="1" t="s">
        <v>15</v>
      </c>
      <c r="F1" t="s">
        <v>16</v>
      </c>
      <c r="G1" t="str">
        <f>[1]!unf_Version()</f>
        <v>7.31</v>
      </c>
      <c r="H1" t="s">
        <v>49</v>
      </c>
      <c r="I1" s="24">
        <v>44411</v>
      </c>
      <c r="J1" s="19"/>
      <c r="K1" s="19"/>
      <c r="L1" s="19"/>
    </row>
    <row r="2" spans="1:12" x14ac:dyDescent="0.25">
      <c r="A2" t="s">
        <v>63</v>
      </c>
      <c r="H2" t="s">
        <v>50</v>
      </c>
      <c r="I2" s="25">
        <v>7.31</v>
      </c>
      <c r="J2" s="19"/>
      <c r="K2" s="19"/>
      <c r="L2" s="19"/>
    </row>
    <row r="3" spans="1:12" ht="14.4" x14ac:dyDescent="0.3">
      <c r="A3" s="26" t="s">
        <v>51</v>
      </c>
      <c r="B3" s="32" t="s">
        <v>52</v>
      </c>
      <c r="C3" s="33"/>
      <c r="D3" s="33"/>
      <c r="E3" s="34"/>
      <c r="H3" t="s">
        <v>53</v>
      </c>
      <c r="I3" s="19" t="s">
        <v>52</v>
      </c>
      <c r="J3" s="19"/>
      <c r="K3" s="19"/>
      <c r="L3" s="19"/>
    </row>
    <row r="4" spans="1:12" ht="14.4" x14ac:dyDescent="0.3">
      <c r="A4" s="26" t="s">
        <v>54</v>
      </c>
      <c r="B4" s="32" t="s">
        <v>55</v>
      </c>
      <c r="C4" s="33"/>
      <c r="D4" s="33"/>
      <c r="E4" s="34"/>
      <c r="H4" t="s">
        <v>56</v>
      </c>
      <c r="I4" s="19" t="s">
        <v>55</v>
      </c>
      <c r="J4" s="19"/>
      <c r="K4" s="19"/>
      <c r="L4" s="19"/>
    </row>
    <row r="5" spans="1:12" ht="14.4" x14ac:dyDescent="0.3">
      <c r="A5" s="26" t="s">
        <v>57</v>
      </c>
      <c r="B5" s="32" t="s">
        <v>58</v>
      </c>
      <c r="C5" s="33"/>
      <c r="D5" s="33"/>
      <c r="E5" s="34"/>
      <c r="H5" t="s">
        <v>59</v>
      </c>
      <c r="I5" s="19" t="s">
        <v>58</v>
      </c>
      <c r="J5" s="19"/>
      <c r="K5" s="19"/>
      <c r="L5" s="19"/>
    </row>
    <row r="6" spans="1:12" x14ac:dyDescent="0.25">
      <c r="A6" s="27" t="s">
        <v>60</v>
      </c>
      <c r="B6" s="35" t="s">
        <v>61</v>
      </c>
      <c r="C6" s="36"/>
      <c r="D6" s="36"/>
      <c r="E6" s="37"/>
      <c r="H6" s="28" t="s">
        <v>62</v>
      </c>
      <c r="I6" s="29" t="s">
        <v>61</v>
      </c>
      <c r="J6" s="29"/>
      <c r="K6" s="29"/>
      <c r="L6" s="29"/>
    </row>
    <row r="7" spans="1:12" x14ac:dyDescent="0.25">
      <c r="A7" s="30"/>
      <c r="B7" s="38"/>
      <c r="C7" s="39"/>
      <c r="D7" s="39"/>
      <c r="E7" s="40"/>
      <c r="H7" s="28"/>
      <c r="I7" s="29"/>
      <c r="J7" s="29"/>
      <c r="K7" s="29"/>
      <c r="L7" s="29"/>
    </row>
    <row r="8" spans="1:12" x14ac:dyDescent="0.25">
      <c r="A8" s="31"/>
      <c r="B8" s="41"/>
      <c r="C8" s="42"/>
      <c r="D8" s="42"/>
      <c r="E8" s="43"/>
      <c r="H8" s="28"/>
      <c r="I8" s="29"/>
      <c r="J8" s="29"/>
      <c r="K8" s="29"/>
      <c r="L8" s="29"/>
    </row>
    <row r="10" spans="1:12" x14ac:dyDescent="0.25">
      <c r="A10" s="1" t="s">
        <v>8</v>
      </c>
    </row>
    <row r="11" spans="1:12" ht="16.8" x14ac:dyDescent="0.35">
      <c r="B11" s="9" t="s">
        <v>17</v>
      </c>
      <c r="C11" s="2">
        <v>0.9</v>
      </c>
      <c r="D11" s="10"/>
      <c r="E11" s="11">
        <f>gamma_oil_*1000</f>
        <v>900</v>
      </c>
      <c r="F11" s="12" t="s">
        <v>18</v>
      </c>
    </row>
    <row r="12" spans="1:12" ht="16.8" x14ac:dyDescent="0.35">
      <c r="B12" s="12" t="s">
        <v>19</v>
      </c>
      <c r="C12" s="2">
        <v>1</v>
      </c>
      <c r="D12" s="10"/>
      <c r="E12" s="11">
        <f>gamma_wat_*1000</f>
        <v>1000</v>
      </c>
      <c r="F12" s="12" t="s">
        <v>18</v>
      </c>
    </row>
    <row r="13" spans="1:12" ht="16.8" x14ac:dyDescent="0.35">
      <c r="B13" s="12" t="s">
        <v>20</v>
      </c>
      <c r="C13" s="2">
        <v>0.8</v>
      </c>
      <c r="D13" s="10"/>
      <c r="E13" s="11">
        <f>gamma_gas_*1.22</f>
        <v>0.97599999999999998</v>
      </c>
      <c r="F13" s="12" t="s">
        <v>18</v>
      </c>
    </row>
    <row r="14" spans="1:12" ht="16.8" x14ac:dyDescent="0.35">
      <c r="B14" s="13" t="s">
        <v>21</v>
      </c>
      <c r="C14" s="2">
        <v>80</v>
      </c>
      <c r="D14" s="12" t="s">
        <v>22</v>
      </c>
      <c r="E14" s="14">
        <f>Rsb_/gamma_oil_</f>
        <v>88.888888888888886</v>
      </c>
      <c r="F14" s="12" t="s">
        <v>23</v>
      </c>
    </row>
    <row r="15" spans="1:12" ht="16.8" x14ac:dyDescent="0.35">
      <c r="B15" s="13" t="s">
        <v>24</v>
      </c>
      <c r="C15" s="2">
        <v>80</v>
      </c>
      <c r="D15" s="12" t="s">
        <v>22</v>
      </c>
      <c r="E15" s="14">
        <f>Rsb_/gamma_oil_</f>
        <v>88.888888888888886</v>
      </c>
      <c r="F15" s="12" t="s">
        <v>23</v>
      </c>
    </row>
    <row r="16" spans="1:12" ht="15.6" x14ac:dyDescent="0.35">
      <c r="B16" s="12" t="s">
        <v>25</v>
      </c>
      <c r="C16" s="2">
        <v>120</v>
      </c>
      <c r="D16" s="10" t="s">
        <v>26</v>
      </c>
      <c r="E16" s="14">
        <f>Pb_*1.01325</f>
        <v>121.59</v>
      </c>
      <c r="F16" s="10" t="s">
        <v>27</v>
      </c>
    </row>
    <row r="17" spans="1:25" ht="15.6" x14ac:dyDescent="0.35">
      <c r="B17" s="12" t="s">
        <v>28</v>
      </c>
      <c r="C17" s="2">
        <v>100</v>
      </c>
      <c r="D17" s="10" t="s">
        <v>2</v>
      </c>
      <c r="E17" s="14">
        <f>Tres_*9/5+32</f>
        <v>212</v>
      </c>
      <c r="F17" s="10" t="s">
        <v>29</v>
      </c>
      <c r="Y17" t="str" cm="1">
        <f t="array" ref="Y17">[1]!ESP_p_atma(50,50,L22,PumpID_,120,50)</f>
        <v>error:ESP_p_atma: Type mismatch</v>
      </c>
    </row>
    <row r="18" spans="1:25" ht="16.8" x14ac:dyDescent="0.35">
      <c r="B18" s="13" t="s">
        <v>30</v>
      </c>
      <c r="C18" s="2">
        <v>1.2</v>
      </c>
      <c r="D18" s="12" t="s">
        <v>22</v>
      </c>
    </row>
    <row r="19" spans="1:25" ht="15.6" x14ac:dyDescent="0.35">
      <c r="B19" s="21" t="s">
        <v>47</v>
      </c>
      <c r="C19" s="2">
        <v>1</v>
      </c>
      <c r="D19" s="12" t="s">
        <v>46</v>
      </c>
    </row>
    <row r="20" spans="1:25" x14ac:dyDescent="0.25">
      <c r="B20" s="3"/>
      <c r="C20" s="4"/>
    </row>
    <row r="21" spans="1:25" ht="15.6" x14ac:dyDescent="0.35">
      <c r="B21" s="15" t="s">
        <v>32</v>
      </c>
      <c r="C21" s="2">
        <v>50</v>
      </c>
      <c r="D21" s="22" t="s">
        <v>3</v>
      </c>
      <c r="L21" t="str" cm="1">
        <f t="array" ref="L21">[1]!encode_PVT()</f>
        <v>{"gamma_gas":0.6,"gamma_oil":0.86,"gamma_wat":1,"rsb_m3m3":100}</v>
      </c>
    </row>
    <row r="22" spans="1:25" ht="15.6" x14ac:dyDescent="0.35">
      <c r="B22" s="15" t="s">
        <v>34</v>
      </c>
      <c r="C22" s="2">
        <v>10</v>
      </c>
      <c r="D22" s="22" t="s">
        <v>33</v>
      </c>
      <c r="L22" t="str" cm="1">
        <f t="array" ref="L22">[1]!encode_feed()</f>
        <v>{"gamma_gas":0.6,"gamma_oil":0.86,"gamma_wat":1,"rsb_m3m3":100,"q_liq_sm3day":10}</v>
      </c>
    </row>
    <row r="23" spans="1:25" x14ac:dyDescent="0.25">
      <c r="A23" s="1" t="s">
        <v>45</v>
      </c>
    </row>
    <row r="24" spans="1:25" ht="15.6" x14ac:dyDescent="0.35">
      <c r="B24" s="16" t="s">
        <v>38</v>
      </c>
      <c r="C24" s="2">
        <v>80</v>
      </c>
      <c r="D24" s="16" t="s">
        <v>3</v>
      </c>
    </row>
    <row r="25" spans="1:25" ht="15.6" x14ac:dyDescent="0.35">
      <c r="B25" s="16" t="s">
        <v>39</v>
      </c>
      <c r="C25" s="2">
        <v>2000</v>
      </c>
      <c r="D25" s="16" t="s">
        <v>4</v>
      </c>
    </row>
    <row r="26" spans="1:25" x14ac:dyDescent="0.25">
      <c r="B26" s="16" t="s">
        <v>35</v>
      </c>
      <c r="C26" s="2">
        <v>60</v>
      </c>
      <c r="D26" s="16" t="s">
        <v>5</v>
      </c>
    </row>
    <row r="27" spans="1:25" x14ac:dyDescent="0.25">
      <c r="B27" s="16" t="s">
        <v>36</v>
      </c>
      <c r="C27" s="11" cm="1">
        <f t="array" ref="C27">[1]!ESP_id_by_rate(Q_ESP_)</f>
        <v>1006</v>
      </c>
      <c r="D27" s="16"/>
    </row>
    <row r="28" spans="1:25" x14ac:dyDescent="0.25">
      <c r="B28" s="16" t="s">
        <v>37</v>
      </c>
      <c r="C28" s="11" t="str" cm="1">
        <f t="array" ref="C28">[1]!ESP_name(PumpID_)</f>
        <v>ЭЦН5-80</v>
      </c>
      <c r="D28" s="16"/>
    </row>
    <row r="29" spans="1:25" ht="15.6" x14ac:dyDescent="0.35">
      <c r="B29" s="16" t="s">
        <v>40</v>
      </c>
      <c r="C29" s="11" cm="1">
        <f t="array" ref="C29">[1]!ESP_rate_max_sm3day(Freq_,PumpID_)</f>
        <v>210</v>
      </c>
      <c r="D29" s="16"/>
    </row>
    <row r="30" spans="1:25" x14ac:dyDescent="0.25">
      <c r="B30" s="16" t="s">
        <v>9</v>
      </c>
      <c r="C30" s="11">
        <v>1</v>
      </c>
      <c r="D30" s="16" t="s">
        <v>6</v>
      </c>
    </row>
    <row r="31" spans="1:25" ht="15.6" x14ac:dyDescent="0.35">
      <c r="B31" s="16" t="s">
        <v>41</v>
      </c>
      <c r="C31" s="5">
        <v>0.8</v>
      </c>
      <c r="D31" s="16"/>
    </row>
    <row r="32" spans="1:25" ht="15.6" x14ac:dyDescent="0.35">
      <c r="B32" s="16" t="s">
        <v>42</v>
      </c>
      <c r="C32" s="7">
        <v>80</v>
      </c>
      <c r="D32" s="16" t="s">
        <v>1</v>
      </c>
    </row>
    <row r="33" spans="1:6" ht="15.6" x14ac:dyDescent="0.35">
      <c r="B33" s="16" t="s">
        <v>43</v>
      </c>
      <c r="C33" s="7">
        <v>80</v>
      </c>
      <c r="D33" s="16" t="s">
        <v>2</v>
      </c>
    </row>
    <row r="34" spans="1:6" x14ac:dyDescent="0.25">
      <c r="B34" s="20" t="s">
        <v>44</v>
      </c>
      <c r="C34" s="2">
        <v>1</v>
      </c>
      <c r="D34" s="20" t="s">
        <v>31</v>
      </c>
    </row>
    <row r="35" spans="1:6" x14ac:dyDescent="0.25">
      <c r="A35" t="s">
        <v>48</v>
      </c>
    </row>
    <row r="36" spans="1:6" x14ac:dyDescent="0.25">
      <c r="B36" s="16" t="s">
        <v>7</v>
      </c>
      <c r="C36" s="2">
        <v>20</v>
      </c>
      <c r="D36" s="16"/>
    </row>
    <row r="37" spans="1:6" x14ac:dyDescent="0.25">
      <c r="A37" s="1"/>
    </row>
    <row r="39" spans="1:6" ht="12.75" customHeight="1" x14ac:dyDescent="0.25">
      <c r="A39" t="s">
        <v>14</v>
      </c>
    </row>
    <row r="40" spans="1:6" x14ac:dyDescent="0.25">
      <c r="A40" t="s">
        <v>10</v>
      </c>
    </row>
    <row r="42" spans="1:6" ht="26.4" x14ac:dyDescent="0.25">
      <c r="C42" s="17" t="s">
        <v>0</v>
      </c>
      <c r="D42" s="17" t="s">
        <v>11</v>
      </c>
      <c r="E42" s="17" t="s">
        <v>12</v>
      </c>
      <c r="F42" s="18" t="s">
        <v>13</v>
      </c>
    </row>
    <row r="43" spans="1:6" x14ac:dyDescent="0.25">
      <c r="C43" s="6">
        <v>1</v>
      </c>
      <c r="D43" s="23" cm="1">
        <f t="array" ref="D43">[1]!ESP_head_m(C43,NumStage_,Freq_,PumpID_,mu)</f>
        <v>9.5138333333333325</v>
      </c>
      <c r="E43" s="23" cm="1">
        <f t="array" ref="E43">[1]!ESP_eff_fr(C43,NumStage_,Freq_,PumpID_,mu)</f>
        <v>6.801697530864197E-3</v>
      </c>
      <c r="F43" s="23" cm="1">
        <f t="array" ref="F43">[1]!ESP_power_W(C43,NumStage_,Freq_,PumpID_,mu)</f>
        <v>150.69399999999996</v>
      </c>
    </row>
    <row r="44" spans="1:6" x14ac:dyDescent="0.25">
      <c r="C44" s="6">
        <f>Qmax_/20</f>
        <v>10.5</v>
      </c>
      <c r="D44" s="23" cm="1">
        <f t="array" ref="D44">[1]!ESP_head_m(C44,NumStage_,Freq_,PumpID_,mu)</f>
        <v>9.5906249999999993</v>
      </c>
      <c r="E44" s="23" cm="1">
        <f t="array" ref="E44">[1]!ESP_eff_fr(C44,NumStage_,Freq_,PumpID_,mu)</f>
        <v>7.1032986111111113E-2</v>
      </c>
      <c r="F44" s="23" cm="1">
        <f t="array" ref="F44">[1]!ESP_power_W(C44,NumStage_,Freq_,PumpID_,mu)</f>
        <v>153.89549999999997</v>
      </c>
    </row>
    <row r="45" spans="1:6" x14ac:dyDescent="0.25">
      <c r="C45" s="6">
        <f t="shared" ref="C45:C74" si="0">C44+Qmax_/20</f>
        <v>21</v>
      </c>
      <c r="D45" s="23" cm="1">
        <f t="array" ref="D45">[1]!ESP_head_m(C45,NumStage_,Freq_,PumpID_,mu)</f>
        <v>9.6405000000000012</v>
      </c>
      <c r="E45" s="23" cm="1">
        <f t="array" ref="E45">[1]!ESP_eff_fr(C45,NumStage_,Freq_,PumpID_,mu)</f>
        <v>0.14121527777777776</v>
      </c>
      <c r="F45" s="23" cm="1">
        <f t="array" ref="F45">[1]!ESP_power_W(C45,NumStage_,Freq_,PumpID_,mu)</f>
        <v>157.01399999999998</v>
      </c>
    </row>
    <row r="46" spans="1:6" x14ac:dyDescent="0.25">
      <c r="C46" s="6">
        <f t="shared" si="0"/>
        <v>31.5</v>
      </c>
      <c r="D46" s="23" cm="1">
        <f t="array" ref="D46">[1]!ESP_head_m(C46,NumStage_,Freq_,PumpID_,mu)</f>
        <v>9.6536249999999999</v>
      </c>
      <c r="E46" s="23" cm="1">
        <f t="array" ref="E46">[1]!ESP_eff_fr(C46,NumStage_,Freq_,PumpID_,mu)</f>
        <v>0.21054687499999999</v>
      </c>
      <c r="F46" s="23" cm="1">
        <f t="array" ref="F46">[1]!ESP_power_W(C46,NumStage_,Freq_,PumpID_,mu)</f>
        <v>159.69149999999999</v>
      </c>
    </row>
    <row r="47" spans="1:6" x14ac:dyDescent="0.25">
      <c r="C47" s="6">
        <f t="shared" si="0"/>
        <v>42</v>
      </c>
      <c r="D47" s="23" cm="1">
        <f t="array" ref="D47">[1]!ESP_head_m(C47,NumStage_,Freq_,PumpID_,mu)</f>
        <v>9.6305555555555564</v>
      </c>
      <c r="E47" s="23" cm="1">
        <f t="array" ref="E47">[1]!ESP_eff_fr(C47,NumStage_,Freq_,PumpID_,mu)</f>
        <v>0.27907738095238094</v>
      </c>
      <c r="F47" s="23" cm="1">
        <f t="array" ref="F47">[1]!ESP_power_W(C47,NumStage_,Freq_,PumpID_,mu)</f>
        <v>161.84577777777776</v>
      </c>
    </row>
    <row r="48" spans="1:6" x14ac:dyDescent="0.25">
      <c r="C48" s="6">
        <f t="shared" si="0"/>
        <v>52.5</v>
      </c>
      <c r="D48" s="23" cm="1">
        <f t="array" ref="D48">[1]!ESP_head_m(C48,NumStage_,Freq_,PumpID_,mu)</f>
        <v>9.5723559027777778</v>
      </c>
      <c r="E48" s="23" cm="1">
        <f t="array" ref="E48">[1]!ESP_eff_fr(C48,NumStage_,Freq_,PumpID_,mu)</f>
        <v>0.3469018167162698</v>
      </c>
      <c r="F48" s="23" cm="1">
        <f t="array" ref="F48">[1]!ESP_power_W(C48,NumStage_,Freq_,PumpID_,mu)</f>
        <v>163.31932638888887</v>
      </c>
    </row>
    <row r="49" spans="3:7" x14ac:dyDescent="0.25">
      <c r="C49" s="6">
        <f t="shared" si="0"/>
        <v>63</v>
      </c>
      <c r="D49" s="23" cm="1">
        <f t="array" ref="D49">[1]!ESP_head_m(C49,NumStage_,Freq_,PumpID_,mu)</f>
        <v>9.4758750000000003</v>
      </c>
      <c r="E49" s="23" cm="1">
        <f t="array" ref="E49">[1]!ESP_eff_fr(C49,NumStage_,Freq_,PumpID_,mu)</f>
        <v>0.41373883928571425</v>
      </c>
      <c r="F49" s="23" cm="1">
        <f t="array" ref="F49">[1]!ESP_power_W(C49,NumStage_,Freq_,PumpID_,mu)</f>
        <v>164.57849999999999</v>
      </c>
    </row>
    <row r="50" spans="3:7" x14ac:dyDescent="0.25">
      <c r="C50" s="6">
        <f t="shared" si="0"/>
        <v>73.5</v>
      </c>
      <c r="D50" s="23" cm="1">
        <f t="array" ref="D50">[1]!ESP_head_m(C50,NumStage_,Freq_,PumpID_,mu)</f>
        <v>9.3366809752747262</v>
      </c>
      <c r="E50" s="23" cm="1">
        <f t="array" ref="E50">[1]!ESP_eff_fr(C50,NumStage_,Freq_,PumpID_,mu)</f>
        <v>0.47893487965838505</v>
      </c>
      <c r="F50" s="23" cm="1">
        <f t="array" ref="F50">[1]!ESP_power_W(C50,NumStage_,Freq_,PumpID_,mu)</f>
        <v>166.14395913461539</v>
      </c>
    </row>
    <row r="51" spans="3:7" x14ac:dyDescent="0.25">
      <c r="C51" s="6">
        <f t="shared" si="0"/>
        <v>84</v>
      </c>
      <c r="D51" s="23" cm="1">
        <f t="array" ref="D51">[1]!ESP_head_m(C51,NumStage_,Freq_,PumpID_,mu)</f>
        <v>9.0960439560439568</v>
      </c>
      <c r="E51" s="23" cm="1">
        <f t="array" ref="E51">[1]!ESP_eff_fr(C51,NumStage_,Freq_,PumpID_,mu)</f>
        <v>0.52431055900621115</v>
      </c>
      <c r="F51" s="23" cm="1">
        <f t="array" ref="F51">[1]!ESP_power_W(C51,NumStage_,Freq_,PumpID_,mu)</f>
        <v>168.06153846153845</v>
      </c>
    </row>
    <row r="52" spans="3:7" x14ac:dyDescent="0.25">
      <c r="C52" s="6">
        <f t="shared" si="0"/>
        <v>94.5</v>
      </c>
      <c r="D52" s="23" cm="1">
        <f t="array" ref="D52">[1]!ESP_head_m(C52,NumStage_,Freq_,PumpID_,mu)</f>
        <v>8.7083396291208786</v>
      </c>
      <c r="E52" s="23" cm="1">
        <f t="array" ref="E52">[1]!ESP_eff_fr(C52,NumStage_,Freq_,PumpID_,mu)</f>
        <v>0.54777319487577647</v>
      </c>
      <c r="F52" s="23" cm="1">
        <f t="array" ref="F52">[1]!ESP_power_W(C52,NumStage_,Freq_,PumpID_,mu)</f>
        <v>170.61988701923076</v>
      </c>
    </row>
    <row r="53" spans="3:7" x14ac:dyDescent="0.25">
      <c r="C53" s="6">
        <f t="shared" si="0"/>
        <v>105</v>
      </c>
      <c r="D53" s="23" cm="1">
        <f t="array" ref="D53">[1]!ESP_head_m(C53,NumStage_,Freq_,PumpID_,mu)</f>
        <v>8.186979861679605</v>
      </c>
      <c r="E53" s="23" cm="1">
        <f t="array" ref="E53">[1]!ESP_eff_fr(C53,NumStage_,Freq_,PumpID_,mu)</f>
        <v>0.55652250265111347</v>
      </c>
      <c r="F53" s="23" cm="1">
        <f t="array" ref="F53">[1]!ESP_power_W(C53,NumStage_,Freq_,PumpID_,mu)</f>
        <v>174.42318095956216</v>
      </c>
    </row>
    <row r="54" spans="3:7" x14ac:dyDescent="0.25">
      <c r="C54" s="6">
        <f t="shared" si="0"/>
        <v>115.5</v>
      </c>
      <c r="D54" s="23" cm="1">
        <f t="array" ref="D54">[1]!ESP_head_m(C54,NumStage_,Freq_,PumpID_,mu)</f>
        <v>7.5833210642201827</v>
      </c>
      <c r="E54" s="23" cm="1">
        <f t="array" ref="E54">[1]!ESP_eff_fr(C54,NumStage_,Freq_,PumpID_,mu)</f>
        <v>0.54977570519618246</v>
      </c>
      <c r="F54" s="23" cm="1">
        <f t="array" ref="F54">[1]!ESP_power_W(C54,NumStage_,Freq_,PumpID_,mu)</f>
        <v>179.38868641897233</v>
      </c>
    </row>
    <row r="55" spans="3:7" x14ac:dyDescent="0.25">
      <c r="C55" s="6">
        <f t="shared" si="0"/>
        <v>126</v>
      </c>
      <c r="D55" s="23" cm="1">
        <f t="array" ref="D55">[1]!ESP_head_m(C55,NumStage_,Freq_,PumpID_,mu)</f>
        <v>6.9119999999999999</v>
      </c>
      <c r="E55" s="23" cm="1">
        <f t="array" ref="E55">[1]!ESP_eff_fr(C55,NumStage_,Freq_,PumpID_,mu)</f>
        <v>0.53</v>
      </c>
      <c r="F55" s="23" cm="1">
        <f t="array" ref="F55">[1]!ESP_power_W(C55,NumStage_,Freq_,PumpID_,mu)</f>
        <v>184.89599999999996</v>
      </c>
    </row>
    <row r="56" spans="3:7" x14ac:dyDescent="0.25">
      <c r="C56" s="6">
        <f t="shared" si="0"/>
        <v>136.5</v>
      </c>
      <c r="D56" s="23" cm="1">
        <f t="array" ref="D56">[1]!ESP_head_m(C56,NumStage_,Freq_,PumpID_,mu)</f>
        <v>6.1930929357798155</v>
      </c>
      <c r="E56" s="23" cm="1">
        <f t="array" ref="E56">[1]!ESP_eff_fr(C56,NumStage_,Freq_,PumpID_,mu)</f>
        <v>0.4980619427506775</v>
      </c>
      <c r="F56" s="23" cm="1">
        <f t="array" ref="F56">[1]!ESP_power_W(C56,NumStage_,Freq_,PumpID_,mu)</f>
        <v>190.60550158102765</v>
      </c>
    </row>
    <row r="57" spans="3:7" x14ac:dyDescent="0.25">
      <c r="C57" s="6">
        <f t="shared" si="0"/>
        <v>147</v>
      </c>
      <c r="D57" s="23" cm="1">
        <f t="array" ref="D57">[1]!ESP_head_m(C57,NumStage_,Freq_,PumpID_,mu)</f>
        <v>5.4351875229357791</v>
      </c>
      <c r="E57" s="23" cm="1">
        <f t="array" ref="E57">[1]!ESP_eff_fr(C57,NumStage_,Freq_,PumpID_,mu)</f>
        <v>0.4546393089430894</v>
      </c>
      <c r="F57" s="23" cm="1">
        <f t="array" ref="F57">[1]!ESP_power_W(C57,NumStage_,Freq_,PumpID_,mu)</f>
        <v>196.65394150197625</v>
      </c>
    </row>
    <row r="58" spans="3:7" x14ac:dyDescent="0.25">
      <c r="C58" s="6">
        <f t="shared" si="0"/>
        <v>157.5</v>
      </c>
      <c r="D58" s="23" cm="1">
        <f t="array" ref="D58">[1]!ESP_head_m(C58,NumStage_,Freq_,PumpID_,mu)</f>
        <v>4.6349999999999998</v>
      </c>
      <c r="E58" s="23" cm="1">
        <f t="array" ref="E58">[1]!ESP_eff_fr(C58,NumStage_,Freq_,PumpID_,mu)</f>
        <v>0.40197916666666667</v>
      </c>
      <c r="F58" s="23" cm="1">
        <f t="array" ref="F58">[1]!ESP_power_W(C58,NumStage_,Freq_,PumpID_,mu)</f>
        <v>203.12999999999997</v>
      </c>
    </row>
    <row r="59" spans="3:7" x14ac:dyDescent="0.25">
      <c r="C59" s="6">
        <f t="shared" si="0"/>
        <v>168</v>
      </c>
      <c r="D59" s="23" cm="1">
        <f t="array" ref="D59">[1]!ESP_head_m(C59,NumStage_,Freq_,PumpID_,mu)</f>
        <v>3.7919999999999998</v>
      </c>
      <c r="E59" s="23" cm="1">
        <f t="array" ref="E59">[1]!ESP_eff_fr(C59,NumStage_,Freq_,PumpID_,mu)</f>
        <v>0.34044444444444444</v>
      </c>
      <c r="F59" s="23" cm="1">
        <f t="array" ref="F59">[1]!ESP_power_W(C59,NumStage_,Freq_,PumpID_,mu)</f>
        <v>210.048</v>
      </c>
    </row>
    <row r="60" spans="3:7" x14ac:dyDescent="0.25">
      <c r="C60" s="6">
        <f t="shared" si="0"/>
        <v>178.5</v>
      </c>
      <c r="D60" s="23" cm="1">
        <f t="array" ref="D60">[1]!ESP_head_m(C60,NumStage_,Freq_,PumpID_,mu)</f>
        <v>2.9069999999999996</v>
      </c>
      <c r="E60" s="23" cm="1">
        <f t="array" ref="E60">[1]!ESP_eff_fr(C60,NumStage_,Freq_,PumpID_,mu)</f>
        <v>0.26947916666666666</v>
      </c>
      <c r="F60" s="23" cm="1">
        <f t="array" ref="F60">[1]!ESP_power_W(C60,NumStage_,Freq_,PumpID_,mu)</f>
        <v>217.386</v>
      </c>
    </row>
    <row r="61" spans="3:7" x14ac:dyDescent="0.25">
      <c r="C61" s="6">
        <f t="shared" si="0"/>
        <v>189</v>
      </c>
      <c r="D61" s="23" cm="1">
        <f t="array" ref="D61">[1]!ESP_head_m(C61,NumStage_,Freq_,PumpID_,mu)</f>
        <v>1.98</v>
      </c>
      <c r="E61" s="23" cm="1">
        <f t="array" ref="E61">[1]!ESP_eff_fr(C61,NumStage_,Freq_,PumpID_,mu)</f>
        <v>0.1890833333333333</v>
      </c>
      <c r="F61" s="23" cm="1">
        <f t="array" ref="F61">[1]!ESP_power_W(C61,NumStage_,Freq_,PumpID_,mu)</f>
        <v>225.14399999999998</v>
      </c>
    </row>
    <row r="62" spans="3:7" x14ac:dyDescent="0.25">
      <c r="C62" s="6">
        <f t="shared" si="0"/>
        <v>199.5</v>
      </c>
      <c r="D62" s="23" cm="1">
        <f t="array" ref="D62">[1]!ESP_head_m(C62,NumStage_,Freq_,PumpID_,mu)</f>
        <v>1.0109999999999999</v>
      </c>
      <c r="E62" s="23" cm="1">
        <f t="array" ref="E62">[1]!ESP_eff_fr(C62,NumStage_,Freq_,PumpID_,mu)</f>
        <v>9.9256944444444439E-2</v>
      </c>
      <c r="F62" s="23" cm="1">
        <f t="array" ref="F62">[1]!ESP_power_W(C62,NumStage_,Freq_,PumpID_,mu)</f>
        <v>233.32199999999997</v>
      </c>
    </row>
    <row r="63" spans="3:7" x14ac:dyDescent="0.25">
      <c r="C63" s="6">
        <f t="shared" si="0"/>
        <v>210</v>
      </c>
      <c r="D63" s="23" cm="1">
        <f t="array" ref="D63">[1]!ESP_head_m(C63,NumStage_,Freq_,PumpID_,mu)</f>
        <v>0</v>
      </c>
      <c r="E63" s="23" cm="1">
        <f t="array" ref="E63">[1]!ESP_eff_fr(C63,NumStage_,Freq_,PumpID_,mu)</f>
        <v>1.2956215961201778E-17</v>
      </c>
      <c r="F63" s="23" cm="1">
        <f t="array" ref="F63">[1]!ESP_power_W(C63,NumStage_,Freq_,PumpID_,mu)</f>
        <v>241.92</v>
      </c>
    </row>
    <row r="64" spans="3:7" x14ac:dyDescent="0.25">
      <c r="C64" s="6">
        <f t="shared" si="0"/>
        <v>220.5</v>
      </c>
      <c r="D64" s="23" cm="1">
        <f t="array" ref="D64">[1]!ESP_head_m(C64,NumStage_,Freq_,PumpID_,mu)</f>
        <v>-1.0109999999999999</v>
      </c>
      <c r="E64" s="23" cm="1">
        <f t="array" ref="E64">[1]!ESP_eff_fr(C64,NumStage_,Freq_,PumpID_,mu)</f>
        <v>0</v>
      </c>
      <c r="F64" s="23" cm="1">
        <f t="array" ref="F64">[1]!ESP_power_W(C64,NumStage_,Freq_,PumpID_,mu)</f>
        <v>241.92</v>
      </c>
      <c r="G64" s="8"/>
    </row>
    <row r="65" spans="3:7" x14ac:dyDescent="0.25">
      <c r="C65" s="6">
        <f t="shared" si="0"/>
        <v>231</v>
      </c>
      <c r="D65" s="23" cm="1">
        <f t="array" ref="D65">[1]!ESP_head_m(C65,NumStage_,Freq_,PumpID_,mu)</f>
        <v>-2.0219999999999998</v>
      </c>
      <c r="E65" s="23" cm="1">
        <f t="array" ref="E65">[1]!ESP_eff_fr(C65,NumStage_,Freq_,PumpID_,mu)</f>
        <v>0</v>
      </c>
      <c r="F65" s="23" cm="1">
        <f t="array" ref="F65">[1]!ESP_power_W(C65,NumStage_,Freq_,PumpID_,mu)</f>
        <v>241.92</v>
      </c>
      <c r="G65" s="8"/>
    </row>
    <row r="66" spans="3:7" x14ac:dyDescent="0.25">
      <c r="C66" s="6">
        <f t="shared" si="0"/>
        <v>241.5</v>
      </c>
      <c r="D66" s="23" cm="1">
        <f t="array" ref="D66">[1]!ESP_head_m(C66,NumStage_,Freq_,PumpID_,mu)</f>
        <v>-3.0329999999999995</v>
      </c>
      <c r="E66" s="23" cm="1">
        <f t="array" ref="E66">[1]!ESP_eff_fr(C66,NumStage_,Freq_,PumpID_,mu)</f>
        <v>0</v>
      </c>
      <c r="F66" s="23" cm="1">
        <f t="array" ref="F66">[1]!ESP_power_W(C66,NumStage_,Freq_,PumpID_,mu)</f>
        <v>241.92</v>
      </c>
      <c r="G66" s="8"/>
    </row>
    <row r="67" spans="3:7" x14ac:dyDescent="0.25">
      <c r="C67" s="6">
        <f t="shared" si="0"/>
        <v>252</v>
      </c>
      <c r="D67" s="23" cm="1">
        <f t="array" ref="D67">[1]!ESP_head_m(C67,NumStage_,Freq_,PumpID_,mu)</f>
        <v>-4.0439999999999996</v>
      </c>
      <c r="E67" s="23" cm="1">
        <f t="array" ref="E67">[1]!ESP_eff_fr(C67,NumStage_,Freq_,PumpID_,mu)</f>
        <v>0</v>
      </c>
      <c r="F67" s="23" cm="1">
        <f t="array" ref="F67">[1]!ESP_power_W(C67,NumStage_,Freq_,PumpID_,mu)</f>
        <v>241.92</v>
      </c>
      <c r="G67" s="8"/>
    </row>
    <row r="68" spans="3:7" x14ac:dyDescent="0.25">
      <c r="C68" s="6">
        <f t="shared" si="0"/>
        <v>262.5</v>
      </c>
      <c r="D68" s="23" cm="1">
        <f t="array" ref="D68">[1]!ESP_head_m(C68,NumStage_,Freq_,PumpID_,mu)</f>
        <v>-5.0549999999999988</v>
      </c>
      <c r="E68" s="23" cm="1">
        <f t="array" ref="E68">[1]!ESP_eff_fr(C68,NumStage_,Freq_,PumpID_,mu)</f>
        <v>0</v>
      </c>
      <c r="F68" s="23" cm="1">
        <f t="array" ref="F68">[1]!ESP_power_W(C68,NumStage_,Freq_,PumpID_,mu)</f>
        <v>241.92</v>
      </c>
    </row>
    <row r="69" spans="3:7" x14ac:dyDescent="0.25">
      <c r="C69" s="6">
        <f t="shared" si="0"/>
        <v>273</v>
      </c>
      <c r="D69" s="23" cm="1">
        <f t="array" ref="D69">[1]!ESP_head_m(C69,NumStage_,Freq_,PumpID_,mu)</f>
        <v>-6.0659999999999989</v>
      </c>
      <c r="E69" s="23" cm="1">
        <f t="array" ref="E69">[1]!ESP_eff_fr(C69,NumStage_,Freq_,PumpID_,mu)</f>
        <v>0</v>
      </c>
      <c r="F69" s="23" cm="1">
        <f t="array" ref="F69">[1]!ESP_power_W(C69,NumStage_,Freq_,PumpID_,mu)</f>
        <v>241.92</v>
      </c>
    </row>
    <row r="70" spans="3:7" x14ac:dyDescent="0.25">
      <c r="C70" s="6">
        <f t="shared" si="0"/>
        <v>283.5</v>
      </c>
      <c r="D70" s="23" cm="1">
        <f t="array" ref="D70">[1]!ESP_head_m(C70,NumStage_,Freq_,PumpID_,mu)</f>
        <v>-7.0769999999999991</v>
      </c>
      <c r="E70" s="23" cm="1">
        <f t="array" ref="E70">[1]!ESP_eff_fr(C70,NumStage_,Freq_,PumpID_,mu)</f>
        <v>0</v>
      </c>
      <c r="F70" s="23" cm="1">
        <f t="array" ref="F70">[1]!ESP_power_W(C70,NumStage_,Freq_,PumpID_,mu)</f>
        <v>241.92</v>
      </c>
    </row>
    <row r="71" spans="3:7" x14ac:dyDescent="0.25">
      <c r="C71" s="6">
        <f t="shared" si="0"/>
        <v>294</v>
      </c>
      <c r="D71" s="23" cm="1">
        <f t="array" ref="D71">[1]!ESP_head_m(C71,NumStage_,Freq_,PumpID_,mu)</f>
        <v>-8.0879999999999992</v>
      </c>
      <c r="E71" s="23" cm="1">
        <f t="array" ref="E71">[1]!ESP_eff_fr(C71,NumStage_,Freq_,PumpID_,mu)</f>
        <v>0</v>
      </c>
      <c r="F71" s="23" cm="1">
        <f t="array" ref="F71">[1]!ESP_power_W(C71,NumStage_,Freq_,PumpID_,mu)</f>
        <v>241.92</v>
      </c>
    </row>
    <row r="72" spans="3:7" x14ac:dyDescent="0.25">
      <c r="C72" s="6">
        <f t="shared" si="0"/>
        <v>304.5</v>
      </c>
      <c r="D72" s="23" cm="1">
        <f t="array" ref="D72">[1]!ESP_head_m(C72,NumStage_,Freq_,PumpID_,mu)</f>
        <v>-9.0989999999999984</v>
      </c>
      <c r="E72" s="23" cm="1">
        <f t="array" ref="E72">[1]!ESP_eff_fr(C72,NumStage_,Freq_,PumpID_,mu)</f>
        <v>0</v>
      </c>
      <c r="F72" s="23" cm="1">
        <f t="array" ref="F72">[1]!ESP_power_W(C72,NumStage_,Freq_,PumpID_,mu)</f>
        <v>241.92</v>
      </c>
    </row>
    <row r="73" spans="3:7" x14ac:dyDescent="0.25">
      <c r="C73" s="6">
        <f t="shared" si="0"/>
        <v>315</v>
      </c>
      <c r="D73" s="23" cm="1">
        <f t="array" ref="D73">[1]!ESP_head_m(C73,NumStage_,Freq_,PumpID_,mu)</f>
        <v>-10.109999999999998</v>
      </c>
      <c r="E73" s="23" cm="1">
        <f t="array" ref="E73">[1]!ESP_eff_fr(C73,NumStage_,Freq_,PumpID_,mu)</f>
        <v>0</v>
      </c>
      <c r="F73" s="23" cm="1">
        <f t="array" ref="F73">[1]!ESP_power_W(C73,NumStage_,Freq_,PumpID_,mu)</f>
        <v>241.92</v>
      </c>
    </row>
    <row r="74" spans="3:7" x14ac:dyDescent="0.25">
      <c r="C74" s="6">
        <f t="shared" si="0"/>
        <v>325.5</v>
      </c>
      <c r="D74" s="23" cm="1">
        <f t="array" ref="D74">[1]!ESP_head_m(C74,NumStage_,Freq_,PumpID_,mu)</f>
        <v>-11.120999999999999</v>
      </c>
      <c r="E74" s="23" cm="1">
        <f t="array" ref="E74">[1]!ESP_eff_fr(C74,NumStage_,Freq_,PumpID_,mu)</f>
        <v>0</v>
      </c>
      <c r="F74" s="23" cm="1">
        <f t="array" ref="F74">[1]!ESP_power_W(C74,NumStage_,Freq_,PumpID_,mu)</f>
        <v>241.92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28</vt:i4>
      </vt:variant>
    </vt:vector>
  </HeadingPairs>
  <TitlesOfParts>
    <vt:vector size="29" baseType="lpstr">
      <vt:lpstr>exercise_ESP</vt:lpstr>
      <vt:lpstr>exercise_ESP!Bob_</vt:lpstr>
      <vt:lpstr>exercise_ESP!Freq_</vt:lpstr>
      <vt:lpstr>exercise_ESP!fw_</vt:lpstr>
      <vt:lpstr>exercise_ESP!gamma_gas_</vt:lpstr>
      <vt:lpstr>exercise_ESP!gamma_oil_</vt:lpstr>
      <vt:lpstr>exercise_ESP!gamma_wat_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PKsep</vt:lpstr>
      <vt:lpstr>exercise_ESP!PumpID_</vt:lpstr>
      <vt:lpstr>exercise_ESP!Q_</vt:lpstr>
      <vt:lpstr>exercise_ESP!Q_ESP_</vt:lpstr>
      <vt:lpstr>exercise_ESP!Qmax_</vt:lpstr>
      <vt:lpstr>exercise_ESP!Rp_</vt:lpstr>
      <vt:lpstr>exercise_ESP!Rsb_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2021-08-03T16:48:32Z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