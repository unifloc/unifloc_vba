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4747C84-875E-4BAA-8B15-A63269DAC077}" xr6:coauthVersionLast="45" xr6:coauthVersionMax="45" xr10:uidLastSave="{00000000-0000-0000-0000-000000000000}"/>
  <bookViews>
    <workbookView xWindow="-120" yWindow="-120" windowWidth="29040" windowHeight="164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G1" i="110"/>
  <c r="C27" i="110" l="1"/>
  <c r="C28" i="110" a="1"/>
  <c r="D43" i="110" a="1"/>
  <c r="F43" i="110" a="1"/>
  <c r="E43" i="110" a="1"/>
  <c r="C29" i="110" a="1"/>
  <c r="F43" i="110" l="1"/>
  <c r="D43" i="110"/>
  <c r="C28" i="110"/>
  <c r="C29" i="110"/>
  <c r="C44" i="110" s="1"/>
  <c r="C45" i="110" s="1"/>
  <c r="E43" i="110"/>
  <c r="D44" i="110" a="1"/>
  <c r="D45" i="110" a="1"/>
  <c r="F44" i="110" a="1"/>
  <c r="E44" i="110" a="1"/>
  <c r="E45" i="110" a="1"/>
  <c r="F45" i="110" a="1"/>
  <c r="D45" i="110" l="1"/>
  <c r="D44" i="110"/>
  <c r="E44" i="110"/>
  <c r="F44" i="110"/>
  <c r="F45" i="110"/>
  <c r="E45" i="110"/>
  <c r="C46" i="110"/>
  <c r="D46" i="110" a="1"/>
  <c r="F46" i="110" a="1"/>
  <c r="E46" i="110" a="1"/>
  <c r="D46" i="110" l="1"/>
  <c r="E46" i="110"/>
  <c r="F46" i="110"/>
  <c r="C47" i="110"/>
  <c r="D47" i="110" a="1"/>
  <c r="F47" i="110" a="1"/>
  <c r="E47" i="110" a="1"/>
  <c r="D47" i="110" l="1"/>
  <c r="C48" i="110"/>
  <c r="F47" i="110"/>
  <c r="E47" i="110"/>
  <c r="F48" i="110" a="1"/>
  <c r="E48" i="110" a="1"/>
  <c r="D48" i="110" a="1"/>
  <c r="D48" i="110" l="1"/>
  <c r="E48" i="110"/>
  <c r="F48" i="110"/>
  <c r="C49" i="110"/>
  <c r="C50" i="110" s="1"/>
  <c r="E49" i="110" a="1"/>
  <c r="F49" i="110" a="1"/>
  <c r="D49" i="110" a="1"/>
  <c r="D50" i="110" a="1"/>
  <c r="F50" i="110" a="1"/>
  <c r="E50" i="110" a="1"/>
  <c r="D50" i="110" l="1"/>
  <c r="D49" i="110"/>
  <c r="F49" i="110"/>
  <c r="E49" i="110"/>
  <c r="F50" i="110"/>
  <c r="E50" i="110"/>
  <c r="C51" i="110"/>
  <c r="D51" i="110" a="1"/>
  <c r="F51" i="110" a="1"/>
  <c r="E51" i="110" a="1"/>
  <c r="D51" i="110" l="1"/>
  <c r="F51" i="110"/>
  <c r="E51" i="110"/>
  <c r="C52" i="110"/>
  <c r="D52" i="110" a="1"/>
  <c r="F52" i="110" a="1"/>
  <c r="E52" i="110" a="1"/>
  <c r="D52" i="110" l="1"/>
  <c r="F52" i="110"/>
  <c r="E52" i="110"/>
  <c r="C53" i="110"/>
  <c r="D53" i="110" a="1"/>
  <c r="F53" i="110" a="1"/>
  <c r="E53" i="110" a="1"/>
  <c r="D53" i="110" l="1"/>
  <c r="F53" i="110"/>
  <c r="E53" i="110"/>
  <c r="C54" i="110"/>
  <c r="D54" i="110" a="1"/>
  <c r="E54" i="110" a="1"/>
  <c r="F54" i="110" a="1"/>
  <c r="D54" i="110" l="1"/>
  <c r="F54" i="110"/>
  <c r="E54" i="110"/>
  <c r="C55" i="110"/>
  <c r="D55" i="110" a="1"/>
  <c r="F55" i="110" a="1"/>
  <c r="E55" i="110" a="1"/>
  <c r="D55" i="110" l="1"/>
  <c r="F55" i="110"/>
  <c r="E55" i="110"/>
  <c r="C56" i="110"/>
  <c r="D56" i="110" a="1"/>
  <c r="F56" i="110" a="1"/>
  <c r="E56" i="110" a="1"/>
  <c r="D56" i="110" l="1"/>
  <c r="E56" i="110"/>
  <c r="F56" i="110"/>
  <c r="C57" i="110"/>
  <c r="D57" i="110" a="1"/>
  <c r="F57" i="110" a="1"/>
  <c r="E57" i="110" a="1"/>
  <c r="D57" i="110" l="1"/>
  <c r="F57" i="110"/>
  <c r="E57" i="110"/>
  <c r="C58" i="110"/>
  <c r="D58" i="110" a="1"/>
  <c r="E58" i="110" a="1"/>
  <c r="F58" i="110" a="1"/>
  <c r="D58" i="110" l="1"/>
  <c r="F58" i="110"/>
  <c r="E58" i="110"/>
  <c r="C59" i="110"/>
  <c r="D59" i="110" a="1"/>
  <c r="E59" i="110" a="1"/>
  <c r="F59" i="110" a="1"/>
  <c r="D59" i="110" l="1"/>
  <c r="E59" i="110"/>
  <c r="F59" i="110"/>
  <c r="C60" i="110"/>
  <c r="D60" i="110" a="1"/>
  <c r="E60" i="110" a="1"/>
  <c r="F60" i="110" a="1"/>
  <c r="D60" i="110" l="1"/>
  <c r="E60" i="110"/>
  <c r="F60" i="110"/>
  <c r="C61" i="110"/>
  <c r="D61" i="110" a="1"/>
  <c r="E61" i="110" a="1"/>
  <c r="F61" i="110" a="1"/>
  <c r="D61" i="110" l="1"/>
  <c r="F61" i="110"/>
  <c r="E61" i="110"/>
  <c r="C62" i="110"/>
  <c r="D62" i="110" a="1"/>
  <c r="E62" i="110" a="1"/>
  <c r="F62" i="110" a="1"/>
  <c r="D62" i="110" l="1"/>
  <c r="F62" i="110"/>
  <c r="E62" i="110"/>
  <c r="C63" i="110"/>
  <c r="D63" i="110" a="1"/>
  <c r="E63" i="110" a="1"/>
  <c r="F63" i="110" a="1"/>
  <c r="D63" i="110" l="1"/>
  <c r="C64" i="110"/>
  <c r="F63" i="110"/>
  <c r="E63" i="110"/>
  <c r="D64" i="110" a="1"/>
  <c r="E64" i="110" a="1"/>
  <c r="F64" i="110" a="1"/>
  <c r="F64" i="110" l="1"/>
  <c r="E64" i="110"/>
  <c r="D64" i="110"/>
  <c r="C65" i="110"/>
  <c r="F65" i="110" a="1"/>
  <c r="D65" i="110" a="1"/>
  <c r="E65" i="110" a="1"/>
  <c r="E65" i="110" l="1"/>
  <c r="D65" i="110"/>
  <c r="F65" i="110"/>
  <c r="C66" i="110"/>
  <c r="D66" i="110" a="1"/>
  <c r="E66" i="110" a="1"/>
  <c r="F66" i="110" a="1"/>
  <c r="F66" i="110" l="1"/>
  <c r="E66" i="110"/>
  <c r="D66" i="110"/>
  <c r="C67" i="110"/>
  <c r="E67" i="110" a="1"/>
  <c r="F67" i="110" a="1"/>
  <c r="D67" i="110" a="1"/>
  <c r="D67" i="110" l="1"/>
  <c r="F67" i="110"/>
  <c r="E67" i="110"/>
  <c r="C68" i="110"/>
  <c r="D68" i="110" a="1"/>
  <c r="E68" i="110" a="1"/>
  <c r="F68" i="110" a="1"/>
  <c r="F68" i="110" l="1"/>
  <c r="E68" i="110"/>
  <c r="D68" i="110"/>
  <c r="C69" i="110"/>
  <c r="D69" i="110" a="1"/>
  <c r="E69" i="110" a="1"/>
  <c r="F69" i="110" a="1"/>
  <c r="F69" i="110" l="1"/>
  <c r="E69" i="110"/>
  <c r="D69" i="110"/>
  <c r="C70" i="110"/>
  <c r="E70" i="110" a="1"/>
  <c r="D70" i="110" a="1"/>
  <c r="F70" i="110" a="1"/>
  <c r="F70" i="110" l="1"/>
  <c r="D70" i="110"/>
  <c r="E70" i="110"/>
  <c r="C71" i="110"/>
  <c r="D71" i="110" a="1"/>
  <c r="E71" i="110" a="1"/>
  <c r="F71" i="110" a="1"/>
  <c r="F71" i="110" l="1"/>
  <c r="E71" i="110"/>
  <c r="D71" i="110"/>
  <c r="C72" i="110"/>
  <c r="F72" i="110" a="1"/>
  <c r="D72" i="110" a="1"/>
  <c r="E72" i="110" a="1"/>
  <c r="E72" i="110" l="1"/>
  <c r="D72" i="110"/>
  <c r="F72" i="110"/>
  <c r="C73" i="110"/>
  <c r="D73" i="110" a="1"/>
  <c r="E73" i="110" a="1"/>
  <c r="F73" i="110" a="1"/>
  <c r="F73" i="110" l="1"/>
  <c r="E73" i="110"/>
  <c r="D73" i="110"/>
  <c r="C74" i="110"/>
  <c r="E74" i="110" a="1"/>
  <c r="D74" i="110" a="1"/>
  <c r="F74" i="110" a="1"/>
  <c r="F74" i="110" l="1"/>
  <c r="D74" i="110"/>
  <c r="E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<sst xmlns="http://schemas.openxmlformats.org/spreadsheetml/2006/main" count="75" uniqueCount="64">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</sst>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  <c:pt idx="21">
                  <c:v>478.80000000000018</c:v>
                </c:pt>
                <c:pt idx="22">
                  <c:v>501.60000000000019</c:v>
                </c:pt>
                <c:pt idx="23">
                  <c:v>524.4000000000002</c:v>
                </c:pt>
                <c:pt idx="24">
                  <c:v>547.20000000000016</c:v>
                </c:pt>
                <c:pt idx="25">
                  <c:v>570.00000000000011</c:v>
                </c:pt>
                <c:pt idx="26">
                  <c:v>592.80000000000007</c:v>
                </c:pt>
                <c:pt idx="27">
                  <c:v>615.6</c:v>
                </c:pt>
                <c:pt idx="28">
                  <c:v>638.4</c:v>
                </c:pt>
                <c:pt idx="29">
                  <c:v>661.19999999999993</c:v>
                </c:pt>
                <c:pt idx="30">
                  <c:v>683.99999999999989</c:v>
                </c:pt>
                <c:pt idx="31">
                  <c:v>706.79999999999984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1099.3699999999999</c:v>
                </c:pt>
                <c:pt idx="1">
                  <c:v>1087.1184000000001</c:v>
                </c:pt>
                <c:pt idx="2">
                  <c:v>1084.6745254054056</c:v>
                </c:pt>
                <c:pt idx="3">
                  <c:v>1092.5376908108108</c:v>
                </c:pt>
                <c:pt idx="4">
                  <c:v>1110.5320000576576</c:v>
                </c:pt>
                <c:pt idx="5">
                  <c:v>1125.1151020408163</c:v>
                </c:pt>
                <c:pt idx="6">
                  <c:v>1125.6299018448979</c:v>
                </c:pt>
                <c:pt idx="7">
                  <c:v>1122.5336177595802</c:v>
                </c:pt>
                <c:pt idx="8">
                  <c:v>1105.5956034959595</c:v>
                </c:pt>
                <c:pt idx="9">
                  <c:v>1068.812794499351</c:v>
                </c:pt>
                <c:pt idx="10">
                  <c:v>1028.8923347605969</c:v>
                </c:pt>
                <c:pt idx="11">
                  <c:v>978.80049252214906</c:v>
                </c:pt>
                <c:pt idx="12">
                  <c:v>911.59205973186602</c:v>
                </c:pt>
                <c:pt idx="13">
                  <c:v>839.98124472021379</c:v>
                </c:pt>
                <c:pt idx="14">
                  <c:v>761.38264577056816</c:v>
                </c:pt>
                <c:pt idx="15">
                  <c:v>672.04424420667601</c:v>
                </c:pt>
                <c:pt idx="16">
                  <c:v>566.36371240675567</c:v>
                </c:pt>
                <c:pt idx="17">
                  <c:v>440.26737737142781</c:v>
                </c:pt>
                <c:pt idx="18">
                  <c:v>307.39172205714203</c:v>
                </c:pt>
                <c:pt idx="19">
                  <c:v>160.87679999999861</c:v>
                </c:pt>
                <c:pt idx="20">
                  <c:v>-1.0047431636683868E-12</c:v>
                </c:pt>
                <c:pt idx="21">
                  <c:v>-160.87680000000091</c:v>
                </c:pt>
                <c:pt idx="22">
                  <c:v>-307.39172205714408</c:v>
                </c:pt>
                <c:pt idx="23">
                  <c:v>-440.2673773714298</c:v>
                </c:pt>
                <c:pt idx="24">
                  <c:v>-566.36371240675703</c:v>
                </c:pt>
                <c:pt idx="25">
                  <c:v>-672.04424420667681</c:v>
                </c:pt>
                <c:pt idx="26">
                  <c:v>-761.38264577056896</c:v>
                </c:pt>
                <c:pt idx="27">
                  <c:v>-839.98124472021414</c:v>
                </c:pt>
                <c:pt idx="28">
                  <c:v>-911.59205973186624</c:v>
                </c:pt>
                <c:pt idx="29">
                  <c:v>-978.80049252214906</c:v>
                </c:pt>
                <c:pt idx="30">
                  <c:v>-1028.8923347605969</c:v>
                </c:pt>
                <c:pt idx="31">
                  <c:v>-1068.8127944993507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  <c:pt idx="21">
                  <c:v>478.80000000000018</c:v>
                </c:pt>
                <c:pt idx="22">
                  <c:v>501.60000000000019</c:v>
                </c:pt>
                <c:pt idx="23">
                  <c:v>524.4000000000002</c:v>
                </c:pt>
                <c:pt idx="24">
                  <c:v>547.20000000000016</c:v>
                </c:pt>
                <c:pt idx="25">
                  <c:v>570.00000000000011</c:v>
                </c:pt>
                <c:pt idx="26">
                  <c:v>592.80000000000007</c:v>
                </c:pt>
                <c:pt idx="27">
                  <c:v>615.6</c:v>
                </c:pt>
                <c:pt idx="28">
                  <c:v>638.4</c:v>
                </c:pt>
                <c:pt idx="29">
                  <c:v>661.19999999999993</c:v>
                </c:pt>
                <c:pt idx="30">
                  <c:v>683.99999999999989</c:v>
                </c:pt>
                <c:pt idx="31">
                  <c:v>706.79999999999984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4.4367283950617281E-3</c:v>
                </c:pt>
                <c:pt idx="1">
                  <c:v>9.7322222222222213E-2</c:v>
                </c:pt>
                <c:pt idx="2">
                  <c:v>0.18688296296296297</c:v>
                </c:pt>
                <c:pt idx="3">
                  <c:v>0.26830500000000007</c:v>
                </c:pt>
                <c:pt idx="4">
                  <c:v>0.33640296296296296</c:v>
                </c:pt>
                <c:pt idx="5">
                  <c:v>0.39476851851851852</c:v>
                </c:pt>
                <c:pt idx="6">
                  <c:v>0.44585600000000003</c:v>
                </c:pt>
                <c:pt idx="7">
                  <c:v>0.48608666666666672</c:v>
                </c:pt>
                <c:pt idx="8">
                  <c:v>0.5120806506899056</c:v>
                </c:pt>
                <c:pt idx="9">
                  <c:v>0.52654305882352948</c:v>
                </c:pt>
                <c:pt idx="10">
                  <c:v>0.53146444907017465</c:v>
                </c:pt>
                <c:pt idx="11">
                  <c:v>0.52530713966486131</c:v>
                </c:pt>
                <c:pt idx="12">
                  <c:v>0.51165725907974957</c:v>
                </c:pt>
                <c:pt idx="13">
                  <c:v>0.4925363305204688</c:v>
                </c:pt>
                <c:pt idx="14">
                  <c:v>0.45750336646250145</c:v>
                </c:pt>
                <c:pt idx="15">
                  <c:v>0.41032534236886681</c:v>
                </c:pt>
                <c:pt idx="16">
                  <c:v>0.35919520174481973</c:v>
                </c:pt>
                <c:pt idx="17">
                  <c:v>0.29873857142857096</c:v>
                </c:pt>
                <c:pt idx="18">
                  <c:v>0.21116063492063436</c:v>
                </c:pt>
                <c:pt idx="19">
                  <c:v>0.11114999999999907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  <c:pt idx="21">
                  <c:v>478.80000000000018</c:v>
                </c:pt>
                <c:pt idx="22">
                  <c:v>501.60000000000019</c:v>
                </c:pt>
                <c:pt idx="23">
                  <c:v>524.4000000000002</c:v>
                </c:pt>
                <c:pt idx="24">
                  <c:v>547.20000000000016</c:v>
                </c:pt>
                <c:pt idx="25">
                  <c:v>570.00000000000011</c:v>
                </c:pt>
                <c:pt idx="26">
                  <c:v>592.80000000000007</c:v>
                </c:pt>
                <c:pt idx="27">
                  <c:v>615.6</c:v>
                </c:pt>
                <c:pt idx="28">
                  <c:v>638.4</c:v>
                </c:pt>
                <c:pt idx="29">
                  <c:v>661.19999999999993</c:v>
                </c:pt>
                <c:pt idx="30">
                  <c:v>683.99999999999989</c:v>
                </c:pt>
                <c:pt idx="31">
                  <c:v>706.79999999999984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1099.3699999999999</c:v>
                </c:pt>
                <c:pt idx="1">
                  <c:v>1087.1184000000001</c:v>
                </c:pt>
                <c:pt idx="2">
                  <c:v>1084.6745254054056</c:v>
                </c:pt>
                <c:pt idx="3">
                  <c:v>1092.5376908108108</c:v>
                </c:pt>
                <c:pt idx="4">
                  <c:v>1110.5320000576576</c:v>
                </c:pt>
                <c:pt idx="5">
                  <c:v>1125.1151020408163</c:v>
                </c:pt>
                <c:pt idx="6">
                  <c:v>1125.6299018448979</c:v>
                </c:pt>
                <c:pt idx="7">
                  <c:v>1122.5336177595802</c:v>
                </c:pt>
                <c:pt idx="8">
                  <c:v>1105.5956034959595</c:v>
                </c:pt>
                <c:pt idx="9">
                  <c:v>1068.812794499351</c:v>
                </c:pt>
                <c:pt idx="10">
                  <c:v>1028.8923347605969</c:v>
                </c:pt>
                <c:pt idx="11">
                  <c:v>978.80049252214906</c:v>
                </c:pt>
                <c:pt idx="12">
                  <c:v>911.59205973186602</c:v>
                </c:pt>
                <c:pt idx="13">
                  <c:v>839.98124472021379</c:v>
                </c:pt>
                <c:pt idx="14">
                  <c:v>761.38264577056816</c:v>
                </c:pt>
                <c:pt idx="15">
                  <c:v>672.04424420667601</c:v>
                </c:pt>
                <c:pt idx="16">
                  <c:v>566.36371240675567</c:v>
                </c:pt>
                <c:pt idx="17">
                  <c:v>440.26737737142781</c:v>
                </c:pt>
                <c:pt idx="18">
                  <c:v>307.39172205714203</c:v>
                </c:pt>
                <c:pt idx="19">
                  <c:v>160.87679999999861</c:v>
                </c:pt>
                <c:pt idx="20">
                  <c:v>-1.0047431636683868E-12</c:v>
                </c:pt>
                <c:pt idx="21">
                  <c:v>-160.87680000000091</c:v>
                </c:pt>
                <c:pt idx="22">
                  <c:v>-307.39172205714408</c:v>
                </c:pt>
                <c:pt idx="23">
                  <c:v>-440.2673773714298</c:v>
                </c:pt>
                <c:pt idx="24">
                  <c:v>-566.36371240675703</c:v>
                </c:pt>
                <c:pt idx="25">
                  <c:v>-672.04424420667681</c:v>
                </c:pt>
                <c:pt idx="26">
                  <c:v>-761.38264577056896</c:v>
                </c:pt>
                <c:pt idx="27">
                  <c:v>-839.98124472021414</c:v>
                </c:pt>
                <c:pt idx="28">
                  <c:v>-911.59205973186624</c:v>
                </c:pt>
                <c:pt idx="29">
                  <c:v>-978.80049252214906</c:v>
                </c:pt>
                <c:pt idx="30">
                  <c:v>-1028.8923347605969</c:v>
                </c:pt>
                <c:pt idx="31">
                  <c:v>-1068.8127944993507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  <c:pt idx="21">
                  <c:v>478.80000000000018</c:v>
                </c:pt>
                <c:pt idx="22">
                  <c:v>501.60000000000019</c:v>
                </c:pt>
                <c:pt idx="23">
                  <c:v>524.4000000000002</c:v>
                </c:pt>
                <c:pt idx="24">
                  <c:v>547.20000000000016</c:v>
                </c:pt>
                <c:pt idx="25">
                  <c:v>570.00000000000011</c:v>
                </c:pt>
                <c:pt idx="26">
                  <c:v>592.80000000000007</c:v>
                </c:pt>
                <c:pt idx="27">
                  <c:v>615.6</c:v>
                </c:pt>
                <c:pt idx="28">
                  <c:v>638.4</c:v>
                </c:pt>
                <c:pt idx="29">
                  <c:v>661.19999999999993</c:v>
                </c:pt>
                <c:pt idx="30">
                  <c:v>683.99999999999989</c:v>
                </c:pt>
                <c:pt idx="31">
                  <c:v>706.79999999999984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26666.733333333326</c:v>
                </c:pt>
                <c:pt idx="1">
                  <c:v>28043.039999999997</c:v>
                </c:pt>
                <c:pt idx="2">
                  <c:v>29832.703999999998</c:v>
                </c:pt>
                <c:pt idx="3">
                  <c:v>31963.895999999997</c:v>
                </c:pt>
                <c:pt idx="4">
                  <c:v>34165.094399999994</c:v>
                </c:pt>
                <c:pt idx="5">
                  <c:v>36633.599999999991</c:v>
                </c:pt>
                <c:pt idx="6">
                  <c:v>39260.159999999996</c:v>
                </c:pt>
                <c:pt idx="7">
                  <c:v>41886.720000000001</c:v>
                </c:pt>
                <c:pt idx="8">
                  <c:v>44513.279999999999</c:v>
                </c:pt>
                <c:pt idx="9">
                  <c:v>47139.839999999997</c:v>
                </c:pt>
                <c:pt idx="10">
                  <c:v>49753.36246489206</c:v>
                </c:pt>
                <c:pt idx="11">
                  <c:v>52330.69276888499</c:v>
                </c:pt>
                <c:pt idx="12">
                  <c:v>54861.304238459219</c:v>
                </c:pt>
                <c:pt idx="13">
                  <c:v>57260.782861291351</c:v>
                </c:pt>
                <c:pt idx="14">
                  <c:v>59562.380539130609</c:v>
                </c:pt>
                <c:pt idx="15">
                  <c:v>61829.470354096673</c:v>
                </c:pt>
                <c:pt idx="16">
                  <c:v>64055.814312328766</c:v>
                </c:pt>
                <c:pt idx="17">
                  <c:v>66147.839999999997</c:v>
                </c:pt>
                <c:pt idx="18">
                  <c:v>68117.760000000009</c:v>
                </c:pt>
                <c:pt idx="19">
                  <c:v>70087.680000000008</c:v>
                </c:pt>
                <c:pt idx="20">
                  <c:v>72057.599999999991</c:v>
                </c:pt>
                <c:pt idx="21">
                  <c:v>72057.599999999991</c:v>
                </c:pt>
                <c:pt idx="22">
                  <c:v>72057.599999999991</c:v>
                </c:pt>
                <c:pt idx="23">
                  <c:v>72057.599999999991</c:v>
                </c:pt>
                <c:pt idx="24">
                  <c:v>72057.599999999991</c:v>
                </c:pt>
                <c:pt idx="25">
                  <c:v>72057.599999999991</c:v>
                </c:pt>
                <c:pt idx="26">
                  <c:v>72057.599999999991</c:v>
                </c:pt>
                <c:pt idx="27">
                  <c:v>72057.599999999991</c:v>
                </c:pt>
                <c:pt idx="28">
                  <c:v>72057.599999999991</c:v>
                </c:pt>
                <c:pt idx="29">
                  <c:v>72057.599999999991</c:v>
                </c:pt>
                <c:pt idx="30">
                  <c:v>72057.599999999991</c:v>
                </c:pt>
                <c:pt idx="31">
                  <c:v>72057.599999999991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22.8</c:v>
                </c:pt>
                <c:pt idx="2">
                  <c:v>45.6</c:v>
                </c:pt>
                <c:pt idx="3">
                  <c:v>68.400000000000006</c:v>
                </c:pt>
                <c:pt idx="4">
                  <c:v>91.2</c:v>
                </c:pt>
                <c:pt idx="5">
                  <c:v>114</c:v>
                </c:pt>
                <c:pt idx="6">
                  <c:v>136.80000000000001</c:v>
                </c:pt>
                <c:pt idx="7">
                  <c:v>159.60000000000002</c:v>
                </c:pt>
                <c:pt idx="8">
                  <c:v>182.40000000000003</c:v>
                </c:pt>
                <c:pt idx="9">
                  <c:v>205.20000000000005</c:v>
                </c:pt>
                <c:pt idx="10">
                  <c:v>228.00000000000006</c:v>
                </c:pt>
                <c:pt idx="11">
                  <c:v>250.80000000000007</c:v>
                </c:pt>
                <c:pt idx="12">
                  <c:v>273.60000000000008</c:v>
                </c:pt>
                <c:pt idx="13">
                  <c:v>296.40000000000009</c:v>
                </c:pt>
                <c:pt idx="14">
                  <c:v>319.2000000000001</c:v>
                </c:pt>
                <c:pt idx="15">
                  <c:v>342.00000000000011</c:v>
                </c:pt>
                <c:pt idx="16">
                  <c:v>364.80000000000013</c:v>
                </c:pt>
                <c:pt idx="17">
                  <c:v>387.60000000000014</c:v>
                </c:pt>
                <c:pt idx="18">
                  <c:v>410.40000000000015</c:v>
                </c:pt>
                <c:pt idx="19">
                  <c:v>433.20000000000016</c:v>
                </c:pt>
                <c:pt idx="20">
                  <c:v>456.00000000000017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zoomScaleNormal="100" workbookViewId="0">
      <selection activeCell="K20" sqref="K20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7.24</v>
      </c>
      <c r="H1" t="s">
        <v>49</v>
      </c>
      <c r="I1" s="25">
        <v>43963</v>
      </c>
      <c r="J1" s="19"/>
      <c r="K1" s="19"/>
      <c r="L1" s="19"/>
    </row>
    <row r="2" spans="1:12" x14ac:dyDescent="0.2">
      <c r="A2" t="s">
        <v>63</v>
      </c>
      <c r="H2" t="s">
        <v>50</v>
      </c>
      <c r="I2" s="26">
        <v>7.24</v>
      </c>
      <c r="J2" s="19"/>
      <c r="K2" s="19"/>
      <c r="L2" s="19"/>
    </row>
    <row r="3" spans="1:12" ht="15" x14ac:dyDescent="0.25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8.75" x14ac:dyDescent="0.35">
      <c r="B18" s="13" t="s">
        <v>30</v>
      </c>
      <c r="C18" s="2">
        <v>1.2</v>
      </c>
      <c r="D18" s="12" t="s">
        <v>22</v>
      </c>
    </row>
    <row r="19" spans="1:6" ht="18" x14ac:dyDescent="0.35">
      <c r="B19" s="21" t="s">
        <v>47</v>
      </c>
      <c r="C19" s="2">
        <v>1</v>
      </c>
      <c r="D19" s="12" t="s">
        <v>46</v>
      </c>
    </row>
    <row r="20" spans="1:6" x14ac:dyDescent="0.2">
      <c r="B20" s="3"/>
      <c r="C20" s="4"/>
    </row>
    <row r="21" spans="1:6" ht="15.75" x14ac:dyDescent="0.3">
      <c r="B21" s="15" t="s">
        <v>32</v>
      </c>
      <c r="C21" s="2">
        <v>50</v>
      </c>
      <c r="D21" s="22" t="s">
        <v>3</v>
      </c>
    </row>
    <row r="22" spans="1:6" ht="15.75" x14ac:dyDescent="0.3">
      <c r="B22" s="15" t="s">
        <v>34</v>
      </c>
      <c r="C22" s="2">
        <v>10</v>
      </c>
      <c r="D22" s="22" t="s">
        <v>33</v>
      </c>
    </row>
    <row r="23" spans="1:6" x14ac:dyDescent="0.2">
      <c r="A23" s="1" t="s">
        <v>45</v>
      </c>
    </row>
    <row r="24" spans="1:6" ht="15.75" x14ac:dyDescent="0.3">
      <c r="B24" s="16" t="s">
        <v>38</v>
      </c>
      <c r="C24" s="2">
        <v>150</v>
      </c>
      <c r="D24" s="16" t="s">
        <v>3</v>
      </c>
    </row>
    <row r="25" spans="1:6" ht="15.75" x14ac:dyDescent="0.3">
      <c r="B25" s="16" t="s">
        <v>39</v>
      </c>
      <c r="C25" s="2">
        <v>2000</v>
      </c>
      <c r="D25" s="16" t="s">
        <v>4</v>
      </c>
    </row>
    <row r="26" spans="1:6" x14ac:dyDescent="0.2">
      <c r="B26" s="16" t="s">
        <v>35</v>
      </c>
      <c r="C26" s="2">
        <v>60</v>
      </c>
      <c r="D26" s="16" t="s">
        <v>5</v>
      </c>
    </row>
    <row r="27" spans="1:6" x14ac:dyDescent="0.2">
      <c r="B27" s="16" t="s">
        <v>36</v>
      </c>
      <c r="C27" s="11" cm="1">
        <f t="array" ref="C27">[1]!ESP_id_by_rate(Q_ESP_)</f>
        <v>748</v>
      </c>
      <c r="D27" s="16"/>
    </row>
    <row r="28" spans="1:6" x14ac:dyDescent="0.2">
      <c r="B28" s="16" t="s">
        <v>37</v>
      </c>
      <c r="C28" s="11" t="str" cm="1">
        <f t="array" ref="C28">[1]!ESP_name(PumpID_)</f>
        <v>ЭЦН5А-199</v>
      </c>
      <c r="D28" s="16"/>
    </row>
    <row r="29" spans="1:6" ht="15.75" x14ac:dyDescent="0.3">
      <c r="B29" s="16" t="s">
        <v>40</v>
      </c>
      <c r="C29" s="11" cm="1">
        <f t="array" ref="C29">[1]!ESP_rate_max_sm3day(Freq_,PumpID_)</f>
        <v>456</v>
      </c>
      <c r="D29" s="16"/>
    </row>
    <row r="30" spans="1:6" x14ac:dyDescent="0.2">
      <c r="B30" s="16" t="s">
        <v>9</v>
      </c>
      <c r="C30" s="11">
        <v>100</v>
      </c>
      <c r="D30" s="16" t="s">
        <v>6</v>
      </c>
    </row>
    <row r="31" spans="1:6" ht="15.75" x14ac:dyDescent="0.3">
      <c r="B31" s="16" t="s">
        <v>41</v>
      </c>
      <c r="C31" s="5">
        <v>0.8</v>
      </c>
      <c r="D31" s="16"/>
    </row>
    <row r="32" spans="1:6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1099.3699999999999</v>
      </c>
      <c r="E43" s="24" cm="1">
        <f t="array" ref="E43">[1]!ESP_eff_fr(C43,NumStage_,Freq_,PumpID_,mu)</f>
        <v>4.4367283950617281E-3</v>
      </c>
      <c r="F43" s="23" cm="1">
        <f t="array" ref="F43">[1]!ESP_power_W(C43,NumStage_,Freq_,PumpID_,mu)</f>
        <v>26666.733333333326</v>
      </c>
    </row>
    <row r="44" spans="1:6" x14ac:dyDescent="0.2">
      <c r="C44" s="6">
        <f>Qmax_/20</f>
        <v>22.8</v>
      </c>
      <c r="D44" s="23" cm="1">
        <f t="array" ref="D44">[1]!ESP_head_m(C44,NumStage_,Freq_,PumpID_,mu)</f>
        <v>1087.1184000000001</v>
      </c>
      <c r="E44" s="24" cm="1">
        <f t="array" ref="E44">[1]!ESP_eff_fr(C44,NumStage_,Freq_,PumpID_,mu)</f>
        <v>9.7322222222222213E-2</v>
      </c>
      <c r="F44" s="23" cm="1">
        <f t="array" ref="F44">[1]!ESP_power_W(C44,NumStage_,Freq_,PumpID_,mu)</f>
        <v>28043.039999999997</v>
      </c>
    </row>
    <row r="45" spans="1:6" x14ac:dyDescent="0.2">
      <c r="C45" s="6">
        <f t="shared" ref="C45:C74" si="0">C44+Qmax_/20</f>
        <v>45.6</v>
      </c>
      <c r="D45" s="23" cm="1">
        <f t="array" ref="D45">[1]!ESP_head_m(C45,NumStage_,Freq_,PumpID_,mu)</f>
        <v>1084.6745254054056</v>
      </c>
      <c r="E45" s="24" cm="1">
        <f t="array" ref="E45">[1]!ESP_eff_fr(C45,NumStage_,Freq_,PumpID_,mu)</f>
        <v>0.18688296296296297</v>
      </c>
      <c r="F45" s="23" cm="1">
        <f t="array" ref="F45">[1]!ESP_power_W(C45,NumStage_,Freq_,PumpID_,mu)</f>
        <v>29832.703999999998</v>
      </c>
    </row>
    <row r="46" spans="1:6" x14ac:dyDescent="0.2">
      <c r="C46" s="6">
        <f t="shared" si="0"/>
        <v>68.400000000000006</v>
      </c>
      <c r="D46" s="23" cm="1">
        <f t="array" ref="D46">[1]!ESP_head_m(C46,NumStage_,Freq_,PumpID_,mu)</f>
        <v>1092.5376908108108</v>
      </c>
      <c r="E46" s="24" cm="1">
        <f t="array" ref="E46">[1]!ESP_eff_fr(C46,NumStage_,Freq_,PumpID_,mu)</f>
        <v>0.26830500000000007</v>
      </c>
      <c r="F46" s="23" cm="1">
        <f t="array" ref="F46">[1]!ESP_power_W(C46,NumStage_,Freq_,PumpID_,mu)</f>
        <v>31963.895999999997</v>
      </c>
    </row>
    <row r="47" spans="1:6" x14ac:dyDescent="0.2">
      <c r="C47" s="6">
        <f t="shared" si="0"/>
        <v>91.2</v>
      </c>
      <c r="D47" s="23" cm="1">
        <f t="array" ref="D47">[1]!ESP_head_m(C47,NumStage_,Freq_,PumpID_,mu)</f>
        <v>1110.5320000576576</v>
      </c>
      <c r="E47" s="24" cm="1">
        <f t="array" ref="E47">[1]!ESP_eff_fr(C47,NumStage_,Freq_,PumpID_,mu)</f>
        <v>0.33640296296296296</v>
      </c>
      <c r="F47" s="23" cm="1">
        <f t="array" ref="F47">[1]!ESP_power_W(C47,NumStage_,Freq_,PumpID_,mu)</f>
        <v>34165.094399999994</v>
      </c>
    </row>
    <row r="48" spans="1:6" x14ac:dyDescent="0.2">
      <c r="C48" s="6">
        <f t="shared" si="0"/>
        <v>114</v>
      </c>
      <c r="D48" s="23" cm="1">
        <f t="array" ref="D48">[1]!ESP_head_m(C48,NumStage_,Freq_,PumpID_,mu)</f>
        <v>1125.1151020408163</v>
      </c>
      <c r="E48" s="24" cm="1">
        <f t="array" ref="E48">[1]!ESP_eff_fr(C48,NumStage_,Freq_,PumpID_,mu)</f>
        <v>0.39476851851851852</v>
      </c>
      <c r="F48" s="23" cm="1">
        <f t="array" ref="F48">[1]!ESP_power_W(C48,NumStage_,Freq_,PumpID_,mu)</f>
        <v>36633.599999999991</v>
      </c>
    </row>
    <row r="49" spans="3:7" x14ac:dyDescent="0.2">
      <c r="C49" s="6">
        <f t="shared" si="0"/>
        <v>136.80000000000001</v>
      </c>
      <c r="D49" s="23" cm="1">
        <f t="array" ref="D49">[1]!ESP_head_m(C49,NumStage_,Freq_,PumpID_,mu)</f>
        <v>1125.6299018448979</v>
      </c>
      <c r="E49" s="24" cm="1">
        <f t="array" ref="E49">[1]!ESP_eff_fr(C49,NumStage_,Freq_,PumpID_,mu)</f>
        <v>0.44585600000000003</v>
      </c>
      <c r="F49" s="23" cm="1">
        <f t="array" ref="F49">[1]!ESP_power_W(C49,NumStage_,Freq_,PumpID_,mu)</f>
        <v>39260.159999999996</v>
      </c>
    </row>
    <row r="50" spans="3:7" x14ac:dyDescent="0.2">
      <c r="C50" s="6">
        <f t="shared" si="0"/>
        <v>159.60000000000002</v>
      </c>
      <c r="D50" s="23" cm="1">
        <f t="array" ref="D50">[1]!ESP_head_m(C50,NumStage_,Freq_,PumpID_,mu)</f>
        <v>1122.5336177595802</v>
      </c>
      <c r="E50" s="24" cm="1">
        <f t="array" ref="E50">[1]!ESP_eff_fr(C50,NumStage_,Freq_,PumpID_,mu)</f>
        <v>0.48608666666666672</v>
      </c>
      <c r="F50" s="23" cm="1">
        <f t="array" ref="F50">[1]!ESP_power_W(C50,NumStage_,Freq_,PumpID_,mu)</f>
        <v>41886.720000000001</v>
      </c>
    </row>
    <row r="51" spans="3:7" x14ac:dyDescent="0.2">
      <c r="C51" s="6">
        <f t="shared" si="0"/>
        <v>182.40000000000003</v>
      </c>
      <c r="D51" s="23" cm="1">
        <f t="array" ref="D51">[1]!ESP_head_m(C51,NumStage_,Freq_,PumpID_,mu)</f>
        <v>1105.5956034959595</v>
      </c>
      <c r="E51" s="24" cm="1">
        <f t="array" ref="E51">[1]!ESP_eff_fr(C51,NumStage_,Freq_,PumpID_,mu)</f>
        <v>0.5120806506899056</v>
      </c>
      <c r="F51" s="23" cm="1">
        <f t="array" ref="F51">[1]!ESP_power_W(C51,NumStage_,Freq_,PumpID_,mu)</f>
        <v>44513.279999999999</v>
      </c>
    </row>
    <row r="52" spans="3:7" x14ac:dyDescent="0.2">
      <c r="C52" s="6">
        <f t="shared" si="0"/>
        <v>205.20000000000005</v>
      </c>
      <c r="D52" s="23" cm="1">
        <f t="array" ref="D52">[1]!ESP_head_m(C52,NumStage_,Freq_,PumpID_,mu)</f>
        <v>1068.812794499351</v>
      </c>
      <c r="E52" s="24" cm="1">
        <f t="array" ref="E52">[1]!ESP_eff_fr(C52,NumStage_,Freq_,PumpID_,mu)</f>
        <v>0.52654305882352948</v>
      </c>
      <c r="F52" s="23" cm="1">
        <f t="array" ref="F52">[1]!ESP_power_W(C52,NumStage_,Freq_,PumpID_,mu)</f>
        <v>47139.839999999997</v>
      </c>
    </row>
    <row r="53" spans="3:7" x14ac:dyDescent="0.2">
      <c r="C53" s="6">
        <f t="shared" si="0"/>
        <v>228.00000000000006</v>
      </c>
      <c r="D53" s="23" cm="1">
        <f t="array" ref="D53">[1]!ESP_head_m(C53,NumStage_,Freq_,PumpID_,mu)</f>
        <v>1028.8923347605969</v>
      </c>
      <c r="E53" s="24" cm="1">
        <f t="array" ref="E53">[1]!ESP_eff_fr(C53,NumStage_,Freq_,PumpID_,mu)</f>
        <v>0.53146444907017465</v>
      </c>
      <c r="F53" s="23" cm="1">
        <f t="array" ref="F53">[1]!ESP_power_W(C53,NumStage_,Freq_,PumpID_,mu)</f>
        <v>49753.36246489206</v>
      </c>
    </row>
    <row r="54" spans="3:7" x14ac:dyDescent="0.2">
      <c r="C54" s="6">
        <f t="shared" si="0"/>
        <v>250.80000000000007</v>
      </c>
      <c r="D54" s="23" cm="1">
        <f t="array" ref="D54">[1]!ESP_head_m(C54,NumStage_,Freq_,PumpID_,mu)</f>
        <v>978.80049252214906</v>
      </c>
      <c r="E54" s="24" cm="1">
        <f t="array" ref="E54">[1]!ESP_eff_fr(C54,NumStage_,Freq_,PumpID_,mu)</f>
        <v>0.52530713966486131</v>
      </c>
      <c r="F54" s="23" cm="1">
        <f t="array" ref="F54">[1]!ESP_power_W(C54,NumStage_,Freq_,PumpID_,mu)</f>
        <v>52330.69276888499</v>
      </c>
    </row>
    <row r="55" spans="3:7" x14ac:dyDescent="0.2">
      <c r="C55" s="6">
        <f t="shared" si="0"/>
        <v>273.60000000000008</v>
      </c>
      <c r="D55" s="23" cm="1">
        <f t="array" ref="D55">[1]!ESP_head_m(C55,NumStage_,Freq_,PumpID_,mu)</f>
        <v>911.59205973186602</v>
      </c>
      <c r="E55" s="24" cm="1">
        <f t="array" ref="E55">[1]!ESP_eff_fr(C55,NumStage_,Freq_,PumpID_,mu)</f>
        <v>0.51165725907974957</v>
      </c>
      <c r="F55" s="23" cm="1">
        <f t="array" ref="F55">[1]!ESP_power_W(C55,NumStage_,Freq_,PumpID_,mu)</f>
        <v>54861.304238459219</v>
      </c>
    </row>
    <row r="56" spans="3:7" x14ac:dyDescent="0.2">
      <c r="C56" s="6">
        <f t="shared" si="0"/>
        <v>296.40000000000009</v>
      </c>
      <c r="D56" s="23" cm="1">
        <f t="array" ref="D56">[1]!ESP_head_m(C56,NumStage_,Freq_,PumpID_,mu)</f>
        <v>839.98124472021379</v>
      </c>
      <c r="E56" s="24" cm="1">
        <f t="array" ref="E56">[1]!ESP_eff_fr(C56,NumStage_,Freq_,PumpID_,mu)</f>
        <v>0.4925363305204688</v>
      </c>
      <c r="F56" s="23" cm="1">
        <f t="array" ref="F56">[1]!ESP_power_W(C56,NumStage_,Freq_,PumpID_,mu)</f>
        <v>57260.782861291351</v>
      </c>
    </row>
    <row r="57" spans="3:7" x14ac:dyDescent="0.2">
      <c r="C57" s="6">
        <f t="shared" si="0"/>
        <v>319.2000000000001</v>
      </c>
      <c r="D57" s="23" cm="1">
        <f t="array" ref="D57">[1]!ESP_head_m(C57,NumStage_,Freq_,PumpID_,mu)</f>
        <v>761.38264577056816</v>
      </c>
      <c r="E57" s="24" cm="1">
        <f t="array" ref="E57">[1]!ESP_eff_fr(C57,NumStage_,Freq_,PumpID_,mu)</f>
        <v>0.45750336646250145</v>
      </c>
      <c r="F57" s="23" cm="1">
        <f t="array" ref="F57">[1]!ESP_power_W(C57,NumStage_,Freq_,PumpID_,mu)</f>
        <v>59562.380539130609</v>
      </c>
    </row>
    <row r="58" spans="3:7" x14ac:dyDescent="0.2">
      <c r="C58" s="6">
        <f t="shared" si="0"/>
        <v>342.00000000000011</v>
      </c>
      <c r="D58" s="23" cm="1">
        <f t="array" ref="D58">[1]!ESP_head_m(C58,NumStage_,Freq_,PumpID_,mu)</f>
        <v>672.04424420667601</v>
      </c>
      <c r="E58" s="24" cm="1">
        <f t="array" ref="E58">[1]!ESP_eff_fr(C58,NumStage_,Freq_,PumpID_,mu)</f>
        <v>0.41032534236886681</v>
      </c>
      <c r="F58" s="23" cm="1">
        <f t="array" ref="F58">[1]!ESP_power_W(C58,NumStage_,Freq_,PumpID_,mu)</f>
        <v>61829.470354096673</v>
      </c>
    </row>
    <row r="59" spans="3:7" x14ac:dyDescent="0.2">
      <c r="C59" s="6">
        <f t="shared" si="0"/>
        <v>364.80000000000013</v>
      </c>
      <c r="D59" s="23" cm="1">
        <f t="array" ref="D59">[1]!ESP_head_m(C59,NumStage_,Freq_,PumpID_,mu)</f>
        <v>566.36371240675567</v>
      </c>
      <c r="E59" s="24" cm="1">
        <f t="array" ref="E59">[1]!ESP_eff_fr(C59,NumStage_,Freq_,PumpID_,mu)</f>
        <v>0.35919520174481973</v>
      </c>
      <c r="F59" s="23" cm="1">
        <f t="array" ref="F59">[1]!ESP_power_W(C59,NumStage_,Freq_,PumpID_,mu)</f>
        <v>64055.814312328766</v>
      </c>
    </row>
    <row r="60" spans="3:7" x14ac:dyDescent="0.2">
      <c r="C60" s="6">
        <f t="shared" si="0"/>
        <v>387.60000000000014</v>
      </c>
      <c r="D60" s="23" cm="1">
        <f t="array" ref="D60">[1]!ESP_head_m(C60,NumStage_,Freq_,PumpID_,mu)</f>
        <v>440.26737737142781</v>
      </c>
      <c r="E60" s="24" cm="1">
        <f t="array" ref="E60">[1]!ESP_eff_fr(C60,NumStage_,Freq_,PumpID_,mu)</f>
        <v>0.29873857142857096</v>
      </c>
      <c r="F60" s="23" cm="1">
        <f t="array" ref="F60">[1]!ESP_power_W(C60,NumStage_,Freq_,PumpID_,mu)</f>
        <v>66147.839999999997</v>
      </c>
    </row>
    <row r="61" spans="3:7" x14ac:dyDescent="0.2">
      <c r="C61" s="6">
        <f t="shared" si="0"/>
        <v>410.40000000000015</v>
      </c>
      <c r="D61" s="23" cm="1">
        <f t="array" ref="D61">[1]!ESP_head_m(C61,NumStage_,Freq_,PumpID_,mu)</f>
        <v>307.39172205714203</v>
      </c>
      <c r="E61" s="24" cm="1">
        <f t="array" ref="E61">[1]!ESP_eff_fr(C61,NumStage_,Freq_,PumpID_,mu)</f>
        <v>0.21116063492063436</v>
      </c>
      <c r="F61" s="23" cm="1">
        <f t="array" ref="F61">[1]!ESP_power_W(C61,NumStage_,Freq_,PumpID_,mu)</f>
        <v>68117.760000000009</v>
      </c>
    </row>
    <row r="62" spans="3:7" x14ac:dyDescent="0.2">
      <c r="C62" s="6">
        <f t="shared" si="0"/>
        <v>433.20000000000016</v>
      </c>
      <c r="D62" s="23" cm="1">
        <f t="array" ref="D62">[1]!ESP_head_m(C62,NumStage_,Freq_,PumpID_,mu)</f>
        <v>160.87679999999861</v>
      </c>
      <c r="E62" s="24" cm="1">
        <f t="array" ref="E62">[1]!ESP_eff_fr(C62,NumStage_,Freq_,PumpID_,mu)</f>
        <v>0.11114999999999907</v>
      </c>
      <c r="F62" s="23" cm="1">
        <f t="array" ref="F62">[1]!ESP_power_W(C62,NumStage_,Freq_,PumpID_,mu)</f>
        <v>70087.680000000008</v>
      </c>
    </row>
    <row r="63" spans="3:7" x14ac:dyDescent="0.2">
      <c r="C63" s="6">
        <f t="shared" si="0"/>
        <v>456.00000000000017</v>
      </c>
      <c r="D63" s="23" cm="1">
        <f t="array" ref="D63">[1]!ESP_head_m(C63,NumStage_,Freq_,PumpID_,mu)</f>
        <v>-1.0047431636683868E-12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72057.599999999991</v>
      </c>
    </row>
    <row r="64" spans="3:7" x14ac:dyDescent="0.2">
      <c r="C64" s="6">
        <f t="shared" si="0"/>
        <v>478.80000000000018</v>
      </c>
      <c r="D64" s="23" cm="1">
        <f t="array" ref="D64">[1]!ESP_head_m(C64,NumStage_,Freq_,PumpID_,mu)</f>
        <v>-160.87680000000091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72057.599999999991</v>
      </c>
      <c r="G64" s="8"/>
    </row>
    <row r="65" spans="3:7" x14ac:dyDescent="0.2">
      <c r="C65" s="6">
        <f t="shared" si="0"/>
        <v>501.60000000000019</v>
      </c>
      <c r="D65" s="23" cm="1">
        <f t="array" ref="D65">[1]!ESP_head_m(C65,NumStage_,Freq_,PumpID_,mu)</f>
        <v>-307.39172205714408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72057.599999999991</v>
      </c>
      <c r="G65" s="8"/>
    </row>
    <row r="66" spans="3:7" x14ac:dyDescent="0.2">
      <c r="C66" s="6">
        <f t="shared" si="0"/>
        <v>524.4000000000002</v>
      </c>
      <c r="D66" s="23" cm="1">
        <f t="array" ref="D66">[1]!ESP_head_m(C66,NumStage_,Freq_,PumpID_,mu)</f>
        <v>-440.2673773714298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72057.599999999991</v>
      </c>
      <c r="G66" s="8"/>
    </row>
    <row r="67" spans="3:7" x14ac:dyDescent="0.2">
      <c r="C67" s="6">
        <f t="shared" si="0"/>
        <v>547.20000000000016</v>
      </c>
      <c r="D67" s="23" cm="1">
        <f t="array" ref="D67">[1]!ESP_head_m(C67,NumStage_,Freq_,PumpID_,mu)</f>
        <v>-566.36371240675703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72057.599999999991</v>
      </c>
      <c r="G67" s="8"/>
    </row>
    <row r="68" spans="3:7" x14ac:dyDescent="0.2">
      <c r="C68" s="6">
        <f t="shared" si="0"/>
        <v>570.00000000000011</v>
      </c>
      <c r="D68" s="23" cm="1">
        <f t="array" ref="D68">[1]!ESP_head_m(C68,NumStage_,Freq_,PumpID_,mu)</f>
        <v>-672.04424420667681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72057.599999999991</v>
      </c>
    </row>
    <row r="69" spans="3:7" x14ac:dyDescent="0.2">
      <c r="C69" s="6">
        <f t="shared" si="0"/>
        <v>592.80000000000007</v>
      </c>
      <c r="D69" s="23" cm="1">
        <f t="array" ref="D69">[1]!ESP_head_m(C69,NumStage_,Freq_,PumpID_,mu)</f>
        <v>-761.38264577056896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72057.599999999991</v>
      </c>
    </row>
    <row r="70" spans="3:7" x14ac:dyDescent="0.2">
      <c r="C70" s="6">
        <f t="shared" si="0"/>
        <v>615.6</v>
      </c>
      <c r="D70" s="23" cm="1">
        <f t="array" ref="D70">[1]!ESP_head_m(C70,NumStage_,Freq_,PumpID_,mu)</f>
        <v>-839.98124472021414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72057.599999999991</v>
      </c>
    </row>
    <row r="71" spans="3:7" x14ac:dyDescent="0.2">
      <c r="C71" s="6">
        <f t="shared" si="0"/>
        <v>638.4</v>
      </c>
      <c r="D71" s="23" cm="1">
        <f t="array" ref="D71">[1]!ESP_head_m(C71,NumStage_,Freq_,PumpID_,mu)</f>
        <v>-911.59205973186624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72057.599999999991</v>
      </c>
    </row>
    <row r="72" spans="3:7" x14ac:dyDescent="0.2">
      <c r="C72" s="6">
        <f t="shared" si="0"/>
        <v>661.19999999999993</v>
      </c>
      <c r="D72" s="23" cm="1">
        <f t="array" ref="D72">[1]!ESP_head_m(C72,NumStage_,Freq_,PumpID_,mu)</f>
        <v>-978.80049252214906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72057.599999999991</v>
      </c>
    </row>
    <row r="73" spans="3:7" x14ac:dyDescent="0.2">
      <c r="C73" s="6">
        <f t="shared" si="0"/>
        <v>683.99999999999989</v>
      </c>
      <c r="D73" s="23" cm="1">
        <f t="array" ref="D73">[1]!ESP_head_m(C73,NumStage_,Freq_,PumpID_,mu)</f>
        <v>-1028.8923347605969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72057.599999999991</v>
      </c>
    </row>
    <row r="74" spans="3:7" x14ac:dyDescent="0.2">
      <c r="C74" s="6">
        <f t="shared" si="0"/>
        <v>706.79999999999984</v>
      </c>
      <c r="D74" s="23" cm="1">
        <f t="array" ref="D74">[1]!ESP_head_m(C74,NumStage_,Freq_,PumpID_,mu)</f>
        <v>-1068.8127944993507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72057.599999999991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2020-05-12T07:49:38Z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