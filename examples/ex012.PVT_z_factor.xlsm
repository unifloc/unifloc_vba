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57635FB0-1044-4F72-B071-E3B8F5D3D1EF}" xr6:coauthVersionLast="46" xr6:coauthVersionMax="46" xr10:uidLastSave="{00000000-0000-0000-0000-000000000000}"/>
  <bookViews>
    <workbookView xWindow="-108" yWindow="-108" windowWidth="30936" windowHeight="16896" tabRatio="532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E82" i="1" s="1"/>
  <c r="E105" i="1" s="1"/>
  <c r="D58" i="1"/>
  <c r="E57" i="1"/>
  <c r="E81" i="1" s="1"/>
  <c r="E104" i="1" s="1"/>
  <c r="D57" i="1"/>
  <c r="E56" i="1"/>
  <c r="E80" i="1" s="1"/>
  <c r="E103" i="1" s="1"/>
  <c r="D56" i="1"/>
  <c r="E55" i="1"/>
  <c r="E79" i="1" s="1"/>
  <c r="E102" i="1" s="1"/>
  <c r="D55" i="1"/>
  <c r="E54" i="1"/>
  <c r="E78" i="1" s="1"/>
  <c r="E101" i="1" s="1"/>
  <c r="D54" i="1"/>
  <c r="E53" i="1"/>
  <c r="E77" i="1" s="1"/>
  <c r="E100" i="1" s="1"/>
  <c r="D53" i="1"/>
  <c r="E52" i="1"/>
  <c r="E76" i="1" s="1"/>
  <c r="E99" i="1" s="1"/>
  <c r="D52" i="1"/>
  <c r="E51" i="1"/>
  <c r="E75" i="1" s="1"/>
  <c r="E98" i="1" s="1"/>
  <c r="D51" i="1"/>
  <c r="E50" i="1"/>
  <c r="E74" i="1" s="1"/>
  <c r="E97" i="1" s="1"/>
  <c r="D50" i="1"/>
  <c r="E49" i="1"/>
  <c r="E73" i="1" s="1"/>
  <c r="E96" i="1" s="1"/>
  <c r="D49" i="1"/>
  <c r="E48" i="1"/>
  <c r="E72" i="1" s="1"/>
  <c r="E95" i="1" s="1"/>
  <c r="D48" i="1"/>
  <c r="E47" i="1"/>
  <c r="E71" i="1" s="1"/>
  <c r="E94" i="1" s="1"/>
  <c r="D47" i="1"/>
  <c r="E46" i="1"/>
  <c r="E70" i="1" s="1"/>
  <c r="E93" i="1" s="1"/>
  <c r="D46" i="1"/>
  <c r="E45" i="1"/>
  <c r="E69" i="1" s="1"/>
  <c r="E92" i="1" s="1"/>
  <c r="D45" i="1"/>
  <c r="E44" i="1"/>
  <c r="E68" i="1" s="1"/>
  <c r="E91" i="1" s="1"/>
  <c r="D44" i="1"/>
  <c r="E43" i="1"/>
  <c r="E67" i="1" s="1"/>
  <c r="E90" i="1" s="1"/>
  <c r="D43" i="1"/>
  <c r="E42" i="1"/>
  <c r="E66" i="1" s="1"/>
  <c r="E89" i="1" s="1"/>
  <c r="D42" i="1"/>
  <c r="E41" i="1"/>
  <c r="E65" i="1" s="1"/>
  <c r="E88" i="1" s="1"/>
  <c r="D41" i="1"/>
  <c r="E40" i="1"/>
  <c r="E64" i="1" s="1"/>
  <c r="E87" i="1" s="1"/>
  <c r="D40" i="1"/>
  <c r="E39" i="1"/>
  <c r="E63" i="1" s="1"/>
  <c r="E86" i="1" s="1"/>
  <c r="D39" i="1"/>
  <c r="E38" i="1"/>
  <c r="E62" i="1" s="1"/>
  <c r="E85" i="1" s="1"/>
  <c r="D38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I39" i="1" a="1"/>
  <c r="M64" i="1" a="1"/>
  <c r="AC63" i="1" a="1"/>
  <c r="G64" i="1" a="1"/>
  <c r="J64" i="1" a="1"/>
  <c r="R64" i="1" a="1"/>
  <c r="AH62" i="1" a="1"/>
  <c r="R63" i="1" a="1"/>
  <c r="AD62" i="1" a="1"/>
  <c r="N63" i="1" a="1"/>
  <c r="O63" i="1" a="1"/>
  <c r="G63" i="1" a="1"/>
  <c r="L62" i="1" a="1"/>
  <c r="W62" i="1" a="1"/>
  <c r="V62" i="1" a="1"/>
  <c r="AE58" i="1" a="1"/>
  <c r="G62" i="1" a="1"/>
  <c r="L64" i="1" a="1"/>
  <c r="F64" i="1" a="1"/>
  <c r="AE63" i="1" a="1"/>
  <c r="T64" i="1" a="1"/>
  <c r="Q64" i="1" a="1"/>
  <c r="AF62" i="1" a="1"/>
  <c r="P63" i="1" a="1"/>
  <c r="AA63" i="1" a="1"/>
  <c r="AC62" i="1" a="1"/>
  <c r="AE62" i="1" a="1"/>
  <c r="U63" i="1" a="1"/>
  <c r="AF58" i="1" a="1"/>
  <c r="Z62" i="1" a="1"/>
  <c r="R62" i="1" a="1"/>
  <c r="O62" i="1" a="1"/>
  <c r="Q62" i="1" a="1"/>
  <c r="AE57" i="1" a="1"/>
  <c r="K58" i="1" a="1"/>
  <c r="I64" i="1" a="1"/>
  <c r="AK63" i="1" a="1"/>
  <c r="X64" i="1" a="1"/>
  <c r="V64" i="1" a="1"/>
  <c r="AH63" i="1" a="1"/>
  <c r="L63" i="1" a="1"/>
  <c r="K63" i="1" a="1"/>
  <c r="Q63" i="1" a="1"/>
  <c r="F63" i="1" a="1"/>
  <c r="AG62" i="1" a="1"/>
  <c r="M62" i="1" a="1"/>
  <c r="AI58" i="1" a="1"/>
  <c r="Y62" i="1" a="1"/>
  <c r="K62" i="1" a="1"/>
  <c r="AG58" i="1" a="1"/>
  <c r="I62" i="1" a="1"/>
  <c r="G58" i="1" a="1"/>
  <c r="AF57" i="1" a="1"/>
  <c r="I58" i="1" a="1"/>
  <c r="AJ57" i="1" a="1"/>
  <c r="S58" i="1" a="1"/>
  <c r="V57" i="1" a="1"/>
  <c r="AF56" i="1" a="1"/>
  <c r="J57" i="1" a="1"/>
  <c r="AA57" i="1" a="1"/>
  <c r="U57" i="1" a="1"/>
  <c r="T56" i="1" a="1"/>
  <c r="AG55" i="1" a="1"/>
  <c r="R56" i="1" a="1"/>
  <c r="M56" i="1" a="1"/>
  <c r="AF55" i="1" a="1"/>
  <c r="AC55" i="1" a="1"/>
  <c r="N55" i="1" a="1"/>
  <c r="Q55" i="1" a="1"/>
  <c r="K55" i="1" a="1"/>
  <c r="AB54" i="1" a="1"/>
  <c r="W55" i="1" a="1"/>
  <c r="F54" i="1" a="1"/>
  <c r="AE53" i="1" a="1"/>
  <c r="K54" i="1" a="1"/>
  <c r="X54" i="1" a="1"/>
  <c r="AI53" i="1" a="1"/>
  <c r="Y53" i="1" a="1"/>
  <c r="T53" i="1" a="1"/>
  <c r="AK52" i="1" a="1"/>
  <c r="AH52" i="1" a="1"/>
  <c r="AB52" i="1" a="1"/>
  <c r="AA53" i="1" a="1"/>
  <c r="AA52" i="1" a="1"/>
  <c r="AF63" i="1" a="1"/>
  <c r="Y64" i="1" a="1"/>
  <c r="W64" i="1" a="1"/>
  <c r="AB63" i="1" a="1"/>
  <c r="AI63" i="1" a="1"/>
  <c r="T63" i="1" a="1"/>
  <c r="AB62" i="1" a="1"/>
  <c r="Z63" i="1" a="1"/>
  <c r="H63" i="1" a="1"/>
  <c r="J63" i="1" a="1"/>
  <c r="AB58" i="1" a="1"/>
  <c r="F62" i="1" a="1"/>
  <c r="P62" i="1" a="1"/>
  <c r="H62" i="1" a="1"/>
  <c r="X62" i="1" a="1"/>
  <c r="AD58" i="1" a="1"/>
  <c r="AG63" i="1" a="1"/>
  <c r="S64" i="1" a="1"/>
  <c r="AD63" i="1" a="1"/>
  <c r="U64" i="1" a="1"/>
  <c r="P64" i="1" a="1"/>
  <c r="M63" i="1" a="1"/>
  <c r="S63" i="1" a="1"/>
  <c r="V63" i="1" a="1"/>
  <c r="AJ62" i="1" a="1"/>
  <c r="X63" i="1" a="1"/>
  <c r="J62" i="1" a="1"/>
  <c r="AA62" i="1" a="1"/>
  <c r="U62" i="1" a="1"/>
  <c r="AC58" i="1" a="1"/>
  <c r="T62" i="1" a="1"/>
  <c r="L58" i="1" a="1"/>
  <c r="Z58" i="1" a="1"/>
  <c r="X58" i="1" a="1"/>
  <c r="N58" i="1" a="1"/>
  <c r="AB57" i="1" a="1"/>
  <c r="T58" i="1" a="1"/>
  <c r="AI56" i="1" a="1"/>
  <c r="AH56" i="1" a="1"/>
  <c r="Q57" i="1" a="1"/>
  <c r="Y57" i="1" a="1"/>
  <c r="M57" i="1" a="1"/>
  <c r="P56" i="1" a="1"/>
  <c r="I56" i="1" a="1"/>
  <c r="X56" i="1" a="1"/>
  <c r="W56" i="1" a="1"/>
  <c r="AJ55" i="1" a="1"/>
  <c r="F55" i="1" a="1"/>
  <c r="J55" i="1" a="1"/>
  <c r="G55" i="1" a="1"/>
  <c r="AA55" i="1" a="1"/>
  <c r="I55" i="1" a="1"/>
  <c r="AE54" i="1" a="1"/>
  <c r="AF53" i="1" a="1"/>
  <c r="AG53" i="1" a="1"/>
  <c r="AA54" i="1" a="1"/>
  <c r="AJ63" i="1" a="1"/>
  <c r="H64" i="1" a="1"/>
  <c r="O64" i="1" a="1"/>
  <c r="K64" i="1" a="1"/>
  <c r="N64" i="1" a="1"/>
  <c r="AK62" i="1" a="1"/>
  <c r="AI62" i="1" a="1"/>
  <c r="I63" i="1" a="1"/>
  <c r="Y63" i="1" a="1"/>
  <c r="W63" i="1" a="1"/>
  <c r="N62" i="1" a="1"/>
  <c r="AH58" i="1" a="1"/>
  <c r="AK58" i="1" a="1"/>
  <c r="AJ58" i="1" a="1"/>
  <c r="S62" i="1" a="1"/>
  <c r="M58" i="1" a="1"/>
  <c r="U58" i="1" a="1"/>
  <c r="W58" i="1" a="1"/>
  <c r="H58" i="1" a="1"/>
  <c r="AA58" i="1" a="1"/>
  <c r="AC57" i="1" a="1"/>
  <c r="R57" i="1" a="1"/>
  <c r="AC56" i="1" a="1"/>
  <c r="AD56" i="1" a="1"/>
  <c r="X57" i="1" a="1"/>
  <c r="AE56" i="1" a="1"/>
  <c r="AE55" i="1" a="1"/>
  <c r="H56" i="1" a="1"/>
  <c r="S56" i="1" a="1"/>
  <c r="N56" i="1" a="1"/>
  <c r="K56" i="1" a="1"/>
  <c r="R55" i="1" a="1"/>
  <c r="AJ54" i="1" a="1"/>
  <c r="AC54" i="1" a="1"/>
  <c r="Y55" i="1" a="1"/>
  <c r="U55" i="1" a="1"/>
  <c r="Z55" i="1" a="1"/>
  <c r="AD53" i="1" a="1"/>
  <c r="G54" i="1" a="1"/>
  <c r="Z54" i="1" a="1"/>
  <c r="AK53" i="1" a="1"/>
  <c r="T54" i="1" a="1"/>
  <c r="K53" i="1" a="1"/>
  <c r="AC52" i="1" a="1"/>
  <c r="M53" i="1" a="1"/>
  <c r="F53" i="1" a="1"/>
  <c r="J53" i="1" a="1"/>
  <c r="AC51" i="1" a="1"/>
  <c r="Q52" i="1" a="1"/>
  <c r="P58" i="1" a="1"/>
  <c r="T57" i="1" a="1"/>
  <c r="Z57" i="1" a="1"/>
  <c r="Q56" i="1" a="1"/>
  <c r="L56" i="1" a="1"/>
  <c r="M55" i="1" a="1"/>
  <c r="AF54" i="1" a="1"/>
  <c r="H54" i="1" a="1"/>
  <c r="AB53" i="1" a="1"/>
  <c r="U53" i="1" a="1"/>
  <c r="S52" i="1" a="1"/>
  <c r="J52" i="1" a="1"/>
  <c r="AB50" i="1" a="1"/>
  <c r="G51" i="1" a="1"/>
  <c r="Z51" i="1" a="1"/>
  <c r="J50" i="1" a="1"/>
  <c r="K50" i="1" a="1"/>
  <c r="AA49" i="1" a="1"/>
  <c r="AB48" i="1" a="1"/>
  <c r="AG48" i="1" a="1"/>
  <c r="F48" i="1" a="1"/>
  <c r="H48" i="1" a="1"/>
  <c r="AK47" i="1" a="1"/>
  <c r="F47" i="1" a="1"/>
  <c r="AD46" i="1" a="1"/>
  <c r="AH64" i="1" a="1"/>
  <c r="F65" i="1" a="1"/>
  <c r="J65" i="1" a="1"/>
  <c r="S54" i="1" a="1"/>
  <c r="P53" i="1" a="1"/>
  <c r="AD52" i="1" a="1"/>
  <c r="P52" i="1" a="1"/>
  <c r="Z52" i="1" a="1"/>
  <c r="F52" i="1" a="1"/>
  <c r="T51" i="1" a="1"/>
  <c r="M51" i="1" a="1"/>
  <c r="U50" i="1" a="1"/>
  <c r="AC49" i="1" a="1"/>
  <c r="AJ49" i="1" a="1"/>
  <c r="Y49" i="1" a="1"/>
  <c r="J49" i="1" a="1"/>
  <c r="V49" i="1" a="1"/>
  <c r="K48" i="1" a="1"/>
  <c r="J48" i="1" a="1"/>
  <c r="P47" i="1" a="1"/>
  <c r="Q47" i="1" a="1"/>
  <c r="Z47" i="1" a="1"/>
  <c r="V65" i="1" a="1"/>
  <c r="I65" i="1" a="1"/>
  <c r="V46" i="1" a="1"/>
  <c r="Q46" i="1" a="1"/>
  <c r="H46" i="1" a="1"/>
  <c r="AK45" i="1" a="1"/>
  <c r="W105" i="1" a="1"/>
  <c r="AH105" i="1" a="1"/>
  <c r="AB105" i="1" a="1"/>
  <c r="Z104" i="1" a="1"/>
  <c r="Q105" i="1" a="1"/>
  <c r="I105" i="1" a="1"/>
  <c r="W104" i="1" a="1"/>
  <c r="R105" i="1" a="1"/>
  <c r="AK103" i="1" a="1"/>
  <c r="AF103" i="1" a="1"/>
  <c r="U104" i="1" a="1"/>
  <c r="F104" i="1" a="1"/>
  <c r="K104" i="1" a="1"/>
  <c r="O104" i="1" a="1"/>
  <c r="T103" i="1" a="1"/>
  <c r="AK102" i="1" a="1"/>
  <c r="L103" i="1" a="1"/>
  <c r="AD102" i="1" a="1"/>
  <c r="P103" i="1" a="1"/>
  <c r="Q102" i="1" a="1"/>
  <c r="AK101" i="1" a="1"/>
  <c r="AD101" i="1" a="1"/>
  <c r="I102" i="1" a="1"/>
  <c r="T102" i="1" a="1"/>
  <c r="N101" i="1" a="1"/>
  <c r="AH57" i="1" a="1"/>
  <c r="AK56" i="1" a="1"/>
  <c r="W57" i="1" a="1"/>
  <c r="F56" i="1" a="1"/>
  <c r="AB55" i="1" a="1"/>
  <c r="H55" i="1" a="1"/>
  <c r="Q54" i="1" a="1"/>
  <c r="J54" i="1" a="1"/>
  <c r="W53" i="1" a="1"/>
  <c r="AI52" i="1" a="1"/>
  <c r="T52" i="1" a="1"/>
  <c r="M52" i="1" a="1"/>
  <c r="S51" i="1" a="1"/>
  <c r="J51" i="1" a="1"/>
  <c r="Y51" i="1" a="1"/>
  <c r="I50" i="1" a="1"/>
  <c r="AK49" i="1" a="1"/>
  <c r="V50" i="1" a="1"/>
  <c r="L49" i="1" a="1"/>
  <c r="U49" i="1" a="1"/>
  <c r="AI47" i="1" a="1"/>
  <c r="G48" i="1" a="1"/>
  <c r="U48" i="1" a="1"/>
  <c r="O47" i="1" a="1"/>
  <c r="Y47" i="1" a="1"/>
  <c r="U65" i="1" a="1"/>
  <c r="AA64" i="1" a="1"/>
  <c r="AK64" i="1" a="1"/>
  <c r="J58" i="1" a="1"/>
  <c r="P57" i="1" a="1"/>
  <c r="H57" i="1" a="1"/>
  <c r="AD55" i="1" a="1"/>
  <c r="AI55" i="1" a="1"/>
  <c r="AG54" i="1" a="1"/>
  <c r="AH53" i="1" a="1"/>
  <c r="Y54" i="1" a="1"/>
  <c r="Q53" i="1" a="1"/>
  <c r="V53" i="1" a="1"/>
  <c r="Z53" i="1" a="1"/>
  <c r="N52" i="1" a="1"/>
  <c r="L52" i="1" a="1"/>
  <c r="AC50" i="1" a="1"/>
  <c r="AG50" i="1" a="1"/>
  <c r="AE50" i="1" a="1"/>
  <c r="Q51" i="1" a="1"/>
  <c r="AG49" i="1" a="1"/>
  <c r="L50" i="1" a="1"/>
  <c r="O49" i="1" a="1"/>
  <c r="G49" i="1" a="1"/>
  <c r="AH48" i="1" a="1"/>
  <c r="X48" i="1" a="1"/>
  <c r="AB47" i="1" a="1"/>
  <c r="J47" i="1" a="1"/>
  <c r="G47" i="1" a="1"/>
  <c r="AB46" i="1" a="1"/>
  <c r="T65" i="1" a="1"/>
  <c r="AJ64" i="1" a="1"/>
  <c r="R46" i="1" a="1"/>
  <c r="P46" i="1" a="1"/>
  <c r="I46" i="1" a="1"/>
  <c r="AJ45" i="1" a="1"/>
  <c r="AI105" i="1" a="1"/>
  <c r="AJ105" i="1" a="1"/>
  <c r="AA105" i="1" a="1"/>
  <c r="AA104" i="1" a="1"/>
  <c r="F105" i="1" a="1"/>
  <c r="V104" i="1" a="1"/>
  <c r="H105" i="1" a="1"/>
  <c r="P105" i="1" a="1"/>
  <c r="AG103" i="1" a="1"/>
  <c r="AB103" i="1" a="1"/>
  <c r="Z103" i="1" a="1"/>
  <c r="W103" i="1" a="1"/>
  <c r="AD103" i="1" a="1"/>
  <c r="N104" i="1" a="1"/>
  <c r="N103" i="1" a="1"/>
  <c r="AH102" i="1" a="1"/>
  <c r="AJ102" i="1" a="1"/>
  <c r="Y102" i="1" a="1"/>
  <c r="AI102" i="1" a="1"/>
  <c r="O58" i="1" a="1"/>
  <c r="AD57" i="1" a="1"/>
  <c r="F57" i="1" a="1"/>
  <c r="N57" i="1" a="1"/>
  <c r="Z56" i="1" a="1"/>
  <c r="AA56" i="1" a="1"/>
  <c r="P55" i="1" a="1"/>
  <c r="AJ53" i="1" a="1"/>
  <c r="I54" i="1" a="1"/>
  <c r="O53" i="1" a="1"/>
  <c r="AD51" i="1" a="1"/>
  <c r="H52" i="1" a="1"/>
  <c r="V52" i="1" a="1"/>
  <c r="AK50" i="1" a="1"/>
  <c r="I51" i="1" a="1"/>
  <c r="AA50" i="1" a="1"/>
  <c r="AE49" i="1" a="1"/>
  <c r="S50" i="1" a="1"/>
  <c r="AH49" i="1" a="1"/>
  <c r="P49" i="1" a="1"/>
  <c r="T49" i="1" a="1"/>
  <c r="AE47" i="1" a="1"/>
  <c r="AC47" i="1" a="1"/>
  <c r="V48" i="1" a="1"/>
  <c r="AH46" i="1" a="1"/>
  <c r="AA47" i="1" a="1"/>
  <c r="G65" i="1" a="1"/>
  <c r="AG64" i="1" a="1"/>
  <c r="H65" i="1" a="1"/>
  <c r="Q58" i="1" a="1"/>
  <c r="W54" i="1" a="1"/>
  <c r="X53" i="1" a="1"/>
  <c r="L53" i="1" a="1"/>
  <c r="X52" i="1" a="1"/>
  <c r="V51" i="1" a="1"/>
  <c r="AH50" i="1" a="1"/>
  <c r="K51" i="1" a="1"/>
  <c r="Z50" i="1" a="1"/>
  <c r="AB49" i="1" a="1"/>
  <c r="AI48" i="1" a="1"/>
  <c r="Z49" i="1" a="1"/>
  <c r="AK48" i="1" a="1"/>
  <c r="H49" i="1" a="1"/>
  <c r="R48" i="1" a="1"/>
  <c r="T48" i="1" a="1"/>
  <c r="N47" i="1" a="1"/>
  <c r="X47" i="1" a="1"/>
  <c r="L47" i="1" a="1"/>
  <c r="O65" i="1" a="1"/>
  <c r="AB64" i="1" a="1"/>
  <c r="K65" i="1" a="1"/>
  <c r="T46" i="1" a="1"/>
  <c r="N46" i="1" a="1"/>
  <c r="K46" i="1" a="1"/>
  <c r="Y46" i="1" a="1"/>
  <c r="AC105" i="1" a="1"/>
  <c r="AG105" i="1" a="1"/>
  <c r="AK105" i="1" a="1"/>
  <c r="X104" i="1" a="1"/>
  <c r="O105" i="1" a="1"/>
  <c r="AK104" i="1" a="1"/>
  <c r="AJ104" i="1" a="1"/>
  <c r="M105" i="1" a="1"/>
  <c r="AA103" i="1" a="1"/>
  <c r="X103" i="1" a="1"/>
  <c r="R104" i="1" a="1"/>
  <c r="M104" i="1" a="1"/>
  <c r="T104" i="1" a="1"/>
  <c r="O103" i="1" a="1"/>
  <c r="V102" i="1" a="1"/>
  <c r="J103" i="1" a="1"/>
  <c r="Y58" i="1" a="1"/>
  <c r="G57" i="1" a="1"/>
  <c r="AG56" i="1" a="1"/>
  <c r="Y56" i="1" a="1"/>
  <c r="AH54" i="1" a="1"/>
  <c r="T55" i="1" a="1"/>
  <c r="R54" i="1" a="1"/>
  <c r="N53" i="1" a="1"/>
  <c r="G53" i="1" a="1"/>
  <c r="AG51" i="1" a="1"/>
  <c r="AH51" i="1" a="1"/>
  <c r="AJ51" i="1" a="1"/>
  <c r="AJ50" i="1" a="1"/>
  <c r="U51" i="1" a="1"/>
  <c r="AD49" i="1" a="1"/>
  <c r="R50" i="1" a="1"/>
  <c r="N50" i="1" a="1"/>
  <c r="F49" i="1" a="1"/>
  <c r="S49" i="1" a="1"/>
  <c r="AJ48" i="1" a="1"/>
  <c r="N48" i="1" a="1"/>
  <c r="AA48" i="1" a="1"/>
  <c r="S48" i="1" a="1"/>
  <c r="AK46" i="1" a="1"/>
  <c r="R47" i="1" a="1"/>
  <c r="AJ46" i="1" a="1"/>
  <c r="Y65" i="1" a="1"/>
  <c r="AC64" i="1" a="1"/>
  <c r="AG57" i="1" a="1"/>
  <c r="R58" i="1" a="1"/>
  <c r="S57" i="1" a="1"/>
  <c r="AB56" i="1" a="1"/>
  <c r="O56" i="1" a="1"/>
  <c r="O55" i="1" a="1"/>
  <c r="L55" i="1" a="1"/>
  <c r="O54" i="1" a="1"/>
  <c r="V54" i="1" a="1"/>
  <c r="S53" i="1" a="1"/>
  <c r="U52" i="1" a="1"/>
  <c r="O52" i="1" a="1"/>
  <c r="X51" i="1" a="1"/>
  <c r="H51" i="1" a="1"/>
  <c r="AI50" i="1" a="1"/>
  <c r="Y50" i="1" a="1"/>
  <c r="AF49" i="1" a="1"/>
  <c r="H50" i="1" a="1"/>
  <c r="X49" i="1" a="1"/>
  <c r="K49" i="1" a="1"/>
  <c r="P48" i="1" a="1"/>
  <c r="AF47" i="1" a="1"/>
  <c r="L48" i="1" a="1"/>
  <c r="I48" i="1" a="1"/>
  <c r="U47" i="1" a="1"/>
  <c r="W47" i="1" a="1"/>
  <c r="S65" i="1" a="1"/>
  <c r="AI64" i="1" a="1"/>
  <c r="R65" i="1" a="1"/>
  <c r="S46" i="1" a="1"/>
  <c r="M46" i="1" a="1"/>
  <c r="AI45" i="1" a="1"/>
  <c r="X46" i="1" a="1"/>
  <c r="X105" i="1" a="1"/>
  <c r="AF105" i="1" a="1"/>
  <c r="F58" i="1" a="1"/>
  <c r="AI57" i="1" a="1"/>
  <c r="AJ56" i="1" a="1"/>
  <c r="U56" i="1" a="1"/>
  <c r="AK55" i="1" a="1"/>
  <c r="V55" i="1" a="1"/>
  <c r="AI54" i="1" a="1"/>
  <c r="AC53" i="1" a="1"/>
  <c r="P54" i="1" a="1"/>
  <c r="I53" i="1" a="1"/>
  <c r="AF52" i="1" a="1"/>
  <c r="Y52" i="1" a="1"/>
  <c r="AE51" i="1" a="1"/>
  <c r="G52" i="1" a="1"/>
  <c r="W51" i="1" a="1"/>
  <c r="R51" i="1" a="1"/>
  <c r="AF50" i="1" a="1"/>
  <c r="T50" i="1" a="1"/>
  <c r="Q50" i="1" a="1"/>
  <c r="W49" i="1" a="1"/>
  <c r="R49" i="1" a="1"/>
  <c r="N49" i="1" a="1"/>
  <c r="AH47" i="1" a="1"/>
  <c r="Y48" i="1" a="1"/>
  <c r="M47" i="1" a="1"/>
  <c r="H47" i="1" a="1"/>
  <c r="AE46" i="1" a="1"/>
  <c r="S47" i="1" a="1"/>
  <c r="AE64" i="1" a="1"/>
  <c r="Z64" i="1" a="1"/>
  <c r="V58" i="1" a="1"/>
  <c r="L57" i="1" a="1"/>
  <c r="I57" i="1" a="1"/>
  <c r="G56" i="1" a="1"/>
  <c r="V56" i="1" a="1"/>
  <c r="AK54" i="1" a="1"/>
  <c r="X55" i="1" a="1"/>
  <c r="N54" i="1" a="1"/>
  <c r="AE52" i="1" a="1"/>
  <c r="R53" i="1" a="1"/>
  <c r="AB51" i="1" a="1"/>
  <c r="AK51" i="1" a="1"/>
  <c r="K52" i="1" a="1"/>
  <c r="L51" i="1" a="1"/>
  <c r="F51" i="1" a="1"/>
  <c r="W50" i="1" a="1"/>
  <c r="P50" i="1" a="1"/>
  <c r="F50" i="1" a="1"/>
  <c r="AE48" i="1" a="1"/>
  <c r="M49" i="1" a="1"/>
  <c r="Z48" i="1" a="1"/>
  <c r="AJ47" i="1" a="1"/>
  <c r="Q48" i="1" a="1"/>
  <c r="AI46" i="1" a="1"/>
  <c r="V47" i="1" a="1"/>
  <c r="AG46" i="1" a="1"/>
  <c r="AD64" i="1" a="1"/>
  <c r="M65" i="1" a="1"/>
  <c r="Z46" i="1" a="1"/>
  <c r="U46" i="1" a="1"/>
  <c r="J46" i="1" a="1"/>
  <c r="F46" i="1" a="1"/>
  <c r="AA46" i="1" a="1"/>
  <c r="Y105" i="1" a="1"/>
  <c r="AE105" i="1" a="1"/>
  <c r="AH104" i="1" a="1"/>
  <c r="S105" i="1" a="1"/>
  <c r="AD104" i="1" a="1"/>
  <c r="AI104" i="1" a="1"/>
  <c r="T105" i="1" a="1"/>
  <c r="AB104" i="1" a="1"/>
  <c r="AH103" i="1" a="1"/>
  <c r="G104" i="1" a="1"/>
  <c r="Y103" i="1" a="1"/>
  <c r="AC103" i="1" a="1"/>
  <c r="P104" i="1" a="1"/>
  <c r="I103" i="1" a="1"/>
  <c r="M103" i="1" a="1"/>
  <c r="W52" i="1" a="1"/>
  <c r="M50" i="1" a="1"/>
  <c r="O48" i="1" a="1"/>
  <c r="W65" i="1" a="1"/>
  <c r="Q103" i="1" a="1"/>
  <c r="AC101" i="1" a="1"/>
  <c r="AH101" i="1" a="1"/>
  <c r="Y100" i="1" a="1"/>
  <c r="U101" i="1" a="1"/>
  <c r="V100" i="1" a="1"/>
  <c r="H100" i="1" a="1"/>
  <c r="X99" i="1" a="1"/>
  <c r="S100" i="1" a="1"/>
  <c r="AK99" i="1" a="1"/>
  <c r="G98" i="1" a="1"/>
  <c r="AB97" i="1" a="1"/>
  <c r="T98" i="1" a="1"/>
  <c r="AD96" i="1" a="1"/>
  <c r="S97" i="1" a="1"/>
  <c r="R97" i="1" a="1"/>
  <c r="AK96" i="1" a="1"/>
  <c r="AA95" i="1" a="1"/>
  <c r="U96" i="1" a="1"/>
  <c r="AH95" i="1" a="1"/>
  <c r="S95" i="1" a="1"/>
  <c r="M95" i="1" a="1"/>
  <c r="H95" i="1" a="1"/>
  <c r="I95" i="1" a="1"/>
  <c r="AD54" i="1" a="1"/>
  <c r="X50" i="1" a="1"/>
  <c r="M48" i="1" a="1"/>
  <c r="P65" i="1" a="1"/>
  <c r="G46" i="1" a="1"/>
  <c r="AD105" i="1" a="1"/>
  <c r="AG104" i="1" a="1"/>
  <c r="H104" i="1" a="1"/>
  <c r="AE103" i="1" a="1"/>
  <c r="R103" i="1" a="1"/>
  <c r="AI51" i="1" a="1"/>
  <c r="G50" i="1" a="1"/>
  <c r="AG47" i="1" a="1"/>
  <c r="AF64" i="1" a="1"/>
  <c r="G105" i="1" a="1"/>
  <c r="AC104" i="1" a="1"/>
  <c r="I104" i="1" a="1"/>
  <c r="V103" i="1" a="1"/>
  <c r="K103" i="1" a="1"/>
  <c r="Z102" i="1" a="1"/>
  <c r="H102" i="1" a="1"/>
  <c r="V101" i="1" a="1"/>
  <c r="M102" i="1" a="1"/>
  <c r="K101" i="1" a="1"/>
  <c r="G101" i="1" a="1"/>
  <c r="AG99" i="1" a="1"/>
  <c r="AH97" i="1" a="1"/>
  <c r="AI97" i="1" a="1"/>
  <c r="J97" i="1" a="1"/>
  <c r="P97" i="1" a="1"/>
  <c r="Z95" i="1" a="1"/>
  <c r="AK95" i="1" a="1"/>
  <c r="G95" i="1" a="1"/>
  <c r="R94" i="1" a="1"/>
  <c r="AH93" i="1" a="1"/>
  <c r="AE93" i="1" a="1"/>
  <c r="F94" i="1" a="1"/>
  <c r="AB93" i="1" a="1"/>
  <c r="Y93" i="1" a="1"/>
  <c r="T93" i="1" a="1"/>
  <c r="O93" i="1" a="1"/>
  <c r="G93" i="1" a="1"/>
  <c r="P93" i="1" a="1"/>
  <c r="F93" i="1" a="1"/>
  <c r="O92" i="1" a="1"/>
  <c r="F92" i="1" a="1"/>
  <c r="V92" i="1" a="1"/>
  <c r="AG91" i="1" a="1"/>
  <c r="H92" i="1" a="1"/>
  <c r="R91" i="1" a="1"/>
  <c r="AH90" i="1" a="1"/>
  <c r="AD90" i="1" a="1"/>
  <c r="AA90" i="1" a="1"/>
  <c r="AE90" i="1" a="1"/>
  <c r="J91" i="1" a="1"/>
  <c r="W89" i="1" a="1"/>
  <c r="T90" i="1" a="1"/>
  <c r="M90" i="1" a="1"/>
  <c r="N90" i="1" a="1"/>
  <c r="AC89" i="1" a="1"/>
  <c r="J89" i="1" a="1"/>
  <c r="Q89" i="1" a="1"/>
  <c r="F89" i="1" a="1"/>
  <c r="W88" i="1" a="1"/>
  <c r="U89" i="1" a="1"/>
  <c r="I88" i="1" a="1"/>
  <c r="X87" i="1" a="1"/>
  <c r="K88" i="1" a="1"/>
  <c r="AD87" i="1" a="1"/>
  <c r="AK57" i="1" a="1"/>
  <c r="S55" i="1" a="1"/>
  <c r="I52" i="1" a="1"/>
  <c r="AD47" i="1" a="1"/>
  <c r="L65" i="1" a="1"/>
  <c r="G102" i="1" a="1"/>
  <c r="M101" i="1" a="1"/>
  <c r="T101" i="1" a="1"/>
  <c r="F100" i="1" a="1"/>
  <c r="P100" i="1" a="1"/>
  <c r="AE97" i="1" a="1"/>
  <c r="Z97" i="1" a="1"/>
  <c r="T97" i="1" a="1"/>
  <c r="I96" i="1" a="1"/>
  <c r="P96" i="1" a="1"/>
  <c r="AE94" i="1" a="1"/>
  <c r="AH94" i="1" a="1"/>
  <c r="R52" i="1" a="1"/>
  <c r="K57" i="1" a="1"/>
  <c r="M54" i="1" a="1"/>
  <c r="AF51" i="1" a="1"/>
  <c r="AI49" i="1" a="1"/>
  <c r="Q65" i="1" a="1"/>
  <c r="AE104" i="1" a="1"/>
  <c r="AF104" i="1" a="1"/>
  <c r="J104" i="1" a="1"/>
  <c r="S104" i="1" a="1"/>
  <c r="AC102" i="1" a="1"/>
  <c r="AE102" i="1" a="1"/>
  <c r="L102" i="1" a="1"/>
  <c r="AH100" i="1" a="1"/>
  <c r="AF100" i="1" a="1"/>
  <c r="S101" i="1" a="1"/>
  <c r="F101" i="1" a="1"/>
  <c r="W99" i="1" a="1"/>
  <c r="AC99" i="1" a="1"/>
  <c r="R100" i="1" a="1"/>
  <c r="P98" i="1" a="1"/>
  <c r="X97" i="1" a="1"/>
  <c r="AD97" i="1" a="1"/>
  <c r="Y97" i="1" a="1"/>
  <c r="AE96" i="1" a="1"/>
  <c r="AB96" i="1" a="1"/>
  <c r="O97" i="1" a="1"/>
  <c r="AD95" i="1" a="1"/>
  <c r="AG95" i="1" a="1"/>
  <c r="AC95" i="1" a="1"/>
  <c r="N96" i="1" a="1"/>
  <c r="AG94" i="1" a="1"/>
  <c r="O95" i="1" a="1"/>
  <c r="X94" i="1" a="1"/>
  <c r="L54" i="1" a="1"/>
  <c r="AD48" i="1" a="1"/>
  <c r="K47" i="1" a="1"/>
  <c r="N65" i="1" a="1"/>
  <c r="J105" i="1" a="1"/>
  <c r="U105" i="1" a="1"/>
  <c r="AJ103" i="1" a="1"/>
  <c r="Q104" i="1" a="1"/>
  <c r="U103" i="1" a="1"/>
  <c r="H103" i="1" a="1"/>
  <c r="K102" i="1" a="1"/>
  <c r="AF101" i="1" a="1"/>
  <c r="U102" i="1" a="1"/>
  <c r="O101" i="1" a="1"/>
  <c r="Q101" i="1" a="1"/>
  <c r="I100" i="1" a="1"/>
  <c r="Q100" i="1" a="1"/>
  <c r="O98" i="1" a="1"/>
  <c r="AC96" i="1" a="1"/>
  <c r="Q97" i="1" a="1"/>
  <c r="AI95" i="1" a="1"/>
  <c r="AF95" i="1" a="1"/>
  <c r="AK94" i="1" a="1"/>
  <c r="AD94" i="1" a="1"/>
  <c r="G94" i="1" a="1"/>
  <c r="P94" i="1" a="1"/>
  <c r="I94" i="1" a="1"/>
  <c r="Q94" i="1" a="1"/>
  <c r="H94" i="1" a="1"/>
  <c r="K93" i="1" a="1"/>
  <c r="AD92" i="1" a="1"/>
  <c r="N93" i="1" a="1"/>
  <c r="AE92" i="1" a="1"/>
  <c r="AK92" i="1" a="1"/>
  <c r="Y92" i="1" a="1"/>
  <c r="Y91" i="1" a="1"/>
  <c r="AH91" i="1" a="1"/>
  <c r="L92" i="1" a="1"/>
  <c r="R92" i="1" a="1"/>
  <c r="AA91" i="1" a="1"/>
  <c r="Z90" i="1" a="1"/>
  <c r="AC90" i="1" a="1"/>
  <c r="AF90" i="1" a="1"/>
  <c r="V91" i="1" a="1"/>
  <c r="O57" i="1" a="1"/>
  <c r="U54" i="1" a="1"/>
  <c r="P51" i="1" a="1"/>
  <c r="AF48" i="1" a="1"/>
  <c r="I47" i="1" a="1"/>
  <c r="V105" i="1" a="1"/>
  <c r="J102" i="1" a="1"/>
  <c r="AE101" i="1" a="1"/>
  <c r="AD100" i="1" a="1"/>
  <c r="P101" i="1" a="1"/>
  <c r="AD99" i="1" a="1"/>
  <c r="M98" i="1" a="1"/>
  <c r="L98" i="1" a="1"/>
  <c r="Y96" i="1" a="1"/>
  <c r="N97" i="1" a="1"/>
  <c r="W95" i="1" a="1"/>
  <c r="AJ95" i="1" a="1"/>
  <c r="N95" i="1" a="1"/>
  <c r="N51" i="1" a="1"/>
  <c r="AF46" i="1" a="1"/>
  <c r="O46" i="1" a="1"/>
  <c r="F103" i="1" a="1"/>
  <c r="AF102" i="1" a="1"/>
  <c r="AB101" i="1" a="1"/>
  <c r="S102" i="1" a="1"/>
  <c r="L101" i="1" a="1"/>
  <c r="R101" i="1" a="1"/>
  <c r="AC100" i="1" a="1"/>
  <c r="K100" i="1" a="1"/>
  <c r="AE99" i="1" a="1"/>
  <c r="T100" i="1" a="1"/>
  <c r="O100" i="1" a="1"/>
  <c r="I98" i="1" a="1"/>
  <c r="AG97" i="1" a="1"/>
  <c r="K98" i="1" a="1"/>
  <c r="H97" i="1" a="1"/>
  <c r="I97" i="1" a="1"/>
  <c r="X96" i="1" a="1"/>
  <c r="L97" i="1" a="1"/>
  <c r="K96" i="1" a="1"/>
  <c r="Y95" i="1" a="1"/>
  <c r="S96" i="1" a="1"/>
  <c r="V95" i="1" a="1"/>
  <c r="AJ94" i="1" a="1"/>
  <c r="J95" i="1" a="1"/>
  <c r="AA94" i="1" a="1"/>
  <c r="AG93" i="1" a="1"/>
  <c r="K94" i="1" a="1"/>
  <c r="N94" i="1" a="1"/>
  <c r="S94" i="1" a="1"/>
  <c r="X93" i="1" a="1"/>
  <c r="X92" i="1" a="1"/>
  <c r="W92" i="1" a="1"/>
  <c r="AC92" i="1" a="1"/>
  <c r="AA92" i="1" a="1"/>
  <c r="AB92" i="1" a="1"/>
  <c r="Z92" i="1" a="1"/>
  <c r="AI91" i="1" a="1"/>
  <c r="AC91" i="1" a="1"/>
  <c r="U92" i="1" a="1"/>
  <c r="Q92" i="1" a="1"/>
  <c r="W91" i="1" a="1"/>
  <c r="M91" i="1" a="1"/>
  <c r="AB90" i="1" a="1"/>
  <c r="X90" i="1" a="1"/>
  <c r="L91" i="1" a="1"/>
  <c r="AK90" i="1" a="1"/>
  <c r="H90" i="1" a="1"/>
  <c r="U90" i="1" a="1"/>
  <c r="I90" i="1" a="1"/>
  <c r="AH55" i="1" a="1"/>
  <c r="AJ52" i="1" a="1"/>
  <c r="O51" i="1" a="1"/>
  <c r="AC48" i="1" a="1"/>
  <c r="T47" i="1" a="1"/>
  <c r="S103" i="1" a="1"/>
  <c r="G103" i="1" a="1"/>
  <c r="AI101" i="1" a="1"/>
  <c r="Y101" i="1" a="1"/>
  <c r="N102" i="1" a="1"/>
  <c r="I101" i="1" a="1"/>
  <c r="AA100" i="1" a="1"/>
  <c r="G100" i="1" a="1"/>
  <c r="J100" i="1" a="1"/>
  <c r="F98" i="1" a="1"/>
  <c r="V97" i="1" a="1"/>
  <c r="G97" i="1" a="1"/>
  <c r="L96" i="1" a="1"/>
  <c r="H96" i="1" a="1"/>
  <c r="U95" i="1" a="1"/>
  <c r="W94" i="1" a="1"/>
  <c r="J56" i="1" a="1"/>
  <c r="X65" i="1" a="1"/>
  <c r="AJ101" i="1" a="1"/>
  <c r="H101" i="1" a="1"/>
  <c r="Y99" i="1" a="1"/>
  <c r="AA97" i="1" a="1"/>
  <c r="AH96" i="1" a="1"/>
  <c r="AE95" i="1" a="1"/>
  <c r="AF94" i="1" a="1"/>
  <c r="P95" i="1" a="1"/>
  <c r="AD93" i="1" a="1"/>
  <c r="AJ92" i="1" a="1"/>
  <c r="AI92" i="1" a="1"/>
  <c r="AJ90" i="1" a="1"/>
  <c r="T91" i="1" a="1"/>
  <c r="AD89" i="1" a="1"/>
  <c r="L90" i="1" a="1"/>
  <c r="O89" i="1" a="1"/>
  <c r="K89" i="1" a="1"/>
  <c r="Z88" i="1" a="1"/>
  <c r="S89" i="1" a="1"/>
  <c r="P88" i="1" a="1"/>
  <c r="AJ87" i="1" a="1"/>
  <c r="Q87" i="1" a="1"/>
  <c r="H87" i="1" a="1"/>
  <c r="AC86" i="1" a="1"/>
  <c r="I86" i="1" a="1"/>
  <c r="W85" i="1" a="1"/>
  <c r="R86" i="1" a="1"/>
  <c r="I85" i="1" a="1"/>
  <c r="AH82" i="1" a="1"/>
  <c r="N85" i="1" a="1"/>
  <c r="AH81" i="1" a="1"/>
  <c r="R82" i="1" a="1"/>
  <c r="L82" i="1" a="1"/>
  <c r="F82" i="1" a="1"/>
  <c r="T82" i="1" a="1"/>
  <c r="AB81" i="1" a="1"/>
  <c r="AE98" i="1" a="1"/>
  <c r="X98" i="1" a="1"/>
  <c r="P99" i="1" a="1"/>
  <c r="N99" i="1" a="1"/>
  <c r="I99" i="1" a="1"/>
  <c r="V81" i="1" a="1"/>
  <c r="U81" i="1" a="1"/>
  <c r="J81" i="1" a="1"/>
  <c r="AK80" i="1" a="1"/>
  <c r="Q81" i="1" a="1"/>
  <c r="S80" i="1" a="1"/>
  <c r="M80" i="1" a="1"/>
  <c r="Y80" i="1" a="1"/>
  <c r="N80" i="1" a="1"/>
  <c r="AD79" i="1" a="1"/>
  <c r="G79" i="1" a="1"/>
  <c r="J79" i="1" a="1"/>
  <c r="AD78" i="1" a="1"/>
  <c r="W79" i="1" a="1"/>
  <c r="Q79" i="1" a="1"/>
  <c r="U79" i="1" a="1"/>
  <c r="Q78" i="1" a="1"/>
  <c r="T78" i="1" a="1"/>
  <c r="AI77" i="1" a="1"/>
  <c r="G78" i="1" a="1"/>
  <c r="O78" i="1" a="1"/>
  <c r="W77" i="1" a="1"/>
  <c r="V77" i="1" a="1"/>
  <c r="R77" i="1" a="1"/>
  <c r="AI103" i="1" a="1"/>
  <c r="O102" i="1" a="1"/>
  <c r="X100" i="1" a="1"/>
  <c r="AE100" i="1" a="1"/>
  <c r="L100" i="1" a="1"/>
  <c r="AF97" i="1" a="1"/>
  <c r="AJ96" i="1" a="1"/>
  <c r="X95" i="1" a="1"/>
  <c r="F95" i="1" a="1"/>
  <c r="AK93" i="1" a="1"/>
  <c r="M94" i="1" a="1"/>
  <c r="M93" i="1" a="1"/>
  <c r="J92" i="1" a="1"/>
  <c r="P92" i="1" a="1"/>
  <c r="AI89" i="1" a="1"/>
  <c r="F90" i="1" a="1"/>
  <c r="K90" i="1" a="1"/>
  <c r="AH88" i="1" a="1"/>
  <c r="AK88" i="1" a="1"/>
  <c r="AI88" i="1" a="1"/>
  <c r="L89" i="1" a="1"/>
  <c r="O88" i="1" a="1"/>
  <c r="Y87" i="1" a="1"/>
  <c r="Z87" i="1" a="1"/>
  <c r="U87" i="1" a="1"/>
  <c r="AD85" i="1" a="1"/>
  <c r="K85" i="1" a="1"/>
  <c r="AG52" i="1" a="1"/>
  <c r="L46" i="1" a="1"/>
  <c r="L104" i="1" a="1"/>
  <c r="AA101" i="1" a="1"/>
  <c r="J101" i="1" a="1"/>
  <c r="AA99" i="1" a="1"/>
  <c r="N100" i="1" a="1"/>
  <c r="AK97" i="1" a="1"/>
  <c r="M97" i="1" a="1"/>
  <c r="V96" i="1" a="1"/>
  <c r="K95" i="1" a="1"/>
  <c r="J94" i="1" a="1"/>
  <c r="V94" i="1" a="1"/>
  <c r="H93" i="1" a="1"/>
  <c r="AJ91" i="1" a="1"/>
  <c r="F91" i="1" a="1"/>
  <c r="Y90" i="1" a="1"/>
  <c r="AG89" i="1" a="1"/>
  <c r="AE89" i="1" a="1"/>
  <c r="H89" i="1" a="1"/>
  <c r="AB88" i="1" a="1"/>
  <c r="N88" i="1" a="1"/>
  <c r="Q88" i="1" a="1"/>
  <c r="P87" i="1" a="1"/>
  <c r="Z86" i="1" a="1"/>
  <c r="AA86" i="1" a="1"/>
  <c r="I87" i="1" a="1"/>
  <c r="AF85" i="1" a="1"/>
  <c r="V86" i="1" a="1"/>
  <c r="Z85" i="1" a="1"/>
  <c r="AE85" i="1" a="1"/>
  <c r="J85" i="1" a="1"/>
  <c r="AB82" i="1" a="1"/>
  <c r="H85" i="1" a="1"/>
  <c r="F85" i="1" a="1"/>
  <c r="AD81" i="1" a="1"/>
  <c r="V82" i="1" a="1"/>
  <c r="I82" i="1" a="1"/>
  <c r="AJ81" i="1" a="1"/>
  <c r="AK81" i="1" a="1"/>
  <c r="F99" i="1" a="1"/>
  <c r="AA98" i="1" a="1"/>
  <c r="J99" i="1" a="1"/>
  <c r="R99" i="1" a="1"/>
  <c r="U98" i="1" a="1"/>
  <c r="AC98" i="1" a="1"/>
  <c r="T81" i="1" a="1"/>
  <c r="P81" i="1" a="1"/>
  <c r="F81" i="1" a="1"/>
  <c r="Z80" i="1" a="1"/>
  <c r="AA80" i="1" a="1"/>
  <c r="L80" i="1" a="1"/>
  <c r="AK79" i="1" a="1"/>
  <c r="P80" i="1" a="1"/>
  <c r="F80" i="1" a="1"/>
  <c r="J80" i="1" a="1"/>
  <c r="P79" i="1" a="1"/>
  <c r="AH78" i="1" a="1"/>
  <c r="H79" i="1" a="1"/>
  <c r="H53" i="1" a="1"/>
  <c r="W46" i="1" a="1"/>
  <c r="AF99" i="1" a="1"/>
  <c r="AJ97" i="1" a="1"/>
  <c r="F96" i="1" a="1"/>
  <c r="AC93" i="1" a="1"/>
  <c r="I93" i="1" a="1"/>
  <c r="J93" i="1" a="1"/>
  <c r="X91" i="1" a="1"/>
  <c r="O91" i="1" a="1"/>
  <c r="AA87" i="1" a="1"/>
  <c r="AF86" i="1" a="1"/>
  <c r="S87" i="1" a="1"/>
  <c r="J87" i="1" a="1"/>
  <c r="M86" i="1" a="1"/>
  <c r="J86" i="1" a="1"/>
  <c r="AG82" i="1" a="1"/>
  <c r="Q85" i="1" a="1"/>
  <c r="Z81" i="1" a="1"/>
  <c r="AD50" i="1" a="1"/>
  <c r="AB102" i="1" a="1"/>
  <c r="X101" i="1" a="1"/>
  <c r="AI100" i="1" a="1"/>
  <c r="AJ99" i="1" a="1"/>
  <c r="M100" i="1" a="1"/>
  <c r="S98" i="1" a="1"/>
  <c r="AI96" i="1" a="1"/>
  <c r="T96" i="1" a="1"/>
  <c r="R95" i="1" a="1"/>
  <c r="Z93" i="1" a="1"/>
  <c r="T94" i="1" a="1"/>
  <c r="AH92" i="1" a="1"/>
  <c r="AF91" i="1" a="1"/>
  <c r="AB91" i="1" a="1"/>
  <c r="W90" i="1" a="1"/>
  <c r="U91" i="1" a="1"/>
  <c r="J90" i="1" a="1"/>
  <c r="AK89" i="1" a="1"/>
  <c r="AA89" i="1" a="1"/>
  <c r="Y88" i="1" a="1"/>
  <c r="AE88" i="1" a="1"/>
  <c r="V89" i="1" a="1"/>
  <c r="T88" i="1" a="1"/>
  <c r="AI87" i="1" a="1"/>
  <c r="G88" i="1" a="1"/>
  <c r="AG86" i="1" a="1"/>
  <c r="H86" i="1" a="1"/>
  <c r="X85" i="1" a="1"/>
  <c r="AE82" i="1" a="1"/>
  <c r="AC82" i="1" a="1"/>
  <c r="M82" i="1" a="1"/>
  <c r="Y81" i="1" a="1"/>
  <c r="AE81" i="1" a="1"/>
  <c r="U82" i="1" a="1"/>
  <c r="AG98" i="1" a="1"/>
  <c r="Y98" i="1" a="1"/>
  <c r="O99" i="1" a="1"/>
  <c r="Q99" i="1" a="1"/>
  <c r="AK98" i="1" a="1"/>
  <c r="H99" i="1" a="1"/>
  <c r="N81" i="1" a="1"/>
  <c r="H81" i="1" a="1"/>
  <c r="AD80" i="1" a="1"/>
  <c r="W81" i="1" a="1"/>
  <c r="AI80" i="1" a="1"/>
  <c r="R80" i="1" a="1"/>
  <c r="AB79" i="1" a="1"/>
  <c r="X80" i="1" a="1"/>
  <c r="U80" i="1" a="1"/>
  <c r="AG79" i="1" a="1"/>
  <c r="O79" i="1" a="1"/>
  <c r="AA51" i="1" a="1"/>
  <c r="Z105" i="1" a="1"/>
  <c r="AG102" i="1" a="1"/>
  <c r="F102" i="1" a="1"/>
  <c r="W100" i="1" a="1"/>
  <c r="Z99" i="1" a="1"/>
  <c r="Q98" i="1" a="1"/>
  <c r="J98" i="1" a="1"/>
  <c r="AF96" i="1" a="1"/>
  <c r="J96" i="1" a="1"/>
  <c r="Q95" i="1" a="1"/>
  <c r="V93" i="1" a="1"/>
  <c r="AG92" i="1" a="1"/>
  <c r="AK91" i="1" a="1"/>
  <c r="N91" i="1" a="1"/>
  <c r="I91" i="1" a="1"/>
  <c r="V90" i="1" a="1"/>
  <c r="Y89" i="1" a="1"/>
  <c r="X89" i="1" a="1"/>
  <c r="R89" i="1" a="1"/>
  <c r="N89" i="1" a="1"/>
  <c r="P89" i="1" a="1"/>
  <c r="S88" i="1" a="1"/>
  <c r="L88" i="1" a="1"/>
  <c r="F88" i="1" a="1"/>
  <c r="AG87" i="1" a="1"/>
  <c r="N87" i="1" a="1"/>
  <c r="R87" i="1" a="1"/>
  <c r="AE86" i="1" a="1"/>
  <c r="F87" i="1" a="1"/>
  <c r="AG85" i="1" a="1"/>
  <c r="AB85" i="1" a="1"/>
  <c r="AA85" i="1" a="1"/>
  <c r="Q86" i="1" a="1"/>
  <c r="AI82" i="1" a="1"/>
  <c r="AF82" i="1" a="1"/>
  <c r="AJ82" i="1" a="1"/>
  <c r="N82" i="1" a="1"/>
  <c r="O50" i="1" a="1"/>
  <c r="Z101" i="1" a="1"/>
  <c r="AK100" i="1" a="1"/>
  <c r="AI99" i="1" a="1"/>
  <c r="H98" i="1" a="1"/>
  <c r="AA96" i="1" a="1"/>
  <c r="K97" i="1" a="1"/>
  <c r="R96" i="1" a="1"/>
  <c r="AI94" i="1" a="1"/>
  <c r="W93" i="1" a="1"/>
  <c r="O94" i="1" a="1"/>
  <c r="AE91" i="1" a="1"/>
  <c r="S92" i="1" a="1"/>
  <c r="I92" i="1" a="1"/>
  <c r="AB89" i="1" a="1"/>
  <c r="S90" i="1" a="1"/>
  <c r="Q90" i="1" a="1"/>
  <c r="AJ88" i="1" a="1"/>
  <c r="J88" i="1" a="1"/>
  <c r="AH87" i="1" a="1"/>
  <c r="V88" i="1" a="1"/>
  <c r="M87" i="1" a="1"/>
  <c r="Y86" i="1" a="1"/>
  <c r="AK85" i="1" a="1"/>
  <c r="G86" i="1" a="1"/>
  <c r="K86" i="1" a="1"/>
  <c r="Z82" i="1" a="1"/>
  <c r="AD82" i="1" a="1"/>
  <c r="Q82" i="1" a="1"/>
  <c r="AG81" i="1" a="1"/>
  <c r="AI81" i="1" a="1"/>
  <c r="AA81" i="1" a="1"/>
  <c r="AC81" i="1" a="1"/>
  <c r="V98" i="1" a="1"/>
  <c r="AD98" i="1" a="1"/>
  <c r="AB98" i="1" a="1"/>
  <c r="G99" i="1" a="1"/>
  <c r="M99" i="1" a="1"/>
  <c r="AC80" i="1" a="1"/>
  <c r="AF80" i="1" a="1"/>
  <c r="AE80" i="1" a="1"/>
  <c r="S81" i="1" a="1"/>
  <c r="G81" i="1" a="1"/>
  <c r="V80" i="1" a="1"/>
  <c r="Q80" i="1" a="1"/>
  <c r="I80" i="1" a="1"/>
  <c r="H80" i="1" a="1"/>
  <c r="K80" i="1" a="1"/>
  <c r="Q49" i="1" a="1"/>
  <c r="N105" i="1" a="1"/>
  <c r="Z100" i="1" a="1"/>
  <c r="N98" i="1" a="1"/>
  <c r="F97" i="1" a="1"/>
  <c r="Z94" i="1" a="1"/>
  <c r="AA93" i="1" a="1"/>
  <c r="AF92" i="1" a="1"/>
  <c r="Q93" i="1" a="1"/>
  <c r="Z91" i="1" a="1"/>
  <c r="AJ89" i="1" a="1"/>
  <c r="K87" i="1" a="1"/>
  <c r="AB86" i="1" a="1"/>
  <c r="F86" i="1" a="1"/>
  <c r="Y82" i="1" a="1"/>
  <c r="T85" i="1" a="1"/>
  <c r="L85" i="1" a="1"/>
  <c r="I49" i="1" a="1"/>
  <c r="Y104" i="1" a="1"/>
  <c r="W102" i="1" a="1"/>
  <c r="W101" i="1" a="1"/>
  <c r="AJ100" i="1" a="1"/>
  <c r="V99" i="1" a="1"/>
  <c r="W97" i="1" a="1"/>
  <c r="W96" i="1" a="1"/>
  <c r="AB95" i="1" a="1"/>
  <c r="Q96" i="1" a="1"/>
  <c r="T95" i="1" a="1"/>
  <c r="U94" i="1" a="1"/>
  <c r="S93" i="1" a="1"/>
  <c r="N92" i="1" a="1"/>
  <c r="AD91" i="1" a="1"/>
  <c r="G91" i="1" a="1"/>
  <c r="AG90" i="1" a="1"/>
  <c r="R90" i="1" a="1"/>
  <c r="Z89" i="1" a="1"/>
  <c r="AG88" i="1" a="1"/>
  <c r="M89" i="1" a="1"/>
  <c r="AA88" i="1" a="1"/>
  <c r="G89" i="1" a="1"/>
  <c r="R88" i="1" a="1"/>
  <c r="H88" i="1" a="1"/>
  <c r="AK87" i="1" a="1"/>
  <c r="U88" i="1" a="1"/>
  <c r="X86" i="1" a="1"/>
  <c r="L87" i="1" a="1"/>
  <c r="AJ86" i="1" a="1"/>
  <c r="W86" i="1" a="1"/>
  <c r="AC85" i="1" a="1"/>
  <c r="Y85" i="1" a="1"/>
  <c r="AI85" i="1" a="1"/>
  <c r="O86" i="1" a="1"/>
  <c r="G85" i="1" a="1"/>
  <c r="AK82" i="1" a="1"/>
  <c r="P85" i="1" a="1"/>
  <c r="K82" i="1" a="1"/>
  <c r="S82" i="1" a="1"/>
  <c r="X81" i="1" a="1"/>
  <c r="P82" i="1" a="1"/>
  <c r="H82" i="1" a="1"/>
  <c r="AH98" i="1" a="1"/>
  <c r="W48" i="1" a="1"/>
  <c r="AC46" i="1" a="1"/>
  <c r="AB100" i="1" a="1"/>
  <c r="M96" i="1" a="1"/>
  <c r="AH89" i="1" a="1"/>
  <c r="AC88" i="1" a="1"/>
  <c r="W87" i="1" a="1"/>
  <c r="P86" i="1" a="1"/>
  <c r="AF81" i="1" a="1"/>
  <c r="AF98" i="1" a="1"/>
  <c r="W98" i="1" a="1"/>
  <c r="K81" i="1" a="1"/>
  <c r="AH80" i="1" a="1"/>
  <c r="AI79" i="1" a="1"/>
  <c r="AF78" i="1" a="1"/>
  <c r="P78" i="1" a="1"/>
  <c r="M78" i="1" a="1"/>
  <c r="L78" i="1" a="1"/>
  <c r="X77" i="1" a="1"/>
  <c r="U77" i="1" a="1"/>
  <c r="AG76" i="1" a="1"/>
  <c r="Q76" i="1" a="1"/>
  <c r="AB74" i="1" a="1"/>
  <c r="N75" i="1" a="1"/>
  <c r="J74" i="1" a="1"/>
  <c r="G74" i="1" a="1"/>
  <c r="U74" i="1" a="1"/>
  <c r="W74" i="1" a="1"/>
  <c r="L74" i="1" a="1"/>
  <c r="W73" i="1" a="1"/>
  <c r="S73" i="1" a="1"/>
  <c r="Z72" i="1" a="1"/>
  <c r="AH72" i="1" a="1"/>
  <c r="AA72" i="1" a="1"/>
  <c r="R72" i="1" a="1"/>
  <c r="F72" i="1" a="1"/>
  <c r="N72" i="1" a="1"/>
  <c r="X72" i="1" a="1"/>
  <c r="AH71" i="1" a="1"/>
  <c r="G72" i="1" a="1"/>
  <c r="Q71" i="1" a="1"/>
  <c r="K71" i="1" a="1"/>
  <c r="AC70" i="1" a="1"/>
  <c r="W71" i="1" a="1"/>
  <c r="U71" i="1" a="1"/>
  <c r="T70" i="1" a="1"/>
  <c r="AJ69" i="1" a="1"/>
  <c r="AI93" i="1" a="1"/>
  <c r="T92" i="1" a="1"/>
  <c r="AF89" i="1" a="1"/>
  <c r="V87" i="1" a="1"/>
  <c r="AH85" i="1" a="1"/>
  <c r="U85" i="1" a="1"/>
  <c r="S79" i="1" a="1"/>
  <c r="AJ78" i="1" a="1"/>
  <c r="I78" i="1" a="1"/>
  <c r="S78" i="1" a="1"/>
  <c r="G77" i="1" a="1"/>
  <c r="J77" i="1" a="1"/>
  <c r="Z76" i="1" a="1"/>
  <c r="U76" i="1" a="1"/>
  <c r="O76" i="1" a="1"/>
  <c r="X76" i="1" a="1"/>
  <c r="O75" i="1" a="1"/>
  <c r="AC74" i="1" a="1"/>
  <c r="G75" i="1" a="1"/>
  <c r="Q75" i="1" a="1"/>
  <c r="AH99" i="1" a="1"/>
  <c r="O96" i="1" a="1"/>
  <c r="U93" i="1" a="1"/>
  <c r="P91" i="1" a="1"/>
  <c r="O90" i="1" a="1"/>
  <c r="I89" i="1" a="1"/>
  <c r="AF87" i="1" a="1"/>
  <c r="U86" i="1" a="1"/>
  <c r="S85" i="1" a="1"/>
  <c r="L99" i="1" a="1"/>
  <c r="K99" i="1" a="1"/>
  <c r="L81" i="1" a="1"/>
  <c r="AE79" i="1" a="1"/>
  <c r="AC79" i="1" a="1"/>
  <c r="Y79" i="1" a="1"/>
  <c r="AC77" i="1" a="1"/>
  <c r="AJ77" i="1" a="1"/>
  <c r="AE76" i="1" a="1"/>
  <c r="T77" i="1" a="1"/>
  <c r="I77" i="1" a="1"/>
  <c r="L76" i="1" a="1"/>
  <c r="S76" i="1" a="1"/>
  <c r="AF74" i="1" a="1"/>
  <c r="Z74" i="1" a="1"/>
  <c r="O74" i="1" a="1"/>
  <c r="AC73" i="1" a="1"/>
  <c r="Y74" i="1" a="1"/>
  <c r="AD73" i="1" a="1"/>
  <c r="P74" i="1" a="1"/>
  <c r="AG72" i="1" a="1"/>
  <c r="J73" i="1" a="1"/>
  <c r="O73" i="1" a="1"/>
  <c r="AE72" i="1" a="1"/>
  <c r="AB72" i="1" a="1"/>
  <c r="AG71" i="1" a="1"/>
  <c r="AK71" i="1" a="1"/>
  <c r="I72" i="1" a="1"/>
  <c r="J72" i="1" a="1"/>
  <c r="W72" i="1" a="1"/>
  <c r="T71" i="1" a="1"/>
  <c r="O71" i="1" a="1"/>
  <c r="AA70" i="1" a="1"/>
  <c r="AH70" i="1" a="1"/>
  <c r="L71" i="1" a="1"/>
  <c r="P71" i="1" a="1"/>
  <c r="Z69" i="1" a="1"/>
  <c r="AE69" i="1" a="1"/>
  <c r="Y70" i="1" a="1"/>
  <c r="X70" i="1" a="1"/>
  <c r="AD69" i="1" a="1"/>
  <c r="F69" i="1" a="1"/>
  <c r="AH68" i="1" a="1"/>
  <c r="L69" i="1" a="1"/>
  <c r="R69" i="1" a="1"/>
  <c r="L105" i="1" a="1"/>
  <c r="U100" i="1" a="1"/>
  <c r="AB94" i="1" a="1"/>
  <c r="R93" i="1" a="1"/>
  <c r="AK86" i="1" a="1"/>
  <c r="R85" i="1" a="1"/>
  <c r="O82" i="1" a="1"/>
  <c r="AG78" i="1" a="1"/>
  <c r="X79" i="1" a="1"/>
  <c r="N79" i="1" a="1"/>
  <c r="AH77" i="1" a="1"/>
  <c r="AK77" i="1" a="1"/>
  <c r="AA77" i="1" a="1"/>
  <c r="F77" i="1" a="1"/>
  <c r="V76" i="1" a="1"/>
  <c r="I76" i="1" a="1"/>
  <c r="N76" i="1" a="1"/>
  <c r="W76" i="1" a="1"/>
  <c r="X75" i="1" a="1"/>
  <c r="M75" i="1" a="1"/>
  <c r="AD74" i="1" a="1"/>
  <c r="K75" i="1" a="1"/>
  <c r="K105" i="1" a="1"/>
  <c r="AB99" i="1" a="1"/>
  <c r="Y94" i="1" a="1"/>
  <c r="K91" i="1" a="1"/>
  <c r="AB87" i="1" a="1"/>
  <c r="T87" i="1" a="1"/>
  <c r="S86" i="1" a="1"/>
  <c r="S99" i="1" a="1"/>
  <c r="Z98" i="1" a="1"/>
  <c r="AG80" i="1" a="1"/>
  <c r="T80" i="1" a="1"/>
  <c r="Z79" i="1" a="1"/>
  <c r="K79" i="1" a="1"/>
  <c r="AK78" i="1" a="1"/>
  <c r="M79" i="1" a="1"/>
  <c r="AG77" i="1" a="1"/>
  <c r="AH76" i="1" a="1"/>
  <c r="S77" i="1" a="1"/>
  <c r="AK76" i="1" a="1"/>
  <c r="AK75" i="1" a="1"/>
  <c r="G76" i="1" a="1"/>
  <c r="H75" i="1" a="1"/>
  <c r="AJ73" i="1" a="1"/>
  <c r="R74" i="1" a="1"/>
  <c r="AH73" i="1" a="1"/>
  <c r="M74" i="1" a="1"/>
  <c r="AB73" i="1" a="1"/>
  <c r="I74" i="1" a="1"/>
  <c r="V73" i="1" a="1"/>
  <c r="P73" i="1" a="1"/>
  <c r="N73" i="1" a="1"/>
  <c r="AC72" i="1" a="1"/>
  <c r="Y73" i="1" a="1"/>
  <c r="O72" i="1" a="1"/>
  <c r="AJ71" i="1" a="1"/>
  <c r="H72" i="1" a="1"/>
  <c r="V72" i="1" a="1"/>
  <c r="U72" i="1" a="1"/>
  <c r="G71" i="1" a="1"/>
  <c r="M71" i="1" a="1"/>
  <c r="H71" i="1" a="1"/>
  <c r="AI70" i="1" a="1"/>
  <c r="V71" i="1" a="1"/>
  <c r="AD70" i="1" a="1"/>
  <c r="K70" i="1" a="1"/>
  <c r="L70" i="1" a="1"/>
  <c r="AH69" i="1" a="1"/>
  <c r="X102" i="1" a="1"/>
  <c r="R98" i="1" a="1"/>
  <c r="L95" i="1" a="1"/>
  <c r="P90" i="1" a="1"/>
  <c r="AD88" i="1" a="1"/>
  <c r="O87" i="1" a="1"/>
  <c r="N86" i="1" a="1"/>
  <c r="L79" i="1" a="1"/>
  <c r="Y78" i="1" a="1"/>
  <c r="AE77" i="1" a="1"/>
  <c r="F78" i="1" a="1"/>
  <c r="O77" i="1" a="1"/>
  <c r="AJ76" i="1" a="1"/>
  <c r="R76" i="1" a="1"/>
  <c r="T76" i="1" a="1"/>
  <c r="M76" i="1" a="1"/>
  <c r="AI75" i="1" a="1"/>
  <c r="U75" i="1" a="1"/>
  <c r="AH74" i="1" a="1"/>
  <c r="L75" i="1" a="1"/>
  <c r="AI73" i="1" a="1"/>
  <c r="AC97" i="1" a="1"/>
  <c r="AC94" i="1" a="1"/>
  <c r="L93" i="1" a="1"/>
  <c r="AI90" i="1" a="1"/>
  <c r="G90" i="1" a="1"/>
  <c r="T89" i="1" a="1"/>
  <c r="AC87" i="1" a="1"/>
  <c r="M85" i="1" a="1"/>
  <c r="J82" i="1" a="1"/>
  <c r="T99" i="1" a="1"/>
  <c r="O81" i="1" a="1"/>
  <c r="R81" i="1" a="1"/>
  <c r="AH79" i="1" a="1"/>
  <c r="W80" i="1" a="1"/>
  <c r="AC78" i="1" a="1"/>
  <c r="AE78" i="1" a="1"/>
  <c r="Z78" i="1" a="1"/>
  <c r="H78" i="1" a="1"/>
  <c r="AA76" i="1" a="1"/>
  <c r="Q77" i="1" a="1"/>
  <c r="AC75" i="1" a="1"/>
  <c r="AA75" i="1" a="1"/>
  <c r="T75" i="1" a="1"/>
  <c r="AJ74" i="1" a="1"/>
  <c r="Q74" i="1" a="1"/>
  <c r="F74" i="1" a="1"/>
  <c r="AG73" i="1" a="1"/>
  <c r="N74" i="1" a="1"/>
  <c r="R73" i="1" a="1"/>
  <c r="U73" i="1" a="1"/>
  <c r="AJ72" i="1" a="1"/>
  <c r="AD72" i="1" a="1"/>
  <c r="AA102" i="1" a="1"/>
  <c r="Q91" i="1" a="1"/>
  <c r="AD86" i="1" a="1"/>
  <c r="L86" i="1" a="1"/>
  <c r="AA82" i="1" a="1"/>
  <c r="X78" i="1" a="1"/>
  <c r="Z77" i="1" a="1"/>
  <c r="AF77" i="1" a="1"/>
  <c r="L77" i="1" a="1"/>
  <c r="P77" i="1" a="1"/>
  <c r="AI76" i="1" a="1"/>
  <c r="K76" i="1" a="1"/>
  <c r="Z75" i="1" a="1"/>
  <c r="AG75" i="1" a="1"/>
  <c r="P76" i="1" a="1"/>
  <c r="P75" i="1" a="1"/>
  <c r="Y75" i="1" a="1"/>
  <c r="AI74" i="1" a="1"/>
  <c r="AK73" i="1" a="1"/>
  <c r="AG101" i="1" a="1"/>
  <c r="AG96" i="1" a="1"/>
  <c r="AF93" i="1" a="1"/>
  <c r="H91" i="1" a="1"/>
  <c r="X88" i="1" a="1"/>
  <c r="M88" i="1" a="1"/>
  <c r="AH86" i="1" a="1"/>
  <c r="AJ85" i="1" a="1"/>
  <c r="AI98" i="1" a="1"/>
  <c r="AB80" i="1" a="1"/>
  <c r="M81" i="1" a="1"/>
  <c r="O80" i="1" a="1"/>
  <c r="G80" i="1" a="1"/>
  <c r="AB78" i="1" a="1"/>
  <c r="V79" i="1" a="1"/>
  <c r="I79" i="1" a="1"/>
  <c r="V78" i="1" a="1"/>
  <c r="U78" i="1" a="1"/>
  <c r="N77" i="1" a="1"/>
  <c r="F76" i="1" a="1"/>
  <c r="AF75" i="1" a="1"/>
  <c r="J75" i="1" a="1"/>
  <c r="W75" i="1" a="1"/>
  <c r="AF73" i="1" a="1"/>
  <c r="V74" i="1" a="1"/>
  <c r="AA73" i="1" a="1"/>
  <c r="T74" i="1" a="1"/>
  <c r="K73" i="1" a="1"/>
  <c r="T73" i="1" a="1"/>
  <c r="AI72" i="1" a="1"/>
  <c r="M73" i="1" a="1"/>
  <c r="I73" i="1" a="1"/>
  <c r="AF72" i="1" a="1"/>
  <c r="AD71" i="1" a="1"/>
  <c r="AE71" i="1" a="1"/>
  <c r="Y72" i="1" a="1"/>
  <c r="K72" i="1" a="1"/>
  <c r="L72" i="1" a="1"/>
  <c r="I71" i="1" a="1"/>
  <c r="R102" i="1" a="1"/>
  <c r="U97" i="1" a="1"/>
  <c r="K92" i="1" a="1"/>
  <c r="V85" i="1" a="1"/>
  <c r="W82" i="1" a="1"/>
  <c r="G82" i="1" a="1"/>
  <c r="F79" i="1" a="1"/>
  <c r="T79" i="1" a="1"/>
  <c r="R78" i="1" a="1"/>
  <c r="W78" i="1" a="1"/>
  <c r="AF76" i="1" a="1"/>
  <c r="M77" i="1" a="1"/>
  <c r="AB76" i="1" a="1"/>
  <c r="AE75" i="1" a="1"/>
  <c r="AB75" i="1" a="1"/>
  <c r="J76" i="1" a="1"/>
  <c r="H76" i="1" a="1"/>
  <c r="F75" i="1" a="1"/>
  <c r="R75" i="1" a="1"/>
  <c r="S75" i="1" a="1"/>
  <c r="K74" i="1" a="1"/>
  <c r="P102" i="1" a="1"/>
  <c r="AJ98" i="1" a="1"/>
  <c r="AI78" i="1" a="1"/>
  <c r="X74" i="1" a="1"/>
  <c r="F73" i="1" a="1"/>
  <c r="AC71" i="1" a="1"/>
  <c r="AK70" i="1" a="1"/>
  <c r="AF70" i="1" a="1"/>
  <c r="AG69" i="1" a="1"/>
  <c r="W70" i="1" a="1"/>
  <c r="I69" i="1" a="1"/>
  <c r="AF68" i="1" a="1"/>
  <c r="AE68" i="1" a="1"/>
  <c r="Z67" i="1" a="1"/>
  <c r="AC67" i="1" a="1"/>
  <c r="AK66" i="1" a="1"/>
  <c r="L67" i="1" a="1"/>
  <c r="AJ66" i="1" a="1"/>
  <c r="AH65" i="1" a="1"/>
  <c r="H66" i="1" a="1"/>
  <c r="AA44" i="1" a="1"/>
  <c r="F44" i="1" a="1"/>
  <c r="V44" i="1" a="1"/>
  <c r="AC43" i="1" a="1"/>
  <c r="J43" i="1" a="1"/>
  <c r="AJ42" i="1" a="1"/>
  <c r="AH42" i="1" a="1"/>
  <c r="J42" i="1" a="1"/>
  <c r="Z42" i="1" a="1"/>
  <c r="I42" i="1" a="1"/>
  <c r="T42" i="1" a="1"/>
  <c r="L41" i="1" a="1"/>
  <c r="AK40" i="1" a="1"/>
  <c r="AA41" i="1" a="1"/>
  <c r="AC41" i="1" a="1"/>
  <c r="AG41" i="1" a="1"/>
  <c r="O40" i="1" a="1"/>
  <c r="AI39" i="1" a="1"/>
  <c r="W40" i="1" a="1"/>
  <c r="Z40" i="1" a="1"/>
  <c r="V40" i="1" a="1"/>
  <c r="H40" i="1" a="1"/>
  <c r="O39" i="1" a="1"/>
  <c r="AE39" i="1" a="1"/>
  <c r="AI38" i="1" a="1"/>
  <c r="AC39" i="1" a="1"/>
  <c r="N39" i="1" a="1"/>
  <c r="O38" i="1" a="1"/>
  <c r="AG38" i="1" a="1"/>
  <c r="N38" i="1" a="1"/>
  <c r="K38" i="1" a="1"/>
  <c r="P38" i="1" a="1"/>
  <c r="AB45" i="1" a="1"/>
  <c r="Y45" i="1" a="1"/>
  <c r="O45" i="1" a="1"/>
  <c r="R45" i="1" a="1"/>
  <c r="T45" i="1" a="1"/>
  <c r="W45" i="1" a="1"/>
  <c r="V42" i="1" a="1"/>
  <c r="Z41" i="1" a="1"/>
  <c r="AH38" i="1" a="1"/>
  <c r="Y77" i="1" a="1"/>
  <c r="AG67" i="1" a="1"/>
  <c r="AA43" i="1" a="1"/>
  <c r="AA71" i="1" a="1"/>
  <c r="AI68" i="1" a="1"/>
  <c r="AA66" i="1" a="1"/>
  <c r="M44" i="1" a="1"/>
  <c r="I41" i="1" a="1"/>
  <c r="AE40" i="1" a="1"/>
  <c r="R38" i="1" a="1"/>
  <c r="AK44" i="1" a="1"/>
  <c r="AG100" i="1" a="1"/>
  <c r="AE87" i="1" a="1"/>
  <c r="R79" i="1" a="1"/>
  <c r="K77" i="1" a="1"/>
  <c r="AG74" i="1" a="1"/>
  <c r="H73" i="1" a="1"/>
  <c r="AF71" i="1" a="1"/>
  <c r="AB70" i="1" a="1"/>
  <c r="AE70" i="1" a="1"/>
  <c r="I70" i="1" a="1"/>
  <c r="S70" i="1" a="1"/>
  <c r="U69" i="1" a="1"/>
  <c r="X69" i="1" a="1"/>
  <c r="Z68" i="1" a="1"/>
  <c r="AH67" i="1" a="1"/>
  <c r="P68" i="1" a="1"/>
  <c r="H68" i="1" a="1"/>
  <c r="AG66" i="1" a="1"/>
  <c r="AC66" i="1" a="1"/>
  <c r="R66" i="1" a="1"/>
  <c r="S66" i="1" a="1"/>
  <c r="U66" i="1" a="1"/>
  <c r="X44" i="1" a="1"/>
  <c r="N44" i="1" a="1"/>
  <c r="Y44" i="1" a="1"/>
  <c r="R43" i="1" a="1"/>
  <c r="X43" i="1" a="1"/>
  <c r="AJ44" i="1" a="1"/>
  <c r="Q38" i="1" a="1"/>
  <c r="AD42" i="1" a="1"/>
  <c r="AG39" i="1" a="1"/>
  <c r="F38" i="1" a="1"/>
  <c r="J70" i="1" a="1"/>
  <c r="X67" i="1" a="1"/>
  <c r="AA78" i="1" a="1"/>
  <c r="F66" i="1" a="1"/>
  <c r="G41" i="1" a="1"/>
  <c r="AD39" i="1" a="1"/>
  <c r="L38" i="1" a="1"/>
  <c r="Z96" i="1" a="1"/>
  <c r="G87" i="1" a="1"/>
  <c r="AJ80" i="1" a="1"/>
  <c r="AD77" i="1" a="1"/>
  <c r="AC76" i="1" a="1"/>
  <c r="AK74" i="1" a="1"/>
  <c r="S74" i="1" a="1"/>
  <c r="AG70" i="1" a="1"/>
  <c r="Z70" i="1" a="1"/>
  <c r="AF69" i="1" a="1"/>
  <c r="H69" i="1" a="1"/>
  <c r="Q68" i="1" a="1"/>
  <c r="X68" i="1" a="1"/>
  <c r="N67" i="1" a="1"/>
  <c r="AB66" i="1" a="1"/>
  <c r="P67" i="1" a="1"/>
  <c r="Y66" i="1" a="1"/>
  <c r="O66" i="1" a="1"/>
  <c r="T66" i="1" a="1"/>
  <c r="L44" i="1" a="1"/>
  <c r="AJ43" i="1" a="1"/>
  <c r="S43" i="1" a="1"/>
  <c r="P43" i="1" a="1"/>
  <c r="AG43" i="1" a="1"/>
  <c r="Q42" i="1" a="1"/>
  <c r="R42" i="1" a="1"/>
  <c r="Y42" i="1" a="1"/>
  <c r="F42" i="1" a="1"/>
  <c r="S42" i="1" a="1"/>
  <c r="W41" i="1" a="1"/>
  <c r="M41" i="1" a="1"/>
  <c r="U41" i="1" a="1"/>
  <c r="Y41" i="1" a="1"/>
  <c r="AD41" i="1" a="1"/>
  <c r="M40" i="1" a="1"/>
  <c r="AF40" i="1" a="1"/>
  <c r="AD40" i="1" a="1"/>
  <c r="I40" i="1" a="1"/>
  <c r="T40" i="1" a="1"/>
  <c r="AH40" i="1" a="1"/>
  <c r="L39" i="1" a="1"/>
  <c r="AB39" i="1" a="1"/>
  <c r="J39" i="1" a="1"/>
  <c r="AA39" i="1" a="1"/>
  <c r="V39" i="1" a="1"/>
  <c r="J38" i="1" a="1"/>
  <c r="X38" i="1" a="1"/>
  <c r="AA38" i="1" a="1"/>
  <c r="Z38" i="1" a="1"/>
  <c r="U38" i="1" a="1"/>
  <c r="AI44" i="1" a="1"/>
  <c r="AC38" i="1" a="1"/>
  <c r="AH44" i="1" a="1"/>
  <c r="S41" i="1" a="1"/>
  <c r="K40" i="1" a="1"/>
  <c r="W39" i="1" a="1"/>
  <c r="U45" i="1" a="1"/>
  <c r="AA69" i="1" a="1"/>
  <c r="I66" i="1" a="1"/>
  <c r="L42" i="1" a="1"/>
  <c r="Z73" i="1" a="1"/>
  <c r="AI67" i="1" a="1"/>
  <c r="Z43" i="1" a="1"/>
  <c r="V41" i="1" a="1"/>
  <c r="H39" i="1" a="1"/>
  <c r="V45" i="1" a="1"/>
  <c r="G96" i="1" a="1"/>
  <c r="AI86" i="1" a="1"/>
  <c r="J78" i="1" a="1"/>
  <c r="AD76" i="1" a="1"/>
  <c r="V75" i="1" a="1"/>
  <c r="Q73" i="1" a="1"/>
  <c r="P72" i="1" a="1"/>
  <c r="R70" i="1" a="1"/>
  <c r="AJ68" i="1" a="1"/>
  <c r="T69" i="1" a="1"/>
  <c r="N68" i="1" a="1"/>
  <c r="R68" i="1" a="1"/>
  <c r="Y68" i="1" a="1"/>
  <c r="W67" i="1" a="1"/>
  <c r="O67" i="1" a="1"/>
  <c r="M67" i="1" a="1"/>
  <c r="AI65" i="1" a="1"/>
  <c r="Z65" i="1" a="1"/>
  <c r="Q44" i="1" a="1"/>
  <c r="Z44" i="1" a="1"/>
  <c r="O44" i="1" a="1"/>
  <c r="U43" i="1" a="1"/>
  <c r="AI42" i="1" a="1"/>
  <c r="AG42" i="1" a="1"/>
  <c r="H38" i="1" a="1"/>
  <c r="AE38" i="1" a="1"/>
  <c r="U99" i="1" a="1"/>
  <c r="Q45" i="1" a="1"/>
  <c r="I45" i="1" a="1"/>
  <c r="G1" i="1"/>
  <c r="AG45" i="1" a="1"/>
  <c r="AG44" i="1" a="1"/>
  <c r="K42" i="1" a="1"/>
  <c r="L40" i="1" a="1"/>
  <c r="AD38" i="1" a="1"/>
  <c r="AE45" i="1" a="1"/>
  <c r="Y76" i="1" a="1"/>
  <c r="G68" i="1" a="1"/>
  <c r="AK68" i="1" a="1"/>
  <c r="Q66" i="1" a="1"/>
  <c r="AC42" i="1" a="1"/>
  <c r="X40" i="1" a="1"/>
  <c r="V38" i="1" a="1"/>
  <c r="L94" i="1" a="1"/>
  <c r="T86" i="1" a="1"/>
  <c r="I81" i="1" a="1"/>
  <c r="K78" i="1" a="1"/>
  <c r="X73" i="1" a="1"/>
  <c r="Q72" i="1" a="1"/>
  <c r="T72" i="1" a="1"/>
  <c r="J71" i="1" a="1"/>
  <c r="Q70" i="1" a="1"/>
  <c r="AI69" i="1" a="1"/>
  <c r="M70" i="1" a="1"/>
  <c r="G69" i="1" a="1"/>
  <c r="J69" i="1" a="1"/>
  <c r="AC68" i="1" a="1"/>
  <c r="M68" i="1" a="1"/>
  <c r="J68" i="1" a="1"/>
  <c r="U68" i="1" a="1"/>
  <c r="G67" i="1" a="1"/>
  <c r="U67" i="1" a="1"/>
  <c r="X66" i="1" a="1"/>
  <c r="G66" i="1" a="1"/>
  <c r="AC65" i="1" a="1"/>
  <c r="AD44" i="1" a="1"/>
  <c r="J44" i="1" a="1"/>
  <c r="H43" i="1" a="1"/>
  <c r="I43" i="1" a="1"/>
  <c r="AF43" i="1" a="1"/>
  <c r="P42" i="1" a="1"/>
  <c r="O42" i="1" a="1"/>
  <c r="W42" i="1" a="1"/>
  <c r="AI41" i="1" a="1"/>
  <c r="AB42" i="1" a="1"/>
  <c r="H41" i="1" a="1"/>
  <c r="F41" i="1" a="1"/>
  <c r="AF41" i="1" a="1"/>
  <c r="AI40" i="1" a="1"/>
  <c r="Q41" i="1" a="1"/>
  <c r="AG40" i="1" a="1"/>
  <c r="AJ39" i="1" a="1"/>
  <c r="N40" i="1" a="1"/>
  <c r="F40" i="1" a="1"/>
  <c r="AK39" i="1" a="1"/>
  <c r="T39" i="1" a="1"/>
  <c r="G39" i="1" a="1"/>
  <c r="R39" i="1" a="1"/>
  <c r="Y39" i="1" a="1"/>
  <c r="M39" i="1" a="1"/>
  <c r="AH39" i="1" a="1"/>
  <c r="AF38" i="1" a="1"/>
  <c r="G38" i="1" a="1"/>
  <c r="X45" i="1" a="1"/>
  <c r="F45" i="1" a="1"/>
  <c r="L45" i="1" a="1"/>
  <c r="T38" i="1" a="1"/>
  <c r="AJ41" i="1" a="1"/>
  <c r="Z39" i="1" a="1"/>
  <c r="J45" i="1" a="1"/>
  <c r="N69" i="1" a="1"/>
  <c r="M66" i="1" a="1"/>
  <c r="K43" i="1" a="1"/>
  <c r="AA74" i="1" a="1"/>
  <c r="K67" i="1" a="1"/>
  <c r="X41" i="1" a="1"/>
  <c r="K39" i="1" a="1"/>
  <c r="S45" i="1" a="1"/>
  <c r="AJ93" i="1" a="1"/>
  <c r="AD75" i="1" a="1"/>
  <c r="I75" i="1" a="1"/>
  <c r="AJ70" i="1" a="1"/>
  <c r="G70" i="1" a="1"/>
  <c r="V70" i="1" a="1"/>
  <c r="P70" i="1" a="1"/>
  <c r="AG68" i="1" a="1"/>
  <c r="AD68" i="1" a="1"/>
  <c r="F68" i="1" a="1"/>
  <c r="AF67" i="1" a="1"/>
  <c r="S68" i="1" a="1"/>
  <c r="AD66" i="1" a="1"/>
  <c r="AH66" i="1" a="1"/>
  <c r="Q67" i="1" a="1"/>
  <c r="W66" i="1" a="1"/>
  <c r="AG65" i="1" a="1"/>
  <c r="AB44" i="1" a="1"/>
  <c r="AI43" i="1" a="1"/>
  <c r="H44" i="1" a="1"/>
  <c r="O43" i="1" a="1"/>
  <c r="G43" i="1" a="1"/>
  <c r="K41" i="1" a="1"/>
  <c r="Y40" i="1" a="1"/>
  <c r="AF39" i="1" a="1"/>
  <c r="S39" i="1" a="1"/>
  <c r="Y38" i="1" a="1"/>
  <c r="AB41" i="1" a="1"/>
  <c r="AK38" i="1" a="1"/>
  <c r="AF44" i="1" a="1"/>
  <c r="S71" i="1" a="1"/>
  <c r="N71" i="1" a="1"/>
  <c r="V43" i="1" a="1"/>
  <c r="AA40" i="1" a="1"/>
  <c r="P45" i="1" a="1"/>
  <c r="G92" i="1" a="1"/>
  <c r="O85" i="1" a="1"/>
  <c r="AJ79" i="1" a="1"/>
  <c r="N78" i="1" a="1"/>
  <c r="AJ75" i="1" a="1"/>
  <c r="H74" i="1" a="1"/>
  <c r="G73" i="1" a="1"/>
  <c r="AI71" i="1" a="1"/>
  <c r="S72" i="1" a="1"/>
  <c r="F71" i="1" a="1"/>
  <c r="U70" i="1" a="1"/>
  <c r="O70" i="1" a="1"/>
  <c r="AC69" i="1" a="1"/>
  <c r="Y69" i="1" a="1"/>
  <c r="P69" i="1" a="1"/>
  <c r="AA67" i="1" a="1"/>
  <c r="L68" i="1" a="1"/>
  <c r="AK67" i="1" a="1"/>
  <c r="I67" i="1" a="1"/>
  <c r="Y67" i="1" a="1"/>
  <c r="AI66" i="1" a="1"/>
  <c r="L66" i="1" a="1"/>
  <c r="V66" i="1" a="1"/>
  <c r="AA65" i="1" a="1"/>
  <c r="W44" i="1" a="1"/>
  <c r="AC44" i="1" a="1"/>
  <c r="Q43" i="1" a="1"/>
  <c r="F43" i="1" a="1"/>
  <c r="M43" i="1" a="1"/>
  <c r="G42" i="1" a="1"/>
  <c r="N42" i="1" a="1"/>
  <c r="U42" i="1" a="1"/>
  <c r="AE42" i="1" a="1"/>
  <c r="X42" i="1" a="1"/>
  <c r="T41" i="1" a="1"/>
  <c r="AE41" i="1" a="1"/>
  <c r="O41" i="1" a="1"/>
  <c r="J41" i="1" a="1"/>
  <c r="G40" i="1" a="1"/>
  <c r="J40" i="1" a="1"/>
  <c r="AC40" i="1" a="1"/>
  <c r="U40" i="1" a="1"/>
  <c r="F39" i="1" a="1"/>
  <c r="AJ38" i="1" a="1"/>
  <c r="U39" i="1" a="1"/>
  <c r="M45" i="1" a="1"/>
  <c r="AF42" i="1" a="1"/>
  <c r="Q40" i="1" a="1"/>
  <c r="W38" i="1" a="1"/>
  <c r="AD45" i="1" a="1"/>
  <c r="Z71" i="1" a="1"/>
  <c r="Q69" i="1" a="1"/>
  <c r="J67" i="1" a="1"/>
  <c r="L43" i="1" a="1"/>
  <c r="L73" i="1" a="1"/>
  <c r="W69" i="1" a="1"/>
  <c r="G44" i="1" a="1"/>
  <c r="H42" i="1" a="1"/>
  <c r="AH41" i="1" a="1"/>
  <c r="Q39" i="1" a="1"/>
  <c r="AF45" i="1" a="1"/>
  <c r="M92" i="1" a="1"/>
  <c r="X82" i="1" a="1"/>
  <c r="AH75" i="1" a="1"/>
  <c r="AB71" i="1" a="1"/>
  <c r="M72" i="1" a="1"/>
  <c r="H70" i="1" a="1"/>
  <c r="K69" i="1" a="1"/>
  <c r="S69" i="1" a="1"/>
  <c r="M69" i="1" a="1"/>
  <c r="W68" i="1" a="1"/>
  <c r="I68" i="1" a="1"/>
  <c r="AF66" i="1" a="1"/>
  <c r="S67" i="1" a="1"/>
  <c r="H67" i="1" a="1"/>
  <c r="AJ65" i="1" a="1"/>
  <c r="K66" i="1" a="1"/>
  <c r="J66" i="1" a="1"/>
  <c r="T44" i="1" a="1"/>
  <c r="U44" i="1" a="1"/>
  <c r="AB43" i="1" a="1"/>
  <c r="W43" i="1" a="1"/>
  <c r="AK42" i="1" a="1"/>
  <c r="AE43" i="1" a="1"/>
  <c r="Y43" i="1" a="1"/>
  <c r="P39" i="1" a="1"/>
  <c r="X71" i="1" a="1"/>
  <c r="AK65" i="1" a="1"/>
  <c r="R71" i="1" a="1"/>
  <c r="M42" i="1" a="1"/>
  <c r="X39" i="1" a="1"/>
  <c r="S91" i="1" a="1"/>
  <c r="AF79" i="1" a="1"/>
  <c r="AB77" i="1" a="1"/>
  <c r="AE73" i="1" a="1"/>
  <c r="AK72" i="1" a="1"/>
  <c r="Y71" i="1" a="1"/>
  <c r="F70" i="1" a="1"/>
  <c r="V68" i="1" a="1"/>
  <c r="K68" i="1" a="1"/>
  <c r="AJ67" i="1" a="1"/>
  <c r="F67" i="1" a="1"/>
  <c r="T67" i="1" a="1"/>
  <c r="Z66" i="1" a="1"/>
  <c r="AE65" i="1" a="1"/>
  <c r="P66" i="1" a="1"/>
  <c r="AD65" i="1" a="1"/>
  <c r="P44" i="1" a="1"/>
  <c r="S44" i="1" a="1"/>
  <c r="T43" i="1" a="1"/>
  <c r="R41" i="1" a="1"/>
  <c r="N41" i="1" a="1"/>
  <c r="S40" i="1" a="1"/>
  <c r="AH45" i="1" a="1"/>
  <c r="AA79" i="1" a="1"/>
  <c r="AA68" i="1" a="1"/>
  <c r="AK43" i="1" a="1"/>
  <c r="AK69" i="1" a="1"/>
  <c r="AD67" i="1" a="1"/>
  <c r="R44" i="1" a="1"/>
  <c r="AJ40" i="1" a="1"/>
  <c r="P40" i="1" a="1"/>
  <c r="S38" i="1" a="1"/>
  <c r="AF88" i="1" a="1"/>
  <c r="H77" i="1" a="1"/>
  <c r="AE74" i="1" a="1"/>
  <c r="AB69" i="1" a="1"/>
  <c r="AB68" i="1" a="1"/>
  <c r="O69" i="1" a="1"/>
  <c r="V69" i="1" a="1"/>
  <c r="AE67" i="1" a="1"/>
  <c r="AB67" i="1" a="1"/>
  <c r="O68" i="1" a="1"/>
  <c r="AE66" i="1" a="1"/>
  <c r="R67" i="1" a="1"/>
  <c r="AF65" i="1" a="1"/>
  <c r="N66" i="1" a="1"/>
  <c r="AB65" i="1" a="1"/>
  <c r="AE44" i="1" a="1"/>
  <c r="K44" i="1" a="1"/>
  <c r="AD43" i="1" a="1"/>
  <c r="N43" i="1" a="1"/>
  <c r="AH43" i="1" a="1"/>
  <c r="AK41" i="1" a="1"/>
  <c r="G45" i="1" a="1"/>
  <c r="K45" i="1" a="1"/>
  <c r="N45" i="1" a="1"/>
  <c r="AA45" i="1" a="1"/>
  <c r="Z45" i="1" a="1"/>
  <c r="M38" i="1" a="1"/>
  <c r="H45" i="1" a="1"/>
  <c r="P41" i="1" a="1"/>
  <c r="AB40" i="1" a="1"/>
  <c r="AB38" i="1" a="1"/>
  <c r="T68" i="1" a="1"/>
  <c r="I44" i="1" a="1"/>
  <c r="N70" i="1" a="1"/>
  <c r="V67" i="1" a="1"/>
  <c r="AA42" i="1" a="1"/>
  <c r="R40" i="1" a="1"/>
  <c r="I38" i="1" a="1"/>
  <c r="AC45" i="1" a="1"/>
  <c r="AC45" i="1" l="1"/>
  <c r="I38" i="1"/>
  <c r="R40" i="1"/>
  <c r="AA42" i="1"/>
  <c r="V67" i="1"/>
  <c r="N70" i="1"/>
  <c r="I44" i="1"/>
  <c r="T68" i="1"/>
  <c r="AB38" i="1"/>
  <c r="AB40" i="1"/>
  <c r="P41" i="1"/>
  <c r="H45" i="1"/>
  <c r="M38" i="1"/>
  <c r="Z45" i="1"/>
  <c r="AA45" i="1"/>
  <c r="N45" i="1"/>
  <c r="K45" i="1"/>
  <c r="G45" i="1"/>
  <c r="AK41" i="1"/>
  <c r="AH43" i="1"/>
  <c r="N43" i="1"/>
  <c r="AD43" i="1"/>
  <c r="K44" i="1"/>
  <c r="AE44" i="1"/>
  <c r="AB65" i="1"/>
  <c r="N66" i="1"/>
  <c r="AF65" i="1"/>
  <c r="R67" i="1"/>
  <c r="AE66" i="1"/>
  <c r="O68" i="1"/>
  <c r="AB67" i="1"/>
  <c r="AE67" i="1"/>
  <c r="V69" i="1"/>
  <c r="O69" i="1"/>
  <c r="AB68" i="1"/>
  <c r="AB69" i="1"/>
  <c r="AE74" i="1"/>
  <c r="H77" i="1"/>
  <c r="AF88" i="1"/>
  <c r="S38" i="1"/>
  <c r="P40" i="1"/>
  <c r="AJ40" i="1"/>
  <c r="R44" i="1"/>
  <c r="AD67" i="1"/>
  <c r="AK69" i="1"/>
  <c r="AK43" i="1"/>
  <c r="AA68" i="1"/>
  <c r="AA79" i="1"/>
  <c r="AH45" i="1"/>
  <c r="S40" i="1"/>
  <c r="N41" i="1"/>
  <c r="R41" i="1"/>
  <c r="T43" i="1"/>
  <c r="S44" i="1"/>
  <c r="P44" i="1"/>
  <c r="AD65" i="1"/>
  <c r="P66" i="1"/>
  <c r="AE65" i="1"/>
  <c r="Z66" i="1"/>
  <c r="T67" i="1"/>
  <c r="F67" i="1"/>
  <c r="AJ67" i="1"/>
  <c r="K68" i="1"/>
  <c r="V68" i="1"/>
  <c r="F70" i="1"/>
  <c r="Y71" i="1"/>
  <c r="AK72" i="1"/>
  <c r="AE73" i="1"/>
  <c r="AB77" i="1"/>
  <c r="AF79" i="1"/>
  <c r="S91" i="1"/>
  <c r="X39" i="1"/>
  <c r="M42" i="1"/>
  <c r="R71" i="1"/>
  <c r="AK65" i="1"/>
  <c r="X71" i="1"/>
  <c r="P39" i="1"/>
  <c r="Y43" i="1"/>
  <c r="AE43" i="1"/>
  <c r="AK42" i="1"/>
  <c r="W43" i="1"/>
  <c r="AB43" i="1"/>
  <c r="U44" i="1"/>
  <c r="T44" i="1"/>
  <c r="J66" i="1"/>
  <c r="K66" i="1"/>
  <c r="AJ65" i="1"/>
  <c r="H67" i="1"/>
  <c r="S67" i="1"/>
  <c r="AF66" i="1"/>
  <c r="I68" i="1"/>
  <c r="W68" i="1"/>
  <c r="M69" i="1"/>
  <c r="S69" i="1"/>
  <c r="K69" i="1"/>
  <c r="H70" i="1"/>
  <c r="M72" i="1"/>
  <c r="AB71" i="1"/>
  <c r="AH75" i="1"/>
  <c r="X82" i="1"/>
  <c r="M92" i="1"/>
  <c r="AF45" i="1"/>
  <c r="Q39" i="1"/>
  <c r="AH41" i="1"/>
  <c r="H42" i="1"/>
  <c r="G44" i="1"/>
  <c r="W69" i="1"/>
  <c r="L73" i="1"/>
  <c r="L43" i="1"/>
  <c r="J67" i="1"/>
  <c r="Q69" i="1"/>
  <c r="Z71" i="1"/>
  <c r="AD45" i="1"/>
  <c r="W38" i="1"/>
  <c r="Q40" i="1"/>
  <c r="AF42" i="1"/>
  <c r="M45" i="1"/>
  <c r="U39" i="1"/>
  <c r="AJ38" i="1"/>
  <c r="F39" i="1"/>
  <c r="U40" i="1"/>
  <c r="AC40" i="1"/>
  <c r="J40" i="1"/>
  <c r="G40" i="1"/>
  <c r="J41" i="1"/>
  <c r="O41" i="1"/>
  <c r="AE41" i="1"/>
  <c r="T41" i="1"/>
  <c r="X42" i="1"/>
  <c r="AE42" i="1"/>
  <c r="U42" i="1"/>
  <c r="N42" i="1"/>
  <c r="G42" i="1"/>
  <c r="M43" i="1"/>
  <c r="F43" i="1"/>
  <c r="Q43" i="1"/>
  <c r="AC44" i="1"/>
  <c r="W44" i="1"/>
  <c r="AA65" i="1"/>
  <c r="V66" i="1"/>
  <c r="L66" i="1"/>
  <c r="AI66" i="1"/>
  <c r="Y67" i="1"/>
  <c r="I67" i="1"/>
  <c r="AK67" i="1"/>
  <c r="L68" i="1"/>
  <c r="AA67" i="1"/>
  <c r="P69" i="1"/>
  <c r="Y69" i="1"/>
  <c r="AC69" i="1"/>
  <c r="O70" i="1"/>
  <c r="U70" i="1"/>
  <c r="F71" i="1"/>
  <c r="S72" i="1"/>
  <c r="AI71" i="1"/>
  <c r="G73" i="1"/>
  <c r="H74" i="1"/>
  <c r="AJ75" i="1"/>
  <c r="N78" i="1"/>
  <c r="AJ79" i="1"/>
  <c r="O85" i="1"/>
  <c r="G92" i="1"/>
  <c r="P45" i="1"/>
  <c r="AA40" i="1"/>
  <c r="V43" i="1"/>
  <c r="N71" i="1"/>
  <c r="S71" i="1"/>
  <c r="AF44" i="1"/>
  <c r="AK38" i="1"/>
  <c r="AB41" i="1"/>
  <c r="Y38" i="1"/>
  <c r="S39" i="1"/>
  <c r="AF39" i="1"/>
  <c r="Y40" i="1"/>
  <c r="K41" i="1"/>
  <c r="G43" i="1"/>
  <c r="O43" i="1"/>
  <c r="H44" i="1"/>
  <c r="AI43" i="1"/>
  <c r="AB44" i="1"/>
  <c r="AG65" i="1"/>
  <c r="W66" i="1"/>
  <c r="Q67" i="1"/>
  <c r="AH66" i="1"/>
  <c r="AD66" i="1"/>
  <c r="S68" i="1"/>
  <c r="AF67" i="1"/>
  <c r="F68" i="1"/>
  <c r="AD68" i="1"/>
  <c r="AG68" i="1"/>
  <c r="P70" i="1"/>
  <c r="V70" i="1"/>
  <c r="G70" i="1"/>
  <c r="AJ70" i="1"/>
  <c r="I75" i="1"/>
  <c r="AD75" i="1"/>
  <c r="AJ93" i="1"/>
  <c r="S45" i="1"/>
  <c r="K39" i="1"/>
  <c r="X41" i="1"/>
  <c r="K67" i="1"/>
  <c r="AA74" i="1"/>
  <c r="K43" i="1"/>
  <c r="M66" i="1"/>
  <c r="N69" i="1"/>
  <c r="J45" i="1"/>
  <c r="Z39" i="1"/>
  <c r="AJ41" i="1"/>
  <c r="T38" i="1"/>
  <c r="L45" i="1"/>
  <c r="F45" i="1"/>
  <c r="X45" i="1"/>
  <c r="G38" i="1"/>
  <c r="AF38" i="1"/>
  <c r="AH39" i="1"/>
  <c r="M39" i="1"/>
  <c r="Y39" i="1"/>
  <c r="R39" i="1"/>
  <c r="G39" i="1"/>
  <c r="T39" i="1"/>
  <c r="AK39" i="1"/>
  <c r="F40" i="1"/>
  <c r="N40" i="1"/>
  <c r="AJ39" i="1"/>
  <c r="AG40" i="1"/>
  <c r="Q41" i="1"/>
  <c r="AI40" i="1"/>
  <c r="AF41" i="1"/>
  <c r="F41" i="1"/>
  <c r="H41" i="1"/>
  <c r="AB42" i="1"/>
  <c r="AI41" i="1"/>
  <c r="W42" i="1"/>
  <c r="O42" i="1"/>
  <c r="P42" i="1"/>
  <c r="AF43" i="1"/>
  <c r="I43" i="1"/>
  <c r="H43" i="1"/>
  <c r="J44" i="1"/>
  <c r="AD44" i="1"/>
  <c r="AC65" i="1"/>
  <c r="G66" i="1"/>
  <c r="X66" i="1"/>
  <c r="U67" i="1"/>
  <c r="G67" i="1"/>
  <c r="U68" i="1"/>
  <c r="J68" i="1"/>
  <c r="M68" i="1"/>
  <c r="AC68" i="1"/>
  <c r="J69" i="1"/>
  <c r="G69" i="1"/>
  <c r="M70" i="1"/>
  <c r="AI69" i="1"/>
  <c r="Q70" i="1"/>
  <c r="J71" i="1"/>
  <c r="T72" i="1"/>
  <c r="Q72" i="1"/>
  <c r="X73" i="1"/>
  <c r="K78" i="1"/>
  <c r="I81" i="1"/>
  <c r="T86" i="1"/>
  <c r="L94" i="1"/>
  <c r="V38" i="1"/>
  <c r="X40" i="1"/>
  <c r="AC42" i="1"/>
  <c r="Q66" i="1"/>
  <c r="AK68" i="1"/>
  <c r="G68" i="1"/>
  <c r="Y76" i="1"/>
  <c r="AE45" i="1"/>
  <c r="AD38" i="1"/>
  <c r="L40" i="1"/>
  <c r="K42" i="1"/>
  <c r="AG44" i="1"/>
  <c r="AG45" i="1"/>
  <c r="I45" i="1"/>
  <c r="Q45" i="1"/>
  <c r="U99" i="1"/>
  <c r="AE38" i="1"/>
  <c r="H38" i="1"/>
  <c r="AG42" i="1"/>
  <c r="AI42" i="1"/>
  <c r="U43" i="1"/>
  <c r="O44" i="1"/>
  <c r="Z44" i="1"/>
  <c r="Q44" i="1"/>
  <c r="Z65" i="1"/>
  <c r="AI65" i="1"/>
  <c r="M67" i="1"/>
  <c r="O67" i="1"/>
  <c r="W67" i="1"/>
  <c r="Y68" i="1"/>
  <c r="R68" i="1"/>
  <c r="N68" i="1"/>
  <c r="T69" i="1"/>
  <c r="AJ68" i="1"/>
  <c r="R70" i="1"/>
  <c r="P72" i="1"/>
  <c r="Q73" i="1"/>
  <c r="V75" i="1"/>
  <c r="AD76" i="1"/>
  <c r="J78" i="1"/>
  <c r="AI86" i="1"/>
  <c r="G96" i="1"/>
  <c r="V45" i="1"/>
  <c r="H39" i="1"/>
  <c r="V41" i="1"/>
  <c r="Z43" i="1"/>
  <c r="AI67" i="1"/>
  <c r="Z73" i="1"/>
  <c r="L42" i="1"/>
  <c r="I66" i="1"/>
  <c r="AA69" i="1"/>
  <c r="U45" i="1"/>
  <c r="W39" i="1"/>
  <c r="K40" i="1"/>
  <c r="S41" i="1"/>
  <c r="AH44" i="1"/>
  <c r="AC38" i="1"/>
  <c r="AI44" i="1"/>
  <c r="U38" i="1"/>
  <c r="Z38" i="1"/>
  <c r="AA38" i="1"/>
  <c r="X38" i="1"/>
  <c r="J38" i="1"/>
  <c r="V39" i="1"/>
  <c r="AA39" i="1"/>
  <c r="J39" i="1"/>
  <c r="AB39" i="1"/>
  <c r="L39" i="1"/>
  <c r="AH40" i="1"/>
  <c r="T40" i="1"/>
  <c r="I40" i="1"/>
  <c r="AD40" i="1"/>
  <c r="AF40" i="1"/>
  <c r="M40" i="1"/>
  <c r="AD41" i="1"/>
  <c r="Y41" i="1"/>
  <c r="U41" i="1"/>
  <c r="M41" i="1"/>
  <c r="W41" i="1"/>
  <c r="S42" i="1"/>
  <c r="F42" i="1"/>
  <c r="Y42" i="1"/>
  <c r="R42" i="1"/>
  <c r="Q42" i="1"/>
  <c r="AG43" i="1"/>
  <c r="P43" i="1"/>
  <c r="S43" i="1"/>
  <c r="AJ43" i="1"/>
  <c r="L44" i="1"/>
  <c r="T66" i="1"/>
  <c r="O66" i="1"/>
  <c r="Y66" i="1"/>
  <c r="P67" i="1"/>
  <c r="AB66" i="1"/>
  <c r="N67" i="1"/>
  <c r="X68" i="1"/>
  <c r="Q68" i="1"/>
  <c r="H69" i="1"/>
  <c r="AF69" i="1"/>
  <c r="Z70" i="1"/>
  <c r="AG70" i="1"/>
  <c r="S74" i="1"/>
  <c r="AK74" i="1"/>
  <c r="AC76" i="1"/>
  <c r="AD77" i="1"/>
  <c r="AJ80" i="1"/>
  <c r="G87" i="1"/>
  <c r="Z96" i="1"/>
  <c r="L38" i="1"/>
  <c r="AD39" i="1"/>
  <c r="G41" i="1"/>
  <c r="F66" i="1"/>
  <c r="AA78" i="1"/>
  <c r="X67" i="1"/>
  <c r="J70" i="1"/>
  <c r="F38" i="1"/>
  <c r="AG39" i="1"/>
  <c r="AD42" i="1"/>
  <c r="Q38" i="1"/>
  <c r="AJ44" i="1"/>
  <c r="X43" i="1"/>
  <c r="R43" i="1"/>
  <c r="Y44" i="1"/>
  <c r="N44" i="1"/>
  <c r="X44" i="1"/>
  <c r="U66" i="1"/>
  <c r="S66" i="1"/>
  <c r="R66" i="1"/>
  <c r="AC66" i="1"/>
  <c r="AG66" i="1"/>
  <c r="H68" i="1"/>
  <c r="P68" i="1"/>
  <c r="AH67" i="1"/>
  <c r="Z68" i="1"/>
  <c r="X69" i="1"/>
  <c r="U69" i="1"/>
  <c r="S70" i="1"/>
  <c r="I70" i="1"/>
  <c r="AE70" i="1"/>
  <c r="AB70" i="1"/>
  <c r="AF71" i="1"/>
  <c r="H73" i="1"/>
  <c r="AG74" i="1"/>
  <c r="K77" i="1"/>
  <c r="R79" i="1"/>
  <c r="AE87" i="1"/>
  <c r="AG100" i="1"/>
  <c r="AK44" i="1"/>
  <c r="R38" i="1"/>
  <c r="AE40" i="1"/>
  <c r="I41" i="1"/>
  <c r="M44" i="1"/>
  <c r="AA66" i="1"/>
  <c r="AI68" i="1"/>
  <c r="AA71" i="1"/>
  <c r="AA43" i="1"/>
  <c r="AG67" i="1"/>
  <c r="Y77" i="1"/>
  <c r="AH38" i="1"/>
  <c r="Z41" i="1"/>
  <c r="V42" i="1"/>
  <c r="W45" i="1"/>
  <c r="T45" i="1"/>
  <c r="R45" i="1"/>
  <c r="O45" i="1"/>
  <c r="Y45" i="1"/>
  <c r="AB45" i="1"/>
  <c r="P38" i="1"/>
  <c r="K38" i="1"/>
  <c r="N38" i="1"/>
  <c r="AG38" i="1"/>
  <c r="O38" i="1"/>
  <c r="N39" i="1"/>
  <c r="AC39" i="1"/>
  <c r="AI38" i="1"/>
  <c r="AE39" i="1"/>
  <c r="O39" i="1"/>
  <c r="H40" i="1"/>
  <c r="V40" i="1"/>
  <c r="Z40" i="1"/>
  <c r="W40" i="1"/>
  <c r="AI39" i="1"/>
  <c r="O40" i="1"/>
  <c r="AG41" i="1"/>
  <c r="AC41" i="1"/>
  <c r="AA41" i="1"/>
  <c r="AK40" i="1"/>
  <c r="L41" i="1"/>
  <c r="T42" i="1"/>
  <c r="I42" i="1"/>
  <c r="Z42" i="1"/>
  <c r="J42" i="1"/>
  <c r="AH42" i="1"/>
  <c r="AJ42" i="1"/>
  <c r="J43" i="1"/>
  <c r="AC43" i="1"/>
  <c r="V44" i="1"/>
  <c r="F44" i="1"/>
  <c r="AA44" i="1"/>
  <c r="H66" i="1"/>
  <c r="AH65" i="1"/>
  <c r="AJ66" i="1"/>
  <c r="L67" i="1"/>
  <c r="AK66" i="1"/>
  <c r="AC67" i="1"/>
  <c r="Z67" i="1"/>
  <c r="AE68" i="1"/>
  <c r="AF68" i="1"/>
  <c r="I69" i="1"/>
  <c r="W70" i="1"/>
  <c r="AG69" i="1"/>
  <c r="AF70" i="1"/>
  <c r="AK70" i="1"/>
  <c r="AC71" i="1"/>
  <c r="F73" i="1"/>
  <c r="X74" i="1"/>
  <c r="AI78" i="1"/>
  <c r="AJ98" i="1"/>
  <c r="P102" i="1"/>
  <c r="K74" i="1"/>
  <c r="S75" i="1"/>
  <c r="R75" i="1"/>
  <c r="F75" i="1"/>
  <c r="H76" i="1"/>
  <c r="J76" i="1"/>
  <c r="AB75" i="1"/>
  <c r="AE75" i="1"/>
  <c r="AB76" i="1"/>
  <c r="M77" i="1"/>
  <c r="AF76" i="1"/>
  <c r="W78" i="1"/>
  <c r="R78" i="1"/>
  <c r="T79" i="1"/>
  <c r="F79" i="1"/>
  <c r="G82" i="1"/>
  <c r="W82" i="1"/>
  <c r="V85" i="1"/>
  <c r="K92" i="1"/>
  <c r="U97" i="1"/>
  <c r="R102" i="1"/>
  <c r="I71" i="1"/>
  <c r="L72" i="1"/>
  <c r="K72" i="1"/>
  <c r="Y72" i="1"/>
  <c r="AE71" i="1"/>
  <c r="AD71" i="1"/>
  <c r="AF72" i="1"/>
  <c r="I73" i="1"/>
  <c r="M73" i="1"/>
  <c r="AI72" i="1"/>
  <c r="T73" i="1"/>
  <c r="K73" i="1"/>
  <c r="T74" i="1"/>
  <c r="AA73" i="1"/>
  <c r="V74" i="1"/>
  <c r="AF73" i="1"/>
  <c r="W75" i="1"/>
  <c r="J75" i="1"/>
  <c r="AF75" i="1"/>
  <c r="F76" i="1"/>
  <c r="N77" i="1"/>
  <c r="U78" i="1"/>
  <c r="V78" i="1"/>
  <c r="I79" i="1"/>
  <c r="V79" i="1"/>
  <c r="AB78" i="1"/>
  <c r="G80" i="1"/>
  <c r="O80" i="1"/>
  <c r="M81" i="1"/>
  <c r="AB80" i="1"/>
  <c r="AI98" i="1"/>
  <c r="AJ85" i="1"/>
  <c r="AH86" i="1"/>
  <c r="M88" i="1"/>
  <c r="X88" i="1"/>
  <c r="H91" i="1"/>
  <c r="AF93" i="1"/>
  <c r="AG96" i="1"/>
  <c r="AG101" i="1"/>
  <c r="AK73" i="1"/>
  <c r="AI74" i="1"/>
  <c r="Y75" i="1"/>
  <c r="P75" i="1"/>
  <c r="P76" i="1"/>
  <c r="AG75" i="1"/>
  <c r="Z75" i="1"/>
  <c r="K76" i="1"/>
  <c r="AI76" i="1"/>
  <c r="P77" i="1"/>
  <c r="L77" i="1"/>
  <c r="AF77" i="1"/>
  <c r="Z77" i="1"/>
  <c r="X78" i="1"/>
  <c r="AA82" i="1"/>
  <c r="L86" i="1"/>
  <c r="AD86" i="1"/>
  <c r="Q91" i="1"/>
  <c r="AA102" i="1"/>
  <c r="AD72" i="1"/>
  <c r="AJ72" i="1"/>
  <c r="U73" i="1"/>
  <c r="R73" i="1"/>
  <c r="N74" i="1"/>
  <c r="AG73" i="1"/>
  <c r="F74" i="1"/>
  <c r="Q74" i="1"/>
  <c r="AJ74" i="1"/>
  <c r="T75" i="1"/>
  <c r="AA75" i="1"/>
  <c r="AC75" i="1"/>
  <c r="Q77" i="1"/>
  <c r="AA76" i="1"/>
  <c r="H78" i="1"/>
  <c r="Z78" i="1"/>
  <c r="AE78" i="1"/>
  <c r="AC78" i="1"/>
  <c r="W80" i="1"/>
  <c r="AH79" i="1"/>
  <c r="R81" i="1"/>
  <c r="O81" i="1"/>
  <c r="T99" i="1"/>
  <c r="J82" i="1"/>
  <c r="M85" i="1"/>
  <c r="AC87" i="1"/>
  <c r="T89" i="1"/>
  <c r="G90" i="1"/>
  <c r="AI90" i="1"/>
  <c r="L93" i="1"/>
  <c r="AC94" i="1"/>
  <c r="AC97" i="1"/>
  <c r="AI73" i="1"/>
  <c r="L75" i="1"/>
  <c r="AH74" i="1"/>
  <c r="U75" i="1"/>
  <c r="AI75" i="1"/>
  <c r="M76" i="1"/>
  <c r="T76" i="1"/>
  <c r="R76" i="1"/>
  <c r="AJ76" i="1"/>
  <c r="O77" i="1"/>
  <c r="F78" i="1"/>
  <c r="AE77" i="1"/>
  <c r="Y78" i="1"/>
  <c r="L79" i="1"/>
  <c r="N86" i="1"/>
  <c r="O87" i="1"/>
  <c r="AD88" i="1"/>
  <c r="P90" i="1"/>
  <c r="L95" i="1"/>
  <c r="R98" i="1"/>
  <c r="X102" i="1"/>
  <c r="AH69" i="1"/>
  <c r="L70" i="1"/>
  <c r="K70" i="1"/>
  <c r="AD70" i="1"/>
  <c r="V71" i="1"/>
  <c r="AI70" i="1"/>
  <c r="H71" i="1"/>
  <c r="M71" i="1"/>
  <c r="G71" i="1"/>
  <c r="U72" i="1"/>
  <c r="V72" i="1"/>
  <c r="H72" i="1"/>
  <c r="AJ71" i="1"/>
  <c r="O72" i="1"/>
  <c r="Y73" i="1"/>
  <c r="AC72" i="1"/>
  <c r="N73" i="1"/>
  <c r="P73" i="1"/>
  <c r="V73" i="1"/>
  <c r="I74" i="1"/>
  <c r="AB73" i="1"/>
  <c r="M74" i="1"/>
  <c r="AH73" i="1"/>
  <c r="R74" i="1"/>
  <c r="AJ73" i="1"/>
  <c r="H75" i="1"/>
  <c r="G76" i="1"/>
  <c r="AK75" i="1"/>
  <c r="AK76" i="1"/>
  <c r="S77" i="1"/>
  <c r="AH76" i="1"/>
  <c r="AG77" i="1"/>
  <c r="M79" i="1"/>
  <c r="AK78" i="1"/>
  <c r="K79" i="1"/>
  <c r="Z79" i="1"/>
  <c r="T80" i="1"/>
  <c r="AG80" i="1"/>
  <c r="Z98" i="1"/>
  <c r="S99" i="1"/>
  <c r="S86" i="1"/>
  <c r="T87" i="1"/>
  <c r="AB87" i="1"/>
  <c r="K91" i="1"/>
  <c r="Y94" i="1"/>
  <c r="AB99" i="1"/>
  <c r="K105" i="1"/>
  <c r="K75" i="1"/>
  <c r="AD74" i="1"/>
  <c r="M75" i="1"/>
  <c r="X75" i="1"/>
  <c r="W76" i="1"/>
  <c r="N76" i="1"/>
  <c r="I76" i="1"/>
  <c r="V76" i="1"/>
  <c r="F77" i="1"/>
  <c r="AA77" i="1"/>
  <c r="AK77" i="1"/>
  <c r="AH77" i="1"/>
  <c r="N79" i="1"/>
  <c r="X79" i="1"/>
  <c r="AG78" i="1"/>
  <c r="O82" i="1"/>
  <c r="R85" i="1"/>
  <c r="AK86" i="1"/>
  <c r="R93" i="1"/>
  <c r="AB94" i="1"/>
  <c r="U100" i="1"/>
  <c r="L105" i="1"/>
  <c r="R69" i="1"/>
  <c r="L69" i="1"/>
  <c r="AH68" i="1"/>
  <c r="F69" i="1"/>
  <c r="AD69" i="1"/>
  <c r="X70" i="1"/>
  <c r="Y70" i="1"/>
  <c r="AE69" i="1"/>
  <c r="Z69" i="1"/>
  <c r="P71" i="1"/>
  <c r="L71" i="1"/>
  <c r="AH70" i="1"/>
  <c r="AA70" i="1"/>
  <c r="O71" i="1"/>
  <c r="T71" i="1"/>
  <c r="W72" i="1"/>
  <c r="J72" i="1"/>
  <c r="I72" i="1"/>
  <c r="AK71" i="1"/>
  <c r="AG71" i="1"/>
  <c r="AB72" i="1"/>
  <c r="AE72" i="1"/>
  <c r="O73" i="1"/>
  <c r="J73" i="1"/>
  <c r="AG72" i="1"/>
  <c r="P74" i="1"/>
  <c r="AD73" i="1"/>
  <c r="Y74" i="1"/>
  <c r="AC73" i="1"/>
  <c r="O74" i="1"/>
  <c r="Z74" i="1"/>
  <c r="AF74" i="1"/>
  <c r="S76" i="1"/>
  <c r="L76" i="1"/>
  <c r="I77" i="1"/>
  <c r="T77" i="1"/>
  <c r="AE76" i="1"/>
  <c r="AJ77" i="1"/>
  <c r="AC77" i="1"/>
  <c r="Y79" i="1"/>
  <c r="AC79" i="1"/>
  <c r="AE79" i="1"/>
  <c r="L81" i="1"/>
  <c r="K99" i="1"/>
  <c r="L99" i="1"/>
  <c r="S85" i="1"/>
  <c r="U86" i="1"/>
  <c r="AF87" i="1"/>
  <c r="I89" i="1"/>
  <c r="O90" i="1"/>
  <c r="P91" i="1"/>
  <c r="U93" i="1"/>
  <c r="O96" i="1"/>
  <c r="AH99" i="1"/>
  <c r="Q75" i="1"/>
  <c r="G75" i="1"/>
  <c r="AC74" i="1"/>
  <c r="O75" i="1"/>
  <c r="X76" i="1"/>
  <c r="O76" i="1"/>
  <c r="U76" i="1"/>
  <c r="Z76" i="1"/>
  <c r="J77" i="1"/>
  <c r="G77" i="1"/>
  <c r="S78" i="1"/>
  <c r="I78" i="1"/>
  <c r="AJ78" i="1"/>
  <c r="S79" i="1"/>
  <c r="U85" i="1"/>
  <c r="AH85" i="1"/>
  <c r="V87" i="1"/>
  <c r="AF89" i="1"/>
  <c r="T92" i="1"/>
  <c r="AI93" i="1"/>
  <c r="AJ69" i="1"/>
  <c r="T70" i="1"/>
  <c r="U71" i="1"/>
  <c r="W71" i="1"/>
  <c r="AC70" i="1"/>
  <c r="K71" i="1"/>
  <c r="Q71" i="1"/>
  <c r="G72" i="1"/>
  <c r="AH71" i="1"/>
  <c r="X72" i="1"/>
  <c r="N72" i="1"/>
  <c r="F72" i="1"/>
  <c r="R72" i="1"/>
  <c r="AA72" i="1"/>
  <c r="AH72" i="1"/>
  <c r="Z72" i="1"/>
  <c r="S73" i="1"/>
  <c r="W73" i="1"/>
  <c r="L74" i="1"/>
  <c r="W74" i="1"/>
  <c r="U74" i="1"/>
  <c r="G74" i="1"/>
  <c r="J74" i="1"/>
  <c r="N75" i="1"/>
  <c r="AB74" i="1"/>
  <c r="Q76" i="1"/>
  <c r="AG76" i="1"/>
  <c r="U77" i="1"/>
  <c r="X77" i="1"/>
  <c r="L78" i="1"/>
  <c r="M78" i="1"/>
  <c r="P78" i="1"/>
  <c r="AF78" i="1"/>
  <c r="AI79" i="1"/>
  <c r="AH80" i="1"/>
  <c r="K81" i="1"/>
  <c r="W98" i="1"/>
  <c r="AF98" i="1"/>
  <c r="AF81" i="1"/>
  <c r="P86" i="1"/>
  <c r="W87" i="1"/>
  <c r="AC88" i="1"/>
  <c r="AH89" i="1"/>
  <c r="M96" i="1"/>
  <c r="AB100" i="1"/>
  <c r="AC46" i="1"/>
  <c r="W48" i="1"/>
  <c r="AH98" i="1"/>
  <c r="H82" i="1"/>
  <c r="P82" i="1"/>
  <c r="X81" i="1"/>
  <c r="S82" i="1"/>
  <c r="K82" i="1"/>
  <c r="P85" i="1"/>
  <c r="AK82" i="1"/>
  <c r="G85" i="1"/>
  <c r="O86" i="1"/>
  <c r="AI85" i="1"/>
  <c r="Y85" i="1"/>
  <c r="AC85" i="1"/>
  <c r="W86" i="1"/>
  <c r="AJ86" i="1"/>
  <c r="L87" i="1"/>
  <c r="X86" i="1"/>
  <c r="U88" i="1"/>
  <c r="AK87" i="1"/>
  <c r="H88" i="1"/>
  <c r="R88" i="1"/>
  <c r="G89" i="1"/>
  <c r="AA88" i="1"/>
  <c r="M89" i="1"/>
  <c r="AG88" i="1"/>
  <c r="Z89" i="1"/>
  <c r="R90" i="1"/>
  <c r="AG90" i="1"/>
  <c r="G91" i="1"/>
  <c r="AD91" i="1"/>
  <c r="N92" i="1"/>
  <c r="S93" i="1"/>
  <c r="U94" i="1"/>
  <c r="T95" i="1"/>
  <c r="Q96" i="1"/>
  <c r="AB95" i="1"/>
  <c r="W96" i="1"/>
  <c r="W97" i="1"/>
  <c r="V99" i="1"/>
  <c r="AJ100" i="1"/>
  <c r="W101" i="1"/>
  <c r="W102" i="1"/>
  <c r="Y104" i="1"/>
  <c r="I49" i="1"/>
  <c r="L85" i="1"/>
  <c r="T85" i="1"/>
  <c r="Y82" i="1"/>
  <c r="F86" i="1"/>
  <c r="AB86" i="1"/>
  <c r="K87" i="1"/>
  <c r="AJ89" i="1"/>
  <c r="Z91" i="1"/>
  <c r="Q93" i="1"/>
  <c r="AF92" i="1"/>
  <c r="AA93" i="1"/>
  <c r="Z94" i="1"/>
  <c r="F97" i="1"/>
  <c r="N98" i="1"/>
  <c r="Z100" i="1"/>
  <c r="N105" i="1"/>
  <c r="Q49" i="1"/>
  <c r="K80" i="1"/>
  <c r="H80" i="1"/>
  <c r="I80" i="1"/>
  <c r="Q80" i="1"/>
  <c r="V80" i="1"/>
  <c r="G81" i="1"/>
  <c r="S81" i="1"/>
  <c r="AE80" i="1"/>
  <c r="AF80" i="1"/>
  <c r="AC80" i="1"/>
  <c r="M99" i="1"/>
  <c r="G99" i="1"/>
  <c r="AB98" i="1"/>
  <c r="AD98" i="1"/>
  <c r="V98" i="1"/>
  <c r="AC81" i="1"/>
  <c r="AA81" i="1"/>
  <c r="AI81" i="1"/>
  <c r="AG81" i="1"/>
  <c r="Q82" i="1"/>
  <c r="AD82" i="1"/>
  <c r="Z82" i="1"/>
  <c r="K86" i="1"/>
  <c r="G86" i="1"/>
  <c r="AK85" i="1"/>
  <c r="Y86" i="1"/>
  <c r="M87" i="1"/>
  <c r="V88" i="1"/>
  <c r="AH87" i="1"/>
  <c r="J88" i="1"/>
  <c r="AJ88" i="1"/>
  <c r="Q90" i="1"/>
  <c r="S90" i="1"/>
  <c r="AB89" i="1"/>
  <c r="I92" i="1"/>
  <c r="S92" i="1"/>
  <c r="AE91" i="1"/>
  <c r="O94" i="1"/>
  <c r="W93" i="1"/>
  <c r="AI94" i="1"/>
  <c r="R96" i="1"/>
  <c r="K97" i="1"/>
  <c r="AA96" i="1"/>
  <c r="H98" i="1"/>
  <c r="AI99" i="1"/>
  <c r="AK100" i="1"/>
  <c r="Z101" i="1"/>
  <c r="O50" i="1"/>
  <c r="N82" i="1"/>
  <c r="AJ82" i="1"/>
  <c r="AF82" i="1"/>
  <c r="AI82" i="1"/>
  <c r="Q86" i="1"/>
  <c r="AA85" i="1"/>
  <c r="AB85" i="1"/>
  <c r="AG85" i="1"/>
  <c r="F87" i="1"/>
  <c r="AE86" i="1"/>
  <c r="R87" i="1"/>
  <c r="N87" i="1"/>
  <c r="AG87" i="1"/>
  <c r="F88" i="1"/>
  <c r="L88" i="1"/>
  <c r="S88" i="1"/>
  <c r="P89" i="1"/>
  <c r="N89" i="1"/>
  <c r="R89" i="1"/>
  <c r="X89" i="1"/>
  <c r="Y89" i="1"/>
  <c r="V90" i="1"/>
  <c r="I91" i="1"/>
  <c r="N91" i="1"/>
  <c r="AK91" i="1"/>
  <c r="AG92" i="1"/>
  <c r="V93" i="1"/>
  <c r="Q95" i="1"/>
  <c r="J96" i="1"/>
  <c r="AF96" i="1"/>
  <c r="J98" i="1"/>
  <c r="Q98" i="1"/>
  <c r="Z99" i="1"/>
  <c r="W100" i="1"/>
  <c r="F102" i="1"/>
  <c r="AG102" i="1"/>
  <c r="Z105" i="1"/>
  <c r="AA51" i="1"/>
  <c r="O79" i="1"/>
  <c r="AG79" i="1"/>
  <c r="U80" i="1"/>
  <c r="X80" i="1"/>
  <c r="AB79" i="1"/>
  <c r="R80" i="1"/>
  <c r="AI80" i="1"/>
  <c r="W81" i="1"/>
  <c r="AD80" i="1"/>
  <c r="H81" i="1"/>
  <c r="N81" i="1"/>
  <c r="H99" i="1"/>
  <c r="AK98" i="1"/>
  <c r="Q99" i="1"/>
  <c r="O99" i="1"/>
  <c r="Y98" i="1"/>
  <c r="AG98" i="1"/>
  <c r="U82" i="1"/>
  <c r="AE81" i="1"/>
  <c r="Y81" i="1"/>
  <c r="M82" i="1"/>
  <c r="AC82" i="1"/>
  <c r="AE82" i="1"/>
  <c r="X85" i="1"/>
  <c r="H86" i="1"/>
  <c r="AG86" i="1"/>
  <c r="G88" i="1"/>
  <c r="AI87" i="1"/>
  <c r="T88" i="1"/>
  <c r="V89" i="1"/>
  <c r="AE88" i="1"/>
  <c r="Y88" i="1"/>
  <c r="AA89" i="1"/>
  <c r="AK89" i="1"/>
  <c r="J90" i="1"/>
  <c r="U91" i="1"/>
  <c r="W90" i="1"/>
  <c r="AB91" i="1"/>
  <c r="AF91" i="1"/>
  <c r="AH92" i="1"/>
  <c r="T94" i="1"/>
  <c r="Z93" i="1"/>
  <c r="R95" i="1"/>
  <c r="T96" i="1"/>
  <c r="AI96" i="1"/>
  <c r="S98" i="1"/>
  <c r="M100" i="1"/>
  <c r="AJ99" i="1"/>
  <c r="AI100" i="1"/>
  <c r="X101" i="1"/>
  <c r="AB102" i="1"/>
  <c r="AD50" i="1"/>
  <c r="Z81" i="1"/>
  <c r="Q85" i="1"/>
  <c r="AG82" i="1"/>
  <c r="J86" i="1"/>
  <c r="M86" i="1"/>
  <c r="J87" i="1"/>
  <c r="S87" i="1"/>
  <c r="AF86" i="1"/>
  <c r="AA87" i="1"/>
  <c r="O91" i="1"/>
  <c r="X91" i="1"/>
  <c r="J93" i="1"/>
  <c r="I93" i="1"/>
  <c r="AC93" i="1"/>
  <c r="F96" i="1"/>
  <c r="AJ97" i="1"/>
  <c r="AF99" i="1"/>
  <c r="W46" i="1"/>
  <c r="H53" i="1"/>
  <c r="H79" i="1"/>
  <c r="AH78" i="1"/>
  <c r="P79" i="1"/>
  <c r="J80" i="1"/>
  <c r="F80" i="1"/>
  <c r="P80" i="1"/>
  <c r="AK79" i="1"/>
  <c r="L80" i="1"/>
  <c r="AA80" i="1"/>
  <c r="Z80" i="1"/>
  <c r="F81" i="1"/>
  <c r="P81" i="1"/>
  <c r="T81" i="1"/>
  <c r="AC98" i="1"/>
  <c r="U98" i="1"/>
  <c r="R99" i="1"/>
  <c r="J99" i="1"/>
  <c r="AA98" i="1"/>
  <c r="F99" i="1"/>
  <c r="AK81" i="1"/>
  <c r="AJ81" i="1"/>
  <c r="I82" i="1"/>
  <c r="V82" i="1"/>
  <c r="AD81" i="1"/>
  <c r="F85" i="1"/>
  <c r="H85" i="1"/>
  <c r="AB82" i="1"/>
  <c r="J85" i="1"/>
  <c r="AE85" i="1"/>
  <c r="Z85" i="1"/>
  <c r="V86" i="1"/>
  <c r="AF85" i="1"/>
  <c r="I87" i="1"/>
  <c r="AA86" i="1"/>
  <c r="Z86" i="1"/>
  <c r="P87" i="1"/>
  <c r="Q88" i="1"/>
  <c r="N88" i="1"/>
  <c r="AB88" i="1"/>
  <c r="H89" i="1"/>
  <c r="AE89" i="1"/>
  <c r="AG89" i="1"/>
  <c r="Y90" i="1"/>
  <c r="F91" i="1"/>
  <c r="AJ91" i="1"/>
  <c r="H93" i="1"/>
  <c r="V94" i="1"/>
  <c r="J94" i="1"/>
  <c r="K95" i="1"/>
  <c r="V96" i="1"/>
  <c r="M97" i="1"/>
  <c r="AK97" i="1"/>
  <c r="N100" i="1"/>
  <c r="AA99" i="1"/>
  <c r="J101" i="1"/>
  <c r="AA101" i="1"/>
  <c r="L104" i="1"/>
  <c r="L46" i="1"/>
  <c r="AG52" i="1"/>
  <c r="K85" i="1"/>
  <c r="AD85" i="1"/>
  <c r="U87" i="1"/>
  <c r="Z87" i="1"/>
  <c r="Y87" i="1"/>
  <c r="O88" i="1"/>
  <c r="L89" i="1"/>
  <c r="AI88" i="1"/>
  <c r="AK88" i="1"/>
  <c r="AH88" i="1"/>
  <c r="K90" i="1"/>
  <c r="F90" i="1"/>
  <c r="AI89" i="1"/>
  <c r="P92" i="1"/>
  <c r="J92" i="1"/>
  <c r="M93" i="1"/>
  <c r="M94" i="1"/>
  <c r="AK93" i="1"/>
  <c r="F95" i="1"/>
  <c r="X95" i="1"/>
  <c r="AJ96" i="1"/>
  <c r="AF97" i="1"/>
  <c r="L100" i="1"/>
  <c r="AE100" i="1"/>
  <c r="X100" i="1"/>
  <c r="O102" i="1"/>
  <c r="AI103" i="1"/>
  <c r="R77" i="1"/>
  <c r="V77" i="1"/>
  <c r="W77" i="1"/>
  <c r="O78" i="1"/>
  <c r="G78" i="1"/>
  <c r="AI77" i="1"/>
  <c r="T78" i="1"/>
  <c r="Q78" i="1"/>
  <c r="U79" i="1"/>
  <c r="Q79" i="1"/>
  <c r="W79" i="1"/>
  <c r="AD78" i="1"/>
  <c r="J79" i="1"/>
  <c r="G79" i="1"/>
  <c r="AD79" i="1"/>
  <c r="N80" i="1"/>
  <c r="Y80" i="1"/>
  <c r="M80" i="1"/>
  <c r="S80" i="1"/>
  <c r="Q81" i="1"/>
  <c r="AK80" i="1"/>
  <c r="J81" i="1"/>
  <c r="U81" i="1"/>
  <c r="V81" i="1"/>
  <c r="I99" i="1"/>
  <c r="N99" i="1"/>
  <c r="P99" i="1"/>
  <c r="X98" i="1"/>
  <c r="AE98" i="1"/>
  <c r="AB81" i="1"/>
  <c r="T82" i="1"/>
  <c r="F82" i="1"/>
  <c r="L82" i="1"/>
  <c r="R82" i="1"/>
  <c r="AH81" i="1"/>
  <c r="N85" i="1"/>
  <c r="AH82" i="1"/>
  <c r="I85" i="1"/>
  <c r="R86" i="1"/>
  <c r="W85" i="1"/>
  <c r="I86" i="1"/>
  <c r="AC86" i="1"/>
  <c r="H87" i="1"/>
  <c r="Q87" i="1"/>
  <c r="AJ87" i="1"/>
  <c r="P88" i="1"/>
  <c r="S89" i="1"/>
  <c r="Z88" i="1"/>
  <c r="K89" i="1"/>
  <c r="O89" i="1"/>
  <c r="L90" i="1"/>
  <c r="AD89" i="1"/>
  <c r="T91" i="1"/>
  <c r="AJ90" i="1"/>
  <c r="AI92" i="1"/>
  <c r="AJ92" i="1"/>
  <c r="AD93" i="1"/>
  <c r="P95" i="1"/>
  <c r="AF94" i="1"/>
  <c r="AE95" i="1"/>
  <c r="AH96" i="1"/>
  <c r="AA97" i="1"/>
  <c r="Y99" i="1"/>
  <c r="H101" i="1"/>
  <c r="AJ101" i="1"/>
  <c r="X65" i="1"/>
  <c r="J56" i="1"/>
  <c r="W94" i="1"/>
  <c r="U95" i="1"/>
  <c r="H96" i="1"/>
  <c r="L96" i="1"/>
  <c r="G97" i="1"/>
  <c r="V97" i="1"/>
  <c r="F98" i="1"/>
  <c r="J100" i="1"/>
  <c r="G100" i="1"/>
  <c r="AA100" i="1"/>
  <c r="I101" i="1"/>
  <c r="N102" i="1"/>
  <c r="Y101" i="1"/>
  <c r="AI101" i="1"/>
  <c r="G103" i="1"/>
  <c r="S103" i="1"/>
  <c r="T47" i="1"/>
  <c r="AC48" i="1"/>
  <c r="O51" i="1"/>
  <c r="AJ52" i="1"/>
  <c r="AH55" i="1"/>
  <c r="I90" i="1"/>
  <c r="U90" i="1"/>
  <c r="H90" i="1"/>
  <c r="AK90" i="1"/>
  <c r="L91" i="1"/>
  <c r="X90" i="1"/>
  <c r="AB90" i="1"/>
  <c r="M91" i="1"/>
  <c r="W91" i="1"/>
  <c r="Q92" i="1"/>
  <c r="U92" i="1"/>
  <c r="AC91" i="1"/>
  <c r="AI91" i="1"/>
  <c r="Z92" i="1"/>
  <c r="AB92" i="1"/>
  <c r="AA92" i="1"/>
  <c r="AC92" i="1"/>
  <c r="W92" i="1"/>
  <c r="X92" i="1"/>
  <c r="X93" i="1"/>
  <c r="S94" i="1"/>
  <c r="N94" i="1"/>
  <c r="K94" i="1"/>
  <c r="AG93" i="1"/>
  <c r="AA94" i="1"/>
  <c r="J95" i="1"/>
  <c r="AJ94" i="1"/>
  <c r="V95" i="1"/>
  <c r="S96" i="1"/>
  <c r="Y95" i="1"/>
  <c r="K96" i="1"/>
  <c r="L97" i="1"/>
  <c r="X96" i="1"/>
  <c r="I97" i="1"/>
  <c r="H97" i="1"/>
  <c r="K98" i="1"/>
  <c r="AG97" i="1"/>
  <c r="I98" i="1"/>
  <c r="O100" i="1"/>
  <c r="T100" i="1"/>
  <c r="AE99" i="1"/>
  <c r="K100" i="1"/>
  <c r="AC100" i="1"/>
  <c r="R101" i="1"/>
  <c r="L101" i="1"/>
  <c r="S102" i="1"/>
  <c r="AB101" i="1"/>
  <c r="AF102" i="1"/>
  <c r="F103" i="1"/>
  <c r="O46" i="1"/>
  <c r="AF46" i="1"/>
  <c r="N51" i="1"/>
  <c r="N95" i="1"/>
  <c r="AJ95" i="1"/>
  <c r="W95" i="1"/>
  <c r="N97" i="1"/>
  <c r="Y96" i="1"/>
  <c r="L98" i="1"/>
  <c r="M98" i="1"/>
  <c r="AD99" i="1"/>
  <c r="P101" i="1"/>
  <c r="AD100" i="1"/>
  <c r="AE101" i="1"/>
  <c r="J102" i="1"/>
  <c r="V105" i="1"/>
  <c r="I47" i="1"/>
  <c r="AF48" i="1"/>
  <c r="P51" i="1"/>
  <c r="U54" i="1"/>
  <c r="O57" i="1"/>
  <c r="V91" i="1"/>
  <c r="AF90" i="1"/>
  <c r="AC90" i="1"/>
  <c r="Z90" i="1"/>
  <c r="AA91" i="1"/>
  <c r="R92" i="1"/>
  <c r="L92" i="1"/>
  <c r="AH91" i="1"/>
  <c r="Y91" i="1"/>
  <c r="Y92" i="1"/>
  <c r="AK92" i="1"/>
  <c r="AE92" i="1"/>
  <c r="N93" i="1"/>
  <c r="AD92" i="1"/>
  <c r="K93" i="1"/>
  <c r="H94" i="1"/>
  <c r="Q94" i="1"/>
  <c r="I94" i="1"/>
  <c r="P94" i="1"/>
  <c r="G94" i="1"/>
  <c r="AD94" i="1"/>
  <c r="AK94" i="1"/>
  <c r="AF95" i="1"/>
  <c r="AI95" i="1"/>
  <c r="Q97" i="1"/>
  <c r="AC96" i="1"/>
  <c r="O98" i="1"/>
  <c r="Q100" i="1"/>
  <c r="I100" i="1"/>
  <c r="Q101" i="1"/>
  <c r="O101" i="1"/>
  <c r="U102" i="1"/>
  <c r="AF101" i="1"/>
  <c r="K102" i="1"/>
  <c r="H103" i="1"/>
  <c r="U103" i="1"/>
  <c r="Q104" i="1"/>
  <c r="AJ103" i="1"/>
  <c r="U105" i="1"/>
  <c r="J105" i="1"/>
  <c r="N65" i="1"/>
  <c r="K47" i="1"/>
  <c r="AD48" i="1"/>
  <c r="L54" i="1"/>
  <c r="X94" i="1"/>
  <c r="O95" i="1"/>
  <c r="AG94" i="1"/>
  <c r="N96" i="1"/>
  <c r="AC95" i="1"/>
  <c r="AG95" i="1"/>
  <c r="AD95" i="1"/>
  <c r="O97" i="1"/>
  <c r="AB96" i="1"/>
  <c r="AE96" i="1"/>
  <c r="Y97" i="1"/>
  <c r="AD97" i="1"/>
  <c r="X97" i="1"/>
  <c r="P98" i="1"/>
  <c r="R100" i="1"/>
  <c r="AC99" i="1"/>
  <c r="W99" i="1"/>
  <c r="F101" i="1"/>
  <c r="S101" i="1"/>
  <c r="AF100" i="1"/>
  <c r="AH100" i="1"/>
  <c r="L102" i="1"/>
  <c r="AE102" i="1"/>
  <c r="AC102" i="1"/>
  <c r="S104" i="1"/>
  <c r="J104" i="1"/>
  <c r="AF104" i="1"/>
  <c r="AE104" i="1"/>
  <c r="Q65" i="1"/>
  <c r="AI49" i="1"/>
  <c r="AF51" i="1"/>
  <c r="M54" i="1"/>
  <c r="K57" i="1"/>
  <c r="R52" i="1"/>
  <c r="AH94" i="1"/>
  <c r="AE94" i="1"/>
  <c r="P96" i="1"/>
  <c r="I96" i="1"/>
  <c r="T97" i="1"/>
  <c r="Z97" i="1"/>
  <c r="AE97" i="1"/>
  <c r="P100" i="1"/>
  <c r="F100" i="1"/>
  <c r="T101" i="1"/>
  <c r="M101" i="1"/>
  <c r="G102" i="1"/>
  <c r="L65" i="1"/>
  <c r="AD47" i="1"/>
  <c r="I52" i="1"/>
  <c r="S55" i="1"/>
  <c r="AK57" i="1"/>
  <c r="AD87" i="1"/>
  <c r="K88" i="1"/>
  <c r="X87" i="1"/>
  <c r="I88" i="1"/>
  <c r="U89" i="1"/>
  <c r="W88" i="1"/>
  <c r="F89" i="1"/>
  <c r="Q89" i="1"/>
  <c r="J89" i="1"/>
  <c r="AC89" i="1"/>
  <c r="N90" i="1"/>
  <c r="M90" i="1"/>
  <c r="T90" i="1"/>
  <c r="W89" i="1"/>
  <c r="J91" i="1"/>
  <c r="AE90" i="1"/>
  <c r="AA90" i="1"/>
  <c r="AD90" i="1"/>
  <c r="AH90" i="1"/>
  <c r="R91" i="1"/>
  <c r="H92" i="1"/>
  <c r="AG91" i="1"/>
  <c r="V92" i="1"/>
  <c r="F92" i="1"/>
  <c r="O92" i="1"/>
  <c r="F93" i="1"/>
  <c r="P93" i="1"/>
  <c r="G93" i="1"/>
  <c r="O93" i="1"/>
  <c r="T93" i="1"/>
  <c r="Y93" i="1"/>
  <c r="AB93" i="1"/>
  <c r="F94" i="1"/>
  <c r="AE93" i="1"/>
  <c r="AH93" i="1"/>
  <c r="R94" i="1"/>
  <c r="G95" i="1"/>
  <c r="AK95" i="1"/>
  <c r="Z95" i="1"/>
  <c r="P97" i="1"/>
  <c r="J97" i="1"/>
  <c r="AI97" i="1"/>
  <c r="AH97" i="1"/>
  <c r="AG99" i="1"/>
  <c r="G101" i="1"/>
  <c r="K101" i="1"/>
  <c r="M102" i="1"/>
  <c r="V101" i="1"/>
  <c r="H102" i="1"/>
  <c r="Z102" i="1"/>
  <c r="K103" i="1"/>
  <c r="V103" i="1"/>
  <c r="I104" i="1"/>
  <c r="AC104" i="1"/>
  <c r="G105" i="1"/>
  <c r="AF64" i="1"/>
  <c r="AG47" i="1"/>
  <c r="G50" i="1"/>
  <c r="AI51" i="1"/>
  <c r="R103" i="1"/>
  <c r="AE103" i="1"/>
  <c r="H104" i="1"/>
  <c r="AG104" i="1"/>
  <c r="AD105" i="1"/>
  <c r="G46" i="1"/>
  <c r="P65" i="1"/>
  <c r="M48" i="1"/>
  <c r="X50" i="1"/>
  <c r="AD54" i="1"/>
  <c r="I95" i="1"/>
  <c r="H95" i="1"/>
  <c r="M95" i="1"/>
  <c r="S95" i="1"/>
  <c r="AH95" i="1"/>
  <c r="U96" i="1"/>
  <c r="AA95" i="1"/>
  <c r="AK96" i="1"/>
  <c r="R97" i="1"/>
  <c r="S97" i="1"/>
  <c r="AD96" i="1"/>
  <c r="T98" i="1"/>
  <c r="AB97" i="1"/>
  <c r="G98" i="1"/>
  <c r="AK99" i="1"/>
  <c r="S100" i="1"/>
  <c r="X99" i="1"/>
  <c r="H100" i="1"/>
  <c r="V100" i="1"/>
  <c r="U101" i="1"/>
  <c r="Y100" i="1"/>
  <c r="AH101" i="1"/>
  <c r="AC101" i="1"/>
  <c r="Q103" i="1"/>
  <c r="W65" i="1"/>
  <c r="O48" i="1"/>
  <c r="M50" i="1"/>
  <c r="W52" i="1"/>
  <c r="M103" i="1"/>
  <c r="I103" i="1"/>
  <c r="P104" i="1"/>
  <c r="AC103" i="1"/>
  <c r="Y103" i="1"/>
  <c r="G104" i="1"/>
  <c r="AH103" i="1"/>
  <c r="AB104" i="1"/>
  <c r="T105" i="1"/>
  <c r="AI104" i="1"/>
  <c r="AD104" i="1"/>
  <c r="S105" i="1"/>
  <c r="AH104" i="1"/>
  <c r="AE105" i="1"/>
  <c r="Y105" i="1"/>
  <c r="AA46" i="1"/>
  <c r="F46" i="1"/>
  <c r="J46" i="1"/>
  <c r="U46" i="1"/>
  <c r="Z46" i="1"/>
  <c r="M65" i="1"/>
  <c r="AD64" i="1"/>
  <c r="AG46" i="1"/>
  <c r="V47" i="1"/>
  <c r="AI46" i="1"/>
  <c r="Q48" i="1"/>
  <c r="AJ47" i="1"/>
  <c r="Z48" i="1"/>
  <c r="M49" i="1"/>
  <c r="AE48" i="1"/>
  <c r="F50" i="1"/>
  <c r="P50" i="1"/>
  <c r="W50" i="1"/>
  <c r="F51" i="1"/>
  <c r="L51" i="1"/>
  <c r="K52" i="1"/>
  <c r="AK51" i="1"/>
  <c r="AB51" i="1"/>
  <c r="R53" i="1"/>
  <c r="AE52" i="1"/>
  <c r="N54" i="1"/>
  <c r="X55" i="1"/>
  <c r="AK54" i="1"/>
  <c r="V56" i="1"/>
  <c r="G56" i="1"/>
  <c r="I57" i="1"/>
  <c r="L57" i="1"/>
  <c r="V58" i="1"/>
  <c r="Z64" i="1"/>
  <c r="AE64" i="1"/>
  <c r="S47" i="1"/>
  <c r="AE46" i="1"/>
  <c r="H47" i="1"/>
  <c r="M47" i="1"/>
  <c r="Y48" i="1"/>
  <c r="AH47" i="1"/>
  <c r="N49" i="1"/>
  <c r="R49" i="1"/>
  <c r="W49" i="1"/>
  <c r="Q50" i="1"/>
  <c r="T50" i="1"/>
  <c r="AF50" i="1"/>
  <c r="R51" i="1"/>
  <c r="W51" i="1"/>
  <c r="G52" i="1"/>
  <c r="AE51" i="1"/>
  <c r="Y52" i="1"/>
  <c r="AF52" i="1"/>
  <c r="I53" i="1"/>
  <c r="P54" i="1"/>
  <c r="AC53" i="1"/>
  <c r="AI54" i="1"/>
  <c r="V55" i="1"/>
  <c r="AK55" i="1"/>
  <c r="U56" i="1"/>
  <c r="AJ56" i="1"/>
  <c r="AI57" i="1"/>
  <c r="F58" i="1"/>
  <c r="AF105" i="1"/>
  <c r="X105" i="1"/>
  <c r="X46" i="1"/>
  <c r="AI45" i="1"/>
  <c r="M46" i="1"/>
  <c r="S46" i="1"/>
  <c r="R65" i="1"/>
  <c r="AI64" i="1"/>
  <c r="S65" i="1"/>
  <c r="W47" i="1"/>
  <c r="U47" i="1"/>
  <c r="I48" i="1"/>
  <c r="L48" i="1"/>
  <c r="AF47" i="1"/>
  <c r="P48" i="1"/>
  <c r="K49" i="1"/>
  <c r="X49" i="1"/>
  <c r="H50" i="1"/>
  <c r="AF49" i="1"/>
  <c r="Y50" i="1"/>
  <c r="AI50" i="1"/>
  <c r="H51" i="1"/>
  <c r="X51" i="1"/>
  <c r="O52" i="1"/>
  <c r="U52" i="1"/>
  <c r="S53" i="1"/>
  <c r="V54" i="1"/>
  <c r="O54" i="1"/>
  <c r="L55" i="1"/>
  <c r="O55" i="1"/>
  <c r="O56" i="1"/>
  <c r="AB56" i="1"/>
  <c r="S57" i="1"/>
  <c r="R58" i="1"/>
  <c r="AG57" i="1"/>
  <c r="AC64" i="1"/>
  <c r="Y65" i="1"/>
  <c r="AJ46" i="1"/>
  <c r="R47" i="1"/>
  <c r="AK46" i="1"/>
  <c r="S48" i="1"/>
  <c r="AA48" i="1"/>
  <c r="N48" i="1"/>
  <c r="AJ48" i="1"/>
  <c r="S49" i="1"/>
  <c r="F49" i="1"/>
  <c r="N50" i="1"/>
  <c r="R50" i="1"/>
  <c r="AD49" i="1"/>
  <c r="U51" i="1"/>
  <c r="AJ50" i="1"/>
  <c r="AJ51" i="1"/>
  <c r="AH51" i="1"/>
  <c r="AG51" i="1"/>
  <c r="G53" i="1"/>
  <c r="N53" i="1"/>
  <c r="R54" i="1"/>
  <c r="T55" i="1"/>
  <c r="AH54" i="1"/>
  <c r="Y56" i="1"/>
  <c r="AG56" i="1"/>
  <c r="G57" i="1"/>
  <c r="Y58" i="1"/>
  <c r="J103" i="1"/>
  <c r="V102" i="1"/>
  <c r="O103" i="1"/>
  <c r="T104" i="1"/>
  <c r="M104" i="1"/>
  <c r="R104" i="1"/>
  <c r="X103" i="1"/>
  <c r="AA103" i="1"/>
  <c r="M105" i="1"/>
  <c r="AJ104" i="1"/>
  <c r="AK104" i="1"/>
  <c r="O105" i="1"/>
  <c r="X104" i="1"/>
  <c r="AK105" i="1"/>
  <c r="AG105" i="1"/>
  <c r="AC105" i="1"/>
  <c r="Y46" i="1"/>
  <c r="K46" i="1"/>
  <c r="N46" i="1"/>
  <c r="T46" i="1"/>
  <c r="K65" i="1"/>
  <c r="AB64" i="1"/>
  <c r="O65" i="1"/>
  <c r="L47" i="1"/>
  <c r="X47" i="1"/>
  <c r="N47" i="1"/>
  <c r="T48" i="1"/>
  <c r="R48" i="1"/>
  <c r="H49" i="1"/>
  <c r="AK48" i="1"/>
  <c r="Z49" i="1"/>
  <c r="AI48" i="1"/>
  <c r="AB49" i="1"/>
  <c r="Z50" i="1"/>
  <c r="K51" i="1"/>
  <c r="AH50" i="1"/>
  <c r="V51" i="1"/>
  <c r="X52" i="1"/>
  <c r="L53" i="1"/>
  <c r="X53" i="1"/>
  <c r="W54" i="1"/>
  <c r="Q58" i="1"/>
  <c r="H65" i="1"/>
  <c r="AG64" i="1"/>
  <c r="G65" i="1"/>
  <c r="AA47" i="1"/>
  <c r="AH46" i="1"/>
  <c r="V48" i="1"/>
  <c r="AC47" i="1"/>
  <c r="AE47" i="1"/>
  <c r="T49" i="1"/>
  <c r="P49" i="1"/>
  <c r="AH49" i="1"/>
  <c r="S50" i="1"/>
  <c r="AE49" i="1"/>
  <c r="AA50" i="1"/>
  <c r="I51" i="1"/>
  <c r="AK50" i="1"/>
  <c r="V52" i="1"/>
  <c r="H52" i="1"/>
  <c r="AD51" i="1"/>
  <c r="O53" i="1"/>
  <c r="I54" i="1"/>
  <c r="AJ53" i="1"/>
  <c r="P55" i="1"/>
  <c r="AA56" i="1"/>
  <c r="Z56" i="1"/>
  <c r="N57" i="1"/>
  <c r="F57" i="1"/>
  <c r="AD57" i="1"/>
  <c r="O58" i="1"/>
  <c r="AI102" i="1"/>
  <c r="Y102" i="1"/>
  <c r="AJ102" i="1"/>
  <c r="AH102" i="1"/>
  <c r="N103" i="1"/>
  <c r="N104" i="1"/>
  <c r="AD103" i="1"/>
  <c r="W103" i="1"/>
  <c r="Z103" i="1"/>
  <c r="AB103" i="1"/>
  <c r="AG103" i="1"/>
  <c r="P105" i="1"/>
  <c r="H105" i="1"/>
  <c r="V104" i="1"/>
  <c r="F105" i="1"/>
  <c r="AA104" i="1"/>
  <c r="AA105" i="1"/>
  <c r="AJ105" i="1"/>
  <c r="AI105" i="1"/>
  <c r="AJ45" i="1"/>
  <c r="I46" i="1"/>
  <c r="P46" i="1"/>
  <c r="R46" i="1"/>
  <c r="AJ64" i="1"/>
  <c r="T65" i="1"/>
  <c r="AB46" i="1"/>
  <c r="G47" i="1"/>
  <c r="J47" i="1"/>
  <c r="AB47" i="1"/>
  <c r="X48" i="1"/>
  <c r="AH48" i="1"/>
  <c r="G49" i="1"/>
  <c r="O49" i="1"/>
  <c r="L50" i="1"/>
  <c r="AG49" i="1"/>
  <c r="Q51" i="1"/>
  <c r="AE50" i="1"/>
  <c r="AG50" i="1"/>
  <c r="AC50" i="1"/>
  <c r="L52" i="1"/>
  <c r="N52" i="1"/>
  <c r="Z53" i="1"/>
  <c r="V53" i="1"/>
  <c r="Q53" i="1"/>
  <c r="Y54" i="1"/>
  <c r="AH53" i="1"/>
  <c r="AG54" i="1"/>
  <c r="AI55" i="1"/>
  <c r="AD55" i="1"/>
  <c r="H57" i="1"/>
  <c r="P57" i="1"/>
  <c r="J58" i="1"/>
  <c r="AK64" i="1"/>
  <c r="AA64" i="1"/>
  <c r="U65" i="1"/>
  <c r="Y47" i="1"/>
  <c r="O47" i="1"/>
  <c r="U48" i="1"/>
  <c r="G48" i="1"/>
  <c r="AI47" i="1"/>
  <c r="U49" i="1"/>
  <c r="L49" i="1"/>
  <c r="V50" i="1"/>
  <c r="AK49" i="1"/>
  <c r="I50" i="1"/>
  <c r="Y51" i="1"/>
  <c r="J51" i="1"/>
  <c r="S51" i="1"/>
  <c r="M52" i="1"/>
  <c r="T52" i="1"/>
  <c r="AI52" i="1"/>
  <c r="W53" i="1"/>
  <c r="J54" i="1"/>
  <c r="Q54" i="1"/>
  <c r="H55" i="1"/>
  <c r="AB55" i="1"/>
  <c r="F56" i="1"/>
  <c r="W57" i="1"/>
  <c r="AK56" i="1"/>
  <c r="AH57" i="1"/>
  <c r="N101" i="1"/>
  <c r="T102" i="1"/>
  <c r="I102" i="1"/>
  <c r="AD101" i="1"/>
  <c r="AK101" i="1"/>
  <c r="Q102" i="1"/>
  <c r="P103" i="1"/>
  <c r="AD102" i="1"/>
  <c r="L103" i="1"/>
  <c r="AK102" i="1"/>
  <c r="T103" i="1"/>
  <c r="O104" i="1"/>
  <c r="K104" i="1"/>
  <c r="F104" i="1"/>
  <c r="U104" i="1"/>
  <c r="AF103" i="1"/>
  <c r="AK103" i="1"/>
  <c r="R105" i="1"/>
  <c r="W104" i="1"/>
  <c r="I105" i="1"/>
  <c r="Q105" i="1"/>
  <c r="Z104" i="1"/>
  <c r="AB105" i="1"/>
  <c r="AH105" i="1"/>
  <c r="W105" i="1"/>
  <c r="AK45" i="1"/>
  <c r="H46" i="1"/>
  <c r="Q46" i="1"/>
  <c r="V46" i="1"/>
  <c r="I65" i="1"/>
  <c r="V65" i="1"/>
  <c r="Z47" i="1"/>
  <c r="Q47" i="1"/>
  <c r="P47" i="1"/>
  <c r="J48" i="1"/>
  <c r="K48" i="1"/>
  <c r="V49" i="1"/>
  <c r="J49" i="1"/>
  <c r="Y49" i="1"/>
  <c r="AJ49" i="1"/>
  <c r="AC49" i="1"/>
  <c r="U50" i="1"/>
  <c r="M51" i="1"/>
  <c r="T51" i="1"/>
  <c r="F52" i="1"/>
  <c r="Z52" i="1"/>
  <c r="P52" i="1"/>
  <c r="AD52" i="1"/>
  <c r="P53" i="1"/>
  <c r="S54" i="1"/>
  <c r="J65" i="1"/>
  <c r="F65" i="1"/>
  <c r="AH64" i="1"/>
  <c r="AD46" i="1"/>
  <c r="F47" i="1"/>
  <c r="AK47" i="1"/>
  <c r="H48" i="1"/>
  <c r="F48" i="1"/>
  <c r="AG48" i="1"/>
  <c r="AB48" i="1"/>
  <c r="AA49" i="1"/>
  <c r="K50" i="1"/>
  <c r="J50" i="1"/>
  <c r="Z51" i="1"/>
  <c r="G51" i="1"/>
  <c r="AB50" i="1"/>
  <c r="J52" i="1"/>
  <c r="S52" i="1"/>
  <c r="U53" i="1"/>
  <c r="AB53" i="1"/>
  <c r="H54" i="1"/>
  <c r="AF54" i="1"/>
  <c r="M55" i="1"/>
  <c r="L56" i="1"/>
  <c r="Q56" i="1"/>
  <c r="Z57" i="1"/>
  <c r="T57" i="1"/>
  <c r="P58" i="1"/>
  <c r="Q52" i="1"/>
  <c r="AC51" i="1"/>
  <c r="J53" i="1"/>
  <c r="F53" i="1"/>
  <c r="M53" i="1"/>
  <c r="AC52" i="1"/>
  <c r="K53" i="1"/>
  <c r="T54" i="1"/>
  <c r="AK53" i="1"/>
  <c r="Z54" i="1"/>
  <c r="G54" i="1"/>
  <c r="AD53" i="1"/>
  <c r="Z55" i="1"/>
  <c r="U55" i="1"/>
  <c r="Y55" i="1"/>
  <c r="AC54" i="1"/>
  <c r="AJ54" i="1"/>
  <c r="R55" i="1"/>
  <c r="K56" i="1"/>
  <c r="N56" i="1"/>
  <c r="S56" i="1"/>
  <c r="H56" i="1"/>
  <c r="AE55" i="1"/>
  <c r="AE56" i="1"/>
  <c r="X57" i="1"/>
  <c r="AD56" i="1"/>
  <c r="AC56" i="1"/>
  <c r="R57" i="1"/>
  <c r="AC57" i="1"/>
  <c r="AA58" i="1"/>
  <c r="H58" i="1"/>
  <c r="W58" i="1"/>
  <c r="U58" i="1"/>
  <c r="M58" i="1"/>
  <c r="S62" i="1"/>
  <c r="AJ58" i="1"/>
  <c r="AK58" i="1"/>
  <c r="AH58" i="1"/>
  <c r="N62" i="1"/>
  <c r="W63" i="1"/>
  <c r="Y63" i="1"/>
  <c r="I63" i="1"/>
  <c r="AI62" i="1"/>
  <c r="AK62" i="1"/>
  <c r="N64" i="1"/>
  <c r="K64" i="1"/>
  <c r="O64" i="1"/>
  <c r="H64" i="1"/>
  <c r="AJ63" i="1"/>
  <c r="AA54" i="1"/>
  <c r="AG53" i="1"/>
  <c r="AF53" i="1"/>
  <c r="AE54" i="1"/>
  <c r="I55" i="1"/>
  <c r="AA55" i="1"/>
  <c r="G55" i="1"/>
  <c r="J55" i="1"/>
  <c r="F55" i="1"/>
  <c r="AJ55" i="1"/>
  <c r="W56" i="1"/>
  <c r="X56" i="1"/>
  <c r="I56" i="1"/>
  <c r="P56" i="1"/>
  <c r="M57" i="1"/>
  <c r="Y57" i="1"/>
  <c r="Q57" i="1"/>
  <c r="AH56" i="1"/>
  <c r="AI56" i="1"/>
  <c r="T58" i="1"/>
  <c r="AB57" i="1"/>
  <c r="N58" i="1"/>
  <c r="X58" i="1"/>
  <c r="Z58" i="1"/>
  <c r="L58" i="1"/>
  <c r="T62" i="1"/>
  <c r="AC58" i="1"/>
  <c r="U62" i="1"/>
  <c r="AA62" i="1"/>
  <c r="J62" i="1"/>
  <c r="X63" i="1"/>
  <c r="AJ62" i="1"/>
  <c r="V63" i="1"/>
  <c r="S63" i="1"/>
  <c r="M63" i="1"/>
  <c r="P64" i="1"/>
  <c r="U64" i="1"/>
  <c r="AD63" i="1"/>
  <c r="S64" i="1"/>
  <c r="AG63" i="1"/>
  <c r="AD58" i="1"/>
  <c r="X62" i="1"/>
  <c r="H62" i="1"/>
  <c r="P62" i="1"/>
  <c r="F62" i="1"/>
  <c r="AB58" i="1"/>
  <c r="J63" i="1"/>
  <c r="H63" i="1"/>
  <c r="Z63" i="1"/>
  <c r="AB62" i="1"/>
  <c r="T63" i="1"/>
  <c r="AI63" i="1"/>
  <c r="AB63" i="1"/>
  <c r="W64" i="1"/>
  <c r="Y64" i="1"/>
  <c r="AF63" i="1"/>
  <c r="AA52" i="1"/>
  <c r="AA53" i="1"/>
  <c r="AB52" i="1"/>
  <c r="AH52" i="1"/>
  <c r="AK52" i="1"/>
  <c r="T53" i="1"/>
  <c r="Y53" i="1"/>
  <c r="AI53" i="1"/>
  <c r="X54" i="1"/>
  <c r="K54" i="1"/>
  <c r="AE53" i="1"/>
  <c r="F54" i="1"/>
  <c r="W55" i="1"/>
  <c r="AB54" i="1"/>
  <c r="K55" i="1"/>
  <c r="Q55" i="1"/>
  <c r="N55" i="1"/>
  <c r="AC55" i="1"/>
  <c r="AF55" i="1"/>
  <c r="M56" i="1"/>
  <c r="R56" i="1"/>
  <c r="AG55" i="1"/>
  <c r="T56" i="1"/>
  <c r="U57" i="1"/>
  <c r="AA57" i="1"/>
  <c r="J57" i="1"/>
  <c r="AF56" i="1"/>
  <c r="V57" i="1"/>
  <c r="S58" i="1"/>
  <c r="AJ57" i="1"/>
  <c r="I58" i="1"/>
  <c r="AF57" i="1"/>
  <c r="G58" i="1"/>
  <c r="I62" i="1"/>
  <c r="AG58" i="1"/>
  <c r="K62" i="1"/>
  <c r="Y62" i="1"/>
  <c r="AI58" i="1"/>
  <c r="M62" i="1"/>
  <c r="AG62" i="1"/>
  <c r="F63" i="1"/>
  <c r="Q63" i="1"/>
  <c r="K63" i="1"/>
  <c r="L63" i="1"/>
  <c r="AH63" i="1"/>
  <c r="V64" i="1"/>
  <c r="X64" i="1"/>
  <c r="AK63" i="1"/>
  <c r="I64" i="1"/>
  <c r="K58" i="1"/>
  <c r="AE57" i="1"/>
  <c r="Q62" i="1"/>
  <c r="O62" i="1"/>
  <c r="R62" i="1"/>
  <c r="Z62" i="1"/>
  <c r="AF58" i="1"/>
  <c r="U63" i="1"/>
  <c r="AE62" i="1"/>
  <c r="AC62" i="1"/>
  <c r="AA63" i="1"/>
  <c r="P63" i="1"/>
  <c r="AF62" i="1"/>
  <c r="Q64" i="1"/>
  <c r="T64" i="1"/>
  <c r="AE63" i="1"/>
  <c r="F64" i="1"/>
  <c r="L64" i="1"/>
  <c r="G62" i="1"/>
  <c r="AE58" i="1"/>
  <c r="V62" i="1"/>
  <c r="W62" i="1"/>
  <c r="L62" i="1"/>
  <c r="G63" i="1"/>
  <c r="O63" i="1"/>
  <c r="N63" i="1"/>
  <c r="AD62" i="1"/>
  <c r="R63" i="1"/>
  <c r="AH62" i="1"/>
  <c r="R64" i="1"/>
  <c r="J64" i="1"/>
  <c r="G64" i="1"/>
  <c r="AC63" i="1"/>
  <c r="M64" i="1"/>
  <c r="I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<sst xmlns="http://schemas.openxmlformats.org/spreadsheetml/2006/main" count="13" uniqueCount="12">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</sst>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0.99657817441657826</c:v>
                </c:pt>
                <c:pt idx="1">
                  <c:v>0.96525261027728626</c:v>
                </c:pt>
                <c:pt idx="2">
                  <c:v>0.93133912736014879</c:v>
                </c:pt>
                <c:pt idx="3">
                  <c:v>0.89370034423716382</c:v>
                </c:pt>
                <c:pt idx="4">
                  <c:v>0.85259719867404782</c:v>
                </c:pt>
                <c:pt idx="5">
                  <c:v>0.80945500634619527</c:v>
                </c:pt>
                <c:pt idx="6">
                  <c:v>0.76642267697883271</c:v>
                </c:pt>
                <c:pt idx="7">
                  <c:v>0.72579428219268116</c:v>
                </c:pt>
                <c:pt idx="8">
                  <c:v>0.68949399110128939</c:v>
                </c:pt>
                <c:pt idx="9">
                  <c:v>0.65878880330186074</c:v>
                </c:pt>
                <c:pt idx="10">
                  <c:v>0.63425404237709904</c:v>
                </c:pt>
                <c:pt idx="11">
                  <c:v>0.61590417311663115</c:v>
                </c:pt>
                <c:pt idx="12">
                  <c:v>0.6033779471535109</c:v>
                </c:pt>
                <c:pt idx="13">
                  <c:v>0.59610460003068433</c:v>
                </c:pt>
                <c:pt idx="14">
                  <c:v>0.59342475470773381</c:v>
                </c:pt>
                <c:pt idx="15">
                  <c:v>0.59466814476532559</c:v>
                </c:pt>
                <c:pt idx="16">
                  <c:v>0.599199496839947</c:v>
                </c:pt>
                <c:pt idx="17">
                  <c:v>0.6064432199249542</c:v>
                </c:pt>
                <c:pt idx="18">
                  <c:v>0.61589440082449387</c:v>
                </c:pt>
                <c:pt idx="19">
                  <c:v>0.62712103770831551</c:v>
                </c:pt>
                <c:pt idx="20">
                  <c:v>0.63976084934314781</c:v>
                </c:pt>
                <c:pt idx="21">
                  <c:v>0.65351500591432188</c:v>
                </c:pt>
                <c:pt idx="22">
                  <c:v>0.66814042550010555</c:v>
                </c:pt>
                <c:pt idx="23">
                  <c:v>0.68344173606714831</c:v>
                </c:pt>
                <c:pt idx="24">
                  <c:v>0.69926358151965529</c:v>
                </c:pt>
                <c:pt idx="25">
                  <c:v>0.71548364133924125</c:v>
                </c:pt>
                <c:pt idx="26">
                  <c:v>0.73200652255142695</c:v>
                </c:pt>
                <c:pt idx="27">
                  <c:v>0.7487585500473587</c:v>
                </c:pt>
                <c:pt idx="28">
                  <c:v>0.76568340538557933</c:v>
                </c:pt>
                <c:pt idx="29">
                  <c:v>0.78273852653967824</c:v>
                </c:pt>
                <c:pt idx="30">
                  <c:v>0.79989216738522917</c:v>
                </c:pt>
                <c:pt idx="31">
                  <c:v>0.8171210160029263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0.99698643741207993</c:v>
                </c:pt>
                <c:pt idx="1">
                  <c:v>0.96938487376478233</c:v>
                </c:pt>
                <c:pt idx="2">
                  <c:v>0.93975206176319181</c:v>
                </c:pt>
                <c:pt idx="3">
                  <c:v>0.90726936683388126</c:v>
                </c:pt>
                <c:pt idx="4">
                  <c:v>0.87211193742647597</c:v>
                </c:pt>
                <c:pt idx="5">
                  <c:v>0.83528596194517801</c:v>
                </c:pt>
                <c:pt idx="6">
                  <c:v>0.79834166997862033</c:v>
                </c:pt>
                <c:pt idx="7">
                  <c:v>0.76299860631653815</c:v>
                </c:pt>
                <c:pt idx="8">
                  <c:v>0.73079288442128787</c:v>
                </c:pt>
                <c:pt idx="9">
                  <c:v>0.70284694577267326</c:v>
                </c:pt>
                <c:pt idx="10">
                  <c:v>0.67979474122413508</c:v>
                </c:pt>
                <c:pt idx="11">
                  <c:v>0.66182877970240084</c:v>
                </c:pt>
                <c:pt idx="12">
                  <c:v>0.64880829900089465</c:v>
                </c:pt>
                <c:pt idx="13">
                  <c:v>0.64037708116628667</c:v>
                </c:pt>
                <c:pt idx="14">
                  <c:v>0.63606272957380505</c:v>
                </c:pt>
                <c:pt idx="15">
                  <c:v>0.63534896099428928</c:v>
                </c:pt>
                <c:pt idx="16">
                  <c:v>0.63772312129271558</c:v>
                </c:pt>
                <c:pt idx="17">
                  <c:v>0.64270464749265466</c:v>
                </c:pt>
                <c:pt idx="18">
                  <c:v>0.64986013571245627</c:v>
                </c:pt>
                <c:pt idx="19">
                  <c:v>0.65880948699844255</c:v>
                </c:pt>
                <c:pt idx="20">
                  <c:v>0.66922637800702856</c:v>
                </c:pt>
                <c:pt idx="21">
                  <c:v>0.68083533499772186</c:v>
                </c:pt>
                <c:pt idx="22">
                  <c:v>0.69340697593237532</c:v>
                </c:pt>
                <c:pt idx="23">
                  <c:v>0.70675246556395588</c:v>
                </c:pt>
                <c:pt idx="24">
                  <c:v>0.72071785143900879</c:v>
                </c:pt>
                <c:pt idx="25">
                  <c:v>0.73517868008783893</c:v>
                </c:pt>
                <c:pt idx="26">
                  <c:v>0.75003510712715782</c:v>
                </c:pt>
                <c:pt idx="27">
                  <c:v>0.7652075922409256</c:v>
                </c:pt>
                <c:pt idx="28">
                  <c:v>0.7806331931361572</c:v>
                </c:pt>
                <c:pt idx="29">
                  <c:v>0.79626242789043311</c:v>
                </c:pt>
                <c:pt idx="30">
                  <c:v>0.81205665202628552</c:v>
                </c:pt>
                <c:pt idx="31">
                  <c:v>0.82798588737772549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0.99733316147437967</c:v>
                </c:pt>
                <c:pt idx="1">
                  <c:v>0.97289094166005163</c:v>
                </c:pt>
                <c:pt idx="2">
                  <c:v>0.94682924994227002</c:v>
                </c:pt>
                <c:pt idx="3">
                  <c:v>0.91857427413535864</c:v>
                </c:pt>
                <c:pt idx="4">
                  <c:v>0.88826376699666276</c:v>
                </c:pt>
                <c:pt idx="5">
                  <c:v>0.85663200022009089</c:v>
                </c:pt>
                <c:pt idx="6">
                  <c:v>0.82481711336331398</c:v>
                </c:pt>
                <c:pt idx="7">
                  <c:v>0.79411289137734298</c:v>
                </c:pt>
                <c:pt idx="8">
                  <c:v>0.76572717508916044</c:v>
                </c:pt>
                <c:pt idx="9">
                  <c:v>0.74060786636932319</c:v>
                </c:pt>
                <c:pt idx="10">
                  <c:v>0.71936399629650405</c:v>
                </c:pt>
                <c:pt idx="11">
                  <c:v>0.7022712312785252</c:v>
                </c:pt>
                <c:pt idx="12">
                  <c:v>0.68932996130061652</c:v>
                </c:pt>
                <c:pt idx="13">
                  <c:v>0.68034299619028105</c:v>
                </c:pt>
                <c:pt idx="14">
                  <c:v>0.67499009354125961</c:v>
                </c:pt>
                <c:pt idx="15">
                  <c:v>0.67288836209388314</c:v>
                </c:pt>
                <c:pt idx="16">
                  <c:v>0.67363601356318903</c:v>
                </c:pt>
                <c:pt idx="17">
                  <c:v>0.67684127048883824</c:v>
                </c:pt>
                <c:pt idx="18">
                  <c:v>0.68213969980367861</c:v>
                </c:pt>
                <c:pt idx="19">
                  <c:v>0.68920322708024051</c:v>
                </c:pt>
                <c:pt idx="20">
                  <c:v>0.6977435212551395</c:v>
                </c:pt>
                <c:pt idx="21">
                  <c:v>0.70751178268622794</c:v>
                </c:pt>
                <c:pt idx="22">
                  <c:v>0.71829639200464945</c:v>
                </c:pt>
                <c:pt idx="23">
                  <c:v>0.7299194242230177</c:v>
                </c:pt>
                <c:pt idx="24">
                  <c:v>0.74223269418121551</c:v>
                </c:pt>
                <c:pt idx="25">
                  <c:v>0.75511375507173506</c:v>
                </c:pt>
                <c:pt idx="26">
                  <c:v>0.76846210044816643</c:v>
                </c:pt>
                <c:pt idx="27">
                  <c:v>0.78219570363049673</c:v>
                </c:pt>
                <c:pt idx="28">
                  <c:v>0.79624795202913712</c:v>
                </c:pt>
                <c:pt idx="29">
                  <c:v>0.81056498603952143</c:v>
                </c:pt>
                <c:pt idx="30">
                  <c:v>0.82510342399501224</c:v>
                </c:pt>
                <c:pt idx="31">
                  <c:v>0.83982843969111265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0.99762961534667305</c:v>
                </c:pt>
                <c:pt idx="1">
                  <c:v>0.97588717787036605</c:v>
                </c:pt>
                <c:pt idx="2">
                  <c:v>0.95283370124917044</c:v>
                </c:pt>
                <c:pt idx="3">
                  <c:v>0.92808282283665944</c:v>
                </c:pt>
                <c:pt idx="4">
                  <c:v>0.90176007852886297</c:v>
                </c:pt>
                <c:pt idx="5">
                  <c:v>0.87442046143476782</c:v>
                </c:pt>
                <c:pt idx="6">
                  <c:v>0.84691585282570836</c:v>
                </c:pt>
                <c:pt idx="7">
                  <c:v>0.82022720829720308</c:v>
                </c:pt>
                <c:pt idx="8">
                  <c:v>0.79529825145993549</c:v>
                </c:pt>
                <c:pt idx="9">
                  <c:v>0.77290782607674025</c:v>
                </c:pt>
                <c:pt idx="10">
                  <c:v>0.75360083370172071</c:v>
                </c:pt>
                <c:pt idx="11">
                  <c:v>0.73767600229306007</c:v>
                </c:pt>
                <c:pt idx="12">
                  <c:v>0.72521419777612051</c:v>
                </c:pt>
                <c:pt idx="13">
                  <c:v>0.71612715977981101</c:v>
                </c:pt>
                <c:pt idx="14">
                  <c:v>0.71021031979253202</c:v>
                </c:pt>
                <c:pt idx="15">
                  <c:v>0.7071898163599919</c:v>
                </c:pt>
                <c:pt idx="16">
                  <c:v>0.70675953268013769</c:v>
                </c:pt>
                <c:pt idx="17">
                  <c:v>0.70860769182298577</c:v>
                </c:pt>
                <c:pt idx="18">
                  <c:v>0.71243439177215639</c:v>
                </c:pt>
                <c:pt idx="19">
                  <c:v>0.71796206838960441</c:v>
                </c:pt>
                <c:pt idx="20">
                  <c:v>0.72494082518968472</c:v>
                </c:pt>
                <c:pt idx="21">
                  <c:v>0.73315025314185256</c:v>
                </c:pt>
                <c:pt idx="22">
                  <c:v>0.74239898999739606</c:v>
                </c:pt>
                <c:pt idx="23">
                  <c:v>0.75252292880548988</c:v>
                </c:pt>
                <c:pt idx="24">
                  <c:v>0.76338270936169039</c:v>
                </c:pt>
                <c:pt idx="25">
                  <c:v>0.77486091610578078</c:v>
                </c:pt>
                <c:pt idx="26">
                  <c:v>0.78685925254201816</c:v>
                </c:pt>
                <c:pt idx="27">
                  <c:v>0.79929585403033965</c:v>
                </c:pt>
                <c:pt idx="28">
                  <c:v>0.8121028268678735</c:v>
                </c:pt>
                <c:pt idx="29">
                  <c:v>0.82522405277161426</c:v>
                </c:pt>
                <c:pt idx="30">
                  <c:v>0.8386132669433658</c:v>
                </c:pt>
                <c:pt idx="31">
                  <c:v>0.85223239935659156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0.99788473243722087</c:v>
                </c:pt>
                <c:pt idx="1">
                  <c:v>0.97846525602096523</c:v>
                </c:pt>
                <c:pt idx="2">
                  <c:v>0.95796872443818415</c:v>
                </c:pt>
                <c:pt idx="3">
                  <c:v>0.93615188418967088</c:v>
                </c:pt>
                <c:pt idx="4">
                  <c:v>0.91314046076722521</c:v>
                </c:pt>
                <c:pt idx="5">
                  <c:v>0.88936927402407684</c:v>
                </c:pt>
                <c:pt idx="6">
                  <c:v>0.86548917647221546</c:v>
                </c:pt>
                <c:pt idx="7">
                  <c:v>0.84225159754252232</c:v>
                </c:pt>
                <c:pt idx="8">
                  <c:v>0.82039328929495159</c:v>
                </c:pt>
                <c:pt idx="9">
                  <c:v>0.80054416769219827</c:v>
                </c:pt>
                <c:pt idx="10">
                  <c:v>0.78317182805163432</c:v>
                </c:pt>
                <c:pt idx="11">
                  <c:v>0.76856387307746676</c:v>
                </c:pt>
                <c:pt idx="12">
                  <c:v>0.75683981224959762</c:v>
                </c:pt>
                <c:pt idx="13">
                  <c:v>0.74798054635049582</c:v>
                </c:pt>
                <c:pt idx="14">
                  <c:v>0.74186441946221138</c:v>
                </c:pt>
                <c:pt idx="15">
                  <c:v>0.73830211396761358</c:v>
                </c:pt>
                <c:pt idx="16">
                  <c:v>0.73706621178096687</c:v>
                </c:pt>
                <c:pt idx="17">
                  <c:v>0.73791396898055261</c:v>
                </c:pt>
                <c:pt idx="18">
                  <c:v>0.74060351288654025</c:v>
                </c:pt>
                <c:pt idx="19">
                  <c:v>0.74490446519680176</c:v>
                </c:pt>
                <c:pt idx="20">
                  <c:v>0.75060422901601775</c:v>
                </c:pt>
                <c:pt idx="21">
                  <c:v>0.75751111263785498</c:v>
                </c:pt>
                <c:pt idx="22">
                  <c:v>0.7654552722811242</c:v>
                </c:pt>
                <c:pt idx="23">
                  <c:v>0.77428823706142802</c:v>
                </c:pt>
                <c:pt idx="24">
                  <c:v>0.78388157868425734</c:v>
                </c:pt>
                <c:pt idx="25">
                  <c:v>0.7941251227412639</c:v>
                </c:pt>
                <c:pt idx="26">
                  <c:v>0.80492497033510368</c:v>
                </c:pt>
                <c:pt idx="27">
                  <c:v>0.81620150388712986</c:v>
                </c:pt>
                <c:pt idx="28">
                  <c:v>0.82788748318488004</c:v>
                </c:pt>
                <c:pt idx="29">
                  <c:v>0.83992629079383918</c:v>
                </c:pt>
                <c:pt idx="30">
                  <c:v>0.85227035450898103</c:v>
                </c:pt>
                <c:pt idx="31">
                  <c:v>0.86487975422537611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0.99810562538193992</c:v>
                </c:pt>
                <c:pt idx="1">
                  <c:v>0.98069780881192281</c:v>
                </c:pt>
                <c:pt idx="2">
                  <c:v>0.96239278979935061</c:v>
                </c:pt>
                <c:pt idx="3">
                  <c:v>0.94305619808889918</c:v>
                </c:pt>
                <c:pt idx="4">
                  <c:v>0.92281934827262335</c:v>
                </c:pt>
                <c:pt idx="5">
                  <c:v>0.90203507912698955</c:v>
                </c:pt>
                <c:pt idx="6">
                  <c:v>0.88121137105381886</c:v>
                </c:pt>
                <c:pt idx="7">
                  <c:v>0.86093078343733931</c:v>
                </c:pt>
                <c:pt idx="8">
                  <c:v>0.84177008496997741</c:v>
                </c:pt>
                <c:pt idx="9">
                  <c:v>0.82423436473018152</c:v>
                </c:pt>
                <c:pt idx="10">
                  <c:v>0.80871457244305345</c:v>
                </c:pt>
                <c:pt idx="11">
                  <c:v>0.79547017730759828</c:v>
                </c:pt>
                <c:pt idx="12">
                  <c:v>0.78463274793153526</c:v>
                </c:pt>
                <c:pt idx="13">
                  <c:v>0.7762233596328838</c:v>
                </c:pt>
                <c:pt idx="14">
                  <c:v>0.77017664670597197</c:v>
                </c:pt>
                <c:pt idx="15">
                  <c:v>0.76636590471966537</c:v>
                </c:pt>
                <c:pt idx="16">
                  <c:v>0.76462573722189475</c:v>
                </c:pt>
                <c:pt idx="17">
                  <c:v>0.76477057788206149</c:v>
                </c:pt>
                <c:pt idx="18">
                  <c:v>0.76660870740255027</c:v>
                </c:pt>
                <c:pt idx="19">
                  <c:v>0.76995212931975843</c:v>
                </c:pt>
                <c:pt idx="20">
                  <c:v>0.77462300371902137</c:v>
                </c:pt>
                <c:pt idx="21">
                  <c:v>0.78045741444136141</c:v>
                </c:pt>
                <c:pt idx="22">
                  <c:v>0.78730718434360536</c:v>
                </c:pt>
                <c:pt idx="23">
                  <c:v>0.79504033458353529</c:v>
                </c:pt>
                <c:pt idx="24">
                  <c:v>0.80354065373930339</c:v>
                </c:pt>
                <c:pt idx="25">
                  <c:v>0.81270672360681229</c:v>
                </c:pt>
                <c:pt idx="26">
                  <c:v>0.82245064958426217</c:v>
                </c:pt>
                <c:pt idx="27">
                  <c:v>0.8326966660273234</c:v>
                </c:pt>
                <c:pt idx="28">
                  <c:v>0.84337972874671707</c:v>
                </c:pt>
                <c:pt idx="29">
                  <c:v>0.85444416458090899</c:v>
                </c:pt>
                <c:pt idx="30">
                  <c:v>0.86584241825083352</c:v>
                </c:pt>
                <c:pt idx="31">
                  <c:v>0.87753391641421741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0.99829798739603304</c:v>
                </c:pt>
                <c:pt idx="1">
                  <c:v>0.98264274765155946</c:v>
                </c:pt>
                <c:pt idx="2">
                  <c:v>0.9662304579953308</c:v>
                </c:pt>
                <c:pt idx="3">
                  <c:v>0.94900920530086508</c:v>
                </c:pt>
                <c:pt idx="4">
                  <c:v>0.93111750919568859</c:v>
                </c:pt>
                <c:pt idx="5">
                  <c:v>0.91285118759560169</c:v>
                </c:pt>
                <c:pt idx="6">
                  <c:v>0.89461538403642071</c:v>
                </c:pt>
                <c:pt idx="7">
                  <c:v>0.8768677554205101</c:v>
                </c:pt>
                <c:pt idx="8">
                  <c:v>0.86006219194571665</c:v>
                </c:pt>
                <c:pt idx="9">
                  <c:v>0.8446020766569301</c:v>
                </c:pt>
                <c:pt idx="10">
                  <c:v>0.83080885143724847</c:v>
                </c:pt>
                <c:pt idx="11">
                  <c:v>0.81890733220364398</c:v>
                </c:pt>
                <c:pt idx="12">
                  <c:v>0.8090255691765702</c:v>
                </c:pt>
                <c:pt idx="13">
                  <c:v>0.80120502487675571</c:v>
                </c:pt>
                <c:pt idx="14">
                  <c:v>0.79541646383201725</c:v>
                </c:pt>
                <c:pt idx="15">
                  <c:v>0.79157767737599749</c:v>
                </c:pt>
                <c:pt idx="16">
                  <c:v>0.78957035901121664</c:v>
                </c:pt>
                <c:pt idx="17">
                  <c:v>0.78925462170570226</c:v>
                </c:pt>
                <c:pt idx="18">
                  <c:v>0.79048056573834558</c:v>
                </c:pt>
                <c:pt idx="19">
                  <c:v>0.79309690670464028</c:v>
                </c:pt>
                <c:pt idx="20">
                  <c:v>0.79695700165136019</c:v>
                </c:pt>
                <c:pt idx="21">
                  <c:v>0.80192274508409611</c:v>
                </c:pt>
                <c:pt idx="22">
                  <c:v>0.80786682059359427</c:v>
                </c:pt>
                <c:pt idx="23">
                  <c:v>0.81467374498176026</c:v>
                </c:pt>
                <c:pt idx="24">
                  <c:v>0.8222400674621152</c:v>
                </c:pt>
                <c:pt idx="25">
                  <c:v>0.83047400851859432</c:v>
                </c:pt>
                <c:pt idx="26">
                  <c:v>0.839294752306458</c:v>
                </c:pt>
                <c:pt idx="27">
                  <c:v>0.84863154741378577</c:v>
                </c:pt>
                <c:pt idx="28">
                  <c:v>0.85842272403870745</c:v>
                </c:pt>
                <c:pt idx="29">
                  <c:v>0.86861470005150909</c:v>
                </c:pt>
                <c:pt idx="30">
                  <c:v>0.87916102218704517</c:v>
                </c:pt>
                <c:pt idx="31">
                  <c:v>0.89002146983525887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0.99846640292027378</c:v>
                </c:pt>
                <c:pt idx="1">
                  <c:v>0.98434655885513278</c:v>
                </c:pt>
                <c:pt idx="2">
                  <c:v>0.96958046202532178</c:v>
                </c:pt>
                <c:pt idx="3">
                  <c:v>0.95417823268450397</c:v>
                </c:pt>
                <c:pt idx="4">
                  <c:v>0.93828524355081466</c:v>
                </c:pt>
                <c:pt idx="5">
                  <c:v>0.92215676732453622</c:v>
                </c:pt>
                <c:pt idx="6">
                  <c:v>0.90612293025570223</c:v>
                </c:pt>
                <c:pt idx="7">
                  <c:v>0.89054836668882109</c:v>
                </c:pt>
                <c:pt idx="8">
                  <c:v>0.8757927641232508</c:v>
                </c:pt>
                <c:pt idx="9">
                  <c:v>0.86217799822481234</c:v>
                </c:pt>
                <c:pt idx="10">
                  <c:v>0.84996549446461489</c:v>
                </c:pt>
                <c:pt idx="11">
                  <c:v>0.83934482633968177</c:v>
                </c:pt>
                <c:pt idx="12">
                  <c:v>0.83043231682463181</c:v>
                </c:pt>
                <c:pt idx="13">
                  <c:v>0.82327707714075171</c:v>
                </c:pt>
                <c:pt idx="14">
                  <c:v>0.81787154377353577</c:v>
                </c:pt>
                <c:pt idx="15">
                  <c:v>0.81416389920093457</c:v>
                </c:pt>
                <c:pt idx="16">
                  <c:v>0.81207043301696624</c:v>
                </c:pt>
                <c:pt idx="17">
                  <c:v>0.81148663006627131</c:v>
                </c:pt>
                <c:pt idx="18">
                  <c:v>0.81229639107228213</c:v>
                </c:pt>
                <c:pt idx="19">
                  <c:v>0.81437923545305579</c:v>
                </c:pt>
                <c:pt idx="20">
                  <c:v>0.8176156100299059</c:v>
                </c:pt>
                <c:pt idx="21">
                  <c:v>0.82189056692183604</c:v>
                </c:pt>
                <c:pt idx="22">
                  <c:v>0.82709612155208689</c:v>
                </c:pt>
                <c:pt idx="23">
                  <c:v>0.83313259411362683</c:v>
                </c:pt>
                <c:pt idx="24">
                  <c:v>0.83990920201977726</c:v>
                </c:pt>
                <c:pt idx="25">
                  <c:v>0.84734412438112217</c:v>
                </c:pt>
                <c:pt idx="26">
                  <c:v>0.85536421264774742</c:v>
                </c:pt>
                <c:pt idx="27">
                  <c:v>0.86390447943934345</c:v>
                </c:pt>
                <c:pt idx="28">
                  <c:v>0.87290746230728744</c:v>
                </c:pt>
                <c:pt idx="29">
                  <c:v>0.88232253099650992</c:v>
                </c:pt>
                <c:pt idx="30">
                  <c:v>0.89210518506599856</c:v>
                </c:pt>
                <c:pt idx="31">
                  <c:v>0.90221637248815778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0.99861458722428587</c:v>
                </c:pt>
                <c:pt idx="1">
                  <c:v>0.98584681922197237</c:v>
                </c:pt>
                <c:pt idx="2">
                  <c:v>0.97252171848553748</c:v>
                </c:pt>
                <c:pt idx="3">
                  <c:v>0.95869563542093728</c:v>
                </c:pt>
                <c:pt idx="4">
                  <c:v>0.94451949964318871</c:v>
                </c:pt>
                <c:pt idx="5">
                  <c:v>0.93021900842714578</c:v>
                </c:pt>
                <c:pt idx="6">
                  <c:v>0.91606878424583948</c:v>
                </c:pt>
                <c:pt idx="7">
                  <c:v>0.90236362459453312</c:v>
                </c:pt>
                <c:pt idx="8">
                  <c:v>0.88939092665093256</c:v>
                </c:pt>
                <c:pt idx="9">
                  <c:v>0.87740786622854938</c:v>
                </c:pt>
                <c:pt idx="10">
                  <c:v>0.86662555501191829</c:v>
                </c:pt>
                <c:pt idx="11">
                  <c:v>0.85720078246082698</c:v>
                </c:pt>
                <c:pt idx="12">
                  <c:v>0.84923457989814866</c:v>
                </c:pt>
                <c:pt idx="13">
                  <c:v>0.84277600494648652</c:v>
                </c:pt>
                <c:pt idx="14">
                  <c:v>0.83782926575061734</c:v>
                </c:pt>
                <c:pt idx="15">
                  <c:v>0.83436245105524509</c:v>
                </c:pt>
                <c:pt idx="16">
                  <c:v>0.83231651245757377</c:v>
                </c:pt>
                <c:pt idx="17">
                  <c:v>0.8316135912872894</c:v>
                </c:pt>
                <c:pt idx="18">
                  <c:v>0.83216418564209016</c:v>
                </c:pt>
                <c:pt idx="19">
                  <c:v>0.83387296279358636</c:v>
                </c:pt>
                <c:pt idx="20">
                  <c:v>0.83664323002659047</c:v>
                </c:pt>
                <c:pt idx="21">
                  <c:v>0.84038019731361369</c:v>
                </c:pt>
                <c:pt idx="22">
                  <c:v>0.84499322057934956</c:v>
                </c:pt>
                <c:pt idx="23">
                  <c:v>0.85039722678067087</c:v>
                </c:pt>
                <c:pt idx="24">
                  <c:v>0.85651350946942106</c:v>
                </c:pt>
                <c:pt idx="25">
                  <c:v>0.86327005865615603</c:v>
                </c:pt>
                <c:pt idx="26">
                  <c:v>0.87060155986747667</c:v>
                </c:pt>
                <c:pt idx="27">
                  <c:v>0.87844916906328918</c:v>
                </c:pt>
                <c:pt idx="28">
                  <c:v>0.88676014496845124</c:v>
                </c:pt>
                <c:pt idx="29">
                  <c:v>0.89548739930353438</c:v>
                </c:pt>
                <c:pt idx="30">
                  <c:v>0.90458900844162604</c:v>
                </c:pt>
                <c:pt idx="31">
                  <c:v>0.91402771680149331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0.99874557110359452</c:v>
                </c:pt>
                <c:pt idx="1">
                  <c:v>0.98717411932123256</c:v>
                </c:pt>
                <c:pt idx="2">
                  <c:v>0.97511782558979854</c:v>
                </c:pt>
                <c:pt idx="3">
                  <c:v>0.96266702958202766</c:v>
                </c:pt>
                <c:pt idx="4">
                  <c:v>0.94997654965562228</c:v>
                </c:pt>
                <c:pt idx="5">
                  <c:v>0.93724986749791173</c:v>
                </c:pt>
                <c:pt idx="6">
                  <c:v>0.92471991514388396</c:v>
                </c:pt>
                <c:pt idx="7">
                  <c:v>0.91262859314823253</c:v>
                </c:pt>
                <c:pt idx="8">
                  <c:v>0.90120766309703215</c:v>
                </c:pt>
                <c:pt idx="9">
                  <c:v>0.8906632050703831</c:v>
                </c:pt>
                <c:pt idx="10">
                  <c:v>0.88116492804391466</c:v>
                </c:pt>
                <c:pt idx="11">
                  <c:v>0.87284062264605589</c:v>
                </c:pt>
                <c:pt idx="12">
                  <c:v>0.86577522398736328</c:v>
                </c:pt>
                <c:pt idx="13">
                  <c:v>0.86001344820442771</c:v>
                </c:pt>
                <c:pt idx="14">
                  <c:v>0.85556479000244479</c:v>
                </c:pt>
                <c:pt idx="15">
                  <c:v>0.85240974420217386</c:v>
                </c:pt>
                <c:pt idx="16">
                  <c:v>0.85050633595327629</c:v>
                </c:pt>
                <c:pt idx="17">
                  <c:v>0.84979631625424423</c:v>
                </c:pt>
                <c:pt idx="18">
                  <c:v>0.85021063592429669</c:v>
                </c:pt>
                <c:pt idx="19">
                  <c:v>0.85167401806434484</c:v>
                </c:pt>
                <c:pt idx="20">
                  <c:v>0.85410859648318149</c:v>
                </c:pt>
                <c:pt idx="21">
                  <c:v>0.85743668037376641</c:v>
                </c:pt>
                <c:pt idx="22">
                  <c:v>0.86158275509231697</c:v>
                </c:pt>
                <c:pt idx="23">
                  <c:v>0.86647484785515938</c:v>
                </c:pt>
                <c:pt idx="24">
                  <c:v>0.87204538661684183</c:v>
                </c:pt>
                <c:pt idx="25">
                  <c:v>0.87823166885191917</c:v>
                </c:pt>
                <c:pt idx="26">
                  <c:v>0.88497604036937716</c:v>
                </c:pt>
                <c:pt idx="27">
                  <c:v>0.89222586642596347</c:v>
                </c:pt>
                <c:pt idx="28">
                  <c:v>0.89993336045375005</c:v>
                </c:pt>
                <c:pt idx="29">
                  <c:v>0.90805532076456197</c:v>
                </c:pt>
                <c:pt idx="30">
                  <c:v>0.91655281303261238</c:v>
                </c:pt>
                <c:pt idx="31">
                  <c:v>0.92539082617601776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0.99886184345718687</c:v>
                </c:pt>
                <c:pt idx="1">
                  <c:v>0.98835353847883523</c:v>
                </c:pt>
                <c:pt idx="2">
                  <c:v>0.97742045001855882</c:v>
                </c:pt>
                <c:pt idx="3">
                  <c:v>0.96617741859650363</c:v>
                </c:pt>
                <c:pt idx="4">
                  <c:v>0.95478142404938371</c:v>
                </c:pt>
                <c:pt idx="5">
                  <c:v>0.94341870508491876</c:v>
                </c:pt>
                <c:pt idx="6">
                  <c:v>0.93229036849270253</c:v>
                </c:pt>
                <c:pt idx="7">
                  <c:v>0.92159786150737655</c:v>
                </c:pt>
                <c:pt idx="8">
                  <c:v>0.91152994639774831</c:v>
                </c:pt>
                <c:pt idx="9">
                  <c:v>0.90225244061988019</c:v>
                </c:pt>
                <c:pt idx="10">
                  <c:v>0.89390138855852963</c:v>
                </c:pt>
                <c:pt idx="11">
                  <c:v>0.88657972411576058</c:v>
                </c:pt>
                <c:pt idx="12">
                  <c:v>0.88035700756494606</c:v>
                </c:pt>
                <c:pt idx="13">
                  <c:v>0.87527153826106308</c:v>
                </c:pt>
                <c:pt idx="14">
                  <c:v>0.87133405274445752</c:v>
                </c:pt>
                <c:pt idx="15">
                  <c:v>0.86853226968826602</c:v>
                </c:pt>
                <c:pt idx="16">
                  <c:v>0.86683567943564843</c:v>
                </c:pt>
                <c:pt idx="17">
                  <c:v>0.86620014320792427</c:v>
                </c:pt>
                <c:pt idx="18">
                  <c:v>0.86657202784629039</c:v>
                </c:pt>
                <c:pt idx="19">
                  <c:v>0.86789173548219622</c:v>
                </c:pt>
                <c:pt idx="20">
                  <c:v>0.87009658656243549</c:v>
                </c:pt>
                <c:pt idx="21">
                  <c:v>0.87312308054970156</c:v>
                </c:pt>
                <c:pt idx="22">
                  <c:v>0.87690859707286284</c:v>
                </c:pt>
                <c:pt idx="23">
                  <c:v>0.88139261832028648</c:v>
                </c:pt>
                <c:pt idx="24">
                  <c:v>0.88651755762635631</c:v>
                </c:pt>
                <c:pt idx="25">
                  <c:v>0.89222927484997749</c:v>
                </c:pt>
                <c:pt idx="26">
                  <c:v>0.89847735024154218</c:v>
                </c:pt>
                <c:pt idx="27">
                  <c:v>0.90521517773721594</c:v>
                </c:pt>
                <c:pt idx="28">
                  <c:v>0.9123999276987802</c:v>
                </c:pt>
                <c:pt idx="29">
                  <c:v>0.91999241899407236</c:v>
                </c:pt>
                <c:pt idx="30">
                  <c:v>0.9279569314506465</c:v>
                </c:pt>
                <c:pt idx="31">
                  <c:v>0.93626098226185994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0.99896546166948919</c:v>
                </c:pt>
                <c:pt idx="1">
                  <c:v>0.98940578056082573</c:v>
                </c:pt>
                <c:pt idx="2">
                  <c:v>0.97947189371433063</c:v>
                </c:pt>
                <c:pt idx="3">
                  <c:v>0.96929578587328047</c:v>
                </c:pt>
                <c:pt idx="4">
                  <c:v>0.95903497514782621</c:v>
                </c:pt>
                <c:pt idx="5">
                  <c:v>0.94886184058957301</c:v>
                </c:pt>
                <c:pt idx="6">
                  <c:v>0.93895276992603449</c:v>
                </c:pt>
                <c:pt idx="7">
                  <c:v>0.9294779509855069</c:v>
                </c:pt>
                <c:pt idx="8">
                  <c:v>0.92059273828358845</c:v>
                </c:pt>
                <c:pt idx="9">
                  <c:v>0.91243123040408336</c:v>
                </c:pt>
                <c:pt idx="10">
                  <c:v>0.90510230957636495</c:v>
                </c:pt>
                <c:pt idx="11">
                  <c:v>0.89868804302810579</c:v>
                </c:pt>
                <c:pt idx="12">
                  <c:v>0.89324409115565617</c:v>
                </c:pt>
                <c:pt idx="13">
                  <c:v>0.88880163115229216</c:v>
                </c:pt>
                <c:pt idx="14">
                  <c:v>0.88537027471731178</c:v>
                </c:pt>
                <c:pt idx="15">
                  <c:v>0.88294150541124627</c:v>
                </c:pt>
                <c:pt idx="16">
                  <c:v>0.88149225157307554</c:v>
                </c:pt>
                <c:pt idx="17">
                  <c:v>0.88098831575661751</c:v>
                </c:pt>
                <c:pt idx="18">
                  <c:v>0.88138748140835821</c:v>
                </c:pt>
                <c:pt idx="19">
                  <c:v>0.88264220093765211</c:v>
                </c:pt>
                <c:pt idx="20">
                  <c:v>0.8847018324122492</c:v>
                </c:pt>
                <c:pt idx="21">
                  <c:v>0.88751443544606456</c:v>
                </c:pt>
                <c:pt idx="22">
                  <c:v>0.89102816346011227</c:v>
                </c:pt>
                <c:pt idx="23">
                  <c:v>0.89519230327127308</c:v>
                </c:pt>
                <c:pt idx="24">
                  <c:v>0.89995801766749817</c:v>
                </c:pt>
                <c:pt idx="25">
                  <c:v>0.90527884544974946</c:v>
                </c:pt>
                <c:pt idx="26">
                  <c:v>0.91111100881455198</c:v>
                </c:pt>
                <c:pt idx="27">
                  <c:v>0.91741357166890081</c:v>
                </c:pt>
                <c:pt idx="28">
                  <c:v>0.92414848567726449</c:v>
                </c:pt>
                <c:pt idx="29">
                  <c:v>0.93128055425507406</c:v>
                </c:pt>
                <c:pt idx="30">
                  <c:v>0.93877733873938429</c:v>
                </c:pt>
                <c:pt idx="31">
                  <c:v>0.9466090257638301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0.99905813740407301</c:v>
                </c:pt>
                <c:pt idx="1">
                  <c:v>0.99034805276657822</c:v>
                </c:pt>
                <c:pt idx="2">
                  <c:v>0.98130705224268755</c:v>
                </c:pt>
                <c:pt idx="3">
                  <c:v>0.97207856317464747</c:v>
                </c:pt>
                <c:pt idx="4">
                  <c:v>0.96281919985108277</c:v>
                </c:pt>
                <c:pt idx="5">
                  <c:v>0.95368980183456264</c:v>
                </c:pt>
                <c:pt idx="6">
                  <c:v>0.94484719988532262</c:v>
                </c:pt>
                <c:pt idx="7">
                  <c:v>0.93643715591368559</c:v>
                </c:pt>
                <c:pt idx="8">
                  <c:v>0.92858891015479772</c:v>
                </c:pt>
                <c:pt idx="9">
                  <c:v>0.92141154339400821</c:v>
                </c:pt>
                <c:pt idx="10">
                  <c:v>0.91499212914347727</c:v>
                </c:pt>
                <c:pt idx="11">
                  <c:v>0.90939546823819528</c:v>
                </c:pt>
                <c:pt idx="12">
                  <c:v>0.90466508697623227</c:v>
                </c:pt>
                <c:pt idx="13">
                  <c:v>0.90082513798353614</c:v>
                </c:pt>
                <c:pt idx="14">
                  <c:v>0.89788285585727134</c:v>
                </c:pt>
                <c:pt idx="15">
                  <c:v>0.89583126791889545</c:v>
                </c:pt>
                <c:pt idx="16">
                  <c:v>0.89465192565946461</c:v>
                </c:pt>
                <c:pt idx="17">
                  <c:v>0.8943174904008151</c:v>
                </c:pt>
                <c:pt idx="18">
                  <c:v>0.89479406810500994</c:v>
                </c:pt>
                <c:pt idx="19">
                  <c:v>0.89604323846251221</c:v>
                </c:pt>
                <c:pt idx="20">
                  <c:v>0.89802376107709114</c:v>
                </c:pt>
                <c:pt idx="21">
                  <c:v>0.90069296756524508</c:v>
                </c:pt>
                <c:pt idx="22">
                  <c:v>0.90400786459908533</c:v>
                </c:pt>
                <c:pt idx="23">
                  <c:v>0.90792598158260673</c:v>
                </c:pt>
                <c:pt idx="24">
                  <c:v>0.91240599989518578</c:v>
                </c:pt>
                <c:pt idx="25">
                  <c:v>0.91740820027097258</c:v>
                </c:pt>
                <c:pt idx="26">
                  <c:v>0.92289476232130152</c:v>
                </c:pt>
                <c:pt idx="27">
                  <c:v>0.92882994648276473</c:v>
                </c:pt>
                <c:pt idx="28">
                  <c:v>0.93518018449721052</c:v>
                </c:pt>
                <c:pt idx="29">
                  <c:v>0.94191410035951317</c:v>
                </c:pt>
                <c:pt idx="30">
                  <c:v>0.94900247977569618</c:v>
                </c:pt>
                <c:pt idx="31">
                  <c:v>0.95641820269816646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0.99914130359958608</c:v>
                </c:pt>
                <c:pt idx="1">
                  <c:v>0.99119474922516948</c:v>
                </c:pt>
                <c:pt idx="2">
                  <c:v>0.98295491919596012</c:v>
                </c:pt>
                <c:pt idx="3">
                  <c:v>0.97457226950918019</c:v>
                </c:pt>
                <c:pt idx="4">
                  <c:v>0.96620127775499975</c:v>
                </c:pt>
                <c:pt idx="5">
                  <c:v>0.95799285093914377</c:v>
                </c:pt>
                <c:pt idx="6">
                  <c:v>0.95008804462269059</c:v>
                </c:pt>
                <c:pt idx="7">
                  <c:v>0.94261330450373682</c:v>
                </c:pt>
                <c:pt idx="8">
                  <c:v>0.93567731697085044</c:v>
                </c:pt>
                <c:pt idx="9">
                  <c:v>0.92936938553184267</c:v>
                </c:pt>
                <c:pt idx="10">
                  <c:v>0.92375912472346344</c:v>
                </c:pt>
                <c:pt idx="11">
                  <c:v>0.91889719454661345</c:v>
                </c:pt>
                <c:pt idx="12">
                  <c:v>0.91481678041746572</c:v>
                </c:pt>
                <c:pt idx="13">
                  <c:v>0.91153554261573466</c:v>
                </c:pt>
                <c:pt idx="14">
                  <c:v>0.90905780048047169</c:v>
                </c:pt>
                <c:pt idx="15">
                  <c:v>0.90737676742245243</c:v>
                </c:pt>
                <c:pt idx="16">
                  <c:v>0.90647670391591029</c:v>
                </c:pt>
                <c:pt idx="17">
                  <c:v>0.90633490128649696</c:v>
                </c:pt>
                <c:pt idx="18">
                  <c:v>0.90692344656757518</c:v>
                </c:pt>
                <c:pt idx="19">
                  <c:v>0.9082107472967792</c:v>
                </c:pt>
                <c:pt idx="20">
                  <c:v>0.91016281550151168</c:v>
                </c:pt>
                <c:pt idx="21">
                  <c:v>0.91274432355325319</c:v>
                </c:pt>
                <c:pt idx="22">
                  <c:v>0.91591945253656903</c:v>
                </c:pt>
                <c:pt idx="23">
                  <c:v>0.9196525576967135</c:v>
                </c:pt>
                <c:pt idx="24">
                  <c:v>0.92390867662015941</c:v>
                </c:pt>
                <c:pt idx="25">
                  <c:v>0.92865390504277201</c:v>
                </c:pt>
                <c:pt idx="26">
                  <c:v>0.93385566331034353</c:v>
                </c:pt>
                <c:pt idx="27">
                  <c:v>0.93948287406822983</c:v>
                </c:pt>
                <c:pt idx="28">
                  <c:v>0.94550606909547563</c:v>
                </c:pt>
                <c:pt idx="29">
                  <c:v>0.95189744056017411</c:v>
                </c:pt>
                <c:pt idx="30">
                  <c:v>0.95863084949886024</c:v>
                </c:pt>
                <c:pt idx="31">
                  <c:v>0.96568180208944709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0.99921616706012339</c:v>
                </c:pt>
                <c:pt idx="1">
                  <c:v>0.99195798581302574</c:v>
                </c:pt>
                <c:pt idx="2">
                  <c:v>0.98443974991294481</c:v>
                </c:pt>
                <c:pt idx="3">
                  <c:v>0.9768155339072393</c:v>
                </c:pt>
                <c:pt idx="4">
                  <c:v>0.9692366560500516</c:v>
                </c:pt>
                <c:pt idx="5">
                  <c:v>0.96184521883389718</c:v>
                </c:pt>
                <c:pt idx="6">
                  <c:v>0.95476929757933282</c:v>
                </c:pt>
                <c:pt idx="7">
                  <c:v>0.94811986570104057</c:v>
                </c:pt>
                <c:pt idx="8">
                  <c:v>0.94198930804543679</c:v>
                </c:pt>
                <c:pt idx="9">
                  <c:v>0.93645124408453984</c:v>
                </c:pt>
                <c:pt idx="10">
                  <c:v>0.93156133310684908</c:v>
                </c:pt>
                <c:pt idx="11">
                  <c:v>0.92735874156580289</c:v>
                </c:pt>
                <c:pt idx="12">
                  <c:v>0.92386799540780373</c:v>
                </c:pt>
                <c:pt idx="13">
                  <c:v>0.92110099805877199</c:v>
                </c:pt>
                <c:pt idx="14">
                  <c:v>0.91905905408108135</c:v>
                </c:pt>
                <c:pt idx="15">
                  <c:v>0.91773479129653845</c:v>
                </c:pt>
                <c:pt idx="16">
                  <c:v>0.91711391687263499</c:v>
                </c:pt>
                <c:pt idx="17">
                  <c:v>0.91717677493461447</c:v>
                </c:pt>
                <c:pt idx="18">
                  <c:v>0.91789969579079045</c:v>
                </c:pt>
                <c:pt idx="19">
                  <c:v>0.91925614162893265</c:v>
                </c:pt>
                <c:pt idx="20">
                  <c:v>0.92121766244134751</c:v>
                </c:pt>
                <c:pt idx="21">
                  <c:v>0.9237546806419854</c:v>
                </c:pt>
                <c:pt idx="22">
                  <c:v>0.92683712470293256</c:v>
                </c:pt>
                <c:pt idx="23">
                  <c:v>0.93043493217994444</c:v>
                </c:pt>
                <c:pt idx="24">
                  <c:v>0.93451844144768204</c:v>
                </c:pt>
                <c:pt idx="25">
                  <c:v>0.9390586898256047</c:v>
                </c:pt>
                <c:pt idx="26">
                  <c:v>0.94402763387434885</c:v>
                </c:pt>
                <c:pt idx="27">
                  <c:v>0.94939830568723405</c:v>
                </c:pt>
                <c:pt idx="28">
                  <c:v>0.95514491711600291</c:v>
                </c:pt>
                <c:pt idx="29">
                  <c:v>0.96124292212225448</c:v>
                </c:pt>
                <c:pt idx="30">
                  <c:v>0.96766904586872393</c:v>
                </c:pt>
                <c:pt idx="31">
                  <c:v>0.97440128776781565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0.99928374996821723</c:v>
                </c:pt>
                <c:pt idx="1">
                  <c:v>0.99264802109479722</c:v>
                </c:pt>
                <c:pt idx="2">
                  <c:v>0.98578196797436868</c:v>
                </c:pt>
                <c:pt idx="3">
                  <c:v>0.97884065744408222</c:v>
                </c:pt>
                <c:pt idx="4">
                  <c:v>0.97197142282603943</c:v>
                </c:pt>
                <c:pt idx="5">
                  <c:v>0.9653083690013412</c:v>
                </c:pt>
                <c:pt idx="6">
                  <c:v>0.95896867617252002</c:v>
                </c:pt>
                <c:pt idx="7">
                  <c:v>0.95305075495358038</c:v>
                </c:pt>
                <c:pt idx="8">
                  <c:v>0.94763395158734043</c:v>
                </c:pt>
                <c:pt idx="9">
                  <c:v>0.942779398138755</c:v>
                </c:pt>
                <c:pt idx="10">
                  <c:v>0.93853160468900731</c:v>
                </c:pt>
                <c:pt idx="11">
                  <c:v>0.93492044938723184</c:v>
                </c:pt>
                <c:pt idx="12">
                  <c:v>0.93196330386173676</c:v>
                </c:pt>
                <c:pt idx="13">
                  <c:v>0.92966711358248677</c:v>
                </c:pt>
                <c:pt idx="14">
                  <c:v>0.92803032302275368</c:v>
                </c:pt>
                <c:pt idx="15">
                  <c:v>0.92704458922563371</c:v>
                </c:pt>
                <c:pt idx="16">
                  <c:v>0.9266962647835677</c:v>
                </c:pt>
                <c:pt idx="17">
                  <c:v>0.92696765486446053</c:v>
                </c:pt>
                <c:pt idx="18">
                  <c:v>0.92783806613802711</c:v>
                </c:pt>
                <c:pt idx="19">
                  <c:v>0.92928467148778393</c:v>
                </c:pt>
                <c:pt idx="20">
                  <c:v>0.93128321587176477</c:v>
                </c:pt>
                <c:pt idx="21">
                  <c:v>0.93380858756462337</c:v>
                </c:pt>
                <c:pt idx="22">
                  <c:v>0.93683527659768118</c:v>
                </c:pt>
                <c:pt idx="23">
                  <c:v>0.94033773934091891</c:v>
                </c:pt>
                <c:pt idx="24">
                  <c:v>0.94429068531608962</c:v>
                </c:pt>
                <c:pt idx="25">
                  <c:v>0.94866929973094583</c:v>
                </c:pt>
                <c:pt idx="26">
                  <c:v>0.95344941297316799</c:v>
                </c:pt>
                <c:pt idx="27">
                  <c:v>0.95860762640868658</c:v>
                </c:pt>
                <c:pt idx="28">
                  <c:v>0.96412140226151477</c:v>
                </c:pt>
                <c:pt idx="29">
                  <c:v>0.96996912406368296</c:v>
                </c:pt>
                <c:pt idx="30">
                  <c:v>0.97613013310508989</c:v>
                </c:pt>
                <c:pt idx="31">
                  <c:v>0.98258474543939323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0.99934492284428467</c:v>
                </c:pt>
                <c:pt idx="1">
                  <c:v>0.99327358968639867</c:v>
                </c:pt>
                <c:pt idx="2">
                  <c:v>0.98699887628034166</c:v>
                </c:pt>
                <c:pt idx="3">
                  <c:v>0.98067482833906305</c:v>
                </c:pt>
                <c:pt idx="4">
                  <c:v>0.97444414581435823</c:v>
                </c:pt>
                <c:pt idx="5">
                  <c:v>0.96843352825642992</c:v>
                </c:pt>
                <c:pt idx="6">
                  <c:v>0.96275083245939674</c:v>
                </c:pt>
                <c:pt idx="7">
                  <c:v>0.95748412236355718</c:v>
                </c:pt>
                <c:pt idx="8">
                  <c:v>0.95270221833976643</c:v>
                </c:pt>
                <c:pt idx="9">
                  <c:v>0.94845626279791184</c:v>
                </c:pt>
                <c:pt idx="10">
                  <c:v>0.94478185522135283</c:v>
                </c:pt>
                <c:pt idx="11">
                  <c:v>0.94170140119746326</c:v>
                </c:pt>
                <c:pt idx="12">
                  <c:v>0.93922642585097449</c:v>
                </c:pt>
                <c:pt idx="13">
                  <c:v>0.93735969860329538</c:v>
                </c:pt>
                <c:pt idx="14">
                  <c:v>0.9360970924970563</c:v>
                </c:pt>
                <c:pt idx="15">
                  <c:v>0.93542915514523428</c:v>
                </c:pt>
                <c:pt idx="16">
                  <c:v>0.93534240218340703</c:v>
                </c:pt>
                <c:pt idx="17">
                  <c:v>0.9358203623875414</c:v>
                </c:pt>
                <c:pt idx="18">
                  <c:v>0.93684441105163097</c:v>
                </c:pt>
                <c:pt idx="19">
                  <c:v>0.93839442881617474</c:v>
                </c:pt>
                <c:pt idx="20">
                  <c:v>0.94044931994495018</c:v>
                </c:pt>
                <c:pt idx="21">
                  <c:v>0.94298741915869444</c:v>
                </c:pt>
                <c:pt idx="22">
                  <c:v>0.9459868108620646</c:v>
                </c:pt>
                <c:pt idx="23">
                  <c:v>0.94942557967796515</c:v>
                </c:pt>
                <c:pt idx="24">
                  <c:v>0.95328200697305776</c:v>
                </c:pt>
                <c:pt idx="25">
                  <c:v>0.95753472461875844</c:v>
                </c:pt>
                <c:pt idx="26">
                  <c:v>0.96216283454601426</c:v>
                </c:pt>
                <c:pt idx="27">
                  <c:v>0.96714600061726463</c:v>
                </c:pt>
                <c:pt idx="28">
                  <c:v>0.9724645178319038</c:v>
                </c:pt>
                <c:pt idx="29">
                  <c:v>0.97809936278243925</c:v>
                </c:pt>
                <c:pt idx="30">
                  <c:v>0.98403222848307081</c:v>
                </c:pt>
                <c:pt idx="31">
                  <c:v>0.9902455461157833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0.99940043087030161</c:v>
                </c:pt>
                <c:pt idx="1">
                  <c:v>0.99384216791692981</c:v>
                </c:pt>
                <c:pt idx="2">
                  <c:v>0.98810521872447787</c:v>
                </c:pt>
                <c:pt idx="3">
                  <c:v>0.98234107404884485</c:v>
                </c:pt>
                <c:pt idx="4">
                  <c:v>0.9766873069677191</c:v>
                </c:pt>
                <c:pt idx="5">
                  <c:v>0.97126366136490805</c:v>
                </c:pt>
                <c:pt idx="6">
                  <c:v>0.96616986916499137</c:v>
                </c:pt>
                <c:pt idx="7">
                  <c:v>0.96148534685148523</c:v>
                </c:pt>
                <c:pt idx="8">
                  <c:v>0.95727033117624061</c:v>
                </c:pt>
                <c:pt idx="9">
                  <c:v>0.95356792847137861</c:v>
                </c:pt>
                <c:pt idx="10">
                  <c:v>0.95040660886348971</c:v>
                </c:pt>
                <c:pt idx="11">
                  <c:v>0.94780278782173322</c:v>
                </c:pt>
                <c:pt idx="12">
                  <c:v>0.94576325726923871</c:v>
                </c:pt>
                <c:pt idx="13">
                  <c:v>0.94428733278176269</c:v>
                </c:pt>
                <c:pt idx="14">
                  <c:v>0.94336866247749085</c:v>
                </c:pt>
                <c:pt idx="15">
                  <c:v>0.94299669638097949</c:v>
                </c:pt>
                <c:pt idx="16">
                  <c:v>0.94315784627814359</c:v>
                </c:pt>
                <c:pt idx="17">
                  <c:v>0.94383638092786615</c:v>
                </c:pt>
                <c:pt idx="18">
                  <c:v>0.94501510535718825</c:v>
                </c:pt>
                <c:pt idx="19">
                  <c:v>0.94667587026546363</c:v>
                </c:pt>
                <c:pt idx="20">
                  <c:v>0.94879995153658736</c:v>
                </c:pt>
                <c:pt idx="21">
                  <c:v>0.95136833266135701</c:v>
                </c:pt>
                <c:pt idx="22">
                  <c:v>0.95436191579934349</c:v>
                </c:pt>
                <c:pt idx="23">
                  <c:v>0.9577616809406746</c:v>
                </c:pt>
                <c:pt idx="24">
                  <c:v>0.96154880743629267</c:v>
                </c:pt>
                <c:pt idx="25">
                  <c:v>0.96570476807905581</c:v>
                </c:pt>
                <c:pt idx="26">
                  <c:v>0.97021140283449425</c:v>
                </c:pt>
                <c:pt idx="27">
                  <c:v>0.97505097707876298</c:v>
                </c:pt>
                <c:pt idx="28">
                  <c:v>0.98020622762941789</c:v>
                </c:pt>
                <c:pt idx="29">
                  <c:v>0.98566039879128309</c:v>
                </c:pt>
                <c:pt idx="30">
                  <c:v>0.99139726994733557</c:v>
                </c:pt>
                <c:pt idx="31">
                  <c:v>0.99740117579253518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0.99945091503934469</c:v>
                </c:pt>
                <c:pt idx="1">
                  <c:v>0.99436018686838579</c:v>
                </c:pt>
                <c:pt idx="2">
                  <c:v>0.98911362691202032</c:v>
                </c:pt>
                <c:pt idx="3">
                  <c:v>0.98385901261187414</c:v>
                </c:pt>
                <c:pt idx="4">
                  <c:v>0.97872842947578298</c:v>
                </c:pt>
                <c:pt idx="5">
                  <c:v>0.97383502138071165</c:v>
                </c:pt>
                <c:pt idx="6">
                  <c:v>0.96927132147424</c:v>
                </c:pt>
                <c:pt idx="7">
                  <c:v>0.96510941094528879</c:v>
                </c:pt>
                <c:pt idx="8">
                  <c:v>0.96140245011189152</c:v>
                </c:pt>
                <c:pt idx="9">
                  <c:v>0.95818703912048231</c:v>
                </c:pt>
                <c:pt idx="10">
                  <c:v>0.95548593347958222</c:v>
                </c:pt>
                <c:pt idx="11">
                  <c:v>0.95331076116251368</c:v>
                </c:pt>
                <c:pt idx="12">
                  <c:v>0.95166451462599033</c:v>
                </c:pt>
                <c:pt idx="13">
                  <c:v>0.95054369861077637</c:v>
                </c:pt>
                <c:pt idx="14">
                  <c:v>0.94994009419925085</c:v>
                </c:pt>
                <c:pt idx="15">
                  <c:v>0.94984215164169838</c:v>
                </c:pt>
                <c:pt idx="16">
                  <c:v>0.95023605372352438</c:v>
                </c:pt>
                <c:pt idx="17">
                  <c:v>0.95110650406209574</c:v>
                </c:pt>
                <c:pt idx="18">
                  <c:v>0.9524372964280956</c:v>
                </c:pt>
                <c:pt idx="19">
                  <c:v>0.95421171657086934</c:v>
                </c:pt>
                <c:pt idx="20">
                  <c:v>0.95641282038602426</c:v>
                </c:pt>
                <c:pt idx="21">
                  <c:v>0.95902362374986438</c:v>
                </c:pt>
                <c:pt idx="22">
                  <c:v>0.96202723122712874</c:v>
                </c:pt>
                <c:pt idx="23">
                  <c:v>0.96540692377930637</c:v>
                </c:pt>
                <c:pt idx="24">
                  <c:v>0.96914621979766635</c:v>
                </c:pt>
                <c:pt idx="25">
                  <c:v>0.97322891925344868</c:v>
                </c:pt>
                <c:pt idx="26">
                  <c:v>0.97763913736514507</c:v>
                </c:pt>
                <c:pt idx="27">
                  <c:v>0.9823613317434664</c:v>
                </c:pt>
                <c:pt idx="28">
                  <c:v>0.98738032529314046</c:v>
                </c:pt>
                <c:pt idx="29">
                  <c:v>0.99268132604671655</c:v>
                </c:pt>
                <c:pt idx="30">
                  <c:v>0.99824994442459225</c:v>
                </c:pt>
                <c:pt idx="31">
                  <c:v>1.0040722080322932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0.99949692924912803</c:v>
                </c:pt>
                <c:pt idx="1">
                  <c:v>0.99483320428119926</c:v>
                </c:pt>
                <c:pt idx="2">
                  <c:v>0.99003497785641914</c:v>
                </c:pt>
                <c:pt idx="3">
                  <c:v>0.98524544972444039</c:v>
                </c:pt>
                <c:pt idx="4">
                  <c:v>0.98059096919836031</c:v>
                </c:pt>
                <c:pt idx="5">
                  <c:v>0.97617837448945766</c:v>
                </c:pt>
                <c:pt idx="6">
                  <c:v>0.97209372632550817</c:v>
                </c:pt>
                <c:pt idx="7">
                  <c:v>0.96840279177538025</c:v>
                </c:pt>
                <c:pt idx="8">
                  <c:v>0.96515282917308176</c:v>
                </c:pt>
                <c:pt idx="9">
                  <c:v>0.9623751323314943</c:v>
                </c:pt>
                <c:pt idx="10">
                  <c:v>0.96008786431160953</c:v>
                </c:pt>
                <c:pt idx="11">
                  <c:v>0.95829883630583712</c:v>
                </c:pt>
                <c:pt idx="12">
                  <c:v>0.95700801561601911</c:v>
                </c:pt>
                <c:pt idx="13">
                  <c:v>0.95620965431424465</c:v>
                </c:pt>
                <c:pt idx="14">
                  <c:v>0.95589400879270059</c:v>
                </c:pt>
                <c:pt idx="15">
                  <c:v>0.95604867096039914</c:v>
                </c:pt>
                <c:pt idx="16">
                  <c:v>0.95665955952455994</c:v>
                </c:pt>
                <c:pt idx="17">
                  <c:v>0.95771163095567002</c:v>
                </c:pt>
                <c:pt idx="18">
                  <c:v>0.95918937020132911</c:v>
                </c:pt>
                <c:pt idx="19">
                  <c:v>0.96107711558514164</c:v>
                </c:pt>
                <c:pt idx="20">
                  <c:v>0.96335926387332005</c:v>
                </c:pt>
                <c:pt idx="21">
                  <c:v>0.96602039232950743</c:v>
                </c:pt>
                <c:pt idx="22">
                  <c:v>0.96904532594067927</c:v>
                </c:pt>
                <c:pt idx="23">
                  <c:v>0.97241917049969762</c:v>
                </c:pt>
                <c:pt idx="24">
                  <c:v>0.97612732609069586</c:v>
                </c:pt>
                <c:pt idx="25">
                  <c:v>0.98015549072407882</c:v>
                </c:pt>
                <c:pt idx="26">
                  <c:v>0.98448966026708185</c:v>
                </c:pt>
                <c:pt idx="27">
                  <c:v>0.98911612822058692</c:v>
                </c:pt>
                <c:pt idx="28">
                  <c:v>0.99402148710192317</c:v>
                </c:pt>
                <c:pt idx="29">
                  <c:v>0.99919263202036401</c:v>
                </c:pt>
                <c:pt idx="30">
                  <c:v>1.0046167663165686</c:v>
                </c:pt>
                <c:pt idx="31">
                  <c:v>1.0102814087479526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0.9995389541985098</c:v>
                </c:pt>
                <c:pt idx="1">
                  <c:v>0.99526604411885311</c:v>
                </c:pt>
                <c:pt idx="2">
                  <c:v>0.99087868229308873</c:v>
                </c:pt>
                <c:pt idx="3">
                  <c:v>0.98651485646988468</c:v>
                </c:pt>
                <c:pt idx="4">
                  <c:v>0.98229502447766504</c:v>
                </c:pt>
                <c:pt idx="5">
                  <c:v>0.97831997370411616</c:v>
                </c:pt>
                <c:pt idx="6">
                  <c:v>0.9746698717922001</c:v>
                </c:pt>
                <c:pt idx="7">
                  <c:v>0.97140497328950548</c:v>
                </c:pt>
                <c:pt idx="8">
                  <c:v>0.96856755384663251</c:v>
                </c:pt>
                <c:pt idx="9">
                  <c:v>0.96618454349549632</c:v>
                </c:pt>
                <c:pt idx="10">
                  <c:v>0.96427040205621428</c:v>
                </c:pt>
                <c:pt idx="11">
                  <c:v>0.96282990418690229</c:v>
                </c:pt>
                <c:pt idx="12">
                  <c:v>0.96186062834316621</c:v>
                </c:pt>
                <c:pt idx="13">
                  <c:v>0.96135504945164674</c:v>
                </c:pt>
                <c:pt idx="14">
                  <c:v>0.96130221169711561</c:v>
                </c:pt>
                <c:pt idx="15">
                  <c:v>0.96168900665830925</c:v>
                </c:pt>
                <c:pt idx="16">
                  <c:v>0.96250110838758385</c:v>
                </c:pt>
                <c:pt idx="17">
                  <c:v>0.9637236272458537</c:v>
                </c:pt>
                <c:pt idx="18">
                  <c:v>0.96534154412783313</c:v>
                </c:pt>
                <c:pt idx="19">
                  <c:v>0.96733998065806559</c:v>
                </c:pt>
                <c:pt idx="20">
                  <c:v>0.96970435219920403</c:v>
                </c:pt>
                <c:pt idx="21">
                  <c:v>0.97242044114835169</c:v>
                </c:pt>
                <c:pt idx="22">
                  <c:v>0.97547441919888433</c:v>
                </c:pt>
                <c:pt idx="23">
                  <c:v>0.978852839607256</c:v>
                </c:pt>
                <c:pt idx="24">
                  <c:v>0.98254261423391898</c:v>
                </c:pt>
                <c:pt idx="25">
                  <c:v>0.98653098520411042</c:v>
                </c:pt>
                <c:pt idx="26">
                  <c:v>0.99080549731816747</c:v>
                </c:pt>
                <c:pt idx="27">
                  <c:v>0.99535397464254738</c:v>
                </c:pt>
                <c:pt idx="28">
                  <c:v>1.0001645028338775</c:v>
                </c:pt>
                <c:pt idx="29">
                  <c:v>1.0052254175050954</c:v>
                </c:pt>
                <c:pt idx="30">
                  <c:v>1.0105252981756596</c:v>
                </c:pt>
                <c:pt idx="31">
                  <c:v>1.0160529669252518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4.4312050713202211E-3</c:v>
                </c:pt>
                <c:pt idx="1">
                  <c:v>4.4878724845487383E-2</c:v>
                </c:pt>
                <c:pt idx="2">
                  <c:v>9.1788957602756405E-2</c:v>
                </c:pt>
                <c:pt idx="3">
                  <c:v>0.14877913690658495</c:v>
                </c:pt>
                <c:pt idx="4">
                  <c:v>0.21463486265271836</c:v>
                </c:pt>
                <c:pt idx="5">
                  <c:v>0.28417986452811128</c:v>
                </c:pt>
                <c:pt idx="6">
                  <c:v>0.35023806492995302</c:v>
                </c:pt>
                <c:pt idx="7">
                  <c:v>0.40620387843848249</c:v>
                </c:pt>
                <c:pt idx="8">
                  <c:v>0.44797327381962404</c:v>
                </c:pt>
                <c:pt idx="9">
                  <c:v>0.47444617040615089</c:v>
                </c:pt>
                <c:pt idx="10">
                  <c:v>0.4868240623771003</c:v>
                </c:pt>
                <c:pt idx="11">
                  <c:v>0.48748479379934206</c:v>
                </c:pt>
                <c:pt idx="12">
                  <c:v>0.47907003551417304</c:v>
                </c:pt>
                <c:pt idx="13">
                  <c:v>0.4639924129988815</c:v>
                </c:pt>
                <c:pt idx="14">
                  <c:v>0.44427046134132286</c:v>
                </c:pt>
                <c:pt idx="15">
                  <c:v>0.42152654258842404</c:v>
                </c:pt>
                <c:pt idx="16">
                  <c:v>0.39703452760142532</c:v>
                </c:pt>
                <c:pt idx="17">
                  <c:v>0.37177082109063342</c:v>
                </c:pt>
                <c:pt idx="18">
                  <c:v>0.34645975336777823</c:v>
                </c:pt>
                <c:pt idx="19">
                  <c:v>0.32161536578023675</c:v>
                </c:pt>
                <c:pt idx="20">
                  <c:v>0.29758115111366834</c:v>
                </c:pt>
                <c:pt idx="21">
                  <c:v>0.2745671277016859</c:v>
                </c:pt>
                <c:pt idx="22">
                  <c:v>0.25268280415757793</c:v>
                </c:pt>
                <c:pt idx="23">
                  <c:v>0.23196497007083039</c:v>
                </c:pt>
                <c:pt idx="24">
                  <c:v>0.21240001795475028</c:v>
                </c:pt>
                <c:pt idx="25">
                  <c:v>0.19394114791149164</c:v>
                </c:pt>
                <c:pt idx="26">
                  <c:v>0.1765211717705828</c:v>
                </c:pt>
                <c:pt idx="27">
                  <c:v>0.16006175290883551</c:v>
                </c:pt>
                <c:pt idx="28">
                  <c:v>0.1444798819491</c:v>
                </c:pt>
                <c:pt idx="29">
                  <c:v>0.12969227762493762</c:v>
                </c:pt>
                <c:pt idx="30">
                  <c:v>0.11561826940165165</c:v>
                </c:pt>
                <c:pt idx="31">
                  <c:v>0.10218159239405722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3.75084483505983E-3</c:v>
                </c:pt>
                <c:pt idx="1">
                  <c:v>3.7942633091536671E-2</c:v>
                </c:pt>
                <c:pt idx="2">
                  <c:v>7.6887031563610542E-2</c:v>
                </c:pt>
                <c:pt idx="3">
                  <c:v>0.12336743766394598</c:v>
                </c:pt>
                <c:pt idx="4">
                  <c:v>0.17682108961092347</c:v>
                </c:pt>
                <c:pt idx="5">
                  <c:v>0.23391435554442896</c:v>
                </c:pt>
                <c:pt idx="6">
                  <c:v>0.28972472638666424</c:v>
                </c:pt>
                <c:pt idx="7">
                  <c:v>0.33932143657233738</c:v>
                </c:pt>
                <c:pt idx="8">
                  <c:v>0.37910248358297149</c:v>
                </c:pt>
                <c:pt idx="9">
                  <c:v>0.40738759868308438</c:v>
                </c:pt>
                <c:pt idx="10">
                  <c:v>0.42424900318138725</c:v>
                </c:pt>
                <c:pt idx="11">
                  <c:v>0.4309239856657987</c:v>
                </c:pt>
                <c:pt idx="12">
                  <c:v>0.42918940900749103</c:v>
                </c:pt>
                <c:pt idx="13">
                  <c:v>0.42090858786125729</c:v>
                </c:pt>
                <c:pt idx="14">
                  <c:v>0.40778414564790477</c:v>
                </c:pt>
                <c:pt idx="15">
                  <c:v>0.39126112403864433</c:v>
                </c:pt>
                <c:pt idx="16">
                  <c:v>0.37251255827919216</c:v>
                </c:pt>
                <c:pt idx="17">
                  <c:v>0.35246076894768219</c:v>
                </c:pt>
                <c:pt idx="18">
                  <c:v>0.33181043303343039</c:v>
                </c:pt>
                <c:pt idx="19">
                  <c:v>0.31108355015008193</c:v>
                </c:pt>
                <c:pt idx="20">
                  <c:v>0.29065271607264798</c:v>
                </c:pt>
                <c:pt idx="21">
                  <c:v>0.27077132860364728</c:v>
                </c:pt>
                <c:pt idx="22">
                  <c:v>0.25160007521629613</c:v>
                </c:pt>
                <c:pt idx="23">
                  <c:v>0.23322941844305944</c:v>
                </c:pt>
                <c:pt idx="24">
                  <c:v>0.21569810094956843</c:v>
                </c:pt>
                <c:pt idx="25">
                  <c:v>0.1990079438447534</c:v>
                </c:pt>
                <c:pt idx="26">
                  <c:v>0.18313537669467639</c:v>
                </c:pt>
                <c:pt idx="27">
                  <c:v>0.16804021119287693</c:v>
                </c:pt>
                <c:pt idx="28">
                  <c:v>0.15367217186856852</c:v>
                </c:pt>
                <c:pt idx="29">
                  <c:v>0.13997565331236306</c:v>
                </c:pt>
                <c:pt idx="30">
                  <c:v>0.12689310753555283</c:v>
                </c:pt>
                <c:pt idx="31">
                  <c:v>0.11436739366210702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3.1967449832803752E-3</c:v>
                </c:pt>
                <c:pt idx="1">
                  <c:v>3.2314921277531994E-2</c:v>
                </c:pt>
                <c:pt idx="2">
                  <c:v>6.4971982277839402E-2</c:v>
                </c:pt>
                <c:pt idx="3">
                  <c:v>0.10330196692909244</c:v>
                </c:pt>
                <c:pt idx="4">
                  <c:v>0.14708596286094888</c:v>
                </c:pt>
                <c:pt idx="5">
                  <c:v>0.19414237396553347</c:v>
                </c:pt>
                <c:pt idx="6">
                  <c:v>0.2410675349483471</c:v>
                </c:pt>
                <c:pt idx="7">
                  <c:v>0.28422945825135049</c:v>
                </c:pt>
                <c:pt idx="8">
                  <c:v>0.32067554556480804</c:v>
                </c:pt>
                <c:pt idx="9">
                  <c:v>0.34865070577894119</c:v>
                </c:pt>
                <c:pt idx="10">
                  <c:v>0.36765130353977327</c:v>
                </c:pt>
                <c:pt idx="11">
                  <c:v>0.37815433351573446</c:v>
                </c:pt>
                <c:pt idx="12">
                  <c:v>0.38123162000069932</c:v>
                </c:pt>
                <c:pt idx="13">
                  <c:v>0.37820533189070193</c:v>
                </c:pt>
                <c:pt idx="14">
                  <c:v>0.37040999558035637</c:v>
                </c:pt>
                <c:pt idx="15">
                  <c:v>0.35905963706006627</c:v>
                </c:pt>
                <c:pt idx="16">
                  <c:v>0.34519097035556889</c:v>
                </c:pt>
                <c:pt idx="17">
                  <c:v>0.32965197091994192</c:v>
                </c:pt>
                <c:pt idx="18">
                  <c:v>0.31311362611419202</c:v>
                </c:pt>
                <c:pt idx="19">
                  <c:v>0.2960915826766275</c:v>
                </c:pt>
                <c:pt idx="20">
                  <c:v>0.27897063397552824</c:v>
                </c:pt>
                <c:pt idx="21">
                  <c:v>0.26202857234025601</c:v>
                </c:pt>
                <c:pt idx="22">
                  <c:v>0.24545780724660737</c:v>
                </c:pt>
                <c:pt idx="23">
                  <c:v>0.22938411085671184</c:v>
                </c:pt>
                <c:pt idx="24">
                  <c:v>0.21388235949604262</c:v>
                </c:pt>
                <c:pt idx="25">
                  <c:v>0.19898941568219364</c:v>
                </c:pt>
                <c:pt idx="26">
                  <c:v>0.18471444067968967</c:v>
                </c:pt>
                <c:pt idx="27">
                  <c:v>0.17104699106840204</c:v>
                </c:pt>
                <c:pt idx="28">
                  <c:v>0.15796326373251901</c:v>
                </c:pt>
                <c:pt idx="29">
                  <c:v>0.14543083251306044</c:v>
                </c:pt>
                <c:pt idx="30">
                  <c:v>0.13341218148155143</c:v>
                </c:pt>
                <c:pt idx="31">
                  <c:v>0.12186729475838209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2.7425760861232718E-3</c:v>
                </c:pt>
                <c:pt idx="1">
                  <c:v>2.7715471259792679E-2</c:v>
                </c:pt>
                <c:pt idx="2">
                  <c:v>5.5356840384823691E-2</c:v>
                </c:pt>
                <c:pt idx="3">
                  <c:v>8.7298195886265084E-2</c:v>
                </c:pt>
                <c:pt idx="4">
                  <c:v>0.12349537251532539</c:v>
                </c:pt>
                <c:pt idx="5">
                  <c:v>0.16249729221440301</c:v>
                </c:pt>
                <c:pt idx="6">
                  <c:v>0.20192628300108595</c:v>
                </c:pt>
                <c:pt idx="7">
                  <c:v>0.23911806118026568</c:v>
                </c:pt>
                <c:pt idx="8">
                  <c:v>0.27173605142227775</c:v>
                </c:pt>
                <c:pt idx="9">
                  <c:v>0.29817836568113432</c:v>
                </c:pt>
                <c:pt idx="10">
                  <c:v>0.31770588571655711</c:v>
                </c:pt>
                <c:pt idx="11">
                  <c:v>0.33034127835851468</c:v>
                </c:pt>
                <c:pt idx="12">
                  <c:v>0.33664909897546114</c:v>
                </c:pt>
                <c:pt idx="13">
                  <c:v>0.33749920785197673</c:v>
                </c:pt>
                <c:pt idx="14">
                  <c:v>0.33387378992899563</c:v>
                </c:pt>
                <c:pt idx="15">
                  <c:v>0.32673695454688012</c:v>
                </c:pt>
                <c:pt idx="16">
                  <c:v>0.31696080177268104</c:v>
                </c:pt>
                <c:pt idx="17">
                  <c:v>0.30529259654299423</c:v>
                </c:pt>
                <c:pt idx="18">
                  <c:v>0.29234784258536095</c:v>
                </c:pt>
                <c:pt idx="19">
                  <c:v>0.27861774117643456</c:v>
                </c:pt>
                <c:pt idx="20">
                  <c:v>0.26448348359398022</c:v>
                </c:pt>
                <c:pt idx="21">
                  <c:v>0.25023287461234389</c:v>
                </c:pt>
                <c:pt idx="22">
                  <c:v>0.23607680336135139</c:v>
                </c:pt>
                <c:pt idx="23">
                  <c:v>0.22216431152954907</c:v>
                </c:pt>
                <c:pt idx="24">
                  <c:v>0.20859572844356133</c:v>
                </c:pt>
                <c:pt idx="25">
                  <c:v>0.19543374805663927</c:v>
                </c:pt>
                <c:pt idx="26">
                  <c:v>0.18271254121449143</c:v>
                </c:pt>
                <c:pt idx="27">
                  <c:v>0.17044510391228673</c:v>
                </c:pt>
                <c:pt idx="28">
                  <c:v>0.15862908406305554</c:v>
                </c:pt>
                <c:pt idx="29">
                  <c:v>0.14725133331405793</c:v>
                </c:pt>
                <c:pt idx="30">
                  <c:v>0.13629141380411269</c:v>
                </c:pt>
                <c:pt idx="31">
                  <c:v>0.12572426331525222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2.3677914818831525E-3</c:v>
                </c:pt>
                <c:pt idx="1">
                  <c:v>2.3928412991258696E-2</c:v>
                </c:pt>
                <c:pt idx="2">
                  <c:v>4.7527302328487231E-2</c:v>
                </c:pt>
                <c:pt idx="3">
                  <c:v>7.4407982037505427E-2</c:v>
                </c:pt>
                <c:pt idx="4">
                  <c:v>0.10460798485589784</c:v>
                </c:pt>
                <c:pt idx="5">
                  <c:v>0.13714563441535876</c:v>
                </c:pt>
                <c:pt idx="6">
                  <c:v>0.17034072400734512</c:v>
                </c:pt>
                <c:pt idx="7">
                  <c:v>0.20223660455664927</c:v>
                </c:pt>
                <c:pt idx="8">
                  <c:v>0.23101818983806144</c:v>
                </c:pt>
                <c:pt idx="9">
                  <c:v>0.25531679067325452</c:v>
                </c:pt>
                <c:pt idx="10">
                  <c:v>0.27434711343532481</c:v>
                </c:pt>
                <c:pt idx="11">
                  <c:v>0.28788975089244495</c:v>
                </c:pt>
                <c:pt idx="12">
                  <c:v>0.29617511542434638</c:v>
                </c:pt>
                <c:pt idx="13">
                  <c:v>0.2997314264703288</c:v>
                </c:pt>
                <c:pt idx="14">
                  <c:v>0.29924235346290295</c:v>
                </c:pt>
                <c:pt idx="15">
                  <c:v>0.29543683868682447</c:v>
                </c:pt>
                <c:pt idx="16">
                  <c:v>0.28901567542050088</c:v>
                </c:pt>
                <c:pt idx="17">
                  <c:v>0.28060964989273796</c:v>
                </c:pt>
                <c:pt idx="18">
                  <c:v>0.27076079755883331</c:v>
                </c:pt>
                <c:pt idx="19">
                  <c:v>0.25991871033603786</c:v>
                </c:pt>
                <c:pt idx="20">
                  <c:v>0.24844561572923141</c:v>
                </c:pt>
                <c:pt idx="21">
                  <c:v>0.23662588291328834</c:v>
                </c:pt>
                <c:pt idx="22">
                  <c:v>0.22467719443386436</c:v>
                </c:pt>
                <c:pt idx="23">
                  <c:v>0.21276175812490195</c:v>
                </c:pt>
                <c:pt idx="24">
                  <c:v>0.20099668674089521</c:v>
                </c:pt>
                <c:pt idx="25">
                  <c:v>0.18946314462875424</c:v>
                </c:pt>
                <c:pt idx="26">
                  <c:v>0.17821414197582985</c:v>
                </c:pt>
                <c:pt idx="27">
                  <c:v>0.16728101506358062</c:v>
                </c:pt>
                <c:pt idx="28">
                  <c:v>0.15667871162883262</c:v>
                </c:pt>
                <c:pt idx="29">
                  <c:v>0.14641003427751098</c:v>
                </c:pt>
                <c:pt idx="30">
                  <c:v>0.1364690013803127</c:v>
                </c:pt>
                <c:pt idx="31">
                  <c:v>0.1268434764685189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2.056379387882501E-3</c:v>
                </c:pt>
                <c:pt idx="1">
                  <c:v>2.0787088496732053E-2</c:v>
                </c:pt>
                <c:pt idx="2">
                  <c:v>4.1095697097759398E-2</c:v>
                </c:pt>
                <c:pt idx="3">
                  <c:v>6.3926247763856914E-2</c:v>
                </c:pt>
                <c:pt idx="4">
                  <c:v>8.9347236369774485E-2</c:v>
                </c:pt>
                <c:pt idx="5">
                  <c:v>0.11668223760363805</c:v>
                </c:pt>
                <c:pt idx="6">
                  <c:v>0.14472915262020436</c:v>
                </c:pt>
                <c:pt idx="7">
                  <c:v>0.17204483269184223</c:v>
                </c:pt>
                <c:pt idx="8">
                  <c:v>0.19723224830581199</c:v>
                </c:pt>
                <c:pt idx="9">
                  <c:v>0.21916383103648407</c:v>
                </c:pt>
                <c:pt idx="10">
                  <c:v>0.23710266675458502</c:v>
                </c:pt>
                <c:pt idx="11">
                  <c:v>0.25072148128923999</c:v>
                </c:pt>
                <c:pt idx="12">
                  <c:v>0.26004719773053964</c:v>
                </c:pt>
                <c:pt idx="13">
                  <c:v>0.26536807692500997</c:v>
                </c:pt>
                <c:pt idx="14">
                  <c:v>0.26713486204743564</c:v>
                </c:pt>
                <c:pt idx="15">
                  <c:v>0.26587540033229384</c:v>
                </c:pt>
                <c:pt idx="16">
                  <c:v>0.26213078408920953</c:v>
                </c:pt>
                <c:pt idx="17">
                  <c:v>0.25641327392722513</c:v>
                </c:pt>
                <c:pt idx="18">
                  <c:v>0.24918235104098851</c:v>
                </c:pt>
                <c:pt idx="19">
                  <c:v>0.24083408906283577</c:v>
                </c:pt>
                <c:pt idx="20">
                  <c:v>0.23169938283063019</c:v>
                </c:pt>
                <c:pt idx="21">
                  <c:v>0.22204750517473837</c:v>
                </c:pt>
                <c:pt idx="22">
                  <c:v>0.2120924678612468</c:v>
                </c:pt>
                <c:pt idx="23">
                  <c:v>0.20200051540320008</c:v>
                </c:pt>
                <c:pt idx="24">
                  <c:v>0.1918977220818352</c:v>
                </c:pt>
                <c:pt idx="25">
                  <c:v>0.18187711004391538</c:v>
                </c:pt>
                <c:pt idx="26">
                  <c:v>0.1720050010528551</c:v>
                </c:pt>
                <c:pt idx="27">
                  <c:v>0.16232649858216597</c:v>
                </c:pt>
                <c:pt idx="28">
                  <c:v>0.15287010540609991</c:v>
                </c:pt>
                <c:pt idx="29">
                  <c:v>0.1436515405786043</c:v>
                </c:pt>
                <c:pt idx="30">
                  <c:v>0.1346768470348314</c:v>
                </c:pt>
                <c:pt idx="31">
                  <c:v>0.12594488938311166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1.7958479062718524E-3</c:v>
                </c:pt>
                <c:pt idx="1">
                  <c:v>1.8162413048639081E-2</c:v>
                </c:pt>
                <c:pt idx="2">
                  <c:v>3.5767751022319771E-2</c:v>
                </c:pt>
                <c:pt idx="3">
                  <c:v>5.5324569451120631E-2</c:v>
                </c:pt>
                <c:pt idx="4">
                  <c:v>7.6905370477442503E-2</c:v>
                </c:pt>
                <c:pt idx="5">
                  <c:v>0.10003434296157465</c:v>
                </c:pt>
                <c:pt idx="6">
                  <c:v>0.1238401619896301</c:v>
                </c:pt>
                <c:pt idx="7">
                  <c:v>0.14725173896912302</c:v>
                </c:pt>
                <c:pt idx="8">
                  <c:v>0.16919773533241589</c:v>
                </c:pt>
                <c:pt idx="9">
                  <c:v>0.18876867323147639</c:v>
                </c:pt>
                <c:pt idx="10">
                  <c:v>0.20531577013715996</c:v>
                </c:pt>
                <c:pt idx="11">
                  <c:v>0.21848251669875918</c:v>
                </c:pt>
                <c:pt idx="12">
                  <c:v>0.22818258244916567</c:v>
                </c:pt>
                <c:pt idx="13">
                  <c:v>0.23454555920732201</c:v>
                </c:pt>
                <c:pt idx="14">
                  <c:v>0.23785114682861597</c:v>
                </c:pt>
                <c:pt idx="15">
                  <c:v>0.23846658826354172</c:v>
                </c:pt>
                <c:pt idx="16">
                  <c:v>0.23679537528065175</c:v>
                </c:pt>
                <c:pt idx="17">
                  <c:v>0.23323979782086113</c:v>
                </c:pt>
                <c:pt idx="18">
                  <c:v>0.22817651614703838</c:v>
                </c:pt>
                <c:pt idx="19">
                  <c:v>0.22194274205000752</c:v>
                </c:pt>
                <c:pt idx="20">
                  <c:v>0.21483022981694244</c:v>
                </c:pt>
                <c:pt idx="21">
                  <c:v>0.20708453860329712</c:v>
                </c:pt>
                <c:pt idx="22">
                  <c:v>0.19890754238860442</c:v>
                </c:pt>
                <c:pt idx="23">
                  <c:v>0.19046170746117586</c:v>
                </c:pt>
                <c:pt idx="24">
                  <c:v>0.18187512745793111</c:v>
                </c:pt>
                <c:pt idx="25">
                  <c:v>0.17324667096152435</c:v>
                </c:pt>
                <c:pt idx="26">
                  <c:v>0.16465086053862876</c:v>
                </c:pt>
                <c:pt idx="27">
                  <c:v>0.15614228265559138</c:v>
                </c:pt>
                <c:pt idx="28">
                  <c:v>0.14775944535672103</c:v>
                </c:pt>
                <c:pt idx="29">
                  <c:v>0.13952807294692615</c:v>
                </c:pt>
                <c:pt idx="30">
                  <c:v>0.13146386844054003</c:v>
                </c:pt>
                <c:pt idx="31">
                  <c:v>0.12357479573366081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1.5764229867043511E-3</c:v>
                </c:pt>
                <c:pt idx="1">
                  <c:v>1.5953966121085017E-2</c:v>
                </c:pt>
                <c:pt idx="2">
                  <c:v>3.131846763260171E-2</c:v>
                </c:pt>
                <c:pt idx="3">
                  <c:v>4.82037351049458E-2</c:v>
                </c:pt>
                <c:pt idx="4">
                  <c:v>6.6672737266793014E-2</c:v>
                </c:pt>
                <c:pt idx="5">
                  <c:v>8.6382729452716411E-2</c:v>
                </c:pt>
                <c:pt idx="6">
                  <c:v>0.1066933964046779</c:v>
                </c:pt>
                <c:pt idx="7">
                  <c:v>0.1268037683276324</c:v>
                </c:pt>
                <c:pt idx="8">
                  <c:v>0.14589240347551158</c:v>
                </c:pt>
                <c:pt idx="9">
                  <c:v>0.16323472963131191</c:v>
                </c:pt>
                <c:pt idx="10">
                  <c:v>0.17828034294087303</c:v>
                </c:pt>
                <c:pt idx="11">
                  <c:v>0.19068590580562095</c:v>
                </c:pt>
                <c:pt idx="12">
                  <c:v>0.20031023437161455</c:v>
                </c:pt>
                <c:pt idx="13">
                  <c:v>0.20718402933150859</c:v>
                </c:pt>
                <c:pt idx="14">
                  <c:v>0.21146741476896214</c:v>
                </c:pt>
                <c:pt idx="15">
                  <c:v>0.21340581665996172</c:v>
                </c:pt>
                <c:pt idx="16">
                  <c:v>0.21329086598542712</c:v>
                </c:pt>
                <c:pt idx="17">
                  <c:v>0.21142946555829933</c:v>
                </c:pt>
                <c:pt idx="18">
                  <c:v>0.20812160452465811</c:v>
                </c:pt>
                <c:pt idx="19">
                  <c:v>0.20364601775568758</c:v>
                </c:pt>
                <c:pt idx="20">
                  <c:v>0.19825214208391007</c:v>
                </c:pt>
                <c:pt idx="21">
                  <c:v>0.19215671717220939</c:v>
                </c:pt>
                <c:pt idx="22">
                  <c:v>0.1855435601605393</c:v>
                </c:pt>
                <c:pt idx="23">
                  <c:v>0.17856533540361319</c:v>
                </c:pt>
                <c:pt idx="24">
                  <c:v>0.17134644270044852</c:v>
                </c:pt>
                <c:pt idx="25">
                  <c:v>0.16398641115711321</c:v>
                </c:pt>
                <c:pt idx="26">
                  <c:v>0.15656339516323392</c:v>
                </c:pt>
                <c:pt idx="27">
                  <c:v>0.14913752459566609</c:v>
                </c:pt>
                <c:pt idx="28">
                  <c:v>0.14175397124782663</c:v>
                </c:pt>
                <c:pt idx="29">
                  <c:v>0.13444566752984777</c:v>
                </c:pt>
                <c:pt idx="30">
                  <c:v>0.12723566102035289</c:v>
                </c:pt>
                <c:pt idx="31">
                  <c:v>0.12013911715191838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1.3904253870489214E-3</c:v>
                </c:pt>
                <c:pt idx="1">
                  <c:v>1.4083218509597373E-2</c:v>
                </c:pt>
                <c:pt idx="2">
                  <c:v>2.7574539756103356E-2</c:v>
                </c:pt>
                <c:pt idx="3">
                  <c:v>4.2259687526913225E-2</c:v>
                </c:pt>
                <c:pt idx="4">
                  <c:v>5.818610062358065E-2</c:v>
                </c:pt>
                <c:pt idx="5">
                  <c:v>7.5100009792938849E-2</c:v>
                </c:pt>
                <c:pt idx="6">
                  <c:v>9.2523939796973487E-2</c:v>
                </c:pt>
                <c:pt idx="7">
                  <c:v>0.10985381591599452</c:v>
                </c:pt>
                <c:pt idx="8">
                  <c:v>0.1264584725321205</c:v>
                </c:pt>
                <c:pt idx="9">
                  <c:v>0.14176462647752519</c:v>
                </c:pt>
                <c:pt idx="10">
                  <c:v>0.15531592384177006</c:v>
                </c:pt>
                <c:pt idx="11">
                  <c:v>0.16680243419964214</c:v>
                </c:pt>
                <c:pt idx="12">
                  <c:v>0.17606379517942639</c:v>
                </c:pt>
                <c:pt idx="13">
                  <c:v>0.18307326628075327</c:v>
                </c:pt>
                <c:pt idx="14">
                  <c:v>0.18791100862913801</c:v>
                </c:pt>
                <c:pt idx="15">
                  <c:v>0.19073380612877333</c:v>
                </c:pt>
                <c:pt idx="16">
                  <c:v>0.19174632804674907</c:v>
                </c:pt>
                <c:pt idx="17">
                  <c:v>0.1911768272363501</c:v>
                </c:pt>
                <c:pt idx="18">
                  <c:v>0.18925839007877254</c:v>
                </c:pt>
                <c:pt idx="19">
                  <c:v>0.18621566679843937</c:v>
                </c:pt>
                <c:pt idx="20">
                  <c:v>0.1822563606583838</c:v>
                </c:pt>
                <c:pt idx="21">
                  <c:v>0.17756649974931538</c:v>
                </c:pt>
                <c:pt idx="22">
                  <c:v>0.17230850701188682</c:v>
                </c:pt>
                <c:pt idx="23">
                  <c:v>0.16662120432842098</c:v>
                </c:pt>
                <c:pt idx="24">
                  <c:v>0.16062105527914206</c:v>
                </c:pt>
                <c:pt idx="25">
                  <c:v>0.15440412199652087</c:v>
                </c:pt>
                <c:pt idx="26">
                  <c:v>0.14804836158410772</c:v>
                </c:pt>
                <c:pt idx="27">
                  <c:v>0.14161600869788682</c:v>
                </c:pt>
                <c:pt idx="28">
                  <c:v>0.13515588301826753</c:v>
                </c:pt>
                <c:pt idx="29">
                  <c:v>0.12870552723787121</c:v>
                </c:pt>
                <c:pt idx="30">
                  <c:v>0.1222931276468886</c:v>
                </c:pt>
                <c:pt idx="31">
                  <c:v>0.11593920040475769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1.2317914026560572E-3</c:v>
                </c:pt>
                <c:pt idx="1">
                  <c:v>1.2488402149513078E-2</c:v>
                </c:pt>
                <c:pt idx="2">
                  <c:v>2.4401464180701105E-2</c:v>
                </c:pt>
                <c:pt idx="3">
                  <c:v>3.7258941021911518E-2</c:v>
                </c:pt>
                <c:pt idx="4">
                  <c:v>5.1090922437047048E-2</c:v>
                </c:pt>
                <c:pt idx="5">
                  <c:v>6.570356345980688E-2</c:v>
                </c:pt>
                <c:pt idx="6">
                  <c:v>8.0735212395155465E-2</c:v>
                </c:pt>
                <c:pt idx="7">
                  <c:v>9.5726049315403294E-2</c:v>
                </c:pt>
                <c:pt idx="8">
                  <c:v>0.11018932958239969</c:v>
                </c:pt>
                <c:pt idx="9">
                  <c:v>0.12367301458726665</c:v>
                </c:pt>
                <c:pt idx="10">
                  <c:v>0.13580423274617281</c:v>
                </c:pt>
                <c:pt idx="11">
                  <c:v>0.14631386063845842</c:v>
                </c:pt>
                <c:pt idx="12">
                  <c:v>0.15504280820510807</c:v>
                </c:pt>
                <c:pt idx="13">
                  <c:v>0.16193430463729008</c:v>
                </c:pt>
                <c:pt idx="14">
                  <c:v>0.16701743217939491</c:v>
                </c:pt>
                <c:pt idx="15">
                  <c:v>0.170386750169782</c:v>
                </c:pt>
                <c:pt idx="16">
                  <c:v>0.17218170889810036</c:v>
                </c:pt>
                <c:pt idx="17">
                  <c:v>0.17256821762079433</c:v>
                </c:pt>
                <c:pt idx="18">
                  <c:v>0.17172355209094103</c:v>
                </c:pt>
                <c:pt idx="19">
                  <c:v>0.16982491652095533</c:v>
                </c:pt>
                <c:pt idx="20">
                  <c:v>0.16704142730605831</c:v>
                </c:pt>
                <c:pt idx="21">
                  <c:v>0.16352900405103288</c:v>
                </c:pt>
                <c:pt idx="22">
                  <c:v>0.15942755837505818</c:v>
                </c:pt>
                <c:pt idx="23">
                  <c:v>0.15485988986252419</c:v>
                </c:pt>
                <c:pt idx="24">
                  <c:v>0.14993177566546834</c:v>
                </c:pt>
                <c:pt idx="25">
                  <c:v>0.14473283870131137</c:v>
                </c:pt>
                <c:pt idx="26">
                  <c:v>0.139337877237522</c:v>
                </c:pt>
                <c:pt idx="27">
                  <c:v>0.13380842496202305</c:v>
                </c:pt>
                <c:pt idx="28">
                  <c:v>0.1281943813533637</c:v>
                </c:pt>
                <c:pt idx="29">
                  <c:v>0.1225356070119199</c:v>
                </c:pt>
                <c:pt idx="30">
                  <c:v>0.11686341945149614</c:v>
                </c:pt>
                <c:pt idx="31">
                  <c:v>0.11120195403291344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1.0957060974092769E-3</c:v>
                </c:pt>
                <c:pt idx="1">
                  <c:v>1.1120628981120539E-2</c:v>
                </c:pt>
                <c:pt idx="2">
                  <c:v>2.1694055076237895E-2</c:v>
                </c:pt>
                <c:pt idx="3">
                  <c:v>3.3020730060728809E-2</c:v>
                </c:pt>
                <c:pt idx="4">
                  <c:v>4.5113812503050355E-2</c:v>
                </c:pt>
                <c:pt idx="5">
                  <c:v>5.7820094849669879E-2</c:v>
                </c:pt>
                <c:pt idx="6">
                  <c:v>7.0861025863733218E-2</c:v>
                </c:pt>
                <c:pt idx="7">
                  <c:v>8.3883073500379268E-2</c:v>
                </c:pt>
                <c:pt idx="8">
                  <c:v>9.6509062757155206E-2</c:v>
                </c:pt>
                <c:pt idx="9">
                  <c:v>0.10838293534887189</c:v>
                </c:pt>
                <c:pt idx="10">
                  <c:v>0.1192028998358019</c:v>
                </c:pt>
                <c:pt idx="11">
                  <c:v>0.12874105765736665</c:v>
                </c:pt>
                <c:pt idx="12">
                  <c:v>0.13685032260724039</c:v>
                </c:pt>
                <c:pt idx="13">
                  <c:v>0.14346123452313453</c:v>
                </c:pt>
                <c:pt idx="14">
                  <c:v>0.14857199653661723</c:v>
                </c:pt>
                <c:pt idx="15">
                  <c:v>0.15223495247429497</c:v>
                </c:pt>
                <c:pt idx="16">
                  <c:v>0.15454210730470042</c:v>
                </c:pt>
                <c:pt idx="17">
                  <c:v>0.15561149669351959</c:v>
                </c:pt>
                <c:pt idx="18">
                  <c:v>0.15557545332411937</c:v>
                </c:pt>
                <c:pt idx="19">
                  <c:v>0.15457121269146779</c:v>
                </c:pt>
                <c:pt idx="20">
                  <c:v>0.15273388195424786</c:v>
                </c:pt>
                <c:pt idx="21">
                  <c:v>0.1501915450726754</c:v>
                </c:pt>
                <c:pt idx="22">
                  <c:v>0.14706215740833972</c:v>
                </c:pt>
                <c:pt idx="23">
                  <c:v>0.14345185155650864</c:v>
                </c:pt>
                <c:pt idx="24">
                  <c:v>0.13945429784523178</c:v>
                </c:pt>
                <c:pt idx="25">
                  <c:v>0.13515081138293361</c:v>
                </c:pt>
                <c:pt idx="26">
                  <c:v>0.1306109552171586</c:v>
                </c:pt>
                <c:pt idx="27">
                  <c:v>0.12589344576496853</c:v>
                </c:pt>
                <c:pt idx="28">
                  <c:v>0.12104721679151442</c:v>
                </c:pt>
                <c:pt idx="29">
                  <c:v>0.11611253981691494</c:v>
                </c:pt>
                <c:pt idx="30">
                  <c:v>0.11112213172104202</c:v>
                </c:pt>
                <c:pt idx="31">
                  <c:v>0.10610220535167691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9.7832318168844523E-4</c:v>
                </c:pt>
                <c:pt idx="1">
                  <c:v>9.9409529688010423E-3</c:v>
                </c:pt>
                <c:pt idx="2">
                  <c:v>1.9369423381432327E-2</c:v>
                </c:pt>
                <c:pt idx="3">
                  <c:v>2.9403964611818267E-2</c:v>
                </c:pt>
                <c:pt idx="4">
                  <c:v>4.0042339611079392E-2</c:v>
                </c:pt>
                <c:pt idx="5">
                  <c:v>5.1159100706743565E-2</c:v>
                </c:pt>
                <c:pt idx="6">
                  <c:v>6.2535825765874797E-2</c:v>
                </c:pt>
                <c:pt idx="7">
                  <c:v>7.3897760373142773E-2</c:v>
                </c:pt>
                <c:pt idx="8">
                  <c:v>8.4950962520258244E-2</c:v>
                </c:pt>
                <c:pt idx="9">
                  <c:v>9.5414811381644427E-2</c:v>
                </c:pt>
                <c:pt idx="10">
                  <c:v>0.10504652290521665</c:v>
                </c:pt>
                <c:pt idx="11">
                  <c:v>0.11365636880800167</c:v>
                </c:pt>
                <c:pt idx="12">
                  <c:v>0.12111405511816553</c:v>
                </c:pt>
                <c:pt idx="13">
                  <c:v>0.1273478780532411</c:v>
                </c:pt>
                <c:pt idx="14">
                  <c:v>0.13233879116181235</c:v>
                </c:pt>
                <c:pt idx="15">
                  <c:v>0.13611151256209819</c:v>
                </c:pt>
                <c:pt idx="16">
                  <c:v>0.13872446893636869</c:v>
                </c:pt>
                <c:pt idx="17">
                  <c:v>0.14025989918386994</c:v>
                </c:pt>
                <c:pt idx="18">
                  <c:v>0.14081496151741035</c:v>
                </c:pt>
                <c:pt idx="19">
                  <c:v>0.14049428184703672</c:v>
                </c:pt>
                <c:pt idx="20">
                  <c:v>0.13940407915025155</c:v>
                </c:pt>
                <c:pt idx="21">
                  <c:v>0.13764780433811463</c:v>
                </c:pt>
                <c:pt idx="22">
                  <c:v>0.13532311590758184</c:v>
                </c:pt>
                <c:pt idx="23">
                  <c:v>0.13251996592889004</c:v>
                </c:pt>
                <c:pt idx="24">
                  <c:v>0.12931956244932596</c:v>
                </c:pt>
                <c:pt idx="25">
                  <c:v>0.1257939918763995</c:v>
                </c:pt>
                <c:pt idx="26">
                  <c:v>0.12200631477687907</c:v>
                </c:pt>
                <c:pt idx="27">
                  <c:v>0.11801098243746644</c:v>
                </c:pt>
                <c:pt idx="28">
                  <c:v>0.11385445447242848</c:v>
                </c:pt>
                <c:pt idx="29">
                  <c:v>0.10957592711080544</c:v>
                </c:pt>
                <c:pt idx="30">
                  <c:v>0.10520810644809586</c:v>
                </c:pt>
                <c:pt idx="31">
                  <c:v>0.10077798080632139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8.7655102021244602E-4</c:v>
                </c:pt>
                <c:pt idx="1">
                  <c:v>8.9181416290662341E-3</c:v>
                </c:pt>
                <c:pt idx="2">
                  <c:v>1.7361752671307684E-2</c:v>
                </c:pt>
                <c:pt idx="3">
                  <c:v>2.6297635642769102E-2</c:v>
                </c:pt>
                <c:pt idx="4">
                  <c:v>3.5710170386837881E-2</c:v>
                </c:pt>
                <c:pt idx="5">
                  <c:v>4.5493038574817568E-2</c:v>
                </c:pt>
                <c:pt idx="6">
                  <c:v>5.5471693012343337E-2</c:v>
                </c:pt>
                <c:pt idx="7">
                  <c:v>6.5430118135534343E-2</c:v>
                </c:pt>
                <c:pt idx="8">
                  <c:v>7.5137743149489289E-2</c:v>
                </c:pt>
                <c:pt idx="9">
                  <c:v>8.437300405261805E-2</c:v>
                </c:pt>
                <c:pt idx="10">
                  <c:v>9.2941319739470174E-2</c:v>
                </c:pt>
                <c:pt idx="11">
                  <c:v>0.10068662299367315</c:v>
                </c:pt>
                <c:pt idx="12">
                  <c:v>0.10749673104104573</c:v>
                </c:pt>
                <c:pt idx="13">
                  <c:v>0.1133035923315262</c:v>
                </c:pt>
                <c:pt idx="14">
                  <c:v>0.1180797942645917</c:v>
                </c:pt>
                <c:pt idx="15">
                  <c:v>0.12183274082899764</c:v>
                </c:pt>
                <c:pt idx="16">
                  <c:v>0.1245977249734187</c:v>
                </c:pt>
                <c:pt idx="17">
                  <c:v>0.12643083736030292</c:v>
                </c:pt>
                <c:pt idx="18">
                  <c:v>0.12740235335306771</c:v>
                </c:pt>
                <c:pt idx="19">
                  <c:v>0.12759097408709952</c:v>
                </c:pt>
                <c:pt idx="20">
                  <c:v>0.12707908841624871</c:v>
                </c:pt>
                <c:pt idx="21">
                  <c:v>0.12594907462071259</c:v>
                </c:pt>
                <c:pt idx="22">
                  <c:v>0.12428056721769387</c:v>
                </c:pt>
                <c:pt idx="23">
                  <c:v>0.12214856365944105</c:v>
                </c:pt>
                <c:pt idx="24">
                  <c:v>0.11962222598893568</c:v>
                </c:pt>
                <c:pt idx="25">
                  <c:v>0.11676423303541572</c:v>
                </c:pt>
                <c:pt idx="26">
                  <c:v>0.11363055108692954</c:v>
                </c:pt>
                <c:pt idx="27">
                  <c:v>0.11027050912060243</c:v>
                </c:pt>
                <c:pt idx="28">
                  <c:v>0.10672708461745284</c:v>
                </c:pt>
                <c:pt idx="29">
                  <c:v>0.10303732525696052</c:v>
                </c:pt>
                <c:pt idx="30">
                  <c:v>9.9232849060659767E-2</c:v>
                </c:pt>
                <c:pt idx="31">
                  <c:v>9.5340380278696735E-2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7.8788885971015077E-4</c:v>
                </c:pt>
                <c:pt idx="1">
                  <c:v>8.026980507724879E-3</c:v>
                </c:pt>
                <c:pt idx="2">
                  <c:v>1.5618389476390604E-2</c:v>
                </c:pt>
                <c:pt idx="3">
                  <c:v>2.3613711117143055E-2</c:v>
                </c:pt>
                <c:pt idx="4">
                  <c:v>3.1986071621581402E-2</c:v>
                </c:pt>
                <c:pt idx="5">
                  <c:v>4.0642487479591871E-2</c:v>
                </c:pt>
                <c:pt idx="6">
                  <c:v>4.9440701995639991E-2</c:v>
                </c:pt>
                <c:pt idx="7">
                  <c:v>5.8208761632094763E-2</c:v>
                </c:pt>
                <c:pt idx="8">
                  <c:v>6.6764484681902658E-2</c:v>
                </c:pt>
                <c:pt idx="9">
                  <c:v>7.4932451931797317E-2</c:v>
                </c:pt>
                <c:pt idx="10">
                  <c:v>8.2557047905162939E-2</c:v>
                </c:pt>
                <c:pt idx="11">
                  <c:v>8.9511008115272794E-2</c:v>
                </c:pt>
                <c:pt idx="12">
                  <c:v>9.5699673812510433E-2</c:v>
                </c:pt>
                <c:pt idx="13">
                  <c:v>0.10106163843903726</c:v>
                </c:pt>
                <c:pt idx="14">
                  <c:v>0.10556669564210086</c:v>
                </c:pt>
                <c:pt idx="15">
                  <c:v>0.10921202260172347</c:v>
                </c:pt>
                <c:pt idx="16">
                  <c:v>0.11201742596755881</c:v>
                </c:pt>
                <c:pt idx="17">
                  <c:v>0.11402030636442628</c:v>
                </c:pt>
                <c:pt idx="18">
                  <c:v>0.11527081047046916</c:v>
                </c:pt>
                <c:pt idx="19">
                  <c:v>0.11582746829952306</c:v>
                </c:pt>
                <c:pt idx="20">
                  <c:v>0.11575347303272032</c:v>
                </c:pt>
                <c:pt idx="21">
                  <c:v>0.1151136561334809</c:v>
                </c:pt>
                <c:pt idx="22">
                  <c:v>0.11397213922803573</c:v>
                </c:pt>
                <c:pt idx="23">
                  <c:v>0.11239060078238605</c:v>
                </c:pt>
                <c:pt idx="24">
                  <c:v>0.11042707336461621</c:v>
                </c:pt>
                <c:pt idx="25">
                  <c:v>0.10813517997165789</c:v>
                </c:pt>
                <c:pt idx="26">
                  <c:v>0.10556372032355377</c:v>
                </c:pt>
                <c:pt idx="27">
                  <c:v>0.1027565261505492</c:v>
                </c:pt>
                <c:pt idx="28">
                  <c:v>9.975251535099261E-2</c:v>
                </c:pt>
                <c:pt idx="29">
                  <c:v>9.6585886616096239E-2</c:v>
                </c:pt>
                <c:pt idx="30">
                  <c:v>9.3286407409576277E-2</c:v>
                </c:pt>
                <c:pt idx="31">
                  <c:v>8.9879758417232836E-2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7.1030110937453372E-4</c:v>
                </c:pt>
                <c:pt idx="1">
                  <c:v>7.2469781258188704E-3</c:v>
                </c:pt>
                <c:pt idx="2">
                  <c:v>1.4096899870197355E-2</c:v>
                </c:pt>
                <c:pt idx="3">
                  <c:v>2.1281840376752292E-2</c:v>
                </c:pt>
                <c:pt idx="4">
                  <c:v>2.8765723976031943E-2</c:v>
                </c:pt>
                <c:pt idx="5">
                  <c:v>3.6465012578368317E-2</c:v>
                </c:pt>
                <c:pt idx="6">
                  <c:v>4.4261429991254708E-2</c:v>
                </c:pt>
                <c:pt idx="7">
                  <c:v>5.2016276470778777E-2</c:v>
                </c:pt>
                <c:pt idx="8">
                  <c:v>5.9584440187498977E-2</c:v>
                </c:pt>
                <c:pt idx="9">
                  <c:v>6.682653643941272E-2</c:v>
                </c:pt>
                <c:pt idx="10">
                  <c:v>7.3618230178151833E-2</c:v>
                </c:pt>
                <c:pt idx="11">
                  <c:v>7.9856417818158221E-2</c:v>
                </c:pt>
                <c:pt idx="12">
                  <c:v>8.5462427592442047E-2</c:v>
                </c:pt>
                <c:pt idx="13">
                  <c:v>9.0382702617741728E-2</c:v>
                </c:pt>
                <c:pt idx="14">
                  <c:v>9.4587570940718457E-2</c:v>
                </c:pt>
                <c:pt idx="15">
                  <c:v>9.8068721576360929E-2</c:v>
                </c:pt>
                <c:pt idx="16">
                  <c:v>0.10083594032950227</c:v>
                </c:pt>
                <c:pt idx="17">
                  <c:v>0.10291355369340671</c:v>
                </c:pt>
                <c:pt idx="18">
                  <c:v>0.1043369126216831</c:v>
                </c:pt>
                <c:pt idx="19">
                  <c:v>0.10514913899972722</c:v>
                </c:pt>
                <c:pt idx="20">
                  <c:v>0.10539826588606971</c:v>
                </c:pt>
                <c:pt idx="21">
                  <c:v>0.10513483144458657</c:v>
                </c:pt>
                <c:pt idx="22">
                  <c:v>0.10440993531002363</c:v>
                </c:pt>
                <c:pt idx="23">
                  <c:v>0.10327373228447012</c:v>
                </c:pt>
                <c:pt idx="24">
                  <c:v>0.1017743182487596</c:v>
                </c:pt>
                <c:pt idx="25">
                  <c:v>9.9956953503954615E-2</c:v>
                </c:pt>
                <c:pt idx="26">
                  <c:v>9.786356632512927E-2</c:v>
                </c:pt>
                <c:pt idx="27">
                  <c:v>9.5532481775073563E-2</c:v>
                </c:pt>
                <c:pt idx="28">
                  <c:v>9.2998325888826727E-2</c:v>
                </c:pt>
                <c:pt idx="29">
                  <c:v>9.0292061739272178E-2</c:v>
                </c:pt>
                <c:pt idx="30">
                  <c:v>8.7441120744324863E-2</c:v>
                </c:pt>
                <c:pt idx="31">
                  <c:v>8.446959918906316E-2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6.4212047512501869E-4</c:v>
                </c:pt>
                <c:pt idx="1">
                  <c:v>6.5613723170265814E-3</c:v>
                </c:pt>
                <c:pt idx="2">
                  <c:v>1.2762839885827049E-2</c:v>
                </c:pt>
                <c:pt idx="3">
                  <c:v>1.9245379605403734E-2</c:v>
                </c:pt>
                <c:pt idx="4">
                  <c:v>2.5965590650378623E-2</c:v>
                </c:pt>
                <c:pt idx="5">
                  <c:v>3.284677596260277E-2</c:v>
                </c:pt>
                <c:pt idx="6">
                  <c:v>3.9788644160432263E-2</c:v>
                </c:pt>
                <c:pt idx="7">
                  <c:v>4.6677748313794787E-2</c:v>
                </c:pt>
                <c:pt idx="8">
                  <c:v>5.3397474429228708E-2</c:v>
                </c:pt>
                <c:pt idx="9">
                  <c:v>5.9836584442418683E-2</c:v>
                </c:pt>
                <c:pt idx="10">
                  <c:v>6.5895738014298821E-2</c:v>
                </c:pt>
                <c:pt idx="11">
                  <c:v>7.1491823463443183E-2</c:v>
                </c:pt>
                <c:pt idx="12">
                  <c:v>7.656023413660229E-2</c:v>
                </c:pt>
                <c:pt idx="13">
                  <c:v>8.1055412900932211E-2</c:v>
                </c:pt>
                <c:pt idx="14">
                  <c:v>8.495006900477442E-2</c:v>
                </c:pt>
                <c:pt idx="15">
                  <c:v>8.8233476377319597E-2</c:v>
                </c:pt>
                <c:pt idx="16">
                  <c:v>9.0909219695123333E-2</c:v>
                </c:pt>
                <c:pt idx="17">
                  <c:v>9.2992688351056785E-2</c:v>
                </c:pt>
                <c:pt idx="18">
                  <c:v>9.4508545859794957E-2</c:v>
                </c:pt>
                <c:pt idx="19">
                  <c:v>9.5488333922477686E-2</c:v>
                </c:pt>
                <c:pt idx="20">
                  <c:v>9.5968311853766863E-2</c:v>
                </c:pt>
                <c:pt idx="21">
                  <c:v>9.5987585396750674E-2</c:v>
                </c:pt>
                <c:pt idx="22">
                  <c:v>9.5586544013315233E-2</c:v>
                </c:pt>
                <c:pt idx="23">
                  <c:v>9.4805601187686328E-2</c:v>
                </c:pt>
                <c:pt idx="24">
                  <c:v>9.3684216366241024E-2</c:v>
                </c:pt>
                <c:pt idx="25">
                  <c:v>9.226016796604064E-2</c:v>
                </c:pt>
                <c:pt idx="26">
                  <c:v>9.0569042650257003E-2</c:v>
                </c:pt>
                <c:pt idx="27">
                  <c:v>8.8643905407415069E-2</c:v>
                </c:pt>
                <c:pt idx="28">
                  <c:v>8.6515116533680825E-2</c:v>
                </c:pt>
                <c:pt idx="29">
                  <c:v>8.4210264655548706E-2</c:v>
                </c:pt>
                <c:pt idx="30">
                  <c:v>8.1754188616667278E-2</c:v>
                </c:pt>
                <c:pt idx="31">
                  <c:v>7.9169065025141983E-2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5.8197297303497209E-4</c:v>
                </c:pt>
                <c:pt idx="1">
                  <c:v>5.9563640116833128E-3</c:v>
                </c:pt>
                <c:pt idx="2">
                  <c:v>1.1588056029299132E-2</c:v>
                </c:pt>
                <c:pt idx="3">
                  <c:v>1.7458388383628787E-2</c:v>
                </c:pt>
                <c:pt idx="4">
                  <c:v>2.3518295818814039E-2</c:v>
                </c:pt>
                <c:pt idx="5">
                  <c:v>2.9696186452210505E-2</c:v>
                </c:pt>
                <c:pt idx="6">
                  <c:v>3.5905405413316771E-2</c:v>
                </c:pt>
                <c:pt idx="7">
                  <c:v>4.2051806619203269E-2</c:v>
                </c:pt>
                <c:pt idx="8">
                  <c:v>4.8040764382251133E-2</c:v>
                </c:pt>
                <c:pt idx="9">
                  <c:v>5.3783043619914928E-2</c:v>
                </c:pt>
                <c:pt idx="10">
                  <c:v>5.9199213667149309E-2</c:v>
                </c:pt>
                <c:pt idx="11">
                  <c:v>6.4222544341019372E-2</c:v>
                </c:pt>
                <c:pt idx="12">
                  <c:v>6.8800507034838532E-2</c:v>
                </c:pt>
                <c:pt idx="13">
                  <c:v>7.2895110081572234E-2</c:v>
                </c:pt>
                <c:pt idx="14">
                  <c:v>7.648233946777605E-2</c:v>
                </c:pt>
                <c:pt idx="15">
                  <c:v>7.9550972668429587E-2</c:v>
                </c:pt>
                <c:pt idx="16">
                  <c:v>8.2101003451184873E-2</c:v>
                </c:pt>
                <c:pt idx="17">
                  <c:v>8.4141873163745551E-2</c:v>
                </c:pt>
                <c:pt idx="18">
                  <c:v>8.5690659029635796E-2</c:v>
                </c:pt>
                <c:pt idx="19">
                  <c:v>8.6770327947016668E-2</c:v>
                </c:pt>
                <c:pt idx="20">
                  <c:v>8.7408128099486504E-2</c:v>
                </c:pt>
                <c:pt idx="21">
                  <c:v>8.7634161325511606E-2</c:v>
                </c:pt>
                <c:pt idx="22">
                  <c:v>8.7480156521491104E-2</c:v>
                </c:pt>
                <c:pt idx="23">
                  <c:v>8.6978447705665651E-2</c:v>
                </c:pt>
                <c:pt idx="24">
                  <c:v>8.616114876269787E-2</c:v>
                </c:pt>
                <c:pt idx="25">
                  <c:v>8.5059509442153569E-2</c:v>
                </c:pt>
                <c:pt idx="26">
                  <c:v>8.3703432872339611E-2</c:v>
                </c:pt>
                <c:pt idx="27">
                  <c:v>8.2121132948698161E-2</c:v>
                </c:pt>
                <c:pt idx="28">
                  <c:v>8.0338909759336552E-2</c:v>
                </c:pt>
                <c:pt idx="29">
                  <c:v>7.8381022174389692E-2</c:v>
                </c:pt>
                <c:pt idx="30">
                  <c:v>7.6269638400017215E-2</c:v>
                </c:pt>
                <c:pt idx="31">
                  <c:v>7.4024847413700634E-2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5.2871961164768777E-4</c:v>
                </c:pt>
                <c:pt idx="1">
                  <c:v>5.4205232391524305E-3</c:v>
                </c:pt>
                <c:pt idx="2">
                  <c:v>1.0549381601943075E-2</c:v>
                </c:pt>
                <c:pt idx="3">
                  <c:v>1.5883344543943245E-2</c:v>
                </c:pt>
                <c:pt idx="4">
                  <c:v>2.1369118451963764E-2</c:v>
                </c:pt>
                <c:pt idx="5">
                  <c:v>2.6939067707010267E-2</c:v>
                </c:pt>
                <c:pt idx="6">
                  <c:v>3.2517005728815995E-2</c:v>
                </c:pt>
                <c:pt idx="7">
                  <c:v>3.802363942984055E-2</c:v>
                </c:pt>
                <c:pt idx="8">
                  <c:v>4.3381373797002354E-2</c:v>
                </c:pt>
                <c:pt idx="9">
                  <c:v>4.8518193801694309E-2</c:v>
                </c:pt>
                <c:pt idx="10">
                  <c:v>5.337049395814919E-2</c:v>
                </c:pt>
                <c:pt idx="11">
                  <c:v>5.7884870422575396E-2</c:v>
                </c:pt>
                <c:pt idx="12">
                  <c:v>6.2018989834378146E-2</c:v>
                </c:pt>
                <c:pt idx="13">
                  <c:v>6.5741701064103708E-2</c:v>
                </c:pt>
                <c:pt idx="14">
                  <c:v>6.9032570946481187E-2</c:v>
                </c:pt>
                <c:pt idx="15">
                  <c:v>7.1881015836217088E-2</c:v>
                </c:pt>
                <c:pt idx="16">
                  <c:v>7.4285178529809315E-2</c:v>
                </c:pt>
                <c:pt idx="17">
                  <c:v>7.6250672696009936E-2</c:v>
                </c:pt>
                <c:pt idx="18">
                  <c:v>7.7789289452900867E-2</c:v>
                </c:pt>
                <c:pt idx="19">
                  <c:v>7.8917735712669135E-2</c:v>
                </c:pt>
                <c:pt idx="20">
                  <c:v>7.9656452582010928E-2</c:v>
                </c:pt>
                <c:pt idx="21">
                  <c:v>8.0028544667487544E-2</c:v>
                </c:pt>
                <c:pt idx="22">
                  <c:v>8.0058837385932335E-2</c:v>
                </c:pt>
                <c:pt idx="23">
                  <c:v>7.9773068878519204E-2</c:v>
                </c:pt>
                <c:pt idx="24">
                  <c:v>7.9197215418602696E-2</c:v>
                </c:pt>
                <c:pt idx="25">
                  <c:v>7.8356943756463515E-2</c:v>
                </c:pt>
                <c:pt idx="26">
                  <c:v>7.7277180288048974E-2</c:v>
                </c:pt>
                <c:pt idx="27">
                  <c:v>7.5981784813494713E-2</c:v>
                </c:pt>
                <c:pt idx="28">
                  <c:v>7.4493315701085194E-2</c:v>
                </c:pt>
                <c:pt idx="29">
                  <c:v>7.283287311210529E-2</c:v>
                </c:pt>
                <c:pt idx="30">
                  <c:v>7.102000744874104E-2</c:v>
                </c:pt>
                <c:pt idx="31">
                  <c:v>6.9072681043613748E-2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4.8141079023178435E-4</c:v>
                </c:pt>
                <c:pt idx="1">
                  <c:v>4.9443260647930032E-3</c:v>
                </c:pt>
                <c:pt idx="2">
                  <c:v>9.6276302052888951E-3</c:v>
                </c:pt>
                <c:pt idx="3">
                  <c:v>1.448939370796154E-2</c:v>
                </c:pt>
                <c:pt idx="4">
                  <c:v>1.947331496610083E-2</c:v>
                </c:pt>
                <c:pt idx="5">
                  <c:v>2.4514961296739912E-2</c:v>
                </c:pt>
                <c:pt idx="6">
                  <c:v>2.9546296164917329E-2</c:v>
                </c:pt>
                <c:pt idx="7">
                  <c:v>3.4499541717414317E-2</c:v>
                </c:pt>
                <c:pt idx="8">
                  <c:v>3.9310347035081961E-2</c:v>
                </c:pt>
                <c:pt idx="9">
                  <c:v>4.3920192510316092E-2</c:v>
                </c:pt>
                <c:pt idx="10">
                  <c:v>4.8278032232618173E-2</c:v>
                </c:pt>
                <c:pt idx="11">
                  <c:v>5.234124293596043E-2</c:v>
                </c:pt>
                <c:pt idx="12">
                  <c:v>5.6075987947212802E-2</c:v>
                </c:pt>
                <c:pt idx="13">
                  <c:v>5.9457119071848474E-2</c:v>
                </c:pt>
                <c:pt idx="14">
                  <c:v>6.2467735978954941E-2</c:v>
                </c:pt>
                <c:pt idx="15">
                  <c:v>6.5098509278271877E-2</c:v>
                </c:pt>
                <c:pt idx="16">
                  <c:v>6.7346856014061096E-2</c:v>
                </c:pt>
                <c:pt idx="17">
                  <c:v>6.9216038432240445E-2</c:v>
                </c:pt>
                <c:pt idx="18">
                  <c:v>7.0714240614555557E-2</c:v>
                </c:pt>
                <c:pt idx="19">
                  <c:v>7.1853663609400265E-2</c:v>
                </c:pt>
                <c:pt idx="20">
                  <c:v>7.2649668152013902E-2</c:v>
                </c:pt>
                <c:pt idx="21">
                  <c:v>7.3119984718261755E-2</c:v>
                </c:pt>
                <c:pt idx="22">
                  <c:v>7.3284003187512603E-2</c:v>
                </c:pt>
                <c:pt idx="23">
                  <c:v>7.3162148473415733E-2</c:v>
                </c:pt>
                <c:pt idx="24">
                  <c:v>7.2775343897268918E-2</c:v>
                </c:pt>
                <c:pt idx="25">
                  <c:v>7.2144560555820192E-2</c:v>
                </c:pt>
                <c:pt idx="26">
                  <c:v>7.1290448376504223E-2</c:v>
                </c:pt>
                <c:pt idx="27">
                  <c:v>7.0233042730905026E-2</c:v>
                </c:pt>
                <c:pt idx="28">
                  <c:v>6.8991539348473019E-2</c:v>
                </c:pt>
                <c:pt idx="29">
                  <c:v>6.7584129656239611E-2</c:v>
                </c:pt>
                <c:pt idx="30">
                  <c:v>6.6027888481201558E-2</c:v>
                </c:pt>
                <c:pt idx="31">
                  <c:v>6.4338706230460119E-2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4.3925044790338319E-4</c:v>
                </c:pt>
                <c:pt idx="1">
                  <c:v>4.5197915223837981E-3</c:v>
                </c:pt>
                <c:pt idx="2">
                  <c:v>8.8068136686603182E-3</c:v>
                </c:pt>
                <c:pt idx="3">
                  <c:v>1.3250999348235482E-2</c:v>
                </c:pt>
                <c:pt idx="4">
                  <c:v>1.779406143920248E-2</c:v>
                </c:pt>
                <c:pt idx="5">
                  <c:v>2.2374281989145928E-2</c:v>
                </c:pt>
                <c:pt idx="6">
                  <c:v>2.6930071316821902E-2</c:v>
                </c:pt>
                <c:pt idx="7">
                  <c:v>3.1402652440615242E-2</c:v>
                </c:pt>
                <c:pt idx="8">
                  <c:v>3.573801844736213E-2</c:v>
                </c:pt>
                <c:pt idx="9">
                  <c:v>3.9888242620356174E-2</c:v>
                </c:pt>
                <c:pt idx="10">
                  <c:v>4.3812235657081366E-2</c:v>
                </c:pt>
                <c:pt idx="11">
                  <c:v>4.7476055999862155E-2</c:v>
                </c:pt>
                <c:pt idx="12">
                  <c:v>5.0852877688467579E-2</c:v>
                </c:pt>
                <c:pt idx="13">
                  <c:v>5.3922708771803052E-2</c:v>
                </c:pt>
                <c:pt idx="14">
                  <c:v>5.6671937532115635E-2</c:v>
                </c:pt>
                <c:pt idx="15">
                  <c:v>5.9092767620172459E-2</c:v>
                </c:pt>
                <c:pt idx="16">
                  <c:v>6.1182588846908637E-2</c:v>
                </c:pt>
                <c:pt idx="17">
                  <c:v>6.2943318796637726E-2</c:v>
                </c:pt>
                <c:pt idx="18">
                  <c:v>6.438074142678385E-2</c:v>
                </c:pt>
                <c:pt idx="19">
                  <c:v>6.5503862079707709E-2</c:v>
                </c:pt>
                <c:pt idx="20">
                  <c:v>6.6324293244268695E-2</c:v>
                </c:pt>
                <c:pt idx="21">
                  <c:v>6.6855681458366512E-2</c:v>
                </c:pt>
                <c:pt idx="22">
                  <c:v>6.7113182603217858E-2</c:v>
                </c:pt>
                <c:pt idx="23">
                  <c:v>6.7112990220996593E-2</c:v>
                </c:pt>
                <c:pt idx="24">
                  <c:v>6.6871919270461433E-2</c:v>
                </c:pt>
                <c:pt idx="25">
                  <c:v>6.6407045848926316E-2</c:v>
                </c:pt>
                <c:pt idx="26">
                  <c:v>6.5735401803213023E-2</c:v>
                </c:pt>
                <c:pt idx="27">
                  <c:v>6.4873721870140066E-2</c:v>
                </c:pt>
                <c:pt idx="28">
                  <c:v>6.3838239975022582E-2</c:v>
                </c:pt>
                <c:pt idx="29">
                  <c:v>6.2644530576361213E-2</c:v>
                </c:pt>
                <c:pt idx="30">
                  <c:v>6.1307390498477332E-2</c:v>
                </c:pt>
                <c:pt idx="31">
                  <c:v>5.9840756442053333E-2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4.0156772673771712E-4</c:v>
                </c:pt>
                <c:pt idx="1">
                  <c:v>4.1401952836084277E-3</c:v>
                </c:pt>
                <c:pt idx="2">
                  <c:v>8.0735304536228014E-3</c:v>
                </c:pt>
                <c:pt idx="3">
                  <c:v>1.214689476924935E-2</c:v>
                </c:pt>
                <c:pt idx="4">
                  <c:v>1.630086177817347E-2</c:v>
                </c:pt>
                <c:pt idx="5">
                  <c:v>2.0476116077805528E-2</c:v>
                </c:pt>
                <c:pt idx="6">
                  <c:v>2.461625842298254E-2</c:v>
                </c:pt>
                <c:pt idx="7">
                  <c:v>2.8669611870202338E-2</c:v>
                </c:pt>
                <c:pt idx="8">
                  <c:v>3.259028670843378E-2</c:v>
                </c:pt>
                <c:pt idx="9">
                  <c:v>3.6338685219572398E-2</c:v>
                </c:pt>
                <c:pt idx="10">
                  <c:v>3.988160407419894E-2</c:v>
                </c:pt>
                <c:pt idx="11">
                  <c:v>4.3192066025321552E-2</c:v>
                </c:pt>
                <c:pt idx="12">
                  <c:v>4.6248982314867071E-2</c:v>
                </c:pt>
                <c:pt idx="13">
                  <c:v>4.9036718144823688E-2</c:v>
                </c:pt>
                <c:pt idx="14">
                  <c:v>5.1544609343978642E-2</c:v>
                </c:pt>
                <c:pt idx="15">
                  <c:v>5.3766460332949073E-2</c:v>
                </c:pt>
                <c:pt idx="16">
                  <c:v>5.5700041281858681E-2</c:v>
                </c:pt>
                <c:pt idx="17">
                  <c:v>5.7346594840801401E-2</c:v>
                </c:pt>
                <c:pt idx="18">
                  <c:v>5.871035865590013E-2</c:v>
                </c:pt>
                <c:pt idx="19">
                  <c:v>5.9798107829855951E-2</c:v>
                </c:pt>
                <c:pt idx="20">
                  <c:v>6.0618720618688116E-2</c:v>
                </c:pt>
                <c:pt idx="21">
                  <c:v>6.1182770305645562E-2</c:v>
                </c:pt>
                <c:pt idx="22">
                  <c:v>6.150214596434278E-2</c:v>
                </c:pt>
                <c:pt idx="23">
                  <c:v>6.1589704501097131E-2</c:v>
                </c:pt>
                <c:pt idx="24">
                  <c:v>6.1458955885718147E-2</c:v>
                </c:pt>
                <c:pt idx="25">
                  <c:v>6.1123782858940601E-2</c:v>
                </c:pt>
                <c:pt idx="26">
                  <c:v>6.0598195651850872E-2</c:v>
                </c:pt>
                <c:pt idx="27">
                  <c:v>5.9896121504476874E-2</c:v>
                </c:pt>
                <c:pt idx="28">
                  <c:v>5.9031228030415051E-2</c:v>
                </c:pt>
                <c:pt idx="29">
                  <c:v>5.8016778814673486E-2</c:v>
                </c:pt>
                <c:pt idx="30">
                  <c:v>5.6865519098225903E-2</c:v>
                </c:pt>
                <c:pt idx="31">
                  <c:v>5.5589589005311524E-2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-3.4212399914146374</c:v>
                </c:pt>
                <c:pt idx="1">
                  <c:v>-3.5912659778047917</c:v>
                </c:pt>
                <c:pt idx="2">
                  <c:v>-3.9699401292281333</c:v>
                </c:pt>
                <c:pt idx="3">
                  <c:v>-4.3935825322738431</c:v>
                </c:pt>
                <c:pt idx="4">
                  <c:v>-4.7167066380016109</c:v>
                </c:pt>
                <c:pt idx="5">
                  <c:v>-4.8307455919327502</c:v>
                </c:pt>
                <c:pt idx="6">
                  <c:v>-4.6869329813803429</c:v>
                </c:pt>
                <c:pt idx="7">
                  <c:v>-4.3012090394267677</c:v>
                </c:pt>
                <c:pt idx="8">
                  <c:v>-3.735819745367408</c:v>
                </c:pt>
                <c:pt idx="9">
                  <c:v>-3.0698444357191157</c:v>
                </c:pt>
                <c:pt idx="10">
                  <c:v>-2.3747440500243577</c:v>
                </c:pt>
                <c:pt idx="11">
                  <c:v>-1.7025675487891689</c:v>
                </c:pt>
                <c:pt idx="12">
                  <c:v>-1.0849809179003245</c:v>
                </c:pt>
                <c:pt idx="13">
                  <c:v>-0.53759005992581876</c:v>
                </c:pt>
                <c:pt idx="14">
                  <c:v>-6.5172964697213231E-2</c:v>
                </c:pt>
                <c:pt idx="15">
                  <c:v>0.33411711155451052</c:v>
                </c:pt>
                <c:pt idx="16">
                  <c:v>0.6658662421266115</c:v>
                </c:pt>
                <c:pt idx="17">
                  <c:v>0.93752361892907032</c:v>
                </c:pt>
                <c:pt idx="18">
                  <c:v>1.1571945083654889</c:v>
                </c:pt>
                <c:pt idx="19">
                  <c:v>1.3328765694542444</c:v>
                </c:pt>
                <c:pt idx="20">
                  <c:v>1.4720038154669712</c:v>
                </c:pt>
                <c:pt idx="21">
                  <c:v>1.581208217230623</c:v>
                </c:pt>
                <c:pt idx="22">
                  <c:v>1.6662310005943759</c:v>
                </c:pt>
                <c:pt idx="23">
                  <c:v>1.7319303149621046</c:v>
                </c:pt>
                <c:pt idx="24">
                  <c:v>1.7823449600329333</c:v>
                </c:pt>
                <c:pt idx="25">
                  <c:v>1.820785685813231</c:v>
                </c:pt>
                <c:pt idx="26">
                  <c:v>1.8499354324807982</c:v>
                </c:pt>
                <c:pt idx="27">
                  <c:v>1.8719473342099224</c:v>
                </c:pt>
                <c:pt idx="28">
                  <c:v>1.8885345072860993</c:v>
                </c:pt>
                <c:pt idx="29">
                  <c:v>1.9010490077531195</c:v>
                </c:pt>
                <c:pt idx="30">
                  <c:v>1.9105493738891255</c:v>
                </c:pt>
                <c:pt idx="31">
                  <c:v>1.917857293605163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-3.0144164079426439</c:v>
                </c:pt>
                <c:pt idx="1">
                  <c:v>-3.1560591889123746</c:v>
                </c:pt>
                <c:pt idx="2">
                  <c:v>-3.4471251084777776</c:v>
                </c:pt>
                <c:pt idx="3">
                  <c:v>-3.771233697583698</c:v>
                </c:pt>
                <c:pt idx="4">
                  <c:v>-4.025100880405974</c:v>
                </c:pt>
                <c:pt idx="5">
                  <c:v>-4.1301471531751677</c:v>
                </c:pt>
                <c:pt idx="6">
                  <c:v>-4.0462442781707963</c:v>
                </c:pt>
                <c:pt idx="7">
                  <c:v>-3.7759237015955183</c:v>
                </c:pt>
                <c:pt idx="8">
                  <c:v>-3.3553702213706682</c:v>
                </c:pt>
                <c:pt idx="9">
                  <c:v>-2.8375011756964774</c:v>
                </c:pt>
                <c:pt idx="10">
                  <c:v>-2.2756587963024266</c:v>
                </c:pt>
                <c:pt idx="11">
                  <c:v>-1.7133892759091385</c:v>
                </c:pt>
                <c:pt idx="12">
                  <c:v>-1.1809324034961488</c:v>
                </c:pt>
                <c:pt idx="13">
                  <c:v>-0.69617275645139642</c:v>
                </c:pt>
                <c:pt idx="14">
                  <c:v>-0.26745591135912683</c:v>
                </c:pt>
                <c:pt idx="15">
                  <c:v>0.10342021288023417</c:v>
                </c:pt>
                <c:pt idx="16">
                  <c:v>0.41875411562641851</c:v>
                </c:pt>
                <c:pt idx="17">
                  <c:v>0.68315936364582441</c:v>
                </c:pt>
                <c:pt idx="18">
                  <c:v>0.90235194855514678</c:v>
                </c:pt>
                <c:pt idx="19">
                  <c:v>1.0823618845545724</c:v>
                </c:pt>
                <c:pt idx="20">
                  <c:v>1.2290459688768518</c:v>
                </c:pt>
                <c:pt idx="21">
                  <c:v>1.3478094581131916</c:v>
                </c:pt>
                <c:pt idx="22">
                  <c:v>1.4434693614562288</c:v>
                </c:pt>
                <c:pt idx="23">
                  <c:v>1.5202103802358646</c:v>
                </c:pt>
                <c:pt idx="24">
                  <c:v>1.5815982230871217</c:v>
                </c:pt>
                <c:pt idx="25">
                  <c:v>1.6306255260234437</c:v>
                </c:pt>
                <c:pt idx="26">
                  <c:v>1.6697736306192645</c:v>
                </c:pt>
                <c:pt idx="27">
                  <c:v>1.7010794411798091</c:v>
                </c:pt>
                <c:pt idx="28">
                  <c:v>1.7262008521146122</c:v>
                </c:pt>
                <c:pt idx="29">
                  <c:v>1.7464771627806464</c:v>
                </c:pt>
                <c:pt idx="30">
                  <c:v>1.7629828115794943</c:v>
                </c:pt>
                <c:pt idx="31">
                  <c:v>1.7765739507558109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-2.6686881832482801</c:v>
                </c:pt>
                <c:pt idx="1">
                  <c:v>-2.7891834783311253</c:v>
                </c:pt>
                <c:pt idx="2">
                  <c:v>-3.01524588238955</c:v>
                </c:pt>
                <c:pt idx="3">
                  <c:v>-3.263574995987506</c:v>
                </c:pt>
                <c:pt idx="4">
                  <c:v>-3.4602655588478193</c:v>
                </c:pt>
                <c:pt idx="5">
                  <c:v>-3.5484136295349522</c:v>
                </c:pt>
                <c:pt idx="6">
                  <c:v>-3.4965616902848939</c:v>
                </c:pt>
                <c:pt idx="7">
                  <c:v>-3.3017604357477026</c:v>
                </c:pt>
                <c:pt idx="8">
                  <c:v>-2.9849964318229283</c:v>
                </c:pt>
                <c:pt idx="9">
                  <c:v>-2.5813665612839376</c:v>
                </c:pt>
                <c:pt idx="10">
                  <c:v>-2.1295176056712606</c:v>
                </c:pt>
                <c:pt idx="11">
                  <c:v>-1.6638678594660394</c:v>
                </c:pt>
                <c:pt idx="12">
                  <c:v>-1.2107432817576314</c:v>
                </c:pt>
                <c:pt idx="13">
                  <c:v>-0.78771078383277349</c:v>
                </c:pt>
                <c:pt idx="14">
                  <c:v>-0.40474176879135015</c:v>
                </c:pt>
                <c:pt idx="15">
                  <c:v>-6.6038583719230104E-2</c:v>
                </c:pt>
                <c:pt idx="16">
                  <c:v>0.2281690691996463</c:v>
                </c:pt>
                <c:pt idx="17">
                  <c:v>0.48014959252329348</c:v>
                </c:pt>
                <c:pt idx="18">
                  <c:v>0.69357412910142635</c:v>
                </c:pt>
                <c:pt idx="19">
                  <c:v>0.87275562435040754</c:v>
                </c:pt>
                <c:pt idx="20">
                  <c:v>1.0221492235940044</c:v>
                </c:pt>
                <c:pt idx="21">
                  <c:v>1.1460440454547083</c:v>
                </c:pt>
                <c:pt idx="22">
                  <c:v>1.2483891684578197</c:v>
                </c:pt>
                <c:pt idx="23">
                  <c:v>1.3327102724558504</c:v>
                </c:pt>
                <c:pt idx="24">
                  <c:v>1.4020850266405205</c:v>
                </c:pt>
                <c:pt idx="25">
                  <c:v>1.4591545431019703</c:v>
                </c:pt>
                <c:pt idx="26">
                  <c:v>1.5061552436013148</c:v>
                </c:pt>
                <c:pt idx="27">
                  <c:v>1.5449606909057056</c:v>
                </c:pt>
                <c:pt idx="28">
                  <c:v>1.577126685650132</c:v>
                </c:pt>
                <c:pt idx="29">
                  <c:v>1.6039355571739744</c:v>
                </c:pt>
                <c:pt idx="30">
                  <c:v>1.6264373614394145</c:v>
                </c:pt>
                <c:pt idx="31">
                  <c:v>1.6454868724735672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-2.3729101789948803</c:v>
                </c:pt>
                <c:pt idx="1">
                  <c:v>-2.4773074655637384</c:v>
                </c:pt>
                <c:pt idx="2">
                  <c:v>-2.6546755971568192</c:v>
                </c:pt>
                <c:pt idx="3">
                  <c:v>-2.8451139154295202</c:v>
                </c:pt>
                <c:pt idx="4">
                  <c:v>-2.9954906253748526</c:v>
                </c:pt>
                <c:pt idx="5">
                  <c:v>-3.0646305086723391</c:v>
                </c:pt>
                <c:pt idx="6">
                  <c:v>-3.0286183329764071</c:v>
                </c:pt>
                <c:pt idx="7">
                  <c:v>-2.882868034654873</c:v>
                </c:pt>
                <c:pt idx="8">
                  <c:v>-2.6396719540466851</c:v>
                </c:pt>
                <c:pt idx="9">
                  <c:v>-2.3223713276476765</c:v>
                </c:pt>
                <c:pt idx="10">
                  <c:v>-1.9585807635025265</c:v>
                </c:pt>
                <c:pt idx="11">
                  <c:v>-1.574621965265699</c:v>
                </c:pt>
                <c:pt idx="12">
                  <c:v>-1.1921676412229854</c:v>
                </c:pt>
                <c:pt idx="13">
                  <c:v>-0.82700191810225476</c:v>
                </c:pt>
                <c:pt idx="14">
                  <c:v>-0.48924294738905694</c:v>
                </c:pt>
                <c:pt idx="15">
                  <c:v>-0.18431052080991606</c:v>
                </c:pt>
                <c:pt idx="16">
                  <c:v>8.5889850082176977E-2</c:v>
                </c:pt>
                <c:pt idx="17">
                  <c:v>0.32186414139934172</c:v>
                </c:pt>
                <c:pt idx="18">
                  <c:v>0.52563151703322042</c:v>
                </c:pt>
                <c:pt idx="19">
                  <c:v>0.70005190347832702</c:v>
                </c:pt>
                <c:pt idx="20">
                  <c:v>0.84835370546154643</c:v>
                </c:pt>
                <c:pt idx="21">
                  <c:v>0.97382079190522219</c:v>
                </c:pt>
                <c:pt idx="22">
                  <c:v>1.0795981675004729</c:v>
                </c:pt>
                <c:pt idx="23">
                  <c:v>1.1685819568685307</c:v>
                </c:pt>
                <c:pt idx="24">
                  <c:v>1.2433668427169753</c:v>
                </c:pt>
                <c:pt idx="25">
                  <c:v>1.3062309970057751</c:v>
                </c:pt>
                <c:pt idx="26">
                  <c:v>1.3591442108928931</c:v>
                </c:pt>
                <c:pt idx="27">
                  <c:v>1.4037893126850332</c:v>
                </c:pt>
                <c:pt idx="28">
                  <c:v>1.4415902221009969</c:v>
                </c:pt>
                <c:pt idx="29">
                  <c:v>1.4737423388766491</c:v>
                </c:pt>
                <c:pt idx="30">
                  <c:v>1.5012426117855249</c:v>
                </c:pt>
                <c:pt idx="31">
                  <c:v>1.5249177601039943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-2.1182371361783137</c:v>
                </c:pt>
                <c:pt idx="1">
                  <c:v>-2.2101035642674294</c:v>
                </c:pt>
                <c:pt idx="2">
                  <c:v>-2.3506497931613524</c:v>
                </c:pt>
                <c:pt idx="3">
                  <c:v>-2.4966870940723584</c:v>
                </c:pt>
                <c:pt idx="4">
                  <c:v>-2.6099666380430264</c:v>
                </c:pt>
                <c:pt idx="5">
                  <c:v>-2.6607958195634662</c:v>
                </c:pt>
                <c:pt idx="6">
                  <c:v>-2.631428632360322</c:v>
                </c:pt>
                <c:pt idx="7">
                  <c:v>-2.5174017784435065</c:v>
                </c:pt>
                <c:pt idx="8">
                  <c:v>-2.3261231629734258</c:v>
                </c:pt>
                <c:pt idx="9">
                  <c:v>-2.0733139720663374</c:v>
                </c:pt>
                <c:pt idx="10">
                  <c:v>-1.7786505651584683</c:v>
                </c:pt>
                <c:pt idx="11">
                  <c:v>-1.4619030529372523</c:v>
                </c:pt>
                <c:pt idx="12">
                  <c:v>-1.1403053759784232</c:v>
                </c:pt>
                <c:pt idx="13">
                  <c:v>-0.82726911396546754</c:v>
                </c:pt>
                <c:pt idx="14">
                  <c:v>-0.53215693877062265</c:v>
                </c:pt>
                <c:pt idx="15">
                  <c:v>-0.26070593339366788</c:v>
                </c:pt>
                <c:pt idx="16">
                  <c:v>-1.5742149634956348E-2</c:v>
                </c:pt>
                <c:pt idx="17">
                  <c:v>0.20205548695972908</c:v>
                </c:pt>
                <c:pt idx="18">
                  <c:v>0.39347233592224029</c:v>
                </c:pt>
                <c:pt idx="19">
                  <c:v>0.56020750284657694</c:v>
                </c:pt>
                <c:pt idx="20">
                  <c:v>0.70446078776820187</c:v>
                </c:pt>
                <c:pt idx="21">
                  <c:v>0.82864042562857954</c:v>
                </c:pt>
                <c:pt idx="22">
                  <c:v>0.93516761124345926</c:v>
                </c:pt>
                <c:pt idx="23">
                  <c:v>1.0263539837052083</c:v>
                </c:pt>
                <c:pt idx="24">
                  <c:v>1.104331598854591</c:v>
                </c:pt>
                <c:pt idx="25">
                  <c:v>1.1710191329450392</c:v>
                </c:pt>
                <c:pt idx="26">
                  <c:v>1.2281120545709623</c:v>
                </c:pt>
                <c:pt idx="27">
                  <c:v>1.2770878640100403</c:v>
                </c:pt>
                <c:pt idx="28">
                  <c:v>1.3192201479383936</c:v>
                </c:pt>
                <c:pt idx="29">
                  <c:v>1.3555971944945178</c:v>
                </c:pt>
                <c:pt idx="30">
                  <c:v>1.3871423712119579</c:v>
                </c:pt>
                <c:pt idx="31">
                  <c:v>1.4146345034027341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-1.8976197352560398</c:v>
                </c:pt>
                <c:pt idx="1">
                  <c:v>-1.9795048221349365</c:v>
                </c:pt>
                <c:pt idx="2">
                  <c:v>-2.091943440996058</c:v>
                </c:pt>
                <c:pt idx="3">
                  <c:v>-2.2037813995035016</c:v>
                </c:pt>
                <c:pt idx="4">
                  <c:v>-2.2875486674178713</c:v>
                </c:pt>
                <c:pt idx="5">
                  <c:v>-2.3219893157433447</c:v>
                </c:pt>
                <c:pt idx="6">
                  <c:v>-2.2942502185641089</c:v>
                </c:pt>
                <c:pt idx="7">
                  <c:v>-2.2007082150032886</c:v>
                </c:pt>
                <c:pt idx="8">
                  <c:v>-2.0460856990744958</c:v>
                </c:pt>
                <c:pt idx="9">
                  <c:v>-1.8412081367136235</c:v>
                </c:pt>
                <c:pt idx="10">
                  <c:v>-1.6001745111060561</c:v>
                </c:pt>
                <c:pt idx="11">
                  <c:v>-1.3377188124219508</c:v>
                </c:pt>
                <c:pt idx="12">
                  <c:v>-1.067259736426962</c:v>
                </c:pt>
                <c:pt idx="13">
                  <c:v>-0.79978657262169683</c:v>
                </c:pt>
                <c:pt idx="14">
                  <c:v>-0.5434729551812012</c:v>
                </c:pt>
                <c:pt idx="15">
                  <c:v>-0.30379529944890571</c:v>
                </c:pt>
                <c:pt idx="16">
                  <c:v>-8.3928682630407536E-2</c:v>
                </c:pt>
                <c:pt idx="17">
                  <c:v>0.11475506739411223</c:v>
                </c:pt>
                <c:pt idx="18">
                  <c:v>0.29219785750544958</c:v>
                </c:pt>
                <c:pt idx="19">
                  <c:v>0.44923119877249285</c:v>
                </c:pt>
                <c:pt idx="20">
                  <c:v>0.58723755175349446</c:v>
                </c:pt>
                <c:pt idx="21">
                  <c:v>0.70789607714893954</c:v>
                </c:pt>
                <c:pt idx="22">
                  <c:v>0.81300165259090562</c:v>
                </c:pt>
                <c:pt idx="23">
                  <c:v>0.90434273260275866</c:v>
                </c:pt>
                <c:pt idx="24">
                  <c:v>0.98362395562823224</c:v>
                </c:pt>
                <c:pt idx="25">
                  <c:v>1.0524213295970419</c:v>
                </c:pt>
                <c:pt idx="26">
                  <c:v>1.1121602235764083</c:v>
                </c:pt>
                <c:pt idx="27">
                  <c:v>1.1641086926184041</c:v>
                </c:pt>
                <c:pt idx="28">
                  <c:v>1.2093806307289512</c:v>
                </c:pt>
                <c:pt idx="29">
                  <c:v>1.2489448232599898</c:v>
                </c:pt>
                <c:pt idx="30">
                  <c:v>1.2836371778746081</c:v>
                </c:pt>
                <c:pt idx="31">
                  <c:v>1.3141743094324809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-1.7054105578839795</c:v>
                </c:pt>
                <c:pt idx="1">
                  <c:v>-1.7791574161907242</c:v>
                </c:pt>
                <c:pt idx="2">
                  <c:v>-1.869933971896387</c:v>
                </c:pt>
                <c:pt idx="3">
                  <c:v>-1.9553153439377802</c:v>
                </c:pt>
                <c:pt idx="4">
                  <c:v>-2.0157060687608919</c:v>
                </c:pt>
                <c:pt idx="5">
                  <c:v>-2.0360849325895547</c:v>
                </c:pt>
                <c:pt idx="6">
                  <c:v>-2.0074141496051467</c:v>
                </c:pt>
                <c:pt idx="7">
                  <c:v>-1.9271219071048673</c:v>
                </c:pt>
                <c:pt idx="8">
                  <c:v>-1.7984982111829417</c:v>
                </c:pt>
                <c:pt idx="9">
                  <c:v>-1.6292334621248461</c:v>
                </c:pt>
                <c:pt idx="10">
                  <c:v>-1.4295575645040248</c:v>
                </c:pt>
                <c:pt idx="11">
                  <c:v>-1.2104486947739357</c:v>
                </c:pt>
                <c:pt idx="12">
                  <c:v>-0.98223384055073915</c:v>
                </c:pt>
                <c:pt idx="13">
                  <c:v>-0.75370692229959069</c:v>
                </c:pt>
                <c:pt idx="14">
                  <c:v>-0.531731939835689</c:v>
                </c:pt>
                <c:pt idx="15">
                  <c:v>-0.32121311569932587</c:v>
                </c:pt>
                <c:pt idx="16">
                  <c:v>-0.12529387411919224</c:v>
                </c:pt>
                <c:pt idx="17">
                  <c:v>5.4333931126526736E-2</c:v>
                </c:pt>
                <c:pt idx="18">
                  <c:v>0.21709451650475664</c:v>
                </c:pt>
                <c:pt idx="19">
                  <c:v>0.36321653803517151</c:v>
                </c:pt>
                <c:pt idx="20">
                  <c:v>0.49346938024164011</c:v>
                </c:pt>
                <c:pt idx="21">
                  <c:v>0.60895425965434846</c:v>
                </c:pt>
                <c:pt idx="22">
                  <c:v>0.71094730383358673</c:v>
                </c:pt>
                <c:pt idx="23">
                  <c:v>0.80078721846343903</c:v>
                </c:pt>
                <c:pt idx="24">
                  <c:v>0.87979879432653618</c:v>
                </c:pt>
                <c:pt idx="25">
                  <c:v>0.94924386977668362</c:v>
                </c:pt>
                <c:pt idx="26">
                  <c:v>1.0102925091415305</c:v>
                </c:pt>
                <c:pt idx="27">
                  <c:v>1.0640085349644668</c:v>
                </c:pt>
                <c:pt idx="28">
                  <c:v>1.1113448762190004</c:v>
                </c:pt>
                <c:pt idx="29">
                  <c:v>1.1531453403457181</c:v>
                </c:pt>
                <c:pt idx="30">
                  <c:v>1.1901503481903664</c:v>
                </c:pt>
                <c:pt idx="31">
                  <c:v>1.2230048957129203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-1.5370584969531809</c:v>
                </c:pt>
                <c:pt idx="1">
                  <c:v>-1.6040149452711816</c:v>
                </c:pt>
                <c:pt idx="2">
                  <c:v>-1.6779310722458973</c:v>
                </c:pt>
                <c:pt idx="3">
                  <c:v>-1.7427551639981331</c:v>
                </c:pt>
                <c:pt idx="4">
                  <c:v>-1.7846834821688695</c:v>
                </c:pt>
                <c:pt idx="5">
                  <c:v>-1.7933235339551157</c:v>
                </c:pt>
                <c:pt idx="6">
                  <c:v>-1.7625821142575049</c:v>
                </c:pt>
                <c:pt idx="7">
                  <c:v>-1.6909162864131577</c:v>
                </c:pt>
                <c:pt idx="8">
                  <c:v>-1.5808872459577294</c:v>
                </c:pt>
                <c:pt idx="9">
                  <c:v>-1.4381763668536163</c:v>
                </c:pt>
                <c:pt idx="10">
                  <c:v>-1.2703442110795216</c:v>
                </c:pt>
                <c:pt idx="11">
                  <c:v>-1.0856172520157248</c:v>
                </c:pt>
                <c:pt idx="12">
                  <c:v>-0.89190537774119782</c:v>
                </c:pt>
                <c:pt idx="13">
                  <c:v>-0.69614149982966111</c:v>
                </c:pt>
                <c:pt idx="14">
                  <c:v>-0.50393911317225815</c:v>
                </c:pt>
                <c:pt idx="15">
                  <c:v>-0.31950598739394209</c:v>
                </c:pt>
                <c:pt idx="16">
                  <c:v>-0.14573183539368095</c:v>
                </c:pt>
                <c:pt idx="17">
                  <c:v>1.5626938468793483E-2</c:v>
                </c:pt>
                <c:pt idx="18">
                  <c:v>0.16372475356130067</c:v>
                </c:pt>
                <c:pt idx="19">
                  <c:v>0.29840593732899379</c:v>
                </c:pt>
                <c:pt idx="20">
                  <c:v>0.42000748264214849</c:v>
                </c:pt>
                <c:pt idx="21">
                  <c:v>0.52919506256743354</c:v>
                </c:pt>
                <c:pt idx="22">
                  <c:v>0.62683390038564823</c:v>
                </c:pt>
                <c:pt idx="23">
                  <c:v>0.71389166040547458</c:v>
                </c:pt>
                <c:pt idx="24">
                  <c:v>0.79136853206818181</c:v>
                </c:pt>
                <c:pt idx="25">
                  <c:v>0.86024918410476658</c:v>
                </c:pt>
                <c:pt idx="26">
                  <c:v>0.92147158522903894</c:v>
                </c:pt>
                <c:pt idx="27">
                  <c:v>0.97590837861871726</c:v>
                </c:pt>
                <c:pt idx="28">
                  <c:v>1.0243572953050339</c:v>
                </c:pt>
                <c:pt idx="29">
                  <c:v>1.0675378555891069</c:v>
                </c:pt>
                <c:pt idx="30">
                  <c:v>1.1060922736294554</c:v>
                </c:pt>
                <c:pt idx="31">
                  <c:v>1.1405890276550146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-1.388872673004915</c:v>
                </c:pt>
                <c:pt idx="1">
                  <c:v>-1.4500360564129178</c:v>
                </c:pt>
                <c:pt idx="2">
                  <c:v>-1.5106927410402093</c:v>
                </c:pt>
                <c:pt idx="3">
                  <c:v>-1.5594718566158683</c:v>
                </c:pt>
                <c:pt idx="4">
                  <c:v>-1.5868504112515058</c:v>
                </c:pt>
                <c:pt idx="5">
                  <c:v>-1.5858828582371309</c:v>
                </c:pt>
                <c:pt idx="6">
                  <c:v>-1.5527319179720056</c:v>
                </c:pt>
                <c:pt idx="7">
                  <c:v>-1.4867638841886688</c:v>
                </c:pt>
                <c:pt idx="8">
                  <c:v>-1.3901976530572568</c:v>
                </c:pt>
                <c:pt idx="9">
                  <c:v>-1.2674218014019356</c:v>
                </c:pt>
                <c:pt idx="10">
                  <c:v>-1.1241559874375362</c:v>
                </c:pt>
                <c:pt idx="11">
                  <c:v>-0.96663008672059902</c:v>
                </c:pt>
                <c:pt idx="12">
                  <c:v>-0.80090611289884706</c:v>
                </c:pt>
                <c:pt idx="13">
                  <c:v>-0.6324033020732589</c:v>
                </c:pt>
                <c:pt idx="14">
                  <c:v>-0.46563002595978453</c:v>
                </c:pt>
                <c:pt idx="15">
                  <c:v>-0.30408958008876219</c:v>
                </c:pt>
                <c:pt idx="16">
                  <c:v>-0.15031128835385488</c:v>
                </c:pt>
                <c:pt idx="17">
                  <c:v>-5.9583463429824235E-3</c:v>
                </c:pt>
                <c:pt idx="18">
                  <c:v>0.12802760426922077</c:v>
                </c:pt>
                <c:pt idx="19">
                  <c:v>0.25127373864064495</c:v>
                </c:pt>
                <c:pt idx="20">
                  <c:v>0.3638329433386378</c:v>
                </c:pt>
                <c:pt idx="21">
                  <c:v>0.46605962853218941</c:v>
                </c:pt>
                <c:pt idx="22">
                  <c:v>0.55850782216482209</c:v>
                </c:pt>
                <c:pt idx="23">
                  <c:v>0.64185124350246703</c:v>
                </c:pt>
                <c:pt idx="24">
                  <c:v>0.7168230800846942</c:v>
                </c:pt>
                <c:pt idx="25">
                  <c:v>0.78417236227035225</c:v>
                </c:pt>
                <c:pt idx="26">
                  <c:v>0.84463369795062526</c:v>
                </c:pt>
                <c:pt idx="27">
                  <c:v>0.89890737805742305</c:v>
                </c:pt>
                <c:pt idx="28">
                  <c:v>0.94764728229224104</c:v>
                </c:pt>
                <c:pt idx="29">
                  <c:v>0.99145447919779528</c:v>
                </c:pt>
                <c:pt idx="30">
                  <c:v>1.0308748555920566</c:v>
                </c:pt>
                <c:pt idx="31">
                  <c:v>1.0663994970083746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-1.2578402080076767</c:v>
                </c:pt>
                <c:pt idx="1">
                  <c:v>-1.3139577464682528</c:v>
                </c:pt>
                <c:pt idx="2">
                  <c:v>-1.3640726501717992</c:v>
                </c:pt>
                <c:pt idx="3">
                  <c:v>-1.4002712367588988</c:v>
                </c:pt>
                <c:pt idx="4">
                  <c:v>-1.4162044252730155</c:v>
                </c:pt>
                <c:pt idx="5">
                  <c:v>-1.4074967628108226</c:v>
                </c:pt>
                <c:pt idx="6">
                  <c:v>-1.3720280708806598</c:v>
                </c:pt>
                <c:pt idx="7">
                  <c:v>-1.3099238208824637</c:v>
                </c:pt>
                <c:pt idx="8">
                  <c:v>-1.2232654151689282</c:v>
                </c:pt>
                <c:pt idx="9">
                  <c:v>-1.1156029101422327</c:v>
                </c:pt>
                <c:pt idx="10">
                  <c:v>-0.9913819126206036</c:v>
                </c:pt>
                <c:pt idx="11">
                  <c:v>-0.85538959479491972</c:v>
                </c:pt>
                <c:pt idx="12">
                  <c:v>-0.7122945639315148</c:v>
                </c:pt>
                <c:pt idx="13">
                  <c:v>-0.56631736370049701</c:v>
                </c:pt>
                <c:pt idx="14">
                  <c:v>-0.42103516720404244</c:v>
                </c:pt>
                <c:pt idx="15">
                  <c:v>-0.27930207192272682</c:v>
                </c:pt>
                <c:pt idx="16">
                  <c:v>-0.14325601596199</c:v>
                </c:pt>
                <c:pt idx="17">
                  <c:v>-1.4382058091122474E-2</c:v>
                </c:pt>
                <c:pt idx="18">
                  <c:v>0.10639406208268198</c:v>
                </c:pt>
                <c:pt idx="19">
                  <c:v>0.21860174327481552</c:v>
                </c:pt>
                <c:pt idx="20">
                  <c:v>0.32212385891683404</c:v>
                </c:pt>
                <c:pt idx="21">
                  <c:v>0.41710525698124279</c:v>
                </c:pt>
                <c:pt idx="22">
                  <c:v>0.50387498556125898</c:v>
                </c:pt>
                <c:pt idx="23">
                  <c:v>0.58288307214771073</c:v>
                </c:pt>
                <c:pt idx="24">
                  <c:v>0.65465104534423446</c:v>
                </c:pt>
                <c:pt idx="25">
                  <c:v>0.71973454500939837</c:v>
                </c:pt>
                <c:pt idx="26">
                  <c:v>0.77869605276115195</c:v>
                </c:pt>
                <c:pt idx="27">
                  <c:v>0.83208578070204098</c:v>
                </c:pt>
                <c:pt idx="28">
                  <c:v>0.88042893495843266</c:v>
                </c:pt>
                <c:pt idx="29">
                  <c:v>0.92421782415308407</c:v>
                </c:pt>
                <c:pt idx="30">
                  <c:v>0.96390755363273684</c:v>
                </c:pt>
                <c:pt idx="31">
                  <c:v>0.9999143008454503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-1.1414853983504614</c:v>
                </c:pt>
                <c:pt idx="1">
                  <c:v>-1.1931243502683042</c:v>
                </c:pt>
                <c:pt idx="2">
                  <c:v>-1.2347609048535269</c:v>
                </c:pt>
                <c:pt idx="3">
                  <c:v>-1.2610483967534503</c:v>
                </c:pt>
                <c:pt idx="4">
                  <c:v>-1.2679941988180676</c:v>
                </c:pt>
                <c:pt idx="5">
                  <c:v>-1.2531375336088946</c:v>
                </c:pt>
                <c:pt idx="6">
                  <c:v>-1.2156558871390111</c:v>
                </c:pt>
                <c:pt idx="7">
                  <c:v>-1.1562846821744355</c:v>
                </c:pt>
                <c:pt idx="8">
                  <c:v>-1.0770694629069766</c:v>
                </c:pt>
                <c:pt idx="9">
                  <c:v>-0.98100939191603231</c:v>
                </c:pt>
                <c:pt idx="10">
                  <c:v>-0.87166224037482642</c:v>
                </c:pt>
                <c:pt idx="11">
                  <c:v>-0.75277282020613789</c:v>
                </c:pt>
                <c:pt idx="12">
                  <c:v>-0.62796729554115416</c:v>
                </c:pt>
                <c:pt idx="13">
                  <c:v>-0.50053345227007995</c:v>
                </c:pt>
                <c:pt idx="14">
                  <c:v>-0.37328799713964855</c:v>
                </c:pt>
                <c:pt idx="15">
                  <c:v>-0.24851927878377644</c:v>
                </c:pt>
                <c:pt idx="16">
                  <c:v>-0.12798768535993155</c:v>
                </c:pt>
                <c:pt idx="17">
                  <c:v>-1.2964962569084193E-2</c:v>
                </c:pt>
                <c:pt idx="18">
                  <c:v>9.5704122426987226E-2</c:v>
                </c:pt>
                <c:pt idx="19">
                  <c:v>0.19753070639505488</c:v>
                </c:pt>
                <c:pt idx="20">
                  <c:v>0.29231040742372372</c:v>
                </c:pt>
                <c:pt idx="21">
                  <c:v>0.38005720829126233</c:v>
                </c:pt>
                <c:pt idx="22">
                  <c:v>0.46094564035259467</c:v>
                </c:pt>
                <c:pt idx="23">
                  <c:v>0.53526237970613622</c:v>
                </c:pt>
                <c:pt idx="24">
                  <c:v>0.60336715337339086</c:v>
                </c:pt>
                <c:pt idx="25">
                  <c:v>0.66566215584207278</c:v>
                </c:pt>
                <c:pt idx="26">
                  <c:v>0.72256884293797619</c:v>
                </c:pt>
                <c:pt idx="27">
                  <c:v>0.77451087512558914</c:v>
                </c:pt>
                <c:pt idx="28">
                  <c:v>0.82190202918996924</c:v>
                </c:pt>
                <c:pt idx="29">
                  <c:v>0.86513801927146083</c:v>
                </c:pt>
                <c:pt idx="30">
                  <c:v>0.90459132102038708</c:v>
                </c:pt>
                <c:pt idx="31">
                  <c:v>0.94060824970654267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-1.0377605848832516</c:v>
                </c:pt>
                <c:pt idx="1">
                  <c:v>-1.0853577097635903</c:v>
                </c:pt>
                <c:pt idx="2">
                  <c:v>-1.1200918202369792</c:v>
                </c:pt>
                <c:pt idx="3">
                  <c:v>-1.1385319361079116</c:v>
                </c:pt>
                <c:pt idx="4">
                  <c:v>-1.1384339968345536</c:v>
                </c:pt>
                <c:pt idx="5">
                  <c:v>-1.1187589106276263</c:v>
                </c:pt>
                <c:pt idx="6">
                  <c:v>-1.0796560609660499</c:v>
                </c:pt>
                <c:pt idx="7">
                  <c:v>-1.0223357547212153</c:v>
                </c:pt>
                <c:pt idx="8">
                  <c:v>-0.94885162378766097</c:v>
                </c:pt>
                <c:pt idx="9">
                  <c:v>-0.86183371678982823</c:v>
                </c:pt>
                <c:pt idx="10">
                  <c:v>-0.76421480221910976</c:v>
                </c:pt>
                <c:pt idx="11">
                  <c:v>-0.65898426934829502</c:v>
                </c:pt>
                <c:pt idx="12">
                  <c:v>-0.54899130274788099</c:v>
                </c:pt>
                <c:pt idx="13">
                  <c:v>-0.43680607186402653</c:v>
                </c:pt>
                <c:pt idx="14">
                  <c:v>-0.32463732145937563</c:v>
                </c:pt>
                <c:pt idx="15">
                  <c:v>-0.21429810933781823</c:v>
                </c:pt>
                <c:pt idx="16">
                  <c:v>-0.10720837080868684</c:v>
                </c:pt>
                <c:pt idx="17">
                  <c:v>-4.4226526774160391E-3</c:v>
                </c:pt>
                <c:pt idx="18">
                  <c:v>9.3327280881183583E-2</c:v>
                </c:pt>
                <c:pt idx="19">
                  <c:v>0.18558311975613861</c:v>
                </c:pt>
                <c:pt idx="20">
                  <c:v>0.27210981583869476</c:v>
                </c:pt>
                <c:pt idx="21">
                  <c:v>0.35284833435400564</c:v>
                </c:pt>
                <c:pt idx="22">
                  <c:v>0.4278735112095422</c:v>
                </c:pt>
                <c:pt idx="23">
                  <c:v>0.49735797183925179</c:v>
                </c:pt>
                <c:pt idx="24">
                  <c:v>0.56154225143711933</c:v>
                </c:pt>
                <c:pt idx="25">
                  <c:v>0.62071075457970082</c:v>
                </c:pt>
                <c:pt idx="26">
                  <c:v>0.67517292172247778</c:v>
                </c:pt>
                <c:pt idx="27">
                  <c:v>0.72524885907365721</c:v>
                </c:pt>
                <c:pt idx="28">
                  <c:v>0.77125867894878297</c:v>
                </c:pt>
                <c:pt idx="29">
                  <c:v>0.81351484770508797</c:v>
                </c:pt>
                <c:pt idx="30">
                  <c:v>0.85231691843490331</c:v>
                </c:pt>
                <c:pt idx="31">
                  <c:v>0.88794811663572837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-0.94496126319065787</c:v>
                </c:pt>
                <c:pt idx="1">
                  <c:v>-0.98885795512093644</c:v>
                </c:pt>
                <c:pt idx="2">
                  <c:v>-1.0179001865162629</c:v>
                </c:pt>
                <c:pt idx="3">
                  <c:v>-1.0300933002238555</c:v>
                </c:pt>
                <c:pt idx="4">
                  <c:v>-1.0244871782305598</c:v>
                </c:pt>
                <c:pt idx="5">
                  <c:v>-1.0010916971070483</c:v>
                </c:pt>
                <c:pt idx="6">
                  <c:v>-0.96077535576499784</c:v>
                </c:pt>
                <c:pt idx="7">
                  <c:v>-0.90510693650291962</c:v>
                </c:pt>
                <c:pt idx="8">
                  <c:v>-0.83616069546765814</c:v>
                </c:pt>
                <c:pt idx="9">
                  <c:v>-0.7563121293185926</c:v>
                </c:pt>
                <c:pt idx="10">
                  <c:v>-0.6680480063003813</c:v>
                </c:pt>
                <c:pt idx="11">
                  <c:v>-0.57380707565668487</c:v>
                </c:pt>
                <c:pt idx="12">
                  <c:v>-0.47585974440544909</c:v>
                </c:pt>
                <c:pt idx="13">
                  <c:v>-0.37622796133174319</c:v>
                </c:pt>
                <c:pt idx="14">
                  <c:v>-0.27664152211337445</c:v>
                </c:pt>
                <c:pt idx="15">
                  <c:v>-0.17852416843266994</c:v>
                </c:pt>
                <c:pt idx="16">
                  <c:v>-8.3001862410947425E-2</c:v>
                </c:pt>
                <c:pt idx="17">
                  <c:v>9.0740705105396557E-3</c:v>
                </c:pt>
                <c:pt idx="18">
                  <c:v>9.709517402534118E-2</c:v>
                </c:pt>
                <c:pt idx="19">
                  <c:v>0.18066034352393068</c:v>
                </c:pt>
                <c:pt idx="20">
                  <c:v>0.2595400611060672</c:v>
                </c:pt>
                <c:pt idx="21">
                  <c:v>0.33364268158142529</c:v>
                </c:pt>
                <c:pt idx="22">
                  <c:v>0.40298410502903614</c:v>
                </c:pt>
                <c:pt idx="23">
                  <c:v>0.46766145687326954</c:v>
                </c:pt>
                <c:pt idx="24">
                  <c:v>0.52783090346730788</c:v>
                </c:pt>
                <c:pt idx="25">
                  <c:v>0.5836894166821871</c:v>
                </c:pt>
                <c:pt idx="26">
                  <c:v>0.63546012166737498</c:v>
                </c:pt>
                <c:pt idx="27">
                  <c:v>0.6833807781092549</c:v>
                </c:pt>
                <c:pt idx="28">
                  <c:v>0.7276949246193265</c:v>
                </c:pt>
                <c:pt idx="29">
                  <c:v>0.76864523502639948</c:v>
                </c:pt>
                <c:pt idx="30">
                  <c:v>0.80646867557154778</c:v>
                </c:pt>
                <c:pt idx="31">
                  <c:v>0.84139310301933889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-0.8616597462318687</c:v>
                </c:pt>
                <c:pt idx="1">
                  <c:v>-0.90212716564064266</c:v>
                </c:pt>
                <c:pt idx="2">
                  <c:v>-0.92641290285966349</c:v>
                </c:pt>
                <c:pt idx="3">
                  <c:v>-0.93360362143690701</c:v>
                </c:pt>
                <c:pt idx="4">
                  <c:v>-0.92370154810672567</c:v>
                </c:pt>
                <c:pt idx="5">
                  <c:v>-0.89748263141786744</c:v>
                </c:pt>
                <c:pt idx="6">
                  <c:v>-0.85633844150279081</c:v>
                </c:pt>
                <c:pt idx="7">
                  <c:v>-0.80209879517401106</c:v>
                </c:pt>
                <c:pt idx="8">
                  <c:v>-0.73685482124274948</c:v>
                </c:pt>
                <c:pt idx="9">
                  <c:v>-0.66279933444213235</c:v>
                </c:pt>
                <c:pt idx="10">
                  <c:v>-0.58209524913754862</c:v>
                </c:pt>
                <c:pt idx="11">
                  <c:v>-0.49677660331370888</c:v>
                </c:pt>
                <c:pt idx="12">
                  <c:v>-0.4086818399551273</c:v>
                </c:pt>
                <c:pt idx="13">
                  <c:v>-0.31941572148697084</c:v>
                </c:pt>
                <c:pt idx="14">
                  <c:v>-0.2303345496246223</c:v>
                </c:pt>
                <c:pt idx="15">
                  <c:v>-0.14254889136422477</c:v>
                </c:pt>
                <c:pt idx="16">
                  <c:v>-5.6938364351166726E-2</c:v>
                </c:pt>
                <c:pt idx="17">
                  <c:v>2.582615882373851E-2</c:v>
                </c:pt>
                <c:pt idx="18">
                  <c:v>0.10525658899585011</c:v>
                </c:pt>
                <c:pt idx="19">
                  <c:v>0.18102059769153911</c:v>
                </c:pt>
                <c:pt idx="20">
                  <c:v>0.25291538027993887</c:v>
                </c:pt>
                <c:pt idx="21">
                  <c:v>0.32084336295201688</c:v>
                </c:pt>
                <c:pt idx="22">
                  <c:v>0.38479048646289371</c:v>
                </c:pt>
                <c:pt idx="23">
                  <c:v>0.44480732279139623</c:v>
                </c:pt>
                <c:pt idx="24">
                  <c:v>0.50099302618900055</c:v>
                </c:pt>
                <c:pt idx="25">
                  <c:v>0.55348196011495432</c:v>
                </c:pt>
                <c:pt idx="26">
                  <c:v>0.60243275173510469</c:v>
                </c:pt>
                <c:pt idx="27">
                  <c:v>0.64801948460702086</c:v>
                </c:pt>
                <c:pt idx="28">
                  <c:v>0.69042473169744767</c:v>
                </c:pt>
                <c:pt idx="29">
                  <c:v>0.72983414285743287</c:v>
                </c:pt>
                <c:pt idx="30">
                  <c:v>0.7664323245626381</c:v>
                </c:pt>
                <c:pt idx="31">
                  <c:v>0.80039977866652734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-0.78665305786040918</c:v>
                </c:pt>
                <c:pt idx="1">
                  <c:v>-0.8239102291363043</c:v>
                </c:pt>
                <c:pt idx="2">
                  <c:v>-0.84416661505826163</c:v>
                </c:pt>
                <c:pt idx="3">
                  <c:v>-0.84732543987886544</c:v>
                </c:pt>
                <c:pt idx="4">
                  <c:v>-0.83408362606673947</c:v>
                </c:pt>
                <c:pt idx="5">
                  <c:v>-0.80576788511033115</c:v>
                </c:pt>
                <c:pt idx="6">
                  <c:v>-0.76414093002186156</c:v>
                </c:pt>
                <c:pt idx="7">
                  <c:v>-0.71121361264081528</c:v>
                </c:pt>
                <c:pt idx="8">
                  <c:v>-0.64908252033535341</c:v>
                </c:pt>
                <c:pt idx="9">
                  <c:v>-0.57980255864675811</c:v>
                </c:pt>
                <c:pt idx="10">
                  <c:v>-0.50529635912677229</c:v>
                </c:pt>
                <c:pt idx="11">
                  <c:v>-0.42729726960510916</c:v>
                </c:pt>
                <c:pt idx="12">
                  <c:v>-0.34732002314297183</c:v>
                </c:pt>
                <c:pt idx="13">
                  <c:v>-0.26665237634726502</c:v>
                </c:pt>
                <c:pt idx="14">
                  <c:v>-0.1863613911567974</c:v>
                </c:pt>
                <c:pt idx="15">
                  <c:v>-0.10730902942013287</c:v>
                </c:pt>
                <c:pt idx="16">
                  <c:v>-3.0172922486082498E-2</c:v>
                </c:pt>
                <c:pt idx="17">
                  <c:v>4.4530681527765736E-2</c:v>
                </c:pt>
                <c:pt idx="18">
                  <c:v>0.11642382445109511</c:v>
                </c:pt>
                <c:pt idx="19">
                  <c:v>0.18524487641835563</c:v>
                </c:pt>
                <c:pt idx="20">
                  <c:v>0.25082843101209562</c:v>
                </c:pt>
                <c:pt idx="21">
                  <c:v>0.31308739852353717</c:v>
                </c:pt>
                <c:pt idx="22">
                  <c:v>0.3719973861482373</c:v>
                </c:pt>
                <c:pt idx="23">
                  <c:v>0.42758329737546674</c:v>
                </c:pt>
                <c:pt idx="24">
                  <c:v>0.47990799333930134</c:v>
                </c:pt>
                <c:pt idx="25">
                  <c:v>0.52906281447273606</c:v>
                </c:pt>
                <c:pt idx="26">
                  <c:v>0.57515974524524616</c:v>
                </c:pt>
                <c:pt idx="27">
                  <c:v>0.61832500695024883</c:v>
                </c:pt>
                <c:pt idx="28">
                  <c:v>0.6586938759634009</c:v>
                </c:pt>
                <c:pt idx="29">
                  <c:v>0.69640654246638789</c:v>
                </c:pt>
                <c:pt idx="30">
                  <c:v>0.73160484445167207</c:v>
                </c:pt>
                <c:pt idx="31">
                  <c:v>0.76442973199974951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-0.71892177813670521</c:v>
                </c:pt>
                <c:pt idx="1">
                  <c:v>-0.75314870589537897</c:v>
                </c:pt>
                <c:pt idx="2">
                  <c:v>-0.7699446198239368</c:v>
                </c:pt>
                <c:pt idx="3">
                  <c:v>-0.76983020758980558</c:v>
                </c:pt>
                <c:pt idx="4">
                  <c:v>-0.75400216733134684</c:v>
                </c:pt>
                <c:pt idx="5">
                  <c:v>-0.7241738546248655</c:v>
                </c:pt>
                <c:pt idx="6">
                  <c:v>-0.68236154803558158</c:v>
                </c:pt>
                <c:pt idx="7">
                  <c:v>-0.63069238683710616</c:v>
                </c:pt>
                <c:pt idx="8">
                  <c:v>-0.57125418093328939</c:v>
                </c:pt>
                <c:pt idx="9">
                  <c:v>-0.50599154263863966</c:v>
                </c:pt>
                <c:pt idx="10">
                  <c:v>-0.43664417871069894</c:v>
                </c:pt>
                <c:pt idx="11">
                  <c:v>-0.36471900762724552</c:v>
                </c:pt>
                <c:pt idx="12">
                  <c:v>-0.2914866925196602</c:v>
                </c:pt>
                <c:pt idx="13">
                  <c:v>-0.21799398765343092</c:v>
                </c:pt>
                <c:pt idx="14">
                  <c:v>-0.14508498725418484</c:v>
                </c:pt>
                <c:pt idx="15">
                  <c:v>-7.3426255161601617E-2</c:v>
                </c:pt>
                <c:pt idx="16">
                  <c:v>-3.5325132363706047E-3</c:v>
                </c:pt>
                <c:pt idx="17">
                  <c:v>6.4209088780353696E-2</c:v>
                </c:pt>
                <c:pt idx="18">
                  <c:v>0.12951713194264691</c:v>
                </c:pt>
                <c:pt idx="19">
                  <c:v>0.19219688742078134</c:v>
                </c:pt>
                <c:pt idx="20">
                  <c:v>0.25212406435715096</c:v>
                </c:pt>
                <c:pt idx="21">
                  <c:v>0.30923112902758731</c:v>
                </c:pt>
                <c:pt idx="22">
                  <c:v>0.3634958896769902</c:v>
                </c:pt>
                <c:pt idx="23">
                  <c:v>0.41493202266096318</c:v>
                </c:pt>
                <c:pt idx="24">
                  <c:v>0.46358123424461439</c:v>
                </c:pt>
                <c:pt idx="25">
                  <c:v>0.50950678812888839</c:v>
                </c:pt>
                <c:pt idx="26">
                  <c:v>0.55278816884940518</c:v>
                </c:pt>
                <c:pt idx="27">
                  <c:v>0.59351668982299266</c:v>
                </c:pt>
                <c:pt idx="28">
                  <c:v>0.63179188842910072</c:v>
                </c:pt>
                <c:pt idx="29">
                  <c:v>0.66771857875957963</c:v>
                </c:pt>
                <c:pt idx="30">
                  <c:v>0.70140445554534026</c:v>
                </c:pt>
                <c:pt idx="31">
                  <c:v>0.73295816112373124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-0.65759735109249817</c:v>
                </c:pt>
                <c:pt idx="1">
                  <c:v>-0.68894458624901844</c:v>
                </c:pt>
                <c:pt idx="2">
                  <c:v>-0.70272815261507304</c:v>
                </c:pt>
                <c:pt idx="3">
                  <c:v>-0.69993498171272428</c:v>
                </c:pt>
                <c:pt idx="4">
                  <c:v>-0.68211373927429264</c:v>
                </c:pt>
                <c:pt idx="5">
                  <c:v>-0.65123929124499824</c:v>
                </c:pt>
                <c:pt idx="6">
                  <c:v>-0.60949070340043932</c:v>
                </c:pt>
                <c:pt idx="7">
                  <c:v>-0.5590596176141549</c:v>
                </c:pt>
                <c:pt idx="8">
                  <c:v>-0.50201064455301925</c:v>
                </c:pt>
                <c:pt idx="9">
                  <c:v>-0.44019491568958458</c:v>
                </c:pt>
                <c:pt idx="10">
                  <c:v>-0.37520872237295499</c:v>
                </c:pt>
                <c:pt idx="11">
                  <c:v>-0.30838569237912061</c:v>
                </c:pt>
                <c:pt idx="12">
                  <c:v>-0.24081096396955104</c:v>
                </c:pt>
                <c:pt idx="13">
                  <c:v>-0.17334766214793795</c:v>
                </c:pt>
                <c:pt idx="14">
                  <c:v>-0.1066684756723113</c:v>
                </c:pt>
                <c:pt idx="15">
                  <c:v>-4.1287551373336839E-2</c:v>
                </c:pt>
                <c:pt idx="16">
                  <c:v>2.2410090046998121E-2</c:v>
                </c:pt>
                <c:pt idx="17">
                  <c:v>8.4142956036092897E-2</c:v>
                </c:pt>
                <c:pt idx="18">
                  <c:v>0.14371167828097775</c:v>
                </c:pt>
                <c:pt idx="19">
                  <c:v>0.20098160915749119</c:v>
                </c:pt>
                <c:pt idx="20">
                  <c:v>0.25586893770079833</c:v>
                </c:pt>
                <c:pt idx="21">
                  <c:v>0.30832974220351694</c:v>
                </c:pt>
                <c:pt idx="22">
                  <c:v>0.35835140401507815</c:v>
                </c:pt>
                <c:pt idx="23">
                  <c:v>0.40594587087827705</c:v>
                </c:pt>
                <c:pt idx="24">
                  <c:v>0.45114434391368974</c:v>
                </c:pt>
                <c:pt idx="25">
                  <c:v>0.49399305002029159</c:v>
                </c:pt>
                <c:pt idx="26">
                  <c:v>0.53454983988676652</c:v>
                </c:pt>
                <c:pt idx="27">
                  <c:v>0.57288141761646649</c:v>
                </c:pt>
                <c:pt idx="28">
                  <c:v>0.60906105942226674</c:v>
                </c:pt>
                <c:pt idx="29">
                  <c:v>0.64316671816611048</c:v>
                </c:pt>
                <c:pt idx="30">
                  <c:v>0.67527943893752607</c:v>
                </c:pt>
                <c:pt idx="31">
                  <c:v>0.70548203136899801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-0.60193596156166151</c:v>
                </c:pt>
                <c:pt idx="1">
                  <c:v>-0.63053162209336655</c:v>
                </c:pt>
                <c:pt idx="2">
                  <c:v>-0.64165849329000935</c:v>
                </c:pt>
                <c:pt idx="3">
                  <c:v>-0.63665349723018849</c:v>
                </c:pt>
                <c:pt idx="4">
                  <c:v>-0.61730499313350506</c:v>
                </c:pt>
                <c:pt idx="5">
                  <c:v>-0.58575404864313896</c:v>
                </c:pt>
                <c:pt idx="6">
                  <c:v>-0.5442726860171998</c:v>
                </c:pt>
                <c:pt idx="7">
                  <c:v>-0.49507609152010801</c:v>
                </c:pt>
                <c:pt idx="8">
                  <c:v>-0.4401924258046197</c:v>
                </c:pt>
                <c:pt idx="9">
                  <c:v>-0.3813894170301424</c:v>
                </c:pt>
                <c:pt idx="10">
                  <c:v>-0.32014727370466289</c:v>
                </c:pt>
                <c:pt idx="11">
                  <c:v>-0.25766446907327101</c:v>
                </c:pt>
                <c:pt idx="12">
                  <c:v>-0.19488366564179849</c:v>
                </c:pt>
                <c:pt idx="13">
                  <c:v>-0.13252753069736833</c:v>
                </c:pt>
                <c:pt idx="14">
                  <c:v>-7.113715546291921E-2</c:v>
                </c:pt>
                <c:pt idx="15">
                  <c:v>-1.1108498575440606E-2</c:v>
                </c:pt>
                <c:pt idx="16">
                  <c:v>4.7275590104867149E-2</c:v>
                </c:pt>
                <c:pt idx="17">
                  <c:v>0.10381870559905693</c:v>
                </c:pt>
                <c:pt idx="18">
                  <c:v>0.15838957327152237</c:v>
                </c:pt>
                <c:pt idx="19">
                  <c:v>0.21090554756186819</c:v>
                </c:pt>
                <c:pt idx="20">
                  <c:v>0.26132015771507255</c:v>
                </c:pt>
                <c:pt idx="21">
                  <c:v>0.30961389041239684</c:v>
                </c:pt>
                <c:pt idx="22">
                  <c:v>0.35578746045206167</c:v>
                </c:pt>
                <c:pt idx="23">
                  <c:v>0.39985693122246424</c:v>
                </c:pt>
                <c:pt idx="24">
                  <c:v>0.44185017117337466</c:v>
                </c:pt>
                <c:pt idx="25">
                  <c:v>0.48180425130328608</c:v>
                </c:pt>
                <c:pt idx="26">
                  <c:v>0.51976349149440715</c:v>
                </c:pt>
                <c:pt idx="27">
                  <c:v>0.55577794746075604</c:v>
                </c:pt>
                <c:pt idx="28">
                  <c:v>0.58990219502175201</c:v>
                </c:pt>
                <c:pt idx="29">
                  <c:v>0.62219431662069447</c:v>
                </c:pt>
                <c:pt idx="30">
                  <c:v>0.652715029672013</c:v>
                </c:pt>
                <c:pt idx="31">
                  <c:v>0.68152691986789193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-0.55129753685601024</c:v>
                </c:pt>
                <c:pt idx="1">
                  <c:v>-0.57725249340223606</c:v>
                </c:pt>
                <c:pt idx="2">
                  <c:v>-0.58600726751900645</c:v>
                </c:pt>
                <c:pt idx="3">
                  <c:v>-0.57915808851061179</c:v>
                </c:pt>
                <c:pt idx="4">
                  <c:v>-0.55864763167212672</c:v>
                </c:pt>
                <c:pt idx="5">
                  <c:v>-0.52671075718824234</c:v>
                </c:pt>
                <c:pt idx="6">
                  <c:v>-0.48565901397901179</c:v>
                </c:pt>
                <c:pt idx="7">
                  <c:v>-0.43769911425850516</c:v>
                </c:pt>
                <c:pt idx="8">
                  <c:v>-0.38481130927303653</c:v>
                </c:pt>
                <c:pt idx="9">
                  <c:v>-0.32868587401702065</c:v>
                </c:pt>
                <c:pt idx="10">
                  <c:v>-0.27070594799671888</c:v>
                </c:pt>
                <c:pt idx="11">
                  <c:v>-0.21196231478004535</c:v>
                </c:pt>
                <c:pt idx="12">
                  <c:v>-0.15328684574433815</c:v>
                </c:pt>
                <c:pt idx="13">
                  <c:v>-9.5294171472692923E-2</c:v>
                </c:pt>
                <c:pt idx="14">
                  <c:v>-3.8424346452403668E-2</c:v>
                </c:pt>
                <c:pt idx="15">
                  <c:v>1.7017885508563424E-2</c:v>
                </c:pt>
                <c:pt idx="16">
                  <c:v>7.0829427243346288E-2</c:v>
                </c:pt>
                <c:pt idx="17">
                  <c:v>0.12288145766037317</c:v>
                </c:pt>
                <c:pt idx="18">
                  <c:v>0.17309811641053052</c:v>
                </c:pt>
                <c:pt idx="19">
                  <c:v>0.2214405114497886</c:v>
                </c:pt>
                <c:pt idx="20">
                  <c:v>0.26789512089342438</c:v>
                </c:pt>
                <c:pt idx="21">
                  <c:v>0.31246564857534409</c:v>
                </c:pt>
                <c:pt idx="22">
                  <c:v>0.35516748233210826</c:v>
                </c:pt>
                <c:pt idx="23">
                  <c:v>0.39602403844263279</c:v>
                </c:pt>
                <c:pt idx="24">
                  <c:v>0.43506442043095284</c:v>
                </c:pt>
                <c:pt idx="25">
                  <c:v>0.47232195589663739</c:v>
                </c:pt>
                <c:pt idx="26">
                  <c:v>0.50783329166415037</c:v>
                </c:pt>
                <c:pt idx="27">
                  <c:v>0.54163782220006951</c:v>
                </c:pt>
                <c:pt idx="28">
                  <c:v>0.57377730017682538</c:v>
                </c:pt>
                <c:pt idx="29">
                  <c:v>0.60429553276120096</c:v>
                </c:pt>
                <c:pt idx="30">
                  <c:v>0.63323810680970816</c:v>
                </c:pt>
                <c:pt idx="31">
                  <c:v>0.66065211312693606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-0.50512876783259664</c:v>
                </c:pt>
                <c:pt idx="1">
                  <c:v>-0.52854049895967314</c:v>
                </c:pt>
                <c:pt idx="2">
                  <c:v>-0.53515300178719194</c:v>
                </c:pt>
                <c:pt idx="3">
                  <c:v>-0.52674985113521089</c:v>
                </c:pt>
                <c:pt idx="4">
                  <c:v>-0.50536307980353357</c:v>
                </c:pt>
                <c:pt idx="5">
                  <c:v>-0.47326656116508659</c:v>
                </c:pt>
                <c:pt idx="6">
                  <c:v>-0.43277079707526589</c:v>
                </c:pt>
                <c:pt idx="7">
                  <c:v>-0.38604933002672759</c:v>
                </c:pt>
                <c:pt idx="8">
                  <c:v>-0.33502503745008738</c:v>
                </c:pt>
                <c:pt idx="9">
                  <c:v>-0.28131423228106023</c:v>
                </c:pt>
                <c:pt idx="10">
                  <c:v>-0.22621631360353334</c:v>
                </c:pt>
                <c:pt idx="11">
                  <c:v>-0.17073423690949774</c:v>
                </c:pt>
                <c:pt idx="12">
                  <c:v>-0.11561243593471993</c:v>
                </c:pt>
                <c:pt idx="13">
                  <c:v>-6.1381822554773535E-2</c:v>
                </c:pt>
                <c:pt idx="14">
                  <c:v>-8.404777425141674E-3</c:v>
                </c:pt>
                <c:pt idx="15">
                  <c:v>4.3084085246114512E-2</c:v>
                </c:pt>
                <c:pt idx="16">
                  <c:v>9.2943409583101655E-2</c:v>
                </c:pt>
                <c:pt idx="17">
                  <c:v>0.14109738844081399</c:v>
                </c:pt>
                <c:pt idx="18">
                  <c:v>0.18751448917941893</c:v>
                </c:pt>
                <c:pt idx="19">
                  <c:v>0.23219178182931621</c:v>
                </c:pt>
                <c:pt idx="20">
                  <c:v>0.27514386071736396</c:v>
                </c:pt>
                <c:pt idx="21">
                  <c:v>0.31639535473138025</c:v>
                </c:pt>
                <c:pt idx="22">
                  <c:v>0.3559761236537895</c:v>
                </c:pt>
                <c:pt idx="23">
                  <c:v>0.39391838237756716</c:v>
                </c:pt>
                <c:pt idx="24">
                  <c:v>0.43025514799399645</c:v>
                </c:pt>
                <c:pt idx="25">
                  <c:v>0.46501954709121662</c:v>
                </c:pt>
                <c:pt idx="26">
                  <c:v>0.49824464346315267</c:v>
                </c:pt>
                <c:pt idx="27">
                  <c:v>0.52996354661272171</c:v>
                </c:pt>
                <c:pt idx="28">
                  <c:v>0.5602096400814105</c:v>
                </c:pt>
                <c:pt idx="29">
                  <c:v>0.5890168276323493</c:v>
                </c:pt>
                <c:pt idx="30">
                  <c:v>0.61641973826409568</c:v>
                </c:pt>
                <c:pt idx="31">
                  <c:v>0.64245386105055147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-0.46294929948786923</c:v>
                </c:pt>
                <c:pt idx="1">
                  <c:v>-0.48390477744186811</c:v>
                </c:pt>
                <c:pt idx="2">
                  <c:v>-0.48856248364370636</c:v>
                </c:pt>
                <c:pt idx="3">
                  <c:v>-0.47883510427060294</c:v>
                </c:pt>
                <c:pt idx="4">
                  <c:v>-0.45679460941694394</c:v>
                </c:pt>
                <c:pt idx="5">
                  <c:v>-0.42471270445543219</c:v>
                </c:pt>
                <c:pt idx="6">
                  <c:v>-0.38486835333362279</c:v>
                </c:pt>
                <c:pt idx="7">
                  <c:v>-0.33938319474735579</c:v>
                </c:pt>
                <c:pt idx="8">
                  <c:v>-0.29011523764554958</c:v>
                </c:pt>
                <c:pt idx="9">
                  <c:v>-0.23860892714555604</c:v>
                </c:pt>
                <c:pt idx="10">
                  <c:v>-0.18608936890651684</c:v>
                </c:pt>
                <c:pt idx="11">
                  <c:v>-0.13348612625807554</c:v>
                </c:pt>
                <c:pt idx="12">
                  <c:v>-8.1473439620394217E-2</c:v>
                </c:pt>
                <c:pt idx="13">
                  <c:v>-3.0516728690699324E-2</c:v>
                </c:pt>
                <c:pt idx="14">
                  <c:v>1.9081499257334045E-2</c:v>
                </c:pt>
                <c:pt idx="15">
                  <c:v>6.7140382926655917E-2</c:v>
                </c:pt>
                <c:pt idx="16">
                  <c:v>0.11356598855871702</c:v>
                </c:pt>
                <c:pt idx="17">
                  <c:v>0.15832359489986736</c:v>
                </c:pt>
                <c:pt idx="18">
                  <c:v>0.20141656086436477</c:v>
                </c:pt>
                <c:pt idx="19">
                  <c:v>0.24287090470087591</c:v>
                </c:pt>
                <c:pt idx="20">
                  <c:v>0.28272455952937925</c:v>
                </c:pt>
                <c:pt idx="21">
                  <c:v>0.32102028076907985</c:v>
                </c:pt>
                <c:pt idx="22">
                  <c:v>0.35780128642692866</c:v>
                </c:pt>
                <c:pt idx="23">
                  <c:v>0.39310885714627375</c:v>
                </c:pt>
                <c:pt idx="24">
                  <c:v>0.42698127675766528</c:v>
                </c:pt>
                <c:pt idx="25">
                  <c:v>0.45945363742916356</c:v>
                </c:pt>
                <c:pt idx="26">
                  <c:v>0.49055815727117036</c:v>
                </c:pt>
                <c:pt idx="27">
                  <c:v>0.52032476031249608</c:v>
                </c:pt>
                <c:pt idx="28">
                  <c:v>0.54878174890360398</c:v>
                </c:pt>
                <c:pt idx="29">
                  <c:v>0.57595645988506305</c:v>
                </c:pt>
                <c:pt idx="30">
                  <c:v>0.60187584083992718</c:v>
                </c:pt>
                <c:pt idx="31">
                  <c:v>0.62656691461215885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[0]!time_compar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289560</xdr:colOff>
          <xdr:row>1</xdr:row>
          <xdr:rowOff>190500</xdr:rowOff>
        </xdr:from>
        <xdr:to>
          <xdr:col>29</xdr:col>
          <xdr:colOff>342900</xdr:colOff>
          <xdr:row>4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pvt_dZdp"/>
      <definedName name="unf_pvt_dZdt"/>
      <definedName name="unf_pvt_Zgas_d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80" zoomScaleNormal="80" workbookViewId="0">
      <selection activeCell="N6" sqref="N6"/>
    </sheetView>
  </sheetViews>
  <sheetFormatPr defaultRowHeight="14.4" x14ac:dyDescent="0.3"/>
  <sheetData>
    <row r="1" spans="1:17" x14ac:dyDescent="0.3">
      <c r="A1" s="7" t="s">
        <v>10</v>
      </c>
      <c r="F1" t="s">
        <v>11</v>
      </c>
      <c r="G1" t="str">
        <f>[1]!unf_Version()</f>
        <v>7.27</v>
      </c>
    </row>
    <row r="2" spans="1:17" ht="15" thickBot="1" x14ac:dyDescent="0.35">
      <c r="A2" t="s">
        <v>0</v>
      </c>
      <c r="O2" t="s">
        <v>6</v>
      </c>
      <c r="P2">
        <v>0</v>
      </c>
      <c r="Q2" t="s">
        <v>7</v>
      </c>
    </row>
    <row r="3" spans="1:17" x14ac:dyDescent="0.3">
      <c r="K3" s="3" t="s">
        <v>5</v>
      </c>
      <c r="L3" s="4">
        <v>0.7</v>
      </c>
      <c r="P3">
        <v>1</v>
      </c>
      <c r="Q3" t="s">
        <v>8</v>
      </c>
    </row>
    <row r="4" spans="1:17" ht="15" thickBot="1" x14ac:dyDescent="0.35">
      <c r="K4" s="5" t="s">
        <v>6</v>
      </c>
      <c r="L4" s="6">
        <v>2</v>
      </c>
      <c r="P4">
        <v>2</v>
      </c>
      <c r="Q4" t="s">
        <v>9</v>
      </c>
    </row>
    <row r="32" ht="18" customHeight="1" x14ac:dyDescent="0.3"/>
    <row r="35" spans="3:37" x14ac:dyDescent="0.3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3">
      <c r="E36" t="s">
        <v>4</v>
      </c>
      <c r="F36">
        <f t="shared" ref="F36:AK36" si="0">F35/10</f>
        <v>0.1</v>
      </c>
      <c r="G36">
        <f t="shared" si="0"/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3">
      <c r="C37" t="s">
        <v>1</v>
      </c>
      <c r="D37" t="s">
        <v>2</v>
      </c>
    </row>
    <row r="38" spans="3:37" x14ac:dyDescent="0.3">
      <c r="C38">
        <v>0</v>
      </c>
      <c r="D38" s="2">
        <f t="shared" ref="D38:D58" si="1">C38+273.15</f>
        <v>273.14999999999998</v>
      </c>
      <c r="E38" t="str">
        <f t="shared" ref="E38:E58" si="2">"t="&amp;C38&amp; " C"</f>
        <v>t=0 C</v>
      </c>
      <c r="F38" s="1" cm="1">
        <f t="array" ref="F38">[1]!unf_pvt_Zgas_d($D38,F$36,gg,zcor)</f>
        <v>0.99657817441657826</v>
      </c>
      <c r="G38" s="1" cm="1">
        <f t="array" ref="G38">[1]!unf_pvt_Zgas_d($D38,G$36,gg,zcor)</f>
        <v>0.96525261027728626</v>
      </c>
      <c r="H38" s="1" cm="1">
        <f t="array" ref="H38">[1]!unf_pvt_Zgas_d($D38,H$36,gg,zcor)</f>
        <v>0.93133912736014879</v>
      </c>
      <c r="I38" s="1" cm="1">
        <f t="array" ref="I38">[1]!unf_pvt_Zgas_d($D38,I$36,gg,zcor)</f>
        <v>0.89370034423716382</v>
      </c>
      <c r="J38" s="1" cm="1">
        <f t="array" ref="J38">[1]!unf_pvt_Zgas_d($D38,J$36,gg,zcor)</f>
        <v>0.85259719867404782</v>
      </c>
      <c r="K38" s="1" cm="1">
        <f t="array" ref="K38">[1]!unf_pvt_Zgas_d($D38,K$36,gg,zcor)</f>
        <v>0.80945500634619527</v>
      </c>
      <c r="L38" s="1" cm="1">
        <f t="array" ref="L38">[1]!unf_pvt_Zgas_d($D38,L$36,gg,zcor)</f>
        <v>0.76642267697883271</v>
      </c>
      <c r="M38" s="1" cm="1">
        <f t="array" ref="M38">[1]!unf_pvt_Zgas_d($D38,M$36,gg,zcor)</f>
        <v>0.72579428219268116</v>
      </c>
      <c r="N38" s="1" cm="1">
        <f t="array" ref="N38">[1]!unf_pvt_Zgas_d($D38,N$36,gg,zcor)</f>
        <v>0.68949399110128939</v>
      </c>
      <c r="O38" s="1" cm="1">
        <f t="array" ref="O38">[1]!unf_pvt_Zgas_d($D38,O$36,gg,zcor)</f>
        <v>0.65878880330186074</v>
      </c>
      <c r="P38" s="1" cm="1">
        <f t="array" ref="P38">[1]!unf_pvt_Zgas_d($D38,P$36,gg,zcor)</f>
        <v>0.63425404237709904</v>
      </c>
      <c r="Q38" s="1" cm="1">
        <f t="array" ref="Q38">[1]!unf_pvt_Zgas_d($D38,Q$36,gg,zcor)</f>
        <v>0.61590417311663115</v>
      </c>
      <c r="R38" s="1" cm="1">
        <f t="array" ref="R38">[1]!unf_pvt_Zgas_d($D38,R$36,gg,zcor)</f>
        <v>0.6033779471535109</v>
      </c>
      <c r="S38" s="1" cm="1">
        <f t="array" ref="S38">[1]!unf_pvt_Zgas_d($D38,S$36,gg,zcor)</f>
        <v>0.59610460003068433</v>
      </c>
      <c r="T38" s="1" cm="1">
        <f t="array" ref="T38">[1]!unf_pvt_Zgas_d($D38,T$36,gg,zcor)</f>
        <v>0.59342475470773381</v>
      </c>
      <c r="U38" s="1" cm="1">
        <f t="array" ref="U38">[1]!unf_pvt_Zgas_d($D38,U$36,gg,zcor)</f>
        <v>0.59466814476532559</v>
      </c>
      <c r="V38" s="1" cm="1">
        <f t="array" ref="V38">[1]!unf_pvt_Zgas_d($D38,V$36,gg,zcor)</f>
        <v>0.599199496839947</v>
      </c>
      <c r="W38" s="1" cm="1">
        <f t="array" ref="W38">[1]!unf_pvt_Zgas_d($D38,W$36,gg,zcor)</f>
        <v>0.6064432199249542</v>
      </c>
      <c r="X38" s="1" cm="1">
        <f t="array" ref="X38">[1]!unf_pvt_Zgas_d($D38,X$36,gg,zcor)</f>
        <v>0.61589440082449387</v>
      </c>
      <c r="Y38" s="1" cm="1">
        <f t="array" ref="Y38">[1]!unf_pvt_Zgas_d($D38,Y$36,gg,zcor)</f>
        <v>0.62712103770831551</v>
      </c>
      <c r="Z38" s="1" cm="1">
        <f t="array" ref="Z38">[1]!unf_pvt_Zgas_d($D38,Z$36,gg,zcor)</f>
        <v>0.63976084934314781</v>
      </c>
      <c r="AA38" s="1" cm="1">
        <f t="array" ref="AA38">[1]!unf_pvt_Zgas_d($D38,AA$36,gg,zcor)</f>
        <v>0.65351500591432188</v>
      </c>
      <c r="AB38" s="1" cm="1">
        <f t="array" ref="AB38">[1]!unf_pvt_Zgas_d($D38,AB$36,gg,zcor)</f>
        <v>0.66814042550010555</v>
      </c>
      <c r="AC38" s="1" cm="1">
        <f t="array" ref="AC38">[1]!unf_pvt_Zgas_d($D38,AC$36,gg,zcor)</f>
        <v>0.68344173606714831</v>
      </c>
      <c r="AD38" s="1" cm="1">
        <f t="array" ref="AD38">[1]!unf_pvt_Zgas_d($D38,AD$36,gg,zcor)</f>
        <v>0.69926358151965529</v>
      </c>
      <c r="AE38" s="1" cm="1">
        <f t="array" ref="AE38">[1]!unf_pvt_Zgas_d($D38,AE$36,gg,zcor)</f>
        <v>0.71548364133924125</v>
      </c>
      <c r="AF38" s="1" cm="1">
        <f t="array" ref="AF38">[1]!unf_pvt_Zgas_d($D38,AF$36,gg,zcor)</f>
        <v>0.73200652255142695</v>
      </c>
      <c r="AG38" s="1" cm="1">
        <f t="array" ref="AG38">[1]!unf_pvt_Zgas_d($D38,AG$36,gg,zcor)</f>
        <v>0.7487585500473587</v>
      </c>
      <c r="AH38" s="1" cm="1">
        <f t="array" ref="AH38">[1]!unf_pvt_Zgas_d($D38,AH$36,gg,zcor)</f>
        <v>0.76568340538557933</v>
      </c>
      <c r="AI38" s="1" cm="1">
        <f t="array" ref="AI38">[1]!unf_pvt_Zgas_d($D38,AI$36,gg,zcor)</f>
        <v>0.78273852653967824</v>
      </c>
      <c r="AJ38" s="1" cm="1">
        <f t="array" ref="AJ38">[1]!unf_pvt_Zgas_d($D38,AJ$36,gg,zcor)</f>
        <v>0.79989216738522917</v>
      </c>
      <c r="AK38" s="1" cm="1">
        <f t="array" ref="AK38">[1]!unf_pvt_Zgas_d($D38,AK$36,gg,zcor)</f>
        <v>0.8171210160029263</v>
      </c>
    </row>
    <row r="39" spans="3:37" x14ac:dyDescent="0.3">
      <c r="C39">
        <v>10</v>
      </c>
      <c r="D39" s="2">
        <f t="shared" si="1"/>
        <v>283.14999999999998</v>
      </c>
      <c r="E39" t="str">
        <f t="shared" si="2"/>
        <v>t=10 C</v>
      </c>
      <c r="F39" s="1" cm="1">
        <f t="array" ref="F39">[1]!unf_pvt_Zgas_d($D39,F$36,gg,zcor)</f>
        <v>0.99698643741207993</v>
      </c>
      <c r="G39" s="1" cm="1">
        <f t="array" ref="G39">[1]!unf_pvt_Zgas_d($D39,G$36,gg,zcor)</f>
        <v>0.96938487376478233</v>
      </c>
      <c r="H39" s="1" cm="1">
        <f t="array" ref="H39">[1]!unf_pvt_Zgas_d($D39,H$36,gg,zcor)</f>
        <v>0.93975206176319181</v>
      </c>
      <c r="I39" s="1" cm="1">
        <f t="array" ref="I39">unf_pvt_Zgas_d($D39,I$36,gg,zcor)</f>
        <v>0.90726936683388126</v>
      </c>
      <c r="J39" s="1" cm="1">
        <f t="array" ref="J39">[1]!unf_pvt_Zgas_d($D39,J$36,gg,zcor)</f>
        <v>0.87211193742647597</v>
      </c>
      <c r="K39" s="1" cm="1">
        <f t="array" ref="K39">[1]!unf_pvt_Zgas_d($D39,K$36,gg,zcor)</f>
        <v>0.83528596194517801</v>
      </c>
      <c r="L39" s="1" cm="1">
        <f t="array" ref="L39">[1]!unf_pvt_Zgas_d($D39,L$36,gg,zcor)</f>
        <v>0.79834166997862033</v>
      </c>
      <c r="M39" s="1" cm="1">
        <f t="array" ref="M39">[1]!unf_pvt_Zgas_d($D39,M$36,gg,zcor)</f>
        <v>0.76299860631653815</v>
      </c>
      <c r="N39" s="1" cm="1">
        <f t="array" ref="N39">[1]!unf_pvt_Zgas_d($D39,N$36,gg,zcor)</f>
        <v>0.73079288442128787</v>
      </c>
      <c r="O39" s="1" cm="1">
        <f t="array" ref="O39">[1]!unf_pvt_Zgas_d($D39,O$36,gg,zcor)</f>
        <v>0.70284694577267326</v>
      </c>
      <c r="P39" s="1" cm="1">
        <f t="array" ref="P39">[1]!unf_pvt_Zgas_d($D39,P$36,gg,zcor)</f>
        <v>0.67979474122413508</v>
      </c>
      <c r="Q39" s="1" cm="1">
        <f t="array" ref="Q39">[1]!unf_pvt_Zgas_d($D39,Q$36,gg,zcor)</f>
        <v>0.66182877970240084</v>
      </c>
      <c r="R39" s="1" cm="1">
        <f t="array" ref="R39">[1]!unf_pvt_Zgas_d($D39,R$36,gg,zcor)</f>
        <v>0.64880829900089465</v>
      </c>
      <c r="S39" s="1" cm="1">
        <f t="array" ref="S39">[1]!unf_pvt_Zgas_d($D39,S$36,gg,zcor)</f>
        <v>0.64037708116628667</v>
      </c>
      <c r="T39" s="1" cm="1">
        <f t="array" ref="T39">[1]!unf_pvt_Zgas_d($D39,T$36,gg,zcor)</f>
        <v>0.63606272957380505</v>
      </c>
      <c r="U39" s="1" cm="1">
        <f t="array" ref="U39">[1]!unf_pvt_Zgas_d($D39,U$36,gg,zcor)</f>
        <v>0.63534896099428928</v>
      </c>
      <c r="V39" s="1" cm="1">
        <f t="array" ref="V39">[1]!unf_pvt_Zgas_d($D39,V$36,gg,zcor)</f>
        <v>0.63772312129271558</v>
      </c>
      <c r="W39" s="1" cm="1">
        <f t="array" ref="W39">[1]!unf_pvt_Zgas_d($D39,W$36,gg,zcor)</f>
        <v>0.64270464749265466</v>
      </c>
      <c r="X39" s="1" cm="1">
        <f t="array" ref="X39">[1]!unf_pvt_Zgas_d($D39,X$36,gg,zcor)</f>
        <v>0.64986013571245627</v>
      </c>
      <c r="Y39" s="1" cm="1">
        <f t="array" ref="Y39">[1]!unf_pvt_Zgas_d($D39,Y$36,gg,zcor)</f>
        <v>0.65880948699844255</v>
      </c>
      <c r="Z39" s="1" cm="1">
        <f t="array" ref="Z39">[1]!unf_pvt_Zgas_d($D39,Z$36,gg,zcor)</f>
        <v>0.66922637800702856</v>
      </c>
      <c r="AA39" s="1" cm="1">
        <f t="array" ref="AA39">[1]!unf_pvt_Zgas_d($D39,AA$36,gg,zcor)</f>
        <v>0.68083533499772186</v>
      </c>
      <c r="AB39" s="1" cm="1">
        <f t="array" ref="AB39">[1]!unf_pvt_Zgas_d($D39,AB$36,gg,zcor)</f>
        <v>0.69340697593237532</v>
      </c>
      <c r="AC39" s="1" cm="1">
        <f t="array" ref="AC39">[1]!unf_pvt_Zgas_d($D39,AC$36,gg,zcor)</f>
        <v>0.70675246556395588</v>
      </c>
      <c r="AD39" s="1" cm="1">
        <f t="array" ref="AD39">[1]!unf_pvt_Zgas_d($D39,AD$36,gg,zcor)</f>
        <v>0.72071785143900879</v>
      </c>
      <c r="AE39" s="1" cm="1">
        <f t="array" ref="AE39">[1]!unf_pvt_Zgas_d($D39,AE$36,gg,zcor)</f>
        <v>0.73517868008783893</v>
      </c>
      <c r="AF39" s="1" cm="1">
        <f t="array" ref="AF39">[1]!unf_pvt_Zgas_d($D39,AF$36,gg,zcor)</f>
        <v>0.75003510712715782</v>
      </c>
      <c r="AG39" s="1" cm="1">
        <f t="array" ref="AG39">[1]!unf_pvt_Zgas_d($D39,AG$36,gg,zcor)</f>
        <v>0.7652075922409256</v>
      </c>
      <c r="AH39" s="1" cm="1">
        <f t="array" ref="AH39">[1]!unf_pvt_Zgas_d($D39,AH$36,gg,zcor)</f>
        <v>0.7806331931361572</v>
      </c>
      <c r="AI39" s="1" cm="1">
        <f t="array" ref="AI39">[1]!unf_pvt_Zgas_d($D39,AI$36,gg,zcor)</f>
        <v>0.79626242789043311</v>
      </c>
      <c r="AJ39" s="1" cm="1">
        <f t="array" ref="AJ39">[1]!unf_pvt_Zgas_d($D39,AJ$36,gg,zcor)</f>
        <v>0.81205665202628552</v>
      </c>
      <c r="AK39" s="1" cm="1">
        <f t="array" ref="AK39">[1]!unf_pvt_Zgas_d($D39,AK$36,gg,zcor)</f>
        <v>0.82798588737772549</v>
      </c>
    </row>
    <row r="40" spans="3:37" x14ac:dyDescent="0.3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[1]!unf_pvt_Zgas_d($D40,F$36,gg,zcor)</f>
        <v>0.99733316147437967</v>
      </c>
      <c r="G40" s="1" cm="1">
        <f t="array" ref="G40">[1]!unf_pvt_Zgas_d($D40,G$36,gg,zcor)</f>
        <v>0.97289094166005163</v>
      </c>
      <c r="H40" s="1" cm="1">
        <f t="array" ref="H40">[1]!unf_pvt_Zgas_d($D40,H$36,gg,zcor)</f>
        <v>0.94682924994227002</v>
      </c>
      <c r="I40" s="1" cm="1">
        <f t="array" ref="I40">[1]!unf_pvt_Zgas_d($D40,I$36,gg,zcor)</f>
        <v>0.91857427413535864</v>
      </c>
      <c r="J40" s="1" cm="1">
        <f t="array" ref="J40">[1]!unf_pvt_Zgas_d($D40,J$36,gg,zcor)</f>
        <v>0.88826376699666276</v>
      </c>
      <c r="K40" s="1" cm="1">
        <f t="array" ref="K40">[1]!unf_pvt_Zgas_d($D40,K$36,gg,zcor)</f>
        <v>0.85663200022009089</v>
      </c>
      <c r="L40" s="1" cm="1">
        <f t="array" ref="L40">[1]!unf_pvt_Zgas_d($D40,L$36,gg,zcor)</f>
        <v>0.82481711336331398</v>
      </c>
      <c r="M40" s="1" cm="1">
        <f t="array" ref="M40">[1]!unf_pvt_Zgas_d($D40,M$36,gg,zcor)</f>
        <v>0.79411289137734298</v>
      </c>
      <c r="N40" s="1" cm="1">
        <f t="array" ref="N40">[1]!unf_pvt_Zgas_d($D40,N$36,gg,zcor)</f>
        <v>0.76572717508916044</v>
      </c>
      <c r="O40" s="1" cm="1">
        <f t="array" ref="O40">[1]!unf_pvt_Zgas_d($D40,O$36,gg,zcor)</f>
        <v>0.74060786636932319</v>
      </c>
      <c r="P40" s="1" cm="1">
        <f t="array" ref="P40">[1]!unf_pvt_Zgas_d($D40,P$36,gg,zcor)</f>
        <v>0.71936399629650405</v>
      </c>
      <c r="Q40" s="1" cm="1">
        <f t="array" ref="Q40">[1]!unf_pvt_Zgas_d($D40,Q$36,gg,zcor)</f>
        <v>0.7022712312785252</v>
      </c>
      <c r="R40" s="1" cm="1">
        <f t="array" ref="R40">[1]!unf_pvt_Zgas_d($D40,R$36,gg,zcor)</f>
        <v>0.68932996130061652</v>
      </c>
      <c r="S40" s="1" cm="1">
        <f t="array" ref="S40">[1]!unf_pvt_Zgas_d($D40,S$36,gg,zcor)</f>
        <v>0.68034299619028105</v>
      </c>
      <c r="T40" s="1" cm="1">
        <f t="array" ref="T40">[1]!unf_pvt_Zgas_d($D40,T$36,gg,zcor)</f>
        <v>0.67499009354125961</v>
      </c>
      <c r="U40" s="1" cm="1">
        <f t="array" ref="U40">[1]!unf_pvt_Zgas_d($D40,U$36,gg,zcor)</f>
        <v>0.67288836209388314</v>
      </c>
      <c r="V40" s="1" cm="1">
        <f t="array" ref="V40">[1]!unf_pvt_Zgas_d($D40,V$36,gg,zcor)</f>
        <v>0.67363601356318903</v>
      </c>
      <c r="W40" s="1" cm="1">
        <f t="array" ref="W40">[1]!unf_pvt_Zgas_d($D40,W$36,gg,zcor)</f>
        <v>0.67684127048883824</v>
      </c>
      <c r="X40" s="1" cm="1">
        <f t="array" ref="X40">[1]!unf_pvt_Zgas_d($D40,X$36,gg,zcor)</f>
        <v>0.68213969980367861</v>
      </c>
      <c r="Y40" s="1" cm="1">
        <f t="array" ref="Y40">[1]!unf_pvt_Zgas_d($D40,Y$36,gg,zcor)</f>
        <v>0.68920322708024051</v>
      </c>
      <c r="Z40" s="1" cm="1">
        <f t="array" ref="Z40">[1]!unf_pvt_Zgas_d($D40,Z$36,gg,zcor)</f>
        <v>0.6977435212551395</v>
      </c>
      <c r="AA40" s="1" cm="1">
        <f t="array" ref="AA40">[1]!unf_pvt_Zgas_d($D40,AA$36,gg,zcor)</f>
        <v>0.70751178268622794</v>
      </c>
      <c r="AB40" s="1" cm="1">
        <f t="array" ref="AB40">[1]!unf_pvt_Zgas_d($D40,AB$36,gg,zcor)</f>
        <v>0.71829639200464945</v>
      </c>
      <c r="AC40" s="1" cm="1">
        <f t="array" ref="AC40">[1]!unf_pvt_Zgas_d($D40,AC$36,gg,zcor)</f>
        <v>0.7299194242230177</v>
      </c>
      <c r="AD40" s="1" cm="1">
        <f t="array" ref="AD40">[1]!unf_pvt_Zgas_d($D40,AD$36,gg,zcor)</f>
        <v>0.74223269418121551</v>
      </c>
      <c r="AE40" s="1" cm="1">
        <f t="array" ref="AE40">[1]!unf_pvt_Zgas_d($D40,AE$36,gg,zcor)</f>
        <v>0.75511375507173506</v>
      </c>
      <c r="AF40" s="1" cm="1">
        <f t="array" ref="AF40">[1]!unf_pvt_Zgas_d($D40,AF$36,gg,zcor)</f>
        <v>0.76846210044816643</v>
      </c>
      <c r="AG40" s="1" cm="1">
        <f t="array" ref="AG40">[1]!unf_pvt_Zgas_d($D40,AG$36,gg,zcor)</f>
        <v>0.78219570363049673</v>
      </c>
      <c r="AH40" s="1" cm="1">
        <f t="array" ref="AH40">[1]!unf_pvt_Zgas_d($D40,AH$36,gg,zcor)</f>
        <v>0.79624795202913712</v>
      </c>
      <c r="AI40" s="1" cm="1">
        <f t="array" ref="AI40">[1]!unf_pvt_Zgas_d($D40,AI$36,gg,zcor)</f>
        <v>0.81056498603952143</v>
      </c>
      <c r="AJ40" s="1" cm="1">
        <f t="array" ref="AJ40">[1]!unf_pvt_Zgas_d($D40,AJ$36,gg,zcor)</f>
        <v>0.82510342399501224</v>
      </c>
      <c r="AK40" s="1" cm="1">
        <f t="array" ref="AK40">[1]!unf_pvt_Zgas_d($D40,AK$36,gg,zcor)</f>
        <v>0.83982843969111265</v>
      </c>
    </row>
    <row r="41" spans="3:37" x14ac:dyDescent="0.3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[1]!unf_pvt_Zgas_d($D41,F$36,gg,zcor)</f>
        <v>0.99762961534667305</v>
      </c>
      <c r="G41" s="1" cm="1">
        <f t="array" ref="G41">[1]!unf_pvt_Zgas_d($D41,G$36,gg,zcor)</f>
        <v>0.97588717787036605</v>
      </c>
      <c r="H41" s="1" cm="1">
        <f t="array" ref="H41">[1]!unf_pvt_Zgas_d($D41,H$36,gg,zcor)</f>
        <v>0.95283370124917044</v>
      </c>
      <c r="I41" s="1" cm="1">
        <f t="array" ref="I41">[1]!unf_pvt_Zgas_d($D41,I$36,gg,zcor)</f>
        <v>0.92808282283665944</v>
      </c>
      <c r="J41" s="1" cm="1">
        <f t="array" ref="J41">[1]!unf_pvt_Zgas_d($D41,J$36,gg,zcor)</f>
        <v>0.90176007852886297</v>
      </c>
      <c r="K41" s="1" cm="1">
        <f t="array" ref="K41">[1]!unf_pvt_Zgas_d($D41,K$36,gg,zcor)</f>
        <v>0.87442046143476782</v>
      </c>
      <c r="L41" s="1" cm="1">
        <f t="array" ref="L41">[1]!unf_pvt_Zgas_d($D41,L$36,gg,zcor)</f>
        <v>0.84691585282570836</v>
      </c>
      <c r="M41" s="1" cm="1">
        <f t="array" ref="M41">[1]!unf_pvt_Zgas_d($D41,M$36,gg,zcor)</f>
        <v>0.82022720829720308</v>
      </c>
      <c r="N41" s="1" cm="1">
        <f t="array" ref="N41">[1]!unf_pvt_Zgas_d($D41,N$36,gg,zcor)</f>
        <v>0.79529825145993549</v>
      </c>
      <c r="O41" s="1" cm="1">
        <f t="array" ref="O41">[1]!unf_pvt_Zgas_d($D41,O$36,gg,zcor)</f>
        <v>0.77290782607674025</v>
      </c>
      <c r="P41" s="1" cm="1">
        <f t="array" ref="P41">[1]!unf_pvt_Zgas_d($D41,P$36,gg,zcor)</f>
        <v>0.75360083370172071</v>
      </c>
      <c r="Q41" s="1" cm="1">
        <f t="array" ref="Q41">[1]!unf_pvt_Zgas_d($D41,Q$36,gg,zcor)</f>
        <v>0.73767600229306007</v>
      </c>
      <c r="R41" s="1" cm="1">
        <f t="array" ref="R41">[1]!unf_pvt_Zgas_d($D41,R$36,gg,zcor)</f>
        <v>0.72521419777612051</v>
      </c>
      <c r="S41" s="1" cm="1">
        <f t="array" ref="S41">[1]!unf_pvt_Zgas_d($D41,S$36,gg,zcor)</f>
        <v>0.71612715977981101</v>
      </c>
      <c r="T41" s="1" cm="1">
        <f t="array" ref="T41">[1]!unf_pvt_Zgas_d($D41,T$36,gg,zcor)</f>
        <v>0.71021031979253202</v>
      </c>
      <c r="U41" s="1" cm="1">
        <f t="array" ref="U41">[1]!unf_pvt_Zgas_d($D41,U$36,gg,zcor)</f>
        <v>0.7071898163599919</v>
      </c>
      <c r="V41" s="1" cm="1">
        <f t="array" ref="V41">[1]!unf_pvt_Zgas_d($D41,V$36,gg,zcor)</f>
        <v>0.70675953268013769</v>
      </c>
      <c r="W41" s="1" cm="1">
        <f t="array" ref="W41">[1]!unf_pvt_Zgas_d($D41,W$36,gg,zcor)</f>
        <v>0.70860769182298577</v>
      </c>
      <c r="X41" s="1" cm="1">
        <f t="array" ref="X41">[1]!unf_pvt_Zgas_d($D41,X$36,gg,zcor)</f>
        <v>0.71243439177215639</v>
      </c>
      <c r="Y41" s="1" cm="1">
        <f t="array" ref="Y41">[1]!unf_pvt_Zgas_d($D41,Y$36,gg,zcor)</f>
        <v>0.71796206838960441</v>
      </c>
      <c r="Z41" s="1" cm="1">
        <f t="array" ref="Z41">[1]!unf_pvt_Zgas_d($D41,Z$36,gg,zcor)</f>
        <v>0.72494082518968472</v>
      </c>
      <c r="AA41" s="1" cm="1">
        <f t="array" ref="AA41">[1]!unf_pvt_Zgas_d($D41,AA$36,gg,zcor)</f>
        <v>0.73315025314185256</v>
      </c>
      <c r="AB41" s="1" cm="1">
        <f t="array" ref="AB41">[1]!unf_pvt_Zgas_d($D41,AB$36,gg,zcor)</f>
        <v>0.74239898999739606</v>
      </c>
      <c r="AC41" s="1" cm="1">
        <f t="array" ref="AC41">[1]!unf_pvt_Zgas_d($D41,AC$36,gg,zcor)</f>
        <v>0.75252292880548988</v>
      </c>
      <c r="AD41" s="1" cm="1">
        <f t="array" ref="AD41">[1]!unf_pvt_Zgas_d($D41,AD$36,gg,zcor)</f>
        <v>0.76338270936169039</v>
      </c>
      <c r="AE41" s="1" cm="1">
        <f t="array" ref="AE41">[1]!unf_pvt_Zgas_d($D41,AE$36,gg,zcor)</f>
        <v>0.77486091610578078</v>
      </c>
      <c r="AF41" s="1" cm="1">
        <f t="array" ref="AF41">[1]!unf_pvt_Zgas_d($D41,AF$36,gg,zcor)</f>
        <v>0.78685925254201816</v>
      </c>
      <c r="AG41" s="1" cm="1">
        <f t="array" ref="AG41">[1]!unf_pvt_Zgas_d($D41,AG$36,gg,zcor)</f>
        <v>0.79929585403033965</v>
      </c>
      <c r="AH41" s="1" cm="1">
        <f t="array" ref="AH41">[1]!unf_pvt_Zgas_d($D41,AH$36,gg,zcor)</f>
        <v>0.8121028268678735</v>
      </c>
      <c r="AI41" s="1" cm="1">
        <f t="array" ref="AI41">[1]!unf_pvt_Zgas_d($D41,AI$36,gg,zcor)</f>
        <v>0.82522405277161426</v>
      </c>
      <c r="AJ41" s="1" cm="1">
        <f t="array" ref="AJ41">[1]!unf_pvt_Zgas_d($D41,AJ$36,gg,zcor)</f>
        <v>0.8386132669433658</v>
      </c>
      <c r="AK41" s="1" cm="1">
        <f t="array" ref="AK41">[1]!unf_pvt_Zgas_d($D41,AK$36,gg,zcor)</f>
        <v>0.85223239935659156</v>
      </c>
    </row>
    <row r="42" spans="3:37" x14ac:dyDescent="0.3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[1]!unf_pvt_Zgas_d($D42,F$36,gg,zcor)</f>
        <v>0.99788473243722087</v>
      </c>
      <c r="G42" s="1" cm="1">
        <f t="array" ref="G42">[1]!unf_pvt_Zgas_d($D42,G$36,gg,zcor)</f>
        <v>0.97846525602096523</v>
      </c>
      <c r="H42" s="1" cm="1">
        <f t="array" ref="H42">[1]!unf_pvt_Zgas_d($D42,H$36,gg,zcor)</f>
        <v>0.95796872443818415</v>
      </c>
      <c r="I42" s="1" cm="1">
        <f t="array" ref="I42">[1]!unf_pvt_Zgas_d($D42,I$36,gg,zcor)</f>
        <v>0.93615188418967088</v>
      </c>
      <c r="J42" s="1" cm="1">
        <f t="array" ref="J42">[1]!unf_pvt_Zgas_d($D42,J$36,gg,zcor)</f>
        <v>0.91314046076722521</v>
      </c>
      <c r="K42" s="1" cm="1">
        <f t="array" ref="K42">[1]!unf_pvt_Zgas_d($D42,K$36,gg,zcor)</f>
        <v>0.88936927402407684</v>
      </c>
      <c r="L42" s="1" cm="1">
        <f t="array" ref="L42">[1]!unf_pvt_Zgas_d($D42,L$36,gg,zcor)</f>
        <v>0.86548917647221546</v>
      </c>
      <c r="M42" s="1" cm="1">
        <f t="array" ref="M42">[1]!unf_pvt_Zgas_d($D42,M$36,gg,zcor)</f>
        <v>0.84225159754252232</v>
      </c>
      <c r="N42" s="1" cm="1">
        <f t="array" ref="N42">[1]!unf_pvt_Zgas_d($D42,N$36,gg,zcor)</f>
        <v>0.82039328929495159</v>
      </c>
      <c r="O42" s="1" cm="1">
        <f t="array" ref="O42">[1]!unf_pvt_Zgas_d($D42,O$36,gg,zcor)</f>
        <v>0.80054416769219827</v>
      </c>
      <c r="P42" s="1" cm="1">
        <f t="array" ref="P42">[1]!unf_pvt_Zgas_d($D42,P$36,gg,zcor)</f>
        <v>0.78317182805163432</v>
      </c>
      <c r="Q42" s="1" cm="1">
        <f t="array" ref="Q42">[1]!unf_pvt_Zgas_d($D42,Q$36,gg,zcor)</f>
        <v>0.76856387307746676</v>
      </c>
      <c r="R42" s="1" cm="1">
        <f t="array" ref="R42">[1]!unf_pvt_Zgas_d($D42,R$36,gg,zcor)</f>
        <v>0.75683981224959762</v>
      </c>
      <c r="S42" s="1" cm="1">
        <f t="array" ref="S42">[1]!unf_pvt_Zgas_d($D42,S$36,gg,zcor)</f>
        <v>0.74798054635049582</v>
      </c>
      <c r="T42" s="1" cm="1">
        <f t="array" ref="T42">[1]!unf_pvt_Zgas_d($D42,T$36,gg,zcor)</f>
        <v>0.74186441946221138</v>
      </c>
      <c r="U42" s="1" cm="1">
        <f t="array" ref="U42">[1]!unf_pvt_Zgas_d($D42,U$36,gg,zcor)</f>
        <v>0.73830211396761358</v>
      </c>
      <c r="V42" s="1" cm="1">
        <f t="array" ref="V42">[1]!unf_pvt_Zgas_d($D42,V$36,gg,zcor)</f>
        <v>0.73706621178096687</v>
      </c>
      <c r="W42" s="1" cm="1">
        <f t="array" ref="W42">[1]!unf_pvt_Zgas_d($D42,W$36,gg,zcor)</f>
        <v>0.73791396898055261</v>
      </c>
      <c r="X42" s="1" cm="1">
        <f t="array" ref="X42">[1]!unf_pvt_Zgas_d($D42,X$36,gg,zcor)</f>
        <v>0.74060351288654025</v>
      </c>
      <c r="Y42" s="1" cm="1">
        <f t="array" ref="Y42">[1]!unf_pvt_Zgas_d($D42,Y$36,gg,zcor)</f>
        <v>0.74490446519680176</v>
      </c>
      <c r="Z42" s="1" cm="1">
        <f t="array" ref="Z42">[1]!unf_pvt_Zgas_d($D42,Z$36,gg,zcor)</f>
        <v>0.75060422901601775</v>
      </c>
      <c r="AA42" s="1" cm="1">
        <f t="array" ref="AA42">[1]!unf_pvt_Zgas_d($D42,AA$36,gg,zcor)</f>
        <v>0.75751111263785498</v>
      </c>
      <c r="AB42" s="1" cm="1">
        <f t="array" ref="AB42">[1]!unf_pvt_Zgas_d($D42,AB$36,gg,zcor)</f>
        <v>0.7654552722811242</v>
      </c>
      <c r="AC42" s="1" cm="1">
        <f t="array" ref="AC42">[1]!unf_pvt_Zgas_d($D42,AC$36,gg,zcor)</f>
        <v>0.77428823706142802</v>
      </c>
      <c r="AD42" s="1" cm="1">
        <f t="array" ref="AD42">[1]!unf_pvt_Zgas_d($D42,AD$36,gg,zcor)</f>
        <v>0.78388157868425734</v>
      </c>
      <c r="AE42" s="1" cm="1">
        <f t="array" ref="AE42">[1]!unf_pvt_Zgas_d($D42,AE$36,gg,zcor)</f>
        <v>0.7941251227412639</v>
      </c>
      <c r="AF42" s="1" cm="1">
        <f t="array" ref="AF42">[1]!unf_pvt_Zgas_d($D42,AF$36,gg,zcor)</f>
        <v>0.80492497033510368</v>
      </c>
      <c r="AG42" s="1" cm="1">
        <f t="array" ref="AG42">[1]!unf_pvt_Zgas_d($D42,AG$36,gg,zcor)</f>
        <v>0.81620150388712986</v>
      </c>
      <c r="AH42" s="1" cm="1">
        <f t="array" ref="AH42">[1]!unf_pvt_Zgas_d($D42,AH$36,gg,zcor)</f>
        <v>0.82788748318488004</v>
      </c>
      <c r="AI42" s="1" cm="1">
        <f t="array" ref="AI42">[1]!unf_pvt_Zgas_d($D42,AI$36,gg,zcor)</f>
        <v>0.83992629079383918</v>
      </c>
      <c r="AJ42" s="1" cm="1">
        <f t="array" ref="AJ42">[1]!unf_pvt_Zgas_d($D42,AJ$36,gg,zcor)</f>
        <v>0.85227035450898103</v>
      </c>
      <c r="AK42" s="1" cm="1">
        <f t="array" ref="AK42">[1]!unf_pvt_Zgas_d($D42,AK$36,gg,zcor)</f>
        <v>0.86487975422537611</v>
      </c>
    </row>
    <row r="43" spans="3:37" x14ac:dyDescent="0.3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[1]!unf_pvt_Zgas_d($D43,F$36,gg,zcor)</f>
        <v>0.99810562538193992</v>
      </c>
      <c r="G43" s="1" cm="1">
        <f t="array" ref="G43">[1]!unf_pvt_Zgas_d($D43,G$36,gg,zcor)</f>
        <v>0.98069780881192281</v>
      </c>
      <c r="H43" s="1" cm="1">
        <f t="array" ref="H43">[1]!unf_pvt_Zgas_d($D43,H$36,gg,zcor)</f>
        <v>0.96239278979935061</v>
      </c>
      <c r="I43" s="1" cm="1">
        <f t="array" ref="I43">[1]!unf_pvt_Zgas_d($D43,I$36,gg,zcor)</f>
        <v>0.94305619808889918</v>
      </c>
      <c r="J43" s="1" cm="1">
        <f t="array" ref="J43">[1]!unf_pvt_Zgas_d($D43,J$36,gg,zcor)</f>
        <v>0.92281934827262335</v>
      </c>
      <c r="K43" s="1" cm="1">
        <f t="array" ref="K43">[1]!unf_pvt_Zgas_d($D43,K$36,gg,zcor)</f>
        <v>0.90203507912698955</v>
      </c>
      <c r="L43" s="1" cm="1">
        <f t="array" ref="L43">[1]!unf_pvt_Zgas_d($D43,L$36,gg,zcor)</f>
        <v>0.88121137105381886</v>
      </c>
      <c r="M43" s="1" cm="1">
        <f t="array" ref="M43">[1]!unf_pvt_Zgas_d($D43,M$36,gg,zcor)</f>
        <v>0.86093078343733931</v>
      </c>
      <c r="N43" s="1" cm="1">
        <f t="array" ref="N43">[1]!unf_pvt_Zgas_d($D43,N$36,gg,zcor)</f>
        <v>0.84177008496997741</v>
      </c>
      <c r="O43" s="1" cm="1">
        <f t="array" ref="O43">[1]!unf_pvt_Zgas_d($D43,O$36,gg,zcor)</f>
        <v>0.82423436473018152</v>
      </c>
      <c r="P43" s="1" cm="1">
        <f t="array" ref="P43">[1]!unf_pvt_Zgas_d($D43,P$36,gg,zcor)</f>
        <v>0.80871457244305345</v>
      </c>
      <c r="Q43" s="1" cm="1">
        <f t="array" ref="Q43">[1]!unf_pvt_Zgas_d($D43,Q$36,gg,zcor)</f>
        <v>0.79547017730759828</v>
      </c>
      <c r="R43" s="1" cm="1">
        <f t="array" ref="R43">[1]!unf_pvt_Zgas_d($D43,R$36,gg,zcor)</f>
        <v>0.78463274793153526</v>
      </c>
      <c r="S43" s="1" cm="1">
        <f t="array" ref="S43">[1]!unf_pvt_Zgas_d($D43,S$36,gg,zcor)</f>
        <v>0.7762233596328838</v>
      </c>
      <c r="T43" s="1" cm="1">
        <f t="array" ref="T43">[1]!unf_pvt_Zgas_d($D43,T$36,gg,zcor)</f>
        <v>0.77017664670597197</v>
      </c>
      <c r="U43" s="1" cm="1">
        <f t="array" ref="U43">[1]!unf_pvt_Zgas_d($D43,U$36,gg,zcor)</f>
        <v>0.76636590471966537</v>
      </c>
      <c r="V43" s="1" cm="1">
        <f t="array" ref="V43">[1]!unf_pvt_Zgas_d($D43,V$36,gg,zcor)</f>
        <v>0.76462573722189475</v>
      </c>
      <c r="W43" s="1" cm="1">
        <f t="array" ref="W43">[1]!unf_pvt_Zgas_d($D43,W$36,gg,zcor)</f>
        <v>0.76477057788206149</v>
      </c>
      <c r="X43" s="1" cm="1">
        <f t="array" ref="X43">[1]!unf_pvt_Zgas_d($D43,X$36,gg,zcor)</f>
        <v>0.76660870740255027</v>
      </c>
      <c r="Y43" s="1" cm="1">
        <f t="array" ref="Y43">[1]!unf_pvt_Zgas_d($D43,Y$36,gg,zcor)</f>
        <v>0.76995212931975843</v>
      </c>
      <c r="Z43" s="1" cm="1">
        <f t="array" ref="Z43">[1]!unf_pvt_Zgas_d($D43,Z$36,gg,zcor)</f>
        <v>0.77462300371902137</v>
      </c>
      <c r="AA43" s="1" cm="1">
        <f t="array" ref="AA43">[1]!unf_pvt_Zgas_d($D43,AA$36,gg,zcor)</f>
        <v>0.78045741444136141</v>
      </c>
      <c r="AB43" s="1" cm="1">
        <f t="array" ref="AB43">[1]!unf_pvt_Zgas_d($D43,AB$36,gg,zcor)</f>
        <v>0.78730718434360536</v>
      </c>
      <c r="AC43" s="1" cm="1">
        <f t="array" ref="AC43">[1]!unf_pvt_Zgas_d($D43,AC$36,gg,zcor)</f>
        <v>0.79504033458353529</v>
      </c>
      <c r="AD43" s="1" cm="1">
        <f t="array" ref="AD43">[1]!unf_pvt_Zgas_d($D43,AD$36,gg,zcor)</f>
        <v>0.80354065373930339</v>
      </c>
      <c r="AE43" s="1" cm="1">
        <f t="array" ref="AE43">[1]!unf_pvt_Zgas_d($D43,AE$36,gg,zcor)</f>
        <v>0.81270672360681229</v>
      </c>
      <c r="AF43" s="1" cm="1">
        <f t="array" ref="AF43">[1]!unf_pvt_Zgas_d($D43,AF$36,gg,zcor)</f>
        <v>0.82245064958426217</v>
      </c>
      <c r="AG43" s="1" cm="1">
        <f t="array" ref="AG43">[1]!unf_pvt_Zgas_d($D43,AG$36,gg,zcor)</f>
        <v>0.8326966660273234</v>
      </c>
      <c r="AH43" s="1" cm="1">
        <f t="array" ref="AH43">[1]!unf_pvt_Zgas_d($D43,AH$36,gg,zcor)</f>
        <v>0.84337972874671707</v>
      </c>
      <c r="AI43" s="1" cm="1">
        <f t="array" ref="AI43">[1]!unf_pvt_Zgas_d($D43,AI$36,gg,zcor)</f>
        <v>0.85444416458090899</v>
      </c>
      <c r="AJ43" s="1" cm="1">
        <f t="array" ref="AJ43">[1]!unf_pvt_Zgas_d($D43,AJ$36,gg,zcor)</f>
        <v>0.86584241825083352</v>
      </c>
      <c r="AK43" s="1" cm="1">
        <f t="array" ref="AK43">[1]!unf_pvt_Zgas_d($D43,AK$36,gg,zcor)</f>
        <v>0.87753391641421741</v>
      </c>
    </row>
    <row r="44" spans="3:37" x14ac:dyDescent="0.3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[1]!unf_pvt_Zgas_d($D44,F$36,gg,zcor)</f>
        <v>0.99829798739603304</v>
      </c>
      <c r="G44" s="1" cm="1">
        <f t="array" ref="G44">[1]!unf_pvt_Zgas_d($D44,G$36,gg,zcor)</f>
        <v>0.98264274765155946</v>
      </c>
      <c r="H44" s="1" cm="1">
        <f t="array" ref="H44">[1]!unf_pvt_Zgas_d($D44,H$36,gg,zcor)</f>
        <v>0.9662304579953308</v>
      </c>
      <c r="I44" s="1" cm="1">
        <f t="array" ref="I44">[1]!unf_pvt_Zgas_d($D44,I$36,gg,zcor)</f>
        <v>0.94900920530086508</v>
      </c>
      <c r="J44" s="1" cm="1">
        <f t="array" ref="J44">[1]!unf_pvt_Zgas_d($D44,J$36,gg,zcor)</f>
        <v>0.93111750919568859</v>
      </c>
      <c r="K44" s="1" cm="1">
        <f t="array" ref="K44">[1]!unf_pvt_Zgas_d($D44,K$36,gg,zcor)</f>
        <v>0.91285118759560169</v>
      </c>
      <c r="L44" s="1" cm="1">
        <f t="array" ref="L44">[1]!unf_pvt_Zgas_d($D44,L$36,gg,zcor)</f>
        <v>0.89461538403642071</v>
      </c>
      <c r="M44" s="1" cm="1">
        <f t="array" ref="M44">[1]!unf_pvt_Zgas_d($D44,M$36,gg,zcor)</f>
        <v>0.8768677554205101</v>
      </c>
      <c r="N44" s="1" cm="1">
        <f t="array" ref="N44">[1]!unf_pvt_Zgas_d($D44,N$36,gg,zcor)</f>
        <v>0.86006219194571665</v>
      </c>
      <c r="O44" s="1" cm="1">
        <f t="array" ref="O44">[1]!unf_pvt_Zgas_d($D44,O$36,gg,zcor)</f>
        <v>0.8446020766569301</v>
      </c>
      <c r="P44" s="1" cm="1">
        <f t="array" ref="P44">[1]!unf_pvt_Zgas_d($D44,P$36,gg,zcor)</f>
        <v>0.83080885143724847</v>
      </c>
      <c r="Q44" s="1" cm="1">
        <f t="array" ref="Q44">[1]!unf_pvt_Zgas_d($D44,Q$36,gg,zcor)</f>
        <v>0.81890733220364398</v>
      </c>
      <c r="R44" s="1" cm="1">
        <f t="array" ref="R44">[1]!unf_pvt_Zgas_d($D44,R$36,gg,zcor)</f>
        <v>0.8090255691765702</v>
      </c>
      <c r="S44" s="1" cm="1">
        <f t="array" ref="S44">[1]!unf_pvt_Zgas_d($D44,S$36,gg,zcor)</f>
        <v>0.80120502487675571</v>
      </c>
      <c r="T44" s="1" cm="1">
        <f t="array" ref="T44">[1]!unf_pvt_Zgas_d($D44,T$36,gg,zcor)</f>
        <v>0.79541646383201725</v>
      </c>
      <c r="U44" s="1" cm="1">
        <f t="array" ref="U44">[1]!unf_pvt_Zgas_d($D44,U$36,gg,zcor)</f>
        <v>0.79157767737599749</v>
      </c>
      <c r="V44" s="1" cm="1">
        <f t="array" ref="V44">[1]!unf_pvt_Zgas_d($D44,V$36,gg,zcor)</f>
        <v>0.78957035901121664</v>
      </c>
      <c r="W44" s="1" cm="1">
        <f t="array" ref="W44">[1]!unf_pvt_Zgas_d($D44,W$36,gg,zcor)</f>
        <v>0.78925462170570226</v>
      </c>
      <c r="X44" s="1" cm="1">
        <f t="array" ref="X44">[1]!unf_pvt_Zgas_d($D44,X$36,gg,zcor)</f>
        <v>0.79048056573834558</v>
      </c>
      <c r="Y44" s="1" cm="1">
        <f t="array" ref="Y44">[1]!unf_pvt_Zgas_d($D44,Y$36,gg,zcor)</f>
        <v>0.79309690670464028</v>
      </c>
      <c r="Z44" s="1" cm="1">
        <f t="array" ref="Z44">[1]!unf_pvt_Zgas_d($D44,Z$36,gg,zcor)</f>
        <v>0.79695700165136019</v>
      </c>
      <c r="AA44" s="1" cm="1">
        <f t="array" ref="AA44">[1]!unf_pvt_Zgas_d($D44,AA$36,gg,zcor)</f>
        <v>0.80192274508409611</v>
      </c>
      <c r="AB44" s="1" cm="1">
        <f t="array" ref="AB44">[1]!unf_pvt_Zgas_d($D44,AB$36,gg,zcor)</f>
        <v>0.80786682059359427</v>
      </c>
      <c r="AC44" s="1" cm="1">
        <f t="array" ref="AC44">[1]!unf_pvt_Zgas_d($D44,AC$36,gg,zcor)</f>
        <v>0.81467374498176026</v>
      </c>
      <c r="AD44" s="1" cm="1">
        <f t="array" ref="AD44">[1]!unf_pvt_Zgas_d($D44,AD$36,gg,zcor)</f>
        <v>0.8222400674621152</v>
      </c>
      <c r="AE44" s="1" cm="1">
        <f t="array" ref="AE44">[1]!unf_pvt_Zgas_d($D44,AE$36,gg,zcor)</f>
        <v>0.83047400851859432</v>
      </c>
      <c r="AF44" s="1" cm="1">
        <f t="array" ref="AF44">[1]!unf_pvt_Zgas_d($D44,AF$36,gg,zcor)</f>
        <v>0.839294752306458</v>
      </c>
      <c r="AG44" s="1" cm="1">
        <f t="array" ref="AG44">[1]!unf_pvt_Zgas_d($D44,AG$36,gg,zcor)</f>
        <v>0.84863154741378577</v>
      </c>
      <c r="AH44" s="1" cm="1">
        <f t="array" ref="AH44">[1]!unf_pvt_Zgas_d($D44,AH$36,gg,zcor)</f>
        <v>0.85842272403870745</v>
      </c>
      <c r="AI44" s="1" cm="1">
        <f t="array" ref="AI44">[1]!unf_pvt_Zgas_d($D44,AI$36,gg,zcor)</f>
        <v>0.86861470005150909</v>
      </c>
      <c r="AJ44" s="1" cm="1">
        <f t="array" ref="AJ44">[1]!unf_pvt_Zgas_d($D44,AJ$36,gg,zcor)</f>
        <v>0.87916102218704517</v>
      </c>
      <c r="AK44" s="1" cm="1">
        <f t="array" ref="AK44">[1]!unf_pvt_Zgas_d($D44,AK$36,gg,zcor)</f>
        <v>0.89002146983525887</v>
      </c>
    </row>
    <row r="45" spans="3:37" x14ac:dyDescent="0.3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[1]!unf_pvt_Zgas_d($D45,F$36,gg,zcor)</f>
        <v>0.99846640292027378</v>
      </c>
      <c r="G45" s="1" cm="1">
        <f t="array" ref="G45">[1]!unf_pvt_Zgas_d($D45,G$36,gg,zcor)</f>
        <v>0.98434655885513278</v>
      </c>
      <c r="H45" s="1" cm="1">
        <f t="array" ref="H45">[1]!unf_pvt_Zgas_d($D45,H$36,gg,zcor)</f>
        <v>0.96958046202532178</v>
      </c>
      <c r="I45" s="1" cm="1">
        <f t="array" ref="I45">[1]!unf_pvt_Zgas_d($D45,I$36,gg,zcor)</f>
        <v>0.95417823268450397</v>
      </c>
      <c r="J45" s="1" cm="1">
        <f t="array" ref="J45">[1]!unf_pvt_Zgas_d($D45,J$36,gg,zcor)</f>
        <v>0.93828524355081466</v>
      </c>
      <c r="K45" s="1" cm="1">
        <f t="array" ref="K45">[1]!unf_pvt_Zgas_d($D45,K$36,gg,zcor)</f>
        <v>0.92215676732453622</v>
      </c>
      <c r="L45" s="1" cm="1">
        <f t="array" ref="L45">[1]!unf_pvt_Zgas_d($D45,L$36,gg,zcor)</f>
        <v>0.90612293025570223</v>
      </c>
      <c r="M45" s="1" cm="1">
        <f t="array" ref="M45">[1]!unf_pvt_Zgas_d($D45,M$36,gg,zcor)</f>
        <v>0.89054836668882109</v>
      </c>
      <c r="N45" s="1" cm="1">
        <f t="array" ref="N45">[1]!unf_pvt_Zgas_d($D45,N$36,gg,zcor)</f>
        <v>0.8757927641232508</v>
      </c>
      <c r="O45" s="1" cm="1">
        <f t="array" ref="O45">[1]!unf_pvt_Zgas_d($D45,O$36,gg,zcor)</f>
        <v>0.86217799822481234</v>
      </c>
      <c r="P45" s="1" cm="1">
        <f t="array" ref="P45">[1]!unf_pvt_Zgas_d($D45,P$36,gg,zcor)</f>
        <v>0.84996549446461489</v>
      </c>
      <c r="Q45" s="1" cm="1">
        <f t="array" ref="Q45">[1]!unf_pvt_Zgas_d($D45,Q$36,gg,zcor)</f>
        <v>0.83934482633968177</v>
      </c>
      <c r="R45" s="1" cm="1">
        <f t="array" ref="R45">[1]!unf_pvt_Zgas_d($D45,R$36,gg,zcor)</f>
        <v>0.83043231682463181</v>
      </c>
      <c r="S45" s="1" cm="1">
        <f t="array" ref="S45">[1]!unf_pvt_Zgas_d($D45,S$36,gg,zcor)</f>
        <v>0.82327707714075171</v>
      </c>
      <c r="T45" s="1" cm="1">
        <f t="array" ref="T45">[1]!unf_pvt_Zgas_d($D45,T$36,gg,zcor)</f>
        <v>0.81787154377353577</v>
      </c>
      <c r="U45" s="1" cm="1">
        <f t="array" ref="U45">[1]!unf_pvt_Zgas_d($D45,U$36,gg,zcor)</f>
        <v>0.81416389920093457</v>
      </c>
      <c r="V45" s="1" cm="1">
        <f t="array" ref="V45">[1]!unf_pvt_Zgas_d($D45,V$36,gg,zcor)</f>
        <v>0.81207043301696624</v>
      </c>
      <c r="W45" s="1" cm="1">
        <f t="array" ref="W45">[1]!unf_pvt_Zgas_d($D45,W$36,gg,zcor)</f>
        <v>0.81148663006627131</v>
      </c>
      <c r="X45" s="1" cm="1">
        <f t="array" ref="X45">[1]!unf_pvt_Zgas_d($D45,X$36,gg,zcor)</f>
        <v>0.81229639107228213</v>
      </c>
      <c r="Y45" s="1" cm="1">
        <f t="array" ref="Y45">[1]!unf_pvt_Zgas_d($D45,Y$36,gg,zcor)</f>
        <v>0.81437923545305579</v>
      </c>
      <c r="Z45" s="1" cm="1">
        <f t="array" ref="Z45">[1]!unf_pvt_Zgas_d($D45,Z$36,gg,zcor)</f>
        <v>0.8176156100299059</v>
      </c>
      <c r="AA45" s="1" cm="1">
        <f t="array" ref="AA45">[1]!unf_pvt_Zgas_d($D45,AA$36,gg,zcor)</f>
        <v>0.82189056692183604</v>
      </c>
      <c r="AB45" s="1" cm="1">
        <f t="array" ref="AB45">[1]!unf_pvt_Zgas_d($D45,AB$36,gg,zcor)</f>
        <v>0.82709612155208689</v>
      </c>
      <c r="AC45" s="1" cm="1">
        <f t="array" ref="AC45">[1]!unf_pvt_Zgas_d($D45,AC$36,gg,zcor)</f>
        <v>0.83313259411362683</v>
      </c>
      <c r="AD45" s="1" cm="1">
        <f t="array" ref="AD45">[1]!unf_pvt_Zgas_d($D45,AD$36,gg,zcor)</f>
        <v>0.83990920201977726</v>
      </c>
      <c r="AE45" s="1" cm="1">
        <f t="array" ref="AE45">[1]!unf_pvt_Zgas_d($D45,AE$36,gg,zcor)</f>
        <v>0.84734412438112217</v>
      </c>
      <c r="AF45" s="1" cm="1">
        <f t="array" ref="AF45">[1]!unf_pvt_Zgas_d($D45,AF$36,gg,zcor)</f>
        <v>0.85536421264774742</v>
      </c>
      <c r="AG45" s="1" cm="1">
        <f t="array" ref="AG45">[1]!unf_pvt_Zgas_d($D45,AG$36,gg,zcor)</f>
        <v>0.86390447943934345</v>
      </c>
      <c r="AH45" s="1" cm="1">
        <f t="array" ref="AH45">[1]!unf_pvt_Zgas_d($D45,AH$36,gg,zcor)</f>
        <v>0.87290746230728744</v>
      </c>
      <c r="AI45" s="1" cm="1">
        <f t="array" ref="AI45">[1]!unf_pvt_Zgas_d($D45,AI$36,gg,zcor)</f>
        <v>0.88232253099650992</v>
      </c>
      <c r="AJ45" s="1" cm="1">
        <f t="array" ref="AJ45">[1]!unf_pvt_Zgas_d($D45,AJ$36,gg,zcor)</f>
        <v>0.89210518506599856</v>
      </c>
      <c r="AK45" s="1" cm="1">
        <f t="array" ref="AK45">[1]!unf_pvt_Zgas_d($D45,AK$36,gg,zcor)</f>
        <v>0.90221637248815778</v>
      </c>
    </row>
    <row r="46" spans="3:37" x14ac:dyDescent="0.3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[1]!unf_pvt_Zgas_d($D46,F$36,gg,zcor)</f>
        <v>0.99861458722428587</v>
      </c>
      <c r="G46" s="1" cm="1">
        <f t="array" ref="G46">[1]!unf_pvt_Zgas_d($D46,G$36,gg,zcor)</f>
        <v>0.98584681922197237</v>
      </c>
      <c r="H46" s="1" cm="1">
        <f t="array" ref="H46">[1]!unf_pvt_Zgas_d($D46,H$36,gg,zcor)</f>
        <v>0.97252171848553748</v>
      </c>
      <c r="I46" s="1" cm="1">
        <f t="array" ref="I46">[1]!unf_pvt_Zgas_d($D46,I$36,gg,zcor)</f>
        <v>0.95869563542093728</v>
      </c>
      <c r="J46" s="1" cm="1">
        <f t="array" ref="J46">[1]!unf_pvt_Zgas_d($D46,J$36,gg,zcor)</f>
        <v>0.94451949964318871</v>
      </c>
      <c r="K46" s="1" cm="1">
        <f t="array" ref="K46">[1]!unf_pvt_Zgas_d($D46,K$36,gg,zcor)</f>
        <v>0.93021900842714578</v>
      </c>
      <c r="L46" s="1" cm="1">
        <f t="array" ref="L46">[1]!unf_pvt_Zgas_d($D46,L$36,gg,zcor)</f>
        <v>0.91606878424583948</v>
      </c>
      <c r="M46" s="1" cm="1">
        <f t="array" ref="M46">[1]!unf_pvt_Zgas_d($D46,M$36,gg,zcor)</f>
        <v>0.90236362459453312</v>
      </c>
      <c r="N46" s="1" cm="1">
        <f t="array" ref="N46">[1]!unf_pvt_Zgas_d($D46,N$36,gg,zcor)</f>
        <v>0.88939092665093256</v>
      </c>
      <c r="O46" s="1" cm="1">
        <f t="array" ref="O46">[1]!unf_pvt_Zgas_d($D46,O$36,gg,zcor)</f>
        <v>0.87740786622854938</v>
      </c>
      <c r="P46" s="1" cm="1">
        <f t="array" ref="P46">[1]!unf_pvt_Zgas_d($D46,P$36,gg,zcor)</f>
        <v>0.86662555501191829</v>
      </c>
      <c r="Q46" s="1" cm="1">
        <f t="array" ref="Q46">[1]!unf_pvt_Zgas_d($D46,Q$36,gg,zcor)</f>
        <v>0.85720078246082698</v>
      </c>
      <c r="R46" s="1" cm="1">
        <f t="array" ref="R46">[1]!unf_pvt_Zgas_d($D46,R$36,gg,zcor)</f>
        <v>0.84923457989814866</v>
      </c>
      <c r="S46" s="1" cm="1">
        <f t="array" ref="S46">[1]!unf_pvt_Zgas_d($D46,S$36,gg,zcor)</f>
        <v>0.84277600494648652</v>
      </c>
      <c r="T46" s="1" cm="1">
        <f t="array" ref="T46">[1]!unf_pvt_Zgas_d($D46,T$36,gg,zcor)</f>
        <v>0.83782926575061734</v>
      </c>
      <c r="U46" s="1" cm="1">
        <f t="array" ref="U46">[1]!unf_pvt_Zgas_d($D46,U$36,gg,zcor)</f>
        <v>0.83436245105524509</v>
      </c>
      <c r="V46" s="1" cm="1">
        <f t="array" ref="V46">[1]!unf_pvt_Zgas_d($D46,V$36,gg,zcor)</f>
        <v>0.83231651245757377</v>
      </c>
      <c r="W46" s="1" cm="1">
        <f t="array" ref="W46">[1]!unf_pvt_Zgas_d($D46,W$36,gg,zcor)</f>
        <v>0.8316135912872894</v>
      </c>
      <c r="X46" s="1" cm="1">
        <f t="array" ref="X46">[1]!unf_pvt_Zgas_d($D46,X$36,gg,zcor)</f>
        <v>0.83216418564209016</v>
      </c>
      <c r="Y46" s="1" cm="1">
        <f t="array" ref="Y46">[1]!unf_pvt_Zgas_d($D46,Y$36,gg,zcor)</f>
        <v>0.83387296279358636</v>
      </c>
      <c r="Z46" s="1" cm="1">
        <f t="array" ref="Z46">[1]!unf_pvt_Zgas_d($D46,Z$36,gg,zcor)</f>
        <v>0.83664323002659047</v>
      </c>
      <c r="AA46" s="1" cm="1">
        <f t="array" ref="AA46">[1]!unf_pvt_Zgas_d($D46,AA$36,gg,zcor)</f>
        <v>0.84038019731361369</v>
      </c>
      <c r="AB46" s="1" cm="1">
        <f t="array" ref="AB46">[1]!unf_pvt_Zgas_d($D46,AB$36,gg,zcor)</f>
        <v>0.84499322057934956</v>
      </c>
      <c r="AC46" s="1" cm="1">
        <f t="array" ref="AC46">[1]!unf_pvt_Zgas_d($D46,AC$36,gg,zcor)</f>
        <v>0.85039722678067087</v>
      </c>
      <c r="AD46" s="1" cm="1">
        <f t="array" ref="AD46">[1]!unf_pvt_Zgas_d($D46,AD$36,gg,zcor)</f>
        <v>0.85651350946942106</v>
      </c>
      <c r="AE46" s="1" cm="1">
        <f t="array" ref="AE46">[1]!unf_pvt_Zgas_d($D46,AE$36,gg,zcor)</f>
        <v>0.86327005865615603</v>
      </c>
      <c r="AF46" s="1" cm="1">
        <f t="array" ref="AF46">[1]!unf_pvt_Zgas_d($D46,AF$36,gg,zcor)</f>
        <v>0.87060155986747667</v>
      </c>
      <c r="AG46" s="1" cm="1">
        <f t="array" ref="AG46">[1]!unf_pvt_Zgas_d($D46,AG$36,gg,zcor)</f>
        <v>0.87844916906328918</v>
      </c>
      <c r="AH46" s="1" cm="1">
        <f t="array" ref="AH46">[1]!unf_pvt_Zgas_d($D46,AH$36,gg,zcor)</f>
        <v>0.88676014496845124</v>
      </c>
      <c r="AI46" s="1" cm="1">
        <f t="array" ref="AI46">[1]!unf_pvt_Zgas_d($D46,AI$36,gg,zcor)</f>
        <v>0.89548739930353438</v>
      </c>
      <c r="AJ46" s="1" cm="1">
        <f t="array" ref="AJ46">[1]!unf_pvt_Zgas_d($D46,AJ$36,gg,zcor)</f>
        <v>0.90458900844162604</v>
      </c>
      <c r="AK46" s="1" cm="1">
        <f t="array" ref="AK46">[1]!unf_pvt_Zgas_d($D46,AK$36,gg,zcor)</f>
        <v>0.91402771680149331</v>
      </c>
    </row>
    <row r="47" spans="3:37" x14ac:dyDescent="0.3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[1]!unf_pvt_Zgas_d($D47,F$36,gg,zcor)</f>
        <v>0.99874557110359452</v>
      </c>
      <c r="G47" s="1" cm="1">
        <f t="array" ref="G47">[1]!unf_pvt_Zgas_d($D47,G$36,gg,zcor)</f>
        <v>0.98717411932123256</v>
      </c>
      <c r="H47" s="1" cm="1">
        <f t="array" ref="H47">[1]!unf_pvt_Zgas_d($D47,H$36,gg,zcor)</f>
        <v>0.97511782558979854</v>
      </c>
      <c r="I47" s="1" cm="1">
        <f t="array" ref="I47">[1]!unf_pvt_Zgas_d($D47,I$36,gg,zcor)</f>
        <v>0.96266702958202766</v>
      </c>
      <c r="J47" s="1" cm="1">
        <f t="array" ref="J47">[1]!unf_pvt_Zgas_d($D47,J$36,gg,zcor)</f>
        <v>0.94997654965562228</v>
      </c>
      <c r="K47" s="1" cm="1">
        <f t="array" ref="K47">[1]!unf_pvt_Zgas_d($D47,K$36,gg,zcor)</f>
        <v>0.93724986749791173</v>
      </c>
      <c r="L47" s="1" cm="1">
        <f t="array" ref="L47">[1]!unf_pvt_Zgas_d($D47,L$36,gg,zcor)</f>
        <v>0.92471991514388396</v>
      </c>
      <c r="M47" s="1" cm="1">
        <f t="array" ref="M47">[1]!unf_pvt_Zgas_d($D47,M$36,gg,zcor)</f>
        <v>0.91262859314823253</v>
      </c>
      <c r="N47" s="1" cm="1">
        <f t="array" ref="N47">[1]!unf_pvt_Zgas_d($D47,N$36,gg,zcor)</f>
        <v>0.90120766309703215</v>
      </c>
      <c r="O47" s="1" cm="1">
        <f t="array" ref="O47">[1]!unf_pvt_Zgas_d($D47,O$36,gg,zcor)</f>
        <v>0.8906632050703831</v>
      </c>
      <c r="P47" s="1" cm="1">
        <f t="array" ref="P47">[1]!unf_pvt_Zgas_d($D47,P$36,gg,zcor)</f>
        <v>0.88116492804391466</v>
      </c>
      <c r="Q47" s="1" cm="1">
        <f t="array" ref="Q47">[1]!unf_pvt_Zgas_d($D47,Q$36,gg,zcor)</f>
        <v>0.87284062264605589</v>
      </c>
      <c r="R47" s="1" cm="1">
        <f t="array" ref="R47">[1]!unf_pvt_Zgas_d($D47,R$36,gg,zcor)</f>
        <v>0.86577522398736328</v>
      </c>
      <c r="S47" s="1" cm="1">
        <f t="array" ref="S47">[1]!unf_pvt_Zgas_d($D47,S$36,gg,zcor)</f>
        <v>0.86001344820442771</v>
      </c>
      <c r="T47" s="1" cm="1">
        <f t="array" ref="T47">[1]!unf_pvt_Zgas_d($D47,T$36,gg,zcor)</f>
        <v>0.85556479000244479</v>
      </c>
      <c r="U47" s="1" cm="1">
        <f t="array" ref="U47">[1]!unf_pvt_Zgas_d($D47,U$36,gg,zcor)</f>
        <v>0.85240974420217386</v>
      </c>
      <c r="V47" s="1" cm="1">
        <f t="array" ref="V47">[1]!unf_pvt_Zgas_d($D47,V$36,gg,zcor)</f>
        <v>0.85050633595327629</v>
      </c>
      <c r="W47" s="1" cm="1">
        <f t="array" ref="W47">[1]!unf_pvt_Zgas_d($D47,W$36,gg,zcor)</f>
        <v>0.84979631625424423</v>
      </c>
      <c r="X47" s="1" cm="1">
        <f t="array" ref="X47">[1]!unf_pvt_Zgas_d($D47,X$36,gg,zcor)</f>
        <v>0.85021063592429669</v>
      </c>
      <c r="Y47" s="1" cm="1">
        <f t="array" ref="Y47">[1]!unf_pvt_Zgas_d($D47,Y$36,gg,zcor)</f>
        <v>0.85167401806434484</v>
      </c>
      <c r="Z47" s="1" cm="1">
        <f t="array" ref="Z47">[1]!unf_pvt_Zgas_d($D47,Z$36,gg,zcor)</f>
        <v>0.85410859648318149</v>
      </c>
      <c r="AA47" s="1" cm="1">
        <f t="array" ref="AA47">[1]!unf_pvt_Zgas_d($D47,AA$36,gg,zcor)</f>
        <v>0.85743668037376641</v>
      </c>
      <c r="AB47" s="1" cm="1">
        <f t="array" ref="AB47">[1]!unf_pvt_Zgas_d($D47,AB$36,gg,zcor)</f>
        <v>0.86158275509231697</v>
      </c>
      <c r="AC47" s="1" cm="1">
        <f t="array" ref="AC47">[1]!unf_pvt_Zgas_d($D47,AC$36,gg,zcor)</f>
        <v>0.86647484785515938</v>
      </c>
      <c r="AD47" s="1" cm="1">
        <f t="array" ref="AD47">[1]!unf_pvt_Zgas_d($D47,AD$36,gg,zcor)</f>
        <v>0.87204538661684183</v>
      </c>
      <c r="AE47" s="1" cm="1">
        <f t="array" ref="AE47">[1]!unf_pvt_Zgas_d($D47,AE$36,gg,zcor)</f>
        <v>0.87823166885191917</v>
      </c>
      <c r="AF47" s="1" cm="1">
        <f t="array" ref="AF47">[1]!unf_pvt_Zgas_d($D47,AF$36,gg,zcor)</f>
        <v>0.88497604036937716</v>
      </c>
      <c r="AG47" s="1" cm="1">
        <f t="array" ref="AG47">[1]!unf_pvt_Zgas_d($D47,AG$36,gg,zcor)</f>
        <v>0.89222586642596347</v>
      </c>
      <c r="AH47" s="1" cm="1">
        <f t="array" ref="AH47">[1]!unf_pvt_Zgas_d($D47,AH$36,gg,zcor)</f>
        <v>0.89993336045375005</v>
      </c>
      <c r="AI47" s="1" cm="1">
        <f t="array" ref="AI47">[1]!unf_pvt_Zgas_d($D47,AI$36,gg,zcor)</f>
        <v>0.90805532076456197</v>
      </c>
      <c r="AJ47" s="1" cm="1">
        <f t="array" ref="AJ47">[1]!unf_pvt_Zgas_d($D47,AJ$36,gg,zcor)</f>
        <v>0.91655281303261238</v>
      </c>
      <c r="AK47" s="1" cm="1">
        <f t="array" ref="AK47">[1]!unf_pvt_Zgas_d($D47,AK$36,gg,zcor)</f>
        <v>0.92539082617601776</v>
      </c>
    </row>
    <row r="48" spans="3:37" x14ac:dyDescent="0.3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[1]!unf_pvt_Zgas_d($D48,F$36,gg,zcor)</f>
        <v>0.99886184345718687</v>
      </c>
      <c r="G48" s="1" cm="1">
        <f t="array" ref="G48">[1]!unf_pvt_Zgas_d($D48,G$36,gg,zcor)</f>
        <v>0.98835353847883523</v>
      </c>
      <c r="H48" s="1" cm="1">
        <f t="array" ref="H48">[1]!unf_pvt_Zgas_d($D48,H$36,gg,zcor)</f>
        <v>0.97742045001855882</v>
      </c>
      <c r="I48" s="1" cm="1">
        <f t="array" ref="I48">[1]!unf_pvt_Zgas_d($D48,I$36,gg,zcor)</f>
        <v>0.96617741859650363</v>
      </c>
      <c r="J48" s="1" cm="1">
        <f t="array" ref="J48">[1]!unf_pvt_Zgas_d($D48,J$36,gg,zcor)</f>
        <v>0.95478142404938371</v>
      </c>
      <c r="K48" s="1" cm="1">
        <f t="array" ref="K48">[1]!unf_pvt_Zgas_d($D48,K$36,gg,zcor)</f>
        <v>0.94341870508491876</v>
      </c>
      <c r="L48" s="1" cm="1">
        <f t="array" ref="L48">[1]!unf_pvt_Zgas_d($D48,L$36,gg,zcor)</f>
        <v>0.93229036849270253</v>
      </c>
      <c r="M48" s="1" cm="1">
        <f t="array" ref="M48">[1]!unf_pvt_Zgas_d($D48,M$36,gg,zcor)</f>
        <v>0.92159786150737655</v>
      </c>
      <c r="N48" s="1" cm="1">
        <f t="array" ref="N48">[1]!unf_pvt_Zgas_d($D48,N$36,gg,zcor)</f>
        <v>0.91152994639774831</v>
      </c>
      <c r="O48" s="1" cm="1">
        <f t="array" ref="O48">[1]!unf_pvt_Zgas_d($D48,O$36,gg,zcor)</f>
        <v>0.90225244061988019</v>
      </c>
      <c r="P48" s="1" cm="1">
        <f t="array" ref="P48">[1]!unf_pvt_Zgas_d($D48,P$36,gg,zcor)</f>
        <v>0.89390138855852963</v>
      </c>
      <c r="Q48" s="1" cm="1">
        <f t="array" ref="Q48">[1]!unf_pvt_Zgas_d($D48,Q$36,gg,zcor)</f>
        <v>0.88657972411576058</v>
      </c>
      <c r="R48" s="1" cm="1">
        <f t="array" ref="R48">[1]!unf_pvt_Zgas_d($D48,R$36,gg,zcor)</f>
        <v>0.88035700756494606</v>
      </c>
      <c r="S48" s="1" cm="1">
        <f t="array" ref="S48">[1]!unf_pvt_Zgas_d($D48,S$36,gg,zcor)</f>
        <v>0.87527153826106308</v>
      </c>
      <c r="T48" s="1" cm="1">
        <f t="array" ref="T48">[1]!unf_pvt_Zgas_d($D48,T$36,gg,zcor)</f>
        <v>0.87133405274445752</v>
      </c>
      <c r="U48" s="1" cm="1">
        <f t="array" ref="U48">[1]!unf_pvt_Zgas_d($D48,U$36,gg,zcor)</f>
        <v>0.86853226968826602</v>
      </c>
      <c r="V48" s="1" cm="1">
        <f t="array" ref="V48">[1]!unf_pvt_Zgas_d($D48,V$36,gg,zcor)</f>
        <v>0.86683567943564843</v>
      </c>
      <c r="W48" s="1" cm="1">
        <f t="array" ref="W48">[1]!unf_pvt_Zgas_d($D48,W$36,gg,zcor)</f>
        <v>0.86620014320792427</v>
      </c>
      <c r="X48" s="1" cm="1">
        <f t="array" ref="X48">[1]!unf_pvt_Zgas_d($D48,X$36,gg,zcor)</f>
        <v>0.86657202784629039</v>
      </c>
      <c r="Y48" s="1" cm="1">
        <f t="array" ref="Y48">[1]!unf_pvt_Zgas_d($D48,Y$36,gg,zcor)</f>
        <v>0.86789173548219622</v>
      </c>
      <c r="Z48" s="1" cm="1">
        <f t="array" ref="Z48">[1]!unf_pvt_Zgas_d($D48,Z$36,gg,zcor)</f>
        <v>0.87009658656243549</v>
      </c>
      <c r="AA48" s="1" cm="1">
        <f t="array" ref="AA48">[1]!unf_pvt_Zgas_d($D48,AA$36,gg,zcor)</f>
        <v>0.87312308054970156</v>
      </c>
      <c r="AB48" s="1" cm="1">
        <f t="array" ref="AB48">[1]!unf_pvt_Zgas_d($D48,AB$36,gg,zcor)</f>
        <v>0.87690859707286284</v>
      </c>
      <c r="AC48" s="1" cm="1">
        <f t="array" ref="AC48">[1]!unf_pvt_Zgas_d($D48,AC$36,gg,zcor)</f>
        <v>0.88139261832028648</v>
      </c>
      <c r="AD48" s="1" cm="1">
        <f t="array" ref="AD48">[1]!unf_pvt_Zgas_d($D48,AD$36,gg,zcor)</f>
        <v>0.88651755762635631</v>
      </c>
      <c r="AE48" s="1" cm="1">
        <f t="array" ref="AE48">[1]!unf_pvt_Zgas_d($D48,AE$36,gg,zcor)</f>
        <v>0.89222927484997749</v>
      </c>
      <c r="AF48" s="1" cm="1">
        <f t="array" ref="AF48">[1]!unf_pvt_Zgas_d($D48,AF$36,gg,zcor)</f>
        <v>0.89847735024154218</v>
      </c>
      <c r="AG48" s="1" cm="1">
        <f t="array" ref="AG48">[1]!unf_pvt_Zgas_d($D48,AG$36,gg,zcor)</f>
        <v>0.90521517773721594</v>
      </c>
      <c r="AH48" s="1" cm="1">
        <f t="array" ref="AH48">[1]!unf_pvt_Zgas_d($D48,AH$36,gg,zcor)</f>
        <v>0.9123999276987802</v>
      </c>
      <c r="AI48" s="1" cm="1">
        <f t="array" ref="AI48">[1]!unf_pvt_Zgas_d($D48,AI$36,gg,zcor)</f>
        <v>0.91999241899407236</v>
      </c>
      <c r="AJ48" s="1" cm="1">
        <f t="array" ref="AJ48">[1]!unf_pvt_Zgas_d($D48,AJ$36,gg,zcor)</f>
        <v>0.9279569314506465</v>
      </c>
      <c r="AK48" s="1" cm="1">
        <f t="array" ref="AK48">[1]!unf_pvt_Zgas_d($D48,AK$36,gg,zcor)</f>
        <v>0.93626098226185994</v>
      </c>
    </row>
    <row r="49" spans="3:37" x14ac:dyDescent="0.3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[1]!unf_pvt_Zgas_d($D49,F$36,gg,zcor)</f>
        <v>0.99896546166948919</v>
      </c>
      <c r="G49" s="1" cm="1">
        <f t="array" ref="G49">[1]!unf_pvt_Zgas_d($D49,G$36,gg,zcor)</f>
        <v>0.98940578056082573</v>
      </c>
      <c r="H49" s="1" cm="1">
        <f t="array" ref="H49">[1]!unf_pvt_Zgas_d($D49,H$36,gg,zcor)</f>
        <v>0.97947189371433063</v>
      </c>
      <c r="I49" s="1" cm="1">
        <f t="array" ref="I49">[1]!unf_pvt_Zgas_d($D49,I$36,gg,zcor)</f>
        <v>0.96929578587328047</v>
      </c>
      <c r="J49" s="1" cm="1">
        <f t="array" ref="J49">[1]!unf_pvt_Zgas_d($D49,J$36,gg,zcor)</f>
        <v>0.95903497514782621</v>
      </c>
      <c r="K49" s="1" cm="1">
        <f t="array" ref="K49">[1]!unf_pvt_Zgas_d($D49,K$36,gg,zcor)</f>
        <v>0.94886184058957301</v>
      </c>
      <c r="L49" s="1" cm="1">
        <f t="array" ref="L49">[1]!unf_pvt_Zgas_d($D49,L$36,gg,zcor)</f>
        <v>0.93895276992603449</v>
      </c>
      <c r="M49" s="1" cm="1">
        <f t="array" ref="M49">[1]!unf_pvt_Zgas_d($D49,M$36,gg,zcor)</f>
        <v>0.9294779509855069</v>
      </c>
      <c r="N49" s="1" cm="1">
        <f t="array" ref="N49">[1]!unf_pvt_Zgas_d($D49,N$36,gg,zcor)</f>
        <v>0.92059273828358845</v>
      </c>
      <c r="O49" s="1" cm="1">
        <f t="array" ref="O49">[1]!unf_pvt_Zgas_d($D49,O$36,gg,zcor)</f>
        <v>0.91243123040408336</v>
      </c>
      <c r="P49" s="1" cm="1">
        <f t="array" ref="P49">[1]!unf_pvt_Zgas_d($D49,P$36,gg,zcor)</f>
        <v>0.90510230957636495</v>
      </c>
      <c r="Q49" s="1" cm="1">
        <f t="array" ref="Q49">[1]!unf_pvt_Zgas_d($D49,Q$36,gg,zcor)</f>
        <v>0.89868804302810579</v>
      </c>
      <c r="R49" s="1" cm="1">
        <f t="array" ref="R49">[1]!unf_pvt_Zgas_d($D49,R$36,gg,zcor)</f>
        <v>0.89324409115565617</v>
      </c>
      <c r="S49" s="1" cm="1">
        <f t="array" ref="S49">[1]!unf_pvt_Zgas_d($D49,S$36,gg,zcor)</f>
        <v>0.88880163115229216</v>
      </c>
      <c r="T49" s="1" cm="1">
        <f t="array" ref="T49">[1]!unf_pvt_Zgas_d($D49,T$36,gg,zcor)</f>
        <v>0.88537027471731178</v>
      </c>
      <c r="U49" s="1" cm="1">
        <f t="array" ref="U49">[1]!unf_pvt_Zgas_d($D49,U$36,gg,zcor)</f>
        <v>0.88294150541124627</v>
      </c>
      <c r="V49" s="1" cm="1">
        <f t="array" ref="V49">[1]!unf_pvt_Zgas_d($D49,V$36,gg,zcor)</f>
        <v>0.88149225157307554</v>
      </c>
      <c r="W49" s="1" cm="1">
        <f t="array" ref="W49">[1]!unf_pvt_Zgas_d($D49,W$36,gg,zcor)</f>
        <v>0.88098831575661751</v>
      </c>
      <c r="X49" s="1" cm="1">
        <f t="array" ref="X49">[1]!unf_pvt_Zgas_d($D49,X$36,gg,zcor)</f>
        <v>0.88138748140835821</v>
      </c>
      <c r="Y49" s="1" cm="1">
        <f t="array" ref="Y49">[1]!unf_pvt_Zgas_d($D49,Y$36,gg,zcor)</f>
        <v>0.88264220093765211</v>
      </c>
      <c r="Z49" s="1" cm="1">
        <f t="array" ref="Z49">[1]!unf_pvt_Zgas_d($D49,Z$36,gg,zcor)</f>
        <v>0.8847018324122492</v>
      </c>
      <c r="AA49" s="1" cm="1">
        <f t="array" ref="AA49">[1]!unf_pvt_Zgas_d($D49,AA$36,gg,zcor)</f>
        <v>0.88751443544606456</v>
      </c>
      <c r="AB49" s="1" cm="1">
        <f t="array" ref="AB49">[1]!unf_pvt_Zgas_d($D49,AB$36,gg,zcor)</f>
        <v>0.89102816346011227</v>
      </c>
      <c r="AC49" s="1" cm="1">
        <f t="array" ref="AC49">[1]!unf_pvt_Zgas_d($D49,AC$36,gg,zcor)</f>
        <v>0.89519230327127308</v>
      </c>
      <c r="AD49" s="1" cm="1">
        <f t="array" ref="AD49">[1]!unf_pvt_Zgas_d($D49,AD$36,gg,zcor)</f>
        <v>0.89995801766749817</v>
      </c>
      <c r="AE49" s="1" cm="1">
        <f t="array" ref="AE49">[1]!unf_pvt_Zgas_d($D49,AE$36,gg,zcor)</f>
        <v>0.90527884544974946</v>
      </c>
      <c r="AF49" s="1" cm="1">
        <f t="array" ref="AF49">[1]!unf_pvt_Zgas_d($D49,AF$36,gg,zcor)</f>
        <v>0.91111100881455198</v>
      </c>
      <c r="AG49" s="1" cm="1">
        <f t="array" ref="AG49">[1]!unf_pvt_Zgas_d($D49,AG$36,gg,zcor)</f>
        <v>0.91741357166890081</v>
      </c>
      <c r="AH49" s="1" cm="1">
        <f t="array" ref="AH49">[1]!unf_pvt_Zgas_d($D49,AH$36,gg,zcor)</f>
        <v>0.92414848567726449</v>
      </c>
      <c r="AI49" s="1" cm="1">
        <f t="array" ref="AI49">[1]!unf_pvt_Zgas_d($D49,AI$36,gg,zcor)</f>
        <v>0.93128055425507406</v>
      </c>
      <c r="AJ49" s="1" cm="1">
        <f t="array" ref="AJ49">[1]!unf_pvt_Zgas_d($D49,AJ$36,gg,zcor)</f>
        <v>0.93877733873938429</v>
      </c>
      <c r="AK49" s="1" cm="1">
        <f t="array" ref="AK49">[1]!unf_pvt_Zgas_d($D49,AK$36,gg,zcor)</f>
        <v>0.9466090257638301</v>
      </c>
    </row>
    <row r="50" spans="3:37" x14ac:dyDescent="0.3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[1]!unf_pvt_Zgas_d($D50,F$36,gg,zcor)</f>
        <v>0.99905813740407301</v>
      </c>
      <c r="G50" s="1" cm="1">
        <f t="array" ref="G50">[1]!unf_pvt_Zgas_d($D50,G$36,gg,zcor)</f>
        <v>0.99034805276657822</v>
      </c>
      <c r="H50" s="1" cm="1">
        <f t="array" ref="H50">[1]!unf_pvt_Zgas_d($D50,H$36,gg,zcor)</f>
        <v>0.98130705224268755</v>
      </c>
      <c r="I50" s="1" cm="1">
        <f t="array" ref="I50">[1]!unf_pvt_Zgas_d($D50,I$36,gg,zcor)</f>
        <v>0.97207856317464747</v>
      </c>
      <c r="J50" s="1" cm="1">
        <f t="array" ref="J50">[1]!unf_pvt_Zgas_d($D50,J$36,gg,zcor)</f>
        <v>0.96281919985108277</v>
      </c>
      <c r="K50" s="1" cm="1">
        <f t="array" ref="K50">[1]!unf_pvt_Zgas_d($D50,K$36,gg,zcor)</f>
        <v>0.95368980183456264</v>
      </c>
      <c r="L50" s="1" cm="1">
        <f t="array" ref="L50">[1]!unf_pvt_Zgas_d($D50,L$36,gg,zcor)</f>
        <v>0.94484719988532262</v>
      </c>
      <c r="M50" s="1" cm="1">
        <f t="array" ref="M50">[1]!unf_pvt_Zgas_d($D50,M$36,gg,zcor)</f>
        <v>0.93643715591368559</v>
      </c>
      <c r="N50" s="1" cm="1">
        <f t="array" ref="N50">[1]!unf_pvt_Zgas_d($D50,N$36,gg,zcor)</f>
        <v>0.92858891015479772</v>
      </c>
      <c r="O50" s="1" cm="1">
        <f t="array" ref="O50">[1]!unf_pvt_Zgas_d($D50,O$36,gg,zcor)</f>
        <v>0.92141154339400821</v>
      </c>
      <c r="P50" s="1" cm="1">
        <f t="array" ref="P50">[1]!unf_pvt_Zgas_d($D50,P$36,gg,zcor)</f>
        <v>0.91499212914347727</v>
      </c>
      <c r="Q50" s="1" cm="1">
        <f t="array" ref="Q50">[1]!unf_pvt_Zgas_d($D50,Q$36,gg,zcor)</f>
        <v>0.90939546823819528</v>
      </c>
      <c r="R50" s="1" cm="1">
        <f t="array" ref="R50">[1]!unf_pvt_Zgas_d($D50,R$36,gg,zcor)</f>
        <v>0.90466508697623227</v>
      </c>
      <c r="S50" s="1" cm="1">
        <f t="array" ref="S50">[1]!unf_pvt_Zgas_d($D50,S$36,gg,zcor)</f>
        <v>0.90082513798353614</v>
      </c>
      <c r="T50" s="1" cm="1">
        <f t="array" ref="T50">[1]!unf_pvt_Zgas_d($D50,T$36,gg,zcor)</f>
        <v>0.89788285585727134</v>
      </c>
      <c r="U50" s="1" cm="1">
        <f t="array" ref="U50">[1]!unf_pvt_Zgas_d($D50,U$36,gg,zcor)</f>
        <v>0.89583126791889545</v>
      </c>
      <c r="V50" s="1" cm="1">
        <f t="array" ref="V50">[1]!unf_pvt_Zgas_d($D50,V$36,gg,zcor)</f>
        <v>0.89465192565946461</v>
      </c>
      <c r="W50" s="1" cm="1">
        <f t="array" ref="W50">[1]!unf_pvt_Zgas_d($D50,W$36,gg,zcor)</f>
        <v>0.8943174904008151</v>
      </c>
      <c r="X50" s="1" cm="1">
        <f t="array" ref="X50">[1]!unf_pvt_Zgas_d($D50,X$36,gg,zcor)</f>
        <v>0.89479406810500994</v>
      </c>
      <c r="Y50" s="1" cm="1">
        <f t="array" ref="Y50">[1]!unf_pvt_Zgas_d($D50,Y$36,gg,zcor)</f>
        <v>0.89604323846251221</v>
      </c>
      <c r="Z50" s="1" cm="1">
        <f t="array" ref="Z50">[1]!unf_pvt_Zgas_d($D50,Z$36,gg,zcor)</f>
        <v>0.89802376107709114</v>
      </c>
      <c r="AA50" s="1" cm="1">
        <f t="array" ref="AA50">[1]!unf_pvt_Zgas_d($D50,AA$36,gg,zcor)</f>
        <v>0.90069296756524508</v>
      </c>
      <c r="AB50" s="1" cm="1">
        <f t="array" ref="AB50">[1]!unf_pvt_Zgas_d($D50,AB$36,gg,zcor)</f>
        <v>0.90400786459908533</v>
      </c>
      <c r="AC50" s="1" cm="1">
        <f t="array" ref="AC50">[1]!unf_pvt_Zgas_d($D50,AC$36,gg,zcor)</f>
        <v>0.90792598158260673</v>
      </c>
      <c r="AD50" s="1" cm="1">
        <f t="array" ref="AD50">[1]!unf_pvt_Zgas_d($D50,AD$36,gg,zcor)</f>
        <v>0.91240599989518578</v>
      </c>
      <c r="AE50" s="1" cm="1">
        <f t="array" ref="AE50">[1]!unf_pvt_Zgas_d($D50,AE$36,gg,zcor)</f>
        <v>0.91740820027097258</v>
      </c>
      <c r="AF50" s="1" cm="1">
        <f t="array" ref="AF50">[1]!unf_pvt_Zgas_d($D50,AF$36,gg,zcor)</f>
        <v>0.92289476232130152</v>
      </c>
      <c r="AG50" s="1" cm="1">
        <f t="array" ref="AG50">[1]!unf_pvt_Zgas_d($D50,AG$36,gg,zcor)</f>
        <v>0.92882994648276473</v>
      </c>
      <c r="AH50" s="1" cm="1">
        <f t="array" ref="AH50">[1]!unf_pvt_Zgas_d($D50,AH$36,gg,zcor)</f>
        <v>0.93518018449721052</v>
      </c>
      <c r="AI50" s="1" cm="1">
        <f t="array" ref="AI50">[1]!unf_pvt_Zgas_d($D50,AI$36,gg,zcor)</f>
        <v>0.94191410035951317</v>
      </c>
      <c r="AJ50" s="1" cm="1">
        <f t="array" ref="AJ50">[1]!unf_pvt_Zgas_d($D50,AJ$36,gg,zcor)</f>
        <v>0.94900247977569618</v>
      </c>
      <c r="AK50" s="1" cm="1">
        <f t="array" ref="AK50">[1]!unf_pvt_Zgas_d($D50,AK$36,gg,zcor)</f>
        <v>0.95641820269816646</v>
      </c>
    </row>
    <row r="51" spans="3:37" x14ac:dyDescent="0.3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[1]!unf_pvt_Zgas_d($D51,F$36,gg,zcor)</f>
        <v>0.99914130359958608</v>
      </c>
      <c r="G51" s="1" cm="1">
        <f t="array" ref="G51">[1]!unf_pvt_Zgas_d($D51,G$36,gg,zcor)</f>
        <v>0.99119474922516948</v>
      </c>
      <c r="H51" s="1" cm="1">
        <f t="array" ref="H51">[1]!unf_pvt_Zgas_d($D51,H$36,gg,zcor)</f>
        <v>0.98295491919596012</v>
      </c>
      <c r="I51" s="1" cm="1">
        <f t="array" ref="I51">[1]!unf_pvt_Zgas_d($D51,I$36,gg,zcor)</f>
        <v>0.97457226950918019</v>
      </c>
      <c r="J51" s="1" cm="1">
        <f t="array" ref="J51">[1]!unf_pvt_Zgas_d($D51,J$36,gg,zcor)</f>
        <v>0.96620127775499975</v>
      </c>
      <c r="K51" s="1" cm="1">
        <f t="array" ref="K51">[1]!unf_pvt_Zgas_d($D51,K$36,gg,zcor)</f>
        <v>0.95799285093914377</v>
      </c>
      <c r="L51" s="1" cm="1">
        <f t="array" ref="L51">[1]!unf_pvt_Zgas_d($D51,L$36,gg,zcor)</f>
        <v>0.95008804462269059</v>
      </c>
      <c r="M51" s="1" cm="1">
        <f t="array" ref="M51">[1]!unf_pvt_Zgas_d($D51,M$36,gg,zcor)</f>
        <v>0.94261330450373682</v>
      </c>
      <c r="N51" s="1" cm="1">
        <f t="array" ref="N51">[1]!unf_pvt_Zgas_d($D51,N$36,gg,zcor)</f>
        <v>0.93567731697085044</v>
      </c>
      <c r="O51" s="1" cm="1">
        <f t="array" ref="O51">[1]!unf_pvt_Zgas_d($D51,O$36,gg,zcor)</f>
        <v>0.92936938553184267</v>
      </c>
      <c r="P51" s="1" cm="1">
        <f t="array" ref="P51">[1]!unf_pvt_Zgas_d($D51,P$36,gg,zcor)</f>
        <v>0.92375912472346344</v>
      </c>
      <c r="Q51" s="1" cm="1">
        <f t="array" ref="Q51">[1]!unf_pvt_Zgas_d($D51,Q$36,gg,zcor)</f>
        <v>0.91889719454661345</v>
      </c>
      <c r="R51" s="1" cm="1">
        <f t="array" ref="R51">[1]!unf_pvt_Zgas_d($D51,R$36,gg,zcor)</f>
        <v>0.91481678041746572</v>
      </c>
      <c r="S51" s="1" cm="1">
        <f t="array" ref="S51">[1]!unf_pvt_Zgas_d($D51,S$36,gg,zcor)</f>
        <v>0.91153554261573466</v>
      </c>
      <c r="T51" s="1" cm="1">
        <f t="array" ref="T51">[1]!unf_pvt_Zgas_d($D51,T$36,gg,zcor)</f>
        <v>0.90905780048047169</v>
      </c>
      <c r="U51" s="1" cm="1">
        <f t="array" ref="U51">[1]!unf_pvt_Zgas_d($D51,U$36,gg,zcor)</f>
        <v>0.90737676742245243</v>
      </c>
      <c r="V51" s="1" cm="1">
        <f t="array" ref="V51">[1]!unf_pvt_Zgas_d($D51,V$36,gg,zcor)</f>
        <v>0.90647670391591029</v>
      </c>
      <c r="W51" s="1" cm="1">
        <f t="array" ref="W51">[1]!unf_pvt_Zgas_d($D51,W$36,gg,zcor)</f>
        <v>0.90633490128649696</v>
      </c>
      <c r="X51" s="1" cm="1">
        <f t="array" ref="X51">[1]!unf_pvt_Zgas_d($D51,X$36,gg,zcor)</f>
        <v>0.90692344656757518</v>
      </c>
      <c r="Y51" s="1" cm="1">
        <f t="array" ref="Y51">[1]!unf_pvt_Zgas_d($D51,Y$36,gg,zcor)</f>
        <v>0.9082107472967792</v>
      </c>
      <c r="Z51" s="1" cm="1">
        <f t="array" ref="Z51">[1]!unf_pvt_Zgas_d($D51,Z$36,gg,zcor)</f>
        <v>0.91016281550151168</v>
      </c>
      <c r="AA51" s="1" cm="1">
        <f t="array" ref="AA51">[1]!unf_pvt_Zgas_d($D51,AA$36,gg,zcor)</f>
        <v>0.91274432355325319</v>
      </c>
      <c r="AB51" s="1" cm="1">
        <f t="array" ref="AB51">[1]!unf_pvt_Zgas_d($D51,AB$36,gg,zcor)</f>
        <v>0.91591945253656903</v>
      </c>
      <c r="AC51" s="1" cm="1">
        <f t="array" ref="AC51">[1]!unf_pvt_Zgas_d($D51,AC$36,gg,zcor)</f>
        <v>0.9196525576967135</v>
      </c>
      <c r="AD51" s="1" cm="1">
        <f t="array" ref="AD51">[1]!unf_pvt_Zgas_d($D51,AD$36,gg,zcor)</f>
        <v>0.92390867662015941</v>
      </c>
      <c r="AE51" s="1" cm="1">
        <f t="array" ref="AE51">[1]!unf_pvt_Zgas_d($D51,AE$36,gg,zcor)</f>
        <v>0.92865390504277201</v>
      </c>
      <c r="AF51" s="1" cm="1">
        <f t="array" ref="AF51">[1]!unf_pvt_Zgas_d($D51,AF$36,gg,zcor)</f>
        <v>0.93385566331034353</v>
      </c>
      <c r="AG51" s="1" cm="1">
        <f t="array" ref="AG51">[1]!unf_pvt_Zgas_d($D51,AG$36,gg,zcor)</f>
        <v>0.93948287406822983</v>
      </c>
      <c r="AH51" s="1" cm="1">
        <f t="array" ref="AH51">[1]!unf_pvt_Zgas_d($D51,AH$36,gg,zcor)</f>
        <v>0.94550606909547563</v>
      </c>
      <c r="AI51" s="1" cm="1">
        <f t="array" ref="AI51">[1]!unf_pvt_Zgas_d($D51,AI$36,gg,zcor)</f>
        <v>0.95189744056017411</v>
      </c>
      <c r="AJ51" s="1" cm="1">
        <f t="array" ref="AJ51">[1]!unf_pvt_Zgas_d($D51,AJ$36,gg,zcor)</f>
        <v>0.95863084949886024</v>
      </c>
      <c r="AK51" s="1" cm="1">
        <f t="array" ref="AK51">[1]!unf_pvt_Zgas_d($D51,AK$36,gg,zcor)</f>
        <v>0.96568180208944709</v>
      </c>
    </row>
    <row r="52" spans="3:37" x14ac:dyDescent="0.3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[1]!unf_pvt_Zgas_d($D52,F$36,gg,zcor)</f>
        <v>0.99921616706012339</v>
      </c>
      <c r="G52" s="1" cm="1">
        <f t="array" ref="G52">[1]!unf_pvt_Zgas_d($D52,G$36,gg,zcor)</f>
        <v>0.99195798581302574</v>
      </c>
      <c r="H52" s="1" cm="1">
        <f t="array" ref="H52">[1]!unf_pvt_Zgas_d($D52,H$36,gg,zcor)</f>
        <v>0.98443974991294481</v>
      </c>
      <c r="I52" s="1" cm="1">
        <f t="array" ref="I52">[1]!unf_pvt_Zgas_d($D52,I$36,gg,zcor)</f>
        <v>0.9768155339072393</v>
      </c>
      <c r="J52" s="1" cm="1">
        <f t="array" ref="J52">[1]!unf_pvt_Zgas_d($D52,J$36,gg,zcor)</f>
        <v>0.9692366560500516</v>
      </c>
      <c r="K52" s="1" cm="1">
        <f t="array" ref="K52">[1]!unf_pvt_Zgas_d($D52,K$36,gg,zcor)</f>
        <v>0.96184521883389718</v>
      </c>
      <c r="L52" s="1" cm="1">
        <f t="array" ref="L52">[1]!unf_pvt_Zgas_d($D52,L$36,gg,zcor)</f>
        <v>0.95476929757933282</v>
      </c>
      <c r="M52" s="1" cm="1">
        <f t="array" ref="M52">[1]!unf_pvt_Zgas_d($D52,M$36,gg,zcor)</f>
        <v>0.94811986570104057</v>
      </c>
      <c r="N52" s="1" cm="1">
        <f t="array" ref="N52">[1]!unf_pvt_Zgas_d($D52,N$36,gg,zcor)</f>
        <v>0.94198930804543679</v>
      </c>
      <c r="O52" s="1" cm="1">
        <f t="array" ref="O52">[1]!unf_pvt_Zgas_d($D52,O$36,gg,zcor)</f>
        <v>0.93645124408453984</v>
      </c>
      <c r="P52" s="1" cm="1">
        <f t="array" ref="P52">[1]!unf_pvt_Zgas_d($D52,P$36,gg,zcor)</f>
        <v>0.93156133310684908</v>
      </c>
      <c r="Q52" s="1" cm="1">
        <f t="array" ref="Q52">[1]!unf_pvt_Zgas_d($D52,Q$36,gg,zcor)</f>
        <v>0.92735874156580289</v>
      </c>
      <c r="R52" s="1" cm="1">
        <f t="array" ref="R52">[1]!unf_pvt_Zgas_d($D52,R$36,gg,zcor)</f>
        <v>0.92386799540780373</v>
      </c>
      <c r="S52" s="1" cm="1">
        <f t="array" ref="S52">[1]!unf_pvt_Zgas_d($D52,S$36,gg,zcor)</f>
        <v>0.92110099805877199</v>
      </c>
      <c r="T52" s="1" cm="1">
        <f t="array" ref="T52">[1]!unf_pvt_Zgas_d($D52,T$36,gg,zcor)</f>
        <v>0.91905905408108135</v>
      </c>
      <c r="U52" s="1" cm="1">
        <f t="array" ref="U52">[1]!unf_pvt_Zgas_d($D52,U$36,gg,zcor)</f>
        <v>0.91773479129653845</v>
      </c>
      <c r="V52" s="1" cm="1">
        <f t="array" ref="V52">[1]!unf_pvt_Zgas_d($D52,V$36,gg,zcor)</f>
        <v>0.91711391687263499</v>
      </c>
      <c r="W52" s="1" cm="1">
        <f t="array" ref="W52">[1]!unf_pvt_Zgas_d($D52,W$36,gg,zcor)</f>
        <v>0.91717677493461447</v>
      </c>
      <c r="X52" s="1" cm="1">
        <f t="array" ref="X52">[1]!unf_pvt_Zgas_d($D52,X$36,gg,zcor)</f>
        <v>0.91789969579079045</v>
      </c>
      <c r="Y52" s="1" cm="1">
        <f t="array" ref="Y52">[1]!unf_pvt_Zgas_d($D52,Y$36,gg,zcor)</f>
        <v>0.91925614162893265</v>
      </c>
      <c r="Z52" s="1" cm="1">
        <f t="array" ref="Z52">[1]!unf_pvt_Zgas_d($D52,Z$36,gg,zcor)</f>
        <v>0.92121766244134751</v>
      </c>
      <c r="AA52" s="1" cm="1">
        <f t="array" ref="AA52">[1]!unf_pvt_Zgas_d($D52,AA$36,gg,zcor)</f>
        <v>0.9237546806419854</v>
      </c>
      <c r="AB52" s="1" cm="1">
        <f t="array" ref="AB52">[1]!unf_pvt_Zgas_d($D52,AB$36,gg,zcor)</f>
        <v>0.92683712470293256</v>
      </c>
      <c r="AC52" s="1" cm="1">
        <f t="array" ref="AC52">[1]!unf_pvt_Zgas_d($D52,AC$36,gg,zcor)</f>
        <v>0.93043493217994444</v>
      </c>
      <c r="AD52" s="1" cm="1">
        <f t="array" ref="AD52">[1]!unf_pvt_Zgas_d($D52,AD$36,gg,zcor)</f>
        <v>0.93451844144768204</v>
      </c>
      <c r="AE52" s="1" cm="1">
        <f t="array" ref="AE52">[1]!unf_pvt_Zgas_d($D52,AE$36,gg,zcor)</f>
        <v>0.9390586898256047</v>
      </c>
      <c r="AF52" s="1" cm="1">
        <f t="array" ref="AF52">[1]!unf_pvt_Zgas_d($D52,AF$36,gg,zcor)</f>
        <v>0.94402763387434885</v>
      </c>
      <c r="AG52" s="1" cm="1">
        <f t="array" ref="AG52">[1]!unf_pvt_Zgas_d($D52,AG$36,gg,zcor)</f>
        <v>0.94939830568723405</v>
      </c>
      <c r="AH52" s="1" cm="1">
        <f t="array" ref="AH52">[1]!unf_pvt_Zgas_d($D52,AH$36,gg,zcor)</f>
        <v>0.95514491711600291</v>
      </c>
      <c r="AI52" s="1" cm="1">
        <f t="array" ref="AI52">[1]!unf_pvt_Zgas_d($D52,AI$36,gg,zcor)</f>
        <v>0.96124292212225448</v>
      </c>
      <c r="AJ52" s="1" cm="1">
        <f t="array" ref="AJ52">[1]!unf_pvt_Zgas_d($D52,AJ$36,gg,zcor)</f>
        <v>0.96766904586872393</v>
      </c>
      <c r="AK52" s="1" cm="1">
        <f t="array" ref="AK52">[1]!unf_pvt_Zgas_d($D52,AK$36,gg,zcor)</f>
        <v>0.97440128776781565</v>
      </c>
    </row>
    <row r="53" spans="3:37" x14ac:dyDescent="0.3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[1]!unf_pvt_Zgas_d($D53,F$36,gg,zcor)</f>
        <v>0.99928374996821723</v>
      </c>
      <c r="G53" s="1" cm="1">
        <f t="array" ref="G53">[1]!unf_pvt_Zgas_d($D53,G$36,gg,zcor)</f>
        <v>0.99264802109479722</v>
      </c>
      <c r="H53" s="1" cm="1">
        <f t="array" ref="H53">[1]!unf_pvt_Zgas_d($D53,H$36,gg,zcor)</f>
        <v>0.98578196797436868</v>
      </c>
      <c r="I53" s="1" cm="1">
        <f t="array" ref="I53">[1]!unf_pvt_Zgas_d($D53,I$36,gg,zcor)</f>
        <v>0.97884065744408222</v>
      </c>
      <c r="J53" s="1" cm="1">
        <f t="array" ref="J53">[1]!unf_pvt_Zgas_d($D53,J$36,gg,zcor)</f>
        <v>0.97197142282603943</v>
      </c>
      <c r="K53" s="1" cm="1">
        <f t="array" ref="K53">[1]!unf_pvt_Zgas_d($D53,K$36,gg,zcor)</f>
        <v>0.9653083690013412</v>
      </c>
      <c r="L53" s="1" cm="1">
        <f t="array" ref="L53">[1]!unf_pvt_Zgas_d($D53,L$36,gg,zcor)</f>
        <v>0.95896867617252002</v>
      </c>
      <c r="M53" s="1" cm="1">
        <f t="array" ref="M53">[1]!unf_pvt_Zgas_d($D53,M$36,gg,zcor)</f>
        <v>0.95305075495358038</v>
      </c>
      <c r="N53" s="1" cm="1">
        <f t="array" ref="N53">[1]!unf_pvt_Zgas_d($D53,N$36,gg,zcor)</f>
        <v>0.94763395158734043</v>
      </c>
      <c r="O53" s="1" cm="1">
        <f t="array" ref="O53">[1]!unf_pvt_Zgas_d($D53,O$36,gg,zcor)</f>
        <v>0.942779398138755</v>
      </c>
      <c r="P53" s="1" cm="1">
        <f t="array" ref="P53">[1]!unf_pvt_Zgas_d($D53,P$36,gg,zcor)</f>
        <v>0.93853160468900731</v>
      </c>
      <c r="Q53" s="1" cm="1">
        <f t="array" ref="Q53">[1]!unf_pvt_Zgas_d($D53,Q$36,gg,zcor)</f>
        <v>0.93492044938723184</v>
      </c>
      <c r="R53" s="1" cm="1">
        <f t="array" ref="R53">[1]!unf_pvt_Zgas_d($D53,R$36,gg,zcor)</f>
        <v>0.93196330386173676</v>
      </c>
      <c r="S53" s="1" cm="1">
        <f t="array" ref="S53">[1]!unf_pvt_Zgas_d($D53,S$36,gg,zcor)</f>
        <v>0.92966711358248677</v>
      </c>
      <c r="T53" s="1" cm="1">
        <f t="array" ref="T53">[1]!unf_pvt_Zgas_d($D53,T$36,gg,zcor)</f>
        <v>0.92803032302275368</v>
      </c>
      <c r="U53" s="1" cm="1">
        <f t="array" ref="U53">[1]!unf_pvt_Zgas_d($D53,U$36,gg,zcor)</f>
        <v>0.92704458922563371</v>
      </c>
      <c r="V53" s="1" cm="1">
        <f t="array" ref="V53">[1]!unf_pvt_Zgas_d($D53,V$36,gg,zcor)</f>
        <v>0.9266962647835677</v>
      </c>
      <c r="W53" s="1" cm="1">
        <f t="array" ref="W53">[1]!unf_pvt_Zgas_d($D53,W$36,gg,zcor)</f>
        <v>0.92696765486446053</v>
      </c>
      <c r="X53" s="1" cm="1">
        <f t="array" ref="X53">[1]!unf_pvt_Zgas_d($D53,X$36,gg,zcor)</f>
        <v>0.92783806613802711</v>
      </c>
      <c r="Y53" s="1" cm="1">
        <f t="array" ref="Y53">[1]!unf_pvt_Zgas_d($D53,Y$36,gg,zcor)</f>
        <v>0.92928467148778393</v>
      </c>
      <c r="Z53" s="1" cm="1">
        <f t="array" ref="Z53">[1]!unf_pvt_Zgas_d($D53,Z$36,gg,zcor)</f>
        <v>0.93128321587176477</v>
      </c>
      <c r="AA53" s="1" cm="1">
        <f t="array" ref="AA53">[1]!unf_pvt_Zgas_d($D53,AA$36,gg,zcor)</f>
        <v>0.93380858756462337</v>
      </c>
      <c r="AB53" s="1" cm="1">
        <f t="array" ref="AB53">[1]!unf_pvt_Zgas_d($D53,AB$36,gg,zcor)</f>
        <v>0.93683527659768118</v>
      </c>
      <c r="AC53" s="1" cm="1">
        <f t="array" ref="AC53">[1]!unf_pvt_Zgas_d($D53,AC$36,gg,zcor)</f>
        <v>0.94033773934091891</v>
      </c>
      <c r="AD53" s="1" cm="1">
        <f t="array" ref="AD53">[1]!unf_pvt_Zgas_d($D53,AD$36,gg,zcor)</f>
        <v>0.94429068531608962</v>
      </c>
      <c r="AE53" s="1" cm="1">
        <f t="array" ref="AE53">[1]!unf_pvt_Zgas_d($D53,AE$36,gg,zcor)</f>
        <v>0.94866929973094583</v>
      </c>
      <c r="AF53" s="1" cm="1">
        <f t="array" ref="AF53">[1]!unf_pvt_Zgas_d($D53,AF$36,gg,zcor)</f>
        <v>0.95344941297316799</v>
      </c>
      <c r="AG53" s="1" cm="1">
        <f t="array" ref="AG53">[1]!unf_pvt_Zgas_d($D53,AG$36,gg,zcor)</f>
        <v>0.95860762640868658</v>
      </c>
      <c r="AH53" s="1" cm="1">
        <f t="array" ref="AH53">[1]!unf_pvt_Zgas_d($D53,AH$36,gg,zcor)</f>
        <v>0.96412140226151477</v>
      </c>
      <c r="AI53" s="1" cm="1">
        <f t="array" ref="AI53">[1]!unf_pvt_Zgas_d($D53,AI$36,gg,zcor)</f>
        <v>0.96996912406368296</v>
      </c>
      <c r="AJ53" s="1" cm="1">
        <f t="array" ref="AJ53">[1]!unf_pvt_Zgas_d($D53,AJ$36,gg,zcor)</f>
        <v>0.97613013310508989</v>
      </c>
      <c r="AK53" s="1" cm="1">
        <f t="array" ref="AK53">[1]!unf_pvt_Zgas_d($D53,AK$36,gg,zcor)</f>
        <v>0.98258474543939323</v>
      </c>
    </row>
    <row r="54" spans="3:37" x14ac:dyDescent="0.3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[1]!unf_pvt_Zgas_d($D54,F$36,gg,zcor)</f>
        <v>0.99934492284428467</v>
      </c>
      <c r="G54" s="1" cm="1">
        <f t="array" ref="G54">[1]!unf_pvt_Zgas_d($D54,G$36,gg,zcor)</f>
        <v>0.99327358968639867</v>
      </c>
      <c r="H54" s="1" cm="1">
        <f t="array" ref="H54">[1]!unf_pvt_Zgas_d($D54,H$36,gg,zcor)</f>
        <v>0.98699887628034166</v>
      </c>
      <c r="I54" s="1" cm="1">
        <f t="array" ref="I54">[1]!unf_pvt_Zgas_d($D54,I$36,gg,zcor)</f>
        <v>0.98067482833906305</v>
      </c>
      <c r="J54" s="1" cm="1">
        <f t="array" ref="J54">[1]!unf_pvt_Zgas_d($D54,J$36,gg,zcor)</f>
        <v>0.97444414581435823</v>
      </c>
      <c r="K54" s="1" cm="1">
        <f t="array" ref="K54">[1]!unf_pvt_Zgas_d($D54,K$36,gg,zcor)</f>
        <v>0.96843352825642992</v>
      </c>
      <c r="L54" s="1" cm="1">
        <f t="array" ref="L54">[1]!unf_pvt_Zgas_d($D54,L$36,gg,zcor)</f>
        <v>0.96275083245939674</v>
      </c>
      <c r="M54" s="1" cm="1">
        <f t="array" ref="M54">[1]!unf_pvt_Zgas_d($D54,M$36,gg,zcor)</f>
        <v>0.95748412236355718</v>
      </c>
      <c r="N54" s="1" cm="1">
        <f t="array" ref="N54">[1]!unf_pvt_Zgas_d($D54,N$36,gg,zcor)</f>
        <v>0.95270221833976643</v>
      </c>
      <c r="O54" s="1" cm="1">
        <f t="array" ref="O54">[1]!unf_pvt_Zgas_d($D54,O$36,gg,zcor)</f>
        <v>0.94845626279791184</v>
      </c>
      <c r="P54" s="1" cm="1">
        <f t="array" ref="P54">[1]!unf_pvt_Zgas_d($D54,P$36,gg,zcor)</f>
        <v>0.94478185522135283</v>
      </c>
      <c r="Q54" s="1" cm="1">
        <f t="array" ref="Q54">[1]!unf_pvt_Zgas_d($D54,Q$36,gg,zcor)</f>
        <v>0.94170140119746326</v>
      </c>
      <c r="R54" s="1" cm="1">
        <f t="array" ref="R54">[1]!unf_pvt_Zgas_d($D54,R$36,gg,zcor)</f>
        <v>0.93922642585097449</v>
      </c>
      <c r="S54" s="1" cm="1">
        <f t="array" ref="S54">[1]!unf_pvt_Zgas_d($D54,S$36,gg,zcor)</f>
        <v>0.93735969860329538</v>
      </c>
      <c r="T54" s="1" cm="1">
        <f t="array" ref="T54">[1]!unf_pvt_Zgas_d($D54,T$36,gg,zcor)</f>
        <v>0.9360970924970563</v>
      </c>
      <c r="U54" s="1" cm="1">
        <f t="array" ref="U54">[1]!unf_pvt_Zgas_d($D54,U$36,gg,zcor)</f>
        <v>0.93542915514523428</v>
      </c>
      <c r="V54" s="1" cm="1">
        <f t="array" ref="V54">[1]!unf_pvt_Zgas_d($D54,V$36,gg,zcor)</f>
        <v>0.93534240218340703</v>
      </c>
      <c r="W54" s="1" cm="1">
        <f t="array" ref="W54">[1]!unf_pvt_Zgas_d($D54,W$36,gg,zcor)</f>
        <v>0.9358203623875414</v>
      </c>
      <c r="X54" s="1" cm="1">
        <f t="array" ref="X54">[1]!unf_pvt_Zgas_d($D54,X$36,gg,zcor)</f>
        <v>0.93684441105163097</v>
      </c>
      <c r="Y54" s="1" cm="1">
        <f t="array" ref="Y54">[1]!unf_pvt_Zgas_d($D54,Y$36,gg,zcor)</f>
        <v>0.93839442881617474</v>
      </c>
      <c r="Z54" s="1" cm="1">
        <f t="array" ref="Z54">[1]!unf_pvt_Zgas_d($D54,Z$36,gg,zcor)</f>
        <v>0.94044931994495018</v>
      </c>
      <c r="AA54" s="1" cm="1">
        <f t="array" ref="AA54">[1]!unf_pvt_Zgas_d($D54,AA$36,gg,zcor)</f>
        <v>0.94298741915869444</v>
      </c>
      <c r="AB54" s="1" cm="1">
        <f t="array" ref="AB54">[1]!unf_pvt_Zgas_d($D54,AB$36,gg,zcor)</f>
        <v>0.9459868108620646</v>
      </c>
      <c r="AC54" s="1" cm="1">
        <f t="array" ref="AC54">[1]!unf_pvt_Zgas_d($D54,AC$36,gg,zcor)</f>
        <v>0.94942557967796515</v>
      </c>
      <c r="AD54" s="1" cm="1">
        <f t="array" ref="AD54">[1]!unf_pvt_Zgas_d($D54,AD$36,gg,zcor)</f>
        <v>0.95328200697305776</v>
      </c>
      <c r="AE54" s="1" cm="1">
        <f t="array" ref="AE54">[1]!unf_pvt_Zgas_d($D54,AE$36,gg,zcor)</f>
        <v>0.95753472461875844</v>
      </c>
      <c r="AF54" s="1" cm="1">
        <f t="array" ref="AF54">[1]!unf_pvt_Zgas_d($D54,AF$36,gg,zcor)</f>
        <v>0.96216283454601426</v>
      </c>
      <c r="AG54" s="1" cm="1">
        <f t="array" ref="AG54">[1]!unf_pvt_Zgas_d($D54,AG$36,gg,zcor)</f>
        <v>0.96714600061726463</v>
      </c>
      <c r="AH54" s="1" cm="1">
        <f t="array" ref="AH54">[1]!unf_pvt_Zgas_d($D54,AH$36,gg,zcor)</f>
        <v>0.9724645178319038</v>
      </c>
      <c r="AI54" s="1" cm="1">
        <f t="array" ref="AI54">[1]!unf_pvt_Zgas_d($D54,AI$36,gg,zcor)</f>
        <v>0.97809936278243925</v>
      </c>
      <c r="AJ54" s="1" cm="1">
        <f t="array" ref="AJ54">[1]!unf_pvt_Zgas_d($D54,AJ$36,gg,zcor)</f>
        <v>0.98403222848307081</v>
      </c>
      <c r="AK54" s="1" cm="1">
        <f t="array" ref="AK54">[1]!unf_pvt_Zgas_d($D54,AK$36,gg,zcor)</f>
        <v>0.9902455461157833</v>
      </c>
    </row>
    <row r="55" spans="3:37" x14ac:dyDescent="0.3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[1]!unf_pvt_Zgas_d($D55,F$36,gg,zcor)</f>
        <v>0.99940043087030161</v>
      </c>
      <c r="G55" s="1" cm="1">
        <f t="array" ref="G55">[1]!unf_pvt_Zgas_d($D55,G$36,gg,zcor)</f>
        <v>0.99384216791692981</v>
      </c>
      <c r="H55" s="1" cm="1">
        <f t="array" ref="H55">[1]!unf_pvt_Zgas_d($D55,H$36,gg,zcor)</f>
        <v>0.98810521872447787</v>
      </c>
      <c r="I55" s="1" cm="1">
        <f t="array" ref="I55">[1]!unf_pvt_Zgas_d($D55,I$36,gg,zcor)</f>
        <v>0.98234107404884485</v>
      </c>
      <c r="J55" s="1" cm="1">
        <f t="array" ref="J55">[1]!unf_pvt_Zgas_d($D55,J$36,gg,zcor)</f>
        <v>0.9766873069677191</v>
      </c>
      <c r="K55" s="1" cm="1">
        <f t="array" ref="K55">[1]!unf_pvt_Zgas_d($D55,K$36,gg,zcor)</f>
        <v>0.97126366136490805</v>
      </c>
      <c r="L55" s="1" cm="1">
        <f t="array" ref="L55">[1]!unf_pvt_Zgas_d($D55,L$36,gg,zcor)</f>
        <v>0.96616986916499137</v>
      </c>
      <c r="M55" s="1" cm="1">
        <f t="array" ref="M55">[1]!unf_pvt_Zgas_d($D55,M$36,gg,zcor)</f>
        <v>0.96148534685148523</v>
      </c>
      <c r="N55" s="1" cm="1">
        <f t="array" ref="N55">[1]!unf_pvt_Zgas_d($D55,N$36,gg,zcor)</f>
        <v>0.95727033117624061</v>
      </c>
      <c r="O55" s="1" cm="1">
        <f t="array" ref="O55">[1]!unf_pvt_Zgas_d($D55,O$36,gg,zcor)</f>
        <v>0.95356792847137861</v>
      </c>
      <c r="P55" s="1" cm="1">
        <f t="array" ref="P55">[1]!unf_pvt_Zgas_d($D55,P$36,gg,zcor)</f>
        <v>0.95040660886348971</v>
      </c>
      <c r="Q55" s="1" cm="1">
        <f t="array" ref="Q55">[1]!unf_pvt_Zgas_d($D55,Q$36,gg,zcor)</f>
        <v>0.94780278782173322</v>
      </c>
      <c r="R55" s="1" cm="1">
        <f t="array" ref="R55">[1]!unf_pvt_Zgas_d($D55,R$36,gg,zcor)</f>
        <v>0.94576325726923871</v>
      </c>
      <c r="S55" s="1" cm="1">
        <f t="array" ref="S55">[1]!unf_pvt_Zgas_d($D55,S$36,gg,zcor)</f>
        <v>0.94428733278176269</v>
      </c>
      <c r="T55" s="1" cm="1">
        <f t="array" ref="T55">[1]!unf_pvt_Zgas_d($D55,T$36,gg,zcor)</f>
        <v>0.94336866247749085</v>
      </c>
      <c r="U55" s="1" cm="1">
        <f t="array" ref="U55">[1]!unf_pvt_Zgas_d($D55,U$36,gg,zcor)</f>
        <v>0.94299669638097949</v>
      </c>
      <c r="V55" s="1" cm="1">
        <f t="array" ref="V55">[1]!unf_pvt_Zgas_d($D55,V$36,gg,zcor)</f>
        <v>0.94315784627814359</v>
      </c>
      <c r="W55" s="1" cm="1">
        <f t="array" ref="W55">[1]!unf_pvt_Zgas_d($D55,W$36,gg,zcor)</f>
        <v>0.94383638092786615</v>
      </c>
      <c r="X55" s="1" cm="1">
        <f t="array" ref="X55">[1]!unf_pvt_Zgas_d($D55,X$36,gg,zcor)</f>
        <v>0.94501510535718825</v>
      </c>
      <c r="Y55" s="1" cm="1">
        <f t="array" ref="Y55">[1]!unf_pvt_Zgas_d($D55,Y$36,gg,zcor)</f>
        <v>0.94667587026546363</v>
      </c>
      <c r="Z55" s="1" cm="1">
        <f t="array" ref="Z55">[1]!unf_pvt_Zgas_d($D55,Z$36,gg,zcor)</f>
        <v>0.94879995153658736</v>
      </c>
      <c r="AA55" s="1" cm="1">
        <f t="array" ref="AA55">[1]!unf_pvt_Zgas_d($D55,AA$36,gg,zcor)</f>
        <v>0.95136833266135701</v>
      </c>
      <c r="AB55" s="1" cm="1">
        <f t="array" ref="AB55">[1]!unf_pvt_Zgas_d($D55,AB$36,gg,zcor)</f>
        <v>0.95436191579934349</v>
      </c>
      <c r="AC55" s="1" cm="1">
        <f t="array" ref="AC55">[1]!unf_pvt_Zgas_d($D55,AC$36,gg,zcor)</f>
        <v>0.9577616809406746</v>
      </c>
      <c r="AD55" s="1" cm="1">
        <f t="array" ref="AD55">[1]!unf_pvt_Zgas_d($D55,AD$36,gg,zcor)</f>
        <v>0.96154880743629267</v>
      </c>
      <c r="AE55" s="1" cm="1">
        <f t="array" ref="AE55">[1]!unf_pvt_Zgas_d($D55,AE$36,gg,zcor)</f>
        <v>0.96570476807905581</v>
      </c>
      <c r="AF55" s="1" cm="1">
        <f t="array" ref="AF55">[1]!unf_pvt_Zgas_d($D55,AF$36,gg,zcor)</f>
        <v>0.97021140283449425</v>
      </c>
      <c r="AG55" s="1" cm="1">
        <f t="array" ref="AG55">[1]!unf_pvt_Zgas_d($D55,AG$36,gg,zcor)</f>
        <v>0.97505097707876298</v>
      </c>
      <c r="AH55" s="1" cm="1">
        <f t="array" ref="AH55">[1]!unf_pvt_Zgas_d($D55,AH$36,gg,zcor)</f>
        <v>0.98020622762941789</v>
      </c>
      <c r="AI55" s="1" cm="1">
        <f t="array" ref="AI55">[1]!unf_pvt_Zgas_d($D55,AI$36,gg,zcor)</f>
        <v>0.98566039879128309</v>
      </c>
      <c r="AJ55" s="1" cm="1">
        <f t="array" ref="AJ55">[1]!unf_pvt_Zgas_d($D55,AJ$36,gg,zcor)</f>
        <v>0.99139726994733557</v>
      </c>
      <c r="AK55" s="1" cm="1">
        <f t="array" ref="AK55">[1]!unf_pvt_Zgas_d($D55,AK$36,gg,zcor)</f>
        <v>0.99740117579253518</v>
      </c>
    </row>
    <row r="56" spans="3:37" x14ac:dyDescent="0.3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[1]!unf_pvt_Zgas_d($D56,F$36,gg,zcor)</f>
        <v>0.99945091503934469</v>
      </c>
      <c r="G56" s="1" cm="1">
        <f t="array" ref="G56">[1]!unf_pvt_Zgas_d($D56,G$36,gg,zcor)</f>
        <v>0.99436018686838579</v>
      </c>
      <c r="H56" s="1" cm="1">
        <f t="array" ref="H56">[1]!unf_pvt_Zgas_d($D56,H$36,gg,zcor)</f>
        <v>0.98911362691202032</v>
      </c>
      <c r="I56" s="1" cm="1">
        <f t="array" ref="I56">[1]!unf_pvt_Zgas_d($D56,I$36,gg,zcor)</f>
        <v>0.98385901261187414</v>
      </c>
      <c r="J56" s="1" cm="1">
        <f t="array" ref="J56">[1]!unf_pvt_Zgas_d($D56,J$36,gg,zcor)</f>
        <v>0.97872842947578298</v>
      </c>
      <c r="K56" s="1" cm="1">
        <f t="array" ref="K56">[1]!unf_pvt_Zgas_d($D56,K$36,gg,zcor)</f>
        <v>0.97383502138071165</v>
      </c>
      <c r="L56" s="1" cm="1">
        <f t="array" ref="L56">[1]!unf_pvt_Zgas_d($D56,L$36,gg,zcor)</f>
        <v>0.96927132147424</v>
      </c>
      <c r="M56" s="1" cm="1">
        <f t="array" ref="M56">[1]!unf_pvt_Zgas_d($D56,M$36,gg,zcor)</f>
        <v>0.96510941094528879</v>
      </c>
      <c r="N56" s="1" cm="1">
        <f t="array" ref="N56">[1]!unf_pvt_Zgas_d($D56,N$36,gg,zcor)</f>
        <v>0.96140245011189152</v>
      </c>
      <c r="O56" s="1" cm="1">
        <f t="array" ref="O56">[1]!unf_pvt_Zgas_d($D56,O$36,gg,zcor)</f>
        <v>0.95818703912048231</v>
      </c>
      <c r="P56" s="1" cm="1">
        <f t="array" ref="P56">[1]!unf_pvt_Zgas_d($D56,P$36,gg,zcor)</f>
        <v>0.95548593347958222</v>
      </c>
      <c r="Q56" s="1" cm="1">
        <f t="array" ref="Q56">[1]!unf_pvt_Zgas_d($D56,Q$36,gg,zcor)</f>
        <v>0.95331076116251368</v>
      </c>
      <c r="R56" s="1" cm="1">
        <f t="array" ref="R56">[1]!unf_pvt_Zgas_d($D56,R$36,gg,zcor)</f>
        <v>0.95166451462599033</v>
      </c>
      <c r="S56" s="1" cm="1">
        <f t="array" ref="S56">[1]!unf_pvt_Zgas_d($D56,S$36,gg,zcor)</f>
        <v>0.95054369861077637</v>
      </c>
      <c r="T56" s="1" cm="1">
        <f t="array" ref="T56">[1]!unf_pvt_Zgas_d($D56,T$36,gg,zcor)</f>
        <v>0.94994009419925085</v>
      </c>
      <c r="U56" s="1" cm="1">
        <f t="array" ref="U56">[1]!unf_pvt_Zgas_d($D56,U$36,gg,zcor)</f>
        <v>0.94984215164169838</v>
      </c>
      <c r="V56" s="1" cm="1">
        <f t="array" ref="V56">[1]!unf_pvt_Zgas_d($D56,V$36,gg,zcor)</f>
        <v>0.95023605372352438</v>
      </c>
      <c r="W56" s="1" cm="1">
        <f t="array" ref="W56">[1]!unf_pvt_Zgas_d($D56,W$36,gg,zcor)</f>
        <v>0.95110650406209574</v>
      </c>
      <c r="X56" s="1" cm="1">
        <f t="array" ref="X56">[1]!unf_pvt_Zgas_d($D56,X$36,gg,zcor)</f>
        <v>0.9524372964280956</v>
      </c>
      <c r="Y56" s="1" cm="1">
        <f t="array" ref="Y56">[1]!unf_pvt_Zgas_d($D56,Y$36,gg,zcor)</f>
        <v>0.95421171657086934</v>
      </c>
      <c r="Z56" s="1" cm="1">
        <f t="array" ref="Z56">[1]!unf_pvt_Zgas_d($D56,Z$36,gg,zcor)</f>
        <v>0.95641282038602426</v>
      </c>
      <c r="AA56" s="1" cm="1">
        <f t="array" ref="AA56">[1]!unf_pvt_Zgas_d($D56,AA$36,gg,zcor)</f>
        <v>0.95902362374986438</v>
      </c>
      <c r="AB56" s="1" cm="1">
        <f t="array" ref="AB56">[1]!unf_pvt_Zgas_d($D56,AB$36,gg,zcor)</f>
        <v>0.96202723122712874</v>
      </c>
      <c r="AC56" s="1" cm="1">
        <f t="array" ref="AC56">[1]!unf_pvt_Zgas_d($D56,AC$36,gg,zcor)</f>
        <v>0.96540692377930637</v>
      </c>
      <c r="AD56" s="1" cm="1">
        <f t="array" ref="AD56">[1]!unf_pvt_Zgas_d($D56,AD$36,gg,zcor)</f>
        <v>0.96914621979766635</v>
      </c>
      <c r="AE56" s="1" cm="1">
        <f t="array" ref="AE56">[1]!unf_pvt_Zgas_d($D56,AE$36,gg,zcor)</f>
        <v>0.97322891925344868</v>
      </c>
      <c r="AF56" s="1" cm="1">
        <f t="array" ref="AF56">[1]!unf_pvt_Zgas_d($D56,AF$36,gg,zcor)</f>
        <v>0.97763913736514507</v>
      </c>
      <c r="AG56" s="1" cm="1">
        <f t="array" ref="AG56">[1]!unf_pvt_Zgas_d($D56,AG$36,gg,zcor)</f>
        <v>0.9823613317434664</v>
      </c>
      <c r="AH56" s="1" cm="1">
        <f t="array" ref="AH56">[1]!unf_pvt_Zgas_d($D56,AH$36,gg,zcor)</f>
        <v>0.98738032529314046</v>
      </c>
      <c r="AI56" s="1" cm="1">
        <f t="array" ref="AI56">[1]!unf_pvt_Zgas_d($D56,AI$36,gg,zcor)</f>
        <v>0.99268132604671655</v>
      </c>
      <c r="AJ56" s="1" cm="1">
        <f t="array" ref="AJ56">[1]!unf_pvt_Zgas_d($D56,AJ$36,gg,zcor)</f>
        <v>0.99824994442459225</v>
      </c>
      <c r="AK56" s="1" cm="1">
        <f t="array" ref="AK56">[1]!unf_pvt_Zgas_d($D56,AK$36,gg,zcor)</f>
        <v>1.0040722080322932</v>
      </c>
    </row>
    <row r="57" spans="3:37" x14ac:dyDescent="0.3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[1]!unf_pvt_Zgas_d($D57,F$36,gg,zcor)</f>
        <v>0.99949692924912803</v>
      </c>
      <c r="G57" s="1" cm="1">
        <f t="array" ref="G57">[1]!unf_pvt_Zgas_d($D57,G$36,gg,zcor)</f>
        <v>0.99483320428119926</v>
      </c>
      <c r="H57" s="1" cm="1">
        <f t="array" ref="H57">[1]!unf_pvt_Zgas_d($D57,H$36,gg,zcor)</f>
        <v>0.99003497785641914</v>
      </c>
      <c r="I57" s="1" cm="1">
        <f t="array" ref="I57">[1]!unf_pvt_Zgas_d($D57,I$36,gg,zcor)</f>
        <v>0.98524544972444039</v>
      </c>
      <c r="J57" s="1" cm="1">
        <f t="array" ref="J57">[1]!unf_pvt_Zgas_d($D57,J$36,gg,zcor)</f>
        <v>0.98059096919836031</v>
      </c>
      <c r="K57" s="1" cm="1">
        <f t="array" ref="K57">[1]!unf_pvt_Zgas_d($D57,K$36,gg,zcor)</f>
        <v>0.97617837448945766</v>
      </c>
      <c r="L57" s="1" cm="1">
        <f t="array" ref="L57">[1]!unf_pvt_Zgas_d($D57,L$36,gg,zcor)</f>
        <v>0.97209372632550817</v>
      </c>
      <c r="M57" s="1" cm="1">
        <f t="array" ref="M57">[1]!unf_pvt_Zgas_d($D57,M$36,gg,zcor)</f>
        <v>0.96840279177538025</v>
      </c>
      <c r="N57" s="1" cm="1">
        <f t="array" ref="N57">[1]!unf_pvt_Zgas_d($D57,N$36,gg,zcor)</f>
        <v>0.96515282917308176</v>
      </c>
      <c r="O57" s="1" cm="1">
        <f t="array" ref="O57">[1]!unf_pvt_Zgas_d($D57,O$36,gg,zcor)</f>
        <v>0.9623751323314943</v>
      </c>
      <c r="P57" s="1" cm="1">
        <f t="array" ref="P57">[1]!unf_pvt_Zgas_d($D57,P$36,gg,zcor)</f>
        <v>0.96008786431160953</v>
      </c>
      <c r="Q57" s="1" cm="1">
        <f t="array" ref="Q57">[1]!unf_pvt_Zgas_d($D57,Q$36,gg,zcor)</f>
        <v>0.95829883630583712</v>
      </c>
      <c r="R57" s="1" cm="1">
        <f t="array" ref="R57">[1]!unf_pvt_Zgas_d($D57,R$36,gg,zcor)</f>
        <v>0.95700801561601911</v>
      </c>
      <c r="S57" s="1" cm="1">
        <f t="array" ref="S57">[1]!unf_pvt_Zgas_d($D57,S$36,gg,zcor)</f>
        <v>0.95620965431424465</v>
      </c>
      <c r="T57" s="1" cm="1">
        <f t="array" ref="T57">[1]!unf_pvt_Zgas_d($D57,T$36,gg,zcor)</f>
        <v>0.95589400879270059</v>
      </c>
      <c r="U57" s="1" cm="1">
        <f t="array" ref="U57">[1]!unf_pvt_Zgas_d($D57,U$36,gg,zcor)</f>
        <v>0.95604867096039914</v>
      </c>
      <c r="V57" s="1" cm="1">
        <f t="array" ref="V57">[1]!unf_pvt_Zgas_d($D57,V$36,gg,zcor)</f>
        <v>0.95665955952455994</v>
      </c>
      <c r="W57" s="1" cm="1">
        <f t="array" ref="W57">[1]!unf_pvt_Zgas_d($D57,W$36,gg,zcor)</f>
        <v>0.95771163095567002</v>
      </c>
      <c r="X57" s="1" cm="1">
        <f t="array" ref="X57">[1]!unf_pvt_Zgas_d($D57,X$36,gg,zcor)</f>
        <v>0.95918937020132911</v>
      </c>
      <c r="Y57" s="1" cm="1">
        <f t="array" ref="Y57">[1]!unf_pvt_Zgas_d($D57,Y$36,gg,zcor)</f>
        <v>0.96107711558514164</v>
      </c>
      <c r="Z57" s="1" cm="1">
        <f t="array" ref="Z57">[1]!unf_pvt_Zgas_d($D57,Z$36,gg,zcor)</f>
        <v>0.96335926387332005</v>
      </c>
      <c r="AA57" s="1" cm="1">
        <f t="array" ref="AA57">[1]!unf_pvt_Zgas_d($D57,AA$36,gg,zcor)</f>
        <v>0.96602039232950743</v>
      </c>
      <c r="AB57" s="1" cm="1">
        <f t="array" ref="AB57">[1]!unf_pvt_Zgas_d($D57,AB$36,gg,zcor)</f>
        <v>0.96904532594067927</v>
      </c>
      <c r="AC57" s="1" cm="1">
        <f t="array" ref="AC57">[1]!unf_pvt_Zgas_d($D57,AC$36,gg,zcor)</f>
        <v>0.97241917049969762</v>
      </c>
      <c r="AD57" s="1" cm="1">
        <f t="array" ref="AD57">[1]!unf_pvt_Zgas_d($D57,AD$36,gg,zcor)</f>
        <v>0.97612732609069586</v>
      </c>
      <c r="AE57" s="1" cm="1">
        <f t="array" ref="AE57">[1]!unf_pvt_Zgas_d($D57,AE$36,gg,zcor)</f>
        <v>0.98015549072407882</v>
      </c>
      <c r="AF57" s="1" cm="1">
        <f t="array" ref="AF57">[1]!unf_pvt_Zgas_d($D57,AF$36,gg,zcor)</f>
        <v>0.98448966026708185</v>
      </c>
      <c r="AG57" s="1" cm="1">
        <f t="array" ref="AG57">[1]!unf_pvt_Zgas_d($D57,AG$36,gg,zcor)</f>
        <v>0.98911612822058692</v>
      </c>
      <c r="AH57" s="1" cm="1">
        <f t="array" ref="AH57">[1]!unf_pvt_Zgas_d($D57,AH$36,gg,zcor)</f>
        <v>0.99402148710192317</v>
      </c>
      <c r="AI57" s="1" cm="1">
        <f t="array" ref="AI57">[1]!unf_pvt_Zgas_d($D57,AI$36,gg,zcor)</f>
        <v>0.99919263202036401</v>
      </c>
      <c r="AJ57" s="1" cm="1">
        <f t="array" ref="AJ57">[1]!unf_pvt_Zgas_d($D57,AJ$36,gg,zcor)</f>
        <v>1.0046167663165686</v>
      </c>
      <c r="AK57" s="1" cm="1">
        <f t="array" ref="AK57">[1]!unf_pvt_Zgas_d($D57,AK$36,gg,zcor)</f>
        <v>1.0102814087479526</v>
      </c>
    </row>
    <row r="58" spans="3:37" x14ac:dyDescent="0.3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[1]!unf_pvt_Zgas_d($D58,F$36,gg,zcor)</f>
        <v>0.9995389541985098</v>
      </c>
      <c r="G58" s="1" cm="1">
        <f t="array" ref="G58">[1]!unf_pvt_Zgas_d($D58,G$36,gg,zcor)</f>
        <v>0.99526604411885311</v>
      </c>
      <c r="H58" s="1" cm="1">
        <f t="array" ref="H58">[1]!unf_pvt_Zgas_d($D58,H$36,gg,zcor)</f>
        <v>0.99087868229308873</v>
      </c>
      <c r="I58" s="1" cm="1">
        <f t="array" ref="I58">[1]!unf_pvt_Zgas_d($D58,I$36,gg,zcor)</f>
        <v>0.98651485646988468</v>
      </c>
      <c r="J58" s="1" cm="1">
        <f t="array" ref="J58">[1]!unf_pvt_Zgas_d($D58,J$36,gg,zcor)</f>
        <v>0.98229502447766504</v>
      </c>
      <c r="K58" s="1" cm="1">
        <f t="array" ref="K58">[1]!unf_pvt_Zgas_d($D58,K$36,gg,zcor)</f>
        <v>0.97831997370411616</v>
      </c>
      <c r="L58" s="1" cm="1">
        <f t="array" ref="L58">[1]!unf_pvt_Zgas_d($D58,L$36,gg,zcor)</f>
        <v>0.9746698717922001</v>
      </c>
      <c r="M58" s="1" cm="1">
        <f t="array" ref="M58">[1]!unf_pvt_Zgas_d($D58,M$36,gg,zcor)</f>
        <v>0.97140497328950548</v>
      </c>
      <c r="N58" s="1" cm="1">
        <f t="array" ref="N58">[1]!unf_pvt_Zgas_d($D58,N$36,gg,zcor)</f>
        <v>0.96856755384663251</v>
      </c>
      <c r="O58" s="1" cm="1">
        <f t="array" ref="O58">[1]!unf_pvt_Zgas_d($D58,O$36,gg,zcor)</f>
        <v>0.96618454349549632</v>
      </c>
      <c r="P58" s="1" cm="1">
        <f t="array" ref="P58">[1]!unf_pvt_Zgas_d($D58,P$36,gg,zcor)</f>
        <v>0.96427040205621428</v>
      </c>
      <c r="Q58" s="1" cm="1">
        <f t="array" ref="Q58">[1]!unf_pvt_Zgas_d($D58,Q$36,gg,zcor)</f>
        <v>0.96282990418690229</v>
      </c>
      <c r="R58" s="1" cm="1">
        <f t="array" ref="R58">[1]!unf_pvt_Zgas_d($D58,R$36,gg,zcor)</f>
        <v>0.96186062834316621</v>
      </c>
      <c r="S58" s="1" cm="1">
        <f t="array" ref="S58">[1]!unf_pvt_Zgas_d($D58,S$36,gg,zcor)</f>
        <v>0.96135504945164674</v>
      </c>
      <c r="T58" s="1" cm="1">
        <f t="array" ref="T58">[1]!unf_pvt_Zgas_d($D58,T$36,gg,zcor)</f>
        <v>0.96130221169711561</v>
      </c>
      <c r="U58" s="1" cm="1">
        <f t="array" ref="U58">[1]!unf_pvt_Zgas_d($D58,U$36,gg,zcor)</f>
        <v>0.96168900665830925</v>
      </c>
      <c r="V58" s="1" cm="1">
        <f t="array" ref="V58">[1]!unf_pvt_Zgas_d($D58,V$36,gg,zcor)</f>
        <v>0.96250110838758385</v>
      </c>
      <c r="W58" s="1" cm="1">
        <f t="array" ref="W58">[1]!unf_pvt_Zgas_d($D58,W$36,gg,zcor)</f>
        <v>0.9637236272458537</v>
      </c>
      <c r="X58" s="1" cm="1">
        <f t="array" ref="X58">[1]!unf_pvt_Zgas_d($D58,X$36,gg,zcor)</f>
        <v>0.96534154412783313</v>
      </c>
      <c r="Y58" s="1" cm="1">
        <f t="array" ref="Y58">[1]!unf_pvt_Zgas_d($D58,Y$36,gg,zcor)</f>
        <v>0.96733998065806559</v>
      </c>
      <c r="Z58" s="1" cm="1">
        <f t="array" ref="Z58">[1]!unf_pvt_Zgas_d($D58,Z$36,gg,zcor)</f>
        <v>0.96970435219920403</v>
      </c>
      <c r="AA58" s="1" cm="1">
        <f t="array" ref="AA58">[1]!unf_pvt_Zgas_d($D58,AA$36,gg,zcor)</f>
        <v>0.97242044114835169</v>
      </c>
      <c r="AB58" s="1" cm="1">
        <f t="array" ref="AB58">[1]!unf_pvt_Zgas_d($D58,AB$36,gg,zcor)</f>
        <v>0.97547441919888433</v>
      </c>
      <c r="AC58" s="1" cm="1">
        <f t="array" ref="AC58">[1]!unf_pvt_Zgas_d($D58,AC$36,gg,zcor)</f>
        <v>0.978852839607256</v>
      </c>
      <c r="AD58" s="1" cm="1">
        <f t="array" ref="AD58">[1]!unf_pvt_Zgas_d($D58,AD$36,gg,zcor)</f>
        <v>0.98254261423391898</v>
      </c>
      <c r="AE58" s="1" cm="1">
        <f t="array" ref="AE58">[1]!unf_pvt_Zgas_d($D58,AE$36,gg,zcor)</f>
        <v>0.98653098520411042</v>
      </c>
      <c r="AF58" s="1" cm="1">
        <f t="array" ref="AF58">[1]!unf_pvt_Zgas_d($D58,AF$36,gg,zcor)</f>
        <v>0.99080549731816747</v>
      </c>
      <c r="AG58" s="1" cm="1">
        <f t="array" ref="AG58">[1]!unf_pvt_Zgas_d($D58,AG$36,gg,zcor)</f>
        <v>0.99535397464254738</v>
      </c>
      <c r="AH58" s="1" cm="1">
        <f t="array" ref="AH58">[1]!unf_pvt_Zgas_d($D58,AH$36,gg,zcor)</f>
        <v>1.0001645028338775</v>
      </c>
      <c r="AI58" s="1" cm="1">
        <f t="array" ref="AI58">[1]!unf_pvt_Zgas_d($D58,AI$36,gg,zcor)</f>
        <v>1.0052254175050954</v>
      </c>
      <c r="AJ58" s="1" cm="1">
        <f t="array" ref="AJ58">[1]!unf_pvt_Zgas_d($D58,AJ$36,gg,zcor)</f>
        <v>1.0105252981756596</v>
      </c>
      <c r="AK58" s="1" cm="1">
        <f t="array" ref="AK58">[1]!unf_pvt_Zgas_d($D58,AK$36,gg,zcor)</f>
        <v>1.0160529669252518</v>
      </c>
    </row>
    <row r="59" spans="3:37" x14ac:dyDescent="0.3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3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3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3">
      <c r="E62" t="str">
        <f t="shared" ref="E62:E82" si="3">E38</f>
        <v>t=0 C</v>
      </c>
      <c r="F62" s="1" cm="1">
        <f t="array" ref="F62">[1]!unf_pvt_dZdt($D38,F$36,gg,zcor)*100</f>
        <v>4.4312050713202211E-3</v>
      </c>
      <c r="G62" s="1" cm="1">
        <f t="array" ref="G62">[1]!unf_pvt_dZdt($D38,G$36,gg,zcor)*100</f>
        <v>4.4878724845487383E-2</v>
      </c>
      <c r="H62" s="1" cm="1">
        <f t="array" ref="H62">[1]!unf_pvt_dZdt($D38,H$36,gg,zcor)*100</f>
        <v>9.1788957602756405E-2</v>
      </c>
      <c r="I62" s="1" cm="1">
        <f t="array" ref="I62">[1]!unf_pvt_dZdt($D38,I$36,gg,zcor)*100</f>
        <v>0.14877913690658495</v>
      </c>
      <c r="J62" s="1" cm="1">
        <f t="array" ref="J62">[1]!unf_pvt_dZdt($D38,J$36,gg,zcor)*100</f>
        <v>0.21463486265271836</v>
      </c>
      <c r="K62" s="1" cm="1">
        <f t="array" ref="K62">[1]!unf_pvt_dZdt($D38,K$36,gg,zcor)*100</f>
        <v>0.28417986452811128</v>
      </c>
      <c r="L62" s="1" cm="1">
        <f t="array" ref="L62">[1]!unf_pvt_dZdt($D38,L$36,gg,zcor)*100</f>
        <v>0.35023806492995302</v>
      </c>
      <c r="M62" s="1" cm="1">
        <f t="array" ref="M62">[1]!unf_pvt_dZdt($D38,M$36,gg,zcor)*100</f>
        <v>0.40620387843848249</v>
      </c>
      <c r="N62" s="1" cm="1">
        <f t="array" ref="N62">[1]!unf_pvt_dZdt($D38,N$36,gg,zcor)*100</f>
        <v>0.44797327381962404</v>
      </c>
      <c r="O62" s="1" cm="1">
        <f t="array" ref="O62">[1]!unf_pvt_dZdt($D38,O$36,gg,zcor)*100</f>
        <v>0.47444617040615089</v>
      </c>
      <c r="P62" s="1" cm="1">
        <f t="array" ref="P62">[1]!unf_pvt_dZdt($D38,P$36,gg,zcor)*100</f>
        <v>0.4868240623771003</v>
      </c>
      <c r="Q62" s="1" cm="1">
        <f t="array" ref="Q62">[1]!unf_pvt_dZdt($D38,Q$36,gg,zcor)*100</f>
        <v>0.48748479379934206</v>
      </c>
      <c r="R62" s="1" cm="1">
        <f t="array" ref="R62">[1]!unf_pvt_dZdt($D38,R$36,gg,zcor)*100</f>
        <v>0.47907003551417304</v>
      </c>
      <c r="S62" s="1" cm="1">
        <f t="array" ref="S62">[1]!unf_pvt_dZdt($D38,S$36,gg,zcor)*100</f>
        <v>0.4639924129988815</v>
      </c>
      <c r="T62" s="1" cm="1">
        <f t="array" ref="T62">[1]!unf_pvt_dZdt($D38,T$36,gg,zcor)*100</f>
        <v>0.44427046134132286</v>
      </c>
      <c r="U62" s="1" cm="1">
        <f t="array" ref="U62">[1]!unf_pvt_dZdt($D38,U$36,gg,zcor)*100</f>
        <v>0.42152654258842404</v>
      </c>
      <c r="V62" s="1" cm="1">
        <f t="array" ref="V62">[1]!unf_pvt_dZdt($D38,V$36,gg,zcor)*100</f>
        <v>0.39703452760142532</v>
      </c>
      <c r="W62" s="1" cm="1">
        <f t="array" ref="W62">[1]!unf_pvt_dZdt($D38,W$36,gg,zcor)*100</f>
        <v>0.37177082109063342</v>
      </c>
      <c r="X62" s="1" cm="1">
        <f t="array" ref="X62">[1]!unf_pvt_dZdt($D38,X$36,gg,zcor)*100</f>
        <v>0.34645975336777823</v>
      </c>
      <c r="Y62" s="1" cm="1">
        <f t="array" ref="Y62">[1]!unf_pvt_dZdt($D38,Y$36,gg,zcor)*100</f>
        <v>0.32161536578023675</v>
      </c>
      <c r="Z62" s="1" cm="1">
        <f t="array" ref="Z62">[1]!unf_pvt_dZdt($D38,Z$36,gg,zcor)*100</f>
        <v>0.29758115111366834</v>
      </c>
      <c r="AA62" s="1" cm="1">
        <f t="array" ref="AA62">[1]!unf_pvt_dZdt($D38,AA$36,gg,zcor)*100</f>
        <v>0.2745671277016859</v>
      </c>
      <c r="AB62" s="1" cm="1">
        <f t="array" ref="AB62">[1]!unf_pvt_dZdt($D38,AB$36,gg,zcor)*100</f>
        <v>0.25268280415757793</v>
      </c>
      <c r="AC62" s="1" cm="1">
        <f t="array" ref="AC62">[1]!unf_pvt_dZdt($D38,AC$36,gg,zcor)*100</f>
        <v>0.23196497007083039</v>
      </c>
      <c r="AD62" s="1" cm="1">
        <f t="array" ref="AD62">[1]!unf_pvt_dZdt($D38,AD$36,gg,zcor)*100</f>
        <v>0.21240001795475028</v>
      </c>
      <c r="AE62" s="1" cm="1">
        <f t="array" ref="AE62">[1]!unf_pvt_dZdt($D38,AE$36,gg,zcor)*100</f>
        <v>0.19394114791149164</v>
      </c>
      <c r="AF62" s="1" cm="1">
        <f t="array" ref="AF62">[1]!unf_pvt_dZdt($D38,AF$36,gg,zcor)*100</f>
        <v>0.1765211717705828</v>
      </c>
      <c r="AG62" s="1" cm="1">
        <f t="array" ref="AG62">[1]!unf_pvt_dZdt($D38,AG$36,gg,zcor)*100</f>
        <v>0.16006175290883551</v>
      </c>
      <c r="AH62" s="1" cm="1">
        <f t="array" ref="AH62">[1]!unf_pvt_dZdt($D38,AH$36,gg,zcor)*100</f>
        <v>0.1444798819491</v>
      </c>
      <c r="AI62" s="1" cm="1">
        <f t="array" ref="AI62">[1]!unf_pvt_dZdt($D38,AI$36,gg,zcor)*100</f>
        <v>0.12969227762493762</v>
      </c>
      <c r="AJ62" s="1" cm="1">
        <f t="array" ref="AJ62">[1]!unf_pvt_dZdt($D38,AJ$36,gg,zcor)*100</f>
        <v>0.11561826940165165</v>
      </c>
      <c r="AK62" s="1" cm="1">
        <f t="array" ref="AK62">[1]!unf_pvt_dZdt($D38,AK$36,gg,zcor)*100</f>
        <v>0.10218159239405722</v>
      </c>
    </row>
    <row r="63" spans="3:37" x14ac:dyDescent="0.3">
      <c r="E63" t="str">
        <f t="shared" si="3"/>
        <v>t=10 C</v>
      </c>
      <c r="F63" s="1" cm="1">
        <f t="array" ref="F63">[1]!unf_pvt_dZdt($D39,F$36,gg,zcor)*100</f>
        <v>3.75084483505983E-3</v>
      </c>
      <c r="G63" s="1" cm="1">
        <f t="array" ref="G63">[1]!unf_pvt_dZdt($D39,G$36,gg,zcor)*100</f>
        <v>3.7942633091536671E-2</v>
      </c>
      <c r="H63" s="1" cm="1">
        <f t="array" ref="H63">[1]!unf_pvt_dZdt($D39,H$36,gg,zcor)*100</f>
        <v>7.6887031563610542E-2</v>
      </c>
      <c r="I63" s="1" cm="1">
        <f t="array" ref="I63">[1]!unf_pvt_dZdt($D39,I$36,gg,zcor)*100</f>
        <v>0.12336743766394598</v>
      </c>
      <c r="J63" s="1" cm="1">
        <f t="array" ref="J63">[1]!unf_pvt_dZdt($D39,J$36,gg,zcor)*100</f>
        <v>0.17682108961092347</v>
      </c>
      <c r="K63" s="1" cm="1">
        <f t="array" ref="K63">[1]!unf_pvt_dZdt($D39,K$36,gg,zcor)*100</f>
        <v>0.23391435554442896</v>
      </c>
      <c r="L63" s="1" cm="1">
        <f t="array" ref="L63">[1]!unf_pvt_dZdt($D39,L$36,gg,zcor)*100</f>
        <v>0.28972472638666424</v>
      </c>
      <c r="M63" s="1" cm="1">
        <f t="array" ref="M63">[1]!unf_pvt_dZdt($D39,M$36,gg,zcor)*100</f>
        <v>0.33932143657233738</v>
      </c>
      <c r="N63" s="1" cm="1">
        <f t="array" ref="N63">[1]!unf_pvt_dZdt($D39,N$36,gg,zcor)*100</f>
        <v>0.37910248358297149</v>
      </c>
      <c r="O63" s="1" cm="1">
        <f t="array" ref="O63">[1]!unf_pvt_dZdt($D39,O$36,gg,zcor)*100</f>
        <v>0.40738759868308438</v>
      </c>
      <c r="P63" s="1" cm="1">
        <f t="array" ref="P63">[1]!unf_pvt_dZdt($D39,P$36,gg,zcor)*100</f>
        <v>0.42424900318138725</v>
      </c>
      <c r="Q63" s="1" cm="1">
        <f t="array" ref="Q63">[1]!unf_pvt_dZdt($D39,Q$36,gg,zcor)*100</f>
        <v>0.4309239856657987</v>
      </c>
      <c r="R63" s="1" cm="1">
        <f t="array" ref="R63">[1]!unf_pvt_dZdt($D39,R$36,gg,zcor)*100</f>
        <v>0.42918940900749103</v>
      </c>
      <c r="S63" s="1" cm="1">
        <f t="array" ref="S63">[1]!unf_pvt_dZdt($D39,S$36,gg,zcor)*100</f>
        <v>0.42090858786125729</v>
      </c>
      <c r="T63" s="1" cm="1">
        <f t="array" ref="T63">[1]!unf_pvt_dZdt($D39,T$36,gg,zcor)*100</f>
        <v>0.40778414564790477</v>
      </c>
      <c r="U63" s="1" cm="1">
        <f t="array" ref="U63">[1]!unf_pvt_dZdt($D39,U$36,gg,zcor)*100</f>
        <v>0.39126112403864433</v>
      </c>
      <c r="V63" s="1" cm="1">
        <f t="array" ref="V63">[1]!unf_pvt_dZdt($D39,V$36,gg,zcor)*100</f>
        <v>0.37251255827919216</v>
      </c>
      <c r="W63" s="1" cm="1">
        <f t="array" ref="W63">[1]!unf_pvt_dZdt($D39,W$36,gg,zcor)*100</f>
        <v>0.35246076894768219</v>
      </c>
      <c r="X63" s="1" cm="1">
        <f t="array" ref="X63">[1]!unf_pvt_dZdt($D39,X$36,gg,zcor)*100</f>
        <v>0.33181043303343039</v>
      </c>
      <c r="Y63" s="1" cm="1">
        <f t="array" ref="Y63">[1]!unf_pvt_dZdt($D39,Y$36,gg,zcor)*100</f>
        <v>0.31108355015008193</v>
      </c>
      <c r="Z63" s="1" cm="1">
        <f t="array" ref="Z63">[1]!unf_pvt_dZdt($D39,Z$36,gg,zcor)*100</f>
        <v>0.29065271607264798</v>
      </c>
      <c r="AA63" s="1" cm="1">
        <f t="array" ref="AA63">[1]!unf_pvt_dZdt($D39,AA$36,gg,zcor)*100</f>
        <v>0.27077132860364728</v>
      </c>
      <c r="AB63" s="1" cm="1">
        <f t="array" ref="AB63">[1]!unf_pvt_dZdt($D39,AB$36,gg,zcor)*100</f>
        <v>0.25160007521629613</v>
      </c>
      <c r="AC63" s="1" cm="1">
        <f t="array" ref="AC63">[1]!unf_pvt_dZdt($D39,AC$36,gg,zcor)*100</f>
        <v>0.23322941844305944</v>
      </c>
      <c r="AD63" s="1" cm="1">
        <f t="array" ref="AD63">[1]!unf_pvt_dZdt($D39,AD$36,gg,zcor)*100</f>
        <v>0.21569810094956843</v>
      </c>
      <c r="AE63" s="1" cm="1">
        <f t="array" ref="AE63">[1]!unf_pvt_dZdt($D39,AE$36,gg,zcor)*100</f>
        <v>0.1990079438447534</v>
      </c>
      <c r="AF63" s="1" cm="1">
        <f t="array" ref="AF63">[1]!unf_pvt_dZdt($D39,AF$36,gg,zcor)*100</f>
        <v>0.18313537669467639</v>
      </c>
      <c r="AG63" s="1" cm="1">
        <f t="array" ref="AG63">[1]!unf_pvt_dZdt($D39,AG$36,gg,zcor)*100</f>
        <v>0.16804021119287693</v>
      </c>
      <c r="AH63" s="1" cm="1">
        <f t="array" ref="AH63">[1]!unf_pvt_dZdt($D39,AH$36,gg,zcor)*100</f>
        <v>0.15367217186856852</v>
      </c>
      <c r="AI63" s="1" cm="1">
        <f t="array" ref="AI63">[1]!unf_pvt_dZdt($D39,AI$36,gg,zcor)*100</f>
        <v>0.13997565331236306</v>
      </c>
      <c r="AJ63" s="1" cm="1">
        <f t="array" ref="AJ63">[1]!unf_pvt_dZdt($D39,AJ$36,gg,zcor)*100</f>
        <v>0.12689310753555283</v>
      </c>
      <c r="AK63" s="1" cm="1">
        <f t="array" ref="AK63">[1]!unf_pvt_dZdt($D39,AK$36,gg,zcor)*100</f>
        <v>0.11436739366210702</v>
      </c>
    </row>
    <row r="64" spans="3:37" x14ac:dyDescent="0.3">
      <c r="E64" t="str">
        <f t="shared" si="3"/>
        <v>t=20 C</v>
      </c>
      <c r="F64" s="1" cm="1">
        <f t="array" ref="F64">[1]!unf_pvt_dZdt($D40,F$36,gg,zcor)*100</f>
        <v>3.1967449832803752E-3</v>
      </c>
      <c r="G64" s="1" cm="1">
        <f t="array" ref="G64">[1]!unf_pvt_dZdt($D40,G$36,gg,zcor)*100</f>
        <v>3.2314921277531994E-2</v>
      </c>
      <c r="H64" s="1" cm="1">
        <f t="array" ref="H64">[1]!unf_pvt_dZdt($D40,H$36,gg,zcor)*100</f>
        <v>6.4971982277839402E-2</v>
      </c>
      <c r="I64" s="1" cm="1">
        <f t="array" ref="I64">[1]!unf_pvt_dZdt($D40,I$36,gg,zcor)*100</f>
        <v>0.10330196692909244</v>
      </c>
      <c r="J64" s="1" cm="1">
        <f t="array" ref="J64">[1]!unf_pvt_dZdt($D40,J$36,gg,zcor)*100</f>
        <v>0.14708596286094888</v>
      </c>
      <c r="K64" s="1" cm="1">
        <f t="array" ref="K64">[1]!unf_pvt_dZdt($D40,K$36,gg,zcor)*100</f>
        <v>0.19414237396553347</v>
      </c>
      <c r="L64" s="1" cm="1">
        <f t="array" ref="L64">[1]!unf_pvt_dZdt($D40,L$36,gg,zcor)*100</f>
        <v>0.2410675349483471</v>
      </c>
      <c r="M64" s="1" cm="1">
        <f t="array" ref="M64">[1]!unf_pvt_dZdt($D40,M$36,gg,zcor)*100</f>
        <v>0.28422945825135049</v>
      </c>
      <c r="N64" s="1" cm="1">
        <f t="array" ref="N64">[1]!unf_pvt_dZdt($D40,N$36,gg,zcor)*100</f>
        <v>0.32067554556480804</v>
      </c>
      <c r="O64" s="1" cm="1">
        <f t="array" ref="O64">[1]!unf_pvt_dZdt($D40,O$36,gg,zcor)*100</f>
        <v>0.34865070577894119</v>
      </c>
      <c r="P64" s="1" cm="1">
        <f t="array" ref="P64">[1]!unf_pvt_dZdt($D40,P$36,gg,zcor)*100</f>
        <v>0.36765130353977327</v>
      </c>
      <c r="Q64" s="1" cm="1">
        <f t="array" ref="Q64">[1]!unf_pvt_dZdt($D40,Q$36,gg,zcor)*100</f>
        <v>0.37815433351573446</v>
      </c>
      <c r="R64" s="1" cm="1">
        <f t="array" ref="R64">[1]!unf_pvt_dZdt($D40,R$36,gg,zcor)*100</f>
        <v>0.38123162000069932</v>
      </c>
      <c r="S64" s="1" cm="1">
        <f t="array" ref="S64">[1]!unf_pvt_dZdt($D40,S$36,gg,zcor)*100</f>
        <v>0.37820533189070193</v>
      </c>
      <c r="T64" s="1" cm="1">
        <f t="array" ref="T64">[1]!unf_pvt_dZdt($D40,T$36,gg,zcor)*100</f>
        <v>0.37040999558035637</v>
      </c>
      <c r="U64" s="1" cm="1">
        <f t="array" ref="U64">[1]!unf_pvt_dZdt($D40,U$36,gg,zcor)*100</f>
        <v>0.35905963706006627</v>
      </c>
      <c r="V64" s="1" cm="1">
        <f t="array" ref="V64">[1]!unf_pvt_dZdt($D40,V$36,gg,zcor)*100</f>
        <v>0.34519097035556889</v>
      </c>
      <c r="W64" s="1" cm="1">
        <f t="array" ref="W64">[1]!unf_pvt_dZdt($D40,W$36,gg,zcor)*100</f>
        <v>0.32965197091994192</v>
      </c>
      <c r="X64" s="1" cm="1">
        <f t="array" ref="X64">[1]!unf_pvt_dZdt($D40,X$36,gg,zcor)*100</f>
        <v>0.31311362611419202</v>
      </c>
      <c r="Y64" s="1" cm="1">
        <f t="array" ref="Y64">[1]!unf_pvt_dZdt($D40,Y$36,gg,zcor)*100</f>
        <v>0.2960915826766275</v>
      </c>
      <c r="Z64" s="1" cm="1">
        <f t="array" ref="Z64">[1]!unf_pvt_dZdt($D40,Z$36,gg,zcor)*100</f>
        <v>0.27897063397552824</v>
      </c>
      <c r="AA64" s="1" cm="1">
        <f t="array" ref="AA64">[1]!unf_pvt_dZdt($D40,AA$36,gg,zcor)*100</f>
        <v>0.26202857234025601</v>
      </c>
      <c r="AB64" s="1" cm="1">
        <f t="array" ref="AB64">[1]!unf_pvt_dZdt($D40,AB$36,gg,zcor)*100</f>
        <v>0.24545780724660737</v>
      </c>
      <c r="AC64" s="1" cm="1">
        <f t="array" ref="AC64">[1]!unf_pvt_dZdt($D40,AC$36,gg,zcor)*100</f>
        <v>0.22938411085671184</v>
      </c>
      <c r="AD64" s="1" cm="1">
        <f t="array" ref="AD64">[1]!unf_pvt_dZdt($D40,AD$36,gg,zcor)*100</f>
        <v>0.21388235949604262</v>
      </c>
      <c r="AE64" s="1" cm="1">
        <f t="array" ref="AE64">[1]!unf_pvt_dZdt($D40,AE$36,gg,zcor)*100</f>
        <v>0.19898941568219364</v>
      </c>
      <c r="AF64" s="1" cm="1">
        <f t="array" ref="AF64">[1]!unf_pvt_dZdt($D40,AF$36,gg,zcor)*100</f>
        <v>0.18471444067968967</v>
      </c>
      <c r="AG64" s="1" cm="1">
        <f t="array" ref="AG64">[1]!unf_pvt_dZdt($D40,AG$36,gg,zcor)*100</f>
        <v>0.17104699106840204</v>
      </c>
      <c r="AH64" s="1" cm="1">
        <f t="array" ref="AH64">[1]!unf_pvt_dZdt($D40,AH$36,gg,zcor)*100</f>
        <v>0.15796326373251901</v>
      </c>
      <c r="AI64" s="1" cm="1">
        <f t="array" ref="AI64">[1]!unf_pvt_dZdt($D40,AI$36,gg,zcor)*100</f>
        <v>0.14543083251306044</v>
      </c>
      <c r="AJ64" s="1" cm="1">
        <f t="array" ref="AJ64">[1]!unf_pvt_dZdt($D40,AJ$36,gg,zcor)*100</f>
        <v>0.13341218148155143</v>
      </c>
      <c r="AK64" s="1" cm="1">
        <f t="array" ref="AK64">[1]!unf_pvt_dZdt($D40,AK$36,gg,zcor)*100</f>
        <v>0.12186729475838209</v>
      </c>
    </row>
    <row r="65" spans="5:37" x14ac:dyDescent="0.3">
      <c r="E65" t="str">
        <f t="shared" si="3"/>
        <v>t=30 C</v>
      </c>
      <c r="F65" s="1" cm="1">
        <f t="array" ref="F65">[1]!unf_pvt_dZdt($D41,F$36,gg,zcor)*100</f>
        <v>2.7425760861232718E-3</v>
      </c>
      <c r="G65" s="1" cm="1">
        <f t="array" ref="G65">[1]!unf_pvt_dZdt($D41,G$36,gg,zcor)*100</f>
        <v>2.7715471259792679E-2</v>
      </c>
      <c r="H65" s="1" cm="1">
        <f t="array" ref="H65">[1]!unf_pvt_dZdt($D41,H$36,gg,zcor)*100</f>
        <v>5.5356840384823691E-2</v>
      </c>
      <c r="I65" s="1" cm="1">
        <f t="array" ref="I65">[1]!unf_pvt_dZdt($D41,I$36,gg,zcor)*100</f>
        <v>8.7298195886265084E-2</v>
      </c>
      <c r="J65" s="1" cm="1">
        <f t="array" ref="J65">[1]!unf_pvt_dZdt($D41,J$36,gg,zcor)*100</f>
        <v>0.12349537251532539</v>
      </c>
      <c r="K65" s="1" cm="1">
        <f t="array" ref="K65">[1]!unf_pvt_dZdt($D41,K$36,gg,zcor)*100</f>
        <v>0.16249729221440301</v>
      </c>
      <c r="L65" s="1" cm="1">
        <f t="array" ref="L65">[1]!unf_pvt_dZdt($D41,L$36,gg,zcor)*100</f>
        <v>0.20192628300108595</v>
      </c>
      <c r="M65" s="1" cm="1">
        <f t="array" ref="M65">[1]!unf_pvt_dZdt($D41,M$36,gg,zcor)*100</f>
        <v>0.23911806118026568</v>
      </c>
      <c r="N65" s="1" cm="1">
        <f t="array" ref="N65">[1]!unf_pvt_dZdt($D41,N$36,gg,zcor)*100</f>
        <v>0.27173605142227775</v>
      </c>
      <c r="O65" s="1" cm="1">
        <f t="array" ref="O65">[1]!unf_pvt_dZdt($D41,O$36,gg,zcor)*100</f>
        <v>0.29817836568113432</v>
      </c>
      <c r="P65" s="1" cm="1">
        <f t="array" ref="P65">[1]!unf_pvt_dZdt($D41,P$36,gg,zcor)*100</f>
        <v>0.31770588571655711</v>
      </c>
      <c r="Q65" s="1" cm="1">
        <f t="array" ref="Q65">[1]!unf_pvt_dZdt($D41,Q$36,gg,zcor)*100</f>
        <v>0.33034127835851468</v>
      </c>
      <c r="R65" s="1" cm="1">
        <f t="array" ref="R65">[1]!unf_pvt_dZdt($D41,R$36,gg,zcor)*100</f>
        <v>0.33664909897546114</v>
      </c>
      <c r="S65" s="1" cm="1">
        <f t="array" ref="S65">[1]!unf_pvt_dZdt($D41,S$36,gg,zcor)*100</f>
        <v>0.33749920785197673</v>
      </c>
      <c r="T65" s="1" cm="1">
        <f t="array" ref="T65">[1]!unf_pvt_dZdt($D41,T$36,gg,zcor)*100</f>
        <v>0.33387378992899563</v>
      </c>
      <c r="U65" s="1" cm="1">
        <f t="array" ref="U65">[1]!unf_pvt_dZdt($D41,U$36,gg,zcor)*100</f>
        <v>0.32673695454688012</v>
      </c>
      <c r="V65" s="1" cm="1">
        <f t="array" ref="V65">[1]!unf_pvt_dZdt($D41,V$36,gg,zcor)*100</f>
        <v>0.31696080177268104</v>
      </c>
      <c r="W65" s="1" cm="1">
        <f t="array" ref="W65">[1]!unf_pvt_dZdt($D41,W$36,gg,zcor)*100</f>
        <v>0.30529259654299423</v>
      </c>
      <c r="X65" s="1" cm="1">
        <f t="array" ref="X65">[1]!unf_pvt_dZdt($D41,X$36,gg,zcor)*100</f>
        <v>0.29234784258536095</v>
      </c>
      <c r="Y65" s="1" cm="1">
        <f t="array" ref="Y65">[1]!unf_pvt_dZdt($D41,Y$36,gg,zcor)*100</f>
        <v>0.27861774117643456</v>
      </c>
      <c r="Z65" s="1" cm="1">
        <f t="array" ref="Z65">[1]!unf_pvt_dZdt($D41,Z$36,gg,zcor)*100</f>
        <v>0.26448348359398022</v>
      </c>
      <c r="AA65" s="1" cm="1">
        <f t="array" ref="AA65">[1]!unf_pvt_dZdt($D41,AA$36,gg,zcor)*100</f>
        <v>0.25023287461234389</v>
      </c>
      <c r="AB65" s="1" cm="1">
        <f t="array" ref="AB65">[1]!unf_pvt_dZdt($D41,AB$36,gg,zcor)*100</f>
        <v>0.23607680336135139</v>
      </c>
      <c r="AC65" s="1" cm="1">
        <f t="array" ref="AC65">[1]!unf_pvt_dZdt($D41,AC$36,gg,zcor)*100</f>
        <v>0.22216431152954907</v>
      </c>
      <c r="AD65" s="1" cm="1">
        <f t="array" ref="AD65">[1]!unf_pvt_dZdt($D41,AD$36,gg,zcor)*100</f>
        <v>0.20859572844356133</v>
      </c>
      <c r="AE65" s="1" cm="1">
        <f t="array" ref="AE65">[1]!unf_pvt_dZdt($D41,AE$36,gg,zcor)*100</f>
        <v>0.19543374805663927</v>
      </c>
      <c r="AF65" s="1" cm="1">
        <f t="array" ref="AF65">[1]!unf_pvt_dZdt($D41,AF$36,gg,zcor)*100</f>
        <v>0.18271254121449143</v>
      </c>
      <c r="AG65" s="1" cm="1">
        <f t="array" ref="AG65">[1]!unf_pvt_dZdt($D41,AG$36,gg,zcor)*100</f>
        <v>0.17044510391228673</v>
      </c>
      <c r="AH65" s="1" cm="1">
        <f t="array" ref="AH65">[1]!unf_pvt_dZdt($D41,AH$36,gg,zcor)*100</f>
        <v>0.15862908406305554</v>
      </c>
      <c r="AI65" s="1" cm="1">
        <f t="array" ref="AI65">[1]!unf_pvt_dZdt($D41,AI$36,gg,zcor)*100</f>
        <v>0.14725133331405793</v>
      </c>
      <c r="AJ65" s="1" cm="1">
        <f t="array" ref="AJ65">[1]!unf_pvt_dZdt($D41,AJ$36,gg,zcor)*100</f>
        <v>0.13629141380411269</v>
      </c>
      <c r="AK65" s="1" cm="1">
        <f t="array" ref="AK65">[1]!unf_pvt_dZdt($D41,AK$36,gg,zcor)*100</f>
        <v>0.12572426331525222</v>
      </c>
    </row>
    <row r="66" spans="5:37" x14ac:dyDescent="0.3">
      <c r="E66" t="str">
        <f t="shared" si="3"/>
        <v>t=40 C</v>
      </c>
      <c r="F66" s="1" cm="1">
        <f t="array" ref="F66">[1]!unf_pvt_dZdt($D42,F$36,gg,zcor)*100</f>
        <v>2.3677914818831525E-3</v>
      </c>
      <c r="G66" s="1" cm="1">
        <f t="array" ref="G66">[1]!unf_pvt_dZdt($D42,G$36,gg,zcor)*100</f>
        <v>2.3928412991258696E-2</v>
      </c>
      <c r="H66" s="1" cm="1">
        <f t="array" ref="H66">[1]!unf_pvt_dZdt($D42,H$36,gg,zcor)*100</f>
        <v>4.7527302328487231E-2</v>
      </c>
      <c r="I66" s="1" cm="1">
        <f t="array" ref="I66">[1]!unf_pvt_dZdt($D42,I$36,gg,zcor)*100</f>
        <v>7.4407982037505427E-2</v>
      </c>
      <c r="J66" s="1" cm="1">
        <f t="array" ref="J66">[1]!unf_pvt_dZdt($D42,J$36,gg,zcor)*100</f>
        <v>0.10460798485589784</v>
      </c>
      <c r="K66" s="1" cm="1">
        <f t="array" ref="K66">[1]!unf_pvt_dZdt($D42,K$36,gg,zcor)*100</f>
        <v>0.13714563441535876</v>
      </c>
      <c r="L66" s="1" cm="1">
        <f t="array" ref="L66">[1]!unf_pvt_dZdt($D42,L$36,gg,zcor)*100</f>
        <v>0.17034072400734512</v>
      </c>
      <c r="M66" s="1" cm="1">
        <f t="array" ref="M66">[1]!unf_pvt_dZdt($D42,M$36,gg,zcor)*100</f>
        <v>0.20223660455664927</v>
      </c>
      <c r="N66" s="1" cm="1">
        <f t="array" ref="N66">[1]!unf_pvt_dZdt($D42,N$36,gg,zcor)*100</f>
        <v>0.23101818983806144</v>
      </c>
      <c r="O66" s="1" cm="1">
        <f t="array" ref="O66">[1]!unf_pvt_dZdt($D42,O$36,gg,zcor)*100</f>
        <v>0.25531679067325452</v>
      </c>
      <c r="P66" s="1" cm="1">
        <f t="array" ref="P66">[1]!unf_pvt_dZdt($D42,P$36,gg,zcor)*100</f>
        <v>0.27434711343532481</v>
      </c>
      <c r="Q66" s="1" cm="1">
        <f t="array" ref="Q66">[1]!unf_pvt_dZdt($D42,Q$36,gg,zcor)*100</f>
        <v>0.28788975089244495</v>
      </c>
      <c r="R66" s="1" cm="1">
        <f t="array" ref="R66">[1]!unf_pvt_dZdt($D42,R$36,gg,zcor)*100</f>
        <v>0.29617511542434638</v>
      </c>
      <c r="S66" s="1" cm="1">
        <f t="array" ref="S66">[1]!unf_pvt_dZdt($D42,S$36,gg,zcor)*100</f>
        <v>0.2997314264703288</v>
      </c>
      <c r="T66" s="1" cm="1">
        <f t="array" ref="T66">[1]!unf_pvt_dZdt($D42,T$36,gg,zcor)*100</f>
        <v>0.29924235346290295</v>
      </c>
      <c r="U66" s="1" cm="1">
        <f t="array" ref="U66">[1]!unf_pvt_dZdt($D42,U$36,gg,zcor)*100</f>
        <v>0.29543683868682447</v>
      </c>
      <c r="V66" s="1" cm="1">
        <f t="array" ref="V66">[1]!unf_pvt_dZdt($D42,V$36,gg,zcor)*100</f>
        <v>0.28901567542050088</v>
      </c>
      <c r="W66" s="1" cm="1">
        <f t="array" ref="W66">[1]!unf_pvt_dZdt($D42,W$36,gg,zcor)*100</f>
        <v>0.28060964989273796</v>
      </c>
      <c r="X66" s="1" cm="1">
        <f t="array" ref="X66">[1]!unf_pvt_dZdt($D42,X$36,gg,zcor)*100</f>
        <v>0.27076079755883331</v>
      </c>
      <c r="Y66" s="1" cm="1">
        <f t="array" ref="Y66">[1]!unf_pvt_dZdt($D42,Y$36,gg,zcor)*100</f>
        <v>0.25991871033603786</v>
      </c>
      <c r="Z66" s="1" cm="1">
        <f t="array" ref="Z66">[1]!unf_pvt_dZdt($D42,Z$36,gg,zcor)*100</f>
        <v>0.24844561572923141</v>
      </c>
      <c r="AA66" s="1" cm="1">
        <f t="array" ref="AA66">[1]!unf_pvt_dZdt($D42,AA$36,gg,zcor)*100</f>
        <v>0.23662588291328834</v>
      </c>
      <c r="AB66" s="1" cm="1">
        <f t="array" ref="AB66">[1]!unf_pvt_dZdt($D42,AB$36,gg,zcor)*100</f>
        <v>0.22467719443386436</v>
      </c>
      <c r="AC66" s="1" cm="1">
        <f t="array" ref="AC66">[1]!unf_pvt_dZdt($D42,AC$36,gg,zcor)*100</f>
        <v>0.21276175812490195</v>
      </c>
      <c r="AD66" s="1" cm="1">
        <f t="array" ref="AD66">[1]!unf_pvt_dZdt($D42,AD$36,gg,zcor)*100</f>
        <v>0.20099668674089521</v>
      </c>
      <c r="AE66" s="1" cm="1">
        <f t="array" ref="AE66">[1]!unf_pvt_dZdt($D42,AE$36,gg,zcor)*100</f>
        <v>0.18946314462875424</v>
      </c>
      <c r="AF66" s="1" cm="1">
        <f t="array" ref="AF66">[1]!unf_pvt_dZdt($D42,AF$36,gg,zcor)*100</f>
        <v>0.17821414197582985</v>
      </c>
      <c r="AG66" s="1" cm="1">
        <f t="array" ref="AG66">[1]!unf_pvt_dZdt($D42,AG$36,gg,zcor)*100</f>
        <v>0.16728101506358062</v>
      </c>
      <c r="AH66" s="1" cm="1">
        <f t="array" ref="AH66">[1]!unf_pvt_dZdt($D42,AH$36,gg,zcor)*100</f>
        <v>0.15667871162883262</v>
      </c>
      <c r="AI66" s="1" cm="1">
        <f t="array" ref="AI66">[1]!unf_pvt_dZdt($D42,AI$36,gg,zcor)*100</f>
        <v>0.14641003427751098</v>
      </c>
      <c r="AJ66" s="1" cm="1">
        <f t="array" ref="AJ66">[1]!unf_pvt_dZdt($D42,AJ$36,gg,zcor)*100</f>
        <v>0.1364690013803127</v>
      </c>
      <c r="AK66" s="1" cm="1">
        <f t="array" ref="AK66">[1]!unf_pvt_dZdt($D42,AK$36,gg,zcor)*100</f>
        <v>0.1268434764685189</v>
      </c>
    </row>
    <row r="67" spans="5:37" x14ac:dyDescent="0.3">
      <c r="E67" t="str">
        <f t="shared" si="3"/>
        <v>t=50 C</v>
      </c>
      <c r="F67" s="1" cm="1">
        <f t="array" ref="F67">[1]!unf_pvt_dZdt($D43,F$36,gg,zcor)*100</f>
        <v>2.056379387882501E-3</v>
      </c>
      <c r="G67" s="1" cm="1">
        <f t="array" ref="G67">[1]!unf_pvt_dZdt($D43,G$36,gg,zcor)*100</f>
        <v>2.0787088496732053E-2</v>
      </c>
      <c r="H67" s="1" cm="1">
        <f t="array" ref="H67">[1]!unf_pvt_dZdt($D43,H$36,gg,zcor)*100</f>
        <v>4.1095697097759398E-2</v>
      </c>
      <c r="I67" s="1" cm="1">
        <f t="array" ref="I67">[1]!unf_pvt_dZdt($D43,I$36,gg,zcor)*100</f>
        <v>6.3926247763856914E-2</v>
      </c>
      <c r="J67" s="1" cm="1">
        <f t="array" ref="J67">[1]!unf_pvt_dZdt($D43,J$36,gg,zcor)*100</f>
        <v>8.9347236369774485E-2</v>
      </c>
      <c r="K67" s="1" cm="1">
        <f t="array" ref="K67">[1]!unf_pvt_dZdt($D43,K$36,gg,zcor)*100</f>
        <v>0.11668223760363805</v>
      </c>
      <c r="L67" s="1" cm="1">
        <f t="array" ref="L67">[1]!unf_pvt_dZdt($D43,L$36,gg,zcor)*100</f>
        <v>0.14472915262020436</v>
      </c>
      <c r="M67" s="1" cm="1">
        <f t="array" ref="M67">[1]!unf_pvt_dZdt($D43,M$36,gg,zcor)*100</f>
        <v>0.17204483269184223</v>
      </c>
      <c r="N67" s="1" cm="1">
        <f t="array" ref="N67">[1]!unf_pvt_dZdt($D43,N$36,gg,zcor)*100</f>
        <v>0.19723224830581199</v>
      </c>
      <c r="O67" s="1" cm="1">
        <f t="array" ref="O67">[1]!unf_pvt_dZdt($D43,O$36,gg,zcor)*100</f>
        <v>0.21916383103648407</v>
      </c>
      <c r="P67" s="1" cm="1">
        <f t="array" ref="P67">[1]!unf_pvt_dZdt($D43,P$36,gg,zcor)*100</f>
        <v>0.23710266675458502</v>
      </c>
      <c r="Q67" s="1" cm="1">
        <f t="array" ref="Q67">[1]!unf_pvt_dZdt($D43,Q$36,gg,zcor)*100</f>
        <v>0.25072148128923999</v>
      </c>
      <c r="R67" s="1" cm="1">
        <f t="array" ref="R67">[1]!unf_pvt_dZdt($D43,R$36,gg,zcor)*100</f>
        <v>0.26004719773053964</v>
      </c>
      <c r="S67" s="1" cm="1">
        <f t="array" ref="S67">[1]!unf_pvt_dZdt($D43,S$36,gg,zcor)*100</f>
        <v>0.26536807692500997</v>
      </c>
      <c r="T67" s="1" cm="1">
        <f t="array" ref="T67">[1]!unf_pvt_dZdt($D43,T$36,gg,zcor)*100</f>
        <v>0.26713486204743564</v>
      </c>
      <c r="U67" s="1" cm="1">
        <f t="array" ref="U67">[1]!unf_pvt_dZdt($D43,U$36,gg,zcor)*100</f>
        <v>0.26587540033229384</v>
      </c>
      <c r="V67" s="1" cm="1">
        <f t="array" ref="V67">[1]!unf_pvt_dZdt($D43,V$36,gg,zcor)*100</f>
        <v>0.26213078408920953</v>
      </c>
      <c r="W67" s="1" cm="1">
        <f t="array" ref="W67">[1]!unf_pvt_dZdt($D43,W$36,gg,zcor)*100</f>
        <v>0.25641327392722513</v>
      </c>
      <c r="X67" s="1" cm="1">
        <f t="array" ref="X67">[1]!unf_pvt_dZdt($D43,X$36,gg,zcor)*100</f>
        <v>0.24918235104098851</v>
      </c>
      <c r="Y67" s="1" cm="1">
        <f t="array" ref="Y67">[1]!unf_pvt_dZdt($D43,Y$36,gg,zcor)*100</f>
        <v>0.24083408906283577</v>
      </c>
      <c r="Z67" s="1" cm="1">
        <f t="array" ref="Z67">[1]!unf_pvt_dZdt($D43,Z$36,gg,zcor)*100</f>
        <v>0.23169938283063019</v>
      </c>
      <c r="AA67" s="1" cm="1">
        <f t="array" ref="AA67">[1]!unf_pvt_dZdt($D43,AA$36,gg,zcor)*100</f>
        <v>0.22204750517473837</v>
      </c>
      <c r="AB67" s="1" cm="1">
        <f t="array" ref="AB67">[1]!unf_pvt_dZdt($D43,AB$36,gg,zcor)*100</f>
        <v>0.2120924678612468</v>
      </c>
      <c r="AC67" s="1" cm="1">
        <f t="array" ref="AC67">[1]!unf_pvt_dZdt($D43,AC$36,gg,zcor)*100</f>
        <v>0.20200051540320008</v>
      </c>
      <c r="AD67" s="1" cm="1">
        <f t="array" ref="AD67">[1]!unf_pvt_dZdt($D43,AD$36,gg,zcor)*100</f>
        <v>0.1918977220818352</v>
      </c>
      <c r="AE67" s="1" cm="1">
        <f t="array" ref="AE67">[1]!unf_pvt_dZdt($D43,AE$36,gg,zcor)*100</f>
        <v>0.18187711004391538</v>
      </c>
      <c r="AF67" s="1" cm="1">
        <f t="array" ref="AF67">[1]!unf_pvt_dZdt($D43,AF$36,gg,zcor)*100</f>
        <v>0.1720050010528551</v>
      </c>
      <c r="AG67" s="1" cm="1">
        <f t="array" ref="AG67">[1]!unf_pvt_dZdt($D43,AG$36,gg,zcor)*100</f>
        <v>0.16232649858216597</v>
      </c>
      <c r="AH67" s="1" cm="1">
        <f t="array" ref="AH67">[1]!unf_pvt_dZdt($D43,AH$36,gg,zcor)*100</f>
        <v>0.15287010540609991</v>
      </c>
      <c r="AI67" s="1" cm="1">
        <f t="array" ref="AI67">[1]!unf_pvt_dZdt($D43,AI$36,gg,zcor)*100</f>
        <v>0.1436515405786043</v>
      </c>
      <c r="AJ67" s="1" cm="1">
        <f t="array" ref="AJ67">[1]!unf_pvt_dZdt($D43,AJ$36,gg,zcor)*100</f>
        <v>0.1346768470348314</v>
      </c>
      <c r="AK67" s="1" cm="1">
        <f t="array" ref="AK67">[1]!unf_pvt_dZdt($D43,AK$36,gg,zcor)*100</f>
        <v>0.12594488938311166</v>
      </c>
    </row>
    <row r="68" spans="5:37" x14ac:dyDescent="0.3">
      <c r="E68" t="str">
        <f t="shared" si="3"/>
        <v>t=60 C</v>
      </c>
      <c r="F68" s="1" cm="1">
        <f t="array" ref="F68">[1]!unf_pvt_dZdt($D44,F$36,gg,zcor)*100</f>
        <v>1.7958479062718524E-3</v>
      </c>
      <c r="G68" s="1" cm="1">
        <f t="array" ref="G68">[1]!unf_pvt_dZdt($D44,G$36,gg,zcor)*100</f>
        <v>1.8162413048639081E-2</v>
      </c>
      <c r="H68" s="1" cm="1">
        <f t="array" ref="H68">[1]!unf_pvt_dZdt($D44,H$36,gg,zcor)*100</f>
        <v>3.5767751022319771E-2</v>
      </c>
      <c r="I68" s="1" cm="1">
        <f t="array" ref="I68">[1]!unf_pvt_dZdt($D44,I$36,gg,zcor)*100</f>
        <v>5.5324569451120631E-2</v>
      </c>
      <c r="J68" s="1" cm="1">
        <f t="array" ref="J68">[1]!unf_pvt_dZdt($D44,J$36,gg,zcor)*100</f>
        <v>7.6905370477442503E-2</v>
      </c>
      <c r="K68" s="1" cm="1">
        <f t="array" ref="K68">[1]!unf_pvt_dZdt($D44,K$36,gg,zcor)*100</f>
        <v>0.10003434296157465</v>
      </c>
      <c r="L68" s="1" cm="1">
        <f t="array" ref="L68">[1]!unf_pvt_dZdt($D44,L$36,gg,zcor)*100</f>
        <v>0.1238401619896301</v>
      </c>
      <c r="M68" s="1" cm="1">
        <f t="array" ref="M68">[1]!unf_pvt_dZdt($D44,M$36,gg,zcor)*100</f>
        <v>0.14725173896912302</v>
      </c>
      <c r="N68" s="1" cm="1">
        <f t="array" ref="N68">[1]!unf_pvt_dZdt($D44,N$36,gg,zcor)*100</f>
        <v>0.16919773533241589</v>
      </c>
      <c r="O68" s="1" cm="1">
        <f t="array" ref="O68">[1]!unf_pvt_dZdt($D44,O$36,gg,zcor)*100</f>
        <v>0.18876867323147639</v>
      </c>
      <c r="P68" s="1" cm="1">
        <f t="array" ref="P68">[1]!unf_pvt_dZdt($D44,P$36,gg,zcor)*100</f>
        <v>0.20531577013715996</v>
      </c>
      <c r="Q68" s="1" cm="1">
        <f t="array" ref="Q68">[1]!unf_pvt_dZdt($D44,Q$36,gg,zcor)*100</f>
        <v>0.21848251669875918</v>
      </c>
      <c r="R68" s="1" cm="1">
        <f t="array" ref="R68">[1]!unf_pvt_dZdt($D44,R$36,gg,zcor)*100</f>
        <v>0.22818258244916567</v>
      </c>
      <c r="S68" s="1" cm="1">
        <f t="array" ref="S68">[1]!unf_pvt_dZdt($D44,S$36,gg,zcor)*100</f>
        <v>0.23454555920732201</v>
      </c>
      <c r="T68" s="1" cm="1">
        <f t="array" ref="T68">[1]!unf_pvt_dZdt($D44,T$36,gg,zcor)*100</f>
        <v>0.23785114682861597</v>
      </c>
      <c r="U68" s="1" cm="1">
        <f t="array" ref="U68">[1]!unf_pvt_dZdt($D44,U$36,gg,zcor)*100</f>
        <v>0.23846658826354172</v>
      </c>
      <c r="V68" s="1" cm="1">
        <f t="array" ref="V68">[1]!unf_pvt_dZdt($D44,V$36,gg,zcor)*100</f>
        <v>0.23679537528065175</v>
      </c>
      <c r="W68" s="1" cm="1">
        <f t="array" ref="W68">[1]!unf_pvt_dZdt($D44,W$36,gg,zcor)*100</f>
        <v>0.23323979782086113</v>
      </c>
      <c r="X68" s="1" cm="1">
        <f t="array" ref="X68">[1]!unf_pvt_dZdt($D44,X$36,gg,zcor)*100</f>
        <v>0.22817651614703838</v>
      </c>
      <c r="Y68" s="1" cm="1">
        <f t="array" ref="Y68">[1]!unf_pvt_dZdt($D44,Y$36,gg,zcor)*100</f>
        <v>0.22194274205000752</v>
      </c>
      <c r="Z68" s="1" cm="1">
        <f t="array" ref="Z68">[1]!unf_pvt_dZdt($D44,Z$36,gg,zcor)*100</f>
        <v>0.21483022981694244</v>
      </c>
      <c r="AA68" s="1" cm="1">
        <f t="array" ref="AA68">[1]!unf_pvt_dZdt($D44,AA$36,gg,zcor)*100</f>
        <v>0.20708453860329712</v>
      </c>
      <c r="AB68" s="1" cm="1">
        <f t="array" ref="AB68">[1]!unf_pvt_dZdt($D44,AB$36,gg,zcor)*100</f>
        <v>0.19890754238860442</v>
      </c>
      <c r="AC68" s="1" cm="1">
        <f t="array" ref="AC68">[1]!unf_pvt_dZdt($D44,AC$36,gg,zcor)*100</f>
        <v>0.19046170746117586</v>
      </c>
      <c r="AD68" s="1" cm="1">
        <f t="array" ref="AD68">[1]!unf_pvt_dZdt($D44,AD$36,gg,zcor)*100</f>
        <v>0.18187512745793111</v>
      </c>
      <c r="AE68" s="1" cm="1">
        <f t="array" ref="AE68">[1]!unf_pvt_dZdt($D44,AE$36,gg,zcor)*100</f>
        <v>0.17324667096152435</v>
      </c>
      <c r="AF68" s="1" cm="1">
        <f t="array" ref="AF68">[1]!unf_pvt_dZdt($D44,AF$36,gg,zcor)*100</f>
        <v>0.16465086053862876</v>
      </c>
      <c r="AG68" s="1" cm="1">
        <f t="array" ref="AG68">[1]!unf_pvt_dZdt($D44,AG$36,gg,zcor)*100</f>
        <v>0.15614228265559138</v>
      </c>
      <c r="AH68" s="1" cm="1">
        <f t="array" ref="AH68">[1]!unf_pvt_dZdt($D44,AH$36,gg,zcor)*100</f>
        <v>0.14775944535672103</v>
      </c>
      <c r="AI68" s="1" cm="1">
        <f t="array" ref="AI68">[1]!unf_pvt_dZdt($D44,AI$36,gg,zcor)*100</f>
        <v>0.13952807294692615</v>
      </c>
      <c r="AJ68" s="1" cm="1">
        <f t="array" ref="AJ68">[1]!unf_pvt_dZdt($D44,AJ$36,gg,zcor)*100</f>
        <v>0.13146386844054003</v>
      </c>
      <c r="AK68" s="1" cm="1">
        <f t="array" ref="AK68">[1]!unf_pvt_dZdt($D44,AK$36,gg,zcor)*100</f>
        <v>0.12357479573366081</v>
      </c>
    </row>
    <row r="69" spans="5:37" x14ac:dyDescent="0.3">
      <c r="E69" t="str">
        <f t="shared" si="3"/>
        <v>t=70 C</v>
      </c>
      <c r="F69" s="1" cm="1">
        <f t="array" ref="F69">[1]!unf_pvt_dZdt($D45,F$36,gg,zcor)*100</f>
        <v>1.5764229867043511E-3</v>
      </c>
      <c r="G69" s="1" cm="1">
        <f t="array" ref="G69">[1]!unf_pvt_dZdt($D45,G$36,gg,zcor)*100</f>
        <v>1.5953966121085017E-2</v>
      </c>
      <c r="H69" s="1" cm="1">
        <f t="array" ref="H69">[1]!unf_pvt_dZdt($D45,H$36,gg,zcor)*100</f>
        <v>3.131846763260171E-2</v>
      </c>
      <c r="I69" s="1" cm="1">
        <f t="array" ref="I69">[1]!unf_pvt_dZdt($D45,I$36,gg,zcor)*100</f>
        <v>4.82037351049458E-2</v>
      </c>
      <c r="J69" s="1" cm="1">
        <f t="array" ref="J69">[1]!unf_pvt_dZdt($D45,J$36,gg,zcor)*100</f>
        <v>6.6672737266793014E-2</v>
      </c>
      <c r="K69" s="1" cm="1">
        <f t="array" ref="K69">[1]!unf_pvt_dZdt($D45,K$36,gg,zcor)*100</f>
        <v>8.6382729452716411E-2</v>
      </c>
      <c r="L69" s="1" cm="1">
        <f t="array" ref="L69">[1]!unf_pvt_dZdt($D45,L$36,gg,zcor)*100</f>
        <v>0.1066933964046779</v>
      </c>
      <c r="M69" s="1" cm="1">
        <f t="array" ref="M69">[1]!unf_pvt_dZdt($D45,M$36,gg,zcor)*100</f>
        <v>0.1268037683276324</v>
      </c>
      <c r="N69" s="1" cm="1">
        <f t="array" ref="N69">[1]!unf_pvt_dZdt($D45,N$36,gg,zcor)*100</f>
        <v>0.14589240347551158</v>
      </c>
      <c r="O69" s="1" cm="1">
        <f t="array" ref="O69">[1]!unf_pvt_dZdt($D45,O$36,gg,zcor)*100</f>
        <v>0.16323472963131191</v>
      </c>
      <c r="P69" s="1" cm="1">
        <f t="array" ref="P69">[1]!unf_pvt_dZdt($D45,P$36,gg,zcor)*100</f>
        <v>0.17828034294087303</v>
      </c>
      <c r="Q69" s="1" cm="1">
        <f t="array" ref="Q69">[1]!unf_pvt_dZdt($D45,Q$36,gg,zcor)*100</f>
        <v>0.19068590580562095</v>
      </c>
      <c r="R69" s="1" cm="1">
        <f t="array" ref="R69">[1]!unf_pvt_dZdt($D45,R$36,gg,zcor)*100</f>
        <v>0.20031023437161455</v>
      </c>
      <c r="S69" s="1" cm="1">
        <f t="array" ref="S69">[1]!unf_pvt_dZdt($D45,S$36,gg,zcor)*100</f>
        <v>0.20718402933150859</v>
      </c>
      <c r="T69" s="1" cm="1">
        <f t="array" ref="T69">[1]!unf_pvt_dZdt($D45,T$36,gg,zcor)*100</f>
        <v>0.21146741476896214</v>
      </c>
      <c r="U69" s="1" cm="1">
        <f t="array" ref="U69">[1]!unf_pvt_dZdt($D45,U$36,gg,zcor)*100</f>
        <v>0.21340581665996172</v>
      </c>
      <c r="V69" s="1" cm="1">
        <f t="array" ref="V69">[1]!unf_pvt_dZdt($D45,V$36,gg,zcor)*100</f>
        <v>0.21329086598542712</v>
      </c>
      <c r="W69" s="1" cm="1">
        <f t="array" ref="W69">[1]!unf_pvt_dZdt($D45,W$36,gg,zcor)*100</f>
        <v>0.21142946555829933</v>
      </c>
      <c r="X69" s="1" cm="1">
        <f t="array" ref="X69">[1]!unf_pvt_dZdt($D45,X$36,gg,zcor)*100</f>
        <v>0.20812160452465811</v>
      </c>
      <c r="Y69" s="1" cm="1">
        <f t="array" ref="Y69">[1]!unf_pvt_dZdt($D45,Y$36,gg,zcor)*100</f>
        <v>0.20364601775568758</v>
      </c>
      <c r="Z69" s="1" cm="1">
        <f t="array" ref="Z69">[1]!unf_pvt_dZdt($D45,Z$36,gg,zcor)*100</f>
        <v>0.19825214208391007</v>
      </c>
      <c r="AA69" s="1" cm="1">
        <f t="array" ref="AA69">[1]!unf_pvt_dZdt($D45,AA$36,gg,zcor)*100</f>
        <v>0.19215671717220939</v>
      </c>
      <c r="AB69" s="1" cm="1">
        <f t="array" ref="AB69">[1]!unf_pvt_dZdt($D45,AB$36,gg,zcor)*100</f>
        <v>0.1855435601605393</v>
      </c>
      <c r="AC69" s="1" cm="1">
        <f t="array" ref="AC69">[1]!unf_pvt_dZdt($D45,AC$36,gg,zcor)*100</f>
        <v>0.17856533540361319</v>
      </c>
      <c r="AD69" s="1" cm="1">
        <f t="array" ref="AD69">[1]!unf_pvt_dZdt($D45,AD$36,gg,zcor)*100</f>
        <v>0.17134644270044852</v>
      </c>
      <c r="AE69" s="1" cm="1">
        <f t="array" ref="AE69">[1]!unf_pvt_dZdt($D45,AE$36,gg,zcor)*100</f>
        <v>0.16398641115711321</v>
      </c>
      <c r="AF69" s="1" cm="1">
        <f t="array" ref="AF69">[1]!unf_pvt_dZdt($D45,AF$36,gg,zcor)*100</f>
        <v>0.15656339516323392</v>
      </c>
      <c r="AG69" s="1" cm="1">
        <f t="array" ref="AG69">[1]!unf_pvt_dZdt($D45,AG$36,gg,zcor)*100</f>
        <v>0.14913752459566609</v>
      </c>
      <c r="AH69" s="1" cm="1">
        <f t="array" ref="AH69">[1]!unf_pvt_dZdt($D45,AH$36,gg,zcor)*100</f>
        <v>0.14175397124782663</v>
      </c>
      <c r="AI69" s="1" cm="1">
        <f t="array" ref="AI69">[1]!unf_pvt_dZdt($D45,AI$36,gg,zcor)*100</f>
        <v>0.13444566752984777</v>
      </c>
      <c r="AJ69" s="1" cm="1">
        <f t="array" ref="AJ69">[1]!unf_pvt_dZdt($D45,AJ$36,gg,zcor)*100</f>
        <v>0.12723566102035289</v>
      </c>
      <c r="AK69" s="1" cm="1">
        <f t="array" ref="AK69">[1]!unf_pvt_dZdt($D45,AK$36,gg,zcor)*100</f>
        <v>0.12013911715191838</v>
      </c>
    </row>
    <row r="70" spans="5:37" x14ac:dyDescent="0.3">
      <c r="E70" t="str">
        <f t="shared" si="3"/>
        <v>t=80 C</v>
      </c>
      <c r="F70" s="1" cm="1">
        <f t="array" ref="F70">[1]!unf_pvt_dZdt($D46,F$36,gg,zcor)*100</f>
        <v>1.3904253870489214E-3</v>
      </c>
      <c r="G70" s="1" cm="1">
        <f t="array" ref="G70">[1]!unf_pvt_dZdt($D46,G$36,gg,zcor)*100</f>
        <v>1.4083218509597373E-2</v>
      </c>
      <c r="H70" s="1" cm="1">
        <f t="array" ref="H70">[1]!unf_pvt_dZdt($D46,H$36,gg,zcor)*100</f>
        <v>2.7574539756103356E-2</v>
      </c>
      <c r="I70" s="1" cm="1">
        <f t="array" ref="I70">[1]!unf_pvt_dZdt($D46,I$36,gg,zcor)*100</f>
        <v>4.2259687526913225E-2</v>
      </c>
      <c r="J70" s="1" cm="1">
        <f t="array" ref="J70">[1]!unf_pvt_dZdt($D46,J$36,gg,zcor)*100</f>
        <v>5.818610062358065E-2</v>
      </c>
      <c r="K70" s="1" cm="1">
        <f t="array" ref="K70">[1]!unf_pvt_dZdt($D46,K$36,gg,zcor)*100</f>
        <v>7.5100009792938849E-2</v>
      </c>
      <c r="L70" s="1" cm="1">
        <f t="array" ref="L70">[1]!unf_pvt_dZdt($D46,L$36,gg,zcor)*100</f>
        <v>9.2523939796973487E-2</v>
      </c>
      <c r="M70" s="1" cm="1">
        <f t="array" ref="M70">[1]!unf_pvt_dZdt($D46,M$36,gg,zcor)*100</f>
        <v>0.10985381591599452</v>
      </c>
      <c r="N70" s="1" cm="1">
        <f t="array" ref="N70">[1]!unf_pvt_dZdt($D46,N$36,gg,zcor)*100</f>
        <v>0.1264584725321205</v>
      </c>
      <c r="O70" s="1" cm="1">
        <f t="array" ref="O70">[1]!unf_pvt_dZdt($D46,O$36,gg,zcor)*100</f>
        <v>0.14176462647752519</v>
      </c>
      <c r="P70" s="1" cm="1">
        <f t="array" ref="P70">[1]!unf_pvt_dZdt($D46,P$36,gg,zcor)*100</f>
        <v>0.15531592384177006</v>
      </c>
      <c r="Q70" s="1" cm="1">
        <f t="array" ref="Q70">[1]!unf_pvt_dZdt($D46,Q$36,gg,zcor)*100</f>
        <v>0.16680243419964214</v>
      </c>
      <c r="R70" s="1" cm="1">
        <f t="array" ref="R70">[1]!unf_pvt_dZdt($D46,R$36,gg,zcor)*100</f>
        <v>0.17606379517942639</v>
      </c>
      <c r="S70" s="1" cm="1">
        <f t="array" ref="S70">[1]!unf_pvt_dZdt($D46,S$36,gg,zcor)*100</f>
        <v>0.18307326628075327</v>
      </c>
      <c r="T70" s="1" cm="1">
        <f t="array" ref="T70">[1]!unf_pvt_dZdt($D46,T$36,gg,zcor)*100</f>
        <v>0.18791100862913801</v>
      </c>
      <c r="U70" s="1" cm="1">
        <f t="array" ref="U70">[1]!unf_pvt_dZdt($D46,U$36,gg,zcor)*100</f>
        <v>0.19073380612877333</v>
      </c>
      <c r="V70" s="1" cm="1">
        <f t="array" ref="V70">[1]!unf_pvt_dZdt($D46,V$36,gg,zcor)*100</f>
        <v>0.19174632804674907</v>
      </c>
      <c r="W70" s="1" cm="1">
        <f t="array" ref="W70">[1]!unf_pvt_dZdt($D46,W$36,gg,zcor)*100</f>
        <v>0.1911768272363501</v>
      </c>
      <c r="X70" s="1" cm="1">
        <f t="array" ref="X70">[1]!unf_pvt_dZdt($D46,X$36,gg,zcor)*100</f>
        <v>0.18925839007877254</v>
      </c>
      <c r="Y70" s="1" cm="1">
        <f t="array" ref="Y70">[1]!unf_pvt_dZdt($D46,Y$36,gg,zcor)*100</f>
        <v>0.18621566679843937</v>
      </c>
      <c r="Z70" s="1" cm="1">
        <f t="array" ref="Z70">[1]!unf_pvt_dZdt($D46,Z$36,gg,zcor)*100</f>
        <v>0.1822563606583838</v>
      </c>
      <c r="AA70" s="1" cm="1">
        <f t="array" ref="AA70">[1]!unf_pvt_dZdt($D46,AA$36,gg,zcor)*100</f>
        <v>0.17756649974931538</v>
      </c>
      <c r="AB70" s="1" cm="1">
        <f t="array" ref="AB70">[1]!unf_pvt_dZdt($D46,AB$36,gg,zcor)*100</f>
        <v>0.17230850701188682</v>
      </c>
      <c r="AC70" s="1" cm="1">
        <f t="array" ref="AC70">[1]!unf_pvt_dZdt($D46,AC$36,gg,zcor)*100</f>
        <v>0.16662120432842098</v>
      </c>
      <c r="AD70" s="1" cm="1">
        <f t="array" ref="AD70">[1]!unf_pvt_dZdt($D46,AD$36,gg,zcor)*100</f>
        <v>0.16062105527914206</v>
      </c>
      <c r="AE70" s="1" cm="1">
        <f t="array" ref="AE70">[1]!unf_pvt_dZdt($D46,AE$36,gg,zcor)*100</f>
        <v>0.15440412199652087</v>
      </c>
      <c r="AF70" s="1" cm="1">
        <f t="array" ref="AF70">[1]!unf_pvt_dZdt($D46,AF$36,gg,zcor)*100</f>
        <v>0.14804836158410772</v>
      </c>
      <c r="AG70" s="1" cm="1">
        <f t="array" ref="AG70">[1]!unf_pvt_dZdt($D46,AG$36,gg,zcor)*100</f>
        <v>0.14161600869788682</v>
      </c>
      <c r="AH70" s="1" cm="1">
        <f t="array" ref="AH70">[1]!unf_pvt_dZdt($D46,AH$36,gg,zcor)*100</f>
        <v>0.13515588301826753</v>
      </c>
      <c r="AI70" s="1" cm="1">
        <f t="array" ref="AI70">[1]!unf_pvt_dZdt($D46,AI$36,gg,zcor)*100</f>
        <v>0.12870552723787121</v>
      </c>
      <c r="AJ70" s="1" cm="1">
        <f t="array" ref="AJ70">[1]!unf_pvt_dZdt($D46,AJ$36,gg,zcor)*100</f>
        <v>0.1222931276468886</v>
      </c>
      <c r="AK70" s="1" cm="1">
        <f t="array" ref="AK70">[1]!unf_pvt_dZdt($D46,AK$36,gg,zcor)*100</f>
        <v>0.11593920040475769</v>
      </c>
    </row>
    <row r="71" spans="5:37" x14ac:dyDescent="0.3">
      <c r="E71" t="str">
        <f t="shared" si="3"/>
        <v>t=90 C</v>
      </c>
      <c r="F71" s="1" cm="1">
        <f t="array" ref="F71">[1]!unf_pvt_dZdt($D47,F$36,gg,zcor)*100</f>
        <v>1.2317914026560572E-3</v>
      </c>
      <c r="G71" s="1" cm="1">
        <f t="array" ref="G71">[1]!unf_pvt_dZdt($D47,G$36,gg,zcor)*100</f>
        <v>1.2488402149513078E-2</v>
      </c>
      <c r="H71" s="1" cm="1">
        <f t="array" ref="H71">[1]!unf_pvt_dZdt($D47,H$36,gg,zcor)*100</f>
        <v>2.4401464180701105E-2</v>
      </c>
      <c r="I71" s="1" cm="1">
        <f t="array" ref="I71">[1]!unf_pvt_dZdt($D47,I$36,gg,zcor)*100</f>
        <v>3.7258941021911518E-2</v>
      </c>
      <c r="J71" s="1" cm="1">
        <f t="array" ref="J71">[1]!unf_pvt_dZdt($D47,J$36,gg,zcor)*100</f>
        <v>5.1090922437047048E-2</v>
      </c>
      <c r="K71" s="1" cm="1">
        <f t="array" ref="K71">[1]!unf_pvt_dZdt($D47,K$36,gg,zcor)*100</f>
        <v>6.570356345980688E-2</v>
      </c>
      <c r="L71" s="1" cm="1">
        <f t="array" ref="L71">[1]!unf_pvt_dZdt($D47,L$36,gg,zcor)*100</f>
        <v>8.0735212395155465E-2</v>
      </c>
      <c r="M71" s="1" cm="1">
        <f t="array" ref="M71">[1]!unf_pvt_dZdt($D47,M$36,gg,zcor)*100</f>
        <v>9.5726049315403294E-2</v>
      </c>
      <c r="N71" s="1" cm="1">
        <f t="array" ref="N71">[1]!unf_pvt_dZdt($D47,N$36,gg,zcor)*100</f>
        <v>0.11018932958239969</v>
      </c>
      <c r="O71" s="1" cm="1">
        <f t="array" ref="O71">[1]!unf_pvt_dZdt($D47,O$36,gg,zcor)*100</f>
        <v>0.12367301458726665</v>
      </c>
      <c r="P71" s="1" cm="1">
        <f t="array" ref="P71">[1]!unf_pvt_dZdt($D47,P$36,gg,zcor)*100</f>
        <v>0.13580423274617281</v>
      </c>
      <c r="Q71" s="1" cm="1">
        <f t="array" ref="Q71">[1]!unf_pvt_dZdt($D47,Q$36,gg,zcor)*100</f>
        <v>0.14631386063845842</v>
      </c>
      <c r="R71" s="1" cm="1">
        <f t="array" ref="R71">[1]!unf_pvt_dZdt($D47,R$36,gg,zcor)*100</f>
        <v>0.15504280820510807</v>
      </c>
      <c r="S71" s="1" cm="1">
        <f t="array" ref="S71">[1]!unf_pvt_dZdt($D47,S$36,gg,zcor)*100</f>
        <v>0.16193430463729008</v>
      </c>
      <c r="T71" s="1" cm="1">
        <f t="array" ref="T71">[1]!unf_pvt_dZdt($D47,T$36,gg,zcor)*100</f>
        <v>0.16701743217939491</v>
      </c>
      <c r="U71" s="1" cm="1">
        <f t="array" ref="U71">[1]!unf_pvt_dZdt($D47,U$36,gg,zcor)*100</f>
        <v>0.170386750169782</v>
      </c>
      <c r="V71" s="1" cm="1">
        <f t="array" ref="V71">[1]!unf_pvt_dZdt($D47,V$36,gg,zcor)*100</f>
        <v>0.17218170889810036</v>
      </c>
      <c r="W71" s="1" cm="1">
        <f t="array" ref="W71">[1]!unf_pvt_dZdt($D47,W$36,gg,zcor)*100</f>
        <v>0.17256821762079433</v>
      </c>
      <c r="X71" s="1" cm="1">
        <f t="array" ref="X71">[1]!unf_pvt_dZdt($D47,X$36,gg,zcor)*100</f>
        <v>0.17172355209094103</v>
      </c>
      <c r="Y71" s="1" cm="1">
        <f t="array" ref="Y71">[1]!unf_pvt_dZdt($D47,Y$36,gg,zcor)*100</f>
        <v>0.16982491652095533</v>
      </c>
      <c r="Z71" s="1" cm="1">
        <f t="array" ref="Z71">[1]!unf_pvt_dZdt($D47,Z$36,gg,zcor)*100</f>
        <v>0.16704142730605831</v>
      </c>
      <c r="AA71" s="1" cm="1">
        <f t="array" ref="AA71">[1]!unf_pvt_dZdt($D47,AA$36,gg,zcor)*100</f>
        <v>0.16352900405103288</v>
      </c>
      <c r="AB71" s="1" cm="1">
        <f t="array" ref="AB71">[1]!unf_pvt_dZdt($D47,AB$36,gg,zcor)*100</f>
        <v>0.15942755837505818</v>
      </c>
      <c r="AC71" s="1" cm="1">
        <f t="array" ref="AC71">[1]!unf_pvt_dZdt($D47,AC$36,gg,zcor)*100</f>
        <v>0.15485988986252419</v>
      </c>
      <c r="AD71" s="1" cm="1">
        <f t="array" ref="AD71">[1]!unf_pvt_dZdt($D47,AD$36,gg,zcor)*100</f>
        <v>0.14993177566546834</v>
      </c>
      <c r="AE71" s="1" cm="1">
        <f t="array" ref="AE71">[1]!unf_pvt_dZdt($D47,AE$36,gg,zcor)*100</f>
        <v>0.14473283870131137</v>
      </c>
      <c r="AF71" s="1" cm="1">
        <f t="array" ref="AF71">[1]!unf_pvt_dZdt($D47,AF$36,gg,zcor)*100</f>
        <v>0.139337877237522</v>
      </c>
      <c r="AG71" s="1" cm="1">
        <f t="array" ref="AG71">[1]!unf_pvt_dZdt($D47,AG$36,gg,zcor)*100</f>
        <v>0.13380842496202305</v>
      </c>
      <c r="AH71" s="1" cm="1">
        <f t="array" ref="AH71">[1]!unf_pvt_dZdt($D47,AH$36,gg,zcor)*100</f>
        <v>0.1281943813533637</v>
      </c>
      <c r="AI71" s="1" cm="1">
        <f t="array" ref="AI71">[1]!unf_pvt_dZdt($D47,AI$36,gg,zcor)*100</f>
        <v>0.1225356070119199</v>
      </c>
      <c r="AJ71" s="1" cm="1">
        <f t="array" ref="AJ71">[1]!unf_pvt_dZdt($D47,AJ$36,gg,zcor)*100</f>
        <v>0.11686341945149614</v>
      </c>
      <c r="AK71" s="1" cm="1">
        <f t="array" ref="AK71">[1]!unf_pvt_dZdt($D47,AK$36,gg,zcor)*100</f>
        <v>0.11120195403291344</v>
      </c>
    </row>
    <row r="72" spans="5:37" x14ac:dyDescent="0.3">
      <c r="E72" t="str">
        <f t="shared" si="3"/>
        <v>t=100 C</v>
      </c>
      <c r="F72" s="1" cm="1">
        <f t="array" ref="F72">[1]!unf_pvt_dZdt($D48,F$36,gg,zcor)*100</f>
        <v>1.0957060974092769E-3</v>
      </c>
      <c r="G72" s="1" cm="1">
        <f t="array" ref="G72">[1]!unf_pvt_dZdt($D48,G$36,gg,zcor)*100</f>
        <v>1.1120628981120539E-2</v>
      </c>
      <c r="H72" s="1" cm="1">
        <f t="array" ref="H72">[1]!unf_pvt_dZdt($D48,H$36,gg,zcor)*100</f>
        <v>2.1694055076237895E-2</v>
      </c>
      <c r="I72" s="1" cm="1">
        <f t="array" ref="I72">[1]!unf_pvt_dZdt($D48,I$36,gg,zcor)*100</f>
        <v>3.3020730060728809E-2</v>
      </c>
      <c r="J72" s="1" cm="1">
        <f t="array" ref="J72">[1]!unf_pvt_dZdt($D48,J$36,gg,zcor)*100</f>
        <v>4.5113812503050355E-2</v>
      </c>
      <c r="K72" s="1" cm="1">
        <f t="array" ref="K72">[1]!unf_pvt_dZdt($D48,K$36,gg,zcor)*100</f>
        <v>5.7820094849669879E-2</v>
      </c>
      <c r="L72" s="1" cm="1">
        <f t="array" ref="L72">[1]!unf_pvt_dZdt($D48,L$36,gg,zcor)*100</f>
        <v>7.0861025863733218E-2</v>
      </c>
      <c r="M72" s="1" cm="1">
        <f t="array" ref="M72">[1]!unf_pvt_dZdt($D48,M$36,gg,zcor)*100</f>
        <v>8.3883073500379268E-2</v>
      </c>
      <c r="N72" s="1" cm="1">
        <f t="array" ref="N72">[1]!unf_pvt_dZdt($D48,N$36,gg,zcor)*100</f>
        <v>9.6509062757155206E-2</v>
      </c>
      <c r="O72" s="1" cm="1">
        <f t="array" ref="O72">[1]!unf_pvt_dZdt($D48,O$36,gg,zcor)*100</f>
        <v>0.10838293534887189</v>
      </c>
      <c r="P72" s="1" cm="1">
        <f t="array" ref="P72">[1]!unf_pvt_dZdt($D48,P$36,gg,zcor)*100</f>
        <v>0.1192028998358019</v>
      </c>
      <c r="Q72" s="1" cm="1">
        <f t="array" ref="Q72">[1]!unf_pvt_dZdt($D48,Q$36,gg,zcor)*100</f>
        <v>0.12874105765736665</v>
      </c>
      <c r="R72" s="1" cm="1">
        <f t="array" ref="R72">[1]!unf_pvt_dZdt($D48,R$36,gg,zcor)*100</f>
        <v>0.13685032260724039</v>
      </c>
      <c r="S72" s="1" cm="1">
        <f t="array" ref="S72">[1]!unf_pvt_dZdt($D48,S$36,gg,zcor)*100</f>
        <v>0.14346123452313453</v>
      </c>
      <c r="T72" s="1" cm="1">
        <f t="array" ref="T72">[1]!unf_pvt_dZdt($D48,T$36,gg,zcor)*100</f>
        <v>0.14857199653661723</v>
      </c>
      <c r="U72" s="1" cm="1">
        <f t="array" ref="U72">[1]!unf_pvt_dZdt($D48,U$36,gg,zcor)*100</f>
        <v>0.15223495247429497</v>
      </c>
      <c r="V72" s="1" cm="1">
        <f t="array" ref="V72">[1]!unf_pvt_dZdt($D48,V$36,gg,zcor)*100</f>
        <v>0.15454210730470042</v>
      </c>
      <c r="W72" s="1" cm="1">
        <f t="array" ref="W72">[1]!unf_pvt_dZdt($D48,W$36,gg,zcor)*100</f>
        <v>0.15561149669351959</v>
      </c>
      <c r="X72" s="1" cm="1">
        <f t="array" ref="X72">[1]!unf_pvt_dZdt($D48,X$36,gg,zcor)*100</f>
        <v>0.15557545332411937</v>
      </c>
      <c r="Y72" s="1" cm="1">
        <f t="array" ref="Y72">[1]!unf_pvt_dZdt($D48,Y$36,gg,zcor)*100</f>
        <v>0.15457121269146779</v>
      </c>
      <c r="Z72" s="1" cm="1">
        <f t="array" ref="Z72">[1]!unf_pvt_dZdt($D48,Z$36,gg,zcor)*100</f>
        <v>0.15273388195424786</v>
      </c>
      <c r="AA72" s="1" cm="1">
        <f t="array" ref="AA72">[1]!unf_pvt_dZdt($D48,AA$36,gg,zcor)*100</f>
        <v>0.1501915450726754</v>
      </c>
      <c r="AB72" s="1" cm="1">
        <f t="array" ref="AB72">[1]!unf_pvt_dZdt($D48,AB$36,gg,zcor)*100</f>
        <v>0.14706215740833972</v>
      </c>
      <c r="AC72" s="1" cm="1">
        <f t="array" ref="AC72">[1]!unf_pvt_dZdt($D48,AC$36,gg,zcor)*100</f>
        <v>0.14345185155650864</v>
      </c>
      <c r="AD72" s="1" cm="1">
        <f t="array" ref="AD72">[1]!unf_pvt_dZdt($D48,AD$36,gg,zcor)*100</f>
        <v>0.13945429784523178</v>
      </c>
      <c r="AE72" s="1" cm="1">
        <f t="array" ref="AE72">[1]!unf_pvt_dZdt($D48,AE$36,gg,zcor)*100</f>
        <v>0.13515081138293361</v>
      </c>
      <c r="AF72" s="1" cm="1">
        <f t="array" ref="AF72">[1]!unf_pvt_dZdt($D48,AF$36,gg,zcor)*100</f>
        <v>0.1306109552171586</v>
      </c>
      <c r="AG72" s="1" cm="1">
        <f t="array" ref="AG72">[1]!unf_pvt_dZdt($D48,AG$36,gg,zcor)*100</f>
        <v>0.12589344576496853</v>
      </c>
      <c r="AH72" s="1" cm="1">
        <f t="array" ref="AH72">[1]!unf_pvt_dZdt($D48,AH$36,gg,zcor)*100</f>
        <v>0.12104721679151442</v>
      </c>
      <c r="AI72" s="1" cm="1">
        <f t="array" ref="AI72">[1]!unf_pvt_dZdt($D48,AI$36,gg,zcor)*100</f>
        <v>0.11611253981691494</v>
      </c>
      <c r="AJ72" s="1" cm="1">
        <f t="array" ref="AJ72">[1]!unf_pvt_dZdt($D48,AJ$36,gg,zcor)*100</f>
        <v>0.11112213172104202</v>
      </c>
      <c r="AK72" s="1" cm="1">
        <f t="array" ref="AK72">[1]!unf_pvt_dZdt($D48,AK$36,gg,zcor)*100</f>
        <v>0.10610220535167691</v>
      </c>
    </row>
    <row r="73" spans="5:37" x14ac:dyDescent="0.3">
      <c r="E73" t="str">
        <f t="shared" si="3"/>
        <v>t=110 C</v>
      </c>
      <c r="F73" s="1" cm="1">
        <f t="array" ref="F73">[1]!unf_pvt_dZdt($D49,F$36,gg,zcor)*100</f>
        <v>9.7832318168844523E-4</v>
      </c>
      <c r="G73" s="1" cm="1">
        <f t="array" ref="G73">[1]!unf_pvt_dZdt($D49,G$36,gg,zcor)*100</f>
        <v>9.9409529688010423E-3</v>
      </c>
      <c r="H73" s="1" cm="1">
        <f t="array" ref="H73">[1]!unf_pvt_dZdt($D49,H$36,gg,zcor)*100</f>
        <v>1.9369423381432327E-2</v>
      </c>
      <c r="I73" s="1" cm="1">
        <f t="array" ref="I73">[1]!unf_pvt_dZdt($D49,I$36,gg,zcor)*100</f>
        <v>2.9403964611818267E-2</v>
      </c>
      <c r="J73" s="1" cm="1">
        <f t="array" ref="J73">[1]!unf_pvt_dZdt($D49,J$36,gg,zcor)*100</f>
        <v>4.0042339611079392E-2</v>
      </c>
      <c r="K73" s="1" cm="1">
        <f t="array" ref="K73">[1]!unf_pvt_dZdt($D49,K$36,gg,zcor)*100</f>
        <v>5.1159100706743565E-2</v>
      </c>
      <c r="L73" s="1" cm="1">
        <f t="array" ref="L73">[1]!unf_pvt_dZdt($D49,L$36,gg,zcor)*100</f>
        <v>6.2535825765874797E-2</v>
      </c>
      <c r="M73" s="1" cm="1">
        <f t="array" ref="M73">[1]!unf_pvt_dZdt($D49,M$36,gg,zcor)*100</f>
        <v>7.3897760373142773E-2</v>
      </c>
      <c r="N73" s="1" cm="1">
        <f t="array" ref="N73">[1]!unf_pvt_dZdt($D49,N$36,gg,zcor)*100</f>
        <v>8.4950962520258244E-2</v>
      </c>
      <c r="O73" s="1" cm="1">
        <f t="array" ref="O73">[1]!unf_pvt_dZdt($D49,O$36,gg,zcor)*100</f>
        <v>9.5414811381644427E-2</v>
      </c>
      <c r="P73" s="1" cm="1">
        <f t="array" ref="P73">[1]!unf_pvt_dZdt($D49,P$36,gg,zcor)*100</f>
        <v>0.10504652290521665</v>
      </c>
      <c r="Q73" s="1" cm="1">
        <f t="array" ref="Q73">[1]!unf_pvt_dZdt($D49,Q$36,gg,zcor)*100</f>
        <v>0.11365636880800167</v>
      </c>
      <c r="R73" s="1" cm="1">
        <f t="array" ref="R73">[1]!unf_pvt_dZdt($D49,R$36,gg,zcor)*100</f>
        <v>0.12111405511816553</v>
      </c>
      <c r="S73" s="1" cm="1">
        <f t="array" ref="S73">[1]!unf_pvt_dZdt($D49,S$36,gg,zcor)*100</f>
        <v>0.1273478780532411</v>
      </c>
      <c r="T73" s="1" cm="1">
        <f t="array" ref="T73">[1]!unf_pvt_dZdt($D49,T$36,gg,zcor)*100</f>
        <v>0.13233879116181235</v>
      </c>
      <c r="U73" s="1" cm="1">
        <f t="array" ref="U73">[1]!unf_pvt_dZdt($D49,U$36,gg,zcor)*100</f>
        <v>0.13611151256209819</v>
      </c>
      <c r="V73" s="1" cm="1">
        <f t="array" ref="V73">[1]!unf_pvt_dZdt($D49,V$36,gg,zcor)*100</f>
        <v>0.13872446893636869</v>
      </c>
      <c r="W73" s="1" cm="1">
        <f t="array" ref="W73">[1]!unf_pvt_dZdt($D49,W$36,gg,zcor)*100</f>
        <v>0.14025989918386994</v>
      </c>
      <c r="X73" s="1" cm="1">
        <f t="array" ref="X73">[1]!unf_pvt_dZdt($D49,X$36,gg,zcor)*100</f>
        <v>0.14081496151741035</v>
      </c>
      <c r="Y73" s="1" cm="1">
        <f t="array" ref="Y73">[1]!unf_pvt_dZdt($D49,Y$36,gg,zcor)*100</f>
        <v>0.14049428184703672</v>
      </c>
      <c r="Z73" s="1" cm="1">
        <f t="array" ref="Z73">[1]!unf_pvt_dZdt($D49,Z$36,gg,zcor)*100</f>
        <v>0.13940407915025155</v>
      </c>
      <c r="AA73" s="1" cm="1">
        <f t="array" ref="AA73">[1]!unf_pvt_dZdt($D49,AA$36,gg,zcor)*100</f>
        <v>0.13764780433811463</v>
      </c>
      <c r="AB73" s="1" cm="1">
        <f t="array" ref="AB73">[1]!unf_pvt_dZdt($D49,AB$36,gg,zcor)*100</f>
        <v>0.13532311590758184</v>
      </c>
      <c r="AC73" s="1" cm="1">
        <f t="array" ref="AC73">[1]!unf_pvt_dZdt($D49,AC$36,gg,zcor)*100</f>
        <v>0.13251996592889004</v>
      </c>
      <c r="AD73" s="1" cm="1">
        <f t="array" ref="AD73">[1]!unf_pvt_dZdt($D49,AD$36,gg,zcor)*100</f>
        <v>0.12931956244932596</v>
      </c>
      <c r="AE73" s="1" cm="1">
        <f t="array" ref="AE73">[1]!unf_pvt_dZdt($D49,AE$36,gg,zcor)*100</f>
        <v>0.1257939918763995</v>
      </c>
      <c r="AF73" s="1" cm="1">
        <f t="array" ref="AF73">[1]!unf_pvt_dZdt($D49,AF$36,gg,zcor)*100</f>
        <v>0.12200631477687907</v>
      </c>
      <c r="AG73" s="1" cm="1">
        <f t="array" ref="AG73">[1]!unf_pvt_dZdt($D49,AG$36,gg,zcor)*100</f>
        <v>0.11801098243746644</v>
      </c>
      <c r="AH73" s="1" cm="1">
        <f t="array" ref="AH73">[1]!unf_pvt_dZdt($D49,AH$36,gg,zcor)*100</f>
        <v>0.11385445447242848</v>
      </c>
      <c r="AI73" s="1" cm="1">
        <f t="array" ref="AI73">[1]!unf_pvt_dZdt($D49,AI$36,gg,zcor)*100</f>
        <v>0.10957592711080544</v>
      </c>
      <c r="AJ73" s="1" cm="1">
        <f t="array" ref="AJ73">[1]!unf_pvt_dZdt($D49,AJ$36,gg,zcor)*100</f>
        <v>0.10520810644809586</v>
      </c>
      <c r="AK73" s="1" cm="1">
        <f t="array" ref="AK73">[1]!unf_pvt_dZdt($D49,AK$36,gg,zcor)*100</f>
        <v>0.10077798080632139</v>
      </c>
    </row>
    <row r="74" spans="5:37" x14ac:dyDescent="0.3">
      <c r="E74" t="str">
        <f t="shared" si="3"/>
        <v>t=120 C</v>
      </c>
      <c r="F74" s="1" cm="1">
        <f t="array" ref="F74">[1]!unf_pvt_dZdt($D50,F$36,gg,zcor)*100</f>
        <v>8.7655102021244602E-4</v>
      </c>
      <c r="G74" s="1" cm="1">
        <f t="array" ref="G74">[1]!unf_pvt_dZdt($D50,G$36,gg,zcor)*100</f>
        <v>8.9181416290662341E-3</v>
      </c>
      <c r="H74" s="1" cm="1">
        <f t="array" ref="H74">[1]!unf_pvt_dZdt($D50,H$36,gg,zcor)*100</f>
        <v>1.7361752671307684E-2</v>
      </c>
      <c r="I74" s="1" cm="1">
        <f t="array" ref="I74">[1]!unf_pvt_dZdt($D50,I$36,gg,zcor)*100</f>
        <v>2.6297635642769102E-2</v>
      </c>
      <c r="J74" s="1" cm="1">
        <f t="array" ref="J74">[1]!unf_pvt_dZdt($D50,J$36,gg,zcor)*100</f>
        <v>3.5710170386837881E-2</v>
      </c>
      <c r="K74" s="1" cm="1">
        <f t="array" ref="K74">[1]!unf_pvt_dZdt($D50,K$36,gg,zcor)*100</f>
        <v>4.5493038574817568E-2</v>
      </c>
      <c r="L74" s="1" cm="1">
        <f t="array" ref="L74">[1]!unf_pvt_dZdt($D50,L$36,gg,zcor)*100</f>
        <v>5.5471693012343337E-2</v>
      </c>
      <c r="M74" s="1" cm="1">
        <f t="array" ref="M74">[1]!unf_pvt_dZdt($D50,M$36,gg,zcor)*100</f>
        <v>6.5430118135534343E-2</v>
      </c>
      <c r="N74" s="1" cm="1">
        <f t="array" ref="N74">[1]!unf_pvt_dZdt($D50,N$36,gg,zcor)*100</f>
        <v>7.5137743149489289E-2</v>
      </c>
      <c r="O74" s="1" cm="1">
        <f t="array" ref="O74">[1]!unf_pvt_dZdt($D50,O$36,gg,zcor)*100</f>
        <v>8.437300405261805E-2</v>
      </c>
      <c r="P74" s="1" cm="1">
        <f t="array" ref="P74">[1]!unf_pvt_dZdt($D50,P$36,gg,zcor)*100</f>
        <v>9.2941319739470174E-2</v>
      </c>
      <c r="Q74" s="1" cm="1">
        <f t="array" ref="Q74">[1]!unf_pvt_dZdt($D50,Q$36,gg,zcor)*100</f>
        <v>0.10068662299367315</v>
      </c>
      <c r="R74" s="1" cm="1">
        <f t="array" ref="R74">[1]!unf_pvt_dZdt($D50,R$36,gg,zcor)*100</f>
        <v>0.10749673104104573</v>
      </c>
      <c r="S74" s="1" cm="1">
        <f t="array" ref="S74">[1]!unf_pvt_dZdt($D50,S$36,gg,zcor)*100</f>
        <v>0.1133035923315262</v>
      </c>
      <c r="T74" s="1" cm="1">
        <f t="array" ref="T74">[1]!unf_pvt_dZdt($D50,T$36,gg,zcor)*100</f>
        <v>0.1180797942645917</v>
      </c>
      <c r="U74" s="1" cm="1">
        <f t="array" ref="U74">[1]!unf_pvt_dZdt($D50,U$36,gg,zcor)*100</f>
        <v>0.12183274082899764</v>
      </c>
      <c r="V74" s="1" cm="1">
        <f t="array" ref="V74">[1]!unf_pvt_dZdt($D50,V$36,gg,zcor)*100</f>
        <v>0.1245977249734187</v>
      </c>
      <c r="W74" s="1" cm="1">
        <f t="array" ref="W74">[1]!unf_pvt_dZdt($D50,W$36,gg,zcor)*100</f>
        <v>0.12643083736030292</v>
      </c>
      <c r="X74" s="1" cm="1">
        <f t="array" ref="X74">[1]!unf_pvt_dZdt($D50,X$36,gg,zcor)*100</f>
        <v>0.12740235335306771</v>
      </c>
      <c r="Y74" s="1" cm="1">
        <f t="array" ref="Y74">[1]!unf_pvt_dZdt($D50,Y$36,gg,zcor)*100</f>
        <v>0.12759097408709952</v>
      </c>
      <c r="Z74" s="1" cm="1">
        <f t="array" ref="Z74">[1]!unf_pvt_dZdt($D50,Z$36,gg,zcor)*100</f>
        <v>0.12707908841624871</v>
      </c>
      <c r="AA74" s="1" cm="1">
        <f t="array" ref="AA74">[1]!unf_pvt_dZdt($D50,AA$36,gg,zcor)*100</f>
        <v>0.12594907462071259</v>
      </c>
      <c r="AB74" s="1" cm="1">
        <f t="array" ref="AB74">[1]!unf_pvt_dZdt($D50,AB$36,gg,zcor)*100</f>
        <v>0.12428056721769387</v>
      </c>
      <c r="AC74" s="1" cm="1">
        <f t="array" ref="AC74">[1]!unf_pvt_dZdt($D50,AC$36,gg,zcor)*100</f>
        <v>0.12214856365944105</v>
      </c>
      <c r="AD74" s="1" cm="1">
        <f t="array" ref="AD74">[1]!unf_pvt_dZdt($D50,AD$36,gg,zcor)*100</f>
        <v>0.11962222598893568</v>
      </c>
      <c r="AE74" s="1" cm="1">
        <f t="array" ref="AE74">[1]!unf_pvt_dZdt($D50,AE$36,gg,zcor)*100</f>
        <v>0.11676423303541572</v>
      </c>
      <c r="AF74" s="1" cm="1">
        <f t="array" ref="AF74">[1]!unf_pvt_dZdt($D50,AF$36,gg,zcor)*100</f>
        <v>0.11363055108692954</v>
      </c>
      <c r="AG74" s="1" cm="1">
        <f t="array" ref="AG74">[1]!unf_pvt_dZdt($D50,AG$36,gg,zcor)*100</f>
        <v>0.11027050912060243</v>
      </c>
      <c r="AH74" s="1" cm="1">
        <f t="array" ref="AH74">[1]!unf_pvt_dZdt($D50,AH$36,gg,zcor)*100</f>
        <v>0.10672708461745284</v>
      </c>
      <c r="AI74" s="1" cm="1">
        <f t="array" ref="AI74">[1]!unf_pvt_dZdt($D50,AI$36,gg,zcor)*100</f>
        <v>0.10303732525696052</v>
      </c>
      <c r="AJ74" s="1" cm="1">
        <f t="array" ref="AJ74">[1]!unf_pvt_dZdt($D50,AJ$36,gg,zcor)*100</f>
        <v>9.9232849060659767E-2</v>
      </c>
      <c r="AK74" s="1" cm="1">
        <f t="array" ref="AK74">[1]!unf_pvt_dZdt($D50,AK$36,gg,zcor)*100</f>
        <v>9.5340380278696735E-2</v>
      </c>
    </row>
    <row r="75" spans="5:37" x14ac:dyDescent="0.3">
      <c r="E75" t="str">
        <f t="shared" si="3"/>
        <v>t=130 C</v>
      </c>
      <c r="F75" s="1" cm="1">
        <f t="array" ref="F75">[1]!unf_pvt_dZdt($D51,F$36,gg,zcor)*100</f>
        <v>7.8788885971015077E-4</v>
      </c>
      <c r="G75" s="1" cm="1">
        <f t="array" ref="G75">[1]!unf_pvt_dZdt($D51,G$36,gg,zcor)*100</f>
        <v>8.026980507724879E-3</v>
      </c>
      <c r="H75" s="1" cm="1">
        <f t="array" ref="H75">[1]!unf_pvt_dZdt($D51,H$36,gg,zcor)*100</f>
        <v>1.5618389476390604E-2</v>
      </c>
      <c r="I75" s="1" cm="1">
        <f t="array" ref="I75">[1]!unf_pvt_dZdt($D51,I$36,gg,zcor)*100</f>
        <v>2.3613711117143055E-2</v>
      </c>
      <c r="J75" s="1" cm="1">
        <f t="array" ref="J75">[1]!unf_pvt_dZdt($D51,J$36,gg,zcor)*100</f>
        <v>3.1986071621581402E-2</v>
      </c>
      <c r="K75" s="1" cm="1">
        <f t="array" ref="K75">[1]!unf_pvt_dZdt($D51,K$36,gg,zcor)*100</f>
        <v>4.0642487479591871E-2</v>
      </c>
      <c r="L75" s="1" cm="1">
        <f t="array" ref="L75">[1]!unf_pvt_dZdt($D51,L$36,gg,zcor)*100</f>
        <v>4.9440701995639991E-2</v>
      </c>
      <c r="M75" s="1" cm="1">
        <f t="array" ref="M75">[1]!unf_pvt_dZdt($D51,M$36,gg,zcor)*100</f>
        <v>5.8208761632094763E-2</v>
      </c>
      <c r="N75" s="1" cm="1">
        <f t="array" ref="N75">[1]!unf_pvt_dZdt($D51,N$36,gg,zcor)*100</f>
        <v>6.6764484681902658E-2</v>
      </c>
      <c r="O75" s="1" cm="1">
        <f t="array" ref="O75">[1]!unf_pvt_dZdt($D51,O$36,gg,zcor)*100</f>
        <v>7.4932451931797317E-2</v>
      </c>
      <c r="P75" s="1" cm="1">
        <f t="array" ref="P75">[1]!unf_pvt_dZdt($D51,P$36,gg,zcor)*100</f>
        <v>8.2557047905162939E-2</v>
      </c>
      <c r="Q75" s="1" cm="1">
        <f t="array" ref="Q75">[1]!unf_pvt_dZdt($D51,Q$36,gg,zcor)*100</f>
        <v>8.9511008115272794E-2</v>
      </c>
      <c r="R75" s="1" cm="1">
        <f t="array" ref="R75">[1]!unf_pvt_dZdt($D51,R$36,gg,zcor)*100</f>
        <v>9.5699673812510433E-2</v>
      </c>
      <c r="S75" s="1" cm="1">
        <f t="array" ref="S75">[1]!unf_pvt_dZdt($D51,S$36,gg,zcor)*100</f>
        <v>0.10106163843903726</v>
      </c>
      <c r="T75" s="1" cm="1">
        <f t="array" ref="T75">[1]!unf_pvt_dZdt($D51,T$36,gg,zcor)*100</f>
        <v>0.10556669564210086</v>
      </c>
      <c r="U75" s="1" cm="1">
        <f t="array" ref="U75">[1]!unf_pvt_dZdt($D51,U$36,gg,zcor)*100</f>
        <v>0.10921202260172347</v>
      </c>
      <c r="V75" s="1" cm="1">
        <f t="array" ref="V75">[1]!unf_pvt_dZdt($D51,V$36,gg,zcor)*100</f>
        <v>0.11201742596755881</v>
      </c>
      <c r="W75" s="1" cm="1">
        <f t="array" ref="W75">[1]!unf_pvt_dZdt($D51,W$36,gg,zcor)*100</f>
        <v>0.11402030636442628</v>
      </c>
      <c r="X75" s="1" cm="1">
        <f t="array" ref="X75">[1]!unf_pvt_dZdt($D51,X$36,gg,zcor)*100</f>
        <v>0.11527081047046916</v>
      </c>
      <c r="Y75" s="1" cm="1">
        <f t="array" ref="Y75">[1]!unf_pvt_dZdt($D51,Y$36,gg,zcor)*100</f>
        <v>0.11582746829952306</v>
      </c>
      <c r="Z75" s="1" cm="1">
        <f t="array" ref="Z75">[1]!unf_pvt_dZdt($D51,Z$36,gg,zcor)*100</f>
        <v>0.11575347303272032</v>
      </c>
      <c r="AA75" s="1" cm="1">
        <f t="array" ref="AA75">[1]!unf_pvt_dZdt($D51,AA$36,gg,zcor)*100</f>
        <v>0.1151136561334809</v>
      </c>
      <c r="AB75" s="1" cm="1">
        <f t="array" ref="AB75">[1]!unf_pvt_dZdt($D51,AB$36,gg,zcor)*100</f>
        <v>0.11397213922803573</v>
      </c>
      <c r="AC75" s="1" cm="1">
        <f t="array" ref="AC75">[1]!unf_pvt_dZdt($D51,AC$36,gg,zcor)*100</f>
        <v>0.11239060078238605</v>
      </c>
      <c r="AD75" s="1" cm="1">
        <f t="array" ref="AD75">[1]!unf_pvt_dZdt($D51,AD$36,gg,zcor)*100</f>
        <v>0.11042707336461621</v>
      </c>
      <c r="AE75" s="1" cm="1">
        <f t="array" ref="AE75">[1]!unf_pvt_dZdt($D51,AE$36,gg,zcor)*100</f>
        <v>0.10813517997165789</v>
      </c>
      <c r="AF75" s="1" cm="1">
        <f t="array" ref="AF75">[1]!unf_pvt_dZdt($D51,AF$36,gg,zcor)*100</f>
        <v>0.10556372032355377</v>
      </c>
      <c r="AG75" s="1" cm="1">
        <f t="array" ref="AG75">[1]!unf_pvt_dZdt($D51,AG$36,gg,zcor)*100</f>
        <v>0.1027565261505492</v>
      </c>
      <c r="AH75" s="1" cm="1">
        <f t="array" ref="AH75">[1]!unf_pvt_dZdt($D51,AH$36,gg,zcor)*100</f>
        <v>9.975251535099261E-2</v>
      </c>
      <c r="AI75" s="1" cm="1">
        <f t="array" ref="AI75">[1]!unf_pvt_dZdt($D51,AI$36,gg,zcor)*100</f>
        <v>9.6585886616096239E-2</v>
      </c>
      <c r="AJ75" s="1" cm="1">
        <f t="array" ref="AJ75">[1]!unf_pvt_dZdt($D51,AJ$36,gg,zcor)*100</f>
        <v>9.3286407409576277E-2</v>
      </c>
      <c r="AK75" s="1" cm="1">
        <f t="array" ref="AK75">[1]!unf_pvt_dZdt($D51,AK$36,gg,zcor)*100</f>
        <v>8.9879758417232836E-2</v>
      </c>
    </row>
    <row r="76" spans="5:37" x14ac:dyDescent="0.3">
      <c r="E76" t="str">
        <f t="shared" si="3"/>
        <v>t=140 C</v>
      </c>
      <c r="F76" s="1" cm="1">
        <f t="array" ref="F76">[1]!unf_pvt_dZdt($D52,F$36,gg,zcor)*100</f>
        <v>7.1030110937453372E-4</v>
      </c>
      <c r="G76" s="1" cm="1">
        <f t="array" ref="G76">[1]!unf_pvt_dZdt($D52,G$36,gg,zcor)*100</f>
        <v>7.2469781258188704E-3</v>
      </c>
      <c r="H76" s="1" cm="1">
        <f t="array" ref="H76">[1]!unf_pvt_dZdt($D52,H$36,gg,zcor)*100</f>
        <v>1.4096899870197355E-2</v>
      </c>
      <c r="I76" s="1" cm="1">
        <f t="array" ref="I76">[1]!unf_pvt_dZdt($D52,I$36,gg,zcor)*100</f>
        <v>2.1281840376752292E-2</v>
      </c>
      <c r="J76" s="1" cm="1">
        <f t="array" ref="J76">[1]!unf_pvt_dZdt($D52,J$36,gg,zcor)*100</f>
        <v>2.8765723976031943E-2</v>
      </c>
      <c r="K76" s="1" cm="1">
        <f t="array" ref="K76">[1]!unf_pvt_dZdt($D52,K$36,gg,zcor)*100</f>
        <v>3.6465012578368317E-2</v>
      </c>
      <c r="L76" s="1" cm="1">
        <f t="array" ref="L76">[1]!unf_pvt_dZdt($D52,L$36,gg,zcor)*100</f>
        <v>4.4261429991254708E-2</v>
      </c>
      <c r="M76" s="1" cm="1">
        <f t="array" ref="M76">[1]!unf_pvt_dZdt($D52,M$36,gg,zcor)*100</f>
        <v>5.2016276470778777E-2</v>
      </c>
      <c r="N76" s="1" cm="1">
        <f t="array" ref="N76">[1]!unf_pvt_dZdt($D52,N$36,gg,zcor)*100</f>
        <v>5.9584440187498977E-2</v>
      </c>
      <c r="O76" s="1" cm="1">
        <f t="array" ref="O76">[1]!unf_pvt_dZdt($D52,O$36,gg,zcor)*100</f>
        <v>6.682653643941272E-2</v>
      </c>
      <c r="P76" s="1" cm="1">
        <f t="array" ref="P76">[1]!unf_pvt_dZdt($D52,P$36,gg,zcor)*100</f>
        <v>7.3618230178151833E-2</v>
      </c>
      <c r="Q76" s="1" cm="1">
        <f t="array" ref="Q76">[1]!unf_pvt_dZdt($D52,Q$36,gg,zcor)*100</f>
        <v>7.9856417818158221E-2</v>
      </c>
      <c r="R76" s="1" cm="1">
        <f t="array" ref="R76">[1]!unf_pvt_dZdt($D52,R$36,gg,zcor)*100</f>
        <v>8.5462427592442047E-2</v>
      </c>
      <c r="S76" s="1" cm="1">
        <f t="array" ref="S76">[1]!unf_pvt_dZdt($D52,S$36,gg,zcor)*100</f>
        <v>9.0382702617741728E-2</v>
      </c>
      <c r="T76" s="1" cm="1">
        <f t="array" ref="T76">[1]!unf_pvt_dZdt($D52,T$36,gg,zcor)*100</f>
        <v>9.4587570940718457E-2</v>
      </c>
      <c r="U76" s="1" cm="1">
        <f t="array" ref="U76">[1]!unf_pvt_dZdt($D52,U$36,gg,zcor)*100</f>
        <v>9.8068721576360929E-2</v>
      </c>
      <c r="V76" s="1" cm="1">
        <f t="array" ref="V76">[1]!unf_pvt_dZdt($D52,V$36,gg,zcor)*100</f>
        <v>0.10083594032950227</v>
      </c>
      <c r="W76" s="1" cm="1">
        <f t="array" ref="W76">[1]!unf_pvt_dZdt($D52,W$36,gg,zcor)*100</f>
        <v>0.10291355369340671</v>
      </c>
      <c r="X76" s="1" cm="1">
        <f t="array" ref="X76">[1]!unf_pvt_dZdt($D52,X$36,gg,zcor)*100</f>
        <v>0.1043369126216831</v>
      </c>
      <c r="Y76" s="1" cm="1">
        <f t="array" ref="Y76">[1]!unf_pvt_dZdt($D52,Y$36,gg,zcor)*100</f>
        <v>0.10514913899972722</v>
      </c>
      <c r="Z76" s="1" cm="1">
        <f t="array" ref="Z76">[1]!unf_pvt_dZdt($D52,Z$36,gg,zcor)*100</f>
        <v>0.10539826588606971</v>
      </c>
      <c r="AA76" s="1" cm="1">
        <f t="array" ref="AA76">[1]!unf_pvt_dZdt($D52,AA$36,gg,zcor)*100</f>
        <v>0.10513483144458657</v>
      </c>
      <c r="AB76" s="1" cm="1">
        <f t="array" ref="AB76">[1]!unf_pvt_dZdt($D52,AB$36,gg,zcor)*100</f>
        <v>0.10440993531002363</v>
      </c>
      <c r="AC76" s="1" cm="1">
        <f t="array" ref="AC76">[1]!unf_pvt_dZdt($D52,AC$36,gg,zcor)*100</f>
        <v>0.10327373228447012</v>
      </c>
      <c r="AD76" s="1" cm="1">
        <f t="array" ref="AD76">[1]!unf_pvt_dZdt($D52,AD$36,gg,zcor)*100</f>
        <v>0.1017743182487596</v>
      </c>
      <c r="AE76" s="1" cm="1">
        <f t="array" ref="AE76">[1]!unf_pvt_dZdt($D52,AE$36,gg,zcor)*100</f>
        <v>9.9956953503954615E-2</v>
      </c>
      <c r="AF76" s="1" cm="1">
        <f t="array" ref="AF76">[1]!unf_pvt_dZdt($D52,AF$36,gg,zcor)*100</f>
        <v>9.786356632512927E-2</v>
      </c>
      <c r="AG76" s="1" cm="1">
        <f t="array" ref="AG76">[1]!unf_pvt_dZdt($D52,AG$36,gg,zcor)*100</f>
        <v>9.5532481775073563E-2</v>
      </c>
      <c r="AH76" s="1" cm="1">
        <f t="array" ref="AH76">[1]!unf_pvt_dZdt($D52,AH$36,gg,zcor)*100</f>
        <v>9.2998325888826727E-2</v>
      </c>
      <c r="AI76" s="1" cm="1">
        <f t="array" ref="AI76">[1]!unf_pvt_dZdt($D52,AI$36,gg,zcor)*100</f>
        <v>9.0292061739272178E-2</v>
      </c>
      <c r="AJ76" s="1" cm="1">
        <f t="array" ref="AJ76">[1]!unf_pvt_dZdt($D52,AJ$36,gg,zcor)*100</f>
        <v>8.7441120744324863E-2</v>
      </c>
      <c r="AK76" s="1" cm="1">
        <f t="array" ref="AK76">[1]!unf_pvt_dZdt($D52,AK$36,gg,zcor)*100</f>
        <v>8.446959918906316E-2</v>
      </c>
    </row>
    <row r="77" spans="5:37" x14ac:dyDescent="0.3">
      <c r="E77" t="str">
        <f t="shared" si="3"/>
        <v>t=150 C</v>
      </c>
      <c r="F77" s="1" cm="1">
        <f t="array" ref="F77">[1]!unf_pvt_dZdt($D53,F$36,gg,zcor)*100</f>
        <v>6.4212047512501869E-4</v>
      </c>
      <c r="G77" s="1" cm="1">
        <f t="array" ref="G77">[1]!unf_pvt_dZdt($D53,G$36,gg,zcor)*100</f>
        <v>6.5613723170265814E-3</v>
      </c>
      <c r="H77" s="1" cm="1">
        <f t="array" ref="H77">[1]!unf_pvt_dZdt($D53,H$36,gg,zcor)*100</f>
        <v>1.2762839885827049E-2</v>
      </c>
      <c r="I77" s="1" cm="1">
        <f t="array" ref="I77">[1]!unf_pvt_dZdt($D53,I$36,gg,zcor)*100</f>
        <v>1.9245379605403734E-2</v>
      </c>
      <c r="J77" s="1" cm="1">
        <f t="array" ref="J77">[1]!unf_pvt_dZdt($D53,J$36,gg,zcor)*100</f>
        <v>2.5965590650378623E-2</v>
      </c>
      <c r="K77" s="1" cm="1">
        <f t="array" ref="K77">[1]!unf_pvt_dZdt($D53,K$36,gg,zcor)*100</f>
        <v>3.284677596260277E-2</v>
      </c>
      <c r="L77" s="1" cm="1">
        <f t="array" ref="L77">[1]!unf_pvt_dZdt($D53,L$36,gg,zcor)*100</f>
        <v>3.9788644160432263E-2</v>
      </c>
      <c r="M77" s="1" cm="1">
        <f t="array" ref="M77">[1]!unf_pvt_dZdt($D53,M$36,gg,zcor)*100</f>
        <v>4.6677748313794787E-2</v>
      </c>
      <c r="N77" s="1" cm="1">
        <f t="array" ref="N77">[1]!unf_pvt_dZdt($D53,N$36,gg,zcor)*100</f>
        <v>5.3397474429228708E-2</v>
      </c>
      <c r="O77" s="1" cm="1">
        <f t="array" ref="O77">[1]!unf_pvt_dZdt($D53,O$36,gg,zcor)*100</f>
        <v>5.9836584442418683E-2</v>
      </c>
      <c r="P77" s="1" cm="1">
        <f t="array" ref="P77">[1]!unf_pvt_dZdt($D53,P$36,gg,zcor)*100</f>
        <v>6.5895738014298821E-2</v>
      </c>
      <c r="Q77" s="1" cm="1">
        <f t="array" ref="Q77">[1]!unf_pvt_dZdt($D53,Q$36,gg,zcor)*100</f>
        <v>7.1491823463443183E-2</v>
      </c>
      <c r="R77" s="1" cm="1">
        <f t="array" ref="R77">[1]!unf_pvt_dZdt($D53,R$36,gg,zcor)*100</f>
        <v>7.656023413660229E-2</v>
      </c>
      <c r="S77" s="1" cm="1">
        <f t="array" ref="S77">[1]!unf_pvt_dZdt($D53,S$36,gg,zcor)*100</f>
        <v>8.1055412900932211E-2</v>
      </c>
      <c r="T77" s="1" cm="1">
        <f t="array" ref="T77">[1]!unf_pvt_dZdt($D53,T$36,gg,zcor)*100</f>
        <v>8.495006900477442E-2</v>
      </c>
      <c r="U77" s="1" cm="1">
        <f t="array" ref="U77">[1]!unf_pvt_dZdt($D53,U$36,gg,zcor)*100</f>
        <v>8.8233476377319597E-2</v>
      </c>
      <c r="V77" s="1" cm="1">
        <f t="array" ref="V77">[1]!unf_pvt_dZdt($D53,V$36,gg,zcor)*100</f>
        <v>9.0909219695123333E-2</v>
      </c>
      <c r="W77" s="1" cm="1">
        <f t="array" ref="W77">[1]!unf_pvt_dZdt($D53,W$36,gg,zcor)*100</f>
        <v>9.2992688351056785E-2</v>
      </c>
      <c r="X77" s="1" cm="1">
        <f t="array" ref="X77">[1]!unf_pvt_dZdt($D53,X$36,gg,zcor)*100</f>
        <v>9.4508545859794957E-2</v>
      </c>
      <c r="Y77" s="1" cm="1">
        <f t="array" ref="Y77">[1]!unf_pvt_dZdt($D53,Y$36,gg,zcor)*100</f>
        <v>9.5488333922477686E-2</v>
      </c>
      <c r="Z77" s="1" cm="1">
        <f t="array" ref="Z77">[1]!unf_pvt_dZdt($D53,Z$36,gg,zcor)*100</f>
        <v>9.5968311853766863E-2</v>
      </c>
      <c r="AA77" s="1" cm="1">
        <f t="array" ref="AA77">[1]!unf_pvt_dZdt($D53,AA$36,gg,zcor)*100</f>
        <v>9.5987585396750674E-2</v>
      </c>
      <c r="AB77" s="1" cm="1">
        <f t="array" ref="AB77">[1]!unf_pvt_dZdt($D53,AB$36,gg,zcor)*100</f>
        <v>9.5586544013315233E-2</v>
      </c>
      <c r="AC77" s="1" cm="1">
        <f t="array" ref="AC77">[1]!unf_pvt_dZdt($D53,AC$36,gg,zcor)*100</f>
        <v>9.4805601187686328E-2</v>
      </c>
      <c r="AD77" s="1" cm="1">
        <f t="array" ref="AD77">[1]!unf_pvt_dZdt($D53,AD$36,gg,zcor)*100</f>
        <v>9.3684216366241024E-2</v>
      </c>
      <c r="AE77" s="1" cm="1">
        <f t="array" ref="AE77">[1]!unf_pvt_dZdt($D53,AE$36,gg,zcor)*100</f>
        <v>9.226016796604064E-2</v>
      </c>
      <c r="AF77" s="1" cm="1">
        <f t="array" ref="AF77">[1]!unf_pvt_dZdt($D53,AF$36,gg,zcor)*100</f>
        <v>9.0569042650257003E-2</v>
      </c>
      <c r="AG77" s="1" cm="1">
        <f t="array" ref="AG77">[1]!unf_pvt_dZdt($D53,AG$36,gg,zcor)*100</f>
        <v>8.8643905407415069E-2</v>
      </c>
      <c r="AH77" s="1" cm="1">
        <f t="array" ref="AH77">[1]!unf_pvt_dZdt($D53,AH$36,gg,zcor)*100</f>
        <v>8.6515116533680825E-2</v>
      </c>
      <c r="AI77" s="1" cm="1">
        <f t="array" ref="AI77">[1]!unf_pvt_dZdt($D53,AI$36,gg,zcor)*100</f>
        <v>8.4210264655548706E-2</v>
      </c>
      <c r="AJ77" s="1" cm="1">
        <f t="array" ref="AJ77">[1]!unf_pvt_dZdt($D53,AJ$36,gg,zcor)*100</f>
        <v>8.1754188616667278E-2</v>
      </c>
      <c r="AK77" s="1" cm="1">
        <f t="array" ref="AK77">[1]!unf_pvt_dZdt($D53,AK$36,gg,zcor)*100</f>
        <v>7.9169065025141983E-2</v>
      </c>
    </row>
    <row r="78" spans="5:37" x14ac:dyDescent="0.3">
      <c r="E78" t="str">
        <f t="shared" si="3"/>
        <v>t=160 C</v>
      </c>
      <c r="F78" s="1" cm="1">
        <f t="array" ref="F78">[1]!unf_pvt_dZdt($D54,F$36,gg,zcor)*100</f>
        <v>5.8197297303497209E-4</v>
      </c>
      <c r="G78" s="1" cm="1">
        <f t="array" ref="G78">[1]!unf_pvt_dZdt($D54,G$36,gg,zcor)*100</f>
        <v>5.9563640116833128E-3</v>
      </c>
      <c r="H78" s="1" cm="1">
        <f t="array" ref="H78">[1]!unf_pvt_dZdt($D54,H$36,gg,zcor)*100</f>
        <v>1.1588056029299132E-2</v>
      </c>
      <c r="I78" s="1" cm="1">
        <f t="array" ref="I78">[1]!unf_pvt_dZdt($D54,I$36,gg,zcor)*100</f>
        <v>1.7458388383628787E-2</v>
      </c>
      <c r="J78" s="1" cm="1">
        <f t="array" ref="J78">[1]!unf_pvt_dZdt($D54,J$36,gg,zcor)*100</f>
        <v>2.3518295818814039E-2</v>
      </c>
      <c r="K78" s="1" cm="1">
        <f t="array" ref="K78">[1]!unf_pvt_dZdt($D54,K$36,gg,zcor)*100</f>
        <v>2.9696186452210505E-2</v>
      </c>
      <c r="L78" s="1" cm="1">
        <f t="array" ref="L78">[1]!unf_pvt_dZdt($D54,L$36,gg,zcor)*100</f>
        <v>3.5905405413316771E-2</v>
      </c>
      <c r="M78" s="1" cm="1">
        <f t="array" ref="M78">[1]!unf_pvt_dZdt($D54,M$36,gg,zcor)*100</f>
        <v>4.2051806619203269E-2</v>
      </c>
      <c r="N78" s="1" cm="1">
        <f t="array" ref="N78">[1]!unf_pvt_dZdt($D54,N$36,gg,zcor)*100</f>
        <v>4.8040764382251133E-2</v>
      </c>
      <c r="O78" s="1" cm="1">
        <f t="array" ref="O78">[1]!unf_pvt_dZdt($D54,O$36,gg,zcor)*100</f>
        <v>5.3783043619914928E-2</v>
      </c>
      <c r="P78" s="1" cm="1">
        <f t="array" ref="P78">[1]!unf_pvt_dZdt($D54,P$36,gg,zcor)*100</f>
        <v>5.9199213667149309E-2</v>
      </c>
      <c r="Q78" s="1" cm="1">
        <f t="array" ref="Q78">[1]!unf_pvt_dZdt($D54,Q$36,gg,zcor)*100</f>
        <v>6.4222544341019372E-2</v>
      </c>
      <c r="R78" s="1" cm="1">
        <f t="array" ref="R78">[1]!unf_pvt_dZdt($D54,R$36,gg,zcor)*100</f>
        <v>6.8800507034838532E-2</v>
      </c>
      <c r="S78" s="1" cm="1">
        <f t="array" ref="S78">[1]!unf_pvt_dZdt($D54,S$36,gg,zcor)*100</f>
        <v>7.2895110081572234E-2</v>
      </c>
      <c r="T78" s="1" cm="1">
        <f t="array" ref="T78">[1]!unf_pvt_dZdt($D54,T$36,gg,zcor)*100</f>
        <v>7.648233946777605E-2</v>
      </c>
      <c r="U78" s="1" cm="1">
        <f t="array" ref="U78">[1]!unf_pvt_dZdt($D54,U$36,gg,zcor)*100</f>
        <v>7.9550972668429587E-2</v>
      </c>
      <c r="V78" s="1" cm="1">
        <f t="array" ref="V78">[1]!unf_pvt_dZdt($D54,V$36,gg,zcor)*100</f>
        <v>8.2101003451184873E-2</v>
      </c>
      <c r="W78" s="1" cm="1">
        <f t="array" ref="W78">[1]!unf_pvt_dZdt($D54,W$36,gg,zcor)*100</f>
        <v>8.4141873163745551E-2</v>
      </c>
      <c r="X78" s="1" cm="1">
        <f t="array" ref="X78">[1]!unf_pvt_dZdt($D54,X$36,gg,zcor)*100</f>
        <v>8.5690659029635796E-2</v>
      </c>
      <c r="Y78" s="1" cm="1">
        <f t="array" ref="Y78">[1]!unf_pvt_dZdt($D54,Y$36,gg,zcor)*100</f>
        <v>8.6770327947016668E-2</v>
      </c>
      <c r="Z78" s="1" cm="1">
        <f t="array" ref="Z78">[1]!unf_pvt_dZdt($D54,Z$36,gg,zcor)*100</f>
        <v>8.7408128099486504E-2</v>
      </c>
      <c r="AA78" s="1" cm="1">
        <f t="array" ref="AA78">[1]!unf_pvt_dZdt($D54,AA$36,gg,zcor)*100</f>
        <v>8.7634161325511606E-2</v>
      </c>
      <c r="AB78" s="1" cm="1">
        <f t="array" ref="AB78">[1]!unf_pvt_dZdt($D54,AB$36,gg,zcor)*100</f>
        <v>8.7480156521491104E-2</v>
      </c>
      <c r="AC78" s="1" cm="1">
        <f t="array" ref="AC78">[1]!unf_pvt_dZdt($D54,AC$36,gg,zcor)*100</f>
        <v>8.6978447705665651E-2</v>
      </c>
      <c r="AD78" s="1" cm="1">
        <f t="array" ref="AD78">[1]!unf_pvt_dZdt($D54,AD$36,gg,zcor)*100</f>
        <v>8.616114876269787E-2</v>
      </c>
      <c r="AE78" s="1" cm="1">
        <f t="array" ref="AE78">[1]!unf_pvt_dZdt($D54,AE$36,gg,zcor)*100</f>
        <v>8.5059509442153569E-2</v>
      </c>
      <c r="AF78" s="1" cm="1">
        <f t="array" ref="AF78">[1]!unf_pvt_dZdt($D54,AF$36,gg,zcor)*100</f>
        <v>8.3703432872339611E-2</v>
      </c>
      <c r="AG78" s="1" cm="1">
        <f t="array" ref="AG78">[1]!unf_pvt_dZdt($D54,AG$36,gg,zcor)*100</f>
        <v>8.2121132948698161E-2</v>
      </c>
      <c r="AH78" s="1" cm="1">
        <f t="array" ref="AH78">[1]!unf_pvt_dZdt($D54,AH$36,gg,zcor)*100</f>
        <v>8.0338909759336552E-2</v>
      </c>
      <c r="AI78" s="1" cm="1">
        <f t="array" ref="AI78">[1]!unf_pvt_dZdt($D54,AI$36,gg,zcor)*100</f>
        <v>7.8381022174389692E-2</v>
      </c>
      <c r="AJ78" s="1" cm="1">
        <f t="array" ref="AJ78">[1]!unf_pvt_dZdt($D54,AJ$36,gg,zcor)*100</f>
        <v>7.6269638400017215E-2</v>
      </c>
      <c r="AK78" s="1" cm="1">
        <f t="array" ref="AK78">[1]!unf_pvt_dZdt($D54,AK$36,gg,zcor)*100</f>
        <v>7.4024847413700634E-2</v>
      </c>
    </row>
    <row r="79" spans="5:37" x14ac:dyDescent="0.3">
      <c r="E79" t="str">
        <f t="shared" si="3"/>
        <v>t=170 C</v>
      </c>
      <c r="F79" s="1" cm="1">
        <f t="array" ref="F79">[1]!unf_pvt_dZdt($D55,F$36,gg,zcor)*100</f>
        <v>5.2871961164768777E-4</v>
      </c>
      <c r="G79" s="1" cm="1">
        <f t="array" ref="G79">[1]!unf_pvt_dZdt($D55,G$36,gg,zcor)*100</f>
        <v>5.4205232391524305E-3</v>
      </c>
      <c r="H79" s="1" cm="1">
        <f t="array" ref="H79">[1]!unf_pvt_dZdt($D55,H$36,gg,zcor)*100</f>
        <v>1.0549381601943075E-2</v>
      </c>
      <c r="I79" s="1" cm="1">
        <f t="array" ref="I79">[1]!unf_pvt_dZdt($D55,I$36,gg,zcor)*100</f>
        <v>1.5883344543943245E-2</v>
      </c>
      <c r="J79" s="1" cm="1">
        <f t="array" ref="J79">[1]!unf_pvt_dZdt($D55,J$36,gg,zcor)*100</f>
        <v>2.1369118451963764E-2</v>
      </c>
      <c r="K79" s="1" cm="1">
        <f t="array" ref="K79">[1]!unf_pvt_dZdt($D55,K$36,gg,zcor)*100</f>
        <v>2.6939067707010267E-2</v>
      </c>
      <c r="L79" s="1" cm="1">
        <f t="array" ref="L79">[1]!unf_pvt_dZdt($D55,L$36,gg,zcor)*100</f>
        <v>3.2517005728815995E-2</v>
      </c>
      <c r="M79" s="1" cm="1">
        <f t="array" ref="M79">[1]!unf_pvt_dZdt($D55,M$36,gg,zcor)*100</f>
        <v>3.802363942984055E-2</v>
      </c>
      <c r="N79" s="1" cm="1">
        <f t="array" ref="N79">[1]!unf_pvt_dZdt($D55,N$36,gg,zcor)*100</f>
        <v>4.3381373797002354E-2</v>
      </c>
      <c r="O79" s="1" cm="1">
        <f t="array" ref="O79">[1]!unf_pvt_dZdt($D55,O$36,gg,zcor)*100</f>
        <v>4.8518193801694309E-2</v>
      </c>
      <c r="P79" s="1" cm="1">
        <f t="array" ref="P79">[1]!unf_pvt_dZdt($D55,P$36,gg,zcor)*100</f>
        <v>5.337049395814919E-2</v>
      </c>
      <c r="Q79" s="1" cm="1">
        <f t="array" ref="Q79">[1]!unf_pvt_dZdt($D55,Q$36,gg,zcor)*100</f>
        <v>5.7884870422575396E-2</v>
      </c>
      <c r="R79" s="1" cm="1">
        <f t="array" ref="R79">[1]!unf_pvt_dZdt($D55,R$36,gg,zcor)*100</f>
        <v>6.2018989834378146E-2</v>
      </c>
      <c r="S79" s="1" cm="1">
        <f t="array" ref="S79">[1]!unf_pvt_dZdt($D55,S$36,gg,zcor)*100</f>
        <v>6.5741701064103708E-2</v>
      </c>
      <c r="T79" s="1" cm="1">
        <f t="array" ref="T79">[1]!unf_pvt_dZdt($D55,T$36,gg,zcor)*100</f>
        <v>6.9032570946481187E-2</v>
      </c>
      <c r="U79" s="1" cm="1">
        <f t="array" ref="U79">[1]!unf_pvt_dZdt($D55,U$36,gg,zcor)*100</f>
        <v>7.1881015836217088E-2</v>
      </c>
      <c r="V79" s="1" cm="1">
        <f t="array" ref="V79">[1]!unf_pvt_dZdt($D55,V$36,gg,zcor)*100</f>
        <v>7.4285178529809315E-2</v>
      </c>
      <c r="W79" s="1" cm="1">
        <f t="array" ref="W79">[1]!unf_pvt_dZdt($D55,W$36,gg,zcor)*100</f>
        <v>7.6250672696009936E-2</v>
      </c>
      <c r="X79" s="1" cm="1">
        <f t="array" ref="X79">[1]!unf_pvt_dZdt($D55,X$36,gg,zcor)*100</f>
        <v>7.7789289452900867E-2</v>
      </c>
      <c r="Y79" s="1" cm="1">
        <f t="array" ref="Y79">[1]!unf_pvt_dZdt($D55,Y$36,gg,zcor)*100</f>
        <v>7.8917735712669135E-2</v>
      </c>
      <c r="Z79" s="1" cm="1">
        <f t="array" ref="Z79">[1]!unf_pvt_dZdt($D55,Z$36,gg,zcor)*100</f>
        <v>7.9656452582010928E-2</v>
      </c>
      <c r="AA79" s="1" cm="1">
        <f t="array" ref="AA79">[1]!unf_pvt_dZdt($D55,AA$36,gg,zcor)*100</f>
        <v>8.0028544667487544E-2</v>
      </c>
      <c r="AB79" s="1" cm="1">
        <f t="array" ref="AB79">[1]!unf_pvt_dZdt($D55,AB$36,gg,zcor)*100</f>
        <v>8.0058837385932335E-2</v>
      </c>
      <c r="AC79" s="1" cm="1">
        <f t="array" ref="AC79">[1]!unf_pvt_dZdt($D55,AC$36,gg,zcor)*100</f>
        <v>7.9773068878519204E-2</v>
      </c>
      <c r="AD79" s="1" cm="1">
        <f t="array" ref="AD79">[1]!unf_pvt_dZdt($D55,AD$36,gg,zcor)*100</f>
        <v>7.9197215418602696E-2</v>
      </c>
      <c r="AE79" s="1" cm="1">
        <f t="array" ref="AE79">[1]!unf_pvt_dZdt($D55,AE$36,gg,zcor)*100</f>
        <v>7.8356943756463515E-2</v>
      </c>
      <c r="AF79" s="1" cm="1">
        <f t="array" ref="AF79">[1]!unf_pvt_dZdt($D55,AF$36,gg,zcor)*100</f>
        <v>7.7277180288048974E-2</v>
      </c>
      <c r="AG79" s="1" cm="1">
        <f t="array" ref="AG79">[1]!unf_pvt_dZdt($D55,AG$36,gg,zcor)*100</f>
        <v>7.5981784813494713E-2</v>
      </c>
      <c r="AH79" s="1" cm="1">
        <f t="array" ref="AH79">[1]!unf_pvt_dZdt($D55,AH$36,gg,zcor)*100</f>
        <v>7.4493315701085194E-2</v>
      </c>
      <c r="AI79" s="1" cm="1">
        <f t="array" ref="AI79">[1]!unf_pvt_dZdt($D55,AI$36,gg,zcor)*100</f>
        <v>7.283287311210529E-2</v>
      </c>
      <c r="AJ79" s="1" cm="1">
        <f t="array" ref="AJ79">[1]!unf_pvt_dZdt($D55,AJ$36,gg,zcor)*100</f>
        <v>7.102000744874104E-2</v>
      </c>
      <c r="AK79" s="1" cm="1">
        <f t="array" ref="AK79">[1]!unf_pvt_dZdt($D55,AK$36,gg,zcor)*100</f>
        <v>6.9072681043613748E-2</v>
      </c>
    </row>
    <row r="80" spans="5:37" x14ac:dyDescent="0.3">
      <c r="E80" t="str">
        <f t="shared" si="3"/>
        <v>t=180 C</v>
      </c>
      <c r="F80" s="1" cm="1">
        <f t="array" ref="F80">[1]!unf_pvt_dZdt($D56,F$36,gg,zcor)*100</f>
        <v>4.8141079023178435E-4</v>
      </c>
      <c r="G80" s="1" cm="1">
        <f t="array" ref="G80">[1]!unf_pvt_dZdt($D56,G$36,gg,zcor)*100</f>
        <v>4.9443260647930032E-3</v>
      </c>
      <c r="H80" s="1" cm="1">
        <f t="array" ref="H80">[1]!unf_pvt_dZdt($D56,H$36,gg,zcor)*100</f>
        <v>9.6276302052888951E-3</v>
      </c>
      <c r="I80" s="1" cm="1">
        <f t="array" ref="I80">[1]!unf_pvt_dZdt($D56,I$36,gg,zcor)*100</f>
        <v>1.448939370796154E-2</v>
      </c>
      <c r="J80" s="1" cm="1">
        <f t="array" ref="J80">[1]!unf_pvt_dZdt($D56,J$36,gg,zcor)*100</f>
        <v>1.947331496610083E-2</v>
      </c>
      <c r="K80" s="1" cm="1">
        <f t="array" ref="K80">[1]!unf_pvt_dZdt($D56,K$36,gg,zcor)*100</f>
        <v>2.4514961296739912E-2</v>
      </c>
      <c r="L80" s="1" cm="1">
        <f t="array" ref="L80">[1]!unf_pvt_dZdt($D56,L$36,gg,zcor)*100</f>
        <v>2.9546296164917329E-2</v>
      </c>
      <c r="M80" s="1" cm="1">
        <f t="array" ref="M80">[1]!unf_pvt_dZdt($D56,M$36,gg,zcor)*100</f>
        <v>3.4499541717414317E-2</v>
      </c>
      <c r="N80" s="1" cm="1">
        <f t="array" ref="N80">[1]!unf_pvt_dZdt($D56,N$36,gg,zcor)*100</f>
        <v>3.9310347035081961E-2</v>
      </c>
      <c r="O80" s="1" cm="1">
        <f t="array" ref="O80">[1]!unf_pvt_dZdt($D56,O$36,gg,zcor)*100</f>
        <v>4.3920192510316092E-2</v>
      </c>
      <c r="P80" s="1" cm="1">
        <f t="array" ref="P80">[1]!unf_pvt_dZdt($D56,P$36,gg,zcor)*100</f>
        <v>4.8278032232618173E-2</v>
      </c>
      <c r="Q80" s="1" cm="1">
        <f t="array" ref="Q80">[1]!unf_pvt_dZdt($D56,Q$36,gg,zcor)*100</f>
        <v>5.234124293596043E-2</v>
      </c>
      <c r="R80" s="1" cm="1">
        <f t="array" ref="R80">[1]!unf_pvt_dZdt($D56,R$36,gg,zcor)*100</f>
        <v>5.6075987947212802E-2</v>
      </c>
      <c r="S80" s="1" cm="1">
        <f t="array" ref="S80">[1]!unf_pvt_dZdt($D56,S$36,gg,zcor)*100</f>
        <v>5.9457119071848474E-2</v>
      </c>
      <c r="T80" s="1" cm="1">
        <f t="array" ref="T80">[1]!unf_pvt_dZdt($D56,T$36,gg,zcor)*100</f>
        <v>6.2467735978954941E-2</v>
      </c>
      <c r="U80" s="1" cm="1">
        <f t="array" ref="U80">[1]!unf_pvt_dZdt($D56,U$36,gg,zcor)*100</f>
        <v>6.5098509278271877E-2</v>
      </c>
      <c r="V80" s="1" cm="1">
        <f t="array" ref="V80">[1]!unf_pvt_dZdt($D56,V$36,gg,zcor)*100</f>
        <v>6.7346856014061096E-2</v>
      </c>
      <c r="W80" s="1" cm="1">
        <f t="array" ref="W80">[1]!unf_pvt_dZdt($D56,W$36,gg,zcor)*100</f>
        <v>6.9216038432240445E-2</v>
      </c>
      <c r="X80" s="1" cm="1">
        <f t="array" ref="X80">[1]!unf_pvt_dZdt($D56,X$36,gg,zcor)*100</f>
        <v>7.0714240614555557E-2</v>
      </c>
      <c r="Y80" s="1" cm="1">
        <f t="array" ref="Y80">[1]!unf_pvt_dZdt($D56,Y$36,gg,zcor)*100</f>
        <v>7.1853663609400265E-2</v>
      </c>
      <c r="Z80" s="1" cm="1">
        <f t="array" ref="Z80">[1]!unf_pvt_dZdt($D56,Z$36,gg,zcor)*100</f>
        <v>7.2649668152013902E-2</v>
      </c>
      <c r="AA80" s="1" cm="1">
        <f t="array" ref="AA80">[1]!unf_pvt_dZdt($D56,AA$36,gg,zcor)*100</f>
        <v>7.3119984718261755E-2</v>
      </c>
      <c r="AB80" s="1" cm="1">
        <f t="array" ref="AB80">[1]!unf_pvt_dZdt($D56,AB$36,gg,zcor)*100</f>
        <v>7.3284003187512603E-2</v>
      </c>
      <c r="AC80" s="1" cm="1">
        <f t="array" ref="AC80">[1]!unf_pvt_dZdt($D56,AC$36,gg,zcor)*100</f>
        <v>7.3162148473415733E-2</v>
      </c>
      <c r="AD80" s="1" cm="1">
        <f t="array" ref="AD80">[1]!unf_pvt_dZdt($D56,AD$36,gg,zcor)*100</f>
        <v>7.2775343897268918E-2</v>
      </c>
      <c r="AE80" s="1" cm="1">
        <f t="array" ref="AE80">[1]!unf_pvt_dZdt($D56,AE$36,gg,zcor)*100</f>
        <v>7.2144560555820192E-2</v>
      </c>
      <c r="AF80" s="1" cm="1">
        <f t="array" ref="AF80">[1]!unf_pvt_dZdt($D56,AF$36,gg,zcor)*100</f>
        <v>7.1290448376504223E-2</v>
      </c>
      <c r="AG80" s="1" cm="1">
        <f t="array" ref="AG80">[1]!unf_pvt_dZdt($D56,AG$36,gg,zcor)*100</f>
        <v>7.0233042730905026E-2</v>
      </c>
      <c r="AH80" s="1" cm="1">
        <f t="array" ref="AH80">[1]!unf_pvt_dZdt($D56,AH$36,gg,zcor)*100</f>
        <v>6.8991539348473019E-2</v>
      </c>
      <c r="AI80" s="1" cm="1">
        <f t="array" ref="AI80">[1]!unf_pvt_dZdt($D56,AI$36,gg,zcor)*100</f>
        <v>6.7584129656239611E-2</v>
      </c>
      <c r="AJ80" s="1" cm="1">
        <f t="array" ref="AJ80">[1]!unf_pvt_dZdt($D56,AJ$36,gg,zcor)*100</f>
        <v>6.6027888481201558E-2</v>
      </c>
      <c r="AK80" s="1" cm="1">
        <f t="array" ref="AK80">[1]!unf_pvt_dZdt($D56,AK$36,gg,zcor)*100</f>
        <v>6.4338706230460119E-2</v>
      </c>
    </row>
    <row r="81" spans="5:37" x14ac:dyDescent="0.3">
      <c r="E81" t="str">
        <f t="shared" si="3"/>
        <v>t=190 C</v>
      </c>
      <c r="F81" s="1" cm="1">
        <f t="array" ref="F81">[1]!unf_pvt_dZdt($D57,F$36,gg,zcor)*100</f>
        <v>4.3925044790338319E-4</v>
      </c>
      <c r="G81" s="1" cm="1">
        <f t="array" ref="G81">[1]!unf_pvt_dZdt($D57,G$36,gg,zcor)*100</f>
        <v>4.5197915223837981E-3</v>
      </c>
      <c r="H81" s="1" cm="1">
        <f t="array" ref="H81">[1]!unf_pvt_dZdt($D57,H$36,gg,zcor)*100</f>
        <v>8.8068136686603182E-3</v>
      </c>
      <c r="I81" s="1" cm="1">
        <f t="array" ref="I81">[1]!unf_pvt_dZdt($D57,I$36,gg,zcor)*100</f>
        <v>1.3250999348235482E-2</v>
      </c>
      <c r="J81" s="1" cm="1">
        <f t="array" ref="J81">[1]!unf_pvt_dZdt($D57,J$36,gg,zcor)*100</f>
        <v>1.779406143920248E-2</v>
      </c>
      <c r="K81" s="1" cm="1">
        <f t="array" ref="K81">[1]!unf_pvt_dZdt($D57,K$36,gg,zcor)*100</f>
        <v>2.2374281989145928E-2</v>
      </c>
      <c r="L81" s="1" cm="1">
        <f t="array" ref="L81">[1]!unf_pvt_dZdt($D57,L$36,gg,zcor)*100</f>
        <v>2.6930071316821902E-2</v>
      </c>
      <c r="M81" s="1" cm="1">
        <f t="array" ref="M81">[1]!unf_pvt_dZdt($D57,M$36,gg,zcor)*100</f>
        <v>3.1402652440615242E-2</v>
      </c>
      <c r="N81" s="1" cm="1">
        <f t="array" ref="N81">[1]!unf_pvt_dZdt($D57,N$36,gg,zcor)*100</f>
        <v>3.573801844736213E-2</v>
      </c>
      <c r="O81" s="1" cm="1">
        <f t="array" ref="O81">[1]!unf_pvt_dZdt($D57,O$36,gg,zcor)*100</f>
        <v>3.9888242620356174E-2</v>
      </c>
      <c r="P81" s="1" cm="1">
        <f t="array" ref="P81">[1]!unf_pvt_dZdt($D57,P$36,gg,zcor)*100</f>
        <v>4.3812235657081366E-2</v>
      </c>
      <c r="Q81" s="1" cm="1">
        <f t="array" ref="Q81">[1]!unf_pvt_dZdt($D57,Q$36,gg,zcor)*100</f>
        <v>4.7476055999862155E-2</v>
      </c>
      <c r="R81" s="1" cm="1">
        <f t="array" ref="R81">[1]!unf_pvt_dZdt($D57,R$36,gg,zcor)*100</f>
        <v>5.0852877688467579E-2</v>
      </c>
      <c r="S81" s="1" cm="1">
        <f t="array" ref="S81">[1]!unf_pvt_dZdt($D57,S$36,gg,zcor)*100</f>
        <v>5.3922708771803052E-2</v>
      </c>
      <c r="T81" s="1" cm="1">
        <f t="array" ref="T81">[1]!unf_pvt_dZdt($D57,T$36,gg,zcor)*100</f>
        <v>5.6671937532115635E-2</v>
      </c>
      <c r="U81" s="1" cm="1">
        <f t="array" ref="U81">[1]!unf_pvt_dZdt($D57,U$36,gg,zcor)*100</f>
        <v>5.9092767620172459E-2</v>
      </c>
      <c r="V81" s="1" cm="1">
        <f t="array" ref="V81">[1]!unf_pvt_dZdt($D57,V$36,gg,zcor)*100</f>
        <v>6.1182588846908637E-2</v>
      </c>
      <c r="W81" s="1" cm="1">
        <f t="array" ref="W81">[1]!unf_pvt_dZdt($D57,W$36,gg,zcor)*100</f>
        <v>6.2943318796637726E-2</v>
      </c>
      <c r="X81" s="1" cm="1">
        <f t="array" ref="X81">[1]!unf_pvt_dZdt($D57,X$36,gg,zcor)*100</f>
        <v>6.438074142678385E-2</v>
      </c>
      <c r="Y81" s="1" cm="1">
        <f t="array" ref="Y81">[1]!unf_pvt_dZdt($D57,Y$36,gg,zcor)*100</f>
        <v>6.5503862079707709E-2</v>
      </c>
      <c r="Z81" s="1" cm="1">
        <f t="array" ref="Z81">[1]!unf_pvt_dZdt($D57,Z$36,gg,zcor)*100</f>
        <v>6.6324293244268695E-2</v>
      </c>
      <c r="AA81" s="1" cm="1">
        <f t="array" ref="AA81">[1]!unf_pvt_dZdt($D57,AA$36,gg,zcor)*100</f>
        <v>6.6855681458366512E-2</v>
      </c>
      <c r="AB81" s="1" cm="1">
        <f t="array" ref="AB81">[1]!unf_pvt_dZdt($D57,AB$36,gg,zcor)*100</f>
        <v>6.7113182603217858E-2</v>
      </c>
      <c r="AC81" s="1" cm="1">
        <f t="array" ref="AC81">[1]!unf_pvt_dZdt($D57,AC$36,gg,zcor)*100</f>
        <v>6.7112990220996593E-2</v>
      </c>
      <c r="AD81" s="1" cm="1">
        <f t="array" ref="AD81">[1]!unf_pvt_dZdt($D57,AD$36,gg,zcor)*100</f>
        <v>6.6871919270461433E-2</v>
      </c>
      <c r="AE81" s="1" cm="1">
        <f t="array" ref="AE81">[1]!unf_pvt_dZdt($D57,AE$36,gg,zcor)*100</f>
        <v>6.6407045848926316E-2</v>
      </c>
      <c r="AF81" s="1" cm="1">
        <f t="array" ref="AF81">[1]!unf_pvt_dZdt($D57,AF$36,gg,zcor)*100</f>
        <v>6.5735401803213023E-2</v>
      </c>
      <c r="AG81" s="1" cm="1">
        <f t="array" ref="AG81">[1]!unf_pvt_dZdt($D57,AG$36,gg,zcor)*100</f>
        <v>6.4873721870140066E-2</v>
      </c>
      <c r="AH81" s="1" cm="1">
        <f t="array" ref="AH81">[1]!unf_pvt_dZdt($D57,AH$36,gg,zcor)*100</f>
        <v>6.3838239975022582E-2</v>
      </c>
      <c r="AI81" s="1" cm="1">
        <f t="array" ref="AI81">[1]!unf_pvt_dZdt($D57,AI$36,gg,zcor)*100</f>
        <v>6.2644530576361213E-2</v>
      </c>
      <c r="AJ81" s="1" cm="1">
        <f t="array" ref="AJ81">[1]!unf_pvt_dZdt($D57,AJ$36,gg,zcor)*100</f>
        <v>6.1307390498477332E-2</v>
      </c>
      <c r="AK81" s="1" cm="1">
        <f t="array" ref="AK81">[1]!unf_pvt_dZdt($D57,AK$36,gg,zcor)*100</f>
        <v>5.9840756442053333E-2</v>
      </c>
    </row>
    <row r="82" spans="5:37" x14ac:dyDescent="0.3">
      <c r="E82" t="str">
        <f t="shared" si="3"/>
        <v>t=200 C</v>
      </c>
      <c r="F82" s="1" cm="1">
        <f t="array" ref="F82">[1]!unf_pvt_dZdt($D58,F$36,gg,zcor)*100</f>
        <v>4.0156772673771712E-4</v>
      </c>
      <c r="G82" s="1" cm="1">
        <f t="array" ref="G82">[1]!unf_pvt_dZdt($D58,G$36,gg,zcor)*100</f>
        <v>4.1401952836084277E-3</v>
      </c>
      <c r="H82" s="1" cm="1">
        <f t="array" ref="H82">[1]!unf_pvt_dZdt($D58,H$36,gg,zcor)*100</f>
        <v>8.0735304536228014E-3</v>
      </c>
      <c r="I82" s="1" cm="1">
        <f t="array" ref="I82">[1]!unf_pvt_dZdt($D58,I$36,gg,zcor)*100</f>
        <v>1.214689476924935E-2</v>
      </c>
      <c r="J82" s="1" cm="1">
        <f t="array" ref="J82">[1]!unf_pvt_dZdt($D58,J$36,gg,zcor)*100</f>
        <v>1.630086177817347E-2</v>
      </c>
      <c r="K82" s="1" cm="1">
        <f t="array" ref="K82">[1]!unf_pvt_dZdt($D58,K$36,gg,zcor)*100</f>
        <v>2.0476116077805528E-2</v>
      </c>
      <c r="L82" s="1" cm="1">
        <f t="array" ref="L82">[1]!unf_pvt_dZdt($D58,L$36,gg,zcor)*100</f>
        <v>2.461625842298254E-2</v>
      </c>
      <c r="M82" s="1" cm="1">
        <f t="array" ref="M82">[1]!unf_pvt_dZdt($D58,M$36,gg,zcor)*100</f>
        <v>2.8669611870202338E-2</v>
      </c>
      <c r="N82" s="1" cm="1">
        <f t="array" ref="N82">[1]!unf_pvt_dZdt($D58,N$36,gg,zcor)*100</f>
        <v>3.259028670843378E-2</v>
      </c>
      <c r="O82" s="1" cm="1">
        <f t="array" ref="O82">[1]!unf_pvt_dZdt($D58,O$36,gg,zcor)*100</f>
        <v>3.6338685219572398E-2</v>
      </c>
      <c r="P82" s="1" cm="1">
        <f t="array" ref="P82">[1]!unf_pvt_dZdt($D58,P$36,gg,zcor)*100</f>
        <v>3.988160407419894E-2</v>
      </c>
      <c r="Q82" s="1" cm="1">
        <f t="array" ref="Q82">[1]!unf_pvt_dZdt($D58,Q$36,gg,zcor)*100</f>
        <v>4.3192066025321552E-2</v>
      </c>
      <c r="R82" s="1" cm="1">
        <f t="array" ref="R82">[1]!unf_pvt_dZdt($D58,R$36,gg,zcor)*100</f>
        <v>4.6248982314867071E-2</v>
      </c>
      <c r="S82" s="1" cm="1">
        <f t="array" ref="S82">[1]!unf_pvt_dZdt($D58,S$36,gg,zcor)*100</f>
        <v>4.9036718144823688E-2</v>
      </c>
      <c r="T82" s="1" cm="1">
        <f t="array" ref="T82">[1]!unf_pvt_dZdt($D58,T$36,gg,zcor)*100</f>
        <v>5.1544609343978642E-2</v>
      </c>
      <c r="U82" s="1" cm="1">
        <f t="array" ref="U82">[1]!unf_pvt_dZdt($D58,U$36,gg,zcor)*100</f>
        <v>5.3766460332949073E-2</v>
      </c>
      <c r="V82" s="1" cm="1">
        <f t="array" ref="V82">[1]!unf_pvt_dZdt($D58,V$36,gg,zcor)*100</f>
        <v>5.5700041281858681E-2</v>
      </c>
      <c r="W82" s="1" cm="1">
        <f t="array" ref="W82">[1]!unf_pvt_dZdt($D58,W$36,gg,zcor)*100</f>
        <v>5.7346594840801401E-2</v>
      </c>
      <c r="X82" s="1" cm="1">
        <f t="array" ref="X82">[1]!unf_pvt_dZdt($D58,X$36,gg,zcor)*100</f>
        <v>5.871035865590013E-2</v>
      </c>
      <c r="Y82" s="1" cm="1">
        <f t="array" ref="Y82">[1]!unf_pvt_dZdt($D58,Y$36,gg,zcor)*100</f>
        <v>5.9798107829855951E-2</v>
      </c>
      <c r="Z82" s="1" cm="1">
        <f t="array" ref="Z82">[1]!unf_pvt_dZdt($D58,Z$36,gg,zcor)*100</f>
        <v>6.0618720618688116E-2</v>
      </c>
      <c r="AA82" s="1" cm="1">
        <f t="array" ref="AA82">[1]!unf_pvt_dZdt($D58,AA$36,gg,zcor)*100</f>
        <v>6.1182770305645562E-2</v>
      </c>
      <c r="AB82" s="1" cm="1">
        <f t="array" ref="AB82">[1]!unf_pvt_dZdt($D58,AB$36,gg,zcor)*100</f>
        <v>6.150214596434278E-2</v>
      </c>
      <c r="AC82" s="1" cm="1">
        <f t="array" ref="AC82">[1]!unf_pvt_dZdt($D58,AC$36,gg,zcor)*100</f>
        <v>6.1589704501097131E-2</v>
      </c>
      <c r="AD82" s="1" cm="1">
        <f t="array" ref="AD82">[1]!unf_pvt_dZdt($D58,AD$36,gg,zcor)*100</f>
        <v>6.1458955885718147E-2</v>
      </c>
      <c r="AE82" s="1" cm="1">
        <f t="array" ref="AE82">[1]!unf_pvt_dZdt($D58,AE$36,gg,zcor)*100</f>
        <v>6.1123782858940601E-2</v>
      </c>
      <c r="AF82" s="1" cm="1">
        <f t="array" ref="AF82">[1]!unf_pvt_dZdt($D58,AF$36,gg,zcor)*100</f>
        <v>6.0598195651850872E-2</v>
      </c>
      <c r="AG82" s="1" cm="1">
        <f t="array" ref="AG82">[1]!unf_pvt_dZdt($D58,AG$36,gg,zcor)*100</f>
        <v>5.9896121504476874E-2</v>
      </c>
      <c r="AH82" s="1" cm="1">
        <f t="array" ref="AH82">[1]!unf_pvt_dZdt($D58,AH$36,gg,zcor)*100</f>
        <v>5.9031228030415051E-2</v>
      </c>
      <c r="AI82" s="1" cm="1">
        <f t="array" ref="AI82">[1]!unf_pvt_dZdt($D58,AI$36,gg,zcor)*100</f>
        <v>5.8016778814673486E-2</v>
      </c>
      <c r="AJ82" s="1" cm="1">
        <f t="array" ref="AJ82">[1]!unf_pvt_dZdt($D58,AJ$36,gg,zcor)*100</f>
        <v>5.6865519098225903E-2</v>
      </c>
      <c r="AK82" s="1" cm="1">
        <f t="array" ref="AK82">[1]!unf_pvt_dZdt($D58,AK$36,gg,zcor)*100</f>
        <v>5.5589589005311524E-2</v>
      </c>
    </row>
    <row r="83" spans="5:37" x14ac:dyDescent="0.3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3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3">
      <c r="E85" t="str">
        <f t="shared" ref="E85:E105" si="4">E62</f>
        <v>t=0 C</v>
      </c>
      <c r="F85" s="1" cm="1">
        <f t="array" ref="F85">[1]!unf_pvt_dZdp($D38,F$36,gg,zcor)*100</f>
        <v>-3.4212399914146374</v>
      </c>
      <c r="G85" s="1" cm="1">
        <f t="array" ref="G85">[1]!unf_pvt_dZdp($D38,G$36,gg,zcor)*100</f>
        <v>-3.5912659778047917</v>
      </c>
      <c r="H85" s="1" cm="1">
        <f t="array" ref="H85">[1]!unf_pvt_dZdp($D38,H$36,gg,zcor)*100</f>
        <v>-3.9699401292281333</v>
      </c>
      <c r="I85" s="1" cm="1">
        <f t="array" ref="I85">[1]!unf_pvt_dZdp($D38,I$36,gg,zcor)*100</f>
        <v>-4.3935825322738431</v>
      </c>
      <c r="J85" s="1" cm="1">
        <f t="array" ref="J85">[1]!unf_pvt_dZdp($D38,J$36,gg,zcor)*100</f>
        <v>-4.7167066380016109</v>
      </c>
      <c r="K85" s="1" cm="1">
        <f t="array" ref="K85">[1]!unf_pvt_dZdp($D38,K$36,gg,zcor)*100</f>
        <v>-4.8307455919327502</v>
      </c>
      <c r="L85" s="1" cm="1">
        <f t="array" ref="L85">[1]!unf_pvt_dZdp($D38,L$36,gg,zcor)*100</f>
        <v>-4.6869329813803429</v>
      </c>
      <c r="M85" s="1" cm="1">
        <f t="array" ref="M85">[1]!unf_pvt_dZdp($D38,M$36,gg,zcor)*100</f>
        <v>-4.3012090394267677</v>
      </c>
      <c r="N85" s="1" cm="1">
        <f t="array" ref="N85">[1]!unf_pvt_dZdp($D38,N$36,gg,zcor)*100</f>
        <v>-3.735819745367408</v>
      </c>
      <c r="O85" s="1" cm="1">
        <f t="array" ref="O85">[1]!unf_pvt_dZdp($D38,O$36,gg,zcor)*100</f>
        <v>-3.0698444357191157</v>
      </c>
      <c r="P85" s="1" cm="1">
        <f t="array" ref="P85">[1]!unf_pvt_dZdp($D38,P$36,gg,zcor)*100</f>
        <v>-2.3747440500243577</v>
      </c>
      <c r="Q85" s="1" cm="1">
        <f t="array" ref="Q85">[1]!unf_pvt_dZdp($D38,Q$36,gg,zcor)*100</f>
        <v>-1.7025675487891689</v>
      </c>
      <c r="R85" s="1" cm="1">
        <f t="array" ref="R85">[1]!unf_pvt_dZdp($D38,R$36,gg,zcor)*100</f>
        <v>-1.0849809179003245</v>
      </c>
      <c r="S85" s="1" cm="1">
        <f t="array" ref="S85">[1]!unf_pvt_dZdp($D38,S$36,gg,zcor)*100</f>
        <v>-0.53759005992581876</v>
      </c>
      <c r="T85" s="1" cm="1">
        <f t="array" ref="T85">[1]!unf_pvt_dZdp($D38,T$36,gg,zcor)*100</f>
        <v>-6.5172964697213231E-2</v>
      </c>
      <c r="U85" s="1" cm="1">
        <f t="array" ref="U85">[1]!unf_pvt_dZdp($D38,U$36,gg,zcor)*100</f>
        <v>0.33411711155451052</v>
      </c>
      <c r="V85" s="1" cm="1">
        <f t="array" ref="V85">[1]!unf_pvt_dZdp($D38,V$36,gg,zcor)*100</f>
        <v>0.6658662421266115</v>
      </c>
      <c r="W85" s="1" cm="1">
        <f t="array" ref="W85">[1]!unf_pvt_dZdp($D38,W$36,gg,zcor)*100</f>
        <v>0.93752361892907032</v>
      </c>
      <c r="X85" s="1" cm="1">
        <f t="array" ref="X85">[1]!unf_pvt_dZdp($D38,X$36,gg,zcor)*100</f>
        <v>1.1571945083654889</v>
      </c>
      <c r="Y85" s="1" cm="1">
        <f t="array" ref="Y85">[1]!unf_pvt_dZdp($D38,Y$36,gg,zcor)*100</f>
        <v>1.3328765694542444</v>
      </c>
      <c r="Z85" s="1" cm="1">
        <f t="array" ref="Z85">[1]!unf_pvt_dZdp($D38,Z$36,gg,zcor)*100</f>
        <v>1.4720038154669712</v>
      </c>
      <c r="AA85" s="1" cm="1">
        <f t="array" ref="AA85">[1]!unf_pvt_dZdp($D38,AA$36,gg,zcor)*100</f>
        <v>1.581208217230623</v>
      </c>
      <c r="AB85" s="1" cm="1">
        <f t="array" ref="AB85">[1]!unf_pvt_dZdp($D38,AB$36,gg,zcor)*100</f>
        <v>1.6662310005943759</v>
      </c>
      <c r="AC85" s="1" cm="1">
        <f t="array" ref="AC85">[1]!unf_pvt_dZdp($D38,AC$36,gg,zcor)*100</f>
        <v>1.7319303149621046</v>
      </c>
      <c r="AD85" s="1" cm="1">
        <f t="array" ref="AD85">[1]!unf_pvt_dZdp($D38,AD$36,gg,zcor)*100</f>
        <v>1.7823449600329333</v>
      </c>
      <c r="AE85" s="1" cm="1">
        <f t="array" ref="AE85">[1]!unf_pvt_dZdp($D38,AE$36,gg,zcor)*100</f>
        <v>1.820785685813231</v>
      </c>
      <c r="AF85" s="1" cm="1">
        <f t="array" ref="AF85">[1]!unf_pvt_dZdp($D38,AF$36,gg,zcor)*100</f>
        <v>1.8499354324807982</v>
      </c>
      <c r="AG85" s="1" cm="1">
        <f t="array" ref="AG85">[1]!unf_pvt_dZdp($D38,AG$36,gg,zcor)*100</f>
        <v>1.8719473342099224</v>
      </c>
      <c r="AH85" s="1" cm="1">
        <f t="array" ref="AH85">[1]!unf_pvt_dZdp($D38,AH$36,gg,zcor)*100</f>
        <v>1.8885345072860993</v>
      </c>
      <c r="AI85" s="1" cm="1">
        <f t="array" ref="AI85">[1]!unf_pvt_dZdp($D38,AI$36,gg,zcor)*100</f>
        <v>1.9010490077531195</v>
      </c>
      <c r="AJ85" s="1" cm="1">
        <f t="array" ref="AJ85">[1]!unf_pvt_dZdp($D38,AJ$36,gg,zcor)*100</f>
        <v>1.9105493738891255</v>
      </c>
      <c r="AK85" s="1" cm="1">
        <f t="array" ref="AK85">[1]!unf_pvt_dZdp($D38,AK$36,gg,zcor)*100</f>
        <v>1.917857293605163</v>
      </c>
    </row>
    <row r="86" spans="5:37" x14ac:dyDescent="0.3">
      <c r="E86" t="str">
        <f t="shared" si="4"/>
        <v>t=10 C</v>
      </c>
      <c r="F86" s="1" cm="1">
        <f t="array" ref="F86">[1]!unf_pvt_dZdp($D39,F$36,gg,zcor)*100</f>
        <v>-3.0144164079426439</v>
      </c>
      <c r="G86" s="1" cm="1">
        <f t="array" ref="G86">[1]!unf_pvt_dZdp($D39,G$36,gg,zcor)*100</f>
        <v>-3.1560591889123746</v>
      </c>
      <c r="H86" s="1" cm="1">
        <f t="array" ref="H86">[1]!unf_pvt_dZdp($D39,H$36,gg,zcor)*100</f>
        <v>-3.4471251084777776</v>
      </c>
      <c r="I86" s="1" cm="1">
        <f t="array" ref="I86">[1]!unf_pvt_dZdp($D39,I$36,gg,zcor)*100</f>
        <v>-3.771233697583698</v>
      </c>
      <c r="J86" s="1" cm="1">
        <f t="array" ref="J86">[1]!unf_pvt_dZdp($D39,J$36,gg,zcor)*100</f>
        <v>-4.025100880405974</v>
      </c>
      <c r="K86" s="1" cm="1">
        <f t="array" ref="K86">[1]!unf_pvt_dZdp($D39,K$36,gg,zcor)*100</f>
        <v>-4.1301471531751677</v>
      </c>
      <c r="L86" s="1" cm="1">
        <f t="array" ref="L86">[1]!unf_pvt_dZdp($D39,L$36,gg,zcor)*100</f>
        <v>-4.0462442781707963</v>
      </c>
      <c r="M86" s="1" cm="1">
        <f t="array" ref="M86">[1]!unf_pvt_dZdp($D39,M$36,gg,zcor)*100</f>
        <v>-3.7759237015955183</v>
      </c>
      <c r="N86" s="1" cm="1">
        <f t="array" ref="N86">[1]!unf_pvt_dZdp($D39,N$36,gg,zcor)*100</f>
        <v>-3.3553702213706682</v>
      </c>
      <c r="O86" s="1" cm="1">
        <f t="array" ref="O86">[1]!unf_pvt_dZdp($D39,O$36,gg,zcor)*100</f>
        <v>-2.8375011756964774</v>
      </c>
      <c r="P86" s="1" cm="1">
        <f t="array" ref="P86">[1]!unf_pvt_dZdp($D39,P$36,gg,zcor)*100</f>
        <v>-2.2756587963024266</v>
      </c>
      <c r="Q86" s="1" cm="1">
        <f t="array" ref="Q86">[1]!unf_pvt_dZdp($D39,Q$36,gg,zcor)*100</f>
        <v>-1.7133892759091385</v>
      </c>
      <c r="R86" s="1" cm="1">
        <f t="array" ref="R86">[1]!unf_pvt_dZdp($D39,R$36,gg,zcor)*100</f>
        <v>-1.1809324034961488</v>
      </c>
      <c r="S86" s="1" cm="1">
        <f t="array" ref="S86">[1]!unf_pvt_dZdp($D39,S$36,gg,zcor)*100</f>
        <v>-0.69617275645139642</v>
      </c>
      <c r="T86" s="1" cm="1">
        <f t="array" ref="T86">[1]!unf_pvt_dZdp($D39,T$36,gg,zcor)*100</f>
        <v>-0.26745591135912683</v>
      </c>
      <c r="U86" s="1" cm="1">
        <f t="array" ref="U86">[1]!unf_pvt_dZdp($D39,U$36,gg,zcor)*100</f>
        <v>0.10342021288023417</v>
      </c>
      <c r="V86" s="1" cm="1">
        <f t="array" ref="V86">[1]!unf_pvt_dZdp($D39,V$36,gg,zcor)*100</f>
        <v>0.41875411562641851</v>
      </c>
      <c r="W86" s="1" cm="1">
        <f t="array" ref="W86">[1]!unf_pvt_dZdp($D39,W$36,gg,zcor)*100</f>
        <v>0.68315936364582441</v>
      </c>
      <c r="X86" s="1" cm="1">
        <f t="array" ref="X86">[1]!unf_pvt_dZdp($D39,X$36,gg,zcor)*100</f>
        <v>0.90235194855514678</v>
      </c>
      <c r="Y86" s="1" cm="1">
        <f t="array" ref="Y86">[1]!unf_pvt_dZdp($D39,Y$36,gg,zcor)*100</f>
        <v>1.0823618845545724</v>
      </c>
      <c r="Z86" s="1" cm="1">
        <f t="array" ref="Z86">[1]!unf_pvt_dZdp($D39,Z$36,gg,zcor)*100</f>
        <v>1.2290459688768518</v>
      </c>
      <c r="AA86" s="1" cm="1">
        <f t="array" ref="AA86">[1]!unf_pvt_dZdp($D39,AA$36,gg,zcor)*100</f>
        <v>1.3478094581131916</v>
      </c>
      <c r="AB86" s="1" cm="1">
        <f t="array" ref="AB86">[1]!unf_pvt_dZdp($D39,AB$36,gg,zcor)*100</f>
        <v>1.4434693614562288</v>
      </c>
      <c r="AC86" s="1" cm="1">
        <f t="array" ref="AC86">[1]!unf_pvt_dZdp($D39,AC$36,gg,zcor)*100</f>
        <v>1.5202103802358646</v>
      </c>
      <c r="AD86" s="1" cm="1">
        <f t="array" ref="AD86">[1]!unf_pvt_dZdp($D39,AD$36,gg,zcor)*100</f>
        <v>1.5815982230871217</v>
      </c>
      <c r="AE86" s="1" cm="1">
        <f t="array" ref="AE86">[1]!unf_pvt_dZdp($D39,AE$36,gg,zcor)*100</f>
        <v>1.6306255260234437</v>
      </c>
      <c r="AF86" s="1" cm="1">
        <f t="array" ref="AF86">[1]!unf_pvt_dZdp($D39,AF$36,gg,zcor)*100</f>
        <v>1.6697736306192645</v>
      </c>
      <c r="AG86" s="1" cm="1">
        <f t="array" ref="AG86">[1]!unf_pvt_dZdp($D39,AG$36,gg,zcor)*100</f>
        <v>1.7010794411798091</v>
      </c>
      <c r="AH86" s="1" cm="1">
        <f t="array" ref="AH86">[1]!unf_pvt_dZdp($D39,AH$36,gg,zcor)*100</f>
        <v>1.7262008521146122</v>
      </c>
      <c r="AI86" s="1" cm="1">
        <f t="array" ref="AI86">[1]!unf_pvt_dZdp($D39,AI$36,gg,zcor)*100</f>
        <v>1.7464771627806464</v>
      </c>
      <c r="AJ86" s="1" cm="1">
        <f t="array" ref="AJ86">[1]!unf_pvt_dZdp($D39,AJ$36,gg,zcor)*100</f>
        <v>1.7629828115794943</v>
      </c>
      <c r="AK86" s="1" cm="1">
        <f t="array" ref="AK86">[1]!unf_pvt_dZdp($D39,AK$36,gg,zcor)*100</f>
        <v>1.7765739507558109</v>
      </c>
    </row>
    <row r="87" spans="5:37" x14ac:dyDescent="0.3">
      <c r="E87" t="str">
        <f t="shared" si="4"/>
        <v>t=20 C</v>
      </c>
      <c r="F87" s="1" cm="1">
        <f t="array" ref="F87">[1]!unf_pvt_dZdp($D40,F$36,gg,zcor)*100</f>
        <v>-2.6686881832482801</v>
      </c>
      <c r="G87" s="1" cm="1">
        <f t="array" ref="G87">[1]!unf_pvt_dZdp($D40,G$36,gg,zcor)*100</f>
        <v>-2.7891834783311253</v>
      </c>
      <c r="H87" s="1" cm="1">
        <f t="array" ref="H87">[1]!unf_pvt_dZdp($D40,H$36,gg,zcor)*100</f>
        <v>-3.01524588238955</v>
      </c>
      <c r="I87" s="1" cm="1">
        <f t="array" ref="I87">[1]!unf_pvt_dZdp($D40,I$36,gg,zcor)*100</f>
        <v>-3.263574995987506</v>
      </c>
      <c r="J87" s="1" cm="1">
        <f t="array" ref="J87">[1]!unf_pvt_dZdp($D40,J$36,gg,zcor)*100</f>
        <v>-3.4602655588478193</v>
      </c>
      <c r="K87" s="1" cm="1">
        <f t="array" ref="K87">[1]!unf_pvt_dZdp($D40,K$36,gg,zcor)*100</f>
        <v>-3.5484136295349522</v>
      </c>
      <c r="L87" s="1" cm="1">
        <f t="array" ref="L87">[1]!unf_pvt_dZdp($D40,L$36,gg,zcor)*100</f>
        <v>-3.4965616902848939</v>
      </c>
      <c r="M87" s="1" cm="1">
        <f t="array" ref="M87">[1]!unf_pvt_dZdp($D40,M$36,gg,zcor)*100</f>
        <v>-3.3017604357477026</v>
      </c>
      <c r="N87" s="1" cm="1">
        <f t="array" ref="N87">[1]!unf_pvt_dZdp($D40,N$36,gg,zcor)*100</f>
        <v>-2.9849964318229283</v>
      </c>
      <c r="O87" s="1" cm="1">
        <f t="array" ref="O87">[1]!unf_pvt_dZdp($D40,O$36,gg,zcor)*100</f>
        <v>-2.5813665612839376</v>
      </c>
      <c r="P87" s="1" cm="1">
        <f t="array" ref="P87">[1]!unf_pvt_dZdp($D40,P$36,gg,zcor)*100</f>
        <v>-2.1295176056712606</v>
      </c>
      <c r="Q87" s="1" cm="1">
        <f t="array" ref="Q87">[1]!unf_pvt_dZdp($D40,Q$36,gg,zcor)*100</f>
        <v>-1.6638678594660394</v>
      </c>
      <c r="R87" s="1" cm="1">
        <f t="array" ref="R87">[1]!unf_pvt_dZdp($D40,R$36,gg,zcor)*100</f>
        <v>-1.2107432817576314</v>
      </c>
      <c r="S87" s="1" cm="1">
        <f t="array" ref="S87">[1]!unf_pvt_dZdp($D40,S$36,gg,zcor)*100</f>
        <v>-0.78771078383277349</v>
      </c>
      <c r="T87" s="1" cm="1">
        <f t="array" ref="T87">[1]!unf_pvt_dZdp($D40,T$36,gg,zcor)*100</f>
        <v>-0.40474176879135015</v>
      </c>
      <c r="U87" s="1" cm="1">
        <f t="array" ref="U87">[1]!unf_pvt_dZdp($D40,U$36,gg,zcor)*100</f>
        <v>-6.6038583719230104E-2</v>
      </c>
      <c r="V87" s="1" cm="1">
        <f t="array" ref="V87">[1]!unf_pvt_dZdp($D40,V$36,gg,zcor)*100</f>
        <v>0.2281690691996463</v>
      </c>
      <c r="W87" s="1" cm="1">
        <f t="array" ref="W87">[1]!unf_pvt_dZdp($D40,W$36,gg,zcor)*100</f>
        <v>0.48014959252329348</v>
      </c>
      <c r="X87" s="1" cm="1">
        <f t="array" ref="X87">[1]!unf_pvt_dZdp($D40,X$36,gg,zcor)*100</f>
        <v>0.69357412910142635</v>
      </c>
      <c r="Y87" s="1" cm="1">
        <f t="array" ref="Y87">[1]!unf_pvt_dZdp($D40,Y$36,gg,zcor)*100</f>
        <v>0.87275562435040754</v>
      </c>
      <c r="Z87" s="1" cm="1">
        <f t="array" ref="Z87">[1]!unf_pvt_dZdp($D40,Z$36,gg,zcor)*100</f>
        <v>1.0221492235940044</v>
      </c>
      <c r="AA87" s="1" cm="1">
        <f t="array" ref="AA87">[1]!unf_pvt_dZdp($D40,AA$36,gg,zcor)*100</f>
        <v>1.1460440454547083</v>
      </c>
      <c r="AB87" s="1" cm="1">
        <f t="array" ref="AB87">[1]!unf_pvt_dZdp($D40,AB$36,gg,zcor)*100</f>
        <v>1.2483891684578197</v>
      </c>
      <c r="AC87" s="1" cm="1">
        <f t="array" ref="AC87">[1]!unf_pvt_dZdp($D40,AC$36,gg,zcor)*100</f>
        <v>1.3327102724558504</v>
      </c>
      <c r="AD87" s="1" cm="1">
        <f t="array" ref="AD87">[1]!unf_pvt_dZdp($D40,AD$36,gg,zcor)*100</f>
        <v>1.4020850266405205</v>
      </c>
      <c r="AE87" s="1" cm="1">
        <f t="array" ref="AE87">[1]!unf_pvt_dZdp($D40,AE$36,gg,zcor)*100</f>
        <v>1.4591545431019703</v>
      </c>
      <c r="AF87" s="1" cm="1">
        <f t="array" ref="AF87">[1]!unf_pvt_dZdp($D40,AF$36,gg,zcor)*100</f>
        <v>1.5061552436013148</v>
      </c>
      <c r="AG87" s="1" cm="1">
        <f t="array" ref="AG87">[1]!unf_pvt_dZdp($D40,AG$36,gg,zcor)*100</f>
        <v>1.5449606909057056</v>
      </c>
      <c r="AH87" s="1" cm="1">
        <f t="array" ref="AH87">[1]!unf_pvt_dZdp($D40,AH$36,gg,zcor)*100</f>
        <v>1.577126685650132</v>
      </c>
      <c r="AI87" s="1" cm="1">
        <f t="array" ref="AI87">[1]!unf_pvt_dZdp($D40,AI$36,gg,zcor)*100</f>
        <v>1.6039355571739744</v>
      </c>
      <c r="AJ87" s="1" cm="1">
        <f t="array" ref="AJ87">[1]!unf_pvt_dZdp($D40,AJ$36,gg,zcor)*100</f>
        <v>1.6264373614394145</v>
      </c>
      <c r="AK87" s="1" cm="1">
        <f t="array" ref="AK87">[1]!unf_pvt_dZdp($D40,AK$36,gg,zcor)*100</f>
        <v>1.6454868724735672</v>
      </c>
    </row>
    <row r="88" spans="5:37" x14ac:dyDescent="0.3">
      <c r="E88" t="str">
        <f t="shared" si="4"/>
        <v>t=30 C</v>
      </c>
      <c r="F88" s="1" cm="1">
        <f t="array" ref="F88">[1]!unf_pvt_dZdp($D41,F$36,gg,zcor)*100</f>
        <v>-2.3729101789948803</v>
      </c>
      <c r="G88" s="1" cm="1">
        <f t="array" ref="G88">[1]!unf_pvt_dZdp($D41,G$36,gg,zcor)*100</f>
        <v>-2.4773074655637384</v>
      </c>
      <c r="H88" s="1" cm="1">
        <f t="array" ref="H88">[1]!unf_pvt_dZdp($D41,H$36,gg,zcor)*100</f>
        <v>-2.6546755971568192</v>
      </c>
      <c r="I88" s="1" cm="1">
        <f t="array" ref="I88">[1]!unf_pvt_dZdp($D41,I$36,gg,zcor)*100</f>
        <v>-2.8451139154295202</v>
      </c>
      <c r="J88" s="1" cm="1">
        <f t="array" ref="J88">[1]!unf_pvt_dZdp($D41,J$36,gg,zcor)*100</f>
        <v>-2.9954906253748526</v>
      </c>
      <c r="K88" s="1" cm="1">
        <f t="array" ref="K88">[1]!unf_pvt_dZdp($D41,K$36,gg,zcor)*100</f>
        <v>-3.0646305086723391</v>
      </c>
      <c r="L88" s="1" cm="1">
        <f t="array" ref="L88">[1]!unf_pvt_dZdp($D41,L$36,gg,zcor)*100</f>
        <v>-3.0286183329764071</v>
      </c>
      <c r="M88" s="1" cm="1">
        <f t="array" ref="M88">[1]!unf_pvt_dZdp($D41,M$36,gg,zcor)*100</f>
        <v>-2.882868034654873</v>
      </c>
      <c r="N88" s="1" cm="1">
        <f t="array" ref="N88">[1]!unf_pvt_dZdp($D41,N$36,gg,zcor)*100</f>
        <v>-2.6396719540466851</v>
      </c>
      <c r="O88" s="1" cm="1">
        <f t="array" ref="O88">[1]!unf_pvt_dZdp($D41,O$36,gg,zcor)*100</f>
        <v>-2.3223713276476765</v>
      </c>
      <c r="P88" s="1" cm="1">
        <f t="array" ref="P88">[1]!unf_pvt_dZdp($D41,P$36,gg,zcor)*100</f>
        <v>-1.9585807635025265</v>
      </c>
      <c r="Q88" s="1" cm="1">
        <f t="array" ref="Q88">[1]!unf_pvt_dZdp($D41,Q$36,gg,zcor)*100</f>
        <v>-1.574621965265699</v>
      </c>
      <c r="R88" s="1" cm="1">
        <f t="array" ref="R88">[1]!unf_pvt_dZdp($D41,R$36,gg,zcor)*100</f>
        <v>-1.1921676412229854</v>
      </c>
      <c r="S88" s="1" cm="1">
        <f t="array" ref="S88">[1]!unf_pvt_dZdp($D41,S$36,gg,zcor)*100</f>
        <v>-0.82700191810225476</v>
      </c>
      <c r="T88" s="1" cm="1">
        <f t="array" ref="T88">[1]!unf_pvt_dZdp($D41,T$36,gg,zcor)*100</f>
        <v>-0.48924294738905694</v>
      </c>
      <c r="U88" s="1" cm="1">
        <f t="array" ref="U88">[1]!unf_pvt_dZdp($D41,U$36,gg,zcor)*100</f>
        <v>-0.18431052080991606</v>
      </c>
      <c r="V88" s="1" cm="1">
        <f t="array" ref="V88">[1]!unf_pvt_dZdp($D41,V$36,gg,zcor)*100</f>
        <v>8.5889850082176977E-2</v>
      </c>
      <c r="W88" s="1" cm="1">
        <f t="array" ref="W88">[1]!unf_pvt_dZdp($D41,W$36,gg,zcor)*100</f>
        <v>0.32186414139934172</v>
      </c>
      <c r="X88" s="1" cm="1">
        <f t="array" ref="X88">[1]!unf_pvt_dZdp($D41,X$36,gg,zcor)*100</f>
        <v>0.52563151703322042</v>
      </c>
      <c r="Y88" s="1" cm="1">
        <f t="array" ref="Y88">[1]!unf_pvt_dZdp($D41,Y$36,gg,zcor)*100</f>
        <v>0.70005190347832702</v>
      </c>
      <c r="Z88" s="1" cm="1">
        <f t="array" ref="Z88">[1]!unf_pvt_dZdp($D41,Z$36,gg,zcor)*100</f>
        <v>0.84835370546154643</v>
      </c>
      <c r="AA88" s="1" cm="1">
        <f t="array" ref="AA88">[1]!unf_pvt_dZdp($D41,AA$36,gg,zcor)*100</f>
        <v>0.97382079190522219</v>
      </c>
      <c r="AB88" s="1" cm="1">
        <f t="array" ref="AB88">[1]!unf_pvt_dZdp($D41,AB$36,gg,zcor)*100</f>
        <v>1.0795981675004729</v>
      </c>
      <c r="AC88" s="1" cm="1">
        <f t="array" ref="AC88">[1]!unf_pvt_dZdp($D41,AC$36,gg,zcor)*100</f>
        <v>1.1685819568685307</v>
      </c>
      <c r="AD88" s="1" cm="1">
        <f t="array" ref="AD88">[1]!unf_pvt_dZdp($D41,AD$36,gg,zcor)*100</f>
        <v>1.2433668427169753</v>
      </c>
      <c r="AE88" s="1" cm="1">
        <f t="array" ref="AE88">[1]!unf_pvt_dZdp($D41,AE$36,gg,zcor)*100</f>
        <v>1.3062309970057751</v>
      </c>
      <c r="AF88" s="1" cm="1">
        <f t="array" ref="AF88">[1]!unf_pvt_dZdp($D41,AF$36,gg,zcor)*100</f>
        <v>1.3591442108928931</v>
      </c>
      <c r="AG88" s="1" cm="1">
        <f t="array" ref="AG88">[1]!unf_pvt_dZdp($D41,AG$36,gg,zcor)*100</f>
        <v>1.4037893126850332</v>
      </c>
      <c r="AH88" s="1" cm="1">
        <f t="array" ref="AH88">[1]!unf_pvt_dZdp($D41,AH$36,gg,zcor)*100</f>
        <v>1.4415902221009969</v>
      </c>
      <c r="AI88" s="1" cm="1">
        <f t="array" ref="AI88">[1]!unf_pvt_dZdp($D41,AI$36,gg,zcor)*100</f>
        <v>1.4737423388766491</v>
      </c>
      <c r="AJ88" s="1" cm="1">
        <f t="array" ref="AJ88">[1]!unf_pvt_dZdp($D41,AJ$36,gg,zcor)*100</f>
        <v>1.5012426117855249</v>
      </c>
      <c r="AK88" s="1" cm="1">
        <f t="array" ref="AK88">[1]!unf_pvt_dZdp($D41,AK$36,gg,zcor)*100</f>
        <v>1.5249177601039943</v>
      </c>
    </row>
    <row r="89" spans="5:37" x14ac:dyDescent="0.3">
      <c r="E89" t="str">
        <f t="shared" si="4"/>
        <v>t=40 C</v>
      </c>
      <c r="F89" s="1" cm="1">
        <f t="array" ref="F89">[1]!unf_pvt_dZdp($D42,F$36,gg,zcor)*100</f>
        <v>-2.1182371361783137</v>
      </c>
      <c r="G89" s="1" cm="1">
        <f t="array" ref="G89">[1]!unf_pvt_dZdp($D42,G$36,gg,zcor)*100</f>
        <v>-2.2101035642674294</v>
      </c>
      <c r="H89" s="1" cm="1">
        <f t="array" ref="H89">[1]!unf_pvt_dZdp($D42,H$36,gg,zcor)*100</f>
        <v>-2.3506497931613524</v>
      </c>
      <c r="I89" s="1" cm="1">
        <f t="array" ref="I89">[1]!unf_pvt_dZdp($D42,I$36,gg,zcor)*100</f>
        <v>-2.4966870940723584</v>
      </c>
      <c r="J89" s="1" cm="1">
        <f t="array" ref="J89">[1]!unf_pvt_dZdp($D42,J$36,gg,zcor)*100</f>
        <v>-2.6099666380430264</v>
      </c>
      <c r="K89" s="1" cm="1">
        <f t="array" ref="K89">[1]!unf_pvt_dZdp($D42,K$36,gg,zcor)*100</f>
        <v>-2.6607958195634662</v>
      </c>
      <c r="L89" s="1" cm="1">
        <f t="array" ref="L89">[1]!unf_pvt_dZdp($D42,L$36,gg,zcor)*100</f>
        <v>-2.631428632360322</v>
      </c>
      <c r="M89" s="1" cm="1">
        <f t="array" ref="M89">[1]!unf_pvt_dZdp($D42,M$36,gg,zcor)*100</f>
        <v>-2.5174017784435065</v>
      </c>
      <c r="N89" s="1" cm="1">
        <f t="array" ref="N89">[1]!unf_pvt_dZdp($D42,N$36,gg,zcor)*100</f>
        <v>-2.3261231629734258</v>
      </c>
      <c r="O89" s="1" cm="1">
        <f t="array" ref="O89">[1]!unf_pvt_dZdp($D42,O$36,gg,zcor)*100</f>
        <v>-2.0733139720663374</v>
      </c>
      <c r="P89" s="1" cm="1">
        <f t="array" ref="P89">[1]!unf_pvt_dZdp($D42,P$36,gg,zcor)*100</f>
        <v>-1.7786505651584683</v>
      </c>
      <c r="Q89" s="1" cm="1">
        <f t="array" ref="Q89">[1]!unf_pvt_dZdp($D42,Q$36,gg,zcor)*100</f>
        <v>-1.4619030529372523</v>
      </c>
      <c r="R89" s="1" cm="1">
        <f t="array" ref="R89">[1]!unf_pvt_dZdp($D42,R$36,gg,zcor)*100</f>
        <v>-1.1403053759784232</v>
      </c>
      <c r="S89" s="1" cm="1">
        <f t="array" ref="S89">[1]!unf_pvt_dZdp($D42,S$36,gg,zcor)*100</f>
        <v>-0.82726911396546754</v>
      </c>
      <c r="T89" s="1" cm="1">
        <f t="array" ref="T89">[1]!unf_pvt_dZdp($D42,T$36,gg,zcor)*100</f>
        <v>-0.53215693877062265</v>
      </c>
      <c r="U89" s="1" cm="1">
        <f t="array" ref="U89">[1]!unf_pvt_dZdp($D42,U$36,gg,zcor)*100</f>
        <v>-0.26070593339366788</v>
      </c>
      <c r="V89" s="1" cm="1">
        <f t="array" ref="V89">[1]!unf_pvt_dZdp($D42,V$36,gg,zcor)*100</f>
        <v>-1.5742149634956348E-2</v>
      </c>
      <c r="W89" s="1" cm="1">
        <f t="array" ref="W89">[1]!unf_pvt_dZdp($D42,W$36,gg,zcor)*100</f>
        <v>0.20205548695972908</v>
      </c>
      <c r="X89" s="1" cm="1">
        <f t="array" ref="X89">[1]!unf_pvt_dZdp($D42,X$36,gg,zcor)*100</f>
        <v>0.39347233592224029</v>
      </c>
      <c r="Y89" s="1" cm="1">
        <f t="array" ref="Y89">[1]!unf_pvt_dZdp($D42,Y$36,gg,zcor)*100</f>
        <v>0.56020750284657694</v>
      </c>
      <c r="Z89" s="1" cm="1">
        <f t="array" ref="Z89">[1]!unf_pvt_dZdp($D42,Z$36,gg,zcor)*100</f>
        <v>0.70446078776820187</v>
      </c>
      <c r="AA89" s="1" cm="1">
        <f t="array" ref="AA89">[1]!unf_pvt_dZdp($D42,AA$36,gg,zcor)*100</f>
        <v>0.82864042562857954</v>
      </c>
      <c r="AB89" s="1" cm="1">
        <f t="array" ref="AB89">[1]!unf_pvt_dZdp($D42,AB$36,gg,zcor)*100</f>
        <v>0.93516761124345926</v>
      </c>
      <c r="AC89" s="1" cm="1">
        <f t="array" ref="AC89">[1]!unf_pvt_dZdp($D42,AC$36,gg,zcor)*100</f>
        <v>1.0263539837052083</v>
      </c>
      <c r="AD89" s="1" cm="1">
        <f t="array" ref="AD89">[1]!unf_pvt_dZdp($D42,AD$36,gg,zcor)*100</f>
        <v>1.104331598854591</v>
      </c>
      <c r="AE89" s="1" cm="1">
        <f t="array" ref="AE89">[1]!unf_pvt_dZdp($D42,AE$36,gg,zcor)*100</f>
        <v>1.1710191329450392</v>
      </c>
      <c r="AF89" s="1" cm="1">
        <f t="array" ref="AF89">[1]!unf_pvt_dZdp($D42,AF$36,gg,zcor)*100</f>
        <v>1.2281120545709623</v>
      </c>
      <c r="AG89" s="1" cm="1">
        <f t="array" ref="AG89">[1]!unf_pvt_dZdp($D42,AG$36,gg,zcor)*100</f>
        <v>1.2770878640100403</v>
      </c>
      <c r="AH89" s="1" cm="1">
        <f t="array" ref="AH89">[1]!unf_pvt_dZdp($D42,AH$36,gg,zcor)*100</f>
        <v>1.3192201479383936</v>
      </c>
      <c r="AI89" s="1" cm="1">
        <f t="array" ref="AI89">[1]!unf_pvt_dZdp($D42,AI$36,gg,zcor)*100</f>
        <v>1.3555971944945178</v>
      </c>
      <c r="AJ89" s="1" cm="1">
        <f t="array" ref="AJ89">[1]!unf_pvt_dZdp($D42,AJ$36,gg,zcor)*100</f>
        <v>1.3871423712119579</v>
      </c>
      <c r="AK89" s="1" cm="1">
        <f t="array" ref="AK89">[1]!unf_pvt_dZdp($D42,AK$36,gg,zcor)*100</f>
        <v>1.4146345034027341</v>
      </c>
    </row>
    <row r="90" spans="5:37" x14ac:dyDescent="0.3">
      <c r="E90" t="str">
        <f t="shared" si="4"/>
        <v>t=50 C</v>
      </c>
      <c r="F90" s="1" cm="1">
        <f t="array" ref="F90">[1]!unf_pvt_dZdp($D43,F$36,gg,zcor)*100</f>
        <v>-1.8976197352560398</v>
      </c>
      <c r="G90" s="1" cm="1">
        <f t="array" ref="G90">[1]!unf_pvt_dZdp($D43,G$36,gg,zcor)*100</f>
        <v>-1.9795048221349365</v>
      </c>
      <c r="H90" s="1" cm="1">
        <f t="array" ref="H90">[1]!unf_pvt_dZdp($D43,H$36,gg,zcor)*100</f>
        <v>-2.091943440996058</v>
      </c>
      <c r="I90" s="1" cm="1">
        <f t="array" ref="I90">[1]!unf_pvt_dZdp($D43,I$36,gg,zcor)*100</f>
        <v>-2.2037813995035016</v>
      </c>
      <c r="J90" s="1" cm="1">
        <f t="array" ref="J90">[1]!unf_pvt_dZdp($D43,J$36,gg,zcor)*100</f>
        <v>-2.2875486674178713</v>
      </c>
      <c r="K90" s="1" cm="1">
        <f t="array" ref="K90">[1]!unf_pvt_dZdp($D43,K$36,gg,zcor)*100</f>
        <v>-2.3219893157433447</v>
      </c>
      <c r="L90" s="1" cm="1">
        <f t="array" ref="L90">[1]!unf_pvt_dZdp($D43,L$36,gg,zcor)*100</f>
        <v>-2.2942502185641089</v>
      </c>
      <c r="M90" s="1" cm="1">
        <f t="array" ref="M90">[1]!unf_pvt_dZdp($D43,M$36,gg,zcor)*100</f>
        <v>-2.2007082150032886</v>
      </c>
      <c r="N90" s="1" cm="1">
        <f t="array" ref="N90">[1]!unf_pvt_dZdp($D43,N$36,gg,zcor)*100</f>
        <v>-2.0460856990744958</v>
      </c>
      <c r="O90" s="1" cm="1">
        <f t="array" ref="O90">[1]!unf_pvt_dZdp($D43,O$36,gg,zcor)*100</f>
        <v>-1.8412081367136235</v>
      </c>
      <c r="P90" s="1" cm="1">
        <f t="array" ref="P90">[1]!unf_pvt_dZdp($D43,P$36,gg,zcor)*100</f>
        <v>-1.6001745111060561</v>
      </c>
      <c r="Q90" s="1" cm="1">
        <f t="array" ref="Q90">[1]!unf_pvt_dZdp($D43,Q$36,gg,zcor)*100</f>
        <v>-1.3377188124219508</v>
      </c>
      <c r="R90" s="1" cm="1">
        <f t="array" ref="R90">[1]!unf_pvt_dZdp($D43,R$36,gg,zcor)*100</f>
        <v>-1.067259736426962</v>
      </c>
      <c r="S90" s="1" cm="1">
        <f t="array" ref="S90">[1]!unf_pvt_dZdp($D43,S$36,gg,zcor)*100</f>
        <v>-0.79978657262169683</v>
      </c>
      <c r="T90" s="1" cm="1">
        <f t="array" ref="T90">[1]!unf_pvt_dZdp($D43,T$36,gg,zcor)*100</f>
        <v>-0.5434729551812012</v>
      </c>
      <c r="U90" s="1" cm="1">
        <f t="array" ref="U90">[1]!unf_pvt_dZdp($D43,U$36,gg,zcor)*100</f>
        <v>-0.30379529944890571</v>
      </c>
      <c r="V90" s="1" cm="1">
        <f t="array" ref="V90">[1]!unf_pvt_dZdp($D43,V$36,gg,zcor)*100</f>
        <v>-8.3928682630407536E-2</v>
      </c>
      <c r="W90" s="1" cm="1">
        <f t="array" ref="W90">[1]!unf_pvt_dZdp($D43,W$36,gg,zcor)*100</f>
        <v>0.11475506739411223</v>
      </c>
      <c r="X90" s="1" cm="1">
        <f t="array" ref="X90">[1]!unf_pvt_dZdp($D43,X$36,gg,zcor)*100</f>
        <v>0.29219785750544958</v>
      </c>
      <c r="Y90" s="1" cm="1">
        <f t="array" ref="Y90">[1]!unf_pvt_dZdp($D43,Y$36,gg,zcor)*100</f>
        <v>0.44923119877249285</v>
      </c>
      <c r="Z90" s="1" cm="1">
        <f t="array" ref="Z90">[1]!unf_pvt_dZdp($D43,Z$36,gg,zcor)*100</f>
        <v>0.58723755175349446</v>
      </c>
      <c r="AA90" s="1" cm="1">
        <f t="array" ref="AA90">[1]!unf_pvt_dZdp($D43,AA$36,gg,zcor)*100</f>
        <v>0.70789607714893954</v>
      </c>
      <c r="AB90" s="1" cm="1">
        <f t="array" ref="AB90">[1]!unf_pvt_dZdp($D43,AB$36,gg,zcor)*100</f>
        <v>0.81300165259090562</v>
      </c>
      <c r="AC90" s="1" cm="1">
        <f t="array" ref="AC90">[1]!unf_pvt_dZdp($D43,AC$36,gg,zcor)*100</f>
        <v>0.90434273260275866</v>
      </c>
      <c r="AD90" s="1" cm="1">
        <f t="array" ref="AD90">[1]!unf_pvt_dZdp($D43,AD$36,gg,zcor)*100</f>
        <v>0.98362395562823224</v>
      </c>
      <c r="AE90" s="1" cm="1">
        <f t="array" ref="AE90">[1]!unf_pvt_dZdp($D43,AE$36,gg,zcor)*100</f>
        <v>1.0524213295970419</v>
      </c>
      <c r="AF90" s="1" cm="1">
        <f t="array" ref="AF90">[1]!unf_pvt_dZdp($D43,AF$36,gg,zcor)*100</f>
        <v>1.1121602235764083</v>
      </c>
      <c r="AG90" s="1" cm="1">
        <f t="array" ref="AG90">[1]!unf_pvt_dZdp($D43,AG$36,gg,zcor)*100</f>
        <v>1.1641086926184041</v>
      </c>
      <c r="AH90" s="1" cm="1">
        <f t="array" ref="AH90">[1]!unf_pvt_dZdp($D43,AH$36,gg,zcor)*100</f>
        <v>1.2093806307289512</v>
      </c>
      <c r="AI90" s="1" cm="1">
        <f t="array" ref="AI90">[1]!unf_pvt_dZdp($D43,AI$36,gg,zcor)*100</f>
        <v>1.2489448232599898</v>
      </c>
      <c r="AJ90" s="1" cm="1">
        <f t="array" ref="AJ90">[1]!unf_pvt_dZdp($D43,AJ$36,gg,zcor)*100</f>
        <v>1.2836371778746081</v>
      </c>
      <c r="AK90" s="1" cm="1">
        <f t="array" ref="AK90">[1]!unf_pvt_dZdp($D43,AK$36,gg,zcor)*100</f>
        <v>1.3141743094324809</v>
      </c>
    </row>
    <row r="91" spans="5:37" x14ac:dyDescent="0.3">
      <c r="E91" t="str">
        <f t="shared" si="4"/>
        <v>t=60 C</v>
      </c>
      <c r="F91" s="1" cm="1">
        <f t="array" ref="F91">[1]!unf_pvt_dZdp($D44,F$36,gg,zcor)*100</f>
        <v>-1.7054105578839795</v>
      </c>
      <c r="G91" s="1" cm="1">
        <f t="array" ref="G91">[1]!unf_pvt_dZdp($D44,G$36,gg,zcor)*100</f>
        <v>-1.7791574161907242</v>
      </c>
      <c r="H91" s="1" cm="1">
        <f t="array" ref="H91">[1]!unf_pvt_dZdp($D44,H$36,gg,zcor)*100</f>
        <v>-1.869933971896387</v>
      </c>
      <c r="I91" s="1" cm="1">
        <f t="array" ref="I91">[1]!unf_pvt_dZdp($D44,I$36,gg,zcor)*100</f>
        <v>-1.9553153439377802</v>
      </c>
      <c r="J91" s="1" cm="1">
        <f t="array" ref="J91">[1]!unf_pvt_dZdp($D44,J$36,gg,zcor)*100</f>
        <v>-2.0157060687608919</v>
      </c>
      <c r="K91" s="1" cm="1">
        <f t="array" ref="K91">[1]!unf_pvt_dZdp($D44,K$36,gg,zcor)*100</f>
        <v>-2.0360849325895547</v>
      </c>
      <c r="L91" s="1" cm="1">
        <f t="array" ref="L91">[1]!unf_pvt_dZdp($D44,L$36,gg,zcor)*100</f>
        <v>-2.0074141496051467</v>
      </c>
      <c r="M91" s="1" cm="1">
        <f t="array" ref="M91">[1]!unf_pvt_dZdp($D44,M$36,gg,zcor)*100</f>
        <v>-1.9271219071048673</v>
      </c>
      <c r="N91" s="1" cm="1">
        <f t="array" ref="N91">[1]!unf_pvt_dZdp($D44,N$36,gg,zcor)*100</f>
        <v>-1.7984982111829417</v>
      </c>
      <c r="O91" s="1" cm="1">
        <f t="array" ref="O91">[1]!unf_pvt_dZdp($D44,O$36,gg,zcor)*100</f>
        <v>-1.6292334621248461</v>
      </c>
      <c r="P91" s="1" cm="1">
        <f t="array" ref="P91">[1]!unf_pvt_dZdp($D44,P$36,gg,zcor)*100</f>
        <v>-1.4295575645040248</v>
      </c>
      <c r="Q91" s="1" cm="1">
        <f t="array" ref="Q91">[1]!unf_pvt_dZdp($D44,Q$36,gg,zcor)*100</f>
        <v>-1.2104486947739357</v>
      </c>
      <c r="R91" s="1" cm="1">
        <f t="array" ref="R91">[1]!unf_pvt_dZdp($D44,R$36,gg,zcor)*100</f>
        <v>-0.98223384055073915</v>
      </c>
      <c r="S91" s="1" cm="1">
        <f t="array" ref="S91">[1]!unf_pvt_dZdp($D44,S$36,gg,zcor)*100</f>
        <v>-0.75370692229959069</v>
      </c>
      <c r="T91" s="1" cm="1">
        <f t="array" ref="T91">[1]!unf_pvt_dZdp($D44,T$36,gg,zcor)*100</f>
        <v>-0.531731939835689</v>
      </c>
      <c r="U91" s="1" cm="1">
        <f t="array" ref="U91">[1]!unf_pvt_dZdp($D44,U$36,gg,zcor)*100</f>
        <v>-0.32121311569932587</v>
      </c>
      <c r="V91" s="1" cm="1">
        <f t="array" ref="V91">[1]!unf_pvt_dZdp($D44,V$36,gg,zcor)*100</f>
        <v>-0.12529387411919224</v>
      </c>
      <c r="W91" s="1" cm="1">
        <f t="array" ref="W91">[1]!unf_pvt_dZdp($D44,W$36,gg,zcor)*100</f>
        <v>5.4333931126526736E-2</v>
      </c>
      <c r="X91" s="1" cm="1">
        <f t="array" ref="X91">[1]!unf_pvt_dZdp($D44,X$36,gg,zcor)*100</f>
        <v>0.21709451650475664</v>
      </c>
      <c r="Y91" s="1" cm="1">
        <f t="array" ref="Y91">[1]!unf_pvt_dZdp($D44,Y$36,gg,zcor)*100</f>
        <v>0.36321653803517151</v>
      </c>
      <c r="Z91" s="1" cm="1">
        <f t="array" ref="Z91">[1]!unf_pvt_dZdp($D44,Z$36,gg,zcor)*100</f>
        <v>0.49346938024164011</v>
      </c>
      <c r="AA91" s="1" cm="1">
        <f t="array" ref="AA91">[1]!unf_pvt_dZdp($D44,AA$36,gg,zcor)*100</f>
        <v>0.60895425965434846</v>
      </c>
      <c r="AB91" s="1" cm="1">
        <f t="array" ref="AB91">[1]!unf_pvt_dZdp($D44,AB$36,gg,zcor)*100</f>
        <v>0.71094730383358673</v>
      </c>
      <c r="AC91" s="1" cm="1">
        <f t="array" ref="AC91">[1]!unf_pvt_dZdp($D44,AC$36,gg,zcor)*100</f>
        <v>0.80078721846343903</v>
      </c>
      <c r="AD91" s="1" cm="1">
        <f t="array" ref="AD91">[1]!unf_pvt_dZdp($D44,AD$36,gg,zcor)*100</f>
        <v>0.87979879432653618</v>
      </c>
      <c r="AE91" s="1" cm="1">
        <f t="array" ref="AE91">[1]!unf_pvt_dZdp($D44,AE$36,gg,zcor)*100</f>
        <v>0.94924386977668362</v>
      </c>
      <c r="AF91" s="1" cm="1">
        <f t="array" ref="AF91">[1]!unf_pvt_dZdp($D44,AF$36,gg,zcor)*100</f>
        <v>1.0102925091415305</v>
      </c>
      <c r="AG91" s="1" cm="1">
        <f t="array" ref="AG91">[1]!unf_pvt_dZdp($D44,AG$36,gg,zcor)*100</f>
        <v>1.0640085349644668</v>
      </c>
      <c r="AH91" s="1" cm="1">
        <f t="array" ref="AH91">[1]!unf_pvt_dZdp($D44,AH$36,gg,zcor)*100</f>
        <v>1.1113448762190004</v>
      </c>
      <c r="AI91" s="1" cm="1">
        <f t="array" ref="AI91">[1]!unf_pvt_dZdp($D44,AI$36,gg,zcor)*100</f>
        <v>1.1531453403457181</v>
      </c>
      <c r="AJ91" s="1" cm="1">
        <f t="array" ref="AJ91">[1]!unf_pvt_dZdp($D44,AJ$36,gg,zcor)*100</f>
        <v>1.1901503481903664</v>
      </c>
      <c r="AK91" s="1" cm="1">
        <f t="array" ref="AK91">[1]!unf_pvt_dZdp($D44,AK$36,gg,zcor)*100</f>
        <v>1.2230048957129203</v>
      </c>
    </row>
    <row r="92" spans="5:37" x14ac:dyDescent="0.3">
      <c r="E92" t="str">
        <f t="shared" si="4"/>
        <v>t=70 C</v>
      </c>
      <c r="F92" s="1" cm="1">
        <f t="array" ref="F92">[1]!unf_pvt_dZdp($D45,F$36,gg,zcor)*100</f>
        <v>-1.5370584969531809</v>
      </c>
      <c r="G92" s="1" cm="1">
        <f t="array" ref="G92">[1]!unf_pvt_dZdp($D45,G$36,gg,zcor)*100</f>
        <v>-1.6040149452711816</v>
      </c>
      <c r="H92" s="1" cm="1">
        <f t="array" ref="H92">[1]!unf_pvt_dZdp($D45,H$36,gg,zcor)*100</f>
        <v>-1.6779310722458973</v>
      </c>
      <c r="I92" s="1" cm="1">
        <f t="array" ref="I92">[1]!unf_pvt_dZdp($D45,I$36,gg,zcor)*100</f>
        <v>-1.7427551639981331</v>
      </c>
      <c r="J92" s="1" cm="1">
        <f t="array" ref="J92">[1]!unf_pvt_dZdp($D45,J$36,gg,zcor)*100</f>
        <v>-1.7846834821688695</v>
      </c>
      <c r="K92" s="1" cm="1">
        <f t="array" ref="K92">[1]!unf_pvt_dZdp($D45,K$36,gg,zcor)*100</f>
        <v>-1.7933235339551157</v>
      </c>
      <c r="L92" s="1" cm="1">
        <f t="array" ref="L92">[1]!unf_pvt_dZdp($D45,L$36,gg,zcor)*100</f>
        <v>-1.7625821142575049</v>
      </c>
      <c r="M92" s="1" cm="1">
        <f t="array" ref="M92">[1]!unf_pvt_dZdp($D45,M$36,gg,zcor)*100</f>
        <v>-1.6909162864131577</v>
      </c>
      <c r="N92" s="1" cm="1">
        <f t="array" ref="N92">[1]!unf_pvt_dZdp($D45,N$36,gg,zcor)*100</f>
        <v>-1.5808872459577294</v>
      </c>
      <c r="O92" s="1" cm="1">
        <f t="array" ref="O92">[1]!unf_pvt_dZdp($D45,O$36,gg,zcor)*100</f>
        <v>-1.4381763668536163</v>
      </c>
      <c r="P92" s="1" cm="1">
        <f t="array" ref="P92">[1]!unf_pvt_dZdp($D45,P$36,gg,zcor)*100</f>
        <v>-1.2703442110795216</v>
      </c>
      <c r="Q92" s="1" cm="1">
        <f t="array" ref="Q92">[1]!unf_pvt_dZdp($D45,Q$36,gg,zcor)*100</f>
        <v>-1.0856172520157248</v>
      </c>
      <c r="R92" s="1" cm="1">
        <f t="array" ref="R92">[1]!unf_pvt_dZdp($D45,R$36,gg,zcor)*100</f>
        <v>-0.89190537774119782</v>
      </c>
      <c r="S92" s="1" cm="1">
        <f t="array" ref="S92">[1]!unf_pvt_dZdp($D45,S$36,gg,zcor)*100</f>
        <v>-0.69614149982966111</v>
      </c>
      <c r="T92" s="1" cm="1">
        <f t="array" ref="T92">[1]!unf_pvt_dZdp($D45,T$36,gg,zcor)*100</f>
        <v>-0.50393911317225815</v>
      </c>
      <c r="U92" s="1" cm="1">
        <f t="array" ref="U92">[1]!unf_pvt_dZdp($D45,U$36,gg,zcor)*100</f>
        <v>-0.31950598739394209</v>
      </c>
      <c r="V92" s="1" cm="1">
        <f t="array" ref="V92">[1]!unf_pvt_dZdp($D45,V$36,gg,zcor)*100</f>
        <v>-0.14573183539368095</v>
      </c>
      <c r="W92" s="1" cm="1">
        <f t="array" ref="W92">[1]!unf_pvt_dZdp($D45,W$36,gg,zcor)*100</f>
        <v>1.5626938468793483E-2</v>
      </c>
      <c r="X92" s="1" cm="1">
        <f t="array" ref="X92">[1]!unf_pvt_dZdp($D45,X$36,gg,zcor)*100</f>
        <v>0.16372475356130067</v>
      </c>
      <c r="Y92" s="1" cm="1">
        <f t="array" ref="Y92">[1]!unf_pvt_dZdp($D45,Y$36,gg,zcor)*100</f>
        <v>0.29840593732899379</v>
      </c>
      <c r="Z92" s="1" cm="1">
        <f t="array" ref="Z92">[1]!unf_pvt_dZdp($D45,Z$36,gg,zcor)*100</f>
        <v>0.42000748264214849</v>
      </c>
      <c r="AA92" s="1" cm="1">
        <f t="array" ref="AA92">[1]!unf_pvt_dZdp($D45,AA$36,gg,zcor)*100</f>
        <v>0.52919506256743354</v>
      </c>
      <c r="AB92" s="1" cm="1">
        <f t="array" ref="AB92">[1]!unf_pvt_dZdp($D45,AB$36,gg,zcor)*100</f>
        <v>0.62683390038564823</v>
      </c>
      <c r="AC92" s="1" cm="1">
        <f t="array" ref="AC92">[1]!unf_pvt_dZdp($D45,AC$36,gg,zcor)*100</f>
        <v>0.71389166040547458</v>
      </c>
      <c r="AD92" s="1" cm="1">
        <f t="array" ref="AD92">[1]!unf_pvt_dZdp($D45,AD$36,gg,zcor)*100</f>
        <v>0.79136853206818181</v>
      </c>
      <c r="AE92" s="1" cm="1">
        <f t="array" ref="AE92">[1]!unf_pvt_dZdp($D45,AE$36,gg,zcor)*100</f>
        <v>0.86024918410476658</v>
      </c>
      <c r="AF92" s="1" cm="1">
        <f t="array" ref="AF92">[1]!unf_pvt_dZdp($D45,AF$36,gg,zcor)*100</f>
        <v>0.92147158522903894</v>
      </c>
      <c r="AG92" s="1" cm="1">
        <f t="array" ref="AG92">[1]!unf_pvt_dZdp($D45,AG$36,gg,zcor)*100</f>
        <v>0.97590837861871726</v>
      </c>
      <c r="AH92" s="1" cm="1">
        <f t="array" ref="AH92">[1]!unf_pvt_dZdp($D45,AH$36,gg,zcor)*100</f>
        <v>1.0243572953050339</v>
      </c>
      <c r="AI92" s="1" cm="1">
        <f t="array" ref="AI92">[1]!unf_pvt_dZdp($D45,AI$36,gg,zcor)*100</f>
        <v>1.0675378555891069</v>
      </c>
      <c r="AJ92" s="1" cm="1">
        <f t="array" ref="AJ92">[1]!unf_pvt_dZdp($D45,AJ$36,gg,zcor)*100</f>
        <v>1.1060922736294554</v>
      </c>
      <c r="AK92" s="1" cm="1">
        <f t="array" ref="AK92">[1]!unf_pvt_dZdp($D45,AK$36,gg,zcor)*100</f>
        <v>1.1405890276550146</v>
      </c>
    </row>
    <row r="93" spans="5:37" x14ac:dyDescent="0.3">
      <c r="E93" t="str">
        <f t="shared" si="4"/>
        <v>t=80 C</v>
      </c>
      <c r="F93" s="1" cm="1">
        <f t="array" ref="F93">[1]!unf_pvt_dZdp($D46,F$36,gg,zcor)*100</f>
        <v>-1.388872673004915</v>
      </c>
      <c r="G93" s="1" cm="1">
        <f t="array" ref="G93">[1]!unf_pvt_dZdp($D46,G$36,gg,zcor)*100</f>
        <v>-1.4500360564129178</v>
      </c>
      <c r="H93" s="1" cm="1">
        <f t="array" ref="H93">[1]!unf_pvt_dZdp($D46,H$36,gg,zcor)*100</f>
        <v>-1.5106927410402093</v>
      </c>
      <c r="I93" s="1" cm="1">
        <f t="array" ref="I93">[1]!unf_pvt_dZdp($D46,I$36,gg,zcor)*100</f>
        <v>-1.5594718566158683</v>
      </c>
      <c r="J93" s="1" cm="1">
        <f t="array" ref="J93">[1]!unf_pvt_dZdp($D46,J$36,gg,zcor)*100</f>
        <v>-1.5868504112515058</v>
      </c>
      <c r="K93" s="1" cm="1">
        <f t="array" ref="K93">[1]!unf_pvt_dZdp($D46,K$36,gg,zcor)*100</f>
        <v>-1.5858828582371309</v>
      </c>
      <c r="L93" s="1" cm="1">
        <f t="array" ref="L93">[1]!unf_pvt_dZdp($D46,L$36,gg,zcor)*100</f>
        <v>-1.5527319179720056</v>
      </c>
      <c r="M93" s="1" cm="1">
        <f t="array" ref="M93">[1]!unf_pvt_dZdp($D46,M$36,gg,zcor)*100</f>
        <v>-1.4867638841886688</v>
      </c>
      <c r="N93" s="1" cm="1">
        <f t="array" ref="N93">[1]!unf_pvt_dZdp($D46,N$36,gg,zcor)*100</f>
        <v>-1.3901976530572568</v>
      </c>
      <c r="O93" s="1" cm="1">
        <f t="array" ref="O93">[1]!unf_pvt_dZdp($D46,O$36,gg,zcor)*100</f>
        <v>-1.2674218014019356</v>
      </c>
      <c r="P93" s="1" cm="1">
        <f t="array" ref="P93">[1]!unf_pvt_dZdp($D46,P$36,gg,zcor)*100</f>
        <v>-1.1241559874375362</v>
      </c>
      <c r="Q93" s="1" cm="1">
        <f t="array" ref="Q93">[1]!unf_pvt_dZdp($D46,Q$36,gg,zcor)*100</f>
        <v>-0.96663008672059902</v>
      </c>
      <c r="R93" s="1" cm="1">
        <f t="array" ref="R93">[1]!unf_pvt_dZdp($D46,R$36,gg,zcor)*100</f>
        <v>-0.80090611289884706</v>
      </c>
      <c r="S93" s="1" cm="1">
        <f t="array" ref="S93">[1]!unf_pvt_dZdp($D46,S$36,gg,zcor)*100</f>
        <v>-0.6324033020732589</v>
      </c>
      <c r="T93" s="1" cm="1">
        <f t="array" ref="T93">[1]!unf_pvt_dZdp($D46,T$36,gg,zcor)*100</f>
        <v>-0.46563002595978453</v>
      </c>
      <c r="U93" s="1" cm="1">
        <f t="array" ref="U93">[1]!unf_pvt_dZdp($D46,U$36,gg,zcor)*100</f>
        <v>-0.30408958008876219</v>
      </c>
      <c r="V93" s="1" cm="1">
        <f t="array" ref="V93">[1]!unf_pvt_dZdp($D46,V$36,gg,zcor)*100</f>
        <v>-0.15031128835385488</v>
      </c>
      <c r="W93" s="1" cm="1">
        <f t="array" ref="W93">[1]!unf_pvt_dZdp($D46,W$36,gg,zcor)*100</f>
        <v>-5.9583463429824235E-3</v>
      </c>
      <c r="X93" s="1" cm="1">
        <f t="array" ref="X93">[1]!unf_pvt_dZdp($D46,X$36,gg,zcor)*100</f>
        <v>0.12802760426922077</v>
      </c>
      <c r="Y93" s="1" cm="1">
        <f t="array" ref="Y93">[1]!unf_pvt_dZdp($D46,Y$36,gg,zcor)*100</f>
        <v>0.25127373864064495</v>
      </c>
      <c r="Z93" s="1" cm="1">
        <f t="array" ref="Z93">[1]!unf_pvt_dZdp($D46,Z$36,gg,zcor)*100</f>
        <v>0.3638329433386378</v>
      </c>
      <c r="AA93" s="1" cm="1">
        <f t="array" ref="AA93">[1]!unf_pvt_dZdp($D46,AA$36,gg,zcor)*100</f>
        <v>0.46605962853218941</v>
      </c>
      <c r="AB93" s="1" cm="1">
        <f t="array" ref="AB93">[1]!unf_pvt_dZdp($D46,AB$36,gg,zcor)*100</f>
        <v>0.55850782216482209</v>
      </c>
      <c r="AC93" s="1" cm="1">
        <f t="array" ref="AC93">[1]!unf_pvt_dZdp($D46,AC$36,gg,zcor)*100</f>
        <v>0.64185124350246703</v>
      </c>
      <c r="AD93" s="1" cm="1">
        <f t="array" ref="AD93">[1]!unf_pvt_dZdp($D46,AD$36,gg,zcor)*100</f>
        <v>0.7168230800846942</v>
      </c>
      <c r="AE93" s="1" cm="1">
        <f t="array" ref="AE93">[1]!unf_pvt_dZdp($D46,AE$36,gg,zcor)*100</f>
        <v>0.78417236227035225</v>
      </c>
      <c r="AF93" s="1" cm="1">
        <f t="array" ref="AF93">[1]!unf_pvt_dZdp($D46,AF$36,gg,zcor)*100</f>
        <v>0.84463369795062526</v>
      </c>
      <c r="AG93" s="1" cm="1">
        <f t="array" ref="AG93">[1]!unf_pvt_dZdp($D46,AG$36,gg,zcor)*100</f>
        <v>0.89890737805742305</v>
      </c>
      <c r="AH93" s="1" cm="1">
        <f t="array" ref="AH93">[1]!unf_pvt_dZdp($D46,AH$36,gg,zcor)*100</f>
        <v>0.94764728229224104</v>
      </c>
      <c r="AI93" s="1" cm="1">
        <f t="array" ref="AI93">[1]!unf_pvt_dZdp($D46,AI$36,gg,zcor)*100</f>
        <v>0.99145447919779528</v>
      </c>
      <c r="AJ93" s="1" cm="1">
        <f t="array" ref="AJ93">[1]!unf_pvt_dZdp($D46,AJ$36,gg,zcor)*100</f>
        <v>1.0308748555920566</v>
      </c>
      <c r="AK93" s="1" cm="1">
        <f t="array" ref="AK93">[1]!unf_pvt_dZdp($D46,AK$36,gg,zcor)*100</f>
        <v>1.0663994970083746</v>
      </c>
    </row>
    <row r="94" spans="5:37" x14ac:dyDescent="0.3">
      <c r="E94" t="str">
        <f t="shared" si="4"/>
        <v>t=90 C</v>
      </c>
      <c r="F94" s="1" cm="1">
        <f t="array" ref="F94">[1]!unf_pvt_dZdp($D47,F$36,gg,zcor)*100</f>
        <v>-1.2578402080076767</v>
      </c>
      <c r="G94" s="1" cm="1">
        <f t="array" ref="G94">[1]!unf_pvt_dZdp($D47,G$36,gg,zcor)*100</f>
        <v>-1.3139577464682528</v>
      </c>
      <c r="H94" s="1" cm="1">
        <f t="array" ref="H94">[1]!unf_pvt_dZdp($D47,H$36,gg,zcor)*100</f>
        <v>-1.3640726501717992</v>
      </c>
      <c r="I94" s="1" cm="1">
        <f t="array" ref="I94">[1]!unf_pvt_dZdp($D47,I$36,gg,zcor)*100</f>
        <v>-1.4002712367588988</v>
      </c>
      <c r="J94" s="1" cm="1">
        <f t="array" ref="J94">[1]!unf_pvt_dZdp($D47,J$36,gg,zcor)*100</f>
        <v>-1.4162044252730155</v>
      </c>
      <c r="K94" s="1" cm="1">
        <f t="array" ref="K94">[1]!unf_pvt_dZdp($D47,K$36,gg,zcor)*100</f>
        <v>-1.4074967628108226</v>
      </c>
      <c r="L94" s="1" cm="1">
        <f t="array" ref="L94">[1]!unf_pvt_dZdp($D47,L$36,gg,zcor)*100</f>
        <v>-1.3720280708806598</v>
      </c>
      <c r="M94" s="1" cm="1">
        <f t="array" ref="M94">[1]!unf_pvt_dZdp($D47,M$36,gg,zcor)*100</f>
        <v>-1.3099238208824637</v>
      </c>
      <c r="N94" s="1" cm="1">
        <f t="array" ref="N94">[1]!unf_pvt_dZdp($D47,N$36,gg,zcor)*100</f>
        <v>-1.2232654151689282</v>
      </c>
      <c r="O94" s="1" cm="1">
        <f t="array" ref="O94">[1]!unf_pvt_dZdp($D47,O$36,gg,zcor)*100</f>
        <v>-1.1156029101422327</v>
      </c>
      <c r="P94" s="1" cm="1">
        <f t="array" ref="P94">[1]!unf_pvt_dZdp($D47,P$36,gg,zcor)*100</f>
        <v>-0.9913819126206036</v>
      </c>
      <c r="Q94" s="1" cm="1">
        <f t="array" ref="Q94">[1]!unf_pvt_dZdp($D47,Q$36,gg,zcor)*100</f>
        <v>-0.85538959479491972</v>
      </c>
      <c r="R94" s="1" cm="1">
        <f t="array" ref="R94">[1]!unf_pvt_dZdp($D47,R$36,gg,zcor)*100</f>
        <v>-0.7122945639315148</v>
      </c>
      <c r="S94" s="1" cm="1">
        <f t="array" ref="S94">[1]!unf_pvt_dZdp($D47,S$36,gg,zcor)*100</f>
        <v>-0.56631736370049701</v>
      </c>
      <c r="T94" s="1" cm="1">
        <f t="array" ref="T94">[1]!unf_pvt_dZdp($D47,T$36,gg,zcor)*100</f>
        <v>-0.42103516720404244</v>
      </c>
      <c r="U94" s="1" cm="1">
        <f t="array" ref="U94">[1]!unf_pvt_dZdp($D47,U$36,gg,zcor)*100</f>
        <v>-0.27930207192272682</v>
      </c>
      <c r="V94" s="1" cm="1">
        <f t="array" ref="V94">[1]!unf_pvt_dZdp($D47,V$36,gg,zcor)*100</f>
        <v>-0.14325601596199</v>
      </c>
      <c r="W94" s="1" cm="1">
        <f t="array" ref="W94">[1]!unf_pvt_dZdp($D47,W$36,gg,zcor)*100</f>
        <v>-1.4382058091122474E-2</v>
      </c>
      <c r="X94" s="1" cm="1">
        <f t="array" ref="X94">[1]!unf_pvt_dZdp($D47,X$36,gg,zcor)*100</f>
        <v>0.10639406208268198</v>
      </c>
      <c r="Y94" s="1" cm="1">
        <f t="array" ref="Y94">[1]!unf_pvt_dZdp($D47,Y$36,gg,zcor)*100</f>
        <v>0.21860174327481552</v>
      </c>
      <c r="Z94" s="1" cm="1">
        <f t="array" ref="Z94">[1]!unf_pvt_dZdp($D47,Z$36,gg,zcor)*100</f>
        <v>0.32212385891683404</v>
      </c>
      <c r="AA94" s="1" cm="1">
        <f t="array" ref="AA94">[1]!unf_pvt_dZdp($D47,AA$36,gg,zcor)*100</f>
        <v>0.41710525698124279</v>
      </c>
      <c r="AB94" s="1" cm="1">
        <f t="array" ref="AB94">[1]!unf_pvt_dZdp($D47,AB$36,gg,zcor)*100</f>
        <v>0.50387498556125898</v>
      </c>
      <c r="AC94" s="1" cm="1">
        <f t="array" ref="AC94">[1]!unf_pvt_dZdp($D47,AC$36,gg,zcor)*100</f>
        <v>0.58288307214771073</v>
      </c>
      <c r="AD94" s="1" cm="1">
        <f t="array" ref="AD94">[1]!unf_pvt_dZdp($D47,AD$36,gg,zcor)*100</f>
        <v>0.65465104534423446</v>
      </c>
      <c r="AE94" s="1" cm="1">
        <f t="array" ref="AE94">[1]!unf_pvt_dZdp($D47,AE$36,gg,zcor)*100</f>
        <v>0.71973454500939837</v>
      </c>
      <c r="AF94" s="1" cm="1">
        <f t="array" ref="AF94">[1]!unf_pvt_dZdp($D47,AF$36,gg,zcor)*100</f>
        <v>0.77869605276115195</v>
      </c>
      <c r="AG94" s="1" cm="1">
        <f t="array" ref="AG94">[1]!unf_pvt_dZdp($D47,AG$36,gg,zcor)*100</f>
        <v>0.83208578070204098</v>
      </c>
      <c r="AH94" s="1" cm="1">
        <f t="array" ref="AH94">[1]!unf_pvt_dZdp($D47,AH$36,gg,zcor)*100</f>
        <v>0.88042893495843266</v>
      </c>
      <c r="AI94" s="1" cm="1">
        <f t="array" ref="AI94">[1]!unf_pvt_dZdp($D47,AI$36,gg,zcor)*100</f>
        <v>0.92421782415308407</v>
      </c>
      <c r="AJ94" s="1" cm="1">
        <f t="array" ref="AJ94">[1]!unf_pvt_dZdp($D47,AJ$36,gg,zcor)*100</f>
        <v>0.96390755363273684</v>
      </c>
      <c r="AK94" s="1" cm="1">
        <f t="array" ref="AK94">[1]!unf_pvt_dZdp($D47,AK$36,gg,zcor)*100</f>
        <v>0.9999143008454503</v>
      </c>
    </row>
    <row r="95" spans="5:37" x14ac:dyDescent="0.3">
      <c r="E95" t="str">
        <f t="shared" si="4"/>
        <v>t=100 C</v>
      </c>
      <c r="F95" s="1" cm="1">
        <f t="array" ref="F95">[1]!unf_pvt_dZdp($D48,F$36,gg,zcor)*100</f>
        <v>-1.1414853983504614</v>
      </c>
      <c r="G95" s="1" cm="1">
        <f t="array" ref="G95">[1]!unf_pvt_dZdp($D48,G$36,gg,zcor)*100</f>
        <v>-1.1931243502683042</v>
      </c>
      <c r="H95" s="1" cm="1">
        <f t="array" ref="H95">[1]!unf_pvt_dZdp($D48,H$36,gg,zcor)*100</f>
        <v>-1.2347609048535269</v>
      </c>
      <c r="I95" s="1" cm="1">
        <f t="array" ref="I95">[1]!unf_pvt_dZdp($D48,I$36,gg,zcor)*100</f>
        <v>-1.2610483967534503</v>
      </c>
      <c r="J95" s="1" cm="1">
        <f t="array" ref="J95">[1]!unf_pvt_dZdp($D48,J$36,gg,zcor)*100</f>
        <v>-1.2679941988180676</v>
      </c>
      <c r="K95" s="1" cm="1">
        <f t="array" ref="K95">[1]!unf_pvt_dZdp($D48,K$36,gg,zcor)*100</f>
        <v>-1.2531375336088946</v>
      </c>
      <c r="L95" s="1" cm="1">
        <f t="array" ref="L95">[1]!unf_pvt_dZdp($D48,L$36,gg,zcor)*100</f>
        <v>-1.2156558871390111</v>
      </c>
      <c r="M95" s="1" cm="1">
        <f t="array" ref="M95">[1]!unf_pvt_dZdp($D48,M$36,gg,zcor)*100</f>
        <v>-1.1562846821744355</v>
      </c>
      <c r="N95" s="1" cm="1">
        <f t="array" ref="N95">[1]!unf_pvt_dZdp($D48,N$36,gg,zcor)*100</f>
        <v>-1.0770694629069766</v>
      </c>
      <c r="O95" s="1" cm="1">
        <f t="array" ref="O95">[1]!unf_pvt_dZdp($D48,O$36,gg,zcor)*100</f>
        <v>-0.98100939191603231</v>
      </c>
      <c r="P95" s="1" cm="1">
        <f t="array" ref="P95">[1]!unf_pvt_dZdp($D48,P$36,gg,zcor)*100</f>
        <v>-0.87166224037482642</v>
      </c>
      <c r="Q95" s="1" cm="1">
        <f t="array" ref="Q95">[1]!unf_pvt_dZdp($D48,Q$36,gg,zcor)*100</f>
        <v>-0.75277282020613789</v>
      </c>
      <c r="R95" s="1" cm="1">
        <f t="array" ref="R95">[1]!unf_pvt_dZdp($D48,R$36,gg,zcor)*100</f>
        <v>-0.62796729554115416</v>
      </c>
      <c r="S95" s="1" cm="1">
        <f t="array" ref="S95">[1]!unf_pvt_dZdp($D48,S$36,gg,zcor)*100</f>
        <v>-0.50053345227007995</v>
      </c>
      <c r="T95" s="1" cm="1">
        <f t="array" ref="T95">[1]!unf_pvt_dZdp($D48,T$36,gg,zcor)*100</f>
        <v>-0.37328799713964855</v>
      </c>
      <c r="U95" s="1" cm="1">
        <f t="array" ref="U95">[1]!unf_pvt_dZdp($D48,U$36,gg,zcor)*100</f>
        <v>-0.24851927878377644</v>
      </c>
      <c r="V95" s="1" cm="1">
        <f t="array" ref="V95">[1]!unf_pvt_dZdp($D48,V$36,gg,zcor)*100</f>
        <v>-0.12798768535993155</v>
      </c>
      <c r="W95" s="1" cm="1">
        <f t="array" ref="W95">[1]!unf_pvt_dZdp($D48,W$36,gg,zcor)*100</f>
        <v>-1.2964962569084193E-2</v>
      </c>
      <c r="X95" s="1" cm="1">
        <f t="array" ref="X95">[1]!unf_pvt_dZdp($D48,X$36,gg,zcor)*100</f>
        <v>9.5704122426987226E-2</v>
      </c>
      <c r="Y95" s="1" cm="1">
        <f t="array" ref="Y95">[1]!unf_pvt_dZdp($D48,Y$36,gg,zcor)*100</f>
        <v>0.19753070639505488</v>
      </c>
      <c r="Z95" s="1" cm="1">
        <f t="array" ref="Z95">[1]!unf_pvt_dZdp($D48,Z$36,gg,zcor)*100</f>
        <v>0.29231040742372372</v>
      </c>
      <c r="AA95" s="1" cm="1">
        <f t="array" ref="AA95">[1]!unf_pvt_dZdp($D48,AA$36,gg,zcor)*100</f>
        <v>0.38005720829126233</v>
      </c>
      <c r="AB95" s="1" cm="1">
        <f t="array" ref="AB95">[1]!unf_pvt_dZdp($D48,AB$36,gg,zcor)*100</f>
        <v>0.46094564035259467</v>
      </c>
      <c r="AC95" s="1" cm="1">
        <f t="array" ref="AC95">[1]!unf_pvt_dZdp($D48,AC$36,gg,zcor)*100</f>
        <v>0.53526237970613622</v>
      </c>
      <c r="AD95" s="1" cm="1">
        <f t="array" ref="AD95">[1]!unf_pvt_dZdp($D48,AD$36,gg,zcor)*100</f>
        <v>0.60336715337339086</v>
      </c>
      <c r="AE95" s="1" cm="1">
        <f t="array" ref="AE95">[1]!unf_pvt_dZdp($D48,AE$36,gg,zcor)*100</f>
        <v>0.66566215584207278</v>
      </c>
      <c r="AF95" s="1" cm="1">
        <f t="array" ref="AF95">[1]!unf_pvt_dZdp($D48,AF$36,gg,zcor)*100</f>
        <v>0.72256884293797619</v>
      </c>
      <c r="AG95" s="1" cm="1">
        <f t="array" ref="AG95">[1]!unf_pvt_dZdp($D48,AG$36,gg,zcor)*100</f>
        <v>0.77451087512558914</v>
      </c>
      <c r="AH95" s="1" cm="1">
        <f t="array" ref="AH95">[1]!unf_pvt_dZdp($D48,AH$36,gg,zcor)*100</f>
        <v>0.82190202918996924</v>
      </c>
      <c r="AI95" s="1" cm="1">
        <f t="array" ref="AI95">[1]!unf_pvt_dZdp($D48,AI$36,gg,zcor)*100</f>
        <v>0.86513801927146083</v>
      </c>
      <c r="AJ95" s="1" cm="1">
        <f t="array" ref="AJ95">[1]!unf_pvt_dZdp($D48,AJ$36,gg,zcor)*100</f>
        <v>0.90459132102038708</v>
      </c>
      <c r="AK95" s="1" cm="1">
        <f t="array" ref="AK95">[1]!unf_pvt_dZdp($D48,AK$36,gg,zcor)*100</f>
        <v>0.94060824970654267</v>
      </c>
    </row>
    <row r="96" spans="5:37" x14ac:dyDescent="0.3">
      <c r="E96" t="str">
        <f t="shared" si="4"/>
        <v>t=110 C</v>
      </c>
      <c r="F96" s="1" cm="1">
        <f t="array" ref="F96">[1]!unf_pvt_dZdp($D49,F$36,gg,zcor)*100</f>
        <v>-1.0377605848832516</v>
      </c>
      <c r="G96" s="1" cm="1">
        <f t="array" ref="G96">[1]!unf_pvt_dZdp($D49,G$36,gg,zcor)*100</f>
        <v>-1.0853577097635903</v>
      </c>
      <c r="H96" s="1" cm="1">
        <f t="array" ref="H96">[1]!unf_pvt_dZdp($D49,H$36,gg,zcor)*100</f>
        <v>-1.1200918202369792</v>
      </c>
      <c r="I96" s="1" cm="1">
        <f t="array" ref="I96">[1]!unf_pvt_dZdp($D49,I$36,gg,zcor)*100</f>
        <v>-1.1385319361079116</v>
      </c>
      <c r="J96" s="1" cm="1">
        <f t="array" ref="J96">[1]!unf_pvt_dZdp($D49,J$36,gg,zcor)*100</f>
        <v>-1.1384339968345536</v>
      </c>
      <c r="K96" s="1" cm="1">
        <f t="array" ref="K96">[1]!unf_pvt_dZdp($D49,K$36,gg,zcor)*100</f>
        <v>-1.1187589106276263</v>
      </c>
      <c r="L96" s="1" cm="1">
        <f t="array" ref="L96">[1]!unf_pvt_dZdp($D49,L$36,gg,zcor)*100</f>
        <v>-1.0796560609660499</v>
      </c>
      <c r="M96" s="1" cm="1">
        <f t="array" ref="M96">[1]!unf_pvt_dZdp($D49,M$36,gg,zcor)*100</f>
        <v>-1.0223357547212153</v>
      </c>
      <c r="N96" s="1" cm="1">
        <f t="array" ref="N96">[1]!unf_pvt_dZdp($D49,N$36,gg,zcor)*100</f>
        <v>-0.94885162378766097</v>
      </c>
      <c r="O96" s="1" cm="1">
        <f t="array" ref="O96">[1]!unf_pvt_dZdp($D49,O$36,gg,zcor)*100</f>
        <v>-0.86183371678982823</v>
      </c>
      <c r="P96" s="1" cm="1">
        <f t="array" ref="P96">[1]!unf_pvt_dZdp($D49,P$36,gg,zcor)*100</f>
        <v>-0.76421480221910976</v>
      </c>
      <c r="Q96" s="1" cm="1">
        <f t="array" ref="Q96">[1]!unf_pvt_dZdp($D49,Q$36,gg,zcor)*100</f>
        <v>-0.65898426934829502</v>
      </c>
      <c r="R96" s="1" cm="1">
        <f t="array" ref="R96">[1]!unf_pvt_dZdp($D49,R$36,gg,zcor)*100</f>
        <v>-0.54899130274788099</v>
      </c>
      <c r="S96" s="1" cm="1">
        <f t="array" ref="S96">[1]!unf_pvt_dZdp($D49,S$36,gg,zcor)*100</f>
        <v>-0.43680607186402653</v>
      </c>
      <c r="T96" s="1" cm="1">
        <f t="array" ref="T96">[1]!unf_pvt_dZdp($D49,T$36,gg,zcor)*100</f>
        <v>-0.32463732145937563</v>
      </c>
      <c r="U96" s="1" cm="1">
        <f t="array" ref="U96">[1]!unf_pvt_dZdp($D49,U$36,gg,zcor)*100</f>
        <v>-0.21429810933781823</v>
      </c>
      <c r="V96" s="1" cm="1">
        <f t="array" ref="V96">[1]!unf_pvt_dZdp($D49,V$36,gg,zcor)*100</f>
        <v>-0.10720837080868684</v>
      </c>
      <c r="W96" s="1" cm="1">
        <f t="array" ref="W96">[1]!unf_pvt_dZdp($D49,W$36,gg,zcor)*100</f>
        <v>-4.4226526774160391E-3</v>
      </c>
      <c r="X96" s="1" cm="1">
        <f t="array" ref="X96">[1]!unf_pvt_dZdp($D49,X$36,gg,zcor)*100</f>
        <v>9.3327280881183583E-2</v>
      </c>
      <c r="Y96" s="1" cm="1">
        <f t="array" ref="Y96">[1]!unf_pvt_dZdp($D49,Y$36,gg,zcor)*100</f>
        <v>0.18558311975613861</v>
      </c>
      <c r="Z96" s="1" cm="1">
        <f t="array" ref="Z96">[1]!unf_pvt_dZdp($D49,Z$36,gg,zcor)*100</f>
        <v>0.27210981583869476</v>
      </c>
      <c r="AA96" s="1" cm="1">
        <f t="array" ref="AA96">[1]!unf_pvt_dZdp($D49,AA$36,gg,zcor)*100</f>
        <v>0.35284833435400564</v>
      </c>
      <c r="AB96" s="1" cm="1">
        <f t="array" ref="AB96">[1]!unf_pvt_dZdp($D49,AB$36,gg,zcor)*100</f>
        <v>0.4278735112095422</v>
      </c>
      <c r="AC96" s="1" cm="1">
        <f t="array" ref="AC96">[1]!unf_pvt_dZdp($D49,AC$36,gg,zcor)*100</f>
        <v>0.49735797183925179</v>
      </c>
      <c r="AD96" s="1" cm="1">
        <f t="array" ref="AD96">[1]!unf_pvt_dZdp($D49,AD$36,gg,zcor)*100</f>
        <v>0.56154225143711933</v>
      </c>
      <c r="AE96" s="1" cm="1">
        <f t="array" ref="AE96">[1]!unf_pvt_dZdp($D49,AE$36,gg,zcor)*100</f>
        <v>0.62071075457970082</v>
      </c>
      <c r="AF96" s="1" cm="1">
        <f t="array" ref="AF96">[1]!unf_pvt_dZdp($D49,AF$36,gg,zcor)*100</f>
        <v>0.67517292172247778</v>
      </c>
      <c r="AG96" s="1" cm="1">
        <f t="array" ref="AG96">[1]!unf_pvt_dZdp($D49,AG$36,gg,zcor)*100</f>
        <v>0.72524885907365721</v>
      </c>
      <c r="AH96" s="1" cm="1">
        <f t="array" ref="AH96">[1]!unf_pvt_dZdp($D49,AH$36,gg,zcor)*100</f>
        <v>0.77125867894878297</v>
      </c>
      <c r="AI96" s="1" cm="1">
        <f t="array" ref="AI96">[1]!unf_pvt_dZdp($D49,AI$36,gg,zcor)*100</f>
        <v>0.81351484770508797</v>
      </c>
      <c r="AJ96" s="1" cm="1">
        <f t="array" ref="AJ96">[1]!unf_pvt_dZdp($D49,AJ$36,gg,zcor)*100</f>
        <v>0.85231691843490331</v>
      </c>
      <c r="AK96" s="1" cm="1">
        <f t="array" ref="AK96">[1]!unf_pvt_dZdp($D49,AK$36,gg,zcor)*100</f>
        <v>0.88794811663572837</v>
      </c>
    </row>
    <row r="97" spans="5:37" x14ac:dyDescent="0.3">
      <c r="E97" t="str">
        <f t="shared" si="4"/>
        <v>t=120 C</v>
      </c>
      <c r="F97" s="1" cm="1">
        <f t="array" ref="F97">[1]!unf_pvt_dZdp($D50,F$36,gg,zcor)*100</f>
        <v>-0.94496126319065787</v>
      </c>
      <c r="G97" s="1" cm="1">
        <f t="array" ref="G97">[1]!unf_pvt_dZdp($D50,G$36,gg,zcor)*100</f>
        <v>-0.98885795512093644</v>
      </c>
      <c r="H97" s="1" cm="1">
        <f t="array" ref="H97">[1]!unf_pvt_dZdp($D50,H$36,gg,zcor)*100</f>
        <v>-1.0179001865162629</v>
      </c>
      <c r="I97" s="1" cm="1">
        <f t="array" ref="I97">[1]!unf_pvt_dZdp($D50,I$36,gg,zcor)*100</f>
        <v>-1.0300933002238555</v>
      </c>
      <c r="J97" s="1" cm="1">
        <f t="array" ref="J97">[1]!unf_pvt_dZdp($D50,J$36,gg,zcor)*100</f>
        <v>-1.0244871782305598</v>
      </c>
      <c r="K97" s="1" cm="1">
        <f t="array" ref="K97">[1]!unf_pvt_dZdp($D50,K$36,gg,zcor)*100</f>
        <v>-1.0010916971070483</v>
      </c>
      <c r="L97" s="1" cm="1">
        <f t="array" ref="L97">[1]!unf_pvt_dZdp($D50,L$36,gg,zcor)*100</f>
        <v>-0.96077535576499784</v>
      </c>
      <c r="M97" s="1" cm="1">
        <f t="array" ref="M97">[1]!unf_pvt_dZdp($D50,M$36,gg,zcor)*100</f>
        <v>-0.90510693650291962</v>
      </c>
      <c r="N97" s="1" cm="1">
        <f t="array" ref="N97">[1]!unf_pvt_dZdp($D50,N$36,gg,zcor)*100</f>
        <v>-0.83616069546765814</v>
      </c>
      <c r="O97" s="1" cm="1">
        <f t="array" ref="O97">[1]!unf_pvt_dZdp($D50,O$36,gg,zcor)*100</f>
        <v>-0.7563121293185926</v>
      </c>
      <c r="P97" s="1" cm="1">
        <f t="array" ref="P97">[1]!unf_pvt_dZdp($D50,P$36,gg,zcor)*100</f>
        <v>-0.6680480063003813</v>
      </c>
      <c r="Q97" s="1" cm="1">
        <f t="array" ref="Q97">[1]!unf_pvt_dZdp($D50,Q$36,gg,zcor)*100</f>
        <v>-0.57380707565668487</v>
      </c>
      <c r="R97" s="1" cm="1">
        <f t="array" ref="R97">[1]!unf_pvt_dZdp($D50,R$36,gg,zcor)*100</f>
        <v>-0.47585974440544909</v>
      </c>
      <c r="S97" s="1" cm="1">
        <f t="array" ref="S97">[1]!unf_pvt_dZdp($D50,S$36,gg,zcor)*100</f>
        <v>-0.37622796133174319</v>
      </c>
      <c r="T97" s="1" cm="1">
        <f t="array" ref="T97">[1]!unf_pvt_dZdp($D50,T$36,gg,zcor)*100</f>
        <v>-0.27664152211337445</v>
      </c>
      <c r="U97" s="1" cm="1">
        <f t="array" ref="U97">[1]!unf_pvt_dZdp($D50,U$36,gg,zcor)*100</f>
        <v>-0.17852416843266994</v>
      </c>
      <c r="V97" s="1" cm="1">
        <f t="array" ref="V97">[1]!unf_pvt_dZdp($D50,V$36,gg,zcor)*100</f>
        <v>-8.3001862410947425E-2</v>
      </c>
      <c r="W97" s="1" cm="1">
        <f t="array" ref="W97">[1]!unf_pvt_dZdp($D50,W$36,gg,zcor)*100</f>
        <v>9.0740705105396557E-3</v>
      </c>
      <c r="X97" s="1" cm="1">
        <f t="array" ref="X97">[1]!unf_pvt_dZdp($D50,X$36,gg,zcor)*100</f>
        <v>9.709517402534118E-2</v>
      </c>
      <c r="Y97" s="1" cm="1">
        <f t="array" ref="Y97">[1]!unf_pvt_dZdp($D50,Y$36,gg,zcor)*100</f>
        <v>0.18066034352393068</v>
      </c>
      <c r="Z97" s="1" cm="1">
        <f t="array" ref="Z97">[1]!unf_pvt_dZdp($D50,Z$36,gg,zcor)*100</f>
        <v>0.2595400611060672</v>
      </c>
      <c r="AA97" s="1" cm="1">
        <f t="array" ref="AA97">[1]!unf_pvt_dZdp($D50,AA$36,gg,zcor)*100</f>
        <v>0.33364268158142529</v>
      </c>
      <c r="AB97" s="1" cm="1">
        <f t="array" ref="AB97">[1]!unf_pvt_dZdp($D50,AB$36,gg,zcor)*100</f>
        <v>0.40298410502903614</v>
      </c>
      <c r="AC97" s="1" cm="1">
        <f t="array" ref="AC97">[1]!unf_pvt_dZdp($D50,AC$36,gg,zcor)*100</f>
        <v>0.46766145687326954</v>
      </c>
      <c r="AD97" s="1" cm="1">
        <f t="array" ref="AD97">[1]!unf_pvt_dZdp($D50,AD$36,gg,zcor)*100</f>
        <v>0.52783090346730788</v>
      </c>
      <c r="AE97" s="1" cm="1">
        <f t="array" ref="AE97">[1]!unf_pvt_dZdp($D50,AE$36,gg,zcor)*100</f>
        <v>0.5836894166821871</v>
      </c>
      <c r="AF97" s="1" cm="1">
        <f t="array" ref="AF97">[1]!unf_pvt_dZdp($D50,AF$36,gg,zcor)*100</f>
        <v>0.63546012166737498</v>
      </c>
      <c r="AG97" s="1" cm="1">
        <f t="array" ref="AG97">[1]!unf_pvt_dZdp($D50,AG$36,gg,zcor)*100</f>
        <v>0.6833807781092549</v>
      </c>
      <c r="AH97" s="1" cm="1">
        <f t="array" ref="AH97">[1]!unf_pvt_dZdp($D50,AH$36,gg,zcor)*100</f>
        <v>0.7276949246193265</v>
      </c>
      <c r="AI97" s="1" cm="1">
        <f t="array" ref="AI97">[1]!unf_pvt_dZdp($D50,AI$36,gg,zcor)*100</f>
        <v>0.76864523502639948</v>
      </c>
      <c r="AJ97" s="1" cm="1">
        <f t="array" ref="AJ97">[1]!unf_pvt_dZdp($D50,AJ$36,gg,zcor)*100</f>
        <v>0.80646867557154778</v>
      </c>
      <c r="AK97" s="1" cm="1">
        <f t="array" ref="AK97">[1]!unf_pvt_dZdp($D50,AK$36,gg,zcor)*100</f>
        <v>0.84139310301933889</v>
      </c>
    </row>
    <row r="98" spans="5:37" x14ac:dyDescent="0.3">
      <c r="E98" t="str">
        <f t="shared" si="4"/>
        <v>t=130 C</v>
      </c>
      <c r="F98" s="1" cm="1">
        <f t="array" ref="F98">[1]!unf_pvt_dZdp($D51,F$36,gg,zcor)*100</f>
        <v>-0.8616597462318687</v>
      </c>
      <c r="G98" s="1" cm="1">
        <f t="array" ref="G98">[1]!unf_pvt_dZdp($D51,G$36,gg,zcor)*100</f>
        <v>-0.90212716564064266</v>
      </c>
      <c r="H98" s="1" cm="1">
        <f t="array" ref="H98">[1]!unf_pvt_dZdp($D51,H$36,gg,zcor)*100</f>
        <v>-0.92641290285966349</v>
      </c>
      <c r="I98" s="1" cm="1">
        <f t="array" ref="I98">[1]!unf_pvt_dZdp($D51,I$36,gg,zcor)*100</f>
        <v>-0.93360362143690701</v>
      </c>
      <c r="J98" s="1" cm="1">
        <f t="array" ref="J98">[1]!unf_pvt_dZdp($D51,J$36,gg,zcor)*100</f>
        <v>-0.92370154810672567</v>
      </c>
      <c r="K98" s="1" cm="1">
        <f t="array" ref="K98">[1]!unf_pvt_dZdp($D51,K$36,gg,zcor)*100</f>
        <v>-0.89748263141786744</v>
      </c>
      <c r="L98" s="1" cm="1">
        <f t="array" ref="L98">[1]!unf_pvt_dZdp($D51,L$36,gg,zcor)*100</f>
        <v>-0.85633844150279081</v>
      </c>
      <c r="M98" s="1" cm="1">
        <f t="array" ref="M98">[1]!unf_pvt_dZdp($D51,M$36,gg,zcor)*100</f>
        <v>-0.80209879517401106</v>
      </c>
      <c r="N98" s="1" cm="1">
        <f t="array" ref="N98">[1]!unf_pvt_dZdp($D51,N$36,gg,zcor)*100</f>
        <v>-0.73685482124274948</v>
      </c>
      <c r="O98" s="1" cm="1">
        <f t="array" ref="O98">[1]!unf_pvt_dZdp($D51,O$36,gg,zcor)*100</f>
        <v>-0.66279933444213235</v>
      </c>
      <c r="P98" s="1" cm="1">
        <f t="array" ref="P98">[1]!unf_pvt_dZdp($D51,P$36,gg,zcor)*100</f>
        <v>-0.58209524913754862</v>
      </c>
      <c r="Q98" s="1" cm="1">
        <f t="array" ref="Q98">[1]!unf_pvt_dZdp($D51,Q$36,gg,zcor)*100</f>
        <v>-0.49677660331370888</v>
      </c>
      <c r="R98" s="1" cm="1">
        <f t="array" ref="R98">[1]!unf_pvt_dZdp($D51,R$36,gg,zcor)*100</f>
        <v>-0.4086818399551273</v>
      </c>
      <c r="S98" s="1" cm="1">
        <f t="array" ref="S98">[1]!unf_pvt_dZdp($D51,S$36,gg,zcor)*100</f>
        <v>-0.31941572148697084</v>
      </c>
      <c r="T98" s="1" cm="1">
        <f t="array" ref="T98">[1]!unf_pvt_dZdp($D51,T$36,gg,zcor)*100</f>
        <v>-0.2303345496246223</v>
      </c>
      <c r="U98" s="1" cm="1">
        <f t="array" ref="U98">[1]!unf_pvt_dZdp($D51,U$36,gg,zcor)*100</f>
        <v>-0.14254889136422477</v>
      </c>
      <c r="V98" s="1" cm="1">
        <f t="array" ref="V98">[1]!unf_pvt_dZdp($D51,V$36,gg,zcor)*100</f>
        <v>-5.6938364351166726E-2</v>
      </c>
      <c r="W98" s="1" cm="1">
        <f t="array" ref="W98">[1]!unf_pvt_dZdp($D51,W$36,gg,zcor)*100</f>
        <v>2.582615882373851E-2</v>
      </c>
      <c r="X98" s="1" cm="1">
        <f t="array" ref="X98">[1]!unf_pvt_dZdp($D51,X$36,gg,zcor)*100</f>
        <v>0.10525658899585011</v>
      </c>
      <c r="Y98" s="1" cm="1">
        <f t="array" ref="Y98">[1]!unf_pvt_dZdp($D51,Y$36,gg,zcor)*100</f>
        <v>0.18102059769153911</v>
      </c>
      <c r="Z98" s="1" cm="1">
        <f t="array" ref="Z98">[1]!unf_pvt_dZdp($D51,Z$36,gg,zcor)*100</f>
        <v>0.25291538027993887</v>
      </c>
      <c r="AA98" s="1" cm="1">
        <f t="array" ref="AA98">[1]!unf_pvt_dZdp($D51,AA$36,gg,zcor)*100</f>
        <v>0.32084336295201688</v>
      </c>
      <c r="AB98" s="1" cm="1">
        <f t="array" ref="AB98">[1]!unf_pvt_dZdp($D51,AB$36,gg,zcor)*100</f>
        <v>0.38479048646289371</v>
      </c>
      <c r="AC98" s="1" cm="1">
        <f t="array" ref="AC98">[1]!unf_pvt_dZdp($D51,AC$36,gg,zcor)*100</f>
        <v>0.44480732279139623</v>
      </c>
      <c r="AD98" s="1" cm="1">
        <f t="array" ref="AD98">[1]!unf_pvt_dZdp($D51,AD$36,gg,zcor)*100</f>
        <v>0.50099302618900055</v>
      </c>
      <c r="AE98" s="1" cm="1">
        <f t="array" ref="AE98">[1]!unf_pvt_dZdp($D51,AE$36,gg,zcor)*100</f>
        <v>0.55348196011495432</v>
      </c>
      <c r="AF98" s="1" cm="1">
        <f t="array" ref="AF98">[1]!unf_pvt_dZdp($D51,AF$36,gg,zcor)*100</f>
        <v>0.60243275173510469</v>
      </c>
      <c r="AG98" s="1" cm="1">
        <f t="array" ref="AG98">[1]!unf_pvt_dZdp($D51,AG$36,gg,zcor)*100</f>
        <v>0.64801948460702086</v>
      </c>
      <c r="AH98" s="1" cm="1">
        <f t="array" ref="AH98">[1]!unf_pvt_dZdp($D51,AH$36,gg,zcor)*100</f>
        <v>0.69042473169744767</v>
      </c>
      <c r="AI98" s="1" cm="1">
        <f t="array" ref="AI98">[1]!unf_pvt_dZdp($D51,AI$36,gg,zcor)*100</f>
        <v>0.72983414285743287</v>
      </c>
      <c r="AJ98" s="1" cm="1">
        <f t="array" ref="AJ98">[1]!unf_pvt_dZdp($D51,AJ$36,gg,zcor)*100</f>
        <v>0.7664323245626381</v>
      </c>
      <c r="AK98" s="1" cm="1">
        <f t="array" ref="AK98">[1]!unf_pvt_dZdp($D51,AK$36,gg,zcor)*100</f>
        <v>0.80039977866652734</v>
      </c>
    </row>
    <row r="99" spans="5:37" x14ac:dyDescent="0.3">
      <c r="E99" t="str">
        <f t="shared" si="4"/>
        <v>t=140 C</v>
      </c>
      <c r="F99" s="1" cm="1">
        <f t="array" ref="F99">[1]!unf_pvt_dZdp($D52,F$36,gg,zcor)*100</f>
        <v>-0.78665305786040918</v>
      </c>
      <c r="G99" s="1" cm="1">
        <f t="array" ref="G99">[1]!unf_pvt_dZdp($D52,G$36,gg,zcor)*100</f>
        <v>-0.8239102291363043</v>
      </c>
      <c r="H99" s="1" cm="1">
        <f t="array" ref="H99">[1]!unf_pvt_dZdp($D52,H$36,gg,zcor)*100</f>
        <v>-0.84416661505826163</v>
      </c>
      <c r="I99" s="1" cm="1">
        <f t="array" ref="I99">[1]!unf_pvt_dZdp($D52,I$36,gg,zcor)*100</f>
        <v>-0.84732543987886544</v>
      </c>
      <c r="J99" s="1" cm="1">
        <f t="array" ref="J99">[1]!unf_pvt_dZdp($D52,J$36,gg,zcor)*100</f>
        <v>-0.83408362606673947</v>
      </c>
      <c r="K99" s="1" cm="1">
        <f t="array" ref="K99">[1]!unf_pvt_dZdp($D52,K$36,gg,zcor)*100</f>
        <v>-0.80576788511033115</v>
      </c>
      <c r="L99" s="1" cm="1">
        <f t="array" ref="L99">[1]!unf_pvt_dZdp($D52,L$36,gg,zcor)*100</f>
        <v>-0.76414093002186156</v>
      </c>
      <c r="M99" s="1" cm="1">
        <f t="array" ref="M99">[1]!unf_pvt_dZdp($D52,M$36,gg,zcor)*100</f>
        <v>-0.71121361264081528</v>
      </c>
      <c r="N99" s="1" cm="1">
        <f t="array" ref="N99">[1]!unf_pvt_dZdp($D52,N$36,gg,zcor)*100</f>
        <v>-0.64908252033535341</v>
      </c>
      <c r="O99" s="1" cm="1">
        <f t="array" ref="O99">[1]!unf_pvt_dZdp($D52,O$36,gg,zcor)*100</f>
        <v>-0.57980255864675811</v>
      </c>
      <c r="P99" s="1" cm="1">
        <f t="array" ref="P99">[1]!unf_pvt_dZdp($D52,P$36,gg,zcor)*100</f>
        <v>-0.50529635912677229</v>
      </c>
      <c r="Q99" s="1" cm="1">
        <f t="array" ref="Q99">[1]!unf_pvt_dZdp($D52,Q$36,gg,zcor)*100</f>
        <v>-0.42729726960510916</v>
      </c>
      <c r="R99" s="1" cm="1">
        <f t="array" ref="R99">[1]!unf_pvt_dZdp($D52,R$36,gg,zcor)*100</f>
        <v>-0.34732002314297183</v>
      </c>
      <c r="S99" s="1" cm="1">
        <f t="array" ref="S99">[1]!unf_pvt_dZdp($D52,S$36,gg,zcor)*100</f>
        <v>-0.26665237634726502</v>
      </c>
      <c r="T99" s="1" cm="1">
        <f t="array" ref="T99">[1]!unf_pvt_dZdp($D52,T$36,gg,zcor)*100</f>
        <v>-0.1863613911567974</v>
      </c>
      <c r="U99" s="1" cm="1">
        <f t="array" ref="U99">[1]!unf_pvt_dZdp($D52,U$36,gg,zcor)*100</f>
        <v>-0.10730902942013287</v>
      </c>
      <c r="V99" s="1" cm="1">
        <f t="array" ref="V99">[1]!unf_pvt_dZdp($D52,V$36,gg,zcor)*100</f>
        <v>-3.0172922486082498E-2</v>
      </c>
      <c r="W99" s="1" cm="1">
        <f t="array" ref="W99">[1]!unf_pvt_dZdp($D52,W$36,gg,zcor)*100</f>
        <v>4.4530681527765736E-2</v>
      </c>
      <c r="X99" s="1" cm="1">
        <f t="array" ref="X99">[1]!unf_pvt_dZdp($D52,X$36,gg,zcor)*100</f>
        <v>0.11642382445109511</v>
      </c>
      <c r="Y99" s="1" cm="1">
        <f t="array" ref="Y99">[1]!unf_pvt_dZdp($D52,Y$36,gg,zcor)*100</f>
        <v>0.18524487641835563</v>
      </c>
      <c r="Z99" s="1" cm="1">
        <f t="array" ref="Z99">[1]!unf_pvt_dZdp($D52,Z$36,gg,zcor)*100</f>
        <v>0.25082843101209562</v>
      </c>
      <c r="AA99" s="1" cm="1">
        <f t="array" ref="AA99">[1]!unf_pvt_dZdp($D52,AA$36,gg,zcor)*100</f>
        <v>0.31308739852353717</v>
      </c>
      <c r="AB99" s="1" cm="1">
        <f t="array" ref="AB99">[1]!unf_pvt_dZdp($D52,AB$36,gg,zcor)*100</f>
        <v>0.3719973861482373</v>
      </c>
      <c r="AC99" s="1" cm="1">
        <f t="array" ref="AC99">[1]!unf_pvt_dZdp($D52,AC$36,gg,zcor)*100</f>
        <v>0.42758329737546674</v>
      </c>
      <c r="AD99" s="1" cm="1">
        <f t="array" ref="AD99">[1]!unf_pvt_dZdp($D52,AD$36,gg,zcor)*100</f>
        <v>0.47990799333930134</v>
      </c>
      <c r="AE99" s="1" cm="1">
        <f t="array" ref="AE99">[1]!unf_pvt_dZdp($D52,AE$36,gg,zcor)*100</f>
        <v>0.52906281447273606</v>
      </c>
      <c r="AF99" s="1" cm="1">
        <f t="array" ref="AF99">[1]!unf_pvt_dZdp($D52,AF$36,gg,zcor)*100</f>
        <v>0.57515974524524616</v>
      </c>
      <c r="AG99" s="1" cm="1">
        <f t="array" ref="AG99">[1]!unf_pvt_dZdp($D52,AG$36,gg,zcor)*100</f>
        <v>0.61832500695024883</v>
      </c>
      <c r="AH99" s="1" cm="1">
        <f t="array" ref="AH99">[1]!unf_pvt_dZdp($D52,AH$36,gg,zcor)*100</f>
        <v>0.6586938759634009</v>
      </c>
      <c r="AI99" s="1" cm="1">
        <f t="array" ref="AI99">[1]!unf_pvt_dZdp($D52,AI$36,gg,zcor)*100</f>
        <v>0.69640654246638789</v>
      </c>
      <c r="AJ99" s="1" cm="1">
        <f t="array" ref="AJ99">[1]!unf_pvt_dZdp($D52,AJ$36,gg,zcor)*100</f>
        <v>0.73160484445167207</v>
      </c>
      <c r="AK99" s="1" cm="1">
        <f t="array" ref="AK99">[1]!unf_pvt_dZdp($D52,AK$36,gg,zcor)*100</f>
        <v>0.76442973199974951</v>
      </c>
    </row>
    <row r="100" spans="5:37" x14ac:dyDescent="0.3">
      <c r="E100" t="str">
        <f t="shared" si="4"/>
        <v>t=150 C</v>
      </c>
      <c r="F100" s="1" cm="1">
        <f t="array" ref="F100">[1]!unf_pvt_dZdp($D53,F$36,gg,zcor)*100</f>
        <v>-0.71892177813670521</v>
      </c>
      <c r="G100" s="1" cm="1">
        <f t="array" ref="G100">[1]!unf_pvt_dZdp($D53,G$36,gg,zcor)*100</f>
        <v>-0.75314870589537897</v>
      </c>
      <c r="H100" s="1" cm="1">
        <f t="array" ref="H100">[1]!unf_pvt_dZdp($D53,H$36,gg,zcor)*100</f>
        <v>-0.7699446198239368</v>
      </c>
      <c r="I100" s="1" cm="1">
        <f t="array" ref="I100">[1]!unf_pvt_dZdp($D53,I$36,gg,zcor)*100</f>
        <v>-0.76983020758980558</v>
      </c>
      <c r="J100" s="1" cm="1">
        <f t="array" ref="J100">[1]!unf_pvt_dZdp($D53,J$36,gg,zcor)*100</f>
        <v>-0.75400216733134684</v>
      </c>
      <c r="K100" s="1" cm="1">
        <f t="array" ref="K100">[1]!unf_pvt_dZdp($D53,K$36,gg,zcor)*100</f>
        <v>-0.7241738546248655</v>
      </c>
      <c r="L100" s="1" cm="1">
        <f t="array" ref="L100">[1]!unf_pvt_dZdp($D53,L$36,gg,zcor)*100</f>
        <v>-0.68236154803558158</v>
      </c>
      <c r="M100" s="1" cm="1">
        <f t="array" ref="M100">[1]!unf_pvt_dZdp($D53,M$36,gg,zcor)*100</f>
        <v>-0.63069238683710616</v>
      </c>
      <c r="N100" s="1" cm="1">
        <f t="array" ref="N100">[1]!unf_pvt_dZdp($D53,N$36,gg,zcor)*100</f>
        <v>-0.57125418093328939</v>
      </c>
      <c r="O100" s="1" cm="1">
        <f t="array" ref="O100">[1]!unf_pvt_dZdp($D53,O$36,gg,zcor)*100</f>
        <v>-0.50599154263863966</v>
      </c>
      <c r="P100" s="1" cm="1">
        <f t="array" ref="P100">[1]!unf_pvt_dZdp($D53,P$36,gg,zcor)*100</f>
        <v>-0.43664417871069894</v>
      </c>
      <c r="Q100" s="1" cm="1">
        <f t="array" ref="Q100">[1]!unf_pvt_dZdp($D53,Q$36,gg,zcor)*100</f>
        <v>-0.36471900762724552</v>
      </c>
      <c r="R100" s="1" cm="1">
        <f t="array" ref="R100">[1]!unf_pvt_dZdp($D53,R$36,gg,zcor)*100</f>
        <v>-0.2914866925196602</v>
      </c>
      <c r="S100" s="1" cm="1">
        <f t="array" ref="S100">[1]!unf_pvt_dZdp($D53,S$36,gg,zcor)*100</f>
        <v>-0.21799398765343092</v>
      </c>
      <c r="T100" s="1" cm="1">
        <f t="array" ref="T100">[1]!unf_pvt_dZdp($D53,T$36,gg,zcor)*100</f>
        <v>-0.14508498725418484</v>
      </c>
      <c r="U100" s="1" cm="1">
        <f t="array" ref="U100">[1]!unf_pvt_dZdp($D53,U$36,gg,zcor)*100</f>
        <v>-7.3426255161601617E-2</v>
      </c>
      <c r="V100" s="1" cm="1">
        <f t="array" ref="V100">[1]!unf_pvt_dZdp($D53,V$36,gg,zcor)*100</f>
        <v>-3.5325132363706047E-3</v>
      </c>
      <c r="W100" s="1" cm="1">
        <f t="array" ref="W100">[1]!unf_pvt_dZdp($D53,W$36,gg,zcor)*100</f>
        <v>6.4209088780353696E-2</v>
      </c>
      <c r="X100" s="1" cm="1">
        <f t="array" ref="X100">[1]!unf_pvt_dZdp($D53,X$36,gg,zcor)*100</f>
        <v>0.12951713194264691</v>
      </c>
      <c r="Y100" s="1" cm="1">
        <f t="array" ref="Y100">[1]!unf_pvt_dZdp($D53,Y$36,gg,zcor)*100</f>
        <v>0.19219688742078134</v>
      </c>
      <c r="Z100" s="1" cm="1">
        <f t="array" ref="Z100">[1]!unf_pvt_dZdp($D53,Z$36,gg,zcor)*100</f>
        <v>0.25212406435715096</v>
      </c>
      <c r="AA100" s="1" cm="1">
        <f t="array" ref="AA100">[1]!unf_pvt_dZdp($D53,AA$36,gg,zcor)*100</f>
        <v>0.30923112902758731</v>
      </c>
      <c r="AB100" s="1" cm="1">
        <f t="array" ref="AB100">[1]!unf_pvt_dZdp($D53,AB$36,gg,zcor)*100</f>
        <v>0.3634958896769902</v>
      </c>
      <c r="AC100" s="1" cm="1">
        <f t="array" ref="AC100">[1]!unf_pvt_dZdp($D53,AC$36,gg,zcor)*100</f>
        <v>0.41493202266096318</v>
      </c>
      <c r="AD100" s="1" cm="1">
        <f t="array" ref="AD100">[1]!unf_pvt_dZdp($D53,AD$36,gg,zcor)*100</f>
        <v>0.46358123424461439</v>
      </c>
      <c r="AE100" s="1" cm="1">
        <f t="array" ref="AE100">[1]!unf_pvt_dZdp($D53,AE$36,gg,zcor)*100</f>
        <v>0.50950678812888839</v>
      </c>
      <c r="AF100" s="1" cm="1">
        <f t="array" ref="AF100">[1]!unf_pvt_dZdp($D53,AF$36,gg,zcor)*100</f>
        <v>0.55278816884940518</v>
      </c>
      <c r="AG100" s="1" cm="1">
        <f t="array" ref="AG100">[1]!unf_pvt_dZdp($D53,AG$36,gg,zcor)*100</f>
        <v>0.59351668982299266</v>
      </c>
      <c r="AH100" s="1" cm="1">
        <f t="array" ref="AH100">[1]!unf_pvt_dZdp($D53,AH$36,gg,zcor)*100</f>
        <v>0.63179188842910072</v>
      </c>
      <c r="AI100" s="1" cm="1">
        <f t="array" ref="AI100">[1]!unf_pvt_dZdp($D53,AI$36,gg,zcor)*100</f>
        <v>0.66771857875957963</v>
      </c>
      <c r="AJ100" s="1" cm="1">
        <f t="array" ref="AJ100">[1]!unf_pvt_dZdp($D53,AJ$36,gg,zcor)*100</f>
        <v>0.70140445554534026</v>
      </c>
      <c r="AK100" s="1" cm="1">
        <f t="array" ref="AK100">[1]!unf_pvt_dZdp($D53,AK$36,gg,zcor)*100</f>
        <v>0.73295816112373124</v>
      </c>
    </row>
    <row r="101" spans="5:37" x14ac:dyDescent="0.3">
      <c r="E101" t="str">
        <f t="shared" si="4"/>
        <v>t=160 C</v>
      </c>
      <c r="F101" s="1" cm="1">
        <f t="array" ref="F101">[1]!unf_pvt_dZdp($D54,F$36,gg,zcor)*100</f>
        <v>-0.65759735109249817</v>
      </c>
      <c r="G101" s="1" cm="1">
        <f t="array" ref="G101">[1]!unf_pvt_dZdp($D54,G$36,gg,zcor)*100</f>
        <v>-0.68894458624901844</v>
      </c>
      <c r="H101" s="1" cm="1">
        <f t="array" ref="H101">[1]!unf_pvt_dZdp($D54,H$36,gg,zcor)*100</f>
        <v>-0.70272815261507304</v>
      </c>
      <c r="I101" s="1" cm="1">
        <f t="array" ref="I101">[1]!unf_pvt_dZdp($D54,I$36,gg,zcor)*100</f>
        <v>-0.69993498171272428</v>
      </c>
      <c r="J101" s="1" cm="1">
        <f t="array" ref="J101">[1]!unf_pvt_dZdp($D54,J$36,gg,zcor)*100</f>
        <v>-0.68211373927429264</v>
      </c>
      <c r="K101" s="1" cm="1">
        <f t="array" ref="K101">[1]!unf_pvt_dZdp($D54,K$36,gg,zcor)*100</f>
        <v>-0.65123929124499824</v>
      </c>
      <c r="L101" s="1" cm="1">
        <f t="array" ref="L101">[1]!unf_pvt_dZdp($D54,L$36,gg,zcor)*100</f>
        <v>-0.60949070340043932</v>
      </c>
      <c r="M101" s="1" cm="1">
        <f t="array" ref="M101">[1]!unf_pvt_dZdp($D54,M$36,gg,zcor)*100</f>
        <v>-0.5590596176141549</v>
      </c>
      <c r="N101" s="1" cm="1">
        <f t="array" ref="N101">[1]!unf_pvt_dZdp($D54,N$36,gg,zcor)*100</f>
        <v>-0.50201064455301925</v>
      </c>
      <c r="O101" s="1" cm="1">
        <f t="array" ref="O101">[1]!unf_pvt_dZdp($D54,O$36,gg,zcor)*100</f>
        <v>-0.44019491568958458</v>
      </c>
      <c r="P101" s="1" cm="1">
        <f t="array" ref="P101">[1]!unf_pvt_dZdp($D54,P$36,gg,zcor)*100</f>
        <v>-0.37520872237295499</v>
      </c>
      <c r="Q101" s="1" cm="1">
        <f t="array" ref="Q101">[1]!unf_pvt_dZdp($D54,Q$36,gg,zcor)*100</f>
        <v>-0.30838569237912061</v>
      </c>
      <c r="R101" s="1" cm="1">
        <f t="array" ref="R101">[1]!unf_pvt_dZdp($D54,R$36,gg,zcor)*100</f>
        <v>-0.24081096396955104</v>
      </c>
      <c r="S101" s="1" cm="1">
        <f t="array" ref="S101">[1]!unf_pvt_dZdp($D54,S$36,gg,zcor)*100</f>
        <v>-0.17334766214793795</v>
      </c>
      <c r="T101" s="1" cm="1">
        <f t="array" ref="T101">[1]!unf_pvt_dZdp($D54,T$36,gg,zcor)*100</f>
        <v>-0.1066684756723113</v>
      </c>
      <c r="U101" s="1" cm="1">
        <f t="array" ref="U101">[1]!unf_pvt_dZdp($D54,U$36,gg,zcor)*100</f>
        <v>-4.1287551373336839E-2</v>
      </c>
      <c r="V101" s="1" cm="1">
        <f t="array" ref="V101">[1]!unf_pvt_dZdp($D54,V$36,gg,zcor)*100</f>
        <v>2.2410090046998121E-2</v>
      </c>
      <c r="W101" s="1" cm="1">
        <f t="array" ref="W101">[1]!unf_pvt_dZdp($D54,W$36,gg,zcor)*100</f>
        <v>8.4142956036092897E-2</v>
      </c>
      <c r="X101" s="1" cm="1">
        <f t="array" ref="X101">[1]!unf_pvt_dZdp($D54,X$36,gg,zcor)*100</f>
        <v>0.14371167828097775</v>
      </c>
      <c r="Y101" s="1" cm="1">
        <f t="array" ref="Y101">[1]!unf_pvt_dZdp($D54,Y$36,gg,zcor)*100</f>
        <v>0.20098160915749119</v>
      </c>
      <c r="Z101" s="1" cm="1">
        <f t="array" ref="Z101">[1]!unf_pvt_dZdp($D54,Z$36,gg,zcor)*100</f>
        <v>0.25586893770079833</v>
      </c>
      <c r="AA101" s="1" cm="1">
        <f t="array" ref="AA101">[1]!unf_pvt_dZdp($D54,AA$36,gg,zcor)*100</f>
        <v>0.30832974220351694</v>
      </c>
      <c r="AB101" s="1" cm="1">
        <f t="array" ref="AB101">[1]!unf_pvt_dZdp($D54,AB$36,gg,zcor)*100</f>
        <v>0.35835140401507815</v>
      </c>
      <c r="AC101" s="1" cm="1">
        <f t="array" ref="AC101">[1]!unf_pvt_dZdp($D54,AC$36,gg,zcor)*100</f>
        <v>0.40594587087827705</v>
      </c>
      <c r="AD101" s="1" cm="1">
        <f t="array" ref="AD101">[1]!unf_pvt_dZdp($D54,AD$36,gg,zcor)*100</f>
        <v>0.45114434391368974</v>
      </c>
      <c r="AE101" s="1" cm="1">
        <f t="array" ref="AE101">[1]!unf_pvt_dZdp($D54,AE$36,gg,zcor)*100</f>
        <v>0.49399305002029159</v>
      </c>
      <c r="AF101" s="1" cm="1">
        <f t="array" ref="AF101">[1]!unf_pvt_dZdp($D54,AF$36,gg,zcor)*100</f>
        <v>0.53454983988676652</v>
      </c>
      <c r="AG101" s="1" cm="1">
        <f t="array" ref="AG101">[1]!unf_pvt_dZdp($D54,AG$36,gg,zcor)*100</f>
        <v>0.57288141761646649</v>
      </c>
      <c r="AH101" s="1" cm="1">
        <f t="array" ref="AH101">[1]!unf_pvt_dZdp($D54,AH$36,gg,zcor)*100</f>
        <v>0.60906105942226674</v>
      </c>
      <c r="AI101" s="1" cm="1">
        <f t="array" ref="AI101">[1]!unf_pvt_dZdp($D54,AI$36,gg,zcor)*100</f>
        <v>0.64316671816611048</v>
      </c>
      <c r="AJ101" s="1" cm="1">
        <f t="array" ref="AJ101">[1]!unf_pvt_dZdp($D54,AJ$36,gg,zcor)*100</f>
        <v>0.67527943893752607</v>
      </c>
      <c r="AK101" s="1" cm="1">
        <f t="array" ref="AK101">[1]!unf_pvt_dZdp($D54,AK$36,gg,zcor)*100</f>
        <v>0.70548203136899801</v>
      </c>
    </row>
    <row r="102" spans="5:37" x14ac:dyDescent="0.3">
      <c r="E102" t="str">
        <f t="shared" si="4"/>
        <v>t=170 C</v>
      </c>
      <c r="F102" s="1" cm="1">
        <f t="array" ref="F102">[1]!unf_pvt_dZdp($D55,F$36,gg,zcor)*100</f>
        <v>-0.60193596156166151</v>
      </c>
      <c r="G102" s="1" cm="1">
        <f t="array" ref="G102">[1]!unf_pvt_dZdp($D55,G$36,gg,zcor)*100</f>
        <v>-0.63053162209336655</v>
      </c>
      <c r="H102" s="1" cm="1">
        <f t="array" ref="H102">[1]!unf_pvt_dZdp($D55,H$36,gg,zcor)*100</f>
        <v>-0.64165849329000935</v>
      </c>
      <c r="I102" s="1" cm="1">
        <f t="array" ref="I102">[1]!unf_pvt_dZdp($D55,I$36,gg,zcor)*100</f>
        <v>-0.63665349723018849</v>
      </c>
      <c r="J102" s="1" cm="1">
        <f t="array" ref="J102">[1]!unf_pvt_dZdp($D55,J$36,gg,zcor)*100</f>
        <v>-0.61730499313350506</v>
      </c>
      <c r="K102" s="1" cm="1">
        <f t="array" ref="K102">[1]!unf_pvt_dZdp($D55,K$36,gg,zcor)*100</f>
        <v>-0.58575404864313896</v>
      </c>
      <c r="L102" s="1" cm="1">
        <f t="array" ref="L102">[1]!unf_pvt_dZdp($D55,L$36,gg,zcor)*100</f>
        <v>-0.5442726860171998</v>
      </c>
      <c r="M102" s="1" cm="1">
        <f t="array" ref="M102">[1]!unf_pvt_dZdp($D55,M$36,gg,zcor)*100</f>
        <v>-0.49507609152010801</v>
      </c>
      <c r="N102" s="1" cm="1">
        <f t="array" ref="N102">[1]!unf_pvt_dZdp($D55,N$36,gg,zcor)*100</f>
        <v>-0.4401924258046197</v>
      </c>
      <c r="O102" s="1" cm="1">
        <f t="array" ref="O102">[1]!unf_pvt_dZdp($D55,O$36,gg,zcor)*100</f>
        <v>-0.3813894170301424</v>
      </c>
      <c r="P102" s="1" cm="1">
        <f t="array" ref="P102">[1]!unf_pvt_dZdp($D55,P$36,gg,zcor)*100</f>
        <v>-0.32014727370466289</v>
      </c>
      <c r="Q102" s="1" cm="1">
        <f t="array" ref="Q102">[1]!unf_pvt_dZdp($D55,Q$36,gg,zcor)*100</f>
        <v>-0.25766446907327101</v>
      </c>
      <c r="R102" s="1" cm="1">
        <f t="array" ref="R102">[1]!unf_pvt_dZdp($D55,R$36,gg,zcor)*100</f>
        <v>-0.19488366564179849</v>
      </c>
      <c r="S102" s="1" cm="1">
        <f t="array" ref="S102">[1]!unf_pvt_dZdp($D55,S$36,gg,zcor)*100</f>
        <v>-0.13252753069736833</v>
      </c>
      <c r="T102" s="1" cm="1">
        <f t="array" ref="T102">[1]!unf_pvt_dZdp($D55,T$36,gg,zcor)*100</f>
        <v>-7.113715546291921E-2</v>
      </c>
      <c r="U102" s="1" cm="1">
        <f t="array" ref="U102">[1]!unf_pvt_dZdp($D55,U$36,gg,zcor)*100</f>
        <v>-1.1108498575440606E-2</v>
      </c>
      <c r="V102" s="1" cm="1">
        <f t="array" ref="V102">[1]!unf_pvt_dZdp($D55,V$36,gg,zcor)*100</f>
        <v>4.7275590104867149E-2</v>
      </c>
      <c r="W102" s="1" cm="1">
        <f t="array" ref="W102">[1]!unf_pvt_dZdp($D55,W$36,gg,zcor)*100</f>
        <v>0.10381870559905693</v>
      </c>
      <c r="X102" s="1" cm="1">
        <f t="array" ref="X102">[1]!unf_pvt_dZdp($D55,X$36,gg,zcor)*100</f>
        <v>0.15838957327152237</v>
      </c>
      <c r="Y102" s="1" cm="1">
        <f t="array" ref="Y102">[1]!unf_pvt_dZdp($D55,Y$36,gg,zcor)*100</f>
        <v>0.21090554756186819</v>
      </c>
      <c r="Z102" s="1" cm="1">
        <f t="array" ref="Z102">[1]!unf_pvt_dZdp($D55,Z$36,gg,zcor)*100</f>
        <v>0.26132015771507255</v>
      </c>
      <c r="AA102" s="1" cm="1">
        <f t="array" ref="AA102">[1]!unf_pvt_dZdp($D55,AA$36,gg,zcor)*100</f>
        <v>0.30961389041239684</v>
      </c>
      <c r="AB102" s="1" cm="1">
        <f t="array" ref="AB102">[1]!unf_pvt_dZdp($D55,AB$36,gg,zcor)*100</f>
        <v>0.35578746045206167</v>
      </c>
      <c r="AC102" s="1" cm="1">
        <f t="array" ref="AC102">[1]!unf_pvt_dZdp($D55,AC$36,gg,zcor)*100</f>
        <v>0.39985693122246424</v>
      </c>
      <c r="AD102" s="1" cm="1">
        <f t="array" ref="AD102">[1]!unf_pvt_dZdp($D55,AD$36,gg,zcor)*100</f>
        <v>0.44185017117337466</v>
      </c>
      <c r="AE102" s="1" cm="1">
        <f t="array" ref="AE102">[1]!unf_pvt_dZdp($D55,AE$36,gg,zcor)*100</f>
        <v>0.48180425130328608</v>
      </c>
      <c r="AF102" s="1" cm="1">
        <f t="array" ref="AF102">[1]!unf_pvt_dZdp($D55,AF$36,gg,zcor)*100</f>
        <v>0.51976349149440715</v>
      </c>
      <c r="AG102" s="1" cm="1">
        <f t="array" ref="AG102">[1]!unf_pvt_dZdp($D55,AG$36,gg,zcor)*100</f>
        <v>0.55577794746075604</v>
      </c>
      <c r="AH102" s="1" cm="1">
        <f t="array" ref="AH102">[1]!unf_pvt_dZdp($D55,AH$36,gg,zcor)*100</f>
        <v>0.58990219502175201</v>
      </c>
      <c r="AI102" s="1" cm="1">
        <f t="array" ref="AI102">[1]!unf_pvt_dZdp($D55,AI$36,gg,zcor)*100</f>
        <v>0.62219431662069447</v>
      </c>
      <c r="AJ102" s="1" cm="1">
        <f t="array" ref="AJ102">[1]!unf_pvt_dZdp($D55,AJ$36,gg,zcor)*100</f>
        <v>0.652715029672013</v>
      </c>
      <c r="AK102" s="1" cm="1">
        <f t="array" ref="AK102">[1]!unf_pvt_dZdp($D55,AK$36,gg,zcor)*100</f>
        <v>0.68152691986789193</v>
      </c>
    </row>
    <row r="103" spans="5:37" x14ac:dyDescent="0.3">
      <c r="E103" t="str">
        <f t="shared" si="4"/>
        <v>t=180 C</v>
      </c>
      <c r="F103" s="1" cm="1">
        <f t="array" ref="F103">[1]!unf_pvt_dZdp($D56,F$36,gg,zcor)*100</f>
        <v>-0.55129753685601024</v>
      </c>
      <c r="G103" s="1" cm="1">
        <f t="array" ref="G103">[1]!unf_pvt_dZdp($D56,G$36,gg,zcor)*100</f>
        <v>-0.57725249340223606</v>
      </c>
      <c r="H103" s="1" cm="1">
        <f t="array" ref="H103">[1]!unf_pvt_dZdp($D56,H$36,gg,zcor)*100</f>
        <v>-0.58600726751900645</v>
      </c>
      <c r="I103" s="1" cm="1">
        <f t="array" ref="I103">[1]!unf_pvt_dZdp($D56,I$36,gg,zcor)*100</f>
        <v>-0.57915808851061179</v>
      </c>
      <c r="J103" s="1" cm="1">
        <f t="array" ref="J103">[1]!unf_pvt_dZdp($D56,J$36,gg,zcor)*100</f>
        <v>-0.55864763167212672</v>
      </c>
      <c r="K103" s="1" cm="1">
        <f t="array" ref="K103">[1]!unf_pvt_dZdp($D56,K$36,gg,zcor)*100</f>
        <v>-0.52671075718824234</v>
      </c>
      <c r="L103" s="1" cm="1">
        <f t="array" ref="L103">[1]!unf_pvt_dZdp($D56,L$36,gg,zcor)*100</f>
        <v>-0.48565901397901179</v>
      </c>
      <c r="M103" s="1" cm="1">
        <f t="array" ref="M103">[1]!unf_pvt_dZdp($D56,M$36,gg,zcor)*100</f>
        <v>-0.43769911425850516</v>
      </c>
      <c r="N103" s="1" cm="1">
        <f t="array" ref="N103">[1]!unf_pvt_dZdp($D56,N$36,gg,zcor)*100</f>
        <v>-0.38481130927303653</v>
      </c>
      <c r="O103" s="1" cm="1">
        <f t="array" ref="O103">[1]!unf_pvt_dZdp($D56,O$36,gg,zcor)*100</f>
        <v>-0.32868587401702065</v>
      </c>
      <c r="P103" s="1" cm="1">
        <f t="array" ref="P103">[1]!unf_pvt_dZdp($D56,P$36,gg,zcor)*100</f>
        <v>-0.27070594799671888</v>
      </c>
      <c r="Q103" s="1" cm="1">
        <f t="array" ref="Q103">[1]!unf_pvt_dZdp($D56,Q$36,gg,zcor)*100</f>
        <v>-0.21196231478004535</v>
      </c>
      <c r="R103" s="1" cm="1">
        <f t="array" ref="R103">[1]!unf_pvt_dZdp($D56,R$36,gg,zcor)*100</f>
        <v>-0.15328684574433815</v>
      </c>
      <c r="S103" s="1" cm="1">
        <f t="array" ref="S103">[1]!unf_pvt_dZdp($D56,S$36,gg,zcor)*100</f>
        <v>-9.5294171472692923E-2</v>
      </c>
      <c r="T103" s="1" cm="1">
        <f t="array" ref="T103">[1]!unf_pvt_dZdp($D56,T$36,gg,zcor)*100</f>
        <v>-3.8424346452403668E-2</v>
      </c>
      <c r="U103" s="1" cm="1">
        <f t="array" ref="U103">[1]!unf_pvt_dZdp($D56,U$36,gg,zcor)*100</f>
        <v>1.7017885508563424E-2</v>
      </c>
      <c r="V103" s="1" cm="1">
        <f t="array" ref="V103">[1]!unf_pvt_dZdp($D56,V$36,gg,zcor)*100</f>
        <v>7.0829427243346288E-2</v>
      </c>
      <c r="W103" s="1" cm="1">
        <f t="array" ref="W103">[1]!unf_pvt_dZdp($D56,W$36,gg,zcor)*100</f>
        <v>0.12288145766037317</v>
      </c>
      <c r="X103" s="1" cm="1">
        <f t="array" ref="X103">[1]!unf_pvt_dZdp($D56,X$36,gg,zcor)*100</f>
        <v>0.17309811641053052</v>
      </c>
      <c r="Y103" s="1" cm="1">
        <f t="array" ref="Y103">[1]!unf_pvt_dZdp($D56,Y$36,gg,zcor)*100</f>
        <v>0.2214405114497886</v>
      </c>
      <c r="Z103" s="1" cm="1">
        <f t="array" ref="Z103">[1]!unf_pvt_dZdp($D56,Z$36,gg,zcor)*100</f>
        <v>0.26789512089342438</v>
      </c>
      <c r="AA103" s="1" cm="1">
        <f t="array" ref="AA103">[1]!unf_pvt_dZdp($D56,AA$36,gg,zcor)*100</f>
        <v>0.31246564857534409</v>
      </c>
      <c r="AB103" s="1" cm="1">
        <f t="array" ref="AB103">[1]!unf_pvt_dZdp($D56,AB$36,gg,zcor)*100</f>
        <v>0.35516748233210826</v>
      </c>
      <c r="AC103" s="1" cm="1">
        <f t="array" ref="AC103">[1]!unf_pvt_dZdp($D56,AC$36,gg,zcor)*100</f>
        <v>0.39602403844263279</v>
      </c>
      <c r="AD103" s="1" cm="1">
        <f t="array" ref="AD103">[1]!unf_pvt_dZdp($D56,AD$36,gg,zcor)*100</f>
        <v>0.43506442043095284</v>
      </c>
      <c r="AE103" s="1" cm="1">
        <f t="array" ref="AE103">[1]!unf_pvt_dZdp($D56,AE$36,gg,zcor)*100</f>
        <v>0.47232195589663739</v>
      </c>
      <c r="AF103" s="1" cm="1">
        <f t="array" ref="AF103">[1]!unf_pvt_dZdp($D56,AF$36,gg,zcor)*100</f>
        <v>0.50783329166415037</v>
      </c>
      <c r="AG103" s="1" cm="1">
        <f t="array" ref="AG103">[1]!unf_pvt_dZdp($D56,AG$36,gg,zcor)*100</f>
        <v>0.54163782220006951</v>
      </c>
      <c r="AH103" s="1" cm="1">
        <f t="array" ref="AH103">[1]!unf_pvt_dZdp($D56,AH$36,gg,zcor)*100</f>
        <v>0.57377730017682538</v>
      </c>
      <c r="AI103" s="1" cm="1">
        <f t="array" ref="AI103">[1]!unf_pvt_dZdp($D56,AI$36,gg,zcor)*100</f>
        <v>0.60429553276120096</v>
      </c>
      <c r="AJ103" s="1" cm="1">
        <f t="array" ref="AJ103">[1]!unf_pvt_dZdp($D56,AJ$36,gg,zcor)*100</f>
        <v>0.63323810680970816</v>
      </c>
      <c r="AK103" s="1" cm="1">
        <f t="array" ref="AK103">[1]!unf_pvt_dZdp($D56,AK$36,gg,zcor)*100</f>
        <v>0.66065211312693606</v>
      </c>
    </row>
    <row r="104" spans="5:37" x14ac:dyDescent="0.3">
      <c r="E104" t="str">
        <f t="shared" si="4"/>
        <v>t=190 C</v>
      </c>
      <c r="F104" s="1" cm="1">
        <f t="array" ref="F104">[1]!unf_pvt_dZdp($D57,F$36,gg,zcor)*100</f>
        <v>-0.50512876783259664</v>
      </c>
      <c r="G104" s="1" cm="1">
        <f t="array" ref="G104">[1]!unf_pvt_dZdp($D57,G$36,gg,zcor)*100</f>
        <v>-0.52854049895967314</v>
      </c>
      <c r="H104" s="1" cm="1">
        <f t="array" ref="H104">[1]!unf_pvt_dZdp($D57,H$36,gg,zcor)*100</f>
        <v>-0.53515300178719194</v>
      </c>
      <c r="I104" s="1" cm="1">
        <f t="array" ref="I104">[1]!unf_pvt_dZdp($D57,I$36,gg,zcor)*100</f>
        <v>-0.52674985113521089</v>
      </c>
      <c r="J104" s="1" cm="1">
        <f t="array" ref="J104">[1]!unf_pvt_dZdp($D57,J$36,gg,zcor)*100</f>
        <v>-0.50536307980353357</v>
      </c>
      <c r="K104" s="1" cm="1">
        <f t="array" ref="K104">[1]!unf_pvt_dZdp($D57,K$36,gg,zcor)*100</f>
        <v>-0.47326656116508659</v>
      </c>
      <c r="L104" s="1" cm="1">
        <f t="array" ref="L104">[1]!unf_pvt_dZdp($D57,L$36,gg,zcor)*100</f>
        <v>-0.43277079707526589</v>
      </c>
      <c r="M104" s="1" cm="1">
        <f t="array" ref="M104">[1]!unf_pvt_dZdp($D57,M$36,gg,zcor)*100</f>
        <v>-0.38604933002672759</v>
      </c>
      <c r="N104" s="1" cm="1">
        <f t="array" ref="N104">[1]!unf_pvt_dZdp($D57,N$36,gg,zcor)*100</f>
        <v>-0.33502503745008738</v>
      </c>
      <c r="O104" s="1" cm="1">
        <f t="array" ref="O104">[1]!unf_pvt_dZdp($D57,O$36,gg,zcor)*100</f>
        <v>-0.28131423228106023</v>
      </c>
      <c r="P104" s="1" cm="1">
        <f t="array" ref="P104">[1]!unf_pvt_dZdp($D57,P$36,gg,zcor)*100</f>
        <v>-0.22621631360353334</v>
      </c>
      <c r="Q104" s="1" cm="1">
        <f t="array" ref="Q104">[1]!unf_pvt_dZdp($D57,Q$36,gg,zcor)*100</f>
        <v>-0.17073423690949774</v>
      </c>
      <c r="R104" s="1" cm="1">
        <f t="array" ref="R104">[1]!unf_pvt_dZdp($D57,R$36,gg,zcor)*100</f>
        <v>-0.11561243593471993</v>
      </c>
      <c r="S104" s="1" cm="1">
        <f t="array" ref="S104">[1]!unf_pvt_dZdp($D57,S$36,gg,zcor)*100</f>
        <v>-6.1381822554773535E-2</v>
      </c>
      <c r="T104" s="1" cm="1">
        <f t="array" ref="T104">[1]!unf_pvt_dZdp($D57,T$36,gg,zcor)*100</f>
        <v>-8.404777425141674E-3</v>
      </c>
      <c r="U104" s="1" cm="1">
        <f t="array" ref="U104">[1]!unf_pvt_dZdp($D57,U$36,gg,zcor)*100</f>
        <v>4.3084085246114512E-2</v>
      </c>
      <c r="V104" s="1" cm="1">
        <f t="array" ref="V104">[1]!unf_pvt_dZdp($D57,V$36,gg,zcor)*100</f>
        <v>9.2943409583101655E-2</v>
      </c>
      <c r="W104" s="1" cm="1">
        <f t="array" ref="W104">[1]!unf_pvt_dZdp($D57,W$36,gg,zcor)*100</f>
        <v>0.14109738844081399</v>
      </c>
      <c r="X104" s="1" cm="1">
        <f t="array" ref="X104">[1]!unf_pvt_dZdp($D57,X$36,gg,zcor)*100</f>
        <v>0.18751448917941893</v>
      </c>
      <c r="Y104" s="1" cm="1">
        <f t="array" ref="Y104">[1]!unf_pvt_dZdp($D57,Y$36,gg,zcor)*100</f>
        <v>0.23219178182931621</v>
      </c>
      <c r="Z104" s="1" cm="1">
        <f t="array" ref="Z104">[1]!unf_pvt_dZdp($D57,Z$36,gg,zcor)*100</f>
        <v>0.27514386071736396</v>
      </c>
      <c r="AA104" s="1" cm="1">
        <f t="array" ref="AA104">[1]!unf_pvt_dZdp($D57,AA$36,gg,zcor)*100</f>
        <v>0.31639535473138025</v>
      </c>
      <c r="AB104" s="1" cm="1">
        <f t="array" ref="AB104">[1]!unf_pvt_dZdp($D57,AB$36,gg,zcor)*100</f>
        <v>0.3559761236537895</v>
      </c>
      <c r="AC104" s="1" cm="1">
        <f t="array" ref="AC104">[1]!unf_pvt_dZdp($D57,AC$36,gg,zcor)*100</f>
        <v>0.39391838237756716</v>
      </c>
      <c r="AD104" s="1" cm="1">
        <f t="array" ref="AD104">[1]!unf_pvt_dZdp($D57,AD$36,gg,zcor)*100</f>
        <v>0.43025514799399645</v>
      </c>
      <c r="AE104" s="1" cm="1">
        <f t="array" ref="AE104">[1]!unf_pvt_dZdp($D57,AE$36,gg,zcor)*100</f>
        <v>0.46501954709121662</v>
      </c>
      <c r="AF104" s="1" cm="1">
        <f t="array" ref="AF104">[1]!unf_pvt_dZdp($D57,AF$36,gg,zcor)*100</f>
        <v>0.49824464346315267</v>
      </c>
      <c r="AG104" s="1" cm="1">
        <f t="array" ref="AG104">[1]!unf_pvt_dZdp($D57,AG$36,gg,zcor)*100</f>
        <v>0.52996354661272171</v>
      </c>
      <c r="AH104" s="1" cm="1">
        <f t="array" ref="AH104">[1]!unf_pvt_dZdp($D57,AH$36,gg,zcor)*100</f>
        <v>0.5602096400814105</v>
      </c>
      <c r="AI104" s="1" cm="1">
        <f t="array" ref="AI104">[1]!unf_pvt_dZdp($D57,AI$36,gg,zcor)*100</f>
        <v>0.5890168276323493</v>
      </c>
      <c r="AJ104" s="1" cm="1">
        <f t="array" ref="AJ104">[1]!unf_pvt_dZdp($D57,AJ$36,gg,zcor)*100</f>
        <v>0.61641973826409568</v>
      </c>
      <c r="AK104" s="1" cm="1">
        <f t="array" ref="AK104">[1]!unf_pvt_dZdp($D57,AK$36,gg,zcor)*100</f>
        <v>0.64245386105055147</v>
      </c>
    </row>
    <row r="105" spans="5:37" x14ac:dyDescent="0.3">
      <c r="E105" t="str">
        <f t="shared" si="4"/>
        <v>t=200 C</v>
      </c>
      <c r="F105" s="1" cm="1">
        <f t="array" ref="F105">[1]!unf_pvt_dZdp($D58,F$36,gg,zcor)*100</f>
        <v>-0.46294929948786923</v>
      </c>
      <c r="G105" s="1" cm="1">
        <f t="array" ref="G105">[1]!unf_pvt_dZdp($D58,G$36,gg,zcor)*100</f>
        <v>-0.48390477744186811</v>
      </c>
      <c r="H105" s="1" cm="1">
        <f t="array" ref="H105">[1]!unf_pvt_dZdp($D58,H$36,gg,zcor)*100</f>
        <v>-0.48856248364370636</v>
      </c>
      <c r="I105" s="1" cm="1">
        <f t="array" ref="I105">[1]!unf_pvt_dZdp($D58,I$36,gg,zcor)*100</f>
        <v>-0.47883510427060294</v>
      </c>
      <c r="J105" s="1" cm="1">
        <f t="array" ref="J105">[1]!unf_pvt_dZdp($D58,J$36,gg,zcor)*100</f>
        <v>-0.45679460941694394</v>
      </c>
      <c r="K105" s="1" cm="1">
        <f t="array" ref="K105">[1]!unf_pvt_dZdp($D58,K$36,gg,zcor)*100</f>
        <v>-0.42471270445543219</v>
      </c>
      <c r="L105" s="1" cm="1">
        <f t="array" ref="L105">[1]!unf_pvt_dZdp($D58,L$36,gg,zcor)*100</f>
        <v>-0.38486835333362279</v>
      </c>
      <c r="M105" s="1" cm="1">
        <f t="array" ref="M105">[1]!unf_pvt_dZdp($D58,M$36,gg,zcor)*100</f>
        <v>-0.33938319474735579</v>
      </c>
      <c r="N105" s="1" cm="1">
        <f t="array" ref="N105">[1]!unf_pvt_dZdp($D58,N$36,gg,zcor)*100</f>
        <v>-0.29011523764554958</v>
      </c>
      <c r="O105" s="1" cm="1">
        <f t="array" ref="O105">[1]!unf_pvt_dZdp($D58,O$36,gg,zcor)*100</f>
        <v>-0.23860892714555604</v>
      </c>
      <c r="P105" s="1" cm="1">
        <f t="array" ref="P105">[1]!unf_pvt_dZdp($D58,P$36,gg,zcor)*100</f>
        <v>-0.18608936890651684</v>
      </c>
      <c r="Q105" s="1" cm="1">
        <f t="array" ref="Q105">[1]!unf_pvt_dZdp($D58,Q$36,gg,zcor)*100</f>
        <v>-0.13348612625807554</v>
      </c>
      <c r="R105" s="1" cm="1">
        <f t="array" ref="R105">[1]!unf_pvt_dZdp($D58,R$36,gg,zcor)*100</f>
        <v>-8.1473439620394217E-2</v>
      </c>
      <c r="S105" s="1" cm="1">
        <f t="array" ref="S105">[1]!unf_pvt_dZdp($D58,S$36,gg,zcor)*100</f>
        <v>-3.0516728690699324E-2</v>
      </c>
      <c r="T105" s="1" cm="1">
        <f t="array" ref="T105">[1]!unf_pvt_dZdp($D58,T$36,gg,zcor)*100</f>
        <v>1.9081499257334045E-2</v>
      </c>
      <c r="U105" s="1" cm="1">
        <f t="array" ref="U105">[1]!unf_pvt_dZdp($D58,U$36,gg,zcor)*100</f>
        <v>6.7140382926655917E-2</v>
      </c>
      <c r="V105" s="1" cm="1">
        <f t="array" ref="V105">[1]!unf_pvt_dZdp($D58,V$36,gg,zcor)*100</f>
        <v>0.11356598855871702</v>
      </c>
      <c r="W105" s="1" cm="1">
        <f t="array" ref="W105">[1]!unf_pvt_dZdp($D58,W$36,gg,zcor)*100</f>
        <v>0.15832359489986736</v>
      </c>
      <c r="X105" s="1" cm="1">
        <f t="array" ref="X105">[1]!unf_pvt_dZdp($D58,X$36,gg,zcor)*100</f>
        <v>0.20141656086436477</v>
      </c>
      <c r="Y105" s="1" cm="1">
        <f t="array" ref="Y105">[1]!unf_pvt_dZdp($D58,Y$36,gg,zcor)*100</f>
        <v>0.24287090470087591</v>
      </c>
      <c r="Z105" s="1" cm="1">
        <f t="array" ref="Z105">[1]!unf_pvt_dZdp($D58,Z$36,gg,zcor)*100</f>
        <v>0.28272455952937925</v>
      </c>
      <c r="AA105" s="1" cm="1">
        <f t="array" ref="AA105">[1]!unf_pvt_dZdp($D58,AA$36,gg,zcor)*100</f>
        <v>0.32102028076907985</v>
      </c>
      <c r="AB105" s="1" cm="1">
        <f t="array" ref="AB105">[1]!unf_pvt_dZdp($D58,AB$36,gg,zcor)*100</f>
        <v>0.35780128642692866</v>
      </c>
      <c r="AC105" s="1" cm="1">
        <f t="array" ref="AC105">[1]!unf_pvt_dZdp($D58,AC$36,gg,zcor)*100</f>
        <v>0.39310885714627375</v>
      </c>
      <c r="AD105" s="1" cm="1">
        <f t="array" ref="AD105">[1]!unf_pvt_dZdp($D58,AD$36,gg,zcor)*100</f>
        <v>0.42698127675766528</v>
      </c>
      <c r="AE105" s="1" cm="1">
        <f t="array" ref="AE105">[1]!unf_pvt_dZdp($D58,AE$36,gg,zcor)*100</f>
        <v>0.45945363742916356</v>
      </c>
      <c r="AF105" s="1" cm="1">
        <f t="array" ref="AF105">[1]!unf_pvt_dZdp($D58,AF$36,gg,zcor)*100</f>
        <v>0.49055815727117036</v>
      </c>
      <c r="AG105" s="1" cm="1">
        <f t="array" ref="AG105">[1]!unf_pvt_dZdp($D58,AG$36,gg,zcor)*100</f>
        <v>0.52032476031249608</v>
      </c>
      <c r="AH105" s="1" cm="1">
        <f t="array" ref="AH105">[1]!unf_pvt_dZdp($D58,AH$36,gg,zcor)*100</f>
        <v>0.54878174890360398</v>
      </c>
      <c r="AI105" s="1" cm="1">
        <f t="array" ref="AI105">[1]!unf_pvt_dZdp($D58,AI$36,gg,zcor)*100</f>
        <v>0.57595645988506305</v>
      </c>
      <c r="AJ105" s="1" cm="1">
        <f t="array" ref="AJ105">[1]!unf_pvt_dZdp($D58,AJ$36,gg,zcor)*100</f>
        <v>0.60187584083992718</v>
      </c>
      <c r="AK105" s="1" cm="1">
        <f t="array" ref="AK105">[1]!unf_pvt_dZdp($D58,AK$36,gg,zcor)*100</f>
        <v>0.62656691461215885</v>
      </c>
    </row>
    <row r="106" spans="5:37" x14ac:dyDescent="0.3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3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289560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2020-04-28T06:34:49Z</dcterms:created>
  <dcterms:modified xsi:type="dcterms:W3CDTF">2021-04-17T05:49:52Z</dcterms:modified>
</cp:coreProperties>
</file>